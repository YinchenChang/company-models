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FundRaw" sheetId="14" state="visible" r:id="rId16"/>
    <sheet name="Facility" sheetId="15" state="visible" r:id="rId17"/>
    <sheet name="SegIn" sheetId="16" state="visible" r:id="rId18"/>
    <sheet name="Spend" sheetId="17" state="visible" r:id="rId19"/>
    <sheet name="Interface" sheetId="18" state="visible" r:id="rId20"/>
    <sheet name="Checks" sheetId="19" state="visible" r:id="rId21"/>
    <sheet name="Decisions" sheetId="20" state="visible" r:id="rId22"/>
    <sheet name="DB_Evidence" sheetId="21" state="visible" r:id="rId23"/>
    <sheet name="Sources" sheetId="22" state="visible" r:id="rId24"/>
    <sheet name="Requests" sheetId="23" state="visible" r:id="rId25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Checks!$C$156</definedName>
    <definedName function="false" hidden="false" name="WGOV_Warn" vbProcedure="false">Checks!$C$157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Facility_bldg_2024" vbProcedure="false">Interface!$D$138</definedName>
    <definedName function="false" hidden="false" name="WIF_Facility_bldg_2025" vbProcedure="false">Interface!$E$138</definedName>
    <definedName function="false" hidden="false" name="WIF_Facility_bldg_2026" vbProcedure="false">Interface!$F$138</definedName>
    <definedName function="false" hidden="false" name="WIF_Facility_bldg_2027" vbProcedure="false">Interface!$G$138</definedName>
    <definedName function="false" hidden="false" name="WIF_Facility_bldg_2028" vbProcedure="false">Interface!$H$138</definedName>
    <definedName function="false" hidden="false" name="WIF_Facility_bldg_2029" vbProcedure="false">Interface!$I$138</definedName>
    <definedName function="false" hidden="false" name="WIF_Facility_bldg_2030" vbProcedure="false">Interface!$J$138</definedName>
    <definedName function="false" hidden="false" name="WIF_Facility_bldg_2031" vbProcedure="false">Interface!$K$138</definedName>
    <definedName function="false" hidden="false" name="WIF_Facility_bldg_2032" vbProcedure="false">Interface!$L$138</definedName>
    <definedName function="false" hidden="false" name="WIF_Facility_cool_2024" vbProcedure="false">Interface!$D$137</definedName>
    <definedName function="false" hidden="false" name="WIF_Facility_cool_2025" vbProcedure="false">Interface!$E$137</definedName>
    <definedName function="false" hidden="false" name="WIF_Facility_cool_2026" vbProcedure="false">Interface!$F$137</definedName>
    <definedName function="false" hidden="false" name="WIF_Facility_cool_2027" vbProcedure="false">Interface!$G$137</definedName>
    <definedName function="false" hidden="false" name="WIF_Facility_cool_2028" vbProcedure="false">Interface!$H$137</definedName>
    <definedName function="false" hidden="false" name="WIF_Facility_cool_2029" vbProcedure="false">Interface!$I$137</definedName>
    <definedName function="false" hidden="false" name="WIF_Facility_cool_2030" vbProcedure="false">Interface!$J$137</definedName>
    <definedName function="false" hidden="false" name="WIF_Facility_cool_2031" vbProcedure="false">Interface!$K$137</definedName>
    <definedName function="false" hidden="false" name="WIF_Facility_cool_2032" vbProcedure="false">Interface!$L$137</definedName>
    <definedName function="false" hidden="false" name="WIF_Facility_dist_2024" vbProcedure="false">Interface!$D$134</definedName>
    <definedName function="false" hidden="false" name="WIF_Facility_dist_2025" vbProcedure="false">Interface!$E$134</definedName>
    <definedName function="false" hidden="false" name="WIF_Facility_dist_2026" vbProcedure="false">Interface!$F$134</definedName>
    <definedName function="false" hidden="false" name="WIF_Facility_dist_2027" vbProcedure="false">Interface!$G$134</definedName>
    <definedName function="false" hidden="false" name="WIF_Facility_dist_2028" vbProcedure="false">Interface!$H$134</definedName>
    <definedName function="false" hidden="false" name="WIF_Facility_dist_2029" vbProcedure="false">Interface!$I$134</definedName>
    <definedName function="false" hidden="false" name="WIF_Facility_dist_2030" vbProcedure="false">Interface!$J$134</definedName>
    <definedName function="false" hidden="false" name="WIF_Facility_dist_2031" vbProcedure="false">Interface!$K$134</definedName>
    <definedName function="false" hidden="false" name="WIF_Facility_dist_2032" vbProcedure="false">Interface!$L$134</definedName>
    <definedName function="false" hidden="false" name="WIF_Facility_gen_2024" vbProcedure="false">Interface!$D$135</definedName>
    <definedName function="false" hidden="false" name="WIF_Facility_gen_2025" vbProcedure="false">Interface!$E$135</definedName>
    <definedName function="false" hidden="false" name="WIF_Facility_gen_2026" vbProcedure="false">Interface!$F$135</definedName>
    <definedName function="false" hidden="false" name="WIF_Facility_gen_2027" vbProcedure="false">Interface!$G$135</definedName>
    <definedName function="false" hidden="false" name="WIF_Facility_gen_2028" vbProcedure="false">Interface!$H$135</definedName>
    <definedName function="false" hidden="false" name="WIF_Facility_gen_2029" vbProcedure="false">Interface!$I$135</definedName>
    <definedName function="false" hidden="false" name="WIF_Facility_gen_2030" vbProcedure="false">Interface!$J$135</definedName>
    <definedName function="false" hidden="false" name="WIF_Facility_gen_2031" vbProcedure="false">Interface!$K$135</definedName>
    <definedName function="false" hidden="false" name="WIF_Facility_gen_2032" vbProcedure="false">Interface!$L$135</definedName>
    <definedName function="false" hidden="false" name="WIF_Facility_labor_2024" vbProcedure="false">Interface!$D$139</definedName>
    <definedName function="false" hidden="false" name="WIF_Facility_labor_2025" vbProcedure="false">Interface!$E$139</definedName>
    <definedName function="false" hidden="false" name="WIF_Facility_labor_2026" vbProcedure="false">Interface!$F$139</definedName>
    <definedName function="false" hidden="false" name="WIF_Facility_labor_2027" vbProcedure="false">Interface!$G$139</definedName>
    <definedName function="false" hidden="false" name="WIF_Facility_labor_2028" vbProcedure="false">Interface!$H$139</definedName>
    <definedName function="false" hidden="false" name="WIF_Facility_labor_2029" vbProcedure="false">Interface!$I$139</definedName>
    <definedName function="false" hidden="false" name="WIF_Facility_labor_2030" vbProcedure="false">Interface!$J$139</definedName>
    <definedName function="false" hidden="false" name="WIF_Facility_labor_2031" vbProcedure="false">Interface!$K$139</definedName>
    <definedName function="false" hidden="false" name="WIF_Facility_labor_2032" vbProcedure="false">Interface!$L$139</definedName>
    <definedName function="false" hidden="false" name="WIF_Facility_land_2024" vbProcedure="false">Interface!$D$142</definedName>
    <definedName function="false" hidden="false" name="WIF_Facility_land_2025" vbProcedure="false">Interface!$E$142</definedName>
    <definedName function="false" hidden="false" name="WIF_Facility_land_2026" vbProcedure="false">Interface!$F$142</definedName>
    <definedName function="false" hidden="false" name="WIF_Facility_land_2027" vbProcedure="false">Interface!$G$142</definedName>
    <definedName function="false" hidden="false" name="WIF_Facility_land_2028" vbProcedure="false">Interface!$H$142</definedName>
    <definedName function="false" hidden="false" name="WIF_Facility_land_2029" vbProcedure="false">Interface!$I$142</definedName>
    <definedName function="false" hidden="false" name="WIF_Facility_land_2030" vbProcedure="false">Interface!$J$142</definedName>
    <definedName function="false" hidden="false" name="WIF_Facility_land_2031" vbProcedure="false">Interface!$K$142</definedName>
    <definedName function="false" hidden="false" name="WIF_Facility_land_2032" vbProcedure="false">Interface!$L$142</definedName>
    <definedName function="false" hidden="false" name="WIF_Facility_mkt_q_gen_2024" vbProcedure="false">Interface!$D$145</definedName>
    <definedName function="false" hidden="false" name="WIF_Facility_mkt_q_gen_2025" vbProcedure="false">Interface!$E$145</definedName>
    <definedName function="false" hidden="false" name="WIF_Facility_mkt_q_gen_2026" vbProcedure="false">Interface!$F$145</definedName>
    <definedName function="false" hidden="false" name="WIF_Facility_mkt_q_gen_2027" vbProcedure="false">Interface!$G$145</definedName>
    <definedName function="false" hidden="false" name="WIF_Facility_mkt_q_gen_2028" vbProcedure="false">Interface!$H$145</definedName>
    <definedName function="false" hidden="false" name="WIF_Facility_mkt_q_gen_2029" vbProcedure="false">Interface!$I$145</definedName>
    <definedName function="false" hidden="false" name="WIF_Facility_mkt_q_gen_2030" vbProcedure="false">Interface!$J$145</definedName>
    <definedName function="false" hidden="false" name="WIF_Facility_mkt_q_gen_2031" vbProcedure="false">Interface!$K$145</definedName>
    <definedName function="false" hidden="false" name="WIF_Facility_mkt_q_gen_2032" vbProcedure="false">Interface!$L$145</definedName>
    <definedName function="false" hidden="false" name="WIF_Facility_mkt_q_self_2024" vbProcedure="false">Interface!$D$146</definedName>
    <definedName function="false" hidden="false" name="WIF_Facility_mkt_q_self_2025" vbProcedure="false">Interface!$E$146</definedName>
    <definedName function="false" hidden="false" name="WIF_Facility_mkt_q_self_2026" vbProcedure="false">Interface!$F$146</definedName>
    <definedName function="false" hidden="false" name="WIF_Facility_mkt_q_self_2027" vbProcedure="false">Interface!$G$146</definedName>
    <definedName function="false" hidden="false" name="WIF_Facility_mkt_q_self_2028" vbProcedure="false">Interface!$H$146</definedName>
    <definedName function="false" hidden="false" name="WIF_Facility_mkt_q_self_2029" vbProcedure="false">Interface!$I$146</definedName>
    <definedName function="false" hidden="false" name="WIF_Facility_mkt_q_self_2030" vbProcedure="false">Interface!$J$146</definedName>
    <definedName function="false" hidden="false" name="WIF_Facility_mkt_q_self_2031" vbProcedure="false">Interface!$K$146</definedName>
    <definedName function="false" hidden="false" name="WIF_Facility_mkt_q_self_2032" vbProcedure="false">Interface!$L$146</definedName>
    <definedName function="false" hidden="false" name="WIF_Facility_net_2024" vbProcedure="false">Interface!$D$141</definedName>
    <definedName function="false" hidden="false" name="WIF_Facility_net_2025" vbProcedure="false">Interface!$E$141</definedName>
    <definedName function="false" hidden="false" name="WIF_Facility_net_2026" vbProcedure="false">Interface!$F$141</definedName>
    <definedName function="false" hidden="false" name="WIF_Facility_net_2027" vbProcedure="false">Interface!$G$141</definedName>
    <definedName function="false" hidden="false" name="WIF_Facility_net_2028" vbProcedure="false">Interface!$H$141</definedName>
    <definedName function="false" hidden="false" name="WIF_Facility_net_2029" vbProcedure="false">Interface!$I$141</definedName>
    <definedName function="false" hidden="false" name="WIF_Facility_net_2030" vbProcedure="false">Interface!$J$141</definedName>
    <definedName function="false" hidden="false" name="WIF_Facility_net_2031" vbProcedure="false">Interface!$K$141</definedName>
    <definedName function="false" hidden="false" name="WIF_Facility_net_2032" vbProcedure="false">Interface!$L$141</definedName>
    <definedName function="false" hidden="false" name="WIF_Facility_prof_2024" vbProcedure="false">Interface!$D$140</definedName>
    <definedName function="false" hidden="false" name="WIF_Facility_prof_2025" vbProcedure="false">Interface!$E$140</definedName>
    <definedName function="false" hidden="false" name="WIF_Facility_prof_2026" vbProcedure="false">Interface!$F$140</definedName>
    <definedName function="false" hidden="false" name="WIF_Facility_prof_2027" vbProcedure="false">Interface!$G$140</definedName>
    <definedName function="false" hidden="false" name="WIF_Facility_prof_2028" vbProcedure="false">Interface!$H$140</definedName>
    <definedName function="false" hidden="false" name="WIF_Facility_prof_2029" vbProcedure="false">Interface!$I$140</definedName>
    <definedName function="false" hidden="false" name="WIF_Facility_prof_2030" vbProcedure="false">Interface!$J$140</definedName>
    <definedName function="false" hidden="false" name="WIF_Facility_prof_2031" vbProcedure="false">Interface!$K$140</definedName>
    <definedName function="false" hidden="false" name="WIF_Facility_prof_2032" vbProcedure="false">Interface!$L$140</definedName>
    <definedName function="false" hidden="false" name="WIF_Facility_resid_2024" vbProcedure="false">Interface!$D$143</definedName>
    <definedName function="false" hidden="false" name="WIF_Facility_resid_2025" vbProcedure="false">Interface!$E$143</definedName>
    <definedName function="false" hidden="false" name="WIF_Facility_resid_2026" vbProcedure="false">Interface!$F$143</definedName>
    <definedName function="false" hidden="false" name="WIF_Facility_resid_2027" vbProcedure="false">Interface!$G$143</definedName>
    <definedName function="false" hidden="false" name="WIF_Facility_resid_2028" vbProcedure="false">Interface!$H$143</definedName>
    <definedName function="false" hidden="false" name="WIF_Facility_resid_2029" vbProcedure="false">Interface!$I$143</definedName>
    <definedName function="false" hidden="false" name="WIF_Facility_resid_2030" vbProcedure="false">Interface!$J$143</definedName>
    <definedName function="false" hidden="false" name="WIF_Facility_resid_2031" vbProcedure="false">Interface!$K$143</definedName>
    <definedName function="false" hidden="false" name="WIF_Facility_resid_2032" vbProcedure="false">Interface!$L$143</definedName>
    <definedName function="false" hidden="false" name="WIF_Facility_self_unit_2024" vbProcedure="false">Interface!$D$144</definedName>
    <definedName function="false" hidden="false" name="WIF_Facility_self_unit_2025" vbProcedure="false">Interface!$E$144</definedName>
    <definedName function="false" hidden="false" name="WIF_Facility_self_unit_2026" vbProcedure="false">Interface!$F$144</definedName>
    <definedName function="false" hidden="false" name="WIF_Facility_self_unit_2027" vbProcedure="false">Interface!$G$144</definedName>
    <definedName function="false" hidden="false" name="WIF_Facility_self_unit_2028" vbProcedure="false">Interface!$H$144</definedName>
    <definedName function="false" hidden="false" name="WIF_Facility_self_unit_2029" vbProcedure="false">Interface!$I$144</definedName>
    <definedName function="false" hidden="false" name="WIF_Facility_self_unit_2030" vbProcedure="false">Interface!$J$144</definedName>
    <definedName function="false" hidden="false" name="WIF_Facility_self_unit_2031" vbProcedure="false">Interface!$K$144</definedName>
    <definedName function="false" hidden="false" name="WIF_Facility_self_unit_2032" vbProcedure="false">Interface!$L$144</definedName>
    <definedName function="false" hidden="false" name="WIF_Facility_ups_2024" vbProcedure="false">Interface!$D$136</definedName>
    <definedName function="false" hidden="false" name="WIF_Facility_ups_2025" vbProcedure="false">Interface!$E$136</definedName>
    <definedName function="false" hidden="false" name="WIF_Facility_ups_2026" vbProcedure="false">Interface!$F$136</definedName>
    <definedName function="false" hidden="false" name="WIF_Facility_ups_2027" vbProcedure="false">Interface!$G$136</definedName>
    <definedName function="false" hidden="false" name="WIF_Facility_ups_2028" vbProcedure="false">Interface!$H$136</definedName>
    <definedName function="false" hidden="false" name="WIF_Facility_ups_2029" vbProcedure="false">Interface!$I$136</definedName>
    <definedName function="false" hidden="false" name="WIF_Facility_ups_2030" vbProcedure="false">Interface!$J$136</definedName>
    <definedName function="false" hidden="false" name="WIF_Facility_ups_2031" vbProcedure="false">Interface!$K$136</definedName>
    <definedName function="false" hidden="false" name="WIF_Facility_ups_2032" vbProcedure="false">Interface!$L$136</definedName>
    <definedName function="false" hidden="false" name="WIF_Funding_amzn_2024_capex" vbProcedure="false">Interface!$D$251</definedName>
    <definedName function="false" hidden="false" name="WIF_Funding_amzn_2024_debt_pct" vbProcedure="false">Interface!$D$255</definedName>
    <definedName function="false" hidden="false" name="WIF_Funding_amzn_2024_debt_raised" vbProcedure="false">Interface!$D$266</definedName>
    <definedName function="false" hidden="false" name="WIF_Funding_amzn_2024_equity_pct" vbProcedure="false">Interface!$D$254</definedName>
    <definedName function="false" hidden="false" name="WIF_Funding_amzn_2024_equity_raised" vbProcedure="false">Interface!$D$267</definedName>
    <definedName function="false" hidden="false" name="WIF_Funding_amzn_2024_fcf" vbProcedure="false">Interface!$D$264</definedName>
    <definedName function="false" hidden="false" name="WIF_Funding_amzn_2024_gross_debt_pct" vbProcedure="false">Interface!$D$260</definedName>
    <definedName function="false" hidden="false" name="WIF_Funding_amzn_2024_gross_equity_pct" vbProcedure="false">Interface!$D$261</definedName>
    <definedName function="false" hidden="false" name="WIF_Funding_amzn_2024_gross_ext" vbProcedure="false">Interface!$D$257</definedName>
    <definedName function="false" hidden="false" name="WIF_Funding_amzn_2024_gross_ext_pct" vbProcedure="false">Interface!$D$258</definedName>
    <definedName function="false" hidden="false" name="WIF_Funding_amzn_2024_gross_lease_jv_pct" vbProcedure="false">Interface!$D$262</definedName>
    <definedName function="false" hidden="false" name="WIF_Funding_amzn_2024_gross_ocf_pct" vbProcedure="false">Interface!$D$259</definedName>
    <definedName function="false" hidden="false" name="WIF_Funding_amzn_2024_int_pct" vbProcedure="false">Interface!$D$252</definedName>
    <definedName function="false" hidden="false" name="WIF_Funding_amzn_2024_lease_pct" vbProcedure="false">Interface!$D$253</definedName>
    <definedName function="false" hidden="false" name="WIF_Funding_amzn_2024_lnc" vbProcedure="false">Interface!$D$265</definedName>
    <definedName function="false" hidden="false" name="WIF_Funding_amzn_2024_ocf" vbProcedure="false">Interface!$D$263</definedName>
    <definedName function="false" hidden="false" name="WIF_Funding_amzn_2024_other_pct" vbProcedure="false">Interface!$D$256</definedName>
    <definedName function="false" hidden="false" name="WIF_Funding_amzn_2025_capex" vbProcedure="false">Interface!$D$268</definedName>
    <definedName function="false" hidden="false" name="WIF_Funding_amzn_2025_debt_pct" vbProcedure="false">Interface!$D$272</definedName>
    <definedName function="false" hidden="false" name="WIF_Funding_amzn_2025_debt_raised" vbProcedure="false">Interface!$D$283</definedName>
    <definedName function="false" hidden="false" name="WIF_Funding_amzn_2025_equity_pct" vbProcedure="false">Interface!$D$271</definedName>
    <definedName function="false" hidden="false" name="WIF_Funding_amzn_2025_equity_raised" vbProcedure="false">Interface!$D$284</definedName>
    <definedName function="false" hidden="false" name="WIF_Funding_amzn_2025_fcf" vbProcedure="false">Interface!$D$281</definedName>
    <definedName function="false" hidden="false" name="WIF_Funding_amzn_2025_gross_debt_pct" vbProcedure="false">Interface!$D$277</definedName>
    <definedName function="false" hidden="false" name="WIF_Funding_amzn_2025_gross_equity_pct" vbProcedure="false">Interface!$D$278</definedName>
    <definedName function="false" hidden="false" name="WIF_Funding_amzn_2025_gross_ext" vbProcedure="false">Interface!$D$274</definedName>
    <definedName function="false" hidden="false" name="WIF_Funding_amzn_2025_gross_ext_pct" vbProcedure="false">Interface!$D$275</definedName>
    <definedName function="false" hidden="false" name="WIF_Funding_amzn_2025_gross_lease_jv_pct" vbProcedure="false">Interface!$D$279</definedName>
    <definedName function="false" hidden="false" name="WIF_Funding_amzn_2025_gross_ocf_pct" vbProcedure="false">Interface!$D$276</definedName>
    <definedName function="false" hidden="false" name="WIF_Funding_amzn_2025_int_pct" vbProcedure="false">Interface!$D$269</definedName>
    <definedName function="false" hidden="false" name="WIF_Funding_amzn_2025_lease_pct" vbProcedure="false">Interface!$D$270</definedName>
    <definedName function="false" hidden="false" name="WIF_Funding_amzn_2025_lnc" vbProcedure="false">Interface!$D$282</definedName>
    <definedName function="false" hidden="false" name="WIF_Funding_amzn_2025_ocf" vbProcedure="false">Interface!$D$280</definedName>
    <definedName function="false" hidden="false" name="WIF_Funding_amzn_2025_other_pct" vbProcedure="false">Interface!$D$273</definedName>
    <definedName function="false" hidden="false" name="WIF_Funding_amzn_2026_capex" vbProcedure="false">Interface!$D$285</definedName>
    <definedName function="false" hidden="false" name="WIF_Funding_amzn_2026_debt_pct" vbProcedure="false">Interface!$D$289</definedName>
    <definedName function="false" hidden="false" name="WIF_Funding_amzn_2026_debt_raised" vbProcedure="false">Interface!$D$300</definedName>
    <definedName function="false" hidden="false" name="WIF_Funding_amzn_2026_equity_pct" vbProcedure="false">Interface!$D$288</definedName>
    <definedName function="false" hidden="false" name="WIF_Funding_amzn_2026_equity_raised" vbProcedure="false">Interface!$D$301</definedName>
    <definedName function="false" hidden="false" name="WIF_Funding_amzn_2026_fcf" vbProcedure="false">Interface!$D$298</definedName>
    <definedName function="false" hidden="false" name="WIF_Funding_amzn_2026_gross_debt_pct" vbProcedure="false">Interface!$D$294</definedName>
    <definedName function="false" hidden="false" name="WIF_Funding_amzn_2026_gross_equity_pct" vbProcedure="false">Interface!$D$295</definedName>
    <definedName function="false" hidden="false" name="WIF_Funding_amzn_2026_gross_ext" vbProcedure="false">Interface!$D$291</definedName>
    <definedName function="false" hidden="false" name="WIF_Funding_amzn_2026_gross_ext_pct" vbProcedure="false">Interface!$D$292</definedName>
    <definedName function="false" hidden="false" name="WIF_Funding_amzn_2026_gross_lease_jv_pct" vbProcedure="false">Interface!$D$296</definedName>
    <definedName function="false" hidden="false" name="WIF_Funding_amzn_2026_gross_ocf_pct" vbProcedure="false">Interface!$D$293</definedName>
    <definedName function="false" hidden="false" name="WIF_Funding_amzn_2026_int_pct" vbProcedure="false">Interface!$D$286</definedName>
    <definedName function="false" hidden="false" name="WIF_Funding_amzn_2026_lease_pct" vbProcedure="false">Interface!$D$287</definedName>
    <definedName function="false" hidden="false" name="WIF_Funding_amzn_2026_lnc" vbProcedure="false">Interface!$D$299</definedName>
    <definedName function="false" hidden="false" name="WIF_Funding_amzn_2026_ocf" vbProcedure="false">Interface!$D$297</definedName>
    <definedName function="false" hidden="false" name="WIF_Funding_amzn_2026_other_pct" vbProcedure="false">Interface!$D$290</definedName>
    <definedName function="false" hidden="false" name="WIF_Funding_ant_2025_capex" vbProcedure="false">Interface!$D$557</definedName>
    <definedName function="false" hidden="false" name="WIF_Funding_ant_2025_debt_pct" vbProcedure="false">Interface!$D$561</definedName>
    <definedName function="false" hidden="false" name="WIF_Funding_ant_2025_debt_raised" vbProcedure="false">Interface!$D$572</definedName>
    <definedName function="false" hidden="false" name="WIF_Funding_ant_2025_equity_pct" vbProcedure="false">Interface!$D$560</definedName>
    <definedName function="false" hidden="false" name="WIF_Funding_ant_2025_equity_raised" vbProcedure="false">Interface!$D$573</definedName>
    <definedName function="false" hidden="false" name="WIF_Funding_ant_2025_fcf" vbProcedure="false">Interface!$D$570</definedName>
    <definedName function="false" hidden="false" name="WIF_Funding_ant_2025_gross_debt_pct" vbProcedure="false">Interface!$D$566</definedName>
    <definedName function="false" hidden="false" name="WIF_Funding_ant_2025_gross_equity_pct" vbProcedure="false">Interface!$D$567</definedName>
    <definedName function="false" hidden="false" name="WIF_Funding_ant_2025_gross_ext" vbProcedure="false">Interface!$D$563</definedName>
    <definedName function="false" hidden="false" name="WIF_Funding_ant_2025_gross_ext_pct" vbProcedure="false">Interface!$D$564</definedName>
    <definedName function="false" hidden="false" name="WIF_Funding_ant_2025_gross_lease_jv_pct" vbProcedure="false">Interface!$D$568</definedName>
    <definedName function="false" hidden="false" name="WIF_Funding_ant_2025_gross_ocf_pct" vbProcedure="false">Interface!$D$565</definedName>
    <definedName function="false" hidden="false" name="WIF_Funding_ant_2025_int_pct" vbProcedure="false">Interface!$D$558</definedName>
    <definedName function="false" hidden="false" name="WIF_Funding_ant_2025_lease_pct" vbProcedure="false">Interface!$D$559</definedName>
    <definedName function="false" hidden="false" name="WIF_Funding_ant_2025_lnc" vbProcedure="false">Interface!$D$571</definedName>
    <definedName function="false" hidden="false" name="WIF_Funding_ant_2025_ocf" vbProcedure="false">Interface!$D$569</definedName>
    <definedName function="false" hidden="false" name="WIF_Funding_ant_2025_other_pct" vbProcedure="false">Interface!$D$562</definedName>
    <definedName function="false" hidden="false" name="WIF_Funding_ant_2026_capex" vbProcedure="false">Interface!$D$574</definedName>
    <definedName function="false" hidden="false" name="WIF_Funding_ant_2026_debt_pct" vbProcedure="false">Interface!$D$578</definedName>
    <definedName function="false" hidden="false" name="WIF_Funding_ant_2026_debt_raised" vbProcedure="false">Interface!$D$589</definedName>
    <definedName function="false" hidden="false" name="WIF_Funding_ant_2026_equity_pct" vbProcedure="false">Interface!$D$577</definedName>
    <definedName function="false" hidden="false" name="WIF_Funding_ant_2026_equity_raised" vbProcedure="false">Interface!$D$590</definedName>
    <definedName function="false" hidden="false" name="WIF_Funding_ant_2026_fcf" vbProcedure="false">Interface!$D$587</definedName>
    <definedName function="false" hidden="false" name="WIF_Funding_ant_2026_gross_debt_pct" vbProcedure="false">Interface!$D$583</definedName>
    <definedName function="false" hidden="false" name="WIF_Funding_ant_2026_gross_equity_pct" vbProcedure="false">Interface!$D$584</definedName>
    <definedName function="false" hidden="false" name="WIF_Funding_ant_2026_gross_ext" vbProcedure="false">Interface!$D$580</definedName>
    <definedName function="false" hidden="false" name="WIF_Funding_ant_2026_gross_ext_pct" vbProcedure="false">Interface!$D$581</definedName>
    <definedName function="false" hidden="false" name="WIF_Funding_ant_2026_gross_lease_jv_pct" vbProcedure="false">Interface!$D$585</definedName>
    <definedName function="false" hidden="false" name="WIF_Funding_ant_2026_gross_ocf_pct" vbProcedure="false">Interface!$D$582</definedName>
    <definedName function="false" hidden="false" name="WIF_Funding_ant_2026_int_pct" vbProcedure="false">Interface!$D$575</definedName>
    <definedName function="false" hidden="false" name="WIF_Funding_ant_2026_lease_pct" vbProcedure="false">Interface!$D$576</definedName>
    <definedName function="false" hidden="false" name="WIF_Funding_ant_2026_lnc" vbProcedure="false">Interface!$D$588</definedName>
    <definedName function="false" hidden="false" name="WIF_Funding_ant_2026_ocf" vbProcedure="false">Interface!$D$586</definedName>
    <definedName function="false" hidden="false" name="WIF_Funding_ant_2026_other_pct" vbProcedure="false">Interface!$D$579</definedName>
    <definedName function="false" hidden="false" name="WIF_Funding_crwv_2024_capex" vbProcedure="false">Interface!$D$404</definedName>
    <definedName function="false" hidden="false" name="WIF_Funding_crwv_2024_debt_pct" vbProcedure="false">Interface!$D$408</definedName>
    <definedName function="false" hidden="false" name="WIF_Funding_crwv_2024_debt_raised" vbProcedure="false">Interface!$D$419</definedName>
    <definedName function="false" hidden="false" name="WIF_Funding_crwv_2024_equity_pct" vbProcedure="false">Interface!$D$407</definedName>
    <definedName function="false" hidden="false" name="WIF_Funding_crwv_2024_equity_raised" vbProcedure="false">Interface!$D$420</definedName>
    <definedName function="false" hidden="false" name="WIF_Funding_crwv_2024_fcf" vbProcedure="false">Interface!$D$417</definedName>
    <definedName function="false" hidden="false" name="WIF_Funding_crwv_2024_gross_debt_pct" vbProcedure="false">Interface!$D$413</definedName>
    <definedName function="false" hidden="false" name="WIF_Funding_crwv_2024_gross_equity_pct" vbProcedure="false">Interface!$D$414</definedName>
    <definedName function="false" hidden="false" name="WIF_Funding_crwv_2024_gross_ext" vbProcedure="false">Interface!$D$410</definedName>
    <definedName function="false" hidden="false" name="WIF_Funding_crwv_2024_gross_ext_pct" vbProcedure="false">Interface!$D$411</definedName>
    <definedName function="false" hidden="false" name="WIF_Funding_crwv_2024_gross_lease_jv_pct" vbProcedure="false">Interface!$D$415</definedName>
    <definedName function="false" hidden="false" name="WIF_Funding_crwv_2024_gross_ocf_pct" vbProcedure="false">Interface!$D$412</definedName>
    <definedName function="false" hidden="false" name="WIF_Funding_crwv_2024_int_pct" vbProcedure="false">Interface!$D$405</definedName>
    <definedName function="false" hidden="false" name="WIF_Funding_crwv_2024_lease_pct" vbProcedure="false">Interface!$D$406</definedName>
    <definedName function="false" hidden="false" name="WIF_Funding_crwv_2024_lnc" vbProcedure="false">Interface!$D$418</definedName>
    <definedName function="false" hidden="false" name="WIF_Funding_crwv_2024_ocf" vbProcedure="false">Interface!$D$416</definedName>
    <definedName function="false" hidden="false" name="WIF_Funding_crwv_2024_other_pct" vbProcedure="false">Interface!$D$409</definedName>
    <definedName function="false" hidden="false" name="WIF_Funding_crwv_2025_capex" vbProcedure="false">Interface!$D$421</definedName>
    <definedName function="false" hidden="false" name="WIF_Funding_crwv_2025_debt_pct" vbProcedure="false">Interface!$D$425</definedName>
    <definedName function="false" hidden="false" name="WIF_Funding_crwv_2025_debt_raised" vbProcedure="false">Interface!$D$436</definedName>
    <definedName function="false" hidden="false" name="WIF_Funding_crwv_2025_equity_pct" vbProcedure="false">Interface!$D$424</definedName>
    <definedName function="false" hidden="false" name="WIF_Funding_crwv_2025_equity_raised" vbProcedure="false">Interface!$D$437</definedName>
    <definedName function="false" hidden="false" name="WIF_Funding_crwv_2025_fcf" vbProcedure="false">Interface!$D$434</definedName>
    <definedName function="false" hidden="false" name="WIF_Funding_crwv_2025_gross_debt_pct" vbProcedure="false">Interface!$D$430</definedName>
    <definedName function="false" hidden="false" name="WIF_Funding_crwv_2025_gross_equity_pct" vbProcedure="false">Interface!$D$431</definedName>
    <definedName function="false" hidden="false" name="WIF_Funding_crwv_2025_gross_ext" vbProcedure="false">Interface!$D$427</definedName>
    <definedName function="false" hidden="false" name="WIF_Funding_crwv_2025_gross_ext_pct" vbProcedure="false">Interface!$D$428</definedName>
    <definedName function="false" hidden="false" name="WIF_Funding_crwv_2025_gross_lease_jv_pct" vbProcedure="false">Interface!$D$432</definedName>
    <definedName function="false" hidden="false" name="WIF_Funding_crwv_2025_gross_ocf_pct" vbProcedure="false">Interface!$D$429</definedName>
    <definedName function="false" hidden="false" name="WIF_Funding_crwv_2025_int_pct" vbProcedure="false">Interface!$D$422</definedName>
    <definedName function="false" hidden="false" name="WIF_Funding_crwv_2025_lease_pct" vbProcedure="false">Interface!$D$423</definedName>
    <definedName function="false" hidden="false" name="WIF_Funding_crwv_2025_lnc" vbProcedure="false">Interface!$D$435</definedName>
    <definedName function="false" hidden="false" name="WIF_Funding_crwv_2025_ocf" vbProcedure="false">Interface!$D$433</definedName>
    <definedName function="false" hidden="false" name="WIF_Funding_crwv_2025_other_pct" vbProcedure="false">Interface!$D$426</definedName>
    <definedName function="false" hidden="false" name="WIF_Funding_crwv_2026_capex" vbProcedure="false">Interface!$D$438</definedName>
    <definedName function="false" hidden="false" name="WIF_Funding_crwv_2026_debt_pct" vbProcedure="false">Interface!$D$442</definedName>
    <definedName function="false" hidden="false" name="WIF_Funding_crwv_2026_debt_raised" vbProcedure="false">Interface!$D$453</definedName>
    <definedName function="false" hidden="false" name="WIF_Funding_crwv_2026_equity_pct" vbProcedure="false">Interface!$D$441</definedName>
    <definedName function="false" hidden="false" name="WIF_Funding_crwv_2026_equity_raised" vbProcedure="false">Interface!$D$454</definedName>
    <definedName function="false" hidden="false" name="WIF_Funding_crwv_2026_fcf" vbProcedure="false">Interface!$D$451</definedName>
    <definedName function="false" hidden="false" name="WIF_Funding_crwv_2026_gross_debt_pct" vbProcedure="false">Interface!$D$447</definedName>
    <definedName function="false" hidden="false" name="WIF_Funding_crwv_2026_gross_equity_pct" vbProcedure="false">Interface!$D$448</definedName>
    <definedName function="false" hidden="false" name="WIF_Funding_crwv_2026_gross_ext" vbProcedure="false">Interface!$D$444</definedName>
    <definedName function="false" hidden="false" name="WIF_Funding_crwv_2026_gross_ext_pct" vbProcedure="false">Interface!$D$445</definedName>
    <definedName function="false" hidden="false" name="WIF_Funding_crwv_2026_gross_lease_jv_pct" vbProcedure="false">Interface!$D$449</definedName>
    <definedName function="false" hidden="false" name="WIF_Funding_crwv_2026_gross_ocf_pct" vbProcedure="false">Interface!$D$446</definedName>
    <definedName function="false" hidden="false" name="WIF_Funding_crwv_2026_int_pct" vbProcedure="false">Interface!$D$439</definedName>
    <definedName function="false" hidden="false" name="WIF_Funding_crwv_2026_lease_pct" vbProcedure="false">Interface!$D$440</definedName>
    <definedName function="false" hidden="false" name="WIF_Funding_crwv_2026_lnc" vbProcedure="false">Interface!$D$452</definedName>
    <definedName function="false" hidden="false" name="WIF_Funding_crwv_2026_ocf" vbProcedure="false">Interface!$D$450</definedName>
    <definedName function="false" hidden="false" name="WIF_Funding_crwv_2026_other_pct" vbProcedure="false">Interface!$D$443</definedName>
    <definedName function="false" hidden="false" name="WIF_Funding_googl_2024_capex" vbProcedure="false">Interface!$D$200</definedName>
    <definedName function="false" hidden="false" name="WIF_Funding_googl_2024_debt_pct" vbProcedure="false">Interface!$D$204</definedName>
    <definedName function="false" hidden="false" name="WIF_Funding_googl_2024_debt_raised" vbProcedure="false">Interface!$D$215</definedName>
    <definedName function="false" hidden="false" name="WIF_Funding_googl_2024_equity_pct" vbProcedure="false">Interface!$D$203</definedName>
    <definedName function="false" hidden="false" name="WIF_Funding_googl_2024_equity_raised" vbProcedure="false">Interface!$D$216</definedName>
    <definedName function="false" hidden="false" name="WIF_Funding_googl_2024_fcf" vbProcedure="false">Interface!$D$213</definedName>
    <definedName function="false" hidden="false" name="WIF_Funding_googl_2024_gross_debt_pct" vbProcedure="false">Interface!$D$209</definedName>
    <definedName function="false" hidden="false" name="WIF_Funding_googl_2024_gross_equity_pct" vbProcedure="false">Interface!$D$210</definedName>
    <definedName function="false" hidden="false" name="WIF_Funding_googl_2024_gross_ext" vbProcedure="false">Interface!$D$206</definedName>
    <definedName function="false" hidden="false" name="WIF_Funding_googl_2024_gross_ext_pct" vbProcedure="false">Interface!$D$207</definedName>
    <definedName function="false" hidden="false" name="WIF_Funding_googl_2024_gross_lease_jv_pct" vbProcedure="false">Interface!$D$211</definedName>
    <definedName function="false" hidden="false" name="WIF_Funding_googl_2024_gross_ocf_pct" vbProcedure="false">Interface!$D$208</definedName>
    <definedName function="false" hidden="false" name="WIF_Funding_googl_2024_int_pct" vbProcedure="false">Interface!$D$201</definedName>
    <definedName function="false" hidden="false" name="WIF_Funding_googl_2024_lease_pct" vbProcedure="false">Interface!$D$202</definedName>
    <definedName function="false" hidden="false" name="WIF_Funding_googl_2024_lnc" vbProcedure="false">Interface!$D$214</definedName>
    <definedName function="false" hidden="false" name="WIF_Funding_googl_2024_ocf" vbProcedure="false">Interface!$D$212</definedName>
    <definedName function="false" hidden="false" name="WIF_Funding_googl_2024_other_pct" vbProcedure="false">Interface!$D$205</definedName>
    <definedName function="false" hidden="false" name="WIF_Funding_googl_2025_capex" vbProcedure="false">Interface!$D$217</definedName>
    <definedName function="false" hidden="false" name="WIF_Funding_googl_2025_debt_pct" vbProcedure="false">Interface!$D$221</definedName>
    <definedName function="false" hidden="false" name="WIF_Funding_googl_2025_debt_raised" vbProcedure="false">Interface!$D$232</definedName>
    <definedName function="false" hidden="false" name="WIF_Funding_googl_2025_equity_pct" vbProcedure="false">Interface!$D$220</definedName>
    <definedName function="false" hidden="false" name="WIF_Funding_googl_2025_equity_raised" vbProcedure="false">Interface!$D$233</definedName>
    <definedName function="false" hidden="false" name="WIF_Funding_googl_2025_fcf" vbProcedure="false">Interface!$D$230</definedName>
    <definedName function="false" hidden="false" name="WIF_Funding_googl_2025_gross_debt_pct" vbProcedure="false">Interface!$D$226</definedName>
    <definedName function="false" hidden="false" name="WIF_Funding_googl_2025_gross_equity_pct" vbProcedure="false">Interface!$D$227</definedName>
    <definedName function="false" hidden="false" name="WIF_Funding_googl_2025_gross_ext" vbProcedure="false">Interface!$D$223</definedName>
    <definedName function="false" hidden="false" name="WIF_Funding_googl_2025_gross_ext_pct" vbProcedure="false">Interface!$D$224</definedName>
    <definedName function="false" hidden="false" name="WIF_Funding_googl_2025_gross_lease_jv_pct" vbProcedure="false">Interface!$D$228</definedName>
    <definedName function="false" hidden="false" name="WIF_Funding_googl_2025_gross_ocf_pct" vbProcedure="false">Interface!$D$225</definedName>
    <definedName function="false" hidden="false" name="WIF_Funding_googl_2025_int_pct" vbProcedure="false">Interface!$D$218</definedName>
    <definedName function="false" hidden="false" name="WIF_Funding_googl_2025_lease_pct" vbProcedure="false">Interface!$D$219</definedName>
    <definedName function="false" hidden="false" name="WIF_Funding_googl_2025_lnc" vbProcedure="false">Interface!$D$231</definedName>
    <definedName function="false" hidden="false" name="WIF_Funding_googl_2025_ocf" vbProcedure="false">Interface!$D$229</definedName>
    <definedName function="false" hidden="false" name="WIF_Funding_googl_2025_other_pct" vbProcedure="false">Interface!$D$222</definedName>
    <definedName function="false" hidden="false" name="WIF_Funding_googl_2026_capex" vbProcedure="false">Interface!$D$234</definedName>
    <definedName function="false" hidden="false" name="WIF_Funding_googl_2026_debt_pct" vbProcedure="false">Interface!$D$238</definedName>
    <definedName function="false" hidden="false" name="WIF_Funding_googl_2026_debt_raised" vbProcedure="false">Interface!$D$249</definedName>
    <definedName function="false" hidden="false" name="WIF_Funding_googl_2026_equity_pct" vbProcedure="false">Interface!$D$237</definedName>
    <definedName function="false" hidden="false" name="WIF_Funding_googl_2026_equity_raised" vbProcedure="false">Interface!$D$250</definedName>
    <definedName function="false" hidden="false" name="WIF_Funding_googl_2026_fcf" vbProcedure="false">Interface!$D$247</definedName>
    <definedName function="false" hidden="false" name="WIF_Funding_googl_2026_gross_debt_pct" vbProcedure="false">Interface!$D$243</definedName>
    <definedName function="false" hidden="false" name="WIF_Funding_googl_2026_gross_equity_pct" vbProcedure="false">Interface!$D$244</definedName>
    <definedName function="false" hidden="false" name="WIF_Funding_googl_2026_gross_ext" vbProcedure="false">Interface!$D$240</definedName>
    <definedName function="false" hidden="false" name="WIF_Funding_googl_2026_gross_ext_pct" vbProcedure="false">Interface!$D$241</definedName>
    <definedName function="false" hidden="false" name="WIF_Funding_googl_2026_gross_lease_jv_pct" vbProcedure="false">Interface!$D$245</definedName>
    <definedName function="false" hidden="false" name="WIF_Funding_googl_2026_gross_ocf_pct" vbProcedure="false">Interface!$D$242</definedName>
    <definedName function="false" hidden="false" name="WIF_Funding_googl_2026_int_pct" vbProcedure="false">Interface!$D$235</definedName>
    <definedName function="false" hidden="false" name="WIF_Funding_googl_2026_lease_pct" vbProcedure="false">Interface!$D$236</definedName>
    <definedName function="false" hidden="false" name="WIF_Funding_googl_2026_lnc" vbProcedure="false">Interface!$D$248</definedName>
    <definedName function="false" hidden="false" name="WIF_Funding_googl_2026_ocf" vbProcedure="false">Interface!$D$246</definedName>
    <definedName function="false" hidden="false" name="WIF_Funding_googl_2026_other_pct" vbProcedure="false">Interface!$D$239</definedName>
    <definedName function="false" hidden="false" name="WIF_Funding_meta_2024_capex" vbProcedure="false">Interface!$D$302</definedName>
    <definedName function="false" hidden="false" name="WIF_Funding_meta_2024_debt_pct" vbProcedure="false">Interface!$D$306</definedName>
    <definedName function="false" hidden="false" name="WIF_Funding_meta_2024_debt_raised" vbProcedure="false">Interface!$D$317</definedName>
    <definedName function="false" hidden="false" name="WIF_Funding_meta_2024_equity_pct" vbProcedure="false">Interface!$D$305</definedName>
    <definedName function="false" hidden="false" name="WIF_Funding_meta_2024_equity_raised" vbProcedure="false">Interface!$D$318</definedName>
    <definedName function="false" hidden="false" name="WIF_Funding_meta_2024_fcf" vbProcedure="false">Interface!$D$315</definedName>
    <definedName function="false" hidden="false" name="WIF_Funding_meta_2024_gross_debt_pct" vbProcedure="false">Interface!$D$311</definedName>
    <definedName function="false" hidden="false" name="WIF_Funding_meta_2024_gross_equity_pct" vbProcedure="false">Interface!$D$312</definedName>
    <definedName function="false" hidden="false" name="WIF_Funding_meta_2024_gross_ext" vbProcedure="false">Interface!$D$308</definedName>
    <definedName function="false" hidden="false" name="WIF_Funding_meta_2024_gross_ext_pct" vbProcedure="false">Interface!$D$309</definedName>
    <definedName function="false" hidden="false" name="WIF_Funding_meta_2024_gross_lease_jv_pct" vbProcedure="false">Interface!$D$313</definedName>
    <definedName function="false" hidden="false" name="WIF_Funding_meta_2024_gross_ocf_pct" vbProcedure="false">Interface!$D$310</definedName>
    <definedName function="false" hidden="false" name="WIF_Funding_meta_2024_int_pct" vbProcedure="false">Interface!$D$303</definedName>
    <definedName function="false" hidden="false" name="WIF_Funding_meta_2024_lease_pct" vbProcedure="false">Interface!$D$304</definedName>
    <definedName function="false" hidden="false" name="WIF_Funding_meta_2024_lnc" vbProcedure="false">Interface!$D$316</definedName>
    <definedName function="false" hidden="false" name="WIF_Funding_meta_2024_ocf" vbProcedure="false">Interface!$D$314</definedName>
    <definedName function="false" hidden="false" name="WIF_Funding_meta_2024_other_pct" vbProcedure="false">Interface!$D$307</definedName>
    <definedName function="false" hidden="false" name="WIF_Funding_meta_2025_capex" vbProcedure="false">Interface!$D$319</definedName>
    <definedName function="false" hidden="false" name="WIF_Funding_meta_2025_debt_pct" vbProcedure="false">Interface!$D$323</definedName>
    <definedName function="false" hidden="false" name="WIF_Funding_meta_2025_debt_raised" vbProcedure="false">Interface!$D$334</definedName>
    <definedName function="false" hidden="false" name="WIF_Funding_meta_2025_equity_pct" vbProcedure="false">Interface!$D$322</definedName>
    <definedName function="false" hidden="false" name="WIF_Funding_meta_2025_equity_raised" vbProcedure="false">Interface!$D$335</definedName>
    <definedName function="false" hidden="false" name="WIF_Funding_meta_2025_fcf" vbProcedure="false">Interface!$D$332</definedName>
    <definedName function="false" hidden="false" name="WIF_Funding_meta_2025_gross_debt_pct" vbProcedure="false">Interface!$D$328</definedName>
    <definedName function="false" hidden="false" name="WIF_Funding_meta_2025_gross_equity_pct" vbProcedure="false">Interface!$D$329</definedName>
    <definedName function="false" hidden="false" name="WIF_Funding_meta_2025_gross_ext" vbProcedure="false">Interface!$D$325</definedName>
    <definedName function="false" hidden="false" name="WIF_Funding_meta_2025_gross_ext_pct" vbProcedure="false">Interface!$D$326</definedName>
    <definedName function="false" hidden="false" name="WIF_Funding_meta_2025_gross_lease_jv_pct" vbProcedure="false">Interface!$D$330</definedName>
    <definedName function="false" hidden="false" name="WIF_Funding_meta_2025_gross_ocf_pct" vbProcedure="false">Interface!$D$327</definedName>
    <definedName function="false" hidden="false" name="WIF_Funding_meta_2025_int_pct" vbProcedure="false">Interface!$D$320</definedName>
    <definedName function="false" hidden="false" name="WIF_Funding_meta_2025_lease_pct" vbProcedure="false">Interface!$D$321</definedName>
    <definedName function="false" hidden="false" name="WIF_Funding_meta_2025_lnc" vbProcedure="false">Interface!$D$333</definedName>
    <definedName function="false" hidden="false" name="WIF_Funding_meta_2025_ocf" vbProcedure="false">Interface!$D$331</definedName>
    <definedName function="false" hidden="false" name="WIF_Funding_meta_2025_other_pct" vbProcedure="false">Interface!$D$324</definedName>
    <definedName function="false" hidden="false" name="WIF_Funding_meta_2026_capex" vbProcedure="false">Interface!$D$336</definedName>
    <definedName function="false" hidden="false" name="WIF_Funding_meta_2026_debt_pct" vbProcedure="false">Interface!$D$340</definedName>
    <definedName function="false" hidden="false" name="WIF_Funding_meta_2026_debt_raised" vbProcedure="false">Interface!$D$351</definedName>
    <definedName function="false" hidden="false" name="WIF_Funding_meta_2026_equity_pct" vbProcedure="false">Interface!$D$339</definedName>
    <definedName function="false" hidden="false" name="WIF_Funding_meta_2026_equity_raised" vbProcedure="false">Interface!$D$352</definedName>
    <definedName function="false" hidden="false" name="WIF_Funding_meta_2026_fcf" vbProcedure="false">Interface!$D$349</definedName>
    <definedName function="false" hidden="false" name="WIF_Funding_meta_2026_gross_debt_pct" vbProcedure="false">Interface!$D$345</definedName>
    <definedName function="false" hidden="false" name="WIF_Funding_meta_2026_gross_equity_pct" vbProcedure="false">Interface!$D$346</definedName>
    <definedName function="false" hidden="false" name="WIF_Funding_meta_2026_gross_ext" vbProcedure="false">Interface!$D$342</definedName>
    <definedName function="false" hidden="false" name="WIF_Funding_meta_2026_gross_ext_pct" vbProcedure="false">Interface!$D$343</definedName>
    <definedName function="false" hidden="false" name="WIF_Funding_meta_2026_gross_lease_jv_pct" vbProcedure="false">Interface!$D$347</definedName>
    <definedName function="false" hidden="false" name="WIF_Funding_meta_2026_gross_ocf_pct" vbProcedure="false">Interface!$D$344</definedName>
    <definedName function="false" hidden="false" name="WIF_Funding_meta_2026_int_pct" vbProcedure="false">Interface!$D$337</definedName>
    <definedName function="false" hidden="false" name="WIF_Funding_meta_2026_lease_pct" vbProcedure="false">Interface!$D$338</definedName>
    <definedName function="false" hidden="false" name="WIF_Funding_meta_2026_lnc" vbProcedure="false">Interface!$D$350</definedName>
    <definedName function="false" hidden="false" name="WIF_Funding_meta_2026_ocf" vbProcedure="false">Interface!$D$348</definedName>
    <definedName function="false" hidden="false" name="WIF_Funding_meta_2026_other_pct" vbProcedure="false">Interface!$D$341</definedName>
    <definedName function="false" hidden="false" name="WIF_Funding_msft_2024_capex" vbProcedure="false">Interface!$D$149</definedName>
    <definedName function="false" hidden="false" name="WIF_Funding_msft_2024_debt_pct" vbProcedure="false">Interface!$D$153</definedName>
    <definedName function="false" hidden="false" name="WIF_Funding_msft_2024_debt_raised" vbProcedure="false">Interface!$D$164</definedName>
    <definedName function="false" hidden="false" name="WIF_Funding_msft_2024_equity_pct" vbProcedure="false">Interface!$D$152</definedName>
    <definedName function="false" hidden="false" name="WIF_Funding_msft_2024_equity_raised" vbProcedure="false">Interface!$D$165</definedName>
    <definedName function="false" hidden="false" name="WIF_Funding_msft_2024_fcf" vbProcedure="false">Interface!$D$162</definedName>
    <definedName function="false" hidden="false" name="WIF_Funding_msft_2024_gross_debt_pct" vbProcedure="false">Interface!$D$158</definedName>
    <definedName function="false" hidden="false" name="WIF_Funding_msft_2024_gross_equity_pct" vbProcedure="false">Interface!$D$159</definedName>
    <definedName function="false" hidden="false" name="WIF_Funding_msft_2024_gross_ext" vbProcedure="false">Interface!$D$155</definedName>
    <definedName function="false" hidden="false" name="WIF_Funding_msft_2024_gross_ext_pct" vbProcedure="false">Interface!$D$156</definedName>
    <definedName function="false" hidden="false" name="WIF_Funding_msft_2024_gross_lease_jv_pct" vbProcedure="false">Interface!$D$160</definedName>
    <definedName function="false" hidden="false" name="WIF_Funding_msft_2024_gross_ocf_pct" vbProcedure="false">Interface!$D$157</definedName>
    <definedName function="false" hidden="false" name="WIF_Funding_msft_2024_int_pct" vbProcedure="false">Interface!$D$150</definedName>
    <definedName function="false" hidden="false" name="WIF_Funding_msft_2024_lease_pct" vbProcedure="false">Interface!$D$151</definedName>
    <definedName function="false" hidden="false" name="WIF_Funding_msft_2024_lnc" vbProcedure="false">Interface!$D$163</definedName>
    <definedName function="false" hidden="false" name="WIF_Funding_msft_2024_ocf" vbProcedure="false">Interface!$D$161</definedName>
    <definedName function="false" hidden="false" name="WIF_Funding_msft_2024_other_pct" vbProcedure="false">Interface!$D$154</definedName>
    <definedName function="false" hidden="false" name="WIF_Funding_msft_2025_capex" vbProcedure="false">Interface!$D$166</definedName>
    <definedName function="false" hidden="false" name="WIF_Funding_msft_2025_debt_pct" vbProcedure="false">Interface!$D$170</definedName>
    <definedName function="false" hidden="false" name="WIF_Funding_msft_2025_debt_raised" vbProcedure="false">Interface!$D$181</definedName>
    <definedName function="false" hidden="false" name="WIF_Funding_msft_2025_equity_pct" vbProcedure="false">Interface!$D$169</definedName>
    <definedName function="false" hidden="false" name="WIF_Funding_msft_2025_equity_raised" vbProcedure="false">Interface!$D$182</definedName>
    <definedName function="false" hidden="false" name="WIF_Funding_msft_2025_fcf" vbProcedure="false">Interface!$D$179</definedName>
    <definedName function="false" hidden="false" name="WIF_Funding_msft_2025_gross_debt_pct" vbProcedure="false">Interface!$D$175</definedName>
    <definedName function="false" hidden="false" name="WIF_Funding_msft_2025_gross_equity_pct" vbProcedure="false">Interface!$D$176</definedName>
    <definedName function="false" hidden="false" name="WIF_Funding_msft_2025_gross_ext" vbProcedure="false">Interface!$D$172</definedName>
    <definedName function="false" hidden="false" name="WIF_Funding_msft_2025_gross_ext_pct" vbProcedure="false">Interface!$D$173</definedName>
    <definedName function="false" hidden="false" name="WIF_Funding_msft_2025_gross_lease_jv_pct" vbProcedure="false">Interface!$D$177</definedName>
    <definedName function="false" hidden="false" name="WIF_Funding_msft_2025_gross_ocf_pct" vbProcedure="false">Interface!$D$174</definedName>
    <definedName function="false" hidden="false" name="WIF_Funding_msft_2025_int_pct" vbProcedure="false">Interface!$D$167</definedName>
    <definedName function="false" hidden="false" name="WIF_Funding_msft_2025_lease_pct" vbProcedure="false">Interface!$D$168</definedName>
    <definedName function="false" hidden="false" name="WIF_Funding_msft_2025_lnc" vbProcedure="false">Interface!$D$180</definedName>
    <definedName function="false" hidden="false" name="WIF_Funding_msft_2025_ocf" vbProcedure="false">Interface!$D$178</definedName>
    <definedName function="false" hidden="false" name="WIF_Funding_msft_2025_other_pct" vbProcedure="false">Interface!$D$171</definedName>
    <definedName function="false" hidden="false" name="WIF_Funding_msft_2026_capex" vbProcedure="false">Interface!$D$183</definedName>
    <definedName function="false" hidden="false" name="WIF_Funding_msft_2026_debt_pct" vbProcedure="false">Interface!$D$187</definedName>
    <definedName function="false" hidden="false" name="WIF_Funding_msft_2026_debt_raised" vbProcedure="false">Interface!$D$198</definedName>
    <definedName function="false" hidden="false" name="WIF_Funding_msft_2026_equity_pct" vbProcedure="false">Interface!$D$186</definedName>
    <definedName function="false" hidden="false" name="WIF_Funding_msft_2026_equity_raised" vbProcedure="false">Interface!$D$199</definedName>
    <definedName function="false" hidden="false" name="WIF_Funding_msft_2026_fcf" vbProcedure="false">Interface!$D$196</definedName>
    <definedName function="false" hidden="false" name="WIF_Funding_msft_2026_gross_debt_pct" vbProcedure="false">Interface!$D$192</definedName>
    <definedName function="false" hidden="false" name="WIF_Funding_msft_2026_gross_equity_pct" vbProcedure="false">Interface!$D$193</definedName>
    <definedName function="false" hidden="false" name="WIF_Funding_msft_2026_gross_ext" vbProcedure="false">Interface!$D$189</definedName>
    <definedName function="false" hidden="false" name="WIF_Funding_msft_2026_gross_ext_pct" vbProcedure="false">Interface!$D$190</definedName>
    <definedName function="false" hidden="false" name="WIF_Funding_msft_2026_gross_lease_jv_pct" vbProcedure="false">Interface!$D$194</definedName>
    <definedName function="false" hidden="false" name="WIF_Funding_msft_2026_gross_ocf_pct" vbProcedure="false">Interface!$D$191</definedName>
    <definedName function="false" hidden="false" name="WIF_Funding_msft_2026_int_pct" vbProcedure="false">Interface!$D$184</definedName>
    <definedName function="false" hidden="false" name="WIF_Funding_msft_2026_lease_pct" vbProcedure="false">Interface!$D$185</definedName>
    <definedName function="false" hidden="false" name="WIF_Funding_msft_2026_lnc" vbProcedure="false">Interface!$D$197</definedName>
    <definedName function="false" hidden="false" name="WIF_Funding_msft_2026_ocf" vbProcedure="false">Interface!$D$195</definedName>
    <definedName function="false" hidden="false" name="WIF_Funding_msft_2026_other_pct" vbProcedure="false">Interface!$D$188</definedName>
    <definedName function="false" hidden="false" name="WIF_Funding_nbis_2025_capex" vbProcedure="false">Interface!$D$455</definedName>
    <definedName function="false" hidden="false" name="WIF_Funding_nbis_2025_debt_pct" vbProcedure="false">Interface!$D$459</definedName>
    <definedName function="false" hidden="false" name="WIF_Funding_nbis_2025_debt_raised" vbProcedure="false">Interface!$D$470</definedName>
    <definedName function="false" hidden="false" name="WIF_Funding_nbis_2025_equity_pct" vbProcedure="false">Interface!$D$458</definedName>
    <definedName function="false" hidden="false" name="WIF_Funding_nbis_2025_equity_raised" vbProcedure="false">Interface!$D$471</definedName>
    <definedName function="false" hidden="false" name="WIF_Funding_nbis_2025_fcf" vbProcedure="false">Interface!$D$468</definedName>
    <definedName function="false" hidden="false" name="WIF_Funding_nbis_2025_gross_debt_pct" vbProcedure="false">Interface!$D$464</definedName>
    <definedName function="false" hidden="false" name="WIF_Funding_nbis_2025_gross_equity_pct" vbProcedure="false">Interface!$D$465</definedName>
    <definedName function="false" hidden="false" name="WIF_Funding_nbis_2025_gross_ext" vbProcedure="false">Interface!$D$461</definedName>
    <definedName function="false" hidden="false" name="WIF_Funding_nbis_2025_gross_ext_pct" vbProcedure="false">Interface!$D$462</definedName>
    <definedName function="false" hidden="false" name="WIF_Funding_nbis_2025_gross_lease_jv_pct" vbProcedure="false">Interface!$D$466</definedName>
    <definedName function="false" hidden="false" name="WIF_Funding_nbis_2025_gross_ocf_pct" vbProcedure="false">Interface!$D$463</definedName>
    <definedName function="false" hidden="false" name="WIF_Funding_nbis_2025_int_pct" vbProcedure="false">Interface!$D$456</definedName>
    <definedName function="false" hidden="false" name="WIF_Funding_nbis_2025_lease_pct" vbProcedure="false">Interface!$D$457</definedName>
    <definedName function="false" hidden="false" name="WIF_Funding_nbis_2025_lnc" vbProcedure="false">Interface!$D$469</definedName>
    <definedName function="false" hidden="false" name="WIF_Funding_nbis_2025_ocf" vbProcedure="false">Interface!$D$467</definedName>
    <definedName function="false" hidden="false" name="WIF_Funding_nbis_2025_other_pct" vbProcedure="false">Interface!$D$460</definedName>
    <definedName function="false" hidden="false" name="WIF_Funding_nbis_2026_capex" vbProcedure="false">Interface!$D$472</definedName>
    <definedName function="false" hidden="false" name="WIF_Funding_nbis_2026_debt_pct" vbProcedure="false">Interface!$D$476</definedName>
    <definedName function="false" hidden="false" name="WIF_Funding_nbis_2026_debt_raised" vbProcedure="false">Interface!$D$487</definedName>
    <definedName function="false" hidden="false" name="WIF_Funding_nbis_2026_equity_pct" vbProcedure="false">Interface!$D$475</definedName>
    <definedName function="false" hidden="false" name="WIF_Funding_nbis_2026_equity_raised" vbProcedure="false">Interface!$D$488</definedName>
    <definedName function="false" hidden="false" name="WIF_Funding_nbis_2026_fcf" vbProcedure="false">Interface!$D$485</definedName>
    <definedName function="false" hidden="false" name="WIF_Funding_nbis_2026_gross_debt_pct" vbProcedure="false">Interface!$D$481</definedName>
    <definedName function="false" hidden="false" name="WIF_Funding_nbis_2026_gross_equity_pct" vbProcedure="false">Interface!$D$482</definedName>
    <definedName function="false" hidden="false" name="WIF_Funding_nbis_2026_gross_ext" vbProcedure="false">Interface!$D$478</definedName>
    <definedName function="false" hidden="false" name="WIF_Funding_nbis_2026_gross_ext_pct" vbProcedure="false">Interface!$D$479</definedName>
    <definedName function="false" hidden="false" name="WIF_Funding_nbis_2026_gross_lease_jv_pct" vbProcedure="false">Interface!$D$483</definedName>
    <definedName function="false" hidden="false" name="WIF_Funding_nbis_2026_gross_ocf_pct" vbProcedure="false">Interface!$D$480</definedName>
    <definedName function="false" hidden="false" name="WIF_Funding_nbis_2026_int_pct" vbProcedure="false">Interface!$D$473</definedName>
    <definedName function="false" hidden="false" name="WIF_Funding_nbis_2026_lease_pct" vbProcedure="false">Interface!$D$474</definedName>
    <definedName function="false" hidden="false" name="WIF_Funding_nbis_2026_lnc" vbProcedure="false">Interface!$D$486</definedName>
    <definedName function="false" hidden="false" name="WIF_Funding_nbis_2026_ocf" vbProcedure="false">Interface!$D$484</definedName>
    <definedName function="false" hidden="false" name="WIF_Funding_nbis_2026_other_pct" vbProcedure="false">Interface!$D$477</definedName>
    <definedName function="false" hidden="false" name="WIF_Funding_oai_2025_capex" vbProcedure="false">Interface!$D$523</definedName>
    <definedName function="false" hidden="false" name="WIF_Funding_oai_2025_debt_pct" vbProcedure="false">Interface!$D$527</definedName>
    <definedName function="false" hidden="false" name="WIF_Funding_oai_2025_debt_raised" vbProcedure="false">Interface!$D$538</definedName>
    <definedName function="false" hidden="false" name="WIF_Funding_oai_2025_equity_pct" vbProcedure="false">Interface!$D$526</definedName>
    <definedName function="false" hidden="false" name="WIF_Funding_oai_2025_equity_raised" vbProcedure="false">Interface!$D$539</definedName>
    <definedName function="false" hidden="false" name="WIF_Funding_oai_2025_fcf" vbProcedure="false">Interface!$D$536</definedName>
    <definedName function="false" hidden="false" name="WIF_Funding_oai_2025_gross_debt_pct" vbProcedure="false">Interface!$D$532</definedName>
    <definedName function="false" hidden="false" name="WIF_Funding_oai_2025_gross_equity_pct" vbProcedure="false">Interface!$D$533</definedName>
    <definedName function="false" hidden="false" name="WIF_Funding_oai_2025_gross_ext" vbProcedure="false">Interface!$D$529</definedName>
    <definedName function="false" hidden="false" name="WIF_Funding_oai_2025_gross_ext_pct" vbProcedure="false">Interface!$D$530</definedName>
    <definedName function="false" hidden="false" name="WIF_Funding_oai_2025_gross_lease_jv_pct" vbProcedure="false">Interface!$D$534</definedName>
    <definedName function="false" hidden="false" name="WIF_Funding_oai_2025_gross_ocf_pct" vbProcedure="false">Interface!$D$531</definedName>
    <definedName function="false" hidden="false" name="WIF_Funding_oai_2025_int_pct" vbProcedure="false">Interface!$D$524</definedName>
    <definedName function="false" hidden="false" name="WIF_Funding_oai_2025_lease_pct" vbProcedure="false">Interface!$D$525</definedName>
    <definedName function="false" hidden="false" name="WIF_Funding_oai_2025_lnc" vbProcedure="false">Interface!$D$537</definedName>
    <definedName function="false" hidden="false" name="WIF_Funding_oai_2025_ocf" vbProcedure="false">Interface!$D$535</definedName>
    <definedName function="false" hidden="false" name="WIF_Funding_oai_2025_other_pct" vbProcedure="false">Interface!$D$528</definedName>
    <definedName function="false" hidden="false" name="WIF_Funding_oai_2026_capex" vbProcedure="false">Interface!$D$540</definedName>
    <definedName function="false" hidden="false" name="WIF_Funding_oai_2026_debt_pct" vbProcedure="false">Interface!$D$544</definedName>
    <definedName function="false" hidden="false" name="WIF_Funding_oai_2026_debt_raised" vbProcedure="false">Interface!$D$555</definedName>
    <definedName function="false" hidden="false" name="WIF_Funding_oai_2026_equity_pct" vbProcedure="false">Interface!$D$543</definedName>
    <definedName function="false" hidden="false" name="WIF_Funding_oai_2026_equity_raised" vbProcedure="false">Interface!$D$556</definedName>
    <definedName function="false" hidden="false" name="WIF_Funding_oai_2026_fcf" vbProcedure="false">Interface!$D$553</definedName>
    <definedName function="false" hidden="false" name="WIF_Funding_oai_2026_gross_debt_pct" vbProcedure="false">Interface!$D$549</definedName>
    <definedName function="false" hidden="false" name="WIF_Funding_oai_2026_gross_equity_pct" vbProcedure="false">Interface!$D$550</definedName>
    <definedName function="false" hidden="false" name="WIF_Funding_oai_2026_gross_ext" vbProcedure="false">Interface!$D$546</definedName>
    <definedName function="false" hidden="false" name="WIF_Funding_oai_2026_gross_ext_pct" vbProcedure="false">Interface!$D$547</definedName>
    <definedName function="false" hidden="false" name="WIF_Funding_oai_2026_gross_lease_jv_pct" vbProcedure="false">Interface!$D$551</definedName>
    <definedName function="false" hidden="false" name="WIF_Funding_oai_2026_gross_ocf_pct" vbProcedure="false">Interface!$D$548</definedName>
    <definedName function="false" hidden="false" name="WIF_Funding_oai_2026_int_pct" vbProcedure="false">Interface!$D$541</definedName>
    <definedName function="false" hidden="false" name="WIF_Funding_oai_2026_lease_pct" vbProcedure="false">Interface!$D$542</definedName>
    <definedName function="false" hidden="false" name="WIF_Funding_oai_2026_lnc" vbProcedure="false">Interface!$D$554</definedName>
    <definedName function="false" hidden="false" name="WIF_Funding_oai_2026_ocf" vbProcedure="false">Interface!$D$552</definedName>
    <definedName function="false" hidden="false" name="WIF_Funding_oai_2026_other_pct" vbProcedure="false">Interface!$D$545</definedName>
    <definedName function="false" hidden="false" name="WIF_Funding_orcl_2024_capex" vbProcedure="false">Interface!$D$353</definedName>
    <definedName function="false" hidden="false" name="WIF_Funding_orcl_2024_debt_pct" vbProcedure="false">Interface!$D$357</definedName>
    <definedName function="false" hidden="false" name="WIF_Funding_orcl_2024_debt_raised" vbProcedure="false">Interface!$D$368</definedName>
    <definedName function="false" hidden="false" name="WIF_Funding_orcl_2024_equity_pct" vbProcedure="false">Interface!$D$356</definedName>
    <definedName function="false" hidden="false" name="WIF_Funding_orcl_2024_equity_raised" vbProcedure="false">Interface!$D$369</definedName>
    <definedName function="false" hidden="false" name="WIF_Funding_orcl_2024_fcf" vbProcedure="false">Interface!$D$366</definedName>
    <definedName function="false" hidden="false" name="WIF_Funding_orcl_2024_gross_debt_pct" vbProcedure="false">Interface!$D$362</definedName>
    <definedName function="false" hidden="false" name="WIF_Funding_orcl_2024_gross_equity_pct" vbProcedure="false">Interface!$D$363</definedName>
    <definedName function="false" hidden="false" name="WIF_Funding_orcl_2024_gross_ext" vbProcedure="false">Interface!$D$359</definedName>
    <definedName function="false" hidden="false" name="WIF_Funding_orcl_2024_gross_ext_pct" vbProcedure="false">Interface!$D$360</definedName>
    <definedName function="false" hidden="false" name="WIF_Funding_orcl_2024_gross_lease_jv_pct" vbProcedure="false">Interface!$D$364</definedName>
    <definedName function="false" hidden="false" name="WIF_Funding_orcl_2024_gross_ocf_pct" vbProcedure="false">Interface!$D$361</definedName>
    <definedName function="false" hidden="false" name="WIF_Funding_orcl_2024_int_pct" vbProcedure="false">Interface!$D$354</definedName>
    <definedName function="false" hidden="false" name="WIF_Funding_orcl_2024_lease_pct" vbProcedure="false">Interface!$D$355</definedName>
    <definedName function="false" hidden="false" name="WIF_Funding_orcl_2024_lnc" vbProcedure="false">Interface!$D$367</definedName>
    <definedName function="false" hidden="false" name="WIF_Funding_orcl_2024_ocf" vbProcedure="false">Interface!$D$365</definedName>
    <definedName function="false" hidden="false" name="WIF_Funding_orcl_2024_other_pct" vbProcedure="false">Interface!$D$358</definedName>
    <definedName function="false" hidden="false" name="WIF_Funding_orcl_2025_capex" vbProcedure="false">Interface!$D$370</definedName>
    <definedName function="false" hidden="false" name="WIF_Funding_orcl_2025_debt_pct" vbProcedure="false">Interface!$D$374</definedName>
    <definedName function="false" hidden="false" name="WIF_Funding_orcl_2025_debt_raised" vbProcedure="false">Interface!$D$385</definedName>
    <definedName function="false" hidden="false" name="WIF_Funding_orcl_2025_equity_pct" vbProcedure="false">Interface!$D$373</definedName>
    <definedName function="false" hidden="false" name="WIF_Funding_orcl_2025_equity_raised" vbProcedure="false">Interface!$D$386</definedName>
    <definedName function="false" hidden="false" name="WIF_Funding_orcl_2025_fcf" vbProcedure="false">Interface!$D$383</definedName>
    <definedName function="false" hidden="false" name="WIF_Funding_orcl_2025_gross_debt_pct" vbProcedure="false">Interface!$D$379</definedName>
    <definedName function="false" hidden="false" name="WIF_Funding_orcl_2025_gross_equity_pct" vbProcedure="false">Interface!$D$380</definedName>
    <definedName function="false" hidden="false" name="WIF_Funding_orcl_2025_gross_ext" vbProcedure="false">Interface!$D$376</definedName>
    <definedName function="false" hidden="false" name="WIF_Funding_orcl_2025_gross_ext_pct" vbProcedure="false">Interface!$D$377</definedName>
    <definedName function="false" hidden="false" name="WIF_Funding_orcl_2025_gross_lease_jv_pct" vbProcedure="false">Interface!$D$381</definedName>
    <definedName function="false" hidden="false" name="WIF_Funding_orcl_2025_gross_ocf_pct" vbProcedure="false">Interface!$D$378</definedName>
    <definedName function="false" hidden="false" name="WIF_Funding_orcl_2025_int_pct" vbProcedure="false">Interface!$D$371</definedName>
    <definedName function="false" hidden="false" name="WIF_Funding_orcl_2025_lease_pct" vbProcedure="false">Interface!$D$372</definedName>
    <definedName function="false" hidden="false" name="WIF_Funding_orcl_2025_lnc" vbProcedure="false">Interface!$D$384</definedName>
    <definedName function="false" hidden="false" name="WIF_Funding_orcl_2025_ocf" vbProcedure="false">Interface!$D$382</definedName>
    <definedName function="false" hidden="false" name="WIF_Funding_orcl_2025_other_pct" vbProcedure="false">Interface!$D$375</definedName>
    <definedName function="false" hidden="false" name="WIF_Funding_orcl_2026_capex" vbProcedure="false">Interface!$D$387</definedName>
    <definedName function="false" hidden="false" name="WIF_Funding_orcl_2026_debt_pct" vbProcedure="false">Interface!$D$391</definedName>
    <definedName function="false" hidden="false" name="WIF_Funding_orcl_2026_debt_raised" vbProcedure="false">Interface!$D$402</definedName>
    <definedName function="false" hidden="false" name="WIF_Funding_orcl_2026_equity_pct" vbProcedure="false">Interface!$D$390</definedName>
    <definedName function="false" hidden="false" name="WIF_Funding_orcl_2026_equity_raised" vbProcedure="false">Interface!$D$403</definedName>
    <definedName function="false" hidden="false" name="WIF_Funding_orcl_2026_fcf" vbProcedure="false">Interface!$D$400</definedName>
    <definedName function="false" hidden="false" name="WIF_Funding_orcl_2026_gross_debt_pct" vbProcedure="false">Interface!$D$396</definedName>
    <definedName function="false" hidden="false" name="WIF_Funding_orcl_2026_gross_equity_pct" vbProcedure="false">Interface!$D$397</definedName>
    <definedName function="false" hidden="false" name="WIF_Funding_orcl_2026_gross_ext" vbProcedure="false">Interface!$D$393</definedName>
    <definedName function="false" hidden="false" name="WIF_Funding_orcl_2026_gross_ext_pct" vbProcedure="false">Interface!$D$394</definedName>
    <definedName function="false" hidden="false" name="WIF_Funding_orcl_2026_gross_lease_jv_pct" vbProcedure="false">Interface!$D$398</definedName>
    <definedName function="false" hidden="false" name="WIF_Funding_orcl_2026_gross_ocf_pct" vbProcedure="false">Interface!$D$395</definedName>
    <definedName function="false" hidden="false" name="WIF_Funding_orcl_2026_int_pct" vbProcedure="false">Interface!$D$388</definedName>
    <definedName function="false" hidden="false" name="WIF_Funding_orcl_2026_lease_pct" vbProcedure="false">Interface!$D$389</definedName>
    <definedName function="false" hidden="false" name="WIF_Funding_orcl_2026_lnc" vbProcedure="false">Interface!$D$401</definedName>
    <definedName function="false" hidden="false" name="WIF_Funding_orcl_2026_ocf" vbProcedure="false">Interface!$D$399</definedName>
    <definedName function="false" hidden="false" name="WIF_Funding_orcl_2026_other_pct" vbProcedure="false">Interface!$D$392</definedName>
    <definedName function="false" hidden="false" name="WIF_Funding_xai_2025_capex" vbProcedure="false">Interface!$D$489</definedName>
    <definedName function="false" hidden="false" name="WIF_Funding_xai_2025_debt_pct" vbProcedure="false">Interface!$D$493</definedName>
    <definedName function="false" hidden="false" name="WIF_Funding_xai_2025_debt_raised" vbProcedure="false">Interface!$D$504</definedName>
    <definedName function="false" hidden="false" name="WIF_Funding_xai_2025_equity_pct" vbProcedure="false">Interface!$D$492</definedName>
    <definedName function="false" hidden="false" name="WIF_Funding_xai_2025_equity_raised" vbProcedure="false">Interface!$D$505</definedName>
    <definedName function="false" hidden="false" name="WIF_Funding_xai_2025_fcf" vbProcedure="false">Interface!$D$502</definedName>
    <definedName function="false" hidden="false" name="WIF_Funding_xai_2025_gross_debt_pct" vbProcedure="false">Interface!$D$498</definedName>
    <definedName function="false" hidden="false" name="WIF_Funding_xai_2025_gross_equity_pct" vbProcedure="false">Interface!$D$499</definedName>
    <definedName function="false" hidden="false" name="WIF_Funding_xai_2025_gross_ext" vbProcedure="false">Interface!$D$495</definedName>
    <definedName function="false" hidden="false" name="WIF_Funding_xai_2025_gross_ext_pct" vbProcedure="false">Interface!$D$496</definedName>
    <definedName function="false" hidden="false" name="WIF_Funding_xai_2025_gross_lease_jv_pct" vbProcedure="false">Interface!$D$500</definedName>
    <definedName function="false" hidden="false" name="WIF_Funding_xai_2025_gross_ocf_pct" vbProcedure="false">Interface!$D$497</definedName>
    <definedName function="false" hidden="false" name="WIF_Funding_xai_2025_int_pct" vbProcedure="false">Interface!$D$490</definedName>
    <definedName function="false" hidden="false" name="WIF_Funding_xai_2025_lease_pct" vbProcedure="false">Interface!$D$491</definedName>
    <definedName function="false" hidden="false" name="WIF_Funding_xai_2025_lnc" vbProcedure="false">Interface!$D$503</definedName>
    <definedName function="false" hidden="false" name="WIF_Funding_xai_2025_ocf" vbProcedure="false">Interface!$D$501</definedName>
    <definedName function="false" hidden="false" name="WIF_Funding_xai_2025_other_pct" vbProcedure="false">Interface!$D$494</definedName>
    <definedName function="false" hidden="false" name="WIF_Funding_xai_2026_capex" vbProcedure="false">Interface!$D$506</definedName>
    <definedName function="false" hidden="false" name="WIF_Funding_xai_2026_debt_pct" vbProcedure="false">Interface!$D$510</definedName>
    <definedName function="false" hidden="false" name="WIF_Funding_xai_2026_debt_raised" vbProcedure="false">Interface!$D$521</definedName>
    <definedName function="false" hidden="false" name="WIF_Funding_xai_2026_equity_pct" vbProcedure="false">Interface!$D$509</definedName>
    <definedName function="false" hidden="false" name="WIF_Funding_xai_2026_equity_raised" vbProcedure="false">Interface!$D$522</definedName>
    <definedName function="false" hidden="false" name="WIF_Funding_xai_2026_fcf" vbProcedure="false">Interface!$D$519</definedName>
    <definedName function="false" hidden="false" name="WIF_Funding_xai_2026_gross_debt_pct" vbProcedure="false">Interface!$D$515</definedName>
    <definedName function="false" hidden="false" name="WIF_Funding_xai_2026_gross_equity_pct" vbProcedure="false">Interface!$D$516</definedName>
    <definedName function="false" hidden="false" name="WIF_Funding_xai_2026_gross_ext" vbProcedure="false">Interface!$D$512</definedName>
    <definedName function="false" hidden="false" name="WIF_Funding_xai_2026_gross_ext_pct" vbProcedure="false">Interface!$D$513</definedName>
    <definedName function="false" hidden="false" name="WIF_Funding_xai_2026_gross_lease_jv_pct" vbProcedure="false">Interface!$D$517</definedName>
    <definedName function="false" hidden="false" name="WIF_Funding_xai_2026_gross_ocf_pct" vbProcedure="false">Interface!$D$514</definedName>
    <definedName function="false" hidden="false" name="WIF_Funding_xai_2026_int_pct" vbProcedure="false">Interface!$D$507</definedName>
    <definedName function="false" hidden="false" name="WIF_Funding_xai_2026_lease_pct" vbProcedure="false">Interface!$D$508</definedName>
    <definedName function="false" hidden="false" name="WIF_Funding_xai_2026_lnc" vbProcedure="false">Interface!$D$520</definedName>
    <definedName function="false" hidden="false" name="WIF_Funding_xai_2026_ocf" vbProcedure="false">Interface!$D$518</definedName>
    <definedName function="false" hidden="false" name="WIF_Funding_xai_2026_other_pct" vbProcedure="false">Interface!$D$511</definedName>
    <definedName function="false" hidden="false" name="WIF_MktGW_Add_A_D0_2024" vbProcedure="false">Interface!$D$27</definedName>
    <definedName function="false" hidden="false" name="WIF_MktGW_Add_A_D0_2025" vbProcedure="false">Interface!$E$27</definedName>
    <definedName function="false" hidden="false" name="WIF_MktGW_Add_A_D0_2026" vbProcedure="false">Interface!$F$27</definedName>
    <definedName function="false" hidden="false" name="WIF_MktGW_Add_A_D0_2027" vbProcedure="false">Interface!$G$27</definedName>
    <definedName function="false" hidden="false" name="WIF_MktGW_Add_A_D0_2028" vbProcedure="false">Interface!$H$27</definedName>
    <definedName function="false" hidden="false" name="WIF_MktGW_Add_A_D0_2029" vbProcedure="false">Interface!$I$27</definedName>
    <definedName function="false" hidden="false" name="WIF_MktGW_Add_A_D0_2030" vbProcedure="false">Interface!$J$27</definedName>
    <definedName function="false" hidden="false" name="WIF_MktGW_Add_A_D0_2031" vbProcedure="false">Interface!$K$27</definedName>
    <definedName function="false" hidden="false" name="WIF_MktGW_Add_A_D0_2032" vbProcedure="false">Interface!$L$27</definedName>
    <definedName function="false" hidden="false" name="WIF_MktGW_Add_A_D0_SiteOnly_2024" vbProcedure="false">Interface!$D$62</definedName>
    <definedName function="false" hidden="false" name="WIF_MktGW_Add_A_D0_SiteOnly_2025" vbProcedure="false">Interface!$E$62</definedName>
    <definedName function="false" hidden="false" name="WIF_MktGW_Add_A_D0_SiteOnly_2026" vbProcedure="false">Interface!$F$62</definedName>
    <definedName function="false" hidden="false" name="WIF_MktGW_Add_A_D0_SiteOnly_2027" vbProcedure="false">Interface!$G$62</definedName>
    <definedName function="false" hidden="false" name="WIF_MktGW_Add_A_D0_SiteOnly_2028" vbProcedure="false">Interface!$H$62</definedName>
    <definedName function="false" hidden="false" name="WIF_MktGW_Add_A_D0_SiteOnly_2029" vbProcedure="false">Interface!$I$62</definedName>
    <definedName function="false" hidden="false" name="WIF_MktGW_Add_A_D0_SiteOnly_2030" vbProcedure="false">Interface!$J$62</definedName>
    <definedName function="false" hidden="false" name="WIF_MktGW_Add_A_D0_SiteOnly_2031" vbProcedure="false">Interface!$K$62</definedName>
    <definedName function="false" hidden="false" name="WIF_MktGW_Add_A_D0_SiteOnly_2032" vbProcedure="false">Interface!$L$62</definedName>
    <definedName function="false" hidden="false" name="WIF_MktGW_Add_A_D1_2024" vbProcedure="false">Interface!$D$28</definedName>
    <definedName function="false" hidden="false" name="WIF_MktGW_Add_A_D1_2025" vbProcedure="false">Interface!$E$28</definedName>
    <definedName function="false" hidden="false" name="WIF_MktGW_Add_A_D1_2026" vbProcedure="false">Interface!$F$28</definedName>
    <definedName function="false" hidden="false" name="WIF_MktGW_Add_A_D1_2027" vbProcedure="false">Interface!$G$28</definedName>
    <definedName function="false" hidden="false" name="WIF_MktGW_Add_A_D1_2028" vbProcedure="false">Interface!$H$28</definedName>
    <definedName function="false" hidden="false" name="WIF_MktGW_Add_A_D1_2029" vbProcedure="false">Interface!$I$28</definedName>
    <definedName function="false" hidden="false" name="WIF_MktGW_Add_A_D1_2030" vbProcedure="false">Interface!$J$28</definedName>
    <definedName function="false" hidden="false" name="WIF_MktGW_Add_A_D1_2031" vbProcedure="false">Interface!$K$28</definedName>
    <definedName function="false" hidden="false" name="WIF_MktGW_Add_A_D1_2032" vbProcedure="false">Interface!$L$28</definedName>
    <definedName function="false" hidden="false" name="WIF_MktGW_Add_A_D1_SiteOnly_2024" vbProcedure="false">Interface!$D$63</definedName>
    <definedName function="false" hidden="false" name="WIF_MktGW_Add_A_D1_SiteOnly_2025" vbProcedure="false">Interface!$E$63</definedName>
    <definedName function="false" hidden="false" name="WIF_MktGW_Add_A_D1_SiteOnly_2026" vbProcedure="false">Interface!$F$63</definedName>
    <definedName function="false" hidden="false" name="WIF_MktGW_Add_A_D1_SiteOnly_2027" vbProcedure="false">Interface!$G$63</definedName>
    <definedName function="false" hidden="false" name="WIF_MktGW_Add_A_D1_SiteOnly_2028" vbProcedure="false">Interface!$H$63</definedName>
    <definedName function="false" hidden="false" name="WIF_MktGW_Add_A_D1_SiteOnly_2029" vbProcedure="false">Interface!$I$63</definedName>
    <definedName function="false" hidden="false" name="WIF_MktGW_Add_A_D1_SiteOnly_2030" vbProcedure="false">Interface!$J$63</definedName>
    <definedName function="false" hidden="false" name="WIF_MktGW_Add_A_D1_SiteOnly_2031" vbProcedure="false">Interface!$K$63</definedName>
    <definedName function="false" hidden="false" name="WIF_MktGW_Add_A_D1_SiteOnly_2032" vbProcedure="false">Interface!$L$63</definedName>
    <definedName function="false" hidden="false" name="WIF_MktGW_Add_A_D2_2024" vbProcedure="false">Interface!$D$29</definedName>
    <definedName function="false" hidden="false" name="WIF_MktGW_Add_A_D2_2025" vbProcedure="false">Interface!$E$29</definedName>
    <definedName function="false" hidden="false" name="WIF_MktGW_Add_A_D2_2026" vbProcedure="false">Interface!$F$29</definedName>
    <definedName function="false" hidden="false" name="WIF_MktGW_Add_A_D2_2027" vbProcedure="false">Interface!$G$29</definedName>
    <definedName function="false" hidden="false" name="WIF_MktGW_Add_A_D2_2028" vbProcedure="false">Interface!$H$29</definedName>
    <definedName function="false" hidden="false" name="WIF_MktGW_Add_A_D2_2029" vbProcedure="false">Interface!$I$29</definedName>
    <definedName function="false" hidden="false" name="WIF_MktGW_Add_A_D2_2030" vbProcedure="false">Interface!$J$29</definedName>
    <definedName function="false" hidden="false" name="WIF_MktGW_Add_A_D2_2031" vbProcedure="false">Interface!$K$29</definedName>
    <definedName function="false" hidden="false" name="WIF_MktGW_Add_A_D2_2032" vbProcedure="false">Interface!$L$29</definedName>
    <definedName function="false" hidden="false" name="WIF_MktGW_Add_A_D2_SiteOnly_2024" vbProcedure="false">Interface!$D$64</definedName>
    <definedName function="false" hidden="false" name="WIF_MktGW_Add_A_D2_SiteOnly_2025" vbProcedure="false">Interface!$E$64</definedName>
    <definedName function="false" hidden="false" name="WIF_MktGW_Add_A_D2_SiteOnly_2026" vbProcedure="false">Interface!$F$64</definedName>
    <definedName function="false" hidden="false" name="WIF_MktGW_Add_A_D2_SiteOnly_2027" vbProcedure="false">Interface!$G$64</definedName>
    <definedName function="false" hidden="false" name="WIF_MktGW_Add_A_D2_SiteOnly_2028" vbProcedure="false">Interface!$H$64</definedName>
    <definedName function="false" hidden="false" name="WIF_MktGW_Add_A_D2_SiteOnly_2029" vbProcedure="false">Interface!$I$64</definedName>
    <definedName function="false" hidden="false" name="WIF_MktGW_Add_A_D2_SiteOnly_2030" vbProcedure="false">Interface!$J$64</definedName>
    <definedName function="false" hidden="false" name="WIF_MktGW_Add_A_D2_SiteOnly_2031" vbProcedure="false">Interface!$K$64</definedName>
    <definedName function="false" hidden="false" name="WIF_MktGW_Add_A_D2_SiteOnly_2032" vbProcedure="false">Interface!$L$64</definedName>
    <definedName function="false" hidden="false" name="WIF_MktGW_Add_B_D0_2024" vbProcedure="false">Interface!$D$30</definedName>
    <definedName function="false" hidden="false" name="WIF_MktGW_Add_B_D0_2025" vbProcedure="false">Interface!$E$30</definedName>
    <definedName function="false" hidden="false" name="WIF_MktGW_Add_B_D0_2026" vbProcedure="false">Interface!$F$30</definedName>
    <definedName function="false" hidden="false" name="WIF_MktGW_Add_B_D0_2027" vbProcedure="false">Interface!$G$30</definedName>
    <definedName function="false" hidden="false" name="WIF_MktGW_Add_B_D0_2028" vbProcedure="false">Interface!$H$30</definedName>
    <definedName function="false" hidden="false" name="WIF_MktGW_Add_B_D0_2029" vbProcedure="false">Interface!$I$30</definedName>
    <definedName function="false" hidden="false" name="WIF_MktGW_Add_B_D0_2030" vbProcedure="false">Interface!$J$30</definedName>
    <definedName function="false" hidden="false" name="WIF_MktGW_Add_B_D0_2031" vbProcedure="false">Interface!$K$30</definedName>
    <definedName function="false" hidden="false" name="WIF_MktGW_Add_B_D0_2032" vbProcedure="false">Interface!$L$30</definedName>
    <definedName function="false" hidden="false" name="WIF_MktGW_Add_B_D0_SiteOnly_2024" vbProcedure="false">Interface!$D$65</definedName>
    <definedName function="false" hidden="false" name="WIF_MktGW_Add_B_D0_SiteOnly_2025" vbProcedure="false">Interface!$E$65</definedName>
    <definedName function="false" hidden="false" name="WIF_MktGW_Add_B_D0_SiteOnly_2026" vbProcedure="false">Interface!$F$65</definedName>
    <definedName function="false" hidden="false" name="WIF_MktGW_Add_B_D0_SiteOnly_2027" vbProcedure="false">Interface!$G$65</definedName>
    <definedName function="false" hidden="false" name="WIF_MktGW_Add_B_D0_SiteOnly_2028" vbProcedure="false">Interface!$H$65</definedName>
    <definedName function="false" hidden="false" name="WIF_MktGW_Add_B_D0_SiteOnly_2029" vbProcedure="false">Interface!$I$65</definedName>
    <definedName function="false" hidden="false" name="WIF_MktGW_Add_B_D0_SiteOnly_2030" vbProcedure="false">Interface!$J$65</definedName>
    <definedName function="false" hidden="false" name="WIF_MktGW_Add_B_D0_SiteOnly_2031" vbProcedure="false">Interface!$K$65</definedName>
    <definedName function="false" hidden="false" name="WIF_MktGW_Add_B_D0_SiteOnly_2032" vbProcedure="false">Interface!$L$65</definedName>
    <definedName function="false" hidden="false" name="WIF_MktGW_Add_B_D1_2024" vbProcedure="false">Interface!$D$31</definedName>
    <definedName function="false" hidden="false" name="WIF_MktGW_Add_B_D1_2025" vbProcedure="false">Interface!$E$31</definedName>
    <definedName function="false" hidden="false" name="WIF_MktGW_Add_B_D1_2026" vbProcedure="false">Interface!$F$31</definedName>
    <definedName function="false" hidden="false" name="WIF_MktGW_Add_B_D1_2027" vbProcedure="false">Interface!$G$31</definedName>
    <definedName function="false" hidden="false" name="WIF_MktGW_Add_B_D1_2028" vbProcedure="false">Interface!$H$31</definedName>
    <definedName function="false" hidden="false" name="WIF_MktGW_Add_B_D1_2029" vbProcedure="false">Interface!$I$31</definedName>
    <definedName function="false" hidden="false" name="WIF_MktGW_Add_B_D1_2030" vbProcedure="false">Interface!$J$31</definedName>
    <definedName function="false" hidden="false" name="WIF_MktGW_Add_B_D1_2031" vbProcedure="false">Interface!$K$31</definedName>
    <definedName function="false" hidden="false" name="WIF_MktGW_Add_B_D1_2032" vbProcedure="false">Interface!$L$31</definedName>
    <definedName function="false" hidden="false" name="WIF_MktGW_Add_B_D1_SiteOnly_2024" vbProcedure="false">Interface!$D$66</definedName>
    <definedName function="false" hidden="false" name="WIF_MktGW_Add_B_D1_SiteOnly_2025" vbProcedure="false">Interface!$E$66</definedName>
    <definedName function="false" hidden="false" name="WIF_MktGW_Add_B_D1_SiteOnly_2026" vbProcedure="false">Interface!$F$66</definedName>
    <definedName function="false" hidden="false" name="WIF_MktGW_Add_B_D1_SiteOnly_2027" vbProcedure="false">Interface!$G$66</definedName>
    <definedName function="false" hidden="false" name="WIF_MktGW_Add_B_D1_SiteOnly_2028" vbProcedure="false">Interface!$H$66</definedName>
    <definedName function="false" hidden="false" name="WIF_MktGW_Add_B_D1_SiteOnly_2029" vbProcedure="false">Interface!$I$66</definedName>
    <definedName function="false" hidden="false" name="WIF_MktGW_Add_B_D1_SiteOnly_2030" vbProcedure="false">Interface!$J$66</definedName>
    <definedName function="false" hidden="false" name="WIF_MktGW_Add_B_D1_SiteOnly_2031" vbProcedure="false">Interface!$K$66</definedName>
    <definedName function="false" hidden="false" name="WIF_MktGW_Add_B_D1_SiteOnly_2032" vbProcedure="false">Interface!$L$66</definedName>
    <definedName function="false" hidden="false" name="WIF_MktGW_Add_B_D2_2024" vbProcedure="false">Interface!$D$32</definedName>
    <definedName function="false" hidden="false" name="WIF_MktGW_Add_B_D2_2025" vbProcedure="false">Interface!$E$32</definedName>
    <definedName function="false" hidden="false" name="WIF_MktGW_Add_B_D2_2026" vbProcedure="false">Interface!$F$32</definedName>
    <definedName function="false" hidden="false" name="WIF_MktGW_Add_B_D2_2027" vbProcedure="false">Interface!$G$32</definedName>
    <definedName function="false" hidden="false" name="WIF_MktGW_Add_B_D2_2028" vbProcedure="false">Interface!$H$32</definedName>
    <definedName function="false" hidden="false" name="WIF_MktGW_Add_B_D2_2029" vbProcedure="false">Interface!$I$32</definedName>
    <definedName function="false" hidden="false" name="WIF_MktGW_Add_B_D2_2030" vbProcedure="false">Interface!$J$32</definedName>
    <definedName function="false" hidden="false" name="WIF_MktGW_Add_B_D2_2031" vbProcedure="false">Interface!$K$32</definedName>
    <definedName function="false" hidden="false" name="WIF_MktGW_Add_B_D2_2032" vbProcedure="false">Interface!$L$32</definedName>
    <definedName function="false" hidden="false" name="WIF_MktGW_Add_B_D2_SiteOnly_2024" vbProcedure="false">Interface!$D$67</definedName>
    <definedName function="false" hidden="false" name="WIF_MktGW_Add_B_D2_SiteOnly_2025" vbProcedure="false">Interface!$E$67</definedName>
    <definedName function="false" hidden="false" name="WIF_MktGW_Add_B_D2_SiteOnly_2026" vbProcedure="false">Interface!$F$67</definedName>
    <definedName function="false" hidden="false" name="WIF_MktGW_Add_B_D2_SiteOnly_2027" vbProcedure="false">Interface!$G$67</definedName>
    <definedName function="false" hidden="false" name="WIF_MktGW_Add_B_D2_SiteOnly_2028" vbProcedure="false">Interface!$H$67</definedName>
    <definedName function="false" hidden="false" name="WIF_MktGW_Add_B_D2_SiteOnly_2029" vbProcedure="false">Interface!$I$67</definedName>
    <definedName function="false" hidden="false" name="WIF_MktGW_Add_B_D2_SiteOnly_2030" vbProcedure="false">Interface!$J$67</definedName>
    <definedName function="false" hidden="false" name="WIF_MktGW_Add_B_D2_SiteOnly_2031" vbProcedure="false">Interface!$K$67</definedName>
    <definedName function="false" hidden="false" name="WIF_MktGW_Add_B_D2_SiteOnly_2032" vbProcedure="false">Interface!$L$67</definedName>
    <definedName function="false" hidden="false" name="WIF_MktGW_Add_C_D0_2024" vbProcedure="false">Interface!$D$33</definedName>
    <definedName function="false" hidden="false" name="WIF_MktGW_Add_C_D0_2025" vbProcedure="false">Interface!$E$33</definedName>
    <definedName function="false" hidden="false" name="WIF_MktGW_Add_C_D0_2026" vbProcedure="false">Interface!$F$33</definedName>
    <definedName function="false" hidden="false" name="WIF_MktGW_Add_C_D0_2027" vbProcedure="false">Interface!$G$33</definedName>
    <definedName function="false" hidden="false" name="WIF_MktGW_Add_C_D0_2028" vbProcedure="false">Interface!$H$33</definedName>
    <definedName function="false" hidden="false" name="WIF_MktGW_Add_C_D0_2029" vbProcedure="false">Interface!$I$33</definedName>
    <definedName function="false" hidden="false" name="WIF_MktGW_Add_C_D0_2030" vbProcedure="false">Interface!$J$33</definedName>
    <definedName function="false" hidden="false" name="WIF_MktGW_Add_C_D0_2031" vbProcedure="false">Interface!$K$33</definedName>
    <definedName function="false" hidden="false" name="WIF_MktGW_Add_C_D0_2032" vbProcedure="false">Interface!$L$33</definedName>
    <definedName function="false" hidden="false" name="WIF_MktGW_Add_C_D0_SiteOnly_2024" vbProcedure="false">Interface!$D$68</definedName>
    <definedName function="false" hidden="false" name="WIF_MktGW_Add_C_D0_SiteOnly_2025" vbProcedure="false">Interface!$E$68</definedName>
    <definedName function="false" hidden="false" name="WIF_MktGW_Add_C_D0_SiteOnly_2026" vbProcedure="false">Interface!$F$68</definedName>
    <definedName function="false" hidden="false" name="WIF_MktGW_Add_C_D0_SiteOnly_2027" vbProcedure="false">Interface!$G$68</definedName>
    <definedName function="false" hidden="false" name="WIF_MktGW_Add_C_D0_SiteOnly_2028" vbProcedure="false">Interface!$H$68</definedName>
    <definedName function="false" hidden="false" name="WIF_MktGW_Add_C_D0_SiteOnly_2029" vbProcedure="false">Interface!$I$68</definedName>
    <definedName function="false" hidden="false" name="WIF_MktGW_Add_C_D0_SiteOnly_2030" vbProcedure="false">Interface!$J$68</definedName>
    <definedName function="false" hidden="false" name="WIF_MktGW_Add_C_D0_SiteOnly_2031" vbProcedure="false">Interface!$K$68</definedName>
    <definedName function="false" hidden="false" name="WIF_MktGW_Add_C_D0_SiteOnly_2032" vbProcedure="false">Interface!$L$68</definedName>
    <definedName function="false" hidden="false" name="WIF_MktGW_Add_C_D1_2024" vbProcedure="false">Interface!$D$34</definedName>
    <definedName function="false" hidden="false" name="WIF_MktGW_Add_C_D1_2025" vbProcedure="false">Interface!$E$34</definedName>
    <definedName function="false" hidden="false" name="WIF_MktGW_Add_C_D1_2026" vbProcedure="false">Interface!$F$34</definedName>
    <definedName function="false" hidden="false" name="WIF_MktGW_Add_C_D1_2027" vbProcedure="false">Interface!$G$34</definedName>
    <definedName function="false" hidden="false" name="WIF_MktGW_Add_C_D1_2028" vbProcedure="false">Interface!$H$34</definedName>
    <definedName function="false" hidden="false" name="WIF_MktGW_Add_C_D1_2029" vbProcedure="false">Interface!$I$34</definedName>
    <definedName function="false" hidden="false" name="WIF_MktGW_Add_C_D1_2030" vbProcedure="false">Interface!$J$34</definedName>
    <definedName function="false" hidden="false" name="WIF_MktGW_Add_C_D1_2031" vbProcedure="false">Interface!$K$34</definedName>
    <definedName function="false" hidden="false" name="WIF_MktGW_Add_C_D1_2032" vbProcedure="false">Interface!$L$34</definedName>
    <definedName function="false" hidden="false" name="WIF_MktGW_Add_C_D1_SiteOnly_2024" vbProcedure="false">Interface!$D$69</definedName>
    <definedName function="false" hidden="false" name="WIF_MktGW_Add_C_D1_SiteOnly_2025" vbProcedure="false">Interface!$E$69</definedName>
    <definedName function="false" hidden="false" name="WIF_MktGW_Add_C_D1_SiteOnly_2026" vbProcedure="false">Interface!$F$69</definedName>
    <definedName function="false" hidden="false" name="WIF_MktGW_Add_C_D1_SiteOnly_2027" vbProcedure="false">Interface!$G$69</definedName>
    <definedName function="false" hidden="false" name="WIF_MktGW_Add_C_D1_SiteOnly_2028" vbProcedure="false">Interface!$H$69</definedName>
    <definedName function="false" hidden="false" name="WIF_MktGW_Add_C_D1_SiteOnly_2029" vbProcedure="false">Interface!$I$69</definedName>
    <definedName function="false" hidden="false" name="WIF_MktGW_Add_C_D1_SiteOnly_2030" vbProcedure="false">Interface!$J$69</definedName>
    <definedName function="false" hidden="false" name="WIF_MktGW_Add_C_D1_SiteOnly_2031" vbProcedure="false">Interface!$K$69</definedName>
    <definedName function="false" hidden="false" name="WIF_MktGW_Add_C_D1_SiteOnly_2032" vbProcedure="false">Interface!$L$69</definedName>
    <definedName function="false" hidden="false" name="WIF_MktGW_Add_C_D2_2024" vbProcedure="false">Interface!$D$35</definedName>
    <definedName function="false" hidden="false" name="WIF_MktGW_Add_C_D2_2025" vbProcedure="false">Interface!$E$35</definedName>
    <definedName function="false" hidden="false" name="WIF_MktGW_Add_C_D2_2026" vbProcedure="false">Interface!$F$35</definedName>
    <definedName function="false" hidden="false" name="WIF_MktGW_Add_C_D2_2027" vbProcedure="false">Interface!$G$35</definedName>
    <definedName function="false" hidden="false" name="WIF_MktGW_Add_C_D2_2028" vbProcedure="false">Interface!$H$35</definedName>
    <definedName function="false" hidden="false" name="WIF_MktGW_Add_C_D2_2029" vbProcedure="false">Interface!$I$35</definedName>
    <definedName function="false" hidden="false" name="WIF_MktGW_Add_C_D2_2030" vbProcedure="false">Interface!$J$35</definedName>
    <definedName function="false" hidden="false" name="WIF_MktGW_Add_C_D2_2031" vbProcedure="false">Interface!$K$35</definedName>
    <definedName function="false" hidden="false" name="WIF_MktGW_Add_C_D2_2032" vbProcedure="false">Interface!$L$35</definedName>
    <definedName function="false" hidden="false" name="WIF_MktGW_Add_C_D2_SiteOnly_2024" vbProcedure="false">Interface!$D$70</definedName>
    <definedName function="false" hidden="false" name="WIF_MktGW_Add_C_D2_SiteOnly_2025" vbProcedure="false">Interface!$E$70</definedName>
    <definedName function="false" hidden="false" name="WIF_MktGW_Add_C_D2_SiteOnly_2026" vbProcedure="false">Interface!$F$70</definedName>
    <definedName function="false" hidden="false" name="WIF_MktGW_Add_C_D2_SiteOnly_2027" vbProcedure="false">Interface!$G$70</definedName>
    <definedName function="false" hidden="false" name="WIF_MktGW_Add_C_D2_SiteOnly_2028" vbProcedure="false">Interface!$H$70</definedName>
    <definedName function="false" hidden="false" name="WIF_MktGW_Add_C_D2_SiteOnly_2029" vbProcedure="false">Interface!$I$70</definedName>
    <definedName function="false" hidden="false" name="WIF_MktGW_Add_C_D2_SiteOnly_2030" vbProcedure="false">Interface!$J$70</definedName>
    <definedName function="false" hidden="false" name="WIF_MktGW_Add_C_D2_SiteOnly_2031" vbProcedure="false">Interface!$K$70</definedName>
    <definedName function="false" hidden="false" name="WIF_MktGW_Add_C_D2_SiteOnly_2032" vbProcedure="false">Interface!$L$70</definedName>
    <definedName function="false" hidden="false" name="WIF_MktGW_Avg_A_D0_2024" vbProcedure="false">Interface!$D$18</definedName>
    <definedName function="false" hidden="false" name="WIF_MktGW_Avg_A_D0_2025" vbProcedure="false">Interface!$E$18</definedName>
    <definedName function="false" hidden="false" name="WIF_MktGW_Avg_A_D0_2026" vbProcedure="false">Interface!$F$18</definedName>
    <definedName function="false" hidden="false" name="WIF_MktGW_Avg_A_D0_2027" vbProcedure="false">Interface!$G$18</definedName>
    <definedName function="false" hidden="false" name="WIF_MktGW_Avg_A_D0_2028" vbProcedure="false">Interface!$H$18</definedName>
    <definedName function="false" hidden="false" name="WIF_MktGW_Avg_A_D0_2029" vbProcedure="false">Interface!$I$18</definedName>
    <definedName function="false" hidden="false" name="WIF_MktGW_Avg_A_D0_2030" vbProcedure="false">Interface!$J$18</definedName>
    <definedName function="false" hidden="false" name="WIF_MktGW_Avg_A_D0_2031" vbProcedure="false">Interface!$K$18</definedName>
    <definedName function="false" hidden="false" name="WIF_MktGW_Avg_A_D0_2032" vbProcedure="false">Interface!$L$18</definedName>
    <definedName function="false" hidden="false" name="WIF_MktGW_Avg_A_D0_SiteOnly_2024" vbProcedure="false">Interface!$D$53</definedName>
    <definedName function="false" hidden="false" name="WIF_MktGW_Avg_A_D0_SiteOnly_2025" vbProcedure="false">Interface!$E$53</definedName>
    <definedName function="false" hidden="false" name="WIF_MktGW_Avg_A_D0_SiteOnly_2026" vbProcedure="false">Interface!$F$53</definedName>
    <definedName function="false" hidden="false" name="WIF_MktGW_Avg_A_D0_SiteOnly_2027" vbProcedure="false">Interface!$G$53</definedName>
    <definedName function="false" hidden="false" name="WIF_MktGW_Avg_A_D0_SiteOnly_2028" vbProcedure="false">Interface!$H$53</definedName>
    <definedName function="false" hidden="false" name="WIF_MktGW_Avg_A_D0_SiteOnly_2029" vbProcedure="false">Interface!$I$53</definedName>
    <definedName function="false" hidden="false" name="WIF_MktGW_Avg_A_D0_SiteOnly_2030" vbProcedure="false">Interface!$J$53</definedName>
    <definedName function="false" hidden="false" name="WIF_MktGW_Avg_A_D0_SiteOnly_2031" vbProcedure="false">Interface!$K$53</definedName>
    <definedName function="false" hidden="false" name="WIF_MktGW_Avg_A_D0_SiteOnly_2032" vbProcedure="false">Interface!$L$53</definedName>
    <definedName function="false" hidden="false" name="WIF_MktGW_Avg_A_D1_2024" vbProcedure="false">Interface!$D$19</definedName>
    <definedName function="false" hidden="false" name="WIF_MktGW_Avg_A_D1_2025" vbProcedure="false">Interface!$E$19</definedName>
    <definedName function="false" hidden="false" name="WIF_MktGW_Avg_A_D1_2026" vbProcedure="false">Interface!$F$19</definedName>
    <definedName function="false" hidden="false" name="WIF_MktGW_Avg_A_D1_2027" vbProcedure="false">Interface!$G$19</definedName>
    <definedName function="false" hidden="false" name="WIF_MktGW_Avg_A_D1_2028" vbProcedure="false">Interface!$H$19</definedName>
    <definedName function="false" hidden="false" name="WIF_MktGW_Avg_A_D1_2029" vbProcedure="false">Interface!$I$19</definedName>
    <definedName function="false" hidden="false" name="WIF_MktGW_Avg_A_D1_2030" vbProcedure="false">Interface!$J$19</definedName>
    <definedName function="false" hidden="false" name="WIF_MktGW_Avg_A_D1_2031" vbProcedure="false">Interface!$K$19</definedName>
    <definedName function="false" hidden="false" name="WIF_MktGW_Avg_A_D1_2032" vbProcedure="false">Interface!$L$19</definedName>
    <definedName function="false" hidden="false" name="WIF_MktGW_Avg_A_D1_SiteOnly_2024" vbProcedure="false">Interface!$D$54</definedName>
    <definedName function="false" hidden="false" name="WIF_MktGW_Avg_A_D1_SiteOnly_2025" vbProcedure="false">Interface!$E$54</definedName>
    <definedName function="false" hidden="false" name="WIF_MktGW_Avg_A_D1_SiteOnly_2026" vbProcedure="false">Interface!$F$54</definedName>
    <definedName function="false" hidden="false" name="WIF_MktGW_Avg_A_D1_SiteOnly_2027" vbProcedure="false">Interface!$G$54</definedName>
    <definedName function="false" hidden="false" name="WIF_MktGW_Avg_A_D1_SiteOnly_2028" vbProcedure="false">Interface!$H$54</definedName>
    <definedName function="false" hidden="false" name="WIF_MktGW_Avg_A_D1_SiteOnly_2029" vbProcedure="false">Interface!$I$54</definedName>
    <definedName function="false" hidden="false" name="WIF_MktGW_Avg_A_D1_SiteOnly_2030" vbProcedure="false">Interface!$J$54</definedName>
    <definedName function="false" hidden="false" name="WIF_MktGW_Avg_A_D1_SiteOnly_2031" vbProcedure="false">Interface!$K$54</definedName>
    <definedName function="false" hidden="false" name="WIF_MktGW_Avg_A_D1_SiteOnly_2032" vbProcedure="false">Interface!$L$54</definedName>
    <definedName function="false" hidden="false" name="WIF_MktGW_Avg_A_D2_2024" vbProcedure="false">Interface!$D$20</definedName>
    <definedName function="false" hidden="false" name="WIF_MktGW_Avg_A_D2_2025" vbProcedure="false">Interface!$E$20</definedName>
    <definedName function="false" hidden="false" name="WIF_MktGW_Avg_A_D2_2026" vbProcedure="false">Interface!$F$20</definedName>
    <definedName function="false" hidden="false" name="WIF_MktGW_Avg_A_D2_2027" vbProcedure="false">Interface!$G$20</definedName>
    <definedName function="false" hidden="false" name="WIF_MktGW_Avg_A_D2_2028" vbProcedure="false">Interface!$H$20</definedName>
    <definedName function="false" hidden="false" name="WIF_MktGW_Avg_A_D2_2029" vbProcedure="false">Interface!$I$20</definedName>
    <definedName function="false" hidden="false" name="WIF_MktGW_Avg_A_D2_2030" vbProcedure="false">Interface!$J$20</definedName>
    <definedName function="false" hidden="false" name="WIF_MktGW_Avg_A_D2_2031" vbProcedure="false">Interface!$K$20</definedName>
    <definedName function="false" hidden="false" name="WIF_MktGW_Avg_A_D2_2032" vbProcedure="false">Interface!$L$20</definedName>
    <definedName function="false" hidden="false" name="WIF_MktGW_Avg_A_D2_SiteOnly_2024" vbProcedure="false">Interface!$D$55</definedName>
    <definedName function="false" hidden="false" name="WIF_MktGW_Avg_A_D2_SiteOnly_2025" vbProcedure="false">Interface!$E$55</definedName>
    <definedName function="false" hidden="false" name="WIF_MktGW_Avg_A_D2_SiteOnly_2026" vbProcedure="false">Interface!$F$55</definedName>
    <definedName function="false" hidden="false" name="WIF_MktGW_Avg_A_D2_SiteOnly_2027" vbProcedure="false">Interface!$G$55</definedName>
    <definedName function="false" hidden="false" name="WIF_MktGW_Avg_A_D2_SiteOnly_2028" vbProcedure="false">Interface!$H$55</definedName>
    <definedName function="false" hidden="false" name="WIF_MktGW_Avg_A_D2_SiteOnly_2029" vbProcedure="false">Interface!$I$55</definedName>
    <definedName function="false" hidden="false" name="WIF_MktGW_Avg_A_D2_SiteOnly_2030" vbProcedure="false">Interface!$J$55</definedName>
    <definedName function="false" hidden="false" name="WIF_MktGW_Avg_A_D2_SiteOnly_2031" vbProcedure="false">Interface!$K$55</definedName>
    <definedName function="false" hidden="false" name="WIF_MktGW_Avg_A_D2_SiteOnly_2032" vbProcedure="false">Interface!$L$55</definedName>
    <definedName function="false" hidden="false" name="WIF_MktGW_Avg_B_D0_2024" vbProcedure="false">Interface!$D$21</definedName>
    <definedName function="false" hidden="false" name="WIF_MktGW_Avg_B_D0_2025" vbProcedure="false">Interface!$E$21</definedName>
    <definedName function="false" hidden="false" name="WIF_MktGW_Avg_B_D0_2026" vbProcedure="false">Interface!$F$21</definedName>
    <definedName function="false" hidden="false" name="WIF_MktGW_Avg_B_D0_2027" vbProcedure="false">Interface!$G$21</definedName>
    <definedName function="false" hidden="false" name="WIF_MktGW_Avg_B_D0_2028" vbProcedure="false">Interface!$H$21</definedName>
    <definedName function="false" hidden="false" name="WIF_MktGW_Avg_B_D0_2029" vbProcedure="false">Interface!$I$21</definedName>
    <definedName function="false" hidden="false" name="WIF_MktGW_Avg_B_D0_2030" vbProcedure="false">Interface!$J$21</definedName>
    <definedName function="false" hidden="false" name="WIF_MktGW_Avg_B_D0_2031" vbProcedure="false">Interface!$K$21</definedName>
    <definedName function="false" hidden="false" name="WIF_MktGW_Avg_B_D0_2032" vbProcedure="false">Interface!$L$21</definedName>
    <definedName function="false" hidden="false" name="WIF_MktGW_Avg_B_D0_SiteOnly_2024" vbProcedure="false">Interface!$D$56</definedName>
    <definedName function="false" hidden="false" name="WIF_MktGW_Avg_B_D0_SiteOnly_2025" vbProcedure="false">Interface!$E$56</definedName>
    <definedName function="false" hidden="false" name="WIF_MktGW_Avg_B_D0_SiteOnly_2026" vbProcedure="false">Interface!$F$56</definedName>
    <definedName function="false" hidden="false" name="WIF_MktGW_Avg_B_D0_SiteOnly_2027" vbProcedure="false">Interface!$G$56</definedName>
    <definedName function="false" hidden="false" name="WIF_MktGW_Avg_B_D0_SiteOnly_2028" vbProcedure="false">Interface!$H$56</definedName>
    <definedName function="false" hidden="false" name="WIF_MktGW_Avg_B_D0_SiteOnly_2029" vbProcedure="false">Interface!$I$56</definedName>
    <definedName function="false" hidden="false" name="WIF_MktGW_Avg_B_D0_SiteOnly_2030" vbProcedure="false">Interface!$J$56</definedName>
    <definedName function="false" hidden="false" name="WIF_MktGW_Avg_B_D0_SiteOnly_2031" vbProcedure="false">Interface!$K$56</definedName>
    <definedName function="false" hidden="false" name="WIF_MktGW_Avg_B_D0_SiteOnly_2032" vbProcedure="false">Interface!$L$56</definedName>
    <definedName function="false" hidden="false" name="WIF_MktGW_Avg_B_D1_2024" vbProcedure="false">Interface!$D$22</definedName>
    <definedName function="false" hidden="false" name="WIF_MktGW_Avg_B_D1_2025" vbProcedure="false">Interface!$E$22</definedName>
    <definedName function="false" hidden="false" name="WIF_MktGW_Avg_B_D1_2026" vbProcedure="false">Interface!$F$22</definedName>
    <definedName function="false" hidden="false" name="WIF_MktGW_Avg_B_D1_2027" vbProcedure="false">Interface!$G$22</definedName>
    <definedName function="false" hidden="false" name="WIF_MktGW_Avg_B_D1_2028" vbProcedure="false">Interface!$H$22</definedName>
    <definedName function="false" hidden="false" name="WIF_MktGW_Avg_B_D1_2029" vbProcedure="false">Interface!$I$22</definedName>
    <definedName function="false" hidden="false" name="WIF_MktGW_Avg_B_D1_2030" vbProcedure="false">Interface!$J$22</definedName>
    <definedName function="false" hidden="false" name="WIF_MktGW_Avg_B_D1_2031" vbProcedure="false">Interface!$K$22</definedName>
    <definedName function="false" hidden="false" name="WIF_MktGW_Avg_B_D1_2032" vbProcedure="false">Interface!$L$22</definedName>
    <definedName function="false" hidden="false" name="WIF_MktGW_Avg_B_D1_SiteOnly_2024" vbProcedure="false">Interface!$D$57</definedName>
    <definedName function="false" hidden="false" name="WIF_MktGW_Avg_B_D1_SiteOnly_2025" vbProcedure="false">Interface!$E$57</definedName>
    <definedName function="false" hidden="false" name="WIF_MktGW_Avg_B_D1_SiteOnly_2026" vbProcedure="false">Interface!$F$57</definedName>
    <definedName function="false" hidden="false" name="WIF_MktGW_Avg_B_D1_SiteOnly_2027" vbProcedure="false">Interface!$G$57</definedName>
    <definedName function="false" hidden="false" name="WIF_MktGW_Avg_B_D1_SiteOnly_2028" vbProcedure="false">Interface!$H$57</definedName>
    <definedName function="false" hidden="false" name="WIF_MktGW_Avg_B_D1_SiteOnly_2029" vbProcedure="false">Interface!$I$57</definedName>
    <definedName function="false" hidden="false" name="WIF_MktGW_Avg_B_D1_SiteOnly_2030" vbProcedure="false">Interface!$J$57</definedName>
    <definedName function="false" hidden="false" name="WIF_MktGW_Avg_B_D1_SiteOnly_2031" vbProcedure="false">Interface!$K$57</definedName>
    <definedName function="false" hidden="false" name="WIF_MktGW_Avg_B_D1_SiteOnly_2032" vbProcedure="false">Interface!$L$57</definedName>
    <definedName function="false" hidden="false" name="WIF_MktGW_Avg_B_D2_2024" vbProcedure="false">Interface!$D$23</definedName>
    <definedName function="false" hidden="false" name="WIF_MktGW_Avg_B_D2_2025" vbProcedure="false">Interface!$E$23</definedName>
    <definedName function="false" hidden="false" name="WIF_MktGW_Avg_B_D2_2026" vbProcedure="false">Interface!$F$23</definedName>
    <definedName function="false" hidden="false" name="WIF_MktGW_Avg_B_D2_2027" vbProcedure="false">Interface!$G$23</definedName>
    <definedName function="false" hidden="false" name="WIF_MktGW_Avg_B_D2_2028" vbProcedure="false">Interface!$H$23</definedName>
    <definedName function="false" hidden="false" name="WIF_MktGW_Avg_B_D2_2029" vbProcedure="false">Interface!$I$23</definedName>
    <definedName function="false" hidden="false" name="WIF_MktGW_Avg_B_D2_2030" vbProcedure="false">Interface!$J$23</definedName>
    <definedName function="false" hidden="false" name="WIF_MktGW_Avg_B_D2_2031" vbProcedure="false">Interface!$K$23</definedName>
    <definedName function="false" hidden="false" name="WIF_MktGW_Avg_B_D2_2032" vbProcedure="false">Interface!$L$23</definedName>
    <definedName function="false" hidden="false" name="WIF_MktGW_Avg_B_D2_SiteOnly_2024" vbProcedure="false">Interface!$D$58</definedName>
    <definedName function="false" hidden="false" name="WIF_MktGW_Avg_B_D2_SiteOnly_2025" vbProcedure="false">Interface!$E$58</definedName>
    <definedName function="false" hidden="false" name="WIF_MktGW_Avg_B_D2_SiteOnly_2026" vbProcedure="false">Interface!$F$58</definedName>
    <definedName function="false" hidden="false" name="WIF_MktGW_Avg_B_D2_SiteOnly_2027" vbProcedure="false">Interface!$G$58</definedName>
    <definedName function="false" hidden="false" name="WIF_MktGW_Avg_B_D2_SiteOnly_2028" vbProcedure="false">Interface!$H$58</definedName>
    <definedName function="false" hidden="false" name="WIF_MktGW_Avg_B_D2_SiteOnly_2029" vbProcedure="false">Interface!$I$58</definedName>
    <definedName function="false" hidden="false" name="WIF_MktGW_Avg_B_D2_SiteOnly_2030" vbProcedure="false">Interface!$J$58</definedName>
    <definedName function="false" hidden="false" name="WIF_MktGW_Avg_B_D2_SiteOnly_2031" vbProcedure="false">Interface!$K$58</definedName>
    <definedName function="false" hidden="false" name="WIF_MktGW_Avg_B_D2_SiteOnly_2032" vbProcedure="false">Interface!$L$58</definedName>
    <definedName function="false" hidden="false" name="WIF_MktGW_Avg_C_D0_2024" vbProcedure="false">Interface!$D$24</definedName>
    <definedName function="false" hidden="false" name="WIF_MktGW_Avg_C_D0_2025" vbProcedure="false">Interface!$E$24</definedName>
    <definedName function="false" hidden="false" name="WIF_MktGW_Avg_C_D0_2026" vbProcedure="false">Interface!$F$24</definedName>
    <definedName function="false" hidden="false" name="WIF_MktGW_Avg_C_D0_2027" vbProcedure="false">Interface!$G$24</definedName>
    <definedName function="false" hidden="false" name="WIF_MktGW_Avg_C_D0_2028" vbProcedure="false">Interface!$H$24</definedName>
    <definedName function="false" hidden="false" name="WIF_MktGW_Avg_C_D0_2029" vbProcedure="false">Interface!$I$24</definedName>
    <definedName function="false" hidden="false" name="WIF_MktGW_Avg_C_D0_2030" vbProcedure="false">Interface!$J$24</definedName>
    <definedName function="false" hidden="false" name="WIF_MktGW_Avg_C_D0_2031" vbProcedure="false">Interface!$K$24</definedName>
    <definedName function="false" hidden="false" name="WIF_MktGW_Avg_C_D0_2032" vbProcedure="false">Interface!$L$24</definedName>
    <definedName function="false" hidden="false" name="WIF_MktGW_Avg_C_D0_SiteOnly_2024" vbProcedure="false">Interface!$D$59</definedName>
    <definedName function="false" hidden="false" name="WIF_MktGW_Avg_C_D0_SiteOnly_2025" vbProcedure="false">Interface!$E$59</definedName>
    <definedName function="false" hidden="false" name="WIF_MktGW_Avg_C_D0_SiteOnly_2026" vbProcedure="false">Interface!$F$59</definedName>
    <definedName function="false" hidden="false" name="WIF_MktGW_Avg_C_D0_SiteOnly_2027" vbProcedure="false">Interface!$G$59</definedName>
    <definedName function="false" hidden="false" name="WIF_MktGW_Avg_C_D0_SiteOnly_2028" vbProcedure="false">Interface!$H$59</definedName>
    <definedName function="false" hidden="false" name="WIF_MktGW_Avg_C_D0_SiteOnly_2029" vbProcedure="false">Interface!$I$59</definedName>
    <definedName function="false" hidden="false" name="WIF_MktGW_Avg_C_D0_SiteOnly_2030" vbProcedure="false">Interface!$J$59</definedName>
    <definedName function="false" hidden="false" name="WIF_MktGW_Avg_C_D0_SiteOnly_2031" vbProcedure="false">Interface!$K$59</definedName>
    <definedName function="false" hidden="false" name="WIF_MktGW_Avg_C_D0_SiteOnly_2032" vbProcedure="false">Interface!$L$59</definedName>
    <definedName function="false" hidden="false" name="WIF_MktGW_Avg_C_D1_2024" vbProcedure="false">Interface!$D$25</definedName>
    <definedName function="false" hidden="false" name="WIF_MktGW_Avg_C_D1_2025" vbProcedure="false">Interface!$E$25</definedName>
    <definedName function="false" hidden="false" name="WIF_MktGW_Avg_C_D1_2026" vbProcedure="false">Interface!$F$25</definedName>
    <definedName function="false" hidden="false" name="WIF_MktGW_Avg_C_D1_2027" vbProcedure="false">Interface!$G$25</definedName>
    <definedName function="false" hidden="false" name="WIF_MktGW_Avg_C_D1_2028" vbProcedure="false">Interface!$H$25</definedName>
    <definedName function="false" hidden="false" name="WIF_MktGW_Avg_C_D1_2029" vbProcedure="false">Interface!$I$25</definedName>
    <definedName function="false" hidden="false" name="WIF_MktGW_Avg_C_D1_2030" vbProcedure="false">Interface!$J$25</definedName>
    <definedName function="false" hidden="false" name="WIF_MktGW_Avg_C_D1_2031" vbProcedure="false">Interface!$K$25</definedName>
    <definedName function="false" hidden="false" name="WIF_MktGW_Avg_C_D1_2032" vbProcedure="false">Interface!$L$25</definedName>
    <definedName function="false" hidden="false" name="WIF_MktGW_Avg_C_D1_SiteOnly_2024" vbProcedure="false">Interface!$D$60</definedName>
    <definedName function="false" hidden="false" name="WIF_MktGW_Avg_C_D1_SiteOnly_2025" vbProcedure="false">Interface!$E$60</definedName>
    <definedName function="false" hidden="false" name="WIF_MktGW_Avg_C_D1_SiteOnly_2026" vbProcedure="false">Interface!$F$60</definedName>
    <definedName function="false" hidden="false" name="WIF_MktGW_Avg_C_D1_SiteOnly_2027" vbProcedure="false">Interface!$G$60</definedName>
    <definedName function="false" hidden="false" name="WIF_MktGW_Avg_C_D1_SiteOnly_2028" vbProcedure="false">Interface!$H$60</definedName>
    <definedName function="false" hidden="false" name="WIF_MktGW_Avg_C_D1_SiteOnly_2029" vbProcedure="false">Interface!$I$60</definedName>
    <definedName function="false" hidden="false" name="WIF_MktGW_Avg_C_D1_SiteOnly_2030" vbProcedure="false">Interface!$J$60</definedName>
    <definedName function="false" hidden="false" name="WIF_MktGW_Avg_C_D1_SiteOnly_2031" vbProcedure="false">Interface!$K$60</definedName>
    <definedName function="false" hidden="false" name="WIF_MktGW_Avg_C_D1_SiteOnly_2032" vbProcedure="false">Interface!$L$60</definedName>
    <definedName function="false" hidden="false" name="WIF_MktGW_Avg_C_D2_2024" vbProcedure="false">Interface!$D$26</definedName>
    <definedName function="false" hidden="false" name="WIF_MktGW_Avg_C_D2_2025" vbProcedure="false">Interface!$E$26</definedName>
    <definedName function="false" hidden="false" name="WIF_MktGW_Avg_C_D2_2026" vbProcedure="false">Interface!$F$26</definedName>
    <definedName function="false" hidden="false" name="WIF_MktGW_Avg_C_D2_2027" vbProcedure="false">Interface!$G$26</definedName>
    <definedName function="false" hidden="false" name="WIF_MktGW_Avg_C_D2_2028" vbProcedure="false">Interface!$H$26</definedName>
    <definedName function="false" hidden="false" name="WIF_MktGW_Avg_C_D2_2029" vbProcedure="false">Interface!$I$26</definedName>
    <definedName function="false" hidden="false" name="WIF_MktGW_Avg_C_D2_2030" vbProcedure="false">Interface!$J$26</definedName>
    <definedName function="false" hidden="false" name="WIF_MktGW_Avg_C_D2_2031" vbProcedure="false">Interface!$K$26</definedName>
    <definedName function="false" hidden="false" name="WIF_MktGW_Avg_C_D2_2032" vbProcedure="false">Interface!$L$26</definedName>
    <definedName function="false" hidden="false" name="WIF_MktGW_Avg_C_D2_SiteOnly_2024" vbProcedure="false">Interface!$D$61</definedName>
    <definedName function="false" hidden="false" name="WIF_MktGW_Avg_C_D2_SiteOnly_2025" vbProcedure="false">Interface!$E$61</definedName>
    <definedName function="false" hidden="false" name="WIF_MktGW_Avg_C_D2_SiteOnly_2026" vbProcedure="false">Interface!$F$61</definedName>
    <definedName function="false" hidden="false" name="WIF_MktGW_Avg_C_D2_SiteOnly_2027" vbProcedure="false">Interface!$G$61</definedName>
    <definedName function="false" hidden="false" name="WIF_MktGW_Avg_C_D2_SiteOnly_2028" vbProcedure="false">Interface!$H$61</definedName>
    <definedName function="false" hidden="false" name="WIF_MktGW_Avg_C_D2_SiteOnly_2029" vbProcedure="false">Interface!$I$61</definedName>
    <definedName function="false" hidden="false" name="WIF_MktGW_Avg_C_D2_SiteOnly_2030" vbProcedure="false">Interface!$J$61</definedName>
    <definedName function="false" hidden="false" name="WIF_MktGW_Avg_C_D2_SiteOnly_2031" vbProcedure="false">Interface!$K$61</definedName>
    <definedName function="false" hidden="false" name="WIF_MktGW_Avg_C_D2_SiteOnly_2032" vbProcedure="false">Interface!$L$61</definedName>
    <definedName function="false" hidden="false" name="WIF_MktGW_YE_A_D0_2024" vbProcedure="false">Interface!$D$9</definedName>
    <definedName function="false" hidden="false" name="WIF_MktGW_YE_A_D0_2025" vbProcedure="false">Interface!$E$9</definedName>
    <definedName function="false" hidden="false" name="WIF_MktGW_YE_A_D0_2026" vbProcedure="false">Interface!$F$9</definedName>
    <definedName function="false" hidden="false" name="WIF_MktGW_YE_A_D0_2027" vbProcedure="false">Interface!$G$9</definedName>
    <definedName function="false" hidden="false" name="WIF_MktGW_YE_A_D0_2028" vbProcedure="false">Interface!$H$9</definedName>
    <definedName function="false" hidden="false" name="WIF_MktGW_YE_A_D0_2029" vbProcedure="false">Interface!$I$9</definedName>
    <definedName function="false" hidden="false" name="WIF_MktGW_YE_A_D0_2030" vbProcedure="false">Interface!$J$9</definedName>
    <definedName function="false" hidden="false" name="WIF_MktGW_YE_A_D0_2031" vbProcedure="false">Interface!$K$9</definedName>
    <definedName function="false" hidden="false" name="WIF_MktGW_YE_A_D0_2032" vbProcedure="false">Interface!$L$9</definedName>
    <definedName function="false" hidden="false" name="WIF_MktGW_YE_A_D0_SiteOnly_2024" vbProcedure="false">Interface!$D$44</definedName>
    <definedName function="false" hidden="false" name="WIF_MktGW_YE_A_D0_SiteOnly_2025" vbProcedure="false">Interface!$E$44</definedName>
    <definedName function="false" hidden="false" name="WIF_MktGW_YE_A_D0_SiteOnly_2026" vbProcedure="false">Interface!$F$44</definedName>
    <definedName function="false" hidden="false" name="WIF_MktGW_YE_A_D0_SiteOnly_2027" vbProcedure="false">Interface!$G$44</definedName>
    <definedName function="false" hidden="false" name="WIF_MktGW_YE_A_D0_SiteOnly_2028" vbProcedure="false">Interface!$H$44</definedName>
    <definedName function="false" hidden="false" name="WIF_MktGW_YE_A_D0_SiteOnly_2029" vbProcedure="false">Interface!$I$44</definedName>
    <definedName function="false" hidden="false" name="WIF_MktGW_YE_A_D0_SiteOnly_2030" vbProcedure="false">Interface!$J$44</definedName>
    <definedName function="false" hidden="false" name="WIF_MktGW_YE_A_D0_SiteOnly_2031" vbProcedure="false">Interface!$K$44</definedName>
    <definedName function="false" hidden="false" name="WIF_MktGW_YE_A_D0_SiteOnly_2032" vbProcedure="false">Interface!$L$44</definedName>
    <definedName function="false" hidden="false" name="WIF_MktGW_YE_A_D1_2024" vbProcedure="false">Interface!$D$10</definedName>
    <definedName function="false" hidden="false" name="WIF_MktGW_YE_A_D1_2025" vbProcedure="false">Interface!$E$10</definedName>
    <definedName function="false" hidden="false" name="WIF_MktGW_YE_A_D1_2026" vbProcedure="false">Interface!$F$10</definedName>
    <definedName function="false" hidden="false" name="WIF_MktGW_YE_A_D1_2027" vbProcedure="false">Interface!$G$10</definedName>
    <definedName function="false" hidden="false" name="WIF_MktGW_YE_A_D1_2028" vbProcedure="false">Interface!$H$10</definedName>
    <definedName function="false" hidden="false" name="WIF_MktGW_YE_A_D1_2029" vbProcedure="false">Interface!$I$10</definedName>
    <definedName function="false" hidden="false" name="WIF_MktGW_YE_A_D1_2030" vbProcedure="false">Interface!$J$10</definedName>
    <definedName function="false" hidden="false" name="WIF_MktGW_YE_A_D1_2031" vbProcedure="false">Interface!$K$10</definedName>
    <definedName function="false" hidden="false" name="WIF_MktGW_YE_A_D1_2032" vbProcedure="false">Interface!$L$10</definedName>
    <definedName function="false" hidden="false" name="WIF_MktGW_YE_A_D1_SiteOnly_2024" vbProcedure="false">Interface!$D$45</definedName>
    <definedName function="false" hidden="false" name="WIF_MktGW_YE_A_D1_SiteOnly_2025" vbProcedure="false">Interface!$E$45</definedName>
    <definedName function="false" hidden="false" name="WIF_MktGW_YE_A_D1_SiteOnly_2026" vbProcedure="false">Interface!$F$45</definedName>
    <definedName function="false" hidden="false" name="WIF_MktGW_YE_A_D1_SiteOnly_2027" vbProcedure="false">Interface!$G$45</definedName>
    <definedName function="false" hidden="false" name="WIF_MktGW_YE_A_D1_SiteOnly_2028" vbProcedure="false">Interface!$H$45</definedName>
    <definedName function="false" hidden="false" name="WIF_MktGW_YE_A_D1_SiteOnly_2029" vbProcedure="false">Interface!$I$45</definedName>
    <definedName function="false" hidden="false" name="WIF_MktGW_YE_A_D1_SiteOnly_2030" vbProcedure="false">Interface!$J$45</definedName>
    <definedName function="false" hidden="false" name="WIF_MktGW_YE_A_D1_SiteOnly_2031" vbProcedure="false">Interface!$K$45</definedName>
    <definedName function="false" hidden="false" name="WIF_MktGW_YE_A_D1_SiteOnly_2032" vbProcedure="false">Interface!$L$45</definedName>
    <definedName function="false" hidden="false" name="WIF_MktGW_YE_A_D2_2024" vbProcedure="false">Interface!$D$11</definedName>
    <definedName function="false" hidden="false" name="WIF_MktGW_YE_A_D2_2025" vbProcedure="false">Interface!$E$11</definedName>
    <definedName function="false" hidden="false" name="WIF_MktGW_YE_A_D2_2026" vbProcedure="false">Interface!$F$11</definedName>
    <definedName function="false" hidden="false" name="WIF_MktGW_YE_A_D2_2027" vbProcedure="false">Interface!$G$11</definedName>
    <definedName function="false" hidden="false" name="WIF_MktGW_YE_A_D2_2028" vbProcedure="false">Interface!$H$11</definedName>
    <definedName function="false" hidden="false" name="WIF_MktGW_YE_A_D2_2029" vbProcedure="false">Interface!$I$11</definedName>
    <definedName function="false" hidden="false" name="WIF_MktGW_YE_A_D2_2030" vbProcedure="false">Interface!$J$11</definedName>
    <definedName function="false" hidden="false" name="WIF_MktGW_YE_A_D2_2031" vbProcedure="false">Interface!$K$11</definedName>
    <definedName function="false" hidden="false" name="WIF_MktGW_YE_A_D2_2032" vbProcedure="false">Interface!$L$11</definedName>
    <definedName function="false" hidden="false" name="WIF_MktGW_YE_A_D2_SiteOnly_2024" vbProcedure="false">Interface!$D$46</definedName>
    <definedName function="false" hidden="false" name="WIF_MktGW_YE_A_D2_SiteOnly_2025" vbProcedure="false">Interface!$E$46</definedName>
    <definedName function="false" hidden="false" name="WIF_MktGW_YE_A_D2_SiteOnly_2026" vbProcedure="false">Interface!$F$46</definedName>
    <definedName function="false" hidden="false" name="WIF_MktGW_YE_A_D2_SiteOnly_2027" vbProcedure="false">Interface!$G$46</definedName>
    <definedName function="false" hidden="false" name="WIF_MktGW_YE_A_D2_SiteOnly_2028" vbProcedure="false">Interface!$H$46</definedName>
    <definedName function="false" hidden="false" name="WIF_MktGW_YE_A_D2_SiteOnly_2029" vbProcedure="false">Interface!$I$46</definedName>
    <definedName function="false" hidden="false" name="WIF_MktGW_YE_A_D2_SiteOnly_2030" vbProcedure="false">Interface!$J$46</definedName>
    <definedName function="false" hidden="false" name="WIF_MktGW_YE_A_D2_SiteOnly_2031" vbProcedure="false">Interface!$K$46</definedName>
    <definedName function="false" hidden="false" name="WIF_MktGW_YE_A_D2_SiteOnly_2032" vbProcedure="false">Interface!$L$46</definedName>
    <definedName function="false" hidden="false" name="WIF_MktGW_YE_B_D0_2024" vbProcedure="false">Interface!$D$12</definedName>
    <definedName function="false" hidden="false" name="WIF_MktGW_YE_B_D0_2025" vbProcedure="false">Interface!$E$12</definedName>
    <definedName function="false" hidden="false" name="WIF_MktGW_YE_B_D0_2026" vbProcedure="false">Interface!$F$12</definedName>
    <definedName function="false" hidden="false" name="WIF_MktGW_YE_B_D0_2027" vbProcedure="false">Interface!$G$12</definedName>
    <definedName function="false" hidden="false" name="WIF_MktGW_YE_B_D0_2028" vbProcedure="false">Interface!$H$12</definedName>
    <definedName function="false" hidden="false" name="WIF_MktGW_YE_B_D0_2029" vbProcedure="false">Interface!$I$12</definedName>
    <definedName function="false" hidden="false" name="WIF_MktGW_YE_B_D0_2030" vbProcedure="false">Interface!$J$12</definedName>
    <definedName function="false" hidden="false" name="WIF_MktGW_YE_B_D0_2031" vbProcedure="false">Interface!$K$12</definedName>
    <definedName function="false" hidden="false" name="WIF_MktGW_YE_B_D0_2032" vbProcedure="false">Interface!$L$12</definedName>
    <definedName function="false" hidden="false" name="WIF_MktGW_YE_B_D0_SiteOnly_2024" vbProcedure="false">Interface!$D$47</definedName>
    <definedName function="false" hidden="false" name="WIF_MktGW_YE_B_D0_SiteOnly_2025" vbProcedure="false">Interface!$E$47</definedName>
    <definedName function="false" hidden="false" name="WIF_MktGW_YE_B_D0_SiteOnly_2026" vbProcedure="false">Interface!$F$47</definedName>
    <definedName function="false" hidden="false" name="WIF_MktGW_YE_B_D0_SiteOnly_2027" vbProcedure="false">Interface!$G$47</definedName>
    <definedName function="false" hidden="false" name="WIF_MktGW_YE_B_D0_SiteOnly_2028" vbProcedure="false">Interface!$H$47</definedName>
    <definedName function="false" hidden="false" name="WIF_MktGW_YE_B_D0_SiteOnly_2029" vbProcedure="false">Interface!$I$47</definedName>
    <definedName function="false" hidden="false" name="WIF_MktGW_YE_B_D0_SiteOnly_2030" vbProcedure="false">Interface!$J$47</definedName>
    <definedName function="false" hidden="false" name="WIF_MktGW_YE_B_D0_SiteOnly_2031" vbProcedure="false">Interface!$K$47</definedName>
    <definedName function="false" hidden="false" name="WIF_MktGW_YE_B_D0_SiteOnly_2032" vbProcedure="false">Interface!$L$47</definedName>
    <definedName function="false" hidden="false" name="WIF_MktGW_YE_B_D1_2024" vbProcedure="false">Interface!$D$13</definedName>
    <definedName function="false" hidden="false" name="WIF_MktGW_YE_B_D1_2025" vbProcedure="false">Interface!$E$13</definedName>
    <definedName function="false" hidden="false" name="WIF_MktGW_YE_B_D1_2026" vbProcedure="false">Interface!$F$13</definedName>
    <definedName function="false" hidden="false" name="WIF_MktGW_YE_B_D1_2027" vbProcedure="false">Interface!$G$13</definedName>
    <definedName function="false" hidden="false" name="WIF_MktGW_YE_B_D1_2028" vbProcedure="false">Interface!$H$13</definedName>
    <definedName function="false" hidden="false" name="WIF_MktGW_YE_B_D1_2029" vbProcedure="false">Interface!$I$13</definedName>
    <definedName function="false" hidden="false" name="WIF_MktGW_YE_B_D1_2030" vbProcedure="false">Interface!$J$13</definedName>
    <definedName function="false" hidden="false" name="WIF_MktGW_YE_B_D1_2031" vbProcedure="false">Interface!$K$13</definedName>
    <definedName function="false" hidden="false" name="WIF_MktGW_YE_B_D1_2032" vbProcedure="false">Interface!$L$13</definedName>
    <definedName function="false" hidden="false" name="WIF_MktGW_YE_B_D1_SiteOnly_2024" vbProcedure="false">Interface!$D$48</definedName>
    <definedName function="false" hidden="false" name="WIF_MktGW_YE_B_D1_SiteOnly_2025" vbProcedure="false">Interface!$E$48</definedName>
    <definedName function="false" hidden="false" name="WIF_MktGW_YE_B_D1_SiteOnly_2026" vbProcedure="false">Interface!$F$48</definedName>
    <definedName function="false" hidden="false" name="WIF_MktGW_YE_B_D1_SiteOnly_2027" vbProcedure="false">Interface!$G$48</definedName>
    <definedName function="false" hidden="false" name="WIF_MktGW_YE_B_D1_SiteOnly_2028" vbProcedure="false">Interface!$H$48</definedName>
    <definedName function="false" hidden="false" name="WIF_MktGW_YE_B_D1_SiteOnly_2029" vbProcedure="false">Interface!$I$48</definedName>
    <definedName function="false" hidden="false" name="WIF_MktGW_YE_B_D1_SiteOnly_2030" vbProcedure="false">Interface!$J$48</definedName>
    <definedName function="false" hidden="false" name="WIF_MktGW_YE_B_D1_SiteOnly_2031" vbProcedure="false">Interface!$K$48</definedName>
    <definedName function="false" hidden="false" name="WIF_MktGW_YE_B_D1_SiteOnly_2032" vbProcedure="false">Interface!$L$48</definedName>
    <definedName function="false" hidden="false" name="WIF_MktGW_YE_B_D2_2024" vbProcedure="false">Interface!$D$14</definedName>
    <definedName function="false" hidden="false" name="WIF_MktGW_YE_B_D2_2025" vbProcedure="false">Interface!$E$14</definedName>
    <definedName function="false" hidden="false" name="WIF_MktGW_YE_B_D2_2026" vbProcedure="false">Interface!$F$14</definedName>
    <definedName function="false" hidden="false" name="WIF_MktGW_YE_B_D2_2027" vbProcedure="false">Interface!$G$14</definedName>
    <definedName function="false" hidden="false" name="WIF_MktGW_YE_B_D2_2028" vbProcedure="false">Interface!$H$14</definedName>
    <definedName function="false" hidden="false" name="WIF_MktGW_YE_B_D2_2029" vbProcedure="false">Interface!$I$14</definedName>
    <definedName function="false" hidden="false" name="WIF_MktGW_YE_B_D2_2030" vbProcedure="false">Interface!$J$14</definedName>
    <definedName function="false" hidden="false" name="WIF_MktGW_YE_B_D2_2031" vbProcedure="false">Interface!$K$14</definedName>
    <definedName function="false" hidden="false" name="WIF_MktGW_YE_B_D2_2032" vbProcedure="false">Interface!$L$14</definedName>
    <definedName function="false" hidden="false" name="WIF_MktGW_YE_B_D2_SiteOnly_2024" vbProcedure="false">Interface!$D$49</definedName>
    <definedName function="false" hidden="false" name="WIF_MktGW_YE_B_D2_SiteOnly_2025" vbProcedure="false">Interface!$E$49</definedName>
    <definedName function="false" hidden="false" name="WIF_MktGW_YE_B_D2_SiteOnly_2026" vbProcedure="false">Interface!$F$49</definedName>
    <definedName function="false" hidden="false" name="WIF_MktGW_YE_B_D2_SiteOnly_2027" vbProcedure="false">Interface!$G$49</definedName>
    <definedName function="false" hidden="false" name="WIF_MktGW_YE_B_D2_SiteOnly_2028" vbProcedure="false">Interface!$H$49</definedName>
    <definedName function="false" hidden="false" name="WIF_MktGW_YE_B_D2_SiteOnly_2029" vbProcedure="false">Interface!$I$49</definedName>
    <definedName function="false" hidden="false" name="WIF_MktGW_YE_B_D2_SiteOnly_2030" vbProcedure="false">Interface!$J$49</definedName>
    <definedName function="false" hidden="false" name="WIF_MktGW_YE_B_D2_SiteOnly_2031" vbProcedure="false">Interface!$K$49</definedName>
    <definedName function="false" hidden="false" name="WIF_MktGW_YE_B_D2_SiteOnly_2032" vbProcedure="false">Interface!$L$49</definedName>
    <definedName function="false" hidden="false" name="WIF_MktGW_YE_C_D0_2024" vbProcedure="false">Interface!$D$15</definedName>
    <definedName function="false" hidden="false" name="WIF_MktGW_YE_C_D0_2025" vbProcedure="false">Interface!$E$15</definedName>
    <definedName function="false" hidden="false" name="WIF_MktGW_YE_C_D0_2026" vbProcedure="false">Interface!$F$15</definedName>
    <definedName function="false" hidden="false" name="WIF_MktGW_YE_C_D0_2027" vbProcedure="false">Interface!$G$15</definedName>
    <definedName function="false" hidden="false" name="WIF_MktGW_YE_C_D0_2028" vbProcedure="false">Interface!$H$15</definedName>
    <definedName function="false" hidden="false" name="WIF_MktGW_YE_C_D0_2029" vbProcedure="false">Interface!$I$15</definedName>
    <definedName function="false" hidden="false" name="WIF_MktGW_YE_C_D0_2030" vbProcedure="false">Interface!$J$15</definedName>
    <definedName function="false" hidden="false" name="WIF_MktGW_YE_C_D0_2031" vbProcedure="false">Interface!$K$15</definedName>
    <definedName function="false" hidden="false" name="WIF_MktGW_YE_C_D0_2032" vbProcedure="false">Interface!$L$15</definedName>
    <definedName function="false" hidden="false" name="WIF_MktGW_YE_C_D0_SiteOnly_2024" vbProcedure="false">Interface!$D$50</definedName>
    <definedName function="false" hidden="false" name="WIF_MktGW_YE_C_D0_SiteOnly_2025" vbProcedure="false">Interface!$E$50</definedName>
    <definedName function="false" hidden="false" name="WIF_MktGW_YE_C_D0_SiteOnly_2026" vbProcedure="false">Interface!$F$50</definedName>
    <definedName function="false" hidden="false" name="WIF_MktGW_YE_C_D0_SiteOnly_2027" vbProcedure="false">Interface!$G$50</definedName>
    <definedName function="false" hidden="false" name="WIF_MktGW_YE_C_D0_SiteOnly_2028" vbProcedure="false">Interface!$H$50</definedName>
    <definedName function="false" hidden="false" name="WIF_MktGW_YE_C_D0_SiteOnly_2029" vbProcedure="false">Interface!$I$50</definedName>
    <definedName function="false" hidden="false" name="WIF_MktGW_YE_C_D0_SiteOnly_2030" vbProcedure="false">Interface!$J$50</definedName>
    <definedName function="false" hidden="false" name="WIF_MktGW_YE_C_D0_SiteOnly_2031" vbProcedure="false">Interface!$K$50</definedName>
    <definedName function="false" hidden="false" name="WIF_MktGW_YE_C_D0_SiteOnly_2032" vbProcedure="false">Interface!$L$50</definedName>
    <definedName function="false" hidden="false" name="WIF_MktGW_YE_C_D1_2024" vbProcedure="false">Interface!$D$16</definedName>
    <definedName function="false" hidden="false" name="WIF_MktGW_YE_C_D1_2025" vbProcedure="false">Interface!$E$16</definedName>
    <definedName function="false" hidden="false" name="WIF_MktGW_YE_C_D1_2026" vbProcedure="false">Interface!$F$16</definedName>
    <definedName function="false" hidden="false" name="WIF_MktGW_YE_C_D1_2027" vbProcedure="false">Interface!$G$16</definedName>
    <definedName function="false" hidden="false" name="WIF_MktGW_YE_C_D1_2028" vbProcedure="false">Interface!$H$16</definedName>
    <definedName function="false" hidden="false" name="WIF_MktGW_YE_C_D1_2029" vbProcedure="false">Interface!$I$16</definedName>
    <definedName function="false" hidden="false" name="WIF_MktGW_YE_C_D1_2030" vbProcedure="false">Interface!$J$16</definedName>
    <definedName function="false" hidden="false" name="WIF_MktGW_YE_C_D1_2031" vbProcedure="false">Interface!$K$16</definedName>
    <definedName function="false" hidden="false" name="WIF_MktGW_YE_C_D1_2032" vbProcedure="false">Interface!$L$16</definedName>
    <definedName function="false" hidden="false" name="WIF_MktGW_YE_C_D1_SiteOnly_2024" vbProcedure="false">Interface!$D$51</definedName>
    <definedName function="false" hidden="false" name="WIF_MktGW_YE_C_D1_SiteOnly_2025" vbProcedure="false">Interface!$E$51</definedName>
    <definedName function="false" hidden="false" name="WIF_MktGW_YE_C_D1_SiteOnly_2026" vbProcedure="false">Interface!$F$51</definedName>
    <definedName function="false" hidden="false" name="WIF_MktGW_YE_C_D1_SiteOnly_2027" vbProcedure="false">Interface!$G$51</definedName>
    <definedName function="false" hidden="false" name="WIF_MktGW_YE_C_D1_SiteOnly_2028" vbProcedure="false">Interface!$H$51</definedName>
    <definedName function="false" hidden="false" name="WIF_MktGW_YE_C_D1_SiteOnly_2029" vbProcedure="false">Interface!$I$51</definedName>
    <definedName function="false" hidden="false" name="WIF_MktGW_YE_C_D1_SiteOnly_2030" vbProcedure="false">Interface!$J$51</definedName>
    <definedName function="false" hidden="false" name="WIF_MktGW_YE_C_D1_SiteOnly_2031" vbProcedure="false">Interface!$K$51</definedName>
    <definedName function="false" hidden="false" name="WIF_MktGW_YE_C_D1_SiteOnly_2032" vbProcedure="false">Interface!$L$51</definedName>
    <definedName function="false" hidden="false" name="WIF_MktGW_YE_C_D2_2024" vbProcedure="false">Interface!$D$17</definedName>
    <definedName function="false" hidden="false" name="WIF_MktGW_YE_C_D2_2025" vbProcedure="false">Interface!$E$17</definedName>
    <definedName function="false" hidden="false" name="WIF_MktGW_YE_C_D2_2026" vbProcedure="false">Interface!$F$17</definedName>
    <definedName function="false" hidden="false" name="WIF_MktGW_YE_C_D2_2027" vbProcedure="false">Interface!$G$17</definedName>
    <definedName function="false" hidden="false" name="WIF_MktGW_YE_C_D2_2028" vbProcedure="false">Interface!$H$17</definedName>
    <definedName function="false" hidden="false" name="WIF_MktGW_YE_C_D2_2029" vbProcedure="false">Interface!$I$17</definedName>
    <definedName function="false" hidden="false" name="WIF_MktGW_YE_C_D2_2030" vbProcedure="false">Interface!$J$17</definedName>
    <definedName function="false" hidden="false" name="WIF_MktGW_YE_C_D2_2031" vbProcedure="false">Interface!$K$17</definedName>
    <definedName function="false" hidden="false" name="WIF_MktGW_YE_C_D2_2032" vbProcedure="false">Interface!$L$17</definedName>
    <definedName function="false" hidden="false" name="WIF_MktGW_YE_C_D2_SiteOnly_2024" vbProcedure="false">Interface!$D$52</definedName>
    <definedName function="false" hidden="false" name="WIF_MktGW_YE_C_D2_SiteOnly_2025" vbProcedure="false">Interface!$E$52</definedName>
    <definedName function="false" hidden="false" name="WIF_MktGW_YE_C_D2_SiteOnly_2026" vbProcedure="false">Interface!$F$52</definedName>
    <definedName function="false" hidden="false" name="WIF_MktGW_YE_C_D2_SiteOnly_2027" vbProcedure="false">Interface!$G$52</definedName>
    <definedName function="false" hidden="false" name="WIF_MktGW_YE_C_D2_SiteOnly_2028" vbProcedure="false">Interface!$H$52</definedName>
    <definedName function="false" hidden="false" name="WIF_MktGW_YE_C_D2_SiteOnly_2029" vbProcedure="false">Interface!$I$52</definedName>
    <definedName function="false" hidden="false" name="WIF_MktGW_YE_C_D2_SiteOnly_2030" vbProcedure="false">Interface!$J$52</definedName>
    <definedName function="false" hidden="false" name="WIF_MktGW_YE_C_D2_SiteOnly_2031" vbProcedure="false">Interface!$K$52</definedName>
    <definedName function="false" hidden="false" name="WIF_MktGW_YE_C_D2_SiteOnly_2032" vbProcedure="false">Interface!$L$52</definedName>
    <definedName function="false" hidden="false" name="WIF_PlayerGW_YE_amzn_2024" vbProcedure="false">Interface!$D$81</definedName>
    <definedName function="false" hidden="false" name="WIF_PlayerGW_YE_amzn_2025" vbProcedure="false">Interface!$E$81</definedName>
    <definedName function="false" hidden="false" name="WIF_PlayerGW_YE_amzn_2026" vbProcedure="false">Interface!$F$81</definedName>
    <definedName function="false" hidden="false" name="WIF_PlayerGW_YE_amzn_2027" vbProcedure="false">Interface!$G$81</definedName>
    <definedName function="false" hidden="false" name="WIF_PlayerGW_YE_amzn_2028" vbProcedure="false">Interface!$H$81</definedName>
    <definedName function="false" hidden="false" name="WIF_PlayerGW_YE_amzn_2029" vbProcedure="false">Interface!$I$81</definedName>
    <definedName function="false" hidden="false" name="WIF_PlayerGW_YE_amzn_2030" vbProcedure="false">Interface!$J$81</definedName>
    <definedName function="false" hidden="false" name="WIF_PlayerGW_YE_amzn_2031" vbProcedure="false">Interface!$K$81</definedName>
    <definedName function="false" hidden="false" name="WIF_PlayerGW_YE_amzn_2032" vbProcedure="false">Interface!$L$81</definedName>
    <definedName function="false" hidden="false" name="WIF_PlayerGW_YE_amzn_SiteOnly_2024" vbProcedure="false">Interface!$D$97</definedName>
    <definedName function="false" hidden="false" name="WIF_PlayerGW_YE_amzn_SiteOnly_2025" vbProcedure="false">Interface!$E$97</definedName>
    <definedName function="false" hidden="false" name="WIF_PlayerGW_YE_amzn_SiteOnly_2026" vbProcedure="false">Interface!$F$97</definedName>
    <definedName function="false" hidden="false" name="WIF_PlayerGW_YE_amzn_SiteOnly_2027" vbProcedure="false">Interface!$G$97</definedName>
    <definedName function="false" hidden="false" name="WIF_PlayerGW_YE_amzn_SiteOnly_2028" vbProcedure="false">Interface!$H$97</definedName>
    <definedName function="false" hidden="false" name="WIF_PlayerGW_YE_amzn_SiteOnly_2029" vbProcedure="false">Interface!$I$97</definedName>
    <definedName function="false" hidden="false" name="WIF_PlayerGW_YE_amzn_SiteOnly_2030" vbProcedure="false">Interface!$J$97</definedName>
    <definedName function="false" hidden="false" name="WIF_PlayerGW_YE_amzn_SiteOnly_2031" vbProcedure="false">Interface!$K$97</definedName>
    <definedName function="false" hidden="false" name="WIF_PlayerGW_YE_amzn_SiteOnly_2032" vbProcedure="false">Interface!$L$97</definedName>
    <definedName function="false" hidden="false" name="WIF_PlayerGW_YE_ant_2024" vbProcedure="false">Interface!$D$89</definedName>
    <definedName function="false" hidden="false" name="WIF_PlayerGW_YE_ant_2025" vbProcedure="false">Interface!$E$89</definedName>
    <definedName function="false" hidden="false" name="WIF_PlayerGW_YE_ant_2026" vbProcedure="false">Interface!$F$89</definedName>
    <definedName function="false" hidden="false" name="WIF_PlayerGW_YE_ant_2027" vbProcedure="false">Interface!$G$89</definedName>
    <definedName function="false" hidden="false" name="WIF_PlayerGW_YE_ant_2028" vbProcedure="false">Interface!$H$89</definedName>
    <definedName function="false" hidden="false" name="WIF_PlayerGW_YE_ant_2029" vbProcedure="false">Interface!$I$89</definedName>
    <definedName function="false" hidden="false" name="WIF_PlayerGW_YE_ant_2030" vbProcedure="false">Interface!$J$89</definedName>
    <definedName function="false" hidden="false" name="WIF_PlayerGW_YE_ant_2031" vbProcedure="false">Interface!$K$89</definedName>
    <definedName function="false" hidden="false" name="WIF_PlayerGW_YE_ant_2032" vbProcedure="false">Interface!$L$89</definedName>
    <definedName function="false" hidden="false" name="WIF_PlayerGW_YE_ant_SiteOnly_2024" vbProcedure="false">Interface!$D$105</definedName>
    <definedName function="false" hidden="false" name="WIF_PlayerGW_YE_ant_SiteOnly_2025" vbProcedure="false">Interface!$E$105</definedName>
    <definedName function="false" hidden="false" name="WIF_PlayerGW_YE_ant_SiteOnly_2026" vbProcedure="false">Interface!$F$105</definedName>
    <definedName function="false" hidden="false" name="WIF_PlayerGW_YE_ant_SiteOnly_2027" vbProcedure="false">Interface!$G$105</definedName>
    <definedName function="false" hidden="false" name="WIF_PlayerGW_YE_ant_SiteOnly_2028" vbProcedure="false">Interface!$H$105</definedName>
    <definedName function="false" hidden="false" name="WIF_PlayerGW_YE_ant_SiteOnly_2029" vbProcedure="false">Interface!$I$105</definedName>
    <definedName function="false" hidden="false" name="WIF_PlayerGW_YE_ant_SiteOnly_2030" vbProcedure="false">Interface!$J$105</definedName>
    <definedName function="false" hidden="false" name="WIF_PlayerGW_YE_ant_SiteOnly_2031" vbProcedure="false">Interface!$K$105</definedName>
    <definedName function="false" hidden="false" name="WIF_PlayerGW_YE_ant_SiteOnly_2032" vbProcedure="false">Interface!$L$105</definedName>
    <definedName function="false" hidden="false" name="WIF_PlayerGW_YE_cn_2024" vbProcedure="false">Interface!$D$92</definedName>
    <definedName function="false" hidden="false" name="WIF_PlayerGW_YE_cn_2025" vbProcedure="false">Interface!$E$92</definedName>
    <definedName function="false" hidden="false" name="WIF_PlayerGW_YE_cn_2026" vbProcedure="false">Interface!$F$92</definedName>
    <definedName function="false" hidden="false" name="WIF_PlayerGW_YE_cn_2027" vbProcedure="false">Interface!$G$92</definedName>
    <definedName function="false" hidden="false" name="WIF_PlayerGW_YE_cn_2028" vbProcedure="false">Interface!$H$92</definedName>
    <definedName function="false" hidden="false" name="WIF_PlayerGW_YE_cn_2029" vbProcedure="false">Interface!$I$92</definedName>
    <definedName function="false" hidden="false" name="WIF_PlayerGW_YE_cn_2030" vbProcedure="false">Interface!$J$92</definedName>
    <definedName function="false" hidden="false" name="WIF_PlayerGW_YE_cn_2031" vbProcedure="false">Interface!$K$92</definedName>
    <definedName function="false" hidden="false" name="WIF_PlayerGW_YE_cn_2032" vbProcedure="false">Interface!$L$92</definedName>
    <definedName function="false" hidden="false" name="WIF_PlayerGW_YE_cn_SiteOnly_2024" vbProcedure="false">Interface!$D$108</definedName>
    <definedName function="false" hidden="false" name="WIF_PlayerGW_YE_cn_SiteOnly_2025" vbProcedure="false">Interface!$E$108</definedName>
    <definedName function="false" hidden="false" name="WIF_PlayerGW_YE_cn_SiteOnly_2026" vbProcedure="false">Interface!$F$108</definedName>
    <definedName function="false" hidden="false" name="WIF_PlayerGW_YE_cn_SiteOnly_2027" vbProcedure="false">Interface!$G$108</definedName>
    <definedName function="false" hidden="false" name="WIF_PlayerGW_YE_cn_SiteOnly_2028" vbProcedure="false">Interface!$H$108</definedName>
    <definedName function="false" hidden="false" name="WIF_PlayerGW_YE_cn_SiteOnly_2029" vbProcedure="false">Interface!$I$108</definedName>
    <definedName function="false" hidden="false" name="WIF_PlayerGW_YE_cn_SiteOnly_2030" vbProcedure="false">Interface!$J$108</definedName>
    <definedName function="false" hidden="false" name="WIF_PlayerGW_YE_cn_SiteOnly_2031" vbProcedure="false">Interface!$K$108</definedName>
    <definedName function="false" hidden="false" name="WIF_PlayerGW_YE_cn_SiteOnly_2032" vbProcedure="false">Interface!$L$108</definedName>
    <definedName function="false" hidden="false" name="WIF_PlayerGW_YE_crwv_2024" vbProcedure="false">Interface!$D$84</definedName>
    <definedName function="false" hidden="false" name="WIF_PlayerGW_YE_crwv_2025" vbProcedure="false">Interface!$E$84</definedName>
    <definedName function="false" hidden="false" name="WIF_PlayerGW_YE_crwv_2026" vbProcedure="false">Interface!$F$84</definedName>
    <definedName function="false" hidden="false" name="WIF_PlayerGW_YE_crwv_2027" vbProcedure="false">Interface!$G$84</definedName>
    <definedName function="false" hidden="false" name="WIF_PlayerGW_YE_crwv_2028" vbProcedure="false">Interface!$H$84</definedName>
    <definedName function="false" hidden="false" name="WIF_PlayerGW_YE_crwv_2029" vbProcedure="false">Interface!$I$84</definedName>
    <definedName function="false" hidden="false" name="WIF_PlayerGW_YE_crwv_2030" vbProcedure="false">Interface!$J$84</definedName>
    <definedName function="false" hidden="false" name="WIF_PlayerGW_YE_crwv_2031" vbProcedure="false">Interface!$K$84</definedName>
    <definedName function="false" hidden="false" name="WIF_PlayerGW_YE_crwv_2032" vbProcedure="false">Interface!$L$84</definedName>
    <definedName function="false" hidden="false" name="WIF_PlayerGW_YE_crwv_SiteOnly_2024" vbProcedure="false">Interface!$D$100</definedName>
    <definedName function="false" hidden="false" name="WIF_PlayerGW_YE_crwv_SiteOnly_2025" vbProcedure="false">Interface!$E$100</definedName>
    <definedName function="false" hidden="false" name="WIF_PlayerGW_YE_crwv_SiteOnly_2026" vbProcedure="false">Interface!$F$100</definedName>
    <definedName function="false" hidden="false" name="WIF_PlayerGW_YE_crwv_SiteOnly_2027" vbProcedure="false">Interface!$G$100</definedName>
    <definedName function="false" hidden="false" name="WIF_PlayerGW_YE_crwv_SiteOnly_2028" vbProcedure="false">Interface!$H$100</definedName>
    <definedName function="false" hidden="false" name="WIF_PlayerGW_YE_crwv_SiteOnly_2029" vbProcedure="false">Interface!$I$100</definedName>
    <definedName function="false" hidden="false" name="WIF_PlayerGW_YE_crwv_SiteOnly_2030" vbProcedure="false">Interface!$J$100</definedName>
    <definedName function="false" hidden="false" name="WIF_PlayerGW_YE_crwv_SiteOnly_2031" vbProcedure="false">Interface!$K$100</definedName>
    <definedName function="false" hidden="false" name="WIF_PlayerGW_YE_crwv_SiteOnly_2032" vbProcedure="false">Interface!$L$100</definedName>
    <definedName function="false" hidden="false" name="WIF_PlayerGW_YE_googl_2024" vbProcedure="false">Interface!$D$80</definedName>
    <definedName function="false" hidden="false" name="WIF_PlayerGW_YE_googl_2025" vbProcedure="false">Interface!$E$80</definedName>
    <definedName function="false" hidden="false" name="WIF_PlayerGW_YE_googl_2026" vbProcedure="false">Interface!$F$80</definedName>
    <definedName function="false" hidden="false" name="WIF_PlayerGW_YE_googl_2027" vbProcedure="false">Interface!$G$80</definedName>
    <definedName function="false" hidden="false" name="WIF_PlayerGW_YE_googl_2028" vbProcedure="false">Interface!$H$80</definedName>
    <definedName function="false" hidden="false" name="WIF_PlayerGW_YE_googl_2029" vbProcedure="false">Interface!$I$80</definedName>
    <definedName function="false" hidden="false" name="WIF_PlayerGW_YE_googl_2030" vbProcedure="false">Interface!$J$80</definedName>
    <definedName function="false" hidden="false" name="WIF_PlayerGW_YE_googl_2031" vbProcedure="false">Interface!$K$80</definedName>
    <definedName function="false" hidden="false" name="WIF_PlayerGW_YE_googl_2032" vbProcedure="false">Interface!$L$80</definedName>
    <definedName function="false" hidden="false" name="WIF_PlayerGW_YE_googl_SiteOnly_2024" vbProcedure="false">Interface!$D$96</definedName>
    <definedName function="false" hidden="false" name="WIF_PlayerGW_YE_googl_SiteOnly_2025" vbProcedure="false">Interface!$E$96</definedName>
    <definedName function="false" hidden="false" name="WIF_PlayerGW_YE_googl_SiteOnly_2026" vbProcedure="false">Interface!$F$96</definedName>
    <definedName function="false" hidden="false" name="WIF_PlayerGW_YE_googl_SiteOnly_2027" vbProcedure="false">Interface!$G$96</definedName>
    <definedName function="false" hidden="false" name="WIF_PlayerGW_YE_googl_SiteOnly_2028" vbProcedure="false">Interface!$H$96</definedName>
    <definedName function="false" hidden="false" name="WIF_PlayerGW_YE_googl_SiteOnly_2029" vbProcedure="false">Interface!$I$96</definedName>
    <definedName function="false" hidden="false" name="WIF_PlayerGW_YE_googl_SiteOnly_2030" vbProcedure="false">Interface!$J$96</definedName>
    <definedName function="false" hidden="false" name="WIF_PlayerGW_YE_googl_SiteOnly_2031" vbProcedure="false">Interface!$K$96</definedName>
    <definedName function="false" hidden="false" name="WIF_PlayerGW_YE_googl_SiteOnly_2032" vbProcedure="false">Interface!$L$96</definedName>
    <definedName function="false" hidden="false" name="WIF_PlayerGW_YE_meta_2024" vbProcedure="false">Interface!$D$82</definedName>
    <definedName function="false" hidden="false" name="WIF_PlayerGW_YE_meta_2025" vbProcedure="false">Interface!$E$82</definedName>
    <definedName function="false" hidden="false" name="WIF_PlayerGW_YE_meta_2026" vbProcedure="false">Interface!$F$82</definedName>
    <definedName function="false" hidden="false" name="WIF_PlayerGW_YE_meta_2027" vbProcedure="false">Interface!$G$82</definedName>
    <definedName function="false" hidden="false" name="WIF_PlayerGW_YE_meta_2028" vbProcedure="false">Interface!$H$82</definedName>
    <definedName function="false" hidden="false" name="WIF_PlayerGW_YE_meta_2029" vbProcedure="false">Interface!$I$82</definedName>
    <definedName function="false" hidden="false" name="WIF_PlayerGW_YE_meta_2030" vbProcedure="false">Interface!$J$82</definedName>
    <definedName function="false" hidden="false" name="WIF_PlayerGW_YE_meta_2031" vbProcedure="false">Interface!$K$82</definedName>
    <definedName function="false" hidden="false" name="WIF_PlayerGW_YE_meta_2032" vbProcedure="false">Interface!$L$82</definedName>
    <definedName function="false" hidden="false" name="WIF_PlayerGW_YE_meta_SiteOnly_2024" vbProcedure="false">Interface!$D$98</definedName>
    <definedName function="false" hidden="false" name="WIF_PlayerGW_YE_meta_SiteOnly_2025" vbProcedure="false">Interface!$E$98</definedName>
    <definedName function="false" hidden="false" name="WIF_PlayerGW_YE_meta_SiteOnly_2026" vbProcedure="false">Interface!$F$98</definedName>
    <definedName function="false" hidden="false" name="WIF_PlayerGW_YE_meta_SiteOnly_2027" vbProcedure="false">Interface!$G$98</definedName>
    <definedName function="false" hidden="false" name="WIF_PlayerGW_YE_meta_SiteOnly_2028" vbProcedure="false">Interface!$H$98</definedName>
    <definedName function="false" hidden="false" name="WIF_PlayerGW_YE_meta_SiteOnly_2029" vbProcedure="false">Interface!$I$98</definedName>
    <definedName function="false" hidden="false" name="WIF_PlayerGW_YE_meta_SiteOnly_2030" vbProcedure="false">Interface!$J$98</definedName>
    <definedName function="false" hidden="false" name="WIF_PlayerGW_YE_meta_SiteOnly_2031" vbProcedure="false">Interface!$K$98</definedName>
    <definedName function="false" hidden="false" name="WIF_PlayerGW_YE_meta_SiteOnly_2032" vbProcedure="false">Interface!$L$98</definedName>
    <definedName function="false" hidden="false" name="WIF_PlayerGW_YE_msft_2024" vbProcedure="false">Interface!$D$79</definedName>
    <definedName function="false" hidden="false" name="WIF_PlayerGW_YE_msft_2025" vbProcedure="false">Interface!$E$79</definedName>
    <definedName function="false" hidden="false" name="WIF_PlayerGW_YE_msft_2026" vbProcedure="false">Interface!$F$79</definedName>
    <definedName function="false" hidden="false" name="WIF_PlayerGW_YE_msft_2027" vbProcedure="false">Interface!$G$79</definedName>
    <definedName function="false" hidden="false" name="WIF_PlayerGW_YE_msft_2028" vbProcedure="false">Interface!$H$79</definedName>
    <definedName function="false" hidden="false" name="WIF_PlayerGW_YE_msft_2029" vbProcedure="false">Interface!$I$79</definedName>
    <definedName function="false" hidden="false" name="WIF_PlayerGW_YE_msft_2030" vbProcedure="false">Interface!$J$79</definedName>
    <definedName function="false" hidden="false" name="WIF_PlayerGW_YE_msft_2031" vbProcedure="false">Interface!$K$79</definedName>
    <definedName function="false" hidden="false" name="WIF_PlayerGW_YE_msft_2032" vbProcedure="false">Interface!$L$79</definedName>
    <definedName function="false" hidden="false" name="WIF_PlayerGW_YE_msft_SiteOnly_2024" vbProcedure="false">Interface!$D$95</definedName>
    <definedName function="false" hidden="false" name="WIF_PlayerGW_YE_msft_SiteOnly_2025" vbProcedure="false">Interface!$E$95</definedName>
    <definedName function="false" hidden="false" name="WIF_PlayerGW_YE_msft_SiteOnly_2026" vbProcedure="false">Interface!$F$95</definedName>
    <definedName function="false" hidden="false" name="WIF_PlayerGW_YE_msft_SiteOnly_2027" vbProcedure="false">Interface!$G$95</definedName>
    <definedName function="false" hidden="false" name="WIF_PlayerGW_YE_msft_SiteOnly_2028" vbProcedure="false">Interface!$H$95</definedName>
    <definedName function="false" hidden="false" name="WIF_PlayerGW_YE_msft_SiteOnly_2029" vbProcedure="false">Interface!$I$95</definedName>
    <definedName function="false" hidden="false" name="WIF_PlayerGW_YE_msft_SiteOnly_2030" vbProcedure="false">Interface!$J$95</definedName>
    <definedName function="false" hidden="false" name="WIF_PlayerGW_YE_msft_SiteOnly_2031" vbProcedure="false">Interface!$K$95</definedName>
    <definedName function="false" hidden="false" name="WIF_PlayerGW_YE_msft_SiteOnly_2032" vbProcedure="false">Interface!$L$95</definedName>
    <definedName function="false" hidden="false" name="WIF_PlayerGW_YE_nbis_2024" vbProcedure="false">Interface!$D$85</definedName>
    <definedName function="false" hidden="false" name="WIF_PlayerGW_YE_nbis_2025" vbProcedure="false">Interface!$E$85</definedName>
    <definedName function="false" hidden="false" name="WIF_PlayerGW_YE_nbis_2026" vbProcedure="false">Interface!$F$85</definedName>
    <definedName function="false" hidden="false" name="WIF_PlayerGW_YE_nbis_2027" vbProcedure="false">Interface!$G$85</definedName>
    <definedName function="false" hidden="false" name="WIF_PlayerGW_YE_nbis_2028" vbProcedure="false">Interface!$H$85</definedName>
    <definedName function="false" hidden="false" name="WIF_PlayerGW_YE_nbis_2029" vbProcedure="false">Interface!$I$85</definedName>
    <definedName function="false" hidden="false" name="WIF_PlayerGW_YE_nbis_2030" vbProcedure="false">Interface!$J$85</definedName>
    <definedName function="false" hidden="false" name="WIF_PlayerGW_YE_nbis_2031" vbProcedure="false">Interface!$K$85</definedName>
    <definedName function="false" hidden="false" name="WIF_PlayerGW_YE_nbis_2032" vbProcedure="false">Interface!$L$85</definedName>
    <definedName function="false" hidden="false" name="WIF_PlayerGW_YE_nbis_SiteOnly_2024" vbProcedure="false">Interface!$D$101</definedName>
    <definedName function="false" hidden="false" name="WIF_PlayerGW_YE_nbis_SiteOnly_2025" vbProcedure="false">Interface!$E$101</definedName>
    <definedName function="false" hidden="false" name="WIF_PlayerGW_YE_nbis_SiteOnly_2026" vbProcedure="false">Interface!$F$101</definedName>
    <definedName function="false" hidden="false" name="WIF_PlayerGW_YE_nbis_SiteOnly_2027" vbProcedure="false">Interface!$G$101</definedName>
    <definedName function="false" hidden="false" name="WIF_PlayerGW_YE_nbis_SiteOnly_2028" vbProcedure="false">Interface!$H$101</definedName>
    <definedName function="false" hidden="false" name="WIF_PlayerGW_YE_nbis_SiteOnly_2029" vbProcedure="false">Interface!$I$101</definedName>
    <definedName function="false" hidden="false" name="WIF_PlayerGW_YE_nbis_SiteOnly_2030" vbProcedure="false">Interface!$J$101</definedName>
    <definedName function="false" hidden="false" name="WIF_PlayerGW_YE_nbis_SiteOnly_2031" vbProcedure="false">Interface!$K$101</definedName>
    <definedName function="false" hidden="false" name="WIF_PlayerGW_YE_nbis_SiteOnly_2032" vbProcedure="false">Interface!$L$101</definedName>
    <definedName function="false" hidden="false" name="WIF_PlayerGW_YE_neo_2024" vbProcedure="false">Interface!$D$90</definedName>
    <definedName function="false" hidden="false" name="WIF_PlayerGW_YE_neo_2025" vbProcedure="false">Interface!$E$90</definedName>
    <definedName function="false" hidden="false" name="WIF_PlayerGW_YE_neo_2026" vbProcedure="false">Interface!$F$90</definedName>
    <definedName function="false" hidden="false" name="WIF_PlayerGW_YE_neo_2027" vbProcedure="false">Interface!$G$90</definedName>
    <definedName function="false" hidden="false" name="WIF_PlayerGW_YE_neo_2028" vbProcedure="false">Interface!$H$90</definedName>
    <definedName function="false" hidden="false" name="WIF_PlayerGW_YE_neo_2029" vbProcedure="false">Interface!$I$90</definedName>
    <definedName function="false" hidden="false" name="WIF_PlayerGW_YE_neo_2030" vbProcedure="false">Interface!$J$90</definedName>
    <definedName function="false" hidden="false" name="WIF_PlayerGW_YE_neo_2031" vbProcedure="false">Interface!$K$90</definedName>
    <definedName function="false" hidden="false" name="WIF_PlayerGW_YE_neo_2032" vbProcedure="false">Interface!$L$90</definedName>
    <definedName function="false" hidden="false" name="WIF_PlayerGW_YE_neo_SiteOnly_2024" vbProcedure="false">Interface!$D$106</definedName>
    <definedName function="false" hidden="false" name="WIF_PlayerGW_YE_neo_SiteOnly_2025" vbProcedure="false">Interface!$E$106</definedName>
    <definedName function="false" hidden="false" name="WIF_PlayerGW_YE_neo_SiteOnly_2026" vbProcedure="false">Interface!$F$106</definedName>
    <definedName function="false" hidden="false" name="WIF_PlayerGW_YE_neo_SiteOnly_2027" vbProcedure="false">Interface!$G$106</definedName>
    <definedName function="false" hidden="false" name="WIF_PlayerGW_YE_neo_SiteOnly_2028" vbProcedure="false">Interface!$H$106</definedName>
    <definedName function="false" hidden="false" name="WIF_PlayerGW_YE_neo_SiteOnly_2029" vbProcedure="false">Interface!$I$106</definedName>
    <definedName function="false" hidden="false" name="WIF_PlayerGW_YE_neo_SiteOnly_2030" vbProcedure="false">Interface!$J$106</definedName>
    <definedName function="false" hidden="false" name="WIF_PlayerGW_YE_neo_SiteOnly_2031" vbProcedure="false">Interface!$K$106</definedName>
    <definedName function="false" hidden="false" name="WIF_PlayerGW_YE_neo_SiteOnly_2032" vbProcedure="false">Interface!$L$106</definedName>
    <definedName function="false" hidden="false" name="WIF_PlayerGW_YE_oai_2024" vbProcedure="false">Interface!$D$88</definedName>
    <definedName function="false" hidden="false" name="WIF_PlayerGW_YE_oai_2025" vbProcedure="false">Interface!$E$88</definedName>
    <definedName function="false" hidden="false" name="WIF_PlayerGW_YE_oai_2026" vbProcedure="false">Interface!$F$88</definedName>
    <definedName function="false" hidden="false" name="WIF_PlayerGW_YE_oai_2027" vbProcedure="false">Interface!$G$88</definedName>
    <definedName function="false" hidden="false" name="WIF_PlayerGW_YE_oai_2028" vbProcedure="false">Interface!$H$88</definedName>
    <definedName function="false" hidden="false" name="WIF_PlayerGW_YE_oai_2029" vbProcedure="false">Interface!$I$88</definedName>
    <definedName function="false" hidden="false" name="WIF_PlayerGW_YE_oai_2030" vbProcedure="false">Interface!$J$88</definedName>
    <definedName function="false" hidden="false" name="WIF_PlayerGW_YE_oai_2031" vbProcedure="false">Interface!$K$88</definedName>
    <definedName function="false" hidden="false" name="WIF_PlayerGW_YE_oai_2032" vbProcedure="false">Interface!$L$88</definedName>
    <definedName function="false" hidden="false" name="WIF_PlayerGW_YE_oai_SiteOnly_2024" vbProcedure="false">Interface!$D$104</definedName>
    <definedName function="false" hidden="false" name="WIF_PlayerGW_YE_oai_SiteOnly_2025" vbProcedure="false">Interface!$E$104</definedName>
    <definedName function="false" hidden="false" name="WIF_PlayerGW_YE_oai_SiteOnly_2026" vbProcedure="false">Interface!$F$104</definedName>
    <definedName function="false" hidden="false" name="WIF_PlayerGW_YE_oai_SiteOnly_2027" vbProcedure="false">Interface!$G$104</definedName>
    <definedName function="false" hidden="false" name="WIF_PlayerGW_YE_oai_SiteOnly_2028" vbProcedure="false">Interface!$H$104</definedName>
    <definedName function="false" hidden="false" name="WIF_PlayerGW_YE_oai_SiteOnly_2029" vbProcedure="false">Interface!$I$104</definedName>
    <definedName function="false" hidden="false" name="WIF_PlayerGW_YE_oai_SiteOnly_2030" vbProcedure="false">Interface!$J$104</definedName>
    <definedName function="false" hidden="false" name="WIF_PlayerGW_YE_oai_SiteOnly_2031" vbProcedure="false">Interface!$K$104</definedName>
    <definedName function="false" hidden="false" name="WIF_PlayerGW_YE_oai_SiteOnly_2032" vbProcedure="false">Interface!$L$104</definedName>
    <definedName function="false" hidden="false" name="WIF_PlayerGW_YE_orcl_2024" vbProcedure="false">Interface!$D$83</definedName>
    <definedName function="false" hidden="false" name="WIF_PlayerGW_YE_orcl_2025" vbProcedure="false">Interface!$E$83</definedName>
    <definedName function="false" hidden="false" name="WIF_PlayerGW_YE_orcl_2026" vbProcedure="false">Interface!$F$83</definedName>
    <definedName function="false" hidden="false" name="WIF_PlayerGW_YE_orcl_2027" vbProcedure="false">Interface!$G$83</definedName>
    <definedName function="false" hidden="false" name="WIF_PlayerGW_YE_orcl_2028" vbProcedure="false">Interface!$H$83</definedName>
    <definedName function="false" hidden="false" name="WIF_PlayerGW_YE_orcl_2029" vbProcedure="false">Interface!$I$83</definedName>
    <definedName function="false" hidden="false" name="WIF_PlayerGW_YE_orcl_2030" vbProcedure="false">Interface!$J$83</definedName>
    <definedName function="false" hidden="false" name="WIF_PlayerGW_YE_orcl_2031" vbProcedure="false">Interface!$K$83</definedName>
    <definedName function="false" hidden="false" name="WIF_PlayerGW_YE_orcl_2032" vbProcedure="false">Interface!$L$83</definedName>
    <definedName function="false" hidden="false" name="WIF_PlayerGW_YE_orcl_SiteOnly_2024" vbProcedure="false">Interface!$D$99</definedName>
    <definedName function="false" hidden="false" name="WIF_PlayerGW_YE_orcl_SiteOnly_2025" vbProcedure="false">Interface!$E$99</definedName>
    <definedName function="false" hidden="false" name="WIF_PlayerGW_YE_orcl_SiteOnly_2026" vbProcedure="false">Interface!$F$99</definedName>
    <definedName function="false" hidden="false" name="WIF_PlayerGW_YE_orcl_SiteOnly_2027" vbProcedure="false">Interface!$G$99</definedName>
    <definedName function="false" hidden="false" name="WIF_PlayerGW_YE_orcl_SiteOnly_2028" vbProcedure="false">Interface!$H$99</definedName>
    <definedName function="false" hidden="false" name="WIF_PlayerGW_YE_orcl_SiteOnly_2029" vbProcedure="false">Interface!$I$99</definedName>
    <definedName function="false" hidden="false" name="WIF_PlayerGW_YE_orcl_SiteOnly_2030" vbProcedure="false">Interface!$J$99</definedName>
    <definedName function="false" hidden="false" name="WIF_PlayerGW_YE_orcl_SiteOnly_2031" vbProcedure="false">Interface!$K$99</definedName>
    <definedName function="false" hidden="false" name="WIF_PlayerGW_YE_orcl_SiteOnly_2032" vbProcedure="false">Interface!$L$99</definedName>
    <definedName function="false" hidden="false" name="WIF_PlayerGW_YE_oth_2024" vbProcedure="false">Interface!$D$93</definedName>
    <definedName function="false" hidden="false" name="WIF_PlayerGW_YE_oth_2025" vbProcedure="false">Interface!$E$93</definedName>
    <definedName function="false" hidden="false" name="WIF_PlayerGW_YE_oth_2026" vbProcedure="false">Interface!$F$93</definedName>
    <definedName function="false" hidden="false" name="WIF_PlayerGW_YE_oth_2027" vbProcedure="false">Interface!$G$93</definedName>
    <definedName function="false" hidden="false" name="WIF_PlayerGW_YE_oth_2028" vbProcedure="false">Interface!$H$93</definedName>
    <definedName function="false" hidden="false" name="WIF_PlayerGW_YE_oth_2029" vbProcedure="false">Interface!$I$93</definedName>
    <definedName function="false" hidden="false" name="WIF_PlayerGW_YE_oth_2030" vbProcedure="false">Interface!$J$93</definedName>
    <definedName function="false" hidden="false" name="WIF_PlayerGW_YE_oth_2031" vbProcedure="false">Interface!$K$93</definedName>
    <definedName function="false" hidden="false" name="WIF_PlayerGW_YE_oth_2032" vbProcedure="false">Interface!$L$93</definedName>
    <definedName function="false" hidden="false" name="WIF_PlayerGW_YE_oth_SiteOnly_2024" vbProcedure="false">Interface!$D$109</definedName>
    <definedName function="false" hidden="false" name="WIF_PlayerGW_YE_oth_SiteOnly_2025" vbProcedure="false">Interface!$E$109</definedName>
    <definedName function="false" hidden="false" name="WIF_PlayerGW_YE_oth_SiteOnly_2026" vbProcedure="false">Interface!$F$109</definedName>
    <definedName function="false" hidden="false" name="WIF_PlayerGW_YE_oth_SiteOnly_2027" vbProcedure="false">Interface!$G$109</definedName>
    <definedName function="false" hidden="false" name="WIF_PlayerGW_YE_oth_SiteOnly_2028" vbProcedure="false">Interface!$H$109</definedName>
    <definedName function="false" hidden="false" name="WIF_PlayerGW_YE_oth_SiteOnly_2029" vbProcedure="false">Interface!$I$109</definedName>
    <definedName function="false" hidden="false" name="WIF_PlayerGW_YE_oth_SiteOnly_2030" vbProcedure="false">Interface!$J$109</definedName>
    <definedName function="false" hidden="false" name="WIF_PlayerGW_YE_oth_SiteOnly_2031" vbProcedure="false">Interface!$K$109</definedName>
    <definedName function="false" hidden="false" name="WIF_PlayerGW_YE_oth_SiteOnly_2032" vbProcedure="false">Interface!$L$109</definedName>
    <definedName function="false" hidden="false" name="WIF_PlayerGW_YE_sov_2024" vbProcedure="false">Interface!$D$91</definedName>
    <definedName function="false" hidden="false" name="WIF_PlayerGW_YE_sov_2025" vbProcedure="false">Interface!$E$91</definedName>
    <definedName function="false" hidden="false" name="WIF_PlayerGW_YE_sov_2026" vbProcedure="false">Interface!$F$91</definedName>
    <definedName function="false" hidden="false" name="WIF_PlayerGW_YE_sov_2027" vbProcedure="false">Interface!$G$91</definedName>
    <definedName function="false" hidden="false" name="WIF_PlayerGW_YE_sov_2028" vbProcedure="false">Interface!$H$91</definedName>
    <definedName function="false" hidden="false" name="WIF_PlayerGW_YE_sov_2029" vbProcedure="false">Interface!$I$91</definedName>
    <definedName function="false" hidden="false" name="WIF_PlayerGW_YE_sov_2030" vbProcedure="false">Interface!$J$91</definedName>
    <definedName function="false" hidden="false" name="WIF_PlayerGW_YE_sov_2031" vbProcedure="false">Interface!$K$91</definedName>
    <definedName function="false" hidden="false" name="WIF_PlayerGW_YE_sov_2032" vbProcedure="false">Interface!$L$91</definedName>
    <definedName function="false" hidden="false" name="WIF_PlayerGW_YE_sov_SiteOnly_2024" vbProcedure="false">Interface!$D$107</definedName>
    <definedName function="false" hidden="false" name="WIF_PlayerGW_YE_sov_SiteOnly_2025" vbProcedure="false">Interface!$E$107</definedName>
    <definedName function="false" hidden="false" name="WIF_PlayerGW_YE_sov_SiteOnly_2026" vbProcedure="false">Interface!$F$107</definedName>
    <definedName function="false" hidden="false" name="WIF_PlayerGW_YE_sov_SiteOnly_2027" vbProcedure="false">Interface!$G$107</definedName>
    <definedName function="false" hidden="false" name="WIF_PlayerGW_YE_sov_SiteOnly_2028" vbProcedure="false">Interface!$H$107</definedName>
    <definedName function="false" hidden="false" name="WIF_PlayerGW_YE_sov_SiteOnly_2029" vbProcedure="false">Interface!$I$107</definedName>
    <definedName function="false" hidden="false" name="WIF_PlayerGW_YE_sov_SiteOnly_2030" vbProcedure="false">Interface!$J$107</definedName>
    <definedName function="false" hidden="false" name="WIF_PlayerGW_YE_sov_SiteOnly_2031" vbProcedure="false">Interface!$K$107</definedName>
    <definedName function="false" hidden="false" name="WIF_PlayerGW_YE_sov_SiteOnly_2032" vbProcedure="false">Interface!$L$107</definedName>
    <definedName function="false" hidden="false" name="WIF_PlayerGW_YE_wyfi_2024" vbProcedure="false">Interface!$D$86</definedName>
    <definedName function="false" hidden="false" name="WIF_PlayerGW_YE_wyfi_2025" vbProcedure="false">Interface!$E$86</definedName>
    <definedName function="false" hidden="false" name="WIF_PlayerGW_YE_wyfi_2026" vbProcedure="false">Interface!$F$86</definedName>
    <definedName function="false" hidden="false" name="WIF_PlayerGW_YE_wyfi_2027" vbProcedure="false">Interface!$G$86</definedName>
    <definedName function="false" hidden="false" name="WIF_PlayerGW_YE_wyfi_2028" vbProcedure="false">Interface!$H$86</definedName>
    <definedName function="false" hidden="false" name="WIF_PlayerGW_YE_wyfi_2029" vbProcedure="false">Interface!$I$86</definedName>
    <definedName function="false" hidden="false" name="WIF_PlayerGW_YE_wyfi_2030" vbProcedure="false">Interface!$J$86</definedName>
    <definedName function="false" hidden="false" name="WIF_PlayerGW_YE_wyfi_2031" vbProcedure="false">Interface!$K$86</definedName>
    <definedName function="false" hidden="false" name="WIF_PlayerGW_YE_wyfi_2032" vbProcedure="false">Interface!$L$86</definedName>
    <definedName function="false" hidden="false" name="WIF_PlayerGW_YE_wyfi_SiteOnly_2024" vbProcedure="false">Interface!$D$102</definedName>
    <definedName function="false" hidden="false" name="WIF_PlayerGW_YE_wyfi_SiteOnly_2025" vbProcedure="false">Interface!$E$102</definedName>
    <definedName function="false" hidden="false" name="WIF_PlayerGW_YE_wyfi_SiteOnly_2026" vbProcedure="false">Interface!$F$102</definedName>
    <definedName function="false" hidden="false" name="WIF_PlayerGW_YE_wyfi_SiteOnly_2027" vbProcedure="false">Interface!$G$102</definedName>
    <definedName function="false" hidden="false" name="WIF_PlayerGW_YE_wyfi_SiteOnly_2028" vbProcedure="false">Interface!$H$102</definedName>
    <definedName function="false" hidden="false" name="WIF_PlayerGW_YE_wyfi_SiteOnly_2029" vbProcedure="false">Interface!$I$102</definedName>
    <definedName function="false" hidden="false" name="WIF_PlayerGW_YE_wyfi_SiteOnly_2030" vbProcedure="false">Interface!$J$102</definedName>
    <definedName function="false" hidden="false" name="WIF_PlayerGW_YE_wyfi_SiteOnly_2031" vbProcedure="false">Interface!$K$102</definedName>
    <definedName function="false" hidden="false" name="WIF_PlayerGW_YE_wyfi_SiteOnly_2032" vbProcedure="false">Interface!$L$102</definedName>
    <definedName function="false" hidden="false" name="WIF_PlayerGW_YE_xai_2024" vbProcedure="false">Interface!$D$87</definedName>
    <definedName function="false" hidden="false" name="WIF_PlayerGW_YE_xai_2025" vbProcedure="false">Interface!$E$87</definedName>
    <definedName function="false" hidden="false" name="WIF_PlayerGW_YE_xai_2026" vbProcedure="false">Interface!$F$87</definedName>
    <definedName function="false" hidden="false" name="WIF_PlayerGW_YE_xai_2027" vbProcedure="false">Interface!$G$87</definedName>
    <definedName function="false" hidden="false" name="WIF_PlayerGW_YE_xai_2028" vbProcedure="false">Interface!$H$87</definedName>
    <definedName function="false" hidden="false" name="WIF_PlayerGW_YE_xai_2029" vbProcedure="false">Interface!$I$87</definedName>
    <definedName function="false" hidden="false" name="WIF_PlayerGW_YE_xai_2030" vbProcedure="false">Interface!$J$87</definedName>
    <definedName function="false" hidden="false" name="WIF_PlayerGW_YE_xai_2031" vbProcedure="false">Interface!$K$87</definedName>
    <definedName function="false" hidden="false" name="WIF_PlayerGW_YE_xai_2032" vbProcedure="false">Interface!$L$87</definedName>
    <definedName function="false" hidden="false" name="WIF_PlayerGW_YE_xai_SiteOnly_2024" vbProcedure="false">Interface!$D$103</definedName>
    <definedName function="false" hidden="false" name="WIF_PlayerGW_YE_xai_SiteOnly_2025" vbProcedure="false">Interface!$E$103</definedName>
    <definedName function="false" hidden="false" name="WIF_PlayerGW_YE_xai_SiteOnly_2026" vbProcedure="false">Interface!$F$103</definedName>
    <definedName function="false" hidden="false" name="WIF_PlayerGW_YE_xai_SiteOnly_2027" vbProcedure="false">Interface!$G$103</definedName>
    <definedName function="false" hidden="false" name="WIF_PlayerGW_YE_xai_SiteOnly_2028" vbProcedure="false">Interface!$H$103</definedName>
    <definedName function="false" hidden="false" name="WIF_PlayerGW_YE_xai_SiteOnly_2029" vbProcedure="false">Interface!$I$103</definedName>
    <definedName function="false" hidden="false" name="WIF_PlayerGW_YE_xai_SiteOnly_2030" vbProcedure="false">Interface!$J$103</definedName>
    <definedName function="false" hidden="false" name="WIF_PlayerGW_YE_xai_SiteOnly_2031" vbProcedure="false">Interface!$K$103</definedName>
    <definedName function="false" hidden="false" name="WIF_PlayerGW_YE_xai_SiteOnly_2032" vbProcedure="false">Interface!$L$103</definedName>
    <definedName function="false" hidden="false" name="WIF_ShippedNotOnline_A_D1_2024" vbProcedure="false">Interface!$D$37</definedName>
    <definedName function="false" hidden="false" name="WIF_ShippedNotOnline_A_D1_2025" vbProcedure="false">Interface!$E$37</definedName>
    <definedName function="false" hidden="false" name="WIF_ShippedNotOnline_A_D1_2026" vbProcedure="false">Interface!$F$37</definedName>
    <definedName function="false" hidden="false" name="WIF_ShippedNotOnline_A_D1_2027" vbProcedure="false">Interface!$G$37</definedName>
    <definedName function="false" hidden="false" name="WIF_ShippedNotOnline_A_D1_2028" vbProcedure="false">Interface!$H$37</definedName>
    <definedName function="false" hidden="false" name="WIF_ShippedNotOnline_A_D1_2029" vbProcedure="false">Interface!$I$37</definedName>
    <definedName function="false" hidden="false" name="WIF_ShippedNotOnline_A_D1_2030" vbProcedure="false">Interface!$J$37</definedName>
    <definedName function="false" hidden="false" name="WIF_ShippedNotOnline_A_D1_2031" vbProcedure="false">Interface!$K$37</definedName>
    <definedName function="false" hidden="false" name="WIF_ShippedNotOnline_A_D1_2032" vbProcedure="false">Interface!$L$37</definedName>
    <definedName function="false" hidden="false" name="WIF_ShippedNotOnline_A_D1_SiteOnly_2024" vbProcedure="false">Interface!$D$72</definedName>
    <definedName function="false" hidden="false" name="WIF_ShippedNotOnline_A_D1_SiteOnly_2025" vbProcedure="false">Interface!$E$72</definedName>
    <definedName function="false" hidden="false" name="WIF_ShippedNotOnline_A_D1_SiteOnly_2026" vbProcedure="false">Interface!$F$72</definedName>
    <definedName function="false" hidden="false" name="WIF_ShippedNotOnline_A_D1_SiteOnly_2027" vbProcedure="false">Interface!$G$72</definedName>
    <definedName function="false" hidden="false" name="WIF_ShippedNotOnline_A_D1_SiteOnly_2028" vbProcedure="false">Interface!$H$72</definedName>
    <definedName function="false" hidden="false" name="WIF_ShippedNotOnline_A_D1_SiteOnly_2029" vbProcedure="false">Interface!$I$72</definedName>
    <definedName function="false" hidden="false" name="WIF_ShippedNotOnline_A_D1_SiteOnly_2030" vbProcedure="false">Interface!$J$72</definedName>
    <definedName function="false" hidden="false" name="WIF_ShippedNotOnline_A_D1_SiteOnly_2031" vbProcedure="false">Interface!$K$72</definedName>
    <definedName function="false" hidden="false" name="WIF_ShippedNotOnline_A_D1_SiteOnly_2032" vbProcedure="false">Interface!$L$72</definedName>
    <definedName function="false" hidden="false" name="WIF_ShippedNotOnline_A_D2_2024" vbProcedure="false">Interface!$D$38</definedName>
    <definedName function="false" hidden="false" name="WIF_ShippedNotOnline_A_D2_2025" vbProcedure="false">Interface!$E$38</definedName>
    <definedName function="false" hidden="false" name="WIF_ShippedNotOnline_A_D2_2026" vbProcedure="false">Interface!$F$38</definedName>
    <definedName function="false" hidden="false" name="WIF_ShippedNotOnline_A_D2_2027" vbProcedure="false">Interface!$G$38</definedName>
    <definedName function="false" hidden="false" name="WIF_ShippedNotOnline_A_D2_2028" vbProcedure="false">Interface!$H$38</definedName>
    <definedName function="false" hidden="false" name="WIF_ShippedNotOnline_A_D2_2029" vbProcedure="false">Interface!$I$38</definedName>
    <definedName function="false" hidden="false" name="WIF_ShippedNotOnline_A_D2_2030" vbProcedure="false">Interface!$J$38</definedName>
    <definedName function="false" hidden="false" name="WIF_ShippedNotOnline_A_D2_2031" vbProcedure="false">Interface!$K$38</definedName>
    <definedName function="false" hidden="false" name="WIF_ShippedNotOnline_A_D2_2032" vbProcedure="false">Interface!$L$38</definedName>
    <definedName function="false" hidden="false" name="WIF_ShippedNotOnline_A_D2_SiteOnly_2024" vbProcedure="false">Interface!$D$73</definedName>
    <definedName function="false" hidden="false" name="WIF_ShippedNotOnline_A_D2_SiteOnly_2025" vbProcedure="false">Interface!$E$73</definedName>
    <definedName function="false" hidden="false" name="WIF_ShippedNotOnline_A_D2_SiteOnly_2026" vbProcedure="false">Interface!$F$73</definedName>
    <definedName function="false" hidden="false" name="WIF_ShippedNotOnline_A_D2_SiteOnly_2027" vbProcedure="false">Interface!$G$73</definedName>
    <definedName function="false" hidden="false" name="WIF_ShippedNotOnline_A_D2_SiteOnly_2028" vbProcedure="false">Interface!$H$73</definedName>
    <definedName function="false" hidden="false" name="WIF_ShippedNotOnline_A_D2_SiteOnly_2029" vbProcedure="false">Interface!$I$73</definedName>
    <definedName function="false" hidden="false" name="WIF_ShippedNotOnline_A_D2_SiteOnly_2030" vbProcedure="false">Interface!$J$73</definedName>
    <definedName function="false" hidden="false" name="WIF_ShippedNotOnline_A_D2_SiteOnly_2031" vbProcedure="false">Interface!$K$73</definedName>
    <definedName function="false" hidden="false" name="WIF_ShippedNotOnline_A_D2_SiteOnly_2032" vbProcedure="false">Interface!$L$73</definedName>
    <definedName function="false" hidden="false" name="WIF_ShippedNotOnline_B_D1_2024" vbProcedure="false">Interface!$D$39</definedName>
    <definedName function="false" hidden="false" name="WIF_ShippedNotOnline_B_D1_2025" vbProcedure="false">Interface!$E$39</definedName>
    <definedName function="false" hidden="false" name="WIF_ShippedNotOnline_B_D1_2026" vbProcedure="false">Interface!$F$39</definedName>
    <definedName function="false" hidden="false" name="WIF_ShippedNotOnline_B_D1_2027" vbProcedure="false">Interface!$G$39</definedName>
    <definedName function="false" hidden="false" name="WIF_ShippedNotOnline_B_D1_2028" vbProcedure="false">Interface!$H$39</definedName>
    <definedName function="false" hidden="false" name="WIF_ShippedNotOnline_B_D1_2029" vbProcedure="false">Interface!$I$39</definedName>
    <definedName function="false" hidden="false" name="WIF_ShippedNotOnline_B_D1_2030" vbProcedure="false">Interface!$J$39</definedName>
    <definedName function="false" hidden="false" name="WIF_ShippedNotOnline_B_D1_2031" vbProcedure="false">Interface!$K$39</definedName>
    <definedName function="false" hidden="false" name="WIF_ShippedNotOnline_B_D1_2032" vbProcedure="false">Interface!$L$39</definedName>
    <definedName function="false" hidden="false" name="WIF_ShippedNotOnline_B_D1_SiteOnly_2024" vbProcedure="false">Interface!$D$74</definedName>
    <definedName function="false" hidden="false" name="WIF_ShippedNotOnline_B_D1_SiteOnly_2025" vbProcedure="false">Interface!$E$74</definedName>
    <definedName function="false" hidden="false" name="WIF_ShippedNotOnline_B_D1_SiteOnly_2026" vbProcedure="false">Interface!$F$74</definedName>
    <definedName function="false" hidden="false" name="WIF_ShippedNotOnline_B_D1_SiteOnly_2027" vbProcedure="false">Interface!$G$74</definedName>
    <definedName function="false" hidden="false" name="WIF_ShippedNotOnline_B_D1_SiteOnly_2028" vbProcedure="false">Interface!$H$74</definedName>
    <definedName function="false" hidden="false" name="WIF_ShippedNotOnline_B_D1_SiteOnly_2029" vbProcedure="false">Interface!$I$74</definedName>
    <definedName function="false" hidden="false" name="WIF_ShippedNotOnline_B_D1_SiteOnly_2030" vbProcedure="false">Interface!$J$74</definedName>
    <definedName function="false" hidden="false" name="WIF_ShippedNotOnline_B_D1_SiteOnly_2031" vbProcedure="false">Interface!$K$74</definedName>
    <definedName function="false" hidden="false" name="WIF_ShippedNotOnline_B_D1_SiteOnly_2032" vbProcedure="false">Interface!$L$74</definedName>
    <definedName function="false" hidden="false" name="WIF_ShippedNotOnline_B_D2_2024" vbProcedure="false">Interface!$D$40</definedName>
    <definedName function="false" hidden="false" name="WIF_ShippedNotOnline_B_D2_2025" vbProcedure="false">Interface!$E$40</definedName>
    <definedName function="false" hidden="false" name="WIF_ShippedNotOnline_B_D2_2026" vbProcedure="false">Interface!$F$40</definedName>
    <definedName function="false" hidden="false" name="WIF_ShippedNotOnline_B_D2_2027" vbProcedure="false">Interface!$G$40</definedName>
    <definedName function="false" hidden="false" name="WIF_ShippedNotOnline_B_D2_2028" vbProcedure="false">Interface!$H$40</definedName>
    <definedName function="false" hidden="false" name="WIF_ShippedNotOnline_B_D2_2029" vbProcedure="false">Interface!$I$40</definedName>
    <definedName function="false" hidden="false" name="WIF_ShippedNotOnline_B_D2_2030" vbProcedure="false">Interface!$J$40</definedName>
    <definedName function="false" hidden="false" name="WIF_ShippedNotOnline_B_D2_2031" vbProcedure="false">Interface!$K$40</definedName>
    <definedName function="false" hidden="false" name="WIF_ShippedNotOnline_B_D2_2032" vbProcedure="false">Interface!$L$40</definedName>
    <definedName function="false" hidden="false" name="WIF_ShippedNotOnline_B_D2_SiteOnly_2024" vbProcedure="false">Interface!$D$75</definedName>
    <definedName function="false" hidden="false" name="WIF_ShippedNotOnline_B_D2_SiteOnly_2025" vbProcedure="false">Interface!$E$75</definedName>
    <definedName function="false" hidden="false" name="WIF_ShippedNotOnline_B_D2_SiteOnly_2026" vbProcedure="false">Interface!$F$75</definedName>
    <definedName function="false" hidden="false" name="WIF_ShippedNotOnline_B_D2_SiteOnly_2027" vbProcedure="false">Interface!$G$75</definedName>
    <definedName function="false" hidden="false" name="WIF_ShippedNotOnline_B_D2_SiteOnly_2028" vbProcedure="false">Interface!$H$75</definedName>
    <definedName function="false" hidden="false" name="WIF_ShippedNotOnline_B_D2_SiteOnly_2029" vbProcedure="false">Interface!$I$75</definedName>
    <definedName function="false" hidden="false" name="WIF_ShippedNotOnline_B_D2_SiteOnly_2030" vbProcedure="false">Interface!$J$75</definedName>
    <definedName function="false" hidden="false" name="WIF_ShippedNotOnline_B_D2_SiteOnly_2031" vbProcedure="false">Interface!$K$75</definedName>
    <definedName function="false" hidden="false" name="WIF_ShippedNotOnline_B_D2_SiteOnly_2032" vbProcedure="false">Interface!$L$75</definedName>
    <definedName function="false" hidden="false" name="WIF_ShippedNotOnline_C_D1_2024" vbProcedure="false">Interface!$D$41</definedName>
    <definedName function="false" hidden="false" name="WIF_ShippedNotOnline_C_D1_2025" vbProcedure="false">Interface!$E$41</definedName>
    <definedName function="false" hidden="false" name="WIF_ShippedNotOnline_C_D1_2026" vbProcedure="false">Interface!$F$41</definedName>
    <definedName function="false" hidden="false" name="WIF_ShippedNotOnline_C_D1_2027" vbProcedure="false">Interface!$G$41</definedName>
    <definedName function="false" hidden="false" name="WIF_ShippedNotOnline_C_D1_2028" vbProcedure="false">Interface!$H$41</definedName>
    <definedName function="false" hidden="false" name="WIF_ShippedNotOnline_C_D1_2029" vbProcedure="false">Interface!$I$41</definedName>
    <definedName function="false" hidden="false" name="WIF_ShippedNotOnline_C_D1_2030" vbProcedure="false">Interface!$J$41</definedName>
    <definedName function="false" hidden="false" name="WIF_ShippedNotOnline_C_D1_2031" vbProcedure="false">Interface!$K$41</definedName>
    <definedName function="false" hidden="false" name="WIF_ShippedNotOnline_C_D1_2032" vbProcedure="false">Interface!$L$41</definedName>
    <definedName function="false" hidden="false" name="WIF_ShippedNotOnline_C_D1_SiteOnly_2024" vbProcedure="false">Interface!$D$76</definedName>
    <definedName function="false" hidden="false" name="WIF_ShippedNotOnline_C_D1_SiteOnly_2025" vbProcedure="false">Interface!$E$76</definedName>
    <definedName function="false" hidden="false" name="WIF_ShippedNotOnline_C_D1_SiteOnly_2026" vbProcedure="false">Interface!$F$76</definedName>
    <definedName function="false" hidden="false" name="WIF_ShippedNotOnline_C_D1_SiteOnly_2027" vbProcedure="false">Interface!$G$76</definedName>
    <definedName function="false" hidden="false" name="WIF_ShippedNotOnline_C_D1_SiteOnly_2028" vbProcedure="false">Interface!$H$76</definedName>
    <definedName function="false" hidden="false" name="WIF_ShippedNotOnline_C_D1_SiteOnly_2029" vbProcedure="false">Interface!$I$76</definedName>
    <definedName function="false" hidden="false" name="WIF_ShippedNotOnline_C_D1_SiteOnly_2030" vbProcedure="false">Interface!$J$76</definedName>
    <definedName function="false" hidden="false" name="WIF_ShippedNotOnline_C_D1_SiteOnly_2031" vbProcedure="false">Interface!$K$76</definedName>
    <definedName function="false" hidden="false" name="WIF_ShippedNotOnline_C_D1_SiteOnly_2032" vbProcedure="false">Interface!$L$76</definedName>
    <definedName function="false" hidden="false" name="WIF_ShippedNotOnline_C_D2_2024" vbProcedure="false">Interface!$D$42</definedName>
    <definedName function="false" hidden="false" name="WIF_ShippedNotOnline_C_D2_2025" vbProcedure="false">Interface!$E$42</definedName>
    <definedName function="false" hidden="false" name="WIF_ShippedNotOnline_C_D2_2026" vbProcedure="false">Interface!$F$42</definedName>
    <definedName function="false" hidden="false" name="WIF_ShippedNotOnline_C_D2_2027" vbProcedure="false">Interface!$G$42</definedName>
    <definedName function="false" hidden="false" name="WIF_ShippedNotOnline_C_D2_2028" vbProcedure="false">Interface!$H$42</definedName>
    <definedName function="false" hidden="false" name="WIF_ShippedNotOnline_C_D2_2029" vbProcedure="false">Interface!$I$42</definedName>
    <definedName function="false" hidden="false" name="WIF_ShippedNotOnline_C_D2_2030" vbProcedure="false">Interface!$J$42</definedName>
    <definedName function="false" hidden="false" name="WIF_ShippedNotOnline_C_D2_2031" vbProcedure="false">Interface!$K$42</definedName>
    <definedName function="false" hidden="false" name="WIF_ShippedNotOnline_C_D2_2032" vbProcedure="false">Interface!$L$42</definedName>
    <definedName function="false" hidden="false" name="WIF_ShippedNotOnline_C_D2_SiteOnly_2024" vbProcedure="false">Interface!$D$77</definedName>
    <definedName function="false" hidden="false" name="WIF_ShippedNotOnline_C_D2_SiteOnly_2025" vbProcedure="false">Interface!$E$77</definedName>
    <definedName function="false" hidden="false" name="WIF_ShippedNotOnline_C_D2_SiteOnly_2026" vbProcedure="false">Interface!$F$77</definedName>
    <definedName function="false" hidden="false" name="WIF_ShippedNotOnline_C_D2_SiteOnly_2027" vbProcedure="false">Interface!$G$77</definedName>
    <definedName function="false" hidden="false" name="WIF_ShippedNotOnline_C_D2_SiteOnly_2028" vbProcedure="false">Interface!$H$77</definedName>
    <definedName function="false" hidden="false" name="WIF_ShippedNotOnline_C_D2_SiteOnly_2029" vbProcedure="false">Interface!$I$77</definedName>
    <definedName function="false" hidden="false" name="WIF_ShippedNotOnline_C_D2_SiteOnly_2030" vbProcedure="false">Interface!$J$77</definedName>
    <definedName function="false" hidden="false" name="WIF_ShippedNotOnline_C_D2_SiteOnly_2031" vbProcedure="false">Interface!$K$77</definedName>
    <definedName function="false" hidden="false" name="WIF_ShippedNotOnline_C_D2_SiteOnly_2032" vbProcedure="false">Interface!$L$77</definedName>
    <definedName function="false" hidden="false" name="WIF_Spend_fac_bldg_2024" vbProcedure="false">Interface!$D$124</definedName>
    <definedName function="false" hidden="false" name="WIF_Spend_fac_bldg_2025" vbProcedure="false">Interface!$E$124</definedName>
    <definedName function="false" hidden="false" name="WIF_Spend_fac_bldg_2026" vbProcedure="false">Interface!$F$124</definedName>
    <definedName function="false" hidden="false" name="WIF_Spend_fac_bldg_2027" vbProcedure="false">Interface!$G$124</definedName>
    <definedName function="false" hidden="false" name="WIF_Spend_fac_bldg_2028" vbProcedure="false">Interface!$H$124</definedName>
    <definedName function="false" hidden="false" name="WIF_Spend_fac_bldg_2029" vbProcedure="false">Interface!$I$124</definedName>
    <definedName function="false" hidden="false" name="WIF_Spend_fac_bldg_2030" vbProcedure="false">Interface!$J$124</definedName>
    <definedName function="false" hidden="false" name="WIF_Spend_fac_bldg_2031" vbProcedure="false">Interface!$K$124</definedName>
    <definedName function="false" hidden="false" name="WIF_Spend_fac_bldg_2032" vbProcedure="false">Interface!$L$124</definedName>
    <definedName function="false" hidden="false" name="WIF_Spend_fac_cool_2024" vbProcedure="false">Interface!$D$123</definedName>
    <definedName function="false" hidden="false" name="WIF_Spend_fac_cool_2025" vbProcedure="false">Interface!$E$123</definedName>
    <definedName function="false" hidden="false" name="WIF_Spend_fac_cool_2026" vbProcedure="false">Interface!$F$123</definedName>
    <definedName function="false" hidden="false" name="WIF_Spend_fac_cool_2027" vbProcedure="false">Interface!$G$123</definedName>
    <definedName function="false" hidden="false" name="WIF_Spend_fac_cool_2028" vbProcedure="false">Interface!$H$123</definedName>
    <definedName function="false" hidden="false" name="WIF_Spend_fac_cool_2029" vbProcedure="false">Interface!$I$123</definedName>
    <definedName function="false" hidden="false" name="WIF_Spend_fac_cool_2030" vbProcedure="false">Interface!$J$123</definedName>
    <definedName function="false" hidden="false" name="WIF_Spend_fac_cool_2031" vbProcedure="false">Interface!$K$123</definedName>
    <definedName function="false" hidden="false" name="WIF_Spend_fac_cool_2032" vbProcedure="false">Interface!$L$123</definedName>
    <definedName function="false" hidden="false" name="WIF_Spend_fac_dist_2024" vbProcedure="false">Interface!$D$120</definedName>
    <definedName function="false" hidden="false" name="WIF_Spend_fac_dist_2025" vbProcedure="false">Interface!$E$120</definedName>
    <definedName function="false" hidden="false" name="WIF_Spend_fac_dist_2026" vbProcedure="false">Interface!$F$120</definedName>
    <definedName function="false" hidden="false" name="WIF_Spend_fac_dist_2027" vbProcedure="false">Interface!$G$120</definedName>
    <definedName function="false" hidden="false" name="WIF_Spend_fac_dist_2028" vbProcedure="false">Interface!$H$120</definedName>
    <definedName function="false" hidden="false" name="WIF_Spend_fac_dist_2029" vbProcedure="false">Interface!$I$120</definedName>
    <definedName function="false" hidden="false" name="WIF_Spend_fac_dist_2030" vbProcedure="false">Interface!$J$120</definedName>
    <definedName function="false" hidden="false" name="WIF_Spend_fac_dist_2031" vbProcedure="false">Interface!$K$120</definedName>
    <definedName function="false" hidden="false" name="WIF_Spend_fac_dist_2032" vbProcedure="false">Interface!$L$120</definedName>
    <definedName function="false" hidden="false" name="WIF_Spend_fac_gen_2024" vbProcedure="false">Interface!$D$121</definedName>
    <definedName function="false" hidden="false" name="WIF_Spend_fac_gen_2025" vbProcedure="false">Interface!$E$121</definedName>
    <definedName function="false" hidden="false" name="WIF_Spend_fac_gen_2026" vbProcedure="false">Interface!$F$121</definedName>
    <definedName function="false" hidden="false" name="WIF_Spend_fac_gen_2027" vbProcedure="false">Interface!$G$121</definedName>
    <definedName function="false" hidden="false" name="WIF_Spend_fac_gen_2028" vbProcedure="false">Interface!$H$121</definedName>
    <definedName function="false" hidden="false" name="WIF_Spend_fac_gen_2029" vbProcedure="false">Interface!$I$121</definedName>
    <definedName function="false" hidden="false" name="WIF_Spend_fac_gen_2030" vbProcedure="false">Interface!$J$121</definedName>
    <definedName function="false" hidden="false" name="WIF_Spend_fac_gen_2031" vbProcedure="false">Interface!$K$121</definedName>
    <definedName function="false" hidden="false" name="WIF_Spend_fac_gen_2032" vbProcedure="false">Interface!$L$121</definedName>
    <definedName function="false" hidden="false" name="WIF_Spend_fac_labor_2024" vbProcedure="false">Interface!$D$125</definedName>
    <definedName function="false" hidden="false" name="WIF_Spend_fac_labor_2025" vbProcedure="false">Interface!$E$125</definedName>
    <definedName function="false" hidden="false" name="WIF_Spend_fac_labor_2026" vbProcedure="false">Interface!$F$125</definedName>
    <definedName function="false" hidden="false" name="WIF_Spend_fac_labor_2027" vbProcedure="false">Interface!$G$125</definedName>
    <definedName function="false" hidden="false" name="WIF_Spend_fac_labor_2028" vbProcedure="false">Interface!$H$125</definedName>
    <definedName function="false" hidden="false" name="WIF_Spend_fac_labor_2029" vbProcedure="false">Interface!$I$125</definedName>
    <definedName function="false" hidden="false" name="WIF_Spend_fac_labor_2030" vbProcedure="false">Interface!$J$125</definedName>
    <definedName function="false" hidden="false" name="WIF_Spend_fac_labor_2031" vbProcedure="false">Interface!$K$125</definedName>
    <definedName function="false" hidden="false" name="WIF_Spend_fac_labor_2032" vbProcedure="false">Interface!$L$125</definedName>
    <definedName function="false" hidden="false" name="WIF_Spend_fac_land_2024" vbProcedure="false">Interface!$D$128</definedName>
    <definedName function="false" hidden="false" name="WIF_Spend_fac_land_2025" vbProcedure="false">Interface!$E$128</definedName>
    <definedName function="false" hidden="false" name="WIF_Spend_fac_land_2026" vbProcedure="false">Interface!$F$128</definedName>
    <definedName function="false" hidden="false" name="WIF_Spend_fac_land_2027" vbProcedure="false">Interface!$G$128</definedName>
    <definedName function="false" hidden="false" name="WIF_Spend_fac_land_2028" vbProcedure="false">Interface!$H$128</definedName>
    <definedName function="false" hidden="false" name="WIF_Spend_fac_land_2029" vbProcedure="false">Interface!$I$128</definedName>
    <definedName function="false" hidden="false" name="WIF_Spend_fac_land_2030" vbProcedure="false">Interface!$J$128</definedName>
    <definedName function="false" hidden="false" name="WIF_Spend_fac_land_2031" vbProcedure="false">Interface!$K$128</definedName>
    <definedName function="false" hidden="false" name="WIF_Spend_fac_land_2032" vbProcedure="false">Interface!$L$128</definedName>
    <definedName function="false" hidden="false" name="WIF_Spend_fac_net_2024" vbProcedure="false">Interface!$D$127</definedName>
    <definedName function="false" hidden="false" name="WIF_Spend_fac_net_2025" vbProcedure="false">Interface!$E$127</definedName>
    <definedName function="false" hidden="false" name="WIF_Spend_fac_net_2026" vbProcedure="false">Interface!$F$127</definedName>
    <definedName function="false" hidden="false" name="WIF_Spend_fac_net_2027" vbProcedure="false">Interface!$G$127</definedName>
    <definedName function="false" hidden="false" name="WIF_Spend_fac_net_2028" vbProcedure="false">Interface!$H$127</definedName>
    <definedName function="false" hidden="false" name="WIF_Spend_fac_net_2029" vbProcedure="false">Interface!$I$127</definedName>
    <definedName function="false" hidden="false" name="WIF_Spend_fac_net_2030" vbProcedure="false">Interface!$J$127</definedName>
    <definedName function="false" hidden="false" name="WIF_Spend_fac_net_2031" vbProcedure="false">Interface!$K$127</definedName>
    <definedName function="false" hidden="false" name="WIF_Spend_fac_net_2032" vbProcedure="false">Interface!$L$127</definedName>
    <definedName function="false" hidden="false" name="WIF_Spend_fac_prof_2024" vbProcedure="false">Interface!$D$126</definedName>
    <definedName function="false" hidden="false" name="WIF_Spend_fac_prof_2025" vbProcedure="false">Interface!$E$126</definedName>
    <definedName function="false" hidden="false" name="WIF_Spend_fac_prof_2026" vbProcedure="false">Interface!$F$126</definedName>
    <definedName function="false" hidden="false" name="WIF_Spend_fac_prof_2027" vbProcedure="false">Interface!$G$126</definedName>
    <definedName function="false" hidden="false" name="WIF_Spend_fac_prof_2028" vbProcedure="false">Interface!$H$126</definedName>
    <definedName function="false" hidden="false" name="WIF_Spend_fac_prof_2029" vbProcedure="false">Interface!$I$126</definedName>
    <definedName function="false" hidden="false" name="WIF_Spend_fac_prof_2030" vbProcedure="false">Interface!$J$126</definedName>
    <definedName function="false" hidden="false" name="WIF_Spend_fac_prof_2031" vbProcedure="false">Interface!$K$126</definedName>
    <definedName function="false" hidden="false" name="WIF_Spend_fac_prof_2032" vbProcedure="false">Interface!$L$126</definedName>
    <definedName function="false" hidden="false" name="WIF_Spend_fac_resid_2024" vbProcedure="false">Interface!$D$129</definedName>
    <definedName function="false" hidden="false" name="WIF_Spend_fac_resid_2025" vbProcedure="false">Interface!$E$129</definedName>
    <definedName function="false" hidden="false" name="WIF_Spend_fac_resid_2026" vbProcedure="false">Interface!$F$129</definedName>
    <definedName function="false" hidden="false" name="WIF_Spend_fac_resid_2027" vbProcedure="false">Interface!$G$129</definedName>
    <definedName function="false" hidden="false" name="WIF_Spend_fac_resid_2028" vbProcedure="false">Interface!$H$129</definedName>
    <definedName function="false" hidden="false" name="WIF_Spend_fac_resid_2029" vbProcedure="false">Interface!$I$129</definedName>
    <definedName function="false" hidden="false" name="WIF_Spend_fac_resid_2030" vbProcedure="false">Interface!$J$129</definedName>
    <definedName function="false" hidden="false" name="WIF_Spend_fac_resid_2031" vbProcedure="false">Interface!$K$129</definedName>
    <definedName function="false" hidden="false" name="WIF_Spend_fac_resid_2032" vbProcedure="false">Interface!$L$129</definedName>
    <definedName function="false" hidden="false" name="WIF_Spend_fac_sum_2024" vbProcedure="false">Interface!$D$130</definedName>
    <definedName function="false" hidden="false" name="WIF_Spend_fac_sum_2025" vbProcedure="false">Interface!$E$130</definedName>
    <definedName function="false" hidden="false" name="WIF_Spend_fac_sum_2026" vbProcedure="false">Interface!$F$130</definedName>
    <definedName function="false" hidden="false" name="WIF_Spend_fac_sum_2027" vbProcedure="false">Interface!$G$130</definedName>
    <definedName function="false" hidden="false" name="WIF_Spend_fac_sum_2028" vbProcedure="false">Interface!$H$130</definedName>
    <definedName function="false" hidden="false" name="WIF_Spend_fac_sum_2029" vbProcedure="false">Interface!$I$130</definedName>
    <definedName function="false" hidden="false" name="WIF_Spend_fac_sum_2030" vbProcedure="false">Interface!$J$130</definedName>
    <definedName function="false" hidden="false" name="WIF_Spend_fac_sum_2031" vbProcedure="false">Interface!$K$130</definedName>
    <definedName function="false" hidden="false" name="WIF_Spend_fac_sum_2032" vbProcedure="false">Interface!$L$130</definedName>
    <definedName function="false" hidden="false" name="WIF_Spend_fac_ups_2024" vbProcedure="false">Interface!$D$122</definedName>
    <definedName function="false" hidden="false" name="WIF_Spend_fac_ups_2025" vbProcedure="false">Interface!$E$122</definedName>
    <definedName function="false" hidden="false" name="WIF_Spend_fac_ups_2026" vbProcedure="false">Interface!$F$122</definedName>
    <definedName function="false" hidden="false" name="WIF_Spend_fac_ups_2027" vbProcedure="false">Interface!$G$122</definedName>
    <definedName function="false" hidden="false" name="WIF_Spend_fac_ups_2028" vbProcedure="false">Interface!$H$122</definedName>
    <definedName function="false" hidden="false" name="WIF_Spend_fac_ups_2029" vbProcedure="false">Interface!$I$122</definedName>
    <definedName function="false" hidden="false" name="WIF_Spend_fac_ups_2030" vbProcedure="false">Interface!$J$122</definedName>
    <definedName function="false" hidden="false" name="WIF_Spend_fac_ups_2031" vbProcedure="false">Interface!$K$122</definedName>
    <definedName function="false" hidden="false" name="WIF_Spend_fac_ups_2032" vbProcedure="false">Interface!$L$122</definedName>
    <definedName function="false" hidden="false" name="WIF_Spend_it_compute_2024" vbProcedure="false">Interface!$D$111</definedName>
    <definedName function="false" hidden="false" name="WIF_Spend_it_compute_2025" vbProcedure="false">Interface!$E$111</definedName>
    <definedName function="false" hidden="false" name="WIF_Spend_it_compute_2026" vbProcedure="false">Interface!$F$111</definedName>
    <definedName function="false" hidden="false" name="WIF_Spend_it_compute_2027" vbProcedure="false">Interface!$G$111</definedName>
    <definedName function="false" hidden="false" name="WIF_Spend_it_compute_2028" vbProcedure="false">Interface!$H$111</definedName>
    <definedName function="false" hidden="false" name="WIF_Spend_it_compute_2029" vbProcedure="false">Interface!$I$111</definedName>
    <definedName function="false" hidden="false" name="WIF_Spend_it_compute_2030" vbProcedure="false">Interface!$J$111</definedName>
    <definedName function="false" hidden="false" name="WIF_Spend_it_compute_2031" vbProcedure="false">Interface!$K$111</definedName>
    <definedName function="false" hidden="false" name="WIF_Spend_it_compute_2032" vbProcedure="false">Interface!$L$111</definedName>
    <definedName function="false" hidden="false" name="WIF_Spend_it_foundry_2024" vbProcedure="false">Interface!$D$114</definedName>
    <definedName function="false" hidden="false" name="WIF_Spend_it_foundry_2025" vbProcedure="false">Interface!$E$114</definedName>
    <definedName function="false" hidden="false" name="WIF_Spend_it_foundry_2026" vbProcedure="false">Interface!$F$114</definedName>
    <definedName function="false" hidden="false" name="WIF_Spend_it_foundry_2027" vbProcedure="false">Interface!$G$114</definedName>
    <definedName function="false" hidden="false" name="WIF_Spend_it_foundry_2028" vbProcedure="false">Interface!$H$114</definedName>
    <definedName function="false" hidden="false" name="WIF_Spend_it_foundry_2029" vbProcedure="false">Interface!$I$114</definedName>
    <definedName function="false" hidden="false" name="WIF_Spend_it_foundry_2030" vbProcedure="false">Interface!$J$114</definedName>
    <definedName function="false" hidden="false" name="WIF_Spend_it_foundry_2031" vbProcedure="false">Interface!$K$114</definedName>
    <definedName function="false" hidden="false" name="WIF_Spend_it_foundry_2032" vbProcedure="false">Interface!$L$114</definedName>
    <definedName function="false" hidden="false" name="WIF_Spend_it_memory_2024" vbProcedure="false">Interface!$D$112</definedName>
    <definedName function="false" hidden="false" name="WIF_Spend_it_memory_2025" vbProcedure="false">Interface!$E$112</definedName>
    <definedName function="false" hidden="false" name="WIF_Spend_it_memory_2026" vbProcedure="false">Interface!$F$112</definedName>
    <definedName function="false" hidden="false" name="WIF_Spend_it_memory_2027" vbProcedure="false">Interface!$G$112</definedName>
    <definedName function="false" hidden="false" name="WIF_Spend_it_memory_2028" vbProcedure="false">Interface!$H$112</definedName>
    <definedName function="false" hidden="false" name="WIF_Spend_it_memory_2029" vbProcedure="false">Interface!$I$112</definedName>
    <definedName function="false" hidden="false" name="WIF_Spend_it_memory_2030" vbProcedure="false">Interface!$J$112</definedName>
    <definedName function="false" hidden="false" name="WIF_Spend_it_memory_2031" vbProcedure="false">Interface!$K$112</definedName>
    <definedName function="false" hidden="false" name="WIF_Spend_it_memory_2032" vbProcedure="false">Interface!$L$112</definedName>
    <definedName function="false" hidden="false" name="WIF_Spend_it_network_2024" vbProcedure="false">Interface!$D$113</definedName>
    <definedName function="false" hidden="false" name="WIF_Spend_it_network_2025" vbProcedure="false">Interface!$E$113</definedName>
    <definedName function="false" hidden="false" name="WIF_Spend_it_network_2026" vbProcedure="false">Interface!$F$113</definedName>
    <definedName function="false" hidden="false" name="WIF_Spend_it_network_2027" vbProcedure="false">Interface!$G$113</definedName>
    <definedName function="false" hidden="false" name="WIF_Spend_it_network_2028" vbProcedure="false">Interface!$H$113</definedName>
    <definedName function="false" hidden="false" name="WIF_Spend_it_network_2029" vbProcedure="false">Interface!$I$113</definedName>
    <definedName function="false" hidden="false" name="WIF_Spend_it_network_2030" vbProcedure="false">Interface!$J$113</definedName>
    <definedName function="false" hidden="false" name="WIF_Spend_it_network_2031" vbProcedure="false">Interface!$K$113</definedName>
    <definedName function="false" hidden="false" name="WIF_Spend_it_network_2032" vbProcedure="false">Interface!$L$113</definedName>
    <definedName function="false" hidden="false" name="WIF_Spend_it_power_thermal_2024" vbProcedure="false">Interface!$D$116</definedName>
    <definedName function="false" hidden="false" name="WIF_Spend_it_power_thermal_2025" vbProcedure="false">Interface!$E$116</definedName>
    <definedName function="false" hidden="false" name="WIF_Spend_it_power_thermal_2026" vbProcedure="false">Interface!$F$116</definedName>
    <definedName function="false" hidden="false" name="WIF_Spend_it_power_thermal_2027" vbProcedure="false">Interface!$G$116</definedName>
    <definedName function="false" hidden="false" name="WIF_Spend_it_power_thermal_2028" vbProcedure="false">Interface!$H$116</definedName>
    <definedName function="false" hidden="false" name="WIF_Spend_it_power_thermal_2029" vbProcedure="false">Interface!$I$116</definedName>
    <definedName function="false" hidden="false" name="WIF_Spend_it_power_thermal_2030" vbProcedure="false">Interface!$J$116</definedName>
    <definedName function="false" hidden="false" name="WIF_Spend_it_power_thermal_2031" vbProcedure="false">Interface!$K$116</definedName>
    <definedName function="false" hidden="false" name="WIF_Spend_it_power_thermal_2032" vbProcedure="false">Interface!$L$116</definedName>
    <definedName function="false" hidden="false" name="WIF_Spend_it_server_2024" vbProcedure="false">Interface!$D$117</definedName>
    <definedName function="false" hidden="false" name="WIF_Spend_it_server_2025" vbProcedure="false">Interface!$E$117</definedName>
    <definedName function="false" hidden="false" name="WIF_Spend_it_server_2026" vbProcedure="false">Interface!$F$117</definedName>
    <definedName function="false" hidden="false" name="WIF_Spend_it_server_2027" vbProcedure="false">Interface!$G$117</definedName>
    <definedName function="false" hidden="false" name="WIF_Spend_it_server_2028" vbProcedure="false">Interface!$H$117</definedName>
    <definedName function="false" hidden="false" name="WIF_Spend_it_server_2029" vbProcedure="false">Interface!$I$117</definedName>
    <definedName function="false" hidden="false" name="WIF_Spend_it_server_2030" vbProcedure="false">Interface!$J$117</definedName>
    <definedName function="false" hidden="false" name="WIF_Spend_it_server_2031" vbProcedure="false">Interface!$K$117</definedName>
    <definedName function="false" hidden="false" name="WIF_Spend_it_server_2032" vbProcedure="false">Interface!$L$117</definedName>
    <definedName function="false" hidden="false" name="WIF_Spend_it_storage_2024" vbProcedure="false">Interface!$D$118</definedName>
    <definedName function="false" hidden="false" name="WIF_Spend_it_storage_2025" vbProcedure="false">Interface!$E$118</definedName>
    <definedName function="false" hidden="false" name="WIF_Spend_it_storage_2026" vbProcedure="false">Interface!$F$118</definedName>
    <definedName function="false" hidden="false" name="WIF_Spend_it_storage_2027" vbProcedure="false">Interface!$G$118</definedName>
    <definedName function="false" hidden="false" name="WIF_Spend_it_storage_2028" vbProcedure="false">Interface!$H$118</definedName>
    <definedName function="false" hidden="false" name="WIF_Spend_it_storage_2029" vbProcedure="false">Interface!$I$118</definedName>
    <definedName function="false" hidden="false" name="WIF_Spend_it_storage_2030" vbProcedure="false">Interface!$J$118</definedName>
    <definedName function="false" hidden="false" name="WIF_Spend_it_storage_2031" vbProcedure="false">Interface!$K$118</definedName>
    <definedName function="false" hidden="false" name="WIF_Spend_it_storage_2032" vbProcedure="false">Interface!$L$118</definedName>
    <definedName function="false" hidden="false" name="WIF_Spend_it_substrate_2024" vbProcedure="false">Interface!$D$115</definedName>
    <definedName function="false" hidden="false" name="WIF_Spend_it_substrate_2025" vbProcedure="false">Interface!$E$115</definedName>
    <definedName function="false" hidden="false" name="WIF_Spend_it_substrate_2026" vbProcedure="false">Interface!$F$115</definedName>
    <definedName function="false" hidden="false" name="WIF_Spend_it_substrate_2027" vbProcedure="false">Interface!$G$115</definedName>
    <definedName function="false" hidden="false" name="WIF_Spend_it_substrate_2028" vbProcedure="false">Interface!$H$115</definedName>
    <definedName function="false" hidden="false" name="WIF_Spend_it_substrate_2029" vbProcedure="false">Interface!$I$115</definedName>
    <definedName function="false" hidden="false" name="WIF_Spend_it_substrate_2030" vbProcedure="false">Interface!$J$115</definedName>
    <definedName function="false" hidden="false" name="WIF_Spend_it_substrate_2031" vbProcedure="false">Interface!$K$115</definedName>
    <definedName function="false" hidden="false" name="WIF_Spend_it_substrate_2032" vbProcedure="false">Interface!$L$115</definedName>
    <definedName function="false" hidden="false" name="WIF_Spend_it_sum_2024" vbProcedure="false">Interface!$D$119</definedName>
    <definedName function="false" hidden="false" name="WIF_Spend_it_sum_2025" vbProcedure="false">Interface!$E$119</definedName>
    <definedName function="false" hidden="false" name="WIF_Spend_it_sum_2026" vbProcedure="false">Interface!$F$119</definedName>
    <definedName function="false" hidden="false" name="WIF_Spend_it_sum_2027" vbProcedure="false">Interface!$G$119</definedName>
    <definedName function="false" hidden="false" name="WIF_Spend_it_sum_2028" vbProcedure="false">Interface!$H$119</definedName>
    <definedName function="false" hidden="false" name="WIF_Spend_it_sum_2029" vbProcedure="false">Interface!$I$119</definedName>
    <definedName function="false" hidden="false" name="WIF_Spend_it_sum_2030" vbProcedure="false">Interface!$J$119</definedName>
    <definedName function="false" hidden="false" name="WIF_Spend_it_sum_2031" vbProcedure="false">Interface!$K$119</definedName>
    <definedName function="false" hidden="false" name="WIF_Spend_it_sum_2032" vbProcedure="false">Interface!$L$119</definedName>
    <definedName function="false" hidden="false" name="WIF_Spend_self_gen_2024" vbProcedure="false">Interface!$D$131</definedName>
    <definedName function="false" hidden="false" name="WIF_Spend_self_gen_2025" vbProcedure="false">Interface!$E$131</definedName>
    <definedName function="false" hidden="false" name="WIF_Spend_self_gen_2026" vbProcedure="false">Interface!$F$131</definedName>
    <definedName function="false" hidden="false" name="WIF_Spend_self_gen_2027" vbProcedure="false">Interface!$G$131</definedName>
    <definedName function="false" hidden="false" name="WIF_Spend_self_gen_2028" vbProcedure="false">Interface!$H$131</definedName>
    <definedName function="false" hidden="false" name="WIF_Spend_self_gen_2029" vbProcedure="false">Interface!$I$131</definedName>
    <definedName function="false" hidden="false" name="WIF_Spend_self_gen_2030" vbProcedure="false">Interface!$J$131</definedName>
    <definedName function="false" hidden="false" name="WIF_Spend_self_gen_2031" vbProcedure="false">Interface!$K$131</definedName>
    <definedName function="false" hidden="false" name="WIF_Spend_self_gen_2032" vbProcedure="false">Interface!$L$131</definedName>
    <definedName function="false" hidden="false" name="WIF_Spend_total_2024" vbProcedure="false">Interface!$D$132</definedName>
    <definedName function="false" hidden="false" name="WIF_Spend_total_2025" vbProcedure="false">Interface!$E$132</definedName>
    <definedName function="false" hidden="false" name="WIF_Spend_total_2026" vbProcedure="false">Interface!$F$132</definedName>
    <definedName function="false" hidden="false" name="WIF_Spend_total_2027" vbProcedure="false">Interface!$G$132</definedName>
    <definedName function="false" hidden="false" name="WIF_Spend_total_2028" vbProcedure="false">Interface!$H$132</definedName>
    <definedName function="false" hidden="false" name="WIF_Spend_total_2029" vbProcedure="false">Interface!$I$132</definedName>
    <definedName function="false" hidden="false" name="WIF_Spend_total_2030" vbProcedure="false">Interface!$J$132</definedName>
    <definedName function="false" hidden="false" name="WIF_Spend_total_2031" vbProcedure="false">Interface!$K$132</definedName>
    <definedName function="false" hidden="false" name="WIF_Spend_total_2032" vbProcedure="false">Interface!$L$132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<sst xmlns="http://schemas.openxmlformats.org/spreadsheetml/2006/main" count="22340" uniqueCount="9091">
  <si>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v0.1.3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2026-10-30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</si>
  <si>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</si>
  <si>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</si>
  <si>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</si>
  <si>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</si>
  <si>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</si>
  <si>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</si>
  <si>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</si>
  <si>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r>
      <rPr>
        <b val="true"/>
        <sz val="13"/>
        <rFont val="Cambria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：套用 </t>
    </r>
    <r>
      <rPr>
        <b val="true"/>
        <sz val="13"/>
        <rFont val="Cambria"/>
        <family val="0"/>
        <charset val="1"/>
      </rPr>
      <t xml:space="preserve">H </t>
    </r>
    <r>
      <rPr>
        <b val="true"/>
        <sz val="13"/>
        <rFont val="Noto Sans CJK SC"/>
        <family val="2"/>
      </rPr>
      <t xml:space="preserve">段（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旗標人工複核）更正——證據檔 </t>
    </r>
    <r>
      <rPr>
        <b val="true"/>
        <sz val="13"/>
        <rFont val="Cambria"/>
        <family val="0"/>
        <charset val="1"/>
      </rPr>
      <t xml:space="preserve">79 </t>
    </r>
    <r>
      <rPr>
        <b val="true"/>
        <sz val="13"/>
        <rFont val="Noto Sans CJK SC"/>
        <family val="2"/>
      </rPr>
      <t xml:space="preserve">筆、</t>
    </r>
    <r>
      <rPr>
        <b val="true"/>
        <sz val="13"/>
        <rFont val="Cambria"/>
        <family val="0"/>
        <charset val="1"/>
      </rPr>
      <t xml:space="preserve">In </t>
    </r>
    <r>
      <rPr>
        <b val="true"/>
        <sz val="13"/>
        <rFont val="Noto Sans CJK SC"/>
        <family val="2"/>
      </rPr>
      <t xml:space="preserve">輸入 </t>
    </r>
    <r>
      <rPr>
        <b val="true"/>
        <sz val="13"/>
        <rFont val="Cambria"/>
        <family val="0"/>
        <charset val="1"/>
      </rPr>
      <t xml:space="preserve">19 </t>
    </r>
    <r>
      <rPr>
        <b val="true"/>
        <sz val="13"/>
        <rFont val="Noto Sans CJK SC"/>
        <family val="2"/>
      </rPr>
      <t xml:space="preserve">格（</t>
    </r>
    <r>
      <rPr>
        <b val="true"/>
        <sz val="13"/>
        <rFont val="Cambria"/>
        <family val="0"/>
        <charset val="1"/>
      </rPr>
      <t xml:space="preserve">cp_msft_abl </t>
    </r>
    <r>
      <rPr>
        <b val="true"/>
        <sz val="13"/>
        <rFont val="Noto Sans CJK SC"/>
        <family val="2"/>
      </rPr>
      <t xml:space="preserve">改 </t>
    </r>
    <r>
      <rPr>
        <b val="true"/>
        <sz val="13"/>
        <rFont val="Cambria"/>
        <family val="0"/>
        <charset val="1"/>
      </rPr>
      <t xml:space="preserve">336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336 MW-IT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xfmr_gva 2.1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2.67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3.15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fac_gen_px </t>
    </r>
    <r>
      <rPr>
        <b val="true"/>
        <sz val="13"/>
        <rFont val="Noto Sans CJK SC"/>
        <family val="2"/>
      </rPr>
      <t xml:space="preserve">低 </t>
    </r>
    <r>
      <rPr>
        <b val="true"/>
        <sz val="13"/>
        <rFont val="Cambria"/>
        <family val="0"/>
        <charset val="1"/>
      </rPr>
      <t xml:space="preserve">0.5</t>
    </r>
    <r>
      <rPr>
        <b val="true"/>
        <sz val="13"/>
        <rFont val="Noto Sans CJK SC"/>
        <family val="2"/>
      </rPr>
      <t xml:space="preserve">），</t>
    </r>
    <r>
      <rPr>
        <b val="true"/>
        <sz val="13"/>
        <rFont val="Cambria"/>
        <family val="0"/>
        <charset val="1"/>
      </rPr>
      <t xml:space="preserve">FundRaw F#31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F#199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F#222 </t>
    </r>
    <r>
      <rPr>
        <b val="true"/>
        <sz val="13"/>
        <rFont val="Noto Sans CJK SC"/>
        <family val="2"/>
      </rPr>
      <t xml:space="preserve">改不採用（採購或投資存量，非融資）；園區候選（</t>
    </r>
    <r>
      <rPr>
        <b val="true"/>
        <sz val="13"/>
        <rFont val="Cambria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409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列）、更正既有 </t>
    </r>
    <r>
      <rPr>
        <b val="true"/>
        <sz val="13"/>
        <rFont val="Cambria"/>
        <family val="0"/>
        <charset val="1"/>
      </rPr>
      <t xml:space="preserve">20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Fairwater </t>
    </r>
    <r>
      <rPr>
        <b val="true"/>
        <sz val="13"/>
        <rFont val="Noto Sans CJK SC"/>
        <family val="2"/>
      </rPr>
      <t xml:space="preserve">拆分、</t>
    </r>
    <r>
      <rPr>
        <b val="true"/>
        <sz val="13"/>
        <rFont val="Cambria"/>
        <family val="0"/>
        <charset val="1"/>
      </rPr>
      <t xml:space="preserve">Ports Pike </t>
    </r>
    <r>
      <rPr>
        <b val="true"/>
        <sz val="13"/>
        <rFont val="Noto Sans CJK SC"/>
        <family val="2"/>
      </rPr>
      <t xml:space="preserve">首批 </t>
    </r>
    <r>
      <rPr>
        <b val="true"/>
        <sz val="13"/>
        <rFont val="Cambria"/>
        <family val="0"/>
        <charset val="1"/>
      </rPr>
      <t xml:space="preserve">800 MW </t>
    </r>
    <r>
      <rPr>
        <b val="true"/>
        <sz val="13"/>
        <rFont val="Noto Sans CJK SC"/>
        <family val="2"/>
      </rPr>
      <t xml:space="preserve">至 </t>
    </r>
    <r>
      <rPr>
        <b val="true"/>
        <sz val="13"/>
        <rFont val="Cambria"/>
        <family val="0"/>
        <charset val="1"/>
      </rPr>
      <t xml:space="preserve">2031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Humain 1.7 GW </t>
    </r>
    <r>
      <rPr>
        <b val="true"/>
        <sz val="13"/>
        <rFont val="Noto Sans CJK SC"/>
        <family val="2"/>
      </rPr>
      <t xml:space="preserve">提前到 </t>
    </r>
    <r>
      <rPr>
        <b val="true"/>
        <sz val="13"/>
        <rFont val="Cambria"/>
        <family val="0"/>
        <charset val="1"/>
      </rPr>
      <t xml:space="preserve">2027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Milam 308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445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Jupiter </t>
    </r>
    <r>
      <rPr>
        <b val="true"/>
        <sz val="13"/>
        <rFont val="Noto Sans CJK SC"/>
        <family val="2"/>
      </rPr>
      <t xml:space="preserve">已知延遲刪除）、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列改計入（</t>
    </r>
    <r>
      <rPr>
        <b val="true"/>
        <sz val="13"/>
        <rFont val="Cambria"/>
        <family val="0"/>
        <charset val="1"/>
      </rPr>
      <t xml:space="preserve">Stargate UAE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Colossus 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Mistral 96 MW</t>
    </r>
    <r>
      <rPr>
        <b val="true"/>
        <sz val="13"/>
        <rFont val="Noto Sans CJK SC"/>
        <family val="2"/>
      </rPr>
      <t xml:space="preserve">）。</t>
    </r>
    <r>
      <rPr>
        <b val="true"/>
        <sz val="13"/>
        <rFont val="Cambria"/>
        <family val="0"/>
        <charset val="1"/>
      </rPr>
      <t xml:space="preserve">Hyperion 5 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SoftBank </t>
    </r>
    <r>
      <rPr>
        <b val="true"/>
        <sz val="13"/>
        <rFont val="Noto Sans CJK SC"/>
        <family val="2"/>
      </rPr>
      <t xml:space="preserve">苫小牧依判斷題預設不入。</t>
    </r>
  </si>
  <si>
    <r>
      <rPr>
        <b val="true"/>
        <sz val="13"/>
        <rFont val="Cambria"/>
        <family val="0"/>
        <charset val="1"/>
      </rPr>
      <t xml:space="preserve">v0.1.3</t>
    </r>
    <r>
      <rPr>
        <b val="true"/>
        <sz val="13"/>
        <rFont val="Noto Sans CJK SC"/>
        <family val="2"/>
      </rPr>
      <t xml:space="preserve">：第二輪美國以外園區候選（</t>
    </r>
    <r>
      <rPr>
        <b val="true"/>
        <sz val="13"/>
        <rFont val="Cambria"/>
        <family val="0"/>
        <charset val="1"/>
      </rPr>
      <t xml:space="preserve">T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345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 </t>
    </r>
    <r>
      <rPr>
        <b val="true"/>
        <sz val="13"/>
        <rFont val="Noto Sans CJK SC"/>
        <family val="2"/>
      </rPr>
      <t xml:space="preserve">分區 </t>
    </r>
    <r>
      <rPr>
        <b val="true"/>
        <sz val="13"/>
        <rFont val="Cambria"/>
        <family val="0"/>
        <charset val="1"/>
      </rPr>
      <t xml:space="preserve">Batch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I2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Nebius Beit Shemesh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Google Kronstorf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DataVita DV1 </t>
    </r>
    <r>
      <rPr>
        <b val="true"/>
        <sz val="13"/>
        <rFont val="Noto Sans CJK SC"/>
        <family val="2"/>
      </rPr>
      <t xml:space="preserve">擴建、</t>
    </r>
    <r>
      <rPr>
        <b val="true"/>
        <sz val="13"/>
        <rFont val="Cambria"/>
        <family val="0"/>
        <charset val="1"/>
      </rPr>
      <t xml:space="preserve">Meta Sturgeon 250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720 </t>
    </r>
    <r>
      <rPr>
        <b val="true"/>
        <sz val="13"/>
        <rFont val="Noto Sans CJK SC"/>
        <family val="2"/>
      </rPr>
      <t xml:space="preserve">設施）；</t>
    </r>
    <r>
      <rPr>
        <b val="true"/>
        <sz val="13"/>
        <rFont val="Cambria"/>
        <family val="0"/>
        <charset val="1"/>
      </rPr>
      <t xml:space="preserve">Humain </t>
    </r>
    <r>
      <rPr>
        <b val="true"/>
        <sz val="13"/>
        <rFont val="Noto Sans CJK SC"/>
        <family val="2"/>
      </rPr>
      <t xml:space="preserve">兩列加註風險（只有公司目標支持）；主權玩家名稱更新。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</si>
  <si>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</si>
  <si>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</si>
  <si>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</si>
  <si>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</si>
  <si>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</si>
  <si>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</si>
  <si>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</si>
  <si>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</si>
  <si>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</si>
  <si>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</si>
  <si>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</si>
  <si>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</si>
  <si>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</si>
  <si>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</si>
  <si>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</si>
  <si>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</si>
  <si>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</si>
  <si>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</si>
  <si>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</si>
  <si>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</si>
  <si>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</si>
  <si>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</si>
  <si>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</si>
  <si>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</si>
  <si>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</si>
  <si>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</si>
  <si>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</si>
  <si>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</si>
  <si>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</si>
  <si>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</si>
  <si>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</si>
  <si>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</si>
  <si>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</si>
  <si>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</si>
  <si>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</si>
  <si>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</si>
  <si>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</si>
  <si>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</si>
  <si>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</si>
  <si>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</si>
  <si>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</si>
  <si>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</si>
  <si>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</si>
  <si>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</si>
  <si>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</si>
  <si>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</si>
  <si>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</si>
  <si>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</si>
  <si>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</si>
  <si>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</si>
  <si>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</si>
  <si>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</si>
  <si>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</si>
  <si>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</si>
  <si>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</si>
  <si>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</si>
  <si>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</si>
  <si>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</si>
  <si>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</si>
  <si>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</si>
  <si>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</si>
  <si>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</si>
  <si>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</si>
  <si>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</si>
  <si>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</si>
  <si>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</si>
  <si>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</si>
  <si>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</si>
  <si>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</si>
  <si>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</si>
  <si>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</si>
  <si>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</si>
  <si>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</si>
  <si>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</si>
  <si>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</si>
  <si>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</si>
  <si>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</si>
  <si>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</si>
  <si>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</si>
  <si>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</si>
  <si>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</si>
  <si>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</si>
  <si>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</si>
  <si>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</si>
  <si>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</si>
  <si>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</si>
  <si>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 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 Nebius NJ </t>
    </r>
    <r>
      <rPr>
        <sz val="11"/>
        <color theme="1"/>
        <rFont val="Noto Sans CJK SC"/>
        <family val="2"/>
      </rPr>
      <t xml:space="preserve">首期延遲 </t>
    </r>
    <r>
      <rPr>
        <sz val="11"/>
        <color theme="1"/>
        <rFont val="Calibri"/>
        <family val="2"/>
        <charset val="1"/>
      </rPr>
      <t xml:space="preserve">6–7</t>
    </r>
    <r>
      <rPr>
        <sz val="11"/>
        <color theme="1"/>
        <rFont val="Noto Sans CJK SC"/>
        <family val="2"/>
      </rPr>
      <t xml:space="preserve">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月對目標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low 3 [Assumed]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段：刪除 </t>
    </r>
    <r>
      <rPr>
        <sz val="11"/>
        <color theme="1"/>
        <rFont val="Calibri"/>
        <family val="2"/>
        <charset val="1"/>
      </rPr>
      <t xml:space="preserve">Denton D#18</t>
    </r>
    <r>
      <rPr>
        <sz val="11"/>
        <color theme="1"/>
        <rFont val="Noto Sans CJK SC"/>
        <family val="2"/>
      </rPr>
      <t xml:space="preserve">，原頁無月數）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</si>
  <si>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</si>
  <si>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</si>
  <si>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（大負載併網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月以上）、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（發電側併網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</si>
  <si>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</si>
  <si>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</si>
  <si>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</si>
  <si>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</si>
  <si>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</si>
  <si>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</si>
  <si>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</si>
  <si>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</si>
  <si>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</si>
  <si>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</si>
  <si>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</si>
  <si>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</si>
  <si>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</si>
  <si>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</si>
  <si>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</si>
  <si>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</si>
  <si>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</si>
  <si>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</si>
  <si>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</si>
  <si>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</si>
  <si>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</si>
  <si>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</si>
  <si>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</si>
  <si>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</si>
  <si>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</si>
  <si>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</si>
  <si>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</si>
  <si>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</si>
  <si>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</si>
  <si>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</si>
  <si>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</si>
  <si>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</si>
  <si>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</si>
  <si>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</si>
  <si>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</si>
  <si>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</si>
  <si>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</si>
  <si>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</si>
  <si>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</si>
  <si>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</si>
  <si>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</si>
  <si>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</si>
  <si>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</si>
  <si>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</si>
  <si>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</si>
  <si>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</si>
  <si>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</si>
  <si>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</si>
  <si>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</si>
  <si>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</si>
  <si>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</si>
  <si>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</si>
  <si>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</si>
  <si>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</si>
  <si>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</si>
  <si>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</si>
  <si>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</si>
  <si>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</si>
  <si>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</si>
  <si>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</si>
  <si>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</si>
  <si>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</si>
  <si>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</si>
  <si>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</si>
  <si>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</si>
  <si>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</si>
  <si>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</si>
  <si>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</si>
  <si>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</si>
  <si>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</si>
  <si>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</si>
  <si>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</si>
  <si>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</si>
  <si>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</si>
  <si>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</si>
  <si>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</si>
  <si>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</si>
  <si>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</si>
  <si>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</si>
  <si>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</si>
  <si>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</si>
  <si>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</si>
  <si>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</si>
  <si>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</si>
  <si>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</si>
  <si>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</si>
  <si>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</si>
  <si>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</si>
  <si>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</si>
  <si>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</si>
  <si>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</si>
  <si>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</si>
  <si>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</si>
  <si>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</si>
  <si>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</si>
  <si>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</si>
  <si>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</si>
  <si>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</si>
  <si>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</si>
  <si>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</si>
  <si>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</si>
  <si>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</si>
  <si>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確定（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</si>
  <si>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未揭露；另加額外至多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，上限、非確定量；取代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</si>
  <si>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</si>
  <si>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</si>
  <si>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</si>
  <si>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</si>
  <si>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</si>
  <si>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</si>
  <si>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</si>
  <si>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</si>
  <si>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</si>
  <si>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</si>
  <si>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</si>
  <si>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</si>
  <si>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</si>
  <si>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</si>
  <si>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</si>
  <si>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</si>
  <si>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</si>
  <si>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</si>
  <si>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</si>
  <si>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</si>
  <si>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</si>
  <si>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</si>
  <si>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</si>
  <si>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</si>
  <si>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</si>
  <si>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</si>
  <si>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</si>
  <si>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</si>
  <si>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</si>
  <si>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</si>
  <si>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</si>
  <si>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</si>
  <si>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</si>
  <si>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</si>
  <si>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</si>
  <si>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</si>
  <si>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</si>
  <si>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</si>
  <si>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</si>
  <si>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</si>
  <si>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</si>
  <si>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</si>
  <si>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</si>
  <si>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</si>
  <si>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</si>
  <si>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</si>
  <si>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</si>
  <si>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</si>
  <si>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</si>
  <si>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</si>
  <si>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</si>
  <si>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</si>
  <si>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</si>
  <si>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</si>
  <si>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</si>
  <si>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</si>
  <si>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</si>
  <si>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</si>
  <si>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</si>
  <si>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</si>
  <si>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</si>
  <si>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</si>
  <si>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</si>
  <si>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</si>
  <si>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</si>
  <si>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</si>
  <si>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</si>
  <si>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</si>
  <si>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</si>
  <si>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</si>
  <si>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</si>
  <si>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P#50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ModulEdge 60 MW IT </t>
    </r>
    <r>
      <rPr>
        <sz val="11"/>
        <color theme="1"/>
        <rFont val="Noto Sans CJK SC"/>
        <family val="2"/>
      </rPr>
      <t xml:space="preserve">一台退出 </t>
    </r>
    <r>
      <rPr>
        <sz val="11"/>
        <color theme="1"/>
        <rFont val="Calibri"/>
        <family val="2"/>
        <charset val="1"/>
      </rPr>
      <t xml:space="preserve">4×40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160 MVA → 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3×63 → 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4×100 MVA ÷ 187.5 MW IT ≈ 2.13</t>
    </r>
    <r>
      <rPr>
        <sz val="11"/>
        <color theme="1"/>
        <rFont val="Noto Sans CJK SC"/>
        <family val="2"/>
      </rPr>
      <t xml:space="preserve">；只影響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實物量顯示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</si>
  <si>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</si>
  <si>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</si>
  <si>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</si>
  <si>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</si>
  <si>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</si>
  <si>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</si>
  <si>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</si>
  <si>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</si>
  <si>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</si>
  <si>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</si>
  <si>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</si>
  <si>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</si>
  <si>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</si>
  <si>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</si>
  <si>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</si>
  <si>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</si>
  <si>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</si>
  <si>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</si>
  <si>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</si>
  <si>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</si>
  <si>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</si>
  <si>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</si>
  <si>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</si>
  <si>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</si>
  <si>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</si>
  <si>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</si>
  <si>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</si>
  <si>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</si>
  <si>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</si>
  <si>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</si>
  <si>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</si>
  <si>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</si>
  <si>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</si>
  <si>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</si>
  <si>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</si>
  <si>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</si>
  <si>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</si>
  <si>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</si>
  <si>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</si>
  <si>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</si>
  <si>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</si>
  <si>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</si>
  <si>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</si>
  <si>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</si>
  <si>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</si>
  <si>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</si>
  <si>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</si>
  <si>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</si>
  <si>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</si>
  <si>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</si>
  <si>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</si>
  <si>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</si>
  <si>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</si>
  <si>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</si>
  <si>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</si>
  <si>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</si>
  <si>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</si>
  <si>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</si>
  <si>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</si>
  <si>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</si>
  <si>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</si>
  <si>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</si>
  <si>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</si>
  <si>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</si>
  <si>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</si>
  <si>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</si>
  <si>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</si>
  <si>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</si>
  <si>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</si>
  <si>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</si>
  <si>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</si>
  <si>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</si>
  <si>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</si>
  <si>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</si>
  <si>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</si>
  <si>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</si>
  <si>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</si>
  <si>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</si>
  <si>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</si>
  <si>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</si>
  <si>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</si>
  <si>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</si>
  <si>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</si>
  <si>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</si>
  <si>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</si>
  <si>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</si>
  <si>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</si>
  <si>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</si>
  <si>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</si>
  <si>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</si>
  <si>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</si>
  <si>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</si>
  <si>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</si>
  <si>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</si>
  <si>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</si>
  <si>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</si>
  <si>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</si>
  <si>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</si>
  <si>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</si>
  <si>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</si>
  <si>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</si>
  <si>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</si>
  <si>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</si>
  <si>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</si>
  <si>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</si>
  <si>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</si>
  <si>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</si>
  <si>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</si>
  <si>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</si>
  <si>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</si>
  <si>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</si>
  <si>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</si>
  <si>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</si>
  <si>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</si>
  <si>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</si>
  <si>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</si>
  <si>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</si>
  <si>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</si>
  <si>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</si>
  <si>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</si>
  <si>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</si>
  <si>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</si>
  <si>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</si>
  <si>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</si>
  <si>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</si>
  <si>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</si>
  <si>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</si>
  <si>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</si>
  <si>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</si>
  <si>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</si>
  <si>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</si>
  <si>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</si>
  <si>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</si>
  <si>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</si>
  <si>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</si>
  <si>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</si>
  <si>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</si>
  <si>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</si>
  <si>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</si>
  <si>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</si>
  <si>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</si>
  <si>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</si>
  <si>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</si>
  <si>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</si>
  <si>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</si>
  <si>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</si>
  <si>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</si>
  <si>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</si>
  <si>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</si>
  <si>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</si>
  <si>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</si>
  <si>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</si>
  <si>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</si>
  <si>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</si>
  <si>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</si>
  <si>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</si>
  <si>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</si>
  <si>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</si>
  <si>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</si>
  <si>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</si>
  <si>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</si>
  <si>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</si>
  <si>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</si>
  <si>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</si>
  <si>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</si>
  <si>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</si>
  <si>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</si>
  <si>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</si>
  <si>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</si>
  <si>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</si>
  <si>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</si>
  <si>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</si>
  <si>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</si>
  <si>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</si>
  <si>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</si>
  <si>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</si>
  <si>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</si>
  <si>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</si>
  <si>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</si>
  <si>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</si>
  <si>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</si>
  <si>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</si>
  <si>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</si>
  <si>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</si>
  <si>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</si>
  <si>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</si>
  <si>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</si>
  <si>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</si>
  <si>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</si>
  <si>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</si>
  <si>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</si>
  <si>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</si>
  <si>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</si>
  <si>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</si>
  <si>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</si>
  <si>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low double-digit GW</t>
    </r>
    <r>
      <rPr>
        <sz val="11"/>
        <color theme="1"/>
        <rFont val="Noto Sans CJK SC"/>
        <family val="2"/>
      </rPr>
      <t xml:space="preserve">』屬實；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中點）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</si>
  <si>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</si>
  <si>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</si>
  <si>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</si>
  <si>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</si>
  <si>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</si>
  <si>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</si>
  <si>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</si>
  <si>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</si>
  <si>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</si>
  <si>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</si>
  <si>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</si>
  <si>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</si>
  <si>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</si>
  <si>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</si>
  <si>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</si>
  <si>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</si>
  <si>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</si>
  <si>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</si>
  <si>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</si>
  <si>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</si>
  <si>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</si>
  <si>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</si>
  <si>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</si>
  <si>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</si>
  <si>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</si>
  <si>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</si>
  <si>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</si>
  <si>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</si>
  <si>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</si>
  <si>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</si>
  <si>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</si>
  <si>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</si>
  <si>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</si>
  <si>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</si>
  <si>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</si>
  <si>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</si>
  <si>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</si>
  <si>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</si>
  <si>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</si>
  <si>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</si>
  <si>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</si>
  <si>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</si>
  <si>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</si>
  <si>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 a gigawatt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&gt;1 GW </t>
    </r>
    <r>
      <rPr>
        <sz val="11"/>
        <color theme="1"/>
        <rFont val="Noto Sans CJK SC"/>
        <family val="2"/>
      </rPr>
      <t xml:space="preserve">的下限；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</si>
  <si>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</si>
  <si>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</si>
  <si>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</si>
  <si>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</si>
  <si>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</si>
  <si>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</si>
  <si>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</si>
  <si>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</si>
  <si>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</si>
  <si>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</si>
  <si>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</si>
  <si>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</si>
  <si>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</si>
  <si>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</si>
  <si>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</si>
  <si>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</si>
  <si>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</si>
  <si>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</si>
  <si>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</si>
  <si>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</si>
  <si>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</si>
  <si>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</si>
  <si>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</si>
  <si>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</si>
  <si>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</si>
  <si>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</si>
  <si>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</si>
  <si>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</si>
  <si>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</si>
  <si>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</si>
  <si>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</si>
  <si>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</si>
  <si>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</si>
  <si>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</si>
  <si>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</si>
  <si>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</si>
  <si>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</si>
  <si>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</si>
  <si>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</si>
  <si>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</si>
  <si>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</si>
  <si>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</si>
  <si>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</si>
  <si>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</si>
  <si>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</si>
  <si>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</si>
  <si>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</si>
  <si>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Epoch B1–2 321 MW-IT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636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達成，增量 </t>
    </r>
    <r>
      <rPr>
        <sz val="11"/>
        <color theme="1"/>
        <rFont val="Calibri"/>
        <family val="2"/>
        <charset val="1"/>
      </rPr>
      <t xml:space="preserve">315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cp_msft_atl2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</si>
  <si>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</si>
  <si>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</si>
  <si>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段核對：一期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已上線，</t>
    </r>
    <r>
      <rPr>
        <sz val="11"/>
        <color theme="1"/>
        <rFont val="Calibri"/>
        <family val="2"/>
        <charset val="1"/>
      </rPr>
      <t xml:space="preserve">369 MW-IT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</si>
  <si>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</si>
  <si>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</si>
  <si>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段：其中 </t>
    </r>
    <r>
      <rPr>
        <sz val="11"/>
        <color theme="1"/>
        <rFont val="Calibri"/>
        <family val="2"/>
        <charset val="1"/>
      </rPr>
      <t xml:space="preserve">368 MW-IT 2027-02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</si>
  <si>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</si>
  <si>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</si>
  <si>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現場電廠；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，首棟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年中；第二棟見 </t>
    </r>
    <r>
      <rPr>
        <sz val="11"/>
        <color theme="1"/>
        <rFont val="Calibri"/>
        <family val="2"/>
        <charset val="1"/>
      </rPr>
      <t xml:space="preserve">cp_msft_abl2</t>
    </r>
    <r>
      <rPr>
        <sz val="11"/>
        <color theme="1"/>
        <rFont val="Noto Sans CJK SC"/>
        <family val="2"/>
      </rPr>
      <t xml:space="preserve">）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</si>
  <si>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</si>
  <si>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</si>
  <si>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</si>
  <si>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</si>
  <si>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</si>
  <si>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</si>
  <si>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</si>
  <si>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</si>
  <si>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</si>
  <si>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</si>
  <si>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</si>
  <si>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</si>
  <si>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</si>
  <si>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</si>
  <si>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</si>
  <si>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</si>
  <si>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</si>
  <si>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</si>
  <si>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</si>
  <si>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</si>
  <si>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</si>
  <si>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</si>
  <si>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</si>
  <si>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</si>
  <si>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</si>
  <si>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</si>
  <si>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</si>
  <si>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</si>
  <si>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</si>
  <si>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</si>
  <si>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</si>
  <si>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</si>
  <si>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</si>
  <si>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</si>
  <si>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</si>
  <si>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</si>
  <si>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</si>
  <si>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</si>
  <si>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段核對：無來源支持『延遲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月』；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稱照時程，但天然氣管線晚約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個月、已發不可抗力通知（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）→ 已知延遲欄留空，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依一般比例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</si>
  <si>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</si>
  <si>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</si>
  <si>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</si>
  <si>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</si>
  <si>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</si>
  <si>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</si>
  <si>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</si>
  <si>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</si>
  <si>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</si>
  <si>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</si>
  <si>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</si>
  <si>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</si>
  <si>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</si>
  <si>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</si>
  <si>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</si>
  <si>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</si>
  <si>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</si>
  <si>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</si>
  <si>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</si>
  <si>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</si>
  <si>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</si>
  <si>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</si>
  <si>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</si>
  <si>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first 800 megawatts … 2028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SB Energy 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</si>
  <si>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</si>
  <si>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</si>
  <si>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；首批後餘 </t>
    </r>
    <r>
      <rPr>
        <sz val="11"/>
        <color theme="1"/>
        <rFont val="Calibri"/>
        <family val="2"/>
        <charset val="1"/>
      </rPr>
      <t xml:space="preserve">3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</si>
  <si>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</si>
  <si>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</si>
  <si>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段見 </t>
    </r>
    <r>
      <rPr>
        <sz val="11"/>
        <color theme="1"/>
        <rFont val="Calibri"/>
        <family val="2"/>
        <charset val="1"/>
      </rPr>
      <t xml:space="preserve">cp_oai_pp4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）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</si>
  <si>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</si>
  <si>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</si>
  <si>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段：至 </t>
    </r>
    <r>
      <rPr>
        <sz val="11"/>
        <color theme="1"/>
        <rFont val="Calibri"/>
        <family val="2"/>
        <charset val="1"/>
      </rPr>
      <t xml:space="preserve">2026-09-27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運作確認；執行長稱年底前上線約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；保留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</t>
    </r>
    <r>
      <rPr>
        <sz val="11"/>
        <color theme="1"/>
        <rFont val="Calibri"/>
        <family val="2"/>
        <charset val="1"/>
      </rPr>
      <t xml:space="preserve">MIS Riyadh </t>
    </r>
    <r>
      <rPr>
        <sz val="11"/>
        <color theme="1"/>
        <rFont val="Noto Sans CJK SC"/>
        <family val="2"/>
      </rPr>
      <t xml:space="preserve">工單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才收到 → 可能滑到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（風險）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</si>
  <si>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</si>
  <si>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</si>
  <si>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</si>
  <si>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執行長稱全國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年達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1.7 GW −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餘量見 </t>
    </r>
    <r>
      <rPr>
        <sz val="11"/>
        <color theme="1"/>
        <rFont val="Calibri"/>
        <family val="2"/>
        <charset val="1"/>
      </rPr>
      <t xml:space="preserve">cp_sov_hum3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段：只有公司目標支持，個別站點證據都較晚（</t>
    </r>
    <r>
      <rPr>
        <sz val="11"/>
        <color theme="1"/>
        <rFont val="Calibri"/>
        <family val="2"/>
        <charset val="1"/>
      </rPr>
      <t xml:space="preserve">Al-Saad 100 MW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、二期 </t>
    </r>
    <r>
      <rPr>
        <sz val="11"/>
        <color theme="1"/>
        <rFont val="Calibri"/>
        <family val="2"/>
        <charset val="1"/>
      </rPr>
      <t xml:space="preserve">2029-01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MIS 250 MW </t>
    </r>
    <r>
      <rPr>
        <sz val="11"/>
        <color theme="1"/>
        <rFont val="Noto Sans CJK SC"/>
        <family val="2"/>
      </rPr>
      <t xml:space="preserve">只收到工單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）→ 僅公司目標、站點證據不足（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所寫「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1 GW 2027 </t>
    </r>
    <r>
      <rPr>
        <sz val="11"/>
        <color theme="1"/>
        <rFont val="Noto Sans CJK SC"/>
        <family val="2"/>
      </rPr>
      <t xml:space="preserve">交付」依 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段刪除）</t>
    </r>
  </si>
  <si>
    <t xml:space="preserve">cpx_nbis_lpr</t>
  </si>
  <si>
    <t xml:space="preserve">Nebius Lappeenranta</t>
  </si>
  <si>
    <r>
      <rPr>
        <sz val="11"/>
        <color rgb="FF808080"/>
        <rFont val="Cambria"/>
        <family val="0"/>
        <charset val="1"/>
      </rPr>
      <t xml:space="preserve">A#99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310 </t>
    </r>
    <r>
      <rPr>
        <sz val="11"/>
        <color rgb="FF808080"/>
        <rFont val="Noto Sans CJK SC"/>
        <family val="2"/>
      </rPr>
      <t xml:space="preserve">為完工容量，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只有首期、量未揭露）；不入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</si>
  <si>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</si>
  <si>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</si>
  <si>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</si>
  <si>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S#82–83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段：首棟 </t>
    </r>
    <r>
      <rPr>
        <sz val="11"/>
        <color rgb="FF808080"/>
        <rFont val="Cambria"/>
        <family val="0"/>
        <charset val="1"/>
      </rPr>
      <t xml:space="preserve">200 MW</t>
    </r>
    <r>
      <rPr>
        <sz val="11"/>
        <color rgb="FF808080"/>
        <rFont val="Noto Sans CJK SC"/>
        <family val="2"/>
      </rPr>
      <t xml:space="preserve">，時點未揭露最早 </t>
    </r>
    <r>
      <rPr>
        <sz val="11"/>
        <color rgb="FF808080"/>
        <rFont val="Cambria"/>
        <family val="0"/>
        <charset val="1"/>
      </rPr>
      <t xml:space="preserve">2027</t>
    </r>
    <r>
      <rPr>
        <sz val="11"/>
        <color rgb="FF808080"/>
        <rFont val="Noto Sans CJK SC"/>
        <family val="2"/>
      </rPr>
      <t xml:space="preserve">；其餘 </t>
    </r>
    <r>
      <rPr>
        <sz val="11"/>
        <color rgb="FF808080"/>
        <rFont val="Cambria"/>
        <family val="0"/>
        <charset val="1"/>
      </rPr>
      <t xml:space="preserve">1</t>
    </r>
  </si>
  <si>
    <t xml:space="preserve">cpx_nbis_pa</t>
  </si>
  <si>
    <t xml:space="preserve">Nebius Pennsylvania</t>
  </si>
  <si>
    <r>
      <rPr>
        <sz val="11"/>
        <color rgb="FF808080"/>
        <rFont val="Cambria"/>
        <family val="0"/>
        <charset val="1"/>
      </rPr>
      <t xml:space="preserve">A#101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</si>
  <si>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</si>
  <si>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</si>
  <si>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S#79–80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段：初期 </t>
    </r>
    <r>
      <rPr>
        <sz val="11"/>
        <color rgb="FF808080"/>
        <rFont val="Cambria"/>
        <family val="0"/>
        <charset val="1"/>
      </rPr>
      <t xml:space="preserve">100 MW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300 </t>
    </r>
    <r>
      <rPr>
        <sz val="11"/>
        <color rgb="FF808080"/>
        <rFont val="Noto Sans CJK SC"/>
        <family val="2"/>
      </rPr>
      <t xml:space="preserve">為擴充潛力無時程）；不入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</si>
  <si>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</si>
  <si>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</si>
  <si>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S#42–43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段：約 </t>
    </r>
    <r>
      <rPr>
        <sz val="11"/>
        <color rgb="FF808080"/>
        <rFont val="Cambria"/>
        <family val="0"/>
        <charset val="1"/>
      </rPr>
      <t xml:space="preserve">300 MW gross</t>
    </r>
    <r>
      <rPr>
        <sz val="11"/>
        <color rgb="FF808080"/>
        <rFont val="Noto Sans CJK SC"/>
        <family val="2"/>
      </rPr>
      <t xml:space="preserve">（設施），首批 </t>
    </r>
    <r>
      <rPr>
        <sz val="11"/>
        <color rgb="FF808080"/>
        <rFont val="Cambria"/>
        <family val="0"/>
        <charset val="1"/>
      </rPr>
      <t xml:space="preserve">2026-08 </t>
    </r>
    <r>
      <rPr>
        <sz val="11"/>
        <color rgb="FF808080"/>
        <rFont val="Noto Sans CJK SC"/>
        <family val="2"/>
      </rPr>
      <t xml:space="preserve">提前交付、全站 </t>
    </r>
    <r>
      <rPr>
        <sz val="11"/>
        <color rgb="FF808080"/>
        <rFont val="Cambria"/>
        <family val="0"/>
        <charset val="1"/>
      </rPr>
      <t xml:space="preserve">2026Q4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216 IT </t>
    </r>
    <r>
      <rPr>
        <sz val="11"/>
        <color rgb="FF808080"/>
        <rFont val="Noto Sans CJK SC"/>
        <family val="2"/>
      </rPr>
      <t xml:space="preserve">只能標 </t>
    </r>
    <r>
      <rPr>
        <sz val="11"/>
        <color rgb="FF808080"/>
        <rFont val="Cambria"/>
        <family val="0"/>
        <charset val="1"/>
      </rPr>
      <t xml:space="preserve">Derived</t>
    </r>
    <r>
      <rPr>
        <sz val="11"/>
        <color rgb="FF808080"/>
        <rFont val="Noto Sans CJK SC"/>
        <family val="2"/>
      </rPr>
      <t xml:space="preserve">）；不入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</si>
  <si>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</si>
  <si>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</si>
  <si>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</si>
  <si>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</si>
  <si>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</si>
  <si>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1 308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Milam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；全站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；上線月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Milam 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</si>
  <si>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cpx_oai_lord</t>
  </si>
  <si>
    <t xml:space="preserve">Stargate Lordstown</t>
  </si>
  <si>
    <r>
      <rPr>
        <sz val="11"/>
        <color rgb="FF808080"/>
        <rFont val="Cambria"/>
        <family val="0"/>
        <charset val="1"/>
      </rPr>
      <t xml:space="preserve">B#15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</si>
  <si>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</si>
  <si>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</si>
  <si>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</si>
  <si>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</si>
  <si>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</t>
    </r>
  </si>
  <si>
    <r>
      <rPr>
        <sz val="11"/>
        <color theme="1"/>
        <rFont val="Calibri"/>
        <family val="2"/>
        <charset val="1"/>
      </rPr>
      <t xml:space="preserve">B#27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200 MW 2026Q4</t>
    </r>
    <r>
      <rPr>
        <sz val="11"/>
        <color theme="1"/>
        <rFont val="Noto Sans CJK SC"/>
        <family val="2"/>
      </rPr>
      <t xml:space="preserve">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無試運轉公告，官方未改期）</t>
    </r>
  </si>
  <si>
    <t xml:space="preserve">cpx_sov_mis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</si>
  <si>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法國</t>
    </r>
  </si>
  <si>
    <r>
      <rPr>
        <sz val="11"/>
        <color theme="1"/>
        <rFont val="Calibri"/>
        <family val="2"/>
        <charset val="1"/>
      </rPr>
      <t xml:space="preserve">B#61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S#153–155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 </t>
    </r>
    <r>
      <rPr>
        <sz val="11"/>
        <color theme="1"/>
        <rFont val="Calibri"/>
        <family val="2"/>
        <charset val="1"/>
      </rPr>
      <t xml:space="preserve">Mistral 96 MW</t>
    </r>
    <r>
      <rPr>
        <sz val="11"/>
        <color theme="1"/>
        <rFont val="Noto Sans CJK SC"/>
        <family val="2"/>
      </rPr>
      <t xml:space="preserve">（可擴至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2 2030–2033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1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</si>
  <si>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</si>
  <si>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</si>
  <si>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S#130–131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TDLR </t>
    </r>
    <r>
      <rPr>
        <sz val="11"/>
        <color rgb="FF808080"/>
        <rFont val="Noto Sans CJK SC"/>
        <family val="2"/>
      </rPr>
      <t xml:space="preserve">工期至 </t>
    </r>
    <r>
      <rPr>
        <sz val="11"/>
        <color rgb="FF808080"/>
        <rFont val="Cambria"/>
        <family val="0"/>
        <charset val="1"/>
      </rPr>
      <t xml:space="preserve">2027-10</t>
    </r>
    <r>
      <rPr>
        <sz val="11"/>
        <color rgb="FF808080"/>
        <rFont val="Noto Sans CJK SC"/>
        <family val="2"/>
      </rPr>
      <t xml:space="preserve">，首棟 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啟用；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未揭露，</t>
    </r>
    <r>
      <rPr>
        <sz val="11"/>
        <color rgb="FF808080"/>
        <rFont val="Cambria"/>
        <family val="0"/>
        <charset val="1"/>
      </rPr>
      <t xml:space="preserve">500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FT </t>
    </r>
    <r>
      <rPr>
        <sz val="11"/>
        <color rgb="FF808080"/>
        <rFont val="Noto Sans CJK SC"/>
        <family val="2"/>
      </rPr>
      <t xml:space="preserve">轉述舊目標）；不入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</si>
  <si>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</si>
  <si>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</si>
  <si>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</si>
  <si>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</si>
  <si>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1,531 MW-IT 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</si>
  <si>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S#134–135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Colossus 2 1</t>
    </r>
  </si>
  <si>
    <t xml:space="preserve">cp_msft_atl2</t>
  </si>
  <si>
    <r>
      <rPr>
        <sz val="11"/>
        <color theme="1"/>
        <rFont val="Calibri"/>
        <family val="2"/>
        <charset val="1"/>
      </rPr>
      <t xml:space="preserve">Fairwater Atlanta B3–4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636 − 321</t>
    </r>
    <r>
      <rPr>
        <sz val="11"/>
        <color theme="1"/>
        <rFont val="Noto Sans CJK SC"/>
        <family val="2"/>
      </rPr>
      <t xml:space="preserve">）</t>
    </r>
  </si>
  <si>
    <t xml:space="preserve">SRC_GL_206</t>
  </si>
  <si>
    <r>
      <rPr>
        <sz val="11"/>
        <color theme="1"/>
        <rFont val="Calibri"/>
        <family val="2"/>
        <charset val="1"/>
      </rPr>
      <t xml:space="preserve">S#5–6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636 MW-IT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2026-06-14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cp_msft_atl </t>
    </r>
    <r>
      <rPr>
        <sz val="11"/>
        <color theme="1"/>
        <rFont val="Noto Sans CJK SC"/>
        <family val="2"/>
      </rPr>
      <t xml:space="preserve">拆出</t>
    </r>
  </si>
  <si>
    <t xml:space="preserve">cp_msft_wi2a</t>
  </si>
  <si>
    <r>
      <rPr>
        <sz val="11"/>
        <color theme="1"/>
        <rFont val="Calibri"/>
        <family val="2"/>
        <charset val="1"/>
      </rPr>
      <t xml:space="preserve">Fairwater Wisconsin 2027-02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</si>
  <si>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S#12–17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時間線 </t>
    </r>
    <r>
      <rPr>
        <sz val="11"/>
        <color theme="1"/>
        <rFont val="Calibri"/>
        <family val="2"/>
        <charset val="1"/>
      </rPr>
      <t xml:space="preserve">368 MW-IT @2027-02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cp_msft_wi2 </t>
    </r>
    <r>
      <rPr>
        <sz val="11"/>
        <color theme="1"/>
        <rFont val="Noto Sans CJK SC"/>
        <family val="2"/>
      </rPr>
      <t xml:space="preserve">拆出</t>
    </r>
  </si>
  <si>
    <t xml:space="preserve">cp_msft_abl2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</si>
  <si>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鄰近園區第二棟（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</si>
  <si>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；第二棟時點未揭露，</t>
    </r>
    <r>
      <rPr>
        <sz val="11"/>
        <color theme="1"/>
        <rFont val="Calibri"/>
        <family val="2"/>
        <charset val="1"/>
      </rPr>
      <t xml:space="preserve">2027-12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</si>
  <si>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cp_oai_pp4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</si>
  <si>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</si>
  <si>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4,248 MW-IT </t>
    </r>
    <r>
      <rPr>
        <sz val="11"/>
        <color theme="1"/>
        <rFont val="Noto Sans CJK SC"/>
        <family val="2"/>
      </rPr>
      <t xml:space="preserve">最後 </t>
    </r>
    <r>
      <rPr>
        <sz val="11"/>
        <color theme="1"/>
        <rFont val="Calibri"/>
        <family val="2"/>
        <charset val="1"/>
      </rPr>
      <t xml:space="preserve">RFS 2031</t>
    </r>
    <r>
      <rPr>
        <sz val="11"/>
        <color theme="1"/>
        <rFont val="Noto Sans CJK SC"/>
        <family val="2"/>
      </rPr>
      <t xml:space="preserve">；均分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</si>
  <si>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cp_oai_milam2</t>
  </si>
  <si>
    <r>
      <rPr>
        <sz val="11"/>
        <color theme="1"/>
        <rFont val="Calibri"/>
        <family val="2"/>
        <charset val="1"/>
      </rPr>
      <t xml:space="preserve">Stargate Milam County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</si>
  <si>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County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2028</t>
    </r>
    <r>
      <rPr>
        <sz val="11"/>
        <color theme="1"/>
        <rFont val="Noto Sans CJK SC"/>
        <family val="2"/>
      </rPr>
      <t xml:space="preserve">）</t>
    </r>
  </si>
  <si>
    <t xml:space="preserve">cp_sov_hum3</t>
  </si>
  <si>
    <r>
      <rPr>
        <sz val="11"/>
        <color theme="1"/>
        <rFont val="Calibri"/>
        <family val="2"/>
        <charset val="1"/>
      </rPr>
      <t xml:space="preserve">Humain 2027→2030 </t>
    </r>
    <r>
      <rPr>
        <sz val="11"/>
        <color theme="1"/>
        <rFont val="Noto Sans CJK SC"/>
        <family val="2"/>
      </rPr>
      <t xml:space="preserve">餘量（至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</si>
  <si>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 I </t>
    </r>
    <r>
      <rPr>
        <sz val="11"/>
        <color theme="1"/>
        <rFont val="Noto Sans CJK SC"/>
        <family val="2"/>
      </rPr>
      <t xml:space="preserve">段）；另有約 </t>
    </r>
    <r>
      <rPr>
        <sz val="11"/>
        <color theme="1"/>
        <rFont val="Calibri"/>
        <family val="2"/>
        <charset val="1"/>
      </rPr>
      <t xml:space="preserve">3 GW </t>
    </r>
    <r>
      <rPr>
        <sz val="11"/>
        <color theme="1"/>
        <rFont val="Noto Sans CJK SC"/>
        <family val="2"/>
      </rPr>
      <t xml:space="preserve">說法未核，不入</t>
    </r>
  </si>
  <si>
    <t xml:space="preserve">cp_amzn_rdg_b614</t>
  </si>
  <si>
    <r>
      <rPr>
        <sz val="11"/>
        <color theme="1"/>
        <rFont val="Calibri"/>
        <family val="2"/>
        <charset val="1"/>
      </rPr>
      <t xml:space="preserve">AWS Ridgeland B6–14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840 − 284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</si>
  <si>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S#36–37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840 MW-IT</t>
    </r>
    <r>
      <rPr>
        <sz val="11"/>
        <color theme="1"/>
        <rFont val="Noto Sans CJK SC"/>
        <family val="2"/>
      </rPr>
      <t xml:space="preserve">，扣 </t>
    </r>
    <r>
      <rPr>
        <sz val="11"/>
        <color theme="1"/>
        <rFont val="Calibri"/>
        <family val="2"/>
        <charset val="1"/>
      </rPr>
      <t xml:space="preserve">B1–5 284</t>
    </r>
    <r>
      <rPr>
        <sz val="11"/>
        <color theme="1"/>
        <rFont val="Noto Sans CJK SC"/>
        <family val="2"/>
      </rPr>
      <t xml:space="preserve">）</t>
    </r>
  </si>
  <si>
    <t xml:space="preserve">cp_amzn_ulsan1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</si>
  <si>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一期</t>
    </r>
  </si>
  <si>
    <r>
      <rPr>
        <sz val="11"/>
        <color theme="1"/>
        <rFont val="Calibri"/>
        <family val="2"/>
        <charset val="1"/>
      </rPr>
      <t xml:space="preserve">S#339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S#341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段確認）</t>
    </r>
  </si>
  <si>
    <t xml:space="preserve">cp_amzn_ulsan2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</si>
  <si>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至 </t>
    </r>
    <r>
      <rPr>
        <sz val="11"/>
        <color theme="1"/>
        <rFont val="Calibri"/>
        <family val="2"/>
        <charset val="1"/>
      </rPr>
      <t xml:space="preserve">103 MW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</si>
  <si>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</t>
    </r>
    <r>
      <rPr>
        <sz val="11"/>
        <color theme="1"/>
        <rFont val="Calibri"/>
        <family val="2"/>
        <charset val="1"/>
      </rPr>
      <t xml:space="preserve">103 − 41</t>
    </r>
    <r>
      <rPr>
        <sz val="11"/>
        <color theme="1"/>
        <rFont val="Noto Sans CJK SC"/>
        <family val="2"/>
      </rPr>
      <t xml:space="preserve">）</t>
    </r>
  </si>
  <si>
    <t xml:space="preserve">cp_neo_barber</t>
  </si>
  <si>
    <r>
      <rPr>
        <sz val="11"/>
        <color theme="1"/>
        <rFont val="Calibri"/>
        <family val="2"/>
        <charset val="1"/>
      </rPr>
      <t xml:space="preserve">Cipher Barber Lake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</si>
  <si>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S#243–245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段確認：最後一批資料廳 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</si>
  <si>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cp_neo_pf2</t>
  </si>
  <si>
    <t xml:space="preserve">Applied Digital Polaris Forge 2</t>
  </si>
  <si>
    <r>
      <rPr>
        <sz val="11"/>
        <color theme="1"/>
        <rFont val="Calibri"/>
        <family val="2"/>
        <charset val="1"/>
      </rPr>
      <t xml:space="preserve">S#246–249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段確認；承租方未證實）</t>
    </r>
  </si>
  <si>
    <t xml:space="preserve">cp_neo_monarch1</t>
  </si>
  <si>
    <r>
      <rPr>
        <sz val="11"/>
        <color theme="1"/>
        <rFont val="Calibri"/>
        <family val="2"/>
        <charset val="1"/>
      </rPr>
      <t xml:space="preserve">Nscale Monarch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</si>
  <si>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S#255–257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段確認：公司目標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初；已簽約部分未驗證）</t>
    </r>
  </si>
  <si>
    <t xml:space="preserve">cp_neo_bp1</t>
  </si>
  <si>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</si>
  <si>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S#123–124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352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只是首個資料廳，全量到位移至 </t>
    </r>
    <r>
      <rPr>
        <sz val="11"/>
        <color theme="1"/>
        <rFont val="Calibri"/>
        <family val="2"/>
        <charset val="1"/>
      </rPr>
      <t xml:space="preserve">2028-03 [Assumed]</t>
    </r>
    <r>
      <rPr>
        <sz val="11"/>
        <color theme="1"/>
        <rFont val="Noto Sans CJK SC"/>
        <family val="2"/>
      </rPr>
      <t xml:space="preserve">）</t>
    </r>
  </si>
  <si>
    <t xml:space="preserve">cpx_meta_hyp5</t>
  </si>
  <si>
    <r>
      <rPr>
        <sz val="11"/>
        <color rgb="FF808080"/>
        <rFont val="Cambria"/>
        <family val="0"/>
        <charset val="1"/>
      </rPr>
      <t xml:space="preserve">Hyperion 2→5 GW </t>
    </r>
    <r>
      <rPr>
        <sz val="11"/>
        <color rgb="FF808080"/>
        <rFont val="Noto Sans CJK SC"/>
        <family val="2"/>
      </rPr>
      <t xml:space="preserve">餘量</t>
    </r>
  </si>
  <si>
    <r>
      <rPr>
        <sz val="11"/>
        <color rgb="FF808080"/>
        <rFont val="Cambria"/>
        <family val="0"/>
        <charset val="1"/>
      </rPr>
      <t xml:space="preserve">S#48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確認；</t>
    </r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只有一篇未標說話者的報導，另一篇稱無完成日）；判斷題 </t>
    </r>
    <r>
      <rPr>
        <sz val="11"/>
        <color rgb="FF808080"/>
        <rFont val="Cambria"/>
        <family val="0"/>
        <charset val="1"/>
      </rPr>
      <t xml:space="preserve">H1 </t>
    </r>
    <r>
      <rPr>
        <sz val="11"/>
        <color rgb="FF808080"/>
        <rFont val="Noto Sans CJK SC"/>
        <family val="2"/>
      </rPr>
      <t xml:space="preserve">預設不入主路徑，只列</t>
    </r>
  </si>
  <si>
    <t xml:space="preserve">cpx_oai_tmk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</si>
  <si>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北海道苫小牧</t>
    </r>
  </si>
  <si>
    <r>
      <rPr>
        <sz val="11"/>
        <color rgb="FF808080"/>
        <rFont val="Cambria"/>
        <family val="0"/>
        <charset val="1"/>
      </rPr>
      <t xml:space="preserve">S#333–334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段確認：</t>
    </r>
    <r>
      <rPr>
        <sz val="11"/>
        <color rgb="FF808080"/>
        <rFont val="Cambria"/>
        <family val="0"/>
        <charset val="1"/>
      </rPr>
      <t xml:space="preserve">50 MW </t>
    </r>
    <r>
      <rPr>
        <sz val="11"/>
        <color rgb="FF808080"/>
        <rFont val="Noto Sans CJK SC"/>
        <family val="2"/>
      </rPr>
      <t xml:space="preserve">受電 </t>
    </r>
    <r>
      <rPr>
        <sz val="11"/>
        <color rgb="FF808080"/>
        <rFont val="Cambria"/>
        <family val="0"/>
        <charset val="1"/>
      </rPr>
      <t xml:space="preserve">@2027-03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自用與大學研究，非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可用算力 → 判斷題 </t>
    </r>
    <r>
      <rPr>
        <sz val="11"/>
        <color rgb="FF808080"/>
        <rFont val="Cambria"/>
        <family val="0"/>
        <charset val="1"/>
      </rPr>
      <t xml:space="preserve">H2 </t>
    </r>
    <r>
      <rPr>
        <sz val="11"/>
        <color rgb="FF808080"/>
        <rFont val="Noto Sans CJK SC"/>
        <family val="2"/>
      </rPr>
      <t xml:space="preserve">預設歸其他、不入</t>
    </r>
  </si>
  <si>
    <t xml:space="preserve">oth</t>
  </si>
  <si>
    <t xml:space="preserve">cpx_nbis_oxa</t>
  </si>
  <si>
    <r>
      <rPr>
        <sz val="11"/>
        <color rgb="FF808080"/>
        <rFont val="Cambria"/>
        <family val="0"/>
        <charset val="1"/>
      </rPr>
      <t xml:space="preserve">DataVolt Oxagon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Nebius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50 MW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</si>
  <si>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S#271–272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段部分確認：初步框架協議、不具約束力；</t>
    </r>
    <r>
      <rPr>
        <sz val="11"/>
        <color rgb="FF808080"/>
        <rFont val="Cambria"/>
        <family val="0"/>
        <charset val="1"/>
      </rPr>
      <t xml:space="preserve">2027Q4 </t>
    </r>
    <r>
      <rPr>
        <sz val="11"/>
        <color rgb="FF808080"/>
        <rFont val="Noto Sans CJK SC"/>
        <family val="2"/>
      </rPr>
      <t xml:space="preserve">為分期開始）；不入</t>
    </r>
  </si>
  <si>
    <t xml:space="preserve">cpx_sov_ajm</t>
  </si>
  <si>
    <r>
      <rPr>
        <sz val="11"/>
        <color rgb="FF808080"/>
        <rFont val="Cambria"/>
        <family val="0"/>
        <charset val="1"/>
      </rPr>
      <t xml:space="preserve">Khazna Ajman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QAJ1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</si>
  <si>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S#268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段：無可取得來源）；不入</t>
    </r>
  </si>
  <si>
    <t xml:space="preserve">cp_nbis_bshem</t>
  </si>
  <si>
    <r>
      <rPr>
        <sz val="11"/>
        <color theme="1"/>
        <rFont val="Calibri"/>
        <family val="2"/>
        <charset val="1"/>
      </rPr>
      <t xml:space="preserve">Nebius–Mega Or Beit Shemesh</t>
    </r>
    <r>
      <rPr>
        <sz val="11"/>
        <color theme="1"/>
        <rFont val="Noto Sans CJK SC"/>
        <family val="2"/>
      </rPr>
      <t xml:space="preserve">（以色列）</t>
    </r>
  </si>
  <si>
    <t xml:space="preserve">SRC_GL_208</t>
  </si>
  <si>
    <r>
      <rPr>
        <sz val="11"/>
        <color theme="1"/>
        <rFont val="Calibri"/>
        <family val="2"/>
        <charset val="1"/>
      </rPr>
      <t xml:space="preserve">T#18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58 MW 2027-03 </t>
    </r>
    <r>
      <rPr>
        <sz val="11"/>
        <color theme="1"/>
        <rFont val="Noto Sans CJK SC"/>
        <family val="2"/>
      </rPr>
      <t xml:space="preserve">交付完成</t>
    </r>
  </si>
  <si>
    <t xml:space="preserve">cp_googl_kron1</t>
  </si>
  <si>
    <r>
      <rPr>
        <sz val="11"/>
        <color theme="1"/>
        <rFont val="Calibri"/>
        <family val="2"/>
        <charset val="1"/>
      </rPr>
      <t xml:space="preserve">Google Kronstorf</t>
    </r>
    <r>
      <rPr>
        <sz val="11"/>
        <color theme="1"/>
        <rFont val="Noto Sans CJK SC"/>
        <family val="2"/>
      </rPr>
      <t xml:space="preserve">（奧地利）首期</t>
    </r>
  </si>
  <si>
    <r>
      <rPr>
        <sz val="11"/>
        <color theme="1"/>
        <rFont val="Calibri"/>
        <family val="2"/>
        <charset val="1"/>
      </rPr>
      <t xml:space="preserve">T#83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段確認：用電需求上限 </t>
    </r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（設施口徑）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</si>
  <si>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t xml:space="preserve">cp_crwv_dv1x</t>
  </si>
  <si>
    <r>
      <rPr>
        <sz val="11"/>
        <color theme="1"/>
        <rFont val="Calibri"/>
        <family val="2"/>
        <charset val="1"/>
      </rPr>
      <t xml:space="preserve">DataVita DV1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Glasgow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承租）</t>
    </r>
    <r>
      <rPr>
        <sz val="11"/>
        <color theme="1"/>
        <rFont val="Calibri"/>
        <family val="2"/>
        <charset val="1"/>
      </rPr>
      <t xml:space="preserve">24→40</t>
    </r>
  </si>
  <si>
    <r>
      <rPr>
        <sz val="11"/>
        <color theme="1"/>
        <rFont val="Calibri"/>
        <family val="2"/>
        <charset val="1"/>
      </rPr>
      <t xml:space="preserve">T#39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NPM 40−24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 MW-IT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承租擴建部分已證實；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對應中度把握</t>
    </r>
  </si>
  <si>
    <t xml:space="preserve">cp_meta_sturg1</t>
  </si>
  <si>
    <r>
      <rPr>
        <sz val="11"/>
        <color theme="1"/>
        <rFont val="Calibri"/>
        <family val="2"/>
        <charset val="1"/>
      </rPr>
      <t xml:space="preserve">Meta Sturgeon County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Alberta</t>
    </r>
    <r>
      <rPr>
        <sz val="11"/>
        <color theme="1"/>
        <rFont val="Noto Sans CJK SC"/>
        <family val="2"/>
      </rPr>
      <t xml:space="preserve">）首批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</si>
  <si>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AESO P2936 GLDC Load 970 MW </t>
    </r>
    <r>
      <rPr>
        <sz val="11"/>
        <color theme="1"/>
        <rFont val="Noto Sans CJK SC"/>
        <family val="2"/>
      </rPr>
      <t xml:space="preserve">已簽負載合約；阿省府稱 </t>
    </r>
    <r>
      <rPr>
        <sz val="11"/>
        <color theme="1"/>
        <rFont val="Calibri"/>
        <family val="2"/>
        <charset val="1"/>
      </rPr>
      <t xml:space="preserve">Meta Phase 1 </t>
    </r>
    <r>
      <rPr>
        <sz val="11"/>
        <color theme="1"/>
        <rFont val="Noto Sans CJK SC"/>
        <family val="2"/>
      </rPr>
      <t xml:space="preserve">配額；</t>
    </r>
    <r>
      <rPr>
        <sz val="11"/>
        <color theme="1"/>
        <rFont val="Calibri"/>
        <family val="2"/>
        <charset val="1"/>
      </rPr>
      <t xml:space="preserve">Capital Power 2028 </t>
    </r>
    <r>
      <rPr>
        <sz val="11"/>
        <color theme="1"/>
        <rFont val="Noto Sans CJK SC"/>
        <family val="2"/>
      </rPr>
      <t xml:space="preserve">下半年首批供電約 </t>
    </r>
    <r>
      <rPr>
        <sz val="11"/>
        <color theme="1"/>
        <rFont val="Calibri"/>
        <family val="2"/>
        <charset val="1"/>
      </rPr>
      <t xml:space="preserve">250 [Derived]</t>
    </r>
  </si>
  <si>
    <t xml:space="preserve">cp_meta_sturg2</t>
  </si>
  <si>
    <r>
      <rPr>
        <sz val="11"/>
        <color theme="1"/>
        <rFont val="Calibri"/>
        <family val="2"/>
        <charset val="1"/>
      </rPr>
      <t xml:space="preserve">Meta Sturgeon County </t>
    </r>
    <r>
      <rPr>
        <sz val="11"/>
        <color theme="1"/>
        <rFont val="Noto Sans CJK SC"/>
        <family val="2"/>
      </rPr>
      <t xml:space="preserve">其餘（</t>
    </r>
    <r>
      <rPr>
        <sz val="11"/>
        <color theme="1"/>
        <rFont val="Calibri"/>
        <family val="2"/>
        <charset val="1"/>
      </rPr>
      <t xml:space="preserve">970 − 250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</si>
  <si>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發言人『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年內上線』→ </t>
    </r>
    <r>
      <rPr>
        <sz val="11"/>
        <color theme="1"/>
        <rFont val="Calibri"/>
        <family val="2"/>
        <charset val="1"/>
      </rPr>
      <t xml:space="preserve">2029-07</t>
    </r>
    <r>
      <rPr>
        <sz val="11"/>
        <color theme="1"/>
        <rFont val="Noto Sans CJK SC"/>
        <family val="2"/>
      </rPr>
      <t xml:space="preserve">；設施取電口徑；</t>
    </r>
    <r>
      <rPr>
        <sz val="11"/>
        <color theme="1"/>
        <rFont val="Calibri"/>
        <family val="2"/>
        <charset val="1"/>
      </rPr>
      <t xml:space="preserve">720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970 − 250 [Derived]</t>
    </r>
  </si>
  <si>
    <t xml:space="preserve">cpx_crwv_dv3</t>
  </si>
  <si>
    <r>
      <rPr>
        <sz val="11"/>
        <color rgb="FF808080"/>
        <rFont val="Cambria"/>
        <family val="0"/>
        <charset val="1"/>
      </rPr>
      <t xml:space="preserve">DataVita DV3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</si>
  <si>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T#39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CoreWeave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已證實；</t>
    </r>
    <r>
      <rPr>
        <sz val="11"/>
        <color rgb="FF808080"/>
        <rFont val="Cambria"/>
        <family val="0"/>
        <charset val="1"/>
      </rPr>
      <t xml:space="preserve">40 MW </t>
    </r>
    <r>
      <rPr>
        <sz val="11"/>
        <color rgb="FF808080"/>
        <rFont val="Noto Sans CJK SC"/>
        <family val="2"/>
      </rPr>
      <t xml:space="preserve">原文打不開，待核；不入</t>
    </r>
  </si>
  <si>
    <t xml:space="preserve">cpx_neo_gsyd1</t>
  </si>
  <si>
    <r>
      <rPr>
        <sz val="11"/>
        <color rgb="FF808080"/>
        <rFont val="Cambria"/>
        <family val="0"/>
        <charset val="1"/>
      </rPr>
      <t xml:space="preserve">GreenSquareDC SYD1 </t>
    </r>
    <r>
      <rPr>
        <sz val="11"/>
        <color rgb="FF808080"/>
        <rFont val="Noto Sans CJK SC"/>
        <family val="2"/>
      </rPr>
      <t xml:space="preserve">首期（</t>
    </r>
    <r>
      <rPr>
        <sz val="11"/>
        <color rgb="FF808080"/>
        <rFont val="Cambria"/>
        <family val="0"/>
        <charset val="1"/>
      </rPr>
      <t xml:space="preserve">Sharon 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</si>
  <si>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T#226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T#229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2026-10 </t>
    </r>
    <r>
      <rPr>
        <sz val="11"/>
        <color rgb="FF808080"/>
        <rFont val="Noto Sans CJK SC"/>
        <family val="2"/>
      </rPr>
      <t xml:space="preserve">上線已證實；</t>
    </r>
    <r>
      <rPr>
        <sz val="11"/>
        <color rgb="FF808080"/>
        <rFont val="Cambria"/>
        <family val="0"/>
        <charset val="1"/>
      </rPr>
      <t xml:space="preserve">15 MW </t>
    </r>
    <r>
      <rPr>
        <sz val="11"/>
        <color rgb="FF808080"/>
        <rFont val="Noto Sans CJK SC"/>
        <family val="2"/>
      </rPr>
      <t xml:space="preserve">待原文；不入</t>
    </r>
  </si>
  <si>
    <t xml:space="preserve">cpx_crwv_taloja</t>
  </si>
  <si>
    <r>
      <rPr>
        <sz val="11"/>
        <color rgb="FF808080"/>
        <rFont val="Cambria"/>
        <family val="0"/>
        <charset val="1"/>
      </rPr>
      <t xml:space="preserve">AdaniConneX Taloja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</si>
  <si>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T#161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T#162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240 MW </t>
    </r>
    <r>
      <rPr>
        <sz val="11"/>
        <color rgb="FF808080"/>
        <rFont val="Noto Sans CJK SC"/>
        <family val="2"/>
      </rPr>
      <t xml:space="preserve">已證實；首期 </t>
    </r>
    <r>
      <rPr>
        <sz val="11"/>
        <color rgb="FF808080"/>
        <rFont val="Cambria"/>
        <family val="0"/>
        <charset val="1"/>
      </rPr>
      <t xml:space="preserve">2028 </t>
    </r>
    <r>
      <rPr>
        <sz val="11"/>
        <color rgb="FF808080"/>
        <rFont val="Noto Sans CJK SC"/>
        <family val="2"/>
      </rPr>
      <t xml:space="preserve">年中（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未揭露），其餘無日期；不入，待首期 </t>
    </r>
    <r>
      <rPr>
        <sz val="11"/>
        <color rgb="FF808080"/>
        <rFont val="Cambria"/>
        <family val="0"/>
        <charset val="1"/>
      </rPr>
      <t xml:space="preserve">MW</t>
    </r>
  </si>
  <si>
    <t xml:space="preserve">cpx_oth_trueidc</t>
  </si>
  <si>
    <r>
      <rPr>
        <sz val="11"/>
        <color rgb="FF808080"/>
        <rFont val="Cambria"/>
        <family val="0"/>
        <charset val="1"/>
      </rPr>
      <t xml:space="preserve">True IDC</t>
    </r>
    <r>
      <rPr>
        <sz val="11"/>
        <color rgb="FF808080"/>
        <rFont val="Noto Sans CJK SC"/>
        <family val="2"/>
      </rPr>
      <t xml:space="preserve">（泰國；稱 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承租）</t>
    </r>
  </si>
  <si>
    <r>
      <rPr>
        <sz val="11"/>
        <color rgb="FF808080"/>
        <rFont val="Cambria"/>
        <family val="0"/>
        <charset val="1"/>
      </rPr>
      <t xml:space="preserve">T#198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250 </t>
    </r>
    <r>
      <rPr>
        <sz val="11"/>
        <color rgb="FF808080"/>
        <rFont val="Noto Sans CJK SC"/>
        <family val="2"/>
      </rPr>
      <t xml:space="preserve">為最高值、首期 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不明；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承租未經一手證實；不入</t>
    </r>
  </si>
  <si>
    <t xml:space="preserve">cpx_sov_esgiga</t>
  </si>
  <si>
    <r>
      <rPr>
        <sz val="11"/>
        <color rgb="FF808080"/>
        <rFont val="Noto Sans CJK SC"/>
        <family val="2"/>
      </rPr>
      <t xml:space="preserve">西班牙 </t>
    </r>
    <r>
      <rPr>
        <sz val="11"/>
        <color rgb="FF808080"/>
        <rFont val="Cambria"/>
        <family val="0"/>
        <charset val="1"/>
      </rPr>
      <t xml:space="preserve">AI Gigafactory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</si>
  <si>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T#58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段：仍為歐盟條件性候選案（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初選定）；不入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</si>
  <si>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</si>
  <si>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</si>
  <si>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</si>
  <si>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</si>
  <si>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</si>
  <si>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</si>
  <si>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</si>
  <si>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</si>
  <si>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</si>
  <si>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</si>
  <si>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</si>
  <si>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</si>
  <si>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</si>
  <si>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</si>
  <si>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</si>
  <si>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</si>
  <si>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</si>
  <si>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</si>
  <si>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</si>
  <si>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</si>
  <si>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</si>
  <si>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</si>
  <si>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</si>
  <si>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</si>
  <si>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</si>
  <si>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</si>
  <si>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</si>
  <si>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</si>
  <si>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</si>
  <si>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</si>
  <si>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</si>
  <si>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</si>
  <si>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</si>
  <si>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</si>
  <si>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</si>
  <si>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</si>
  <si>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</si>
  <si>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</si>
  <si>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</si>
  <si>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</si>
  <si>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</si>
  <si>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</si>
  <si>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</si>
  <si>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</si>
  <si>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</si>
  <si>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</si>
  <si>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</si>
  <si>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</si>
  <si>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</si>
  <si>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</si>
  <si>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</si>
  <si>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</si>
  <si>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</si>
  <si>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</si>
  <si>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</si>
  <si>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</si>
  <si>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</si>
  <si>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</si>
  <si>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</si>
  <si>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</si>
  <si>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</si>
  <si>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</si>
  <si>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</si>
  <si>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</si>
  <si>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</si>
  <si>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</si>
  <si>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</si>
  <si>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</si>
  <si>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</si>
  <si>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</si>
  <si>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</si>
  <si>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</si>
  <si>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</si>
  <si>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</si>
  <si>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</si>
  <si>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</si>
  <si>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</si>
  <si>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</si>
  <si>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</si>
  <si>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</si>
  <si>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</si>
  <si>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</si>
  <si>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</si>
  <si>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</si>
  <si>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</si>
  <si>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</si>
  <si>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</si>
  <si>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</si>
  <si>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</si>
  <si>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</si>
  <si>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</si>
  <si>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</si>
  <si>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</si>
  <si>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</si>
  <si>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</si>
  <si>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</si>
  <si>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</si>
  <si>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</si>
  <si>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</si>
  <si>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</si>
  <si>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</si>
  <si>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</si>
  <si>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</si>
  <si>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</si>
  <si>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</si>
  <si>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</si>
  <si>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</si>
  <si>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</si>
  <si>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</si>
  <si>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</si>
  <si>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</si>
  <si>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</si>
  <si>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</si>
  <si>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</si>
  <si>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</si>
  <si>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</si>
  <si>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</si>
  <si>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</si>
  <si>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</si>
  <si>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</si>
  <si>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</si>
  <si>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</si>
  <si>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</si>
  <si>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</si>
  <si>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</si>
  <si>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</si>
  <si>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</si>
  <si>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</si>
  <si>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</si>
  <si>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</si>
  <si>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</si>
  <si>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</si>
  <si>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</si>
  <si>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</si>
  <si>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</si>
  <si>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</si>
  <si>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</si>
  <si>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</si>
  <si>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</si>
  <si>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20261029_Siliconomics_v0.8.4.xlsx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cae40b422809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</si>
  <si>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</si>
  <si>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</si>
  <si>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</si>
  <si>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</si>
  <si>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</si>
  <si>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</si>
  <si>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</si>
  <si>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</si>
  <si>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</si>
  <si>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</si>
  <si>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</si>
  <si>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</si>
  <si>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</si>
  <si>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</si>
  <si>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</si>
  <si>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</si>
  <si>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</si>
  <si>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</si>
  <si>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</si>
  <si>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</si>
  <si>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</si>
  <si>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</si>
  <si>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</si>
  <si>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</si>
  <si>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</si>
  <si>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</si>
  <si>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</si>
  <si>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</si>
  <si>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</si>
  <si>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</si>
  <si>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</si>
  <si>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</si>
  <si>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</si>
  <si>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</si>
  <si>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</si>
  <si>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</si>
  <si>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</si>
  <si>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</si>
  <si>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</si>
  <si>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</si>
  <si>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</si>
  <si>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</si>
  <si>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</si>
  <si>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</si>
  <si>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</si>
  <si>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</si>
  <si>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</si>
  <si>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</si>
  <si>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</si>
  <si>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</si>
  <si>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</si>
  <si>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</si>
  <si>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</si>
  <si>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</si>
  <si>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</si>
  <si>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</si>
  <si>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</si>
  <si>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</si>
  <si>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</si>
  <si>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</si>
  <si>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</si>
  <si>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</si>
  <si>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</si>
  <si>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</si>
  <si>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</si>
  <si>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</si>
  <si>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</si>
  <si>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</si>
  <si>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</si>
  <si>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</si>
  <si>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</si>
  <si>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</si>
  <si>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</si>
  <si>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</si>
  <si>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</si>
  <si>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</si>
  <si>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</si>
  <si>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</si>
  <si>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</si>
  <si>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</si>
  <si>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</si>
  <si>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</si>
  <si>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</si>
  <si>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</si>
  <si>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</si>
  <si>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</si>
  <si>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</si>
  <si>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</si>
  <si>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</si>
  <si>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</si>
  <si>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</si>
  <si>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</si>
  <si>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</si>
  <si>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</si>
  <si>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</si>
  <si>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</si>
  <si>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</si>
  <si>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</si>
  <si>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</si>
  <si>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</si>
  <si>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</si>
  <si>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</si>
  <si>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</si>
  <si>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</si>
  <si>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</si>
  <si>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</si>
  <si>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</si>
  <si>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</si>
  <si>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</si>
  <si>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</si>
  <si>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</si>
  <si>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</si>
  <si>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</si>
  <si>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</si>
  <si>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</si>
  <si>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</si>
  <si>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</si>
  <si>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</si>
  <si>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</si>
  <si>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</si>
  <si>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</si>
  <si>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</si>
  <si>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</si>
  <si>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</si>
  <si>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</si>
  <si>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</si>
  <si>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</si>
  <si>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</si>
  <si>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</si>
  <si>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</si>
  <si>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</si>
  <si>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</si>
  <si>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</si>
  <si>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</si>
  <si>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</si>
  <si>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</si>
  <si>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</si>
  <si>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</si>
  <si>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</si>
  <si>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</si>
  <si>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</si>
  <si>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</si>
  <si>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</si>
  <si>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</si>
  <si>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</si>
  <si>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</si>
  <si>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</si>
  <si>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</si>
  <si>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</si>
  <si>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</si>
  <si>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</si>
  <si>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</si>
  <si>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</si>
  <si>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</si>
  <si>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</si>
  <si>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</si>
  <si>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</si>
  <si>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</si>
  <si>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</si>
  <si>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</si>
  <si>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</si>
  <si>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</si>
  <si>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</si>
  <si>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</si>
  <si>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</si>
  <si>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</si>
  <si>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</si>
  <si>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</si>
  <si>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</si>
  <si>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</si>
  <si>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</si>
  <si>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</si>
  <si>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</si>
  <si>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</si>
  <si>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</si>
  <si>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</si>
  <si>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</si>
  <si>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</si>
  <si>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</si>
  <si>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</si>
  <si>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</si>
  <si>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</si>
  <si>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</si>
  <si>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</si>
  <si>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</si>
  <si>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</si>
  <si>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</si>
  <si>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</si>
  <si>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</si>
  <si>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</si>
  <si>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</si>
  <si>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</si>
  <si>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</si>
  <si>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</si>
  <si>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</si>
  <si>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</si>
  <si>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</si>
  <si>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</si>
  <si>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</si>
  <si>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</si>
  <si>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</si>
  <si>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</si>
  <si>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</si>
  <si>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</si>
  <si>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</si>
  <si>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</si>
  <si>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</si>
  <si>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</si>
  <si>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</si>
  <si>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</si>
  <si>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</si>
  <si>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</si>
  <si>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</si>
  <si>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</si>
  <si>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</si>
  <si>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</si>
  <si>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</si>
  <si>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</si>
  <si>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</si>
  <si>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</si>
  <si>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</si>
  <si>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</si>
  <si>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</si>
  <si>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</si>
  <si>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</si>
  <si>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</si>
  <si>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</si>
  <si>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</si>
  <si>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</si>
  <si>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</si>
  <si>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</si>
  <si>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</si>
  <si>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</si>
  <si>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</si>
  <si>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</si>
  <si>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</si>
  <si>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</si>
  <si>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</si>
  <si>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</si>
  <si>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</si>
  <si>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</si>
  <si>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</si>
  <si>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</si>
  <si>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</si>
  <si>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</si>
  <si>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</si>
  <si>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</si>
  <si>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</si>
  <si>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</si>
  <si>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</si>
  <si>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</si>
  <si>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</si>
  <si>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</si>
  <si>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</si>
  <si>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</si>
  <si>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</si>
  <si>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</si>
  <si>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</si>
  <si>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</si>
  <si>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</si>
  <si>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</si>
  <si>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</si>
  <si>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</si>
  <si>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</si>
  <si>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</si>
  <si>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</si>
  <si>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</si>
  <si>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</si>
  <si>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</si>
  <si>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</si>
  <si>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</si>
  <si>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</si>
  <si>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</si>
  <si>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</si>
  <si>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</si>
  <si>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</si>
  <si>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</si>
  <si>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</si>
  <si>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</si>
  <si>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</si>
  <si>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</si>
  <si>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</si>
  <si>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</si>
  <si>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</si>
  <si>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</si>
  <si>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</si>
  <si>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</si>
  <si>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</si>
  <si>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</si>
  <si>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</si>
  <si>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</si>
  <si>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</si>
  <si>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</si>
  <si>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</si>
  <si>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</si>
  <si>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</si>
  <si>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</si>
  <si>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</si>
  <si>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</si>
  <si>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</si>
  <si>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</si>
  <si>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</si>
  <si>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</si>
  <si>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</si>
  <si>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</si>
  <si>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</si>
  <si>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</si>
  <si>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</si>
  <si>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</si>
  <si>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</si>
  <si>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</si>
  <si>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</si>
  <si>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</si>
  <si>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</si>
  <si>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</si>
  <si>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</si>
  <si>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</si>
  <si>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</si>
  <si>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</si>
  <si>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</si>
  <si>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</si>
  <si>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</si>
  <si>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</si>
  <si>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</si>
  <si>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</si>
  <si>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</si>
  <si>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（中國以外：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Stargate UAE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Mistral </t>
    </r>
    <r>
      <rPr>
        <b val="true"/>
        <sz val="1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</si>
  <si>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</si>
  <si>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</si>
  <si>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</si>
  <si>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</si>
  <si>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</si>
  <si>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</si>
  <si>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</si>
  <si>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</si>
  <si>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</si>
  <si>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</si>
  <si>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</si>
  <si>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</si>
  <si>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</si>
  <si>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</si>
  <si>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</si>
  <si>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</si>
  <si>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</si>
  <si>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</si>
  <si>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</si>
  <si>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</si>
  <si>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</si>
  <si>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</si>
  <si>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</si>
  <si>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</si>
  <si>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</si>
  <si>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</si>
  <si>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</si>
  <si>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</si>
  <si>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</si>
  <si>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</si>
  <si>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</si>
  <si>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</si>
  <si>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</si>
  <si>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</si>
  <si>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</si>
  <si>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</si>
  <si>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</si>
  <si>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</si>
  <si>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</si>
  <si>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</si>
  <si>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</si>
  <si>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</si>
  <si>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</si>
  <si>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</si>
  <si>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</si>
  <si>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</si>
  <si>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</si>
  <si>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</si>
  <si>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</si>
  <si>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</si>
  <si>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</si>
  <si>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</si>
  <si>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</si>
  <si>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</si>
  <si>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</si>
  <si>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</si>
  <si>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</si>
  <si>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</si>
  <si>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</si>
  <si>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</si>
  <si>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</si>
  <si>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</si>
  <si>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</si>
  <si>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</si>
  <si>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</si>
  <si>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</si>
  <si>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</si>
  <si>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</si>
  <si>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</si>
  <si>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</si>
  <si>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</si>
  <si>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</si>
  <si>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</si>
  <si>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</si>
  <si>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</si>
  <si>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</si>
  <si>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</si>
  <si>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</si>
  <si>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</si>
  <si>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</si>
  <si>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</si>
  <si>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</si>
  <si>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</si>
  <si>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</si>
  <si>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</si>
  <si>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</si>
  <si>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</si>
  <si>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</si>
  <si>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</si>
  <si>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</si>
  <si>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</si>
  <si>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</si>
  <si>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</si>
  <si>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</si>
  <si>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</si>
  <si>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</si>
  <si>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</si>
  <si>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</si>
  <si>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</si>
  <si>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</si>
  <si>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</si>
  <si>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</si>
  <si>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</si>
  <si>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</si>
  <si>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</si>
  <si>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</si>
  <si>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</si>
  <si>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</si>
  <si>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</si>
  <si>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</si>
  <si>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</si>
  <si>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</si>
  <si>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</si>
  <si>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</si>
  <si>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</si>
  <si>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</si>
  <si>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</si>
  <si>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</si>
  <si>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</si>
  <si>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</si>
  <si>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</si>
  <si>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</si>
  <si>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</si>
  <si>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</si>
  <si>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</si>
  <si>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</si>
  <si>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</si>
  <si>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</si>
  <si>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</si>
  <si>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</si>
  <si>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</si>
  <si>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</si>
  <si>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</si>
  <si>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</si>
  <si>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</si>
  <si>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</si>
  <si>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</si>
  <si>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</si>
  <si>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</si>
  <si>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</si>
  <si>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</si>
  <si>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</si>
  <si>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</si>
  <si>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</si>
  <si>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</si>
  <si>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</si>
  <si>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</si>
  <si>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</si>
  <si>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</si>
  <si>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</si>
  <si>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</si>
  <si>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</si>
  <si>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</si>
  <si>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</si>
  <si>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</si>
  <si>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</si>
  <si>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</si>
  <si>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</si>
  <si>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</si>
  <si>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</si>
  <si>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</si>
  <si>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</si>
  <si>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</si>
  <si>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</si>
  <si>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</si>
  <si>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</si>
  <si>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</si>
  <si>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</si>
  <si>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</si>
  <si>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</si>
  <si>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</si>
  <si>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</si>
  <si>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</si>
  <si>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</si>
  <si>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</si>
  <si>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</si>
  <si>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</si>
  <si>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</si>
  <si>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</si>
  <si>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</si>
  <si>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</si>
  <si>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</si>
  <si>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</si>
  <si>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</si>
  <si>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</si>
  <si>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</si>
  <si>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</si>
  <si>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</si>
  <si>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</si>
  <si>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</si>
  <si>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</si>
  <si>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</si>
  <si>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</si>
  <si>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</si>
  <si>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</si>
  <si>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</si>
  <si>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</si>
  <si>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</si>
  <si>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</si>
  <si>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</si>
  <si>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</si>
  <si>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</si>
  <si>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</si>
  <si>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</si>
  <si>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</si>
  <si>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</si>
  <si>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</si>
  <si>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</si>
  <si>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</si>
  <si>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</si>
  <si>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</si>
  <si>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</si>
  <si>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</si>
  <si>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</si>
  <si>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</si>
  <si>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</si>
  <si>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</si>
  <si>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</si>
  <si>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</si>
  <si>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</si>
  <si>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</si>
  <si>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</si>
  <si>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</si>
  <si>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</si>
  <si>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</si>
  <si>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</si>
  <si>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</si>
  <si>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</si>
  <si>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</si>
  <si>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</si>
  <si>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</si>
  <si>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</si>
  <si>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</si>
  <si>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</si>
  <si>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</si>
  <si>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</si>
  <si>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</si>
  <si>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</si>
  <si>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</si>
  <si>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</si>
  <si>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</si>
  <si>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</si>
  <si>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</si>
  <si>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</si>
  <si>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</si>
  <si>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</si>
  <si>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</si>
  <si>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</si>
  <si>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</si>
  <si>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</si>
  <si>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</si>
  <si>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</si>
  <si>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</si>
  <si>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</si>
  <si>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</si>
  <si>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</si>
  <si>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</si>
  <si>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</si>
  <si>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</si>
  <si>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</si>
  <si>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</si>
  <si>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</si>
  <si>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</si>
  <si>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</si>
  <si>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</si>
  <si>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</si>
  <si>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</si>
  <si>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</si>
  <si>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</si>
  <si>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</si>
  <si>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</si>
  <si>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</si>
  <si>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</si>
  <si>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</si>
  <si>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</si>
  <si>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</si>
  <si>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</si>
  <si>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</si>
  <si>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</si>
  <si>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</si>
  <si>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</si>
  <si>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</si>
  <si>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</si>
  <si>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</si>
  <si>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</si>
  <si>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</si>
  <si>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</si>
  <si>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</si>
  <si>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</si>
  <si>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</si>
  <si>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</si>
  <si>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</si>
  <si>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</si>
  <si>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</si>
  <si>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</si>
  <si>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</si>
  <si>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</si>
  <si>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</si>
  <si>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</si>
  <si>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</si>
  <si>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</si>
  <si>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</si>
  <si>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</si>
  <si>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</si>
  <si>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</si>
  <si>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</si>
  <si>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</si>
  <si>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</si>
  <si>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</si>
  <si>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</si>
  <si>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</si>
  <si>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</si>
  <si>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</si>
  <si>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</si>
  <si>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</si>
  <si>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</si>
  <si>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</si>
  <si>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</si>
  <si>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</si>
  <si>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</si>
  <si>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</si>
  <si>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</si>
  <si>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</si>
  <si>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</si>
  <si>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</si>
  <si>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</si>
  <si>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</si>
  <si>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</si>
  <si>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</si>
  <si>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</si>
  <si>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</si>
  <si>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</si>
  <si>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</si>
  <si>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</si>
  <si>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</si>
  <si>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</si>
  <si>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</si>
  <si>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</si>
  <si>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</si>
  <si>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</si>
  <si>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</si>
  <si>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</si>
  <si>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</si>
  <si>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</si>
  <si>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</si>
  <si>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</si>
  <si>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</si>
  <si>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</si>
  <si>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</si>
  <si>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</si>
  <si>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</si>
  <si>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</si>
  <si>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</si>
  <si>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</si>
  <si>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</si>
  <si>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</si>
  <si>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</si>
  <si>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</si>
  <si>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</si>
  <si>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</si>
  <si>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</si>
  <si>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</si>
  <si>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</si>
  <si>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</si>
  <si>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</si>
  <si>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</si>
  <si>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</si>
  <si>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</si>
  <si>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</si>
  <si>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</si>
  <si>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</si>
  <si>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</si>
  <si>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</si>
  <si>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</si>
  <si>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</si>
  <si>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</si>
  <si>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</si>
  <si>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</si>
  <si>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</si>
  <si>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</si>
  <si>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</si>
  <si>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</si>
  <si>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</si>
  <si>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</si>
  <si>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</si>
  <si>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</si>
  <si>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</si>
  <si>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</si>
  <si>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</si>
  <si>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</si>
  <si>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</si>
  <si>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</si>
  <si>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</si>
  <si>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</si>
  <si>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</si>
  <si>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</si>
  <si>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</si>
  <si>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</si>
  <si>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</si>
  <si>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</si>
  <si>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</si>
  <si>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</si>
  <si>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</si>
  <si>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</si>
  <si>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</si>
  <si>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</si>
  <si>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</si>
  <si>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</si>
  <si>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</si>
  <si>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</si>
  <si>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</si>
  <si>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</si>
  <si>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</si>
  <si>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</si>
  <si>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</si>
  <si>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</si>
  <si>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</si>
  <si>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</si>
  <si>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</si>
  <si>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</si>
  <si>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</si>
  <si>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</si>
  <si>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</si>
  <si>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</si>
  <si>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</si>
  <si>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</si>
  <si>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</si>
  <si>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</si>
  <si>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</si>
  <si>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</si>
  <si>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</si>
  <si>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</si>
  <si>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r>
      <rPr>
        <sz val="11"/>
        <color theme="1"/>
        <rFont val="Noto Sans CJK SC"/>
        <family val="2"/>
      </rPr>
      <t xml:space="preserve">兩種口徑：【支付順序】假設資本支出先由營業現金流支付、再依序租賃→股權→債，所以營業現金流足以支付時外部資金比例為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（外部資金被排在營業現金流之後，例如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Hyperion 27.3 </t>
    </r>
    <r>
      <rPr>
        <sz val="11"/>
        <color theme="1"/>
        <rFont val="Noto Sans CJK SC"/>
        <family val="2"/>
      </rPr>
      <t xml:space="preserve">都不出現）；【總額】＝期間外部資金全額（發債＋定期貸款＋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債＋私募信貸＋新增融資租賃＋表外合資＋股權）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資本支出，與營業現金流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資本支出並列，兩者合計可 </t>
    </r>
    <r>
      <rPr>
        <sz val="11"/>
        <color theme="1"/>
        <rFont val="Calibri"/>
        <family val="2"/>
        <charset val="1"/>
      </rPr>
      <t xml:space="preserve">&gt; 100%</t>
    </r>
    <r>
      <rPr>
        <sz val="11"/>
        <color theme="1"/>
        <rFont val="Noto Sans CJK SC"/>
        <family val="2"/>
      </rPr>
      <t xml:space="preserve">（多出的部分用於回饋、現金水位或期後）。互動頁預設顯示總額口徑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</si>
  <si>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</si>
  <si>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</si>
  <si>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</si>
  <si>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</si>
  <si>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</si>
  <si>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</si>
  <si>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</si>
  <si>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</si>
  <si>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</si>
  <si>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</si>
  <si>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</si>
  <si>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</si>
  <si>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</si>
  <si>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</si>
  <si>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</si>
  <si>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</si>
  <si>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</si>
  <si>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</si>
  <si>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</si>
  <si>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</si>
  <si>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</si>
  <si>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</si>
  <si>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</si>
  <si>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</si>
  <si>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</si>
  <si>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</si>
  <si>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</si>
  <si>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</si>
  <si>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</si>
  <si>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</si>
  <si>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</si>
  <si>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</si>
  <si>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</si>
  <si>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【總額】外部資金</t>
  </si>
  <si>
    <r>
      <rPr>
        <b val="true"/>
        <sz val="11"/>
        <rFont val="Noto Sans CJK SC"/>
        <family val="2"/>
      </rPr>
      <t xml:space="preserve">【總額】外部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</si>
  <si>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【總額】營業現金流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</si>
  <si>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</si>
  <si>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</si>
  <si>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【總額】租賃＋表外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</si>
  <si>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</si>
  <si>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</si>
  <si>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</si>
  <si>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</si>
  <si>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</si>
  <si>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</si>
  <si>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</si>
  <si>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9M2026</t>
  </si>
  <si>
    <t xml:space="preserve">Amazon</t>
  </si>
  <si>
    <t xml:space="preserve">Oracle</t>
  </si>
  <si>
    <t xml:space="preserve">2026H1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</si>
  <si>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</si>
  <si>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</si>
  <si>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</si>
  <si>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</si>
  <si>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</si>
  <si>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</si>
  <si>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</si>
  <si>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</si>
  <si>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</si>
  <si>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</si>
  <si>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屬實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</si>
  <si>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</si>
  <si>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</si>
  <si>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</si>
  <si>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</si>
  <si>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</si>
  <si>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</si>
  <si>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FY27Q1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</si>
  <si>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</si>
  <si>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</si>
  <si>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</si>
  <si>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t xml:space="preserve">capex_cash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</si>
  <si>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</si>
  <si>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</si>
  <si>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</si>
  <si>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</si>
  <si>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</si>
  <si>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</si>
  <si>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</si>
  <si>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</si>
  <si>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t xml:space="preserve">小誤（已更正）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</si>
  <si>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</si>
  <si>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</si>
  <si>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</si>
  <si>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</si>
  <si>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</si>
  <si>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</si>
  <si>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</si>
  <si>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</si>
  <si>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</si>
  <si>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</si>
  <si>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</si>
  <si>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t xml:space="preserve">vendor_financing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</si>
  <si>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</si>
  <si>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</si>
  <si>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</si>
  <si>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</si>
  <si>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</si>
  <si>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</si>
  <si>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</si>
  <si>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</si>
  <si>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</si>
  <si>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t xml:space="preserve">2026-08</t>
  </si>
  <si>
    <t xml:space="preserve">bond_issue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</si>
  <si>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</si>
  <si>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</si>
  <si>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</si>
  <si>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</si>
  <si>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</si>
  <si>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</si>
  <si>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</si>
  <si>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</si>
  <si>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</si>
  <si>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</si>
  <si>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</si>
  <si>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</si>
  <si>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Net cash from operations</t>
    </r>
    <r>
      <rPr>
        <sz val="11"/>
        <color theme="1"/>
        <rFont val="Noto Sans CJK SC"/>
        <family val="2"/>
      </rPr>
      <t xml:space="preserve">（三個月至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</si>
  <si>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F#228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</si>
  <si>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段核對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</si>
  <si>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增添（現金，不含融資租賃）；去年同期 </t>
    </r>
    <r>
      <rPr>
        <sz val="11"/>
        <color theme="1"/>
        <rFont val="Calibri"/>
        <family val="2"/>
        <charset val="1"/>
      </rPr>
      <t xml:space="preserve">19.394</t>
    </r>
  </si>
  <si>
    <t xml:space="preserve">F#229</t>
  </si>
  <si>
    <t xml:space="preserve">fin_lease_new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</si>
  <si>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附註租賃；去年同期 </t>
    </r>
    <r>
      <rPr>
        <sz val="11"/>
        <color theme="1"/>
        <rFont val="Calibri"/>
        <family val="2"/>
        <charset val="1"/>
      </rPr>
      <t xml:space="preserve">9.147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稱本季 </t>
    </r>
    <r>
      <rPr>
        <sz val="11"/>
        <color theme="1"/>
        <rFont val="Calibri"/>
        <family val="2"/>
        <charset val="1"/>
      </rPr>
      <t xml:space="preserve">finance leases 7.4 </t>
    </r>
    <r>
      <rPr>
        <sz val="11"/>
        <color theme="1"/>
        <rFont val="Noto Sans CJK SC"/>
        <family val="2"/>
      </rPr>
      <t xml:space="preserve">為起租全額本金口徑；</t>
    </r>
    <r>
      <rPr>
        <sz val="11"/>
        <color theme="1"/>
        <rFont val="Calibri"/>
        <family val="2"/>
        <charset val="1"/>
      </rPr>
      <t xml:space="preserve">45.2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39.4</t>
    </r>
    <r>
      <rPr>
        <sz val="11"/>
        <color theme="1"/>
        <rFont val="Noto Sans CJK SC"/>
        <family val="2"/>
      </rPr>
      <t xml:space="preserve">＋租賃任一組合皆不吻合，文件未說明（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段未解）</t>
    </r>
  </si>
  <si>
    <t xml:space="preserve">F#230</t>
  </si>
  <si>
    <r>
      <rPr>
        <sz val="11"/>
        <color theme="1"/>
        <rFont val="Noto Sans CJK SC"/>
        <family val="2"/>
      </rPr>
      <t xml:space="preserve">公司口徑資本支出（含融資租賃）；約四分之三為短期資產（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）；第三方產能交付延後</t>
    </r>
  </si>
  <si>
    <t xml:space="preserve">F#231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</si>
  <si>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58.000 −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39.367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18.6</t>
    </r>
    <r>
      <rPr>
        <sz val="11"/>
        <color theme="1"/>
        <rFont val="Noto Sans CJK SC"/>
        <family val="2"/>
      </rPr>
      <t xml:space="preserve">）</t>
    </r>
  </si>
  <si>
    <t xml:space="preserve">F#232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</si>
  <si>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</si>
  <si>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4.379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（現金流量表）；公司稱回饋 </t>
    </r>
    <r>
      <rPr>
        <sz val="11"/>
        <color theme="1"/>
        <rFont val="Calibri"/>
        <family val="2"/>
        <charset val="1"/>
      </rPr>
      <t xml:space="preserve">10.2</t>
    </r>
    <r>
      <rPr>
        <sz val="11"/>
        <color theme="1"/>
        <rFont val="Noto Sans CJK SC"/>
        <family val="2"/>
      </rPr>
      <t xml:space="preserve">＝計畫內買回 </t>
    </r>
    <r>
      <rPr>
        <sz val="11"/>
        <color theme="1"/>
        <rFont val="Calibri"/>
        <family val="2"/>
        <charset val="1"/>
      </rPr>
      <t xml:space="preserve">2.925</t>
    </r>
    <r>
      <rPr>
        <sz val="11"/>
        <color theme="1"/>
        <rFont val="Noto Sans CJK SC"/>
        <family val="2"/>
      </rPr>
      <t xml:space="preserve">＋宣告股利 </t>
    </r>
    <r>
      <rPr>
        <sz val="11"/>
        <color theme="1"/>
        <rFont val="Calibri"/>
        <family val="2"/>
        <charset val="1"/>
      </rPr>
      <t xml:space="preserve">7.279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Part II Item 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4.379 </t>
    </r>
    <r>
      <rPr>
        <sz val="11"/>
        <color theme="1"/>
        <rFont val="Noto Sans CJK SC"/>
        <family val="2"/>
      </rPr>
      <t xml:space="preserve">另含員工代扣稅買回約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</t>
    </r>
  </si>
  <si>
    <t xml:space="preserve">F#233</t>
  </si>
  <si>
    <r>
      <rPr>
        <sz val="11"/>
        <color theme="1"/>
        <rFont val="Noto Sans CJK SC"/>
        <family val="2"/>
      </rPr>
      <t xml:space="preserve">本季未發債；償還 </t>
    </r>
    <r>
      <rPr>
        <sz val="11"/>
        <color theme="1"/>
        <rFont val="Calibri"/>
        <family val="2"/>
        <charset val="1"/>
      </rPr>
      <t xml:space="preserve">4.850</t>
    </r>
  </si>
  <si>
    <t xml:space="preserve">F#234</t>
  </si>
  <si>
    <t xml:space="preserve">2026-09-30</t>
  </si>
  <si>
    <r>
      <rPr>
        <sz val="11"/>
        <color theme="1"/>
        <rFont val="Noto Sans CJK SC"/>
        <family val="2"/>
      </rPr>
      <t xml:space="preserve">尚未起租租賃（主要資料中心）；</t>
    </r>
    <r>
      <rPr>
        <sz val="11"/>
        <color theme="1"/>
        <rFont val="Calibri"/>
        <family val="2"/>
        <charset val="1"/>
      </rPr>
      <t xml:space="preserve">FY2027–FY2034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329.1</t>
    </r>
  </si>
  <si>
    <t xml:space="preserve">F#235</t>
  </si>
  <si>
    <t xml:space="preserve">fin_lease_liab</t>
  </si>
  <si>
    <r>
      <rPr>
        <sz val="11"/>
        <color theme="1"/>
        <rFont val="Noto Sans CJK SC"/>
        <family val="2"/>
      </rPr>
      <t xml:space="preserve">融資租賃負債合計（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66.594</t>
    </r>
    <r>
      <rPr>
        <sz val="11"/>
        <color theme="1"/>
        <rFont val="Noto Sans CJK SC"/>
        <family val="2"/>
      </rPr>
      <t xml:space="preserve">）；不在帳面借款內</t>
    </r>
  </si>
  <si>
    <t xml:space="preserve">F#236</t>
  </si>
  <si>
    <r>
      <rPr>
        <sz val="11"/>
        <color theme="1"/>
        <rFont val="Noto Sans CJK SC"/>
        <family val="2"/>
      </rPr>
      <t xml:space="preserve">指引：曆年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（第三方產能延到財年下半年＝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年上半年）；前次曆年口徑見 </t>
    </r>
    <r>
      <rPr>
        <sz val="11"/>
        <color theme="1"/>
        <rFont val="Calibri"/>
        <family val="2"/>
        <charset val="1"/>
      </rPr>
      <t xml:space="preserve">F#29</t>
    </r>
    <r>
      <rPr>
        <sz val="11"/>
        <color theme="1"/>
        <rFont val="Noto Sans CJK SC"/>
        <family val="2"/>
      </rPr>
      <t xml:space="preserve">（本次文件未提舊值）</t>
    </r>
  </si>
  <si>
    <t xml:space="preserve">F#237</t>
  </si>
  <si>
    <t xml:space="preserve">FY27Q2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</si>
  <si>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（下限）；財年下半年加速（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、記憶體與儲存成本、延後的第三方產能）</t>
    </r>
  </si>
  <si>
    <t xml:space="preserve">F#238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</si>
  <si>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將 </t>
    </r>
    <r>
      <rPr>
        <sz val="11"/>
        <color theme="1"/>
        <rFont val="Calibri"/>
        <family val="2"/>
        <charset val="1"/>
      </rPr>
      <t xml:space="preserve">significantly </t>
    </r>
    <r>
      <rPr>
        <sz val="11"/>
        <color theme="1"/>
        <rFont val="Noto Sans CJK SC"/>
        <family val="2"/>
      </rPr>
      <t xml:space="preserve">增加，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法說給細節</t>
    </r>
  </si>
  <si>
    <t xml:space="preserve">F#245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</si>
  <si>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新聞稿重申）</t>
    </r>
  </si>
  <si>
    <t xml:space="preserve">F#254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</si>
  <si>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</si>
  <si>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</si>
  <si>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</si>
  <si>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</si>
  <si>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</si>
  <si>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</si>
  <si>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</si>
  <si>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</si>
  <si>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</si>
  <si>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</si>
  <si>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</si>
  <si>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</si>
  <si>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</si>
  <si>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</si>
  <si>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</si>
  <si>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</si>
  <si>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</si>
  <si>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</si>
  <si>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</si>
  <si>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</si>
  <si>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</si>
  <si>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</si>
  <si>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</si>
  <si>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</si>
  <si>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</si>
  <si>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</si>
  <si>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</si>
  <si>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</si>
  <si>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</si>
  <si>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</si>
  <si>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</si>
  <si>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</si>
  <si>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</si>
  <si>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</si>
  <si>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</si>
  <si>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</si>
  <si>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</si>
  <si>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</si>
  <si>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</si>
  <si>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</si>
  <si>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</si>
  <si>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</si>
  <si>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</si>
  <si>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</si>
  <si>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</si>
  <si>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</si>
  <si>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</si>
  <si>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</si>
  <si>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</si>
  <si>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</si>
  <si>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</si>
  <si>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</si>
  <si>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</si>
  <si>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</si>
  <si>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</si>
  <si>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</si>
  <si>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</si>
  <si>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</si>
  <si>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</si>
  <si>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</si>
  <si>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</si>
  <si>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</si>
  <si>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</si>
  <si>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</si>
  <si>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</si>
  <si>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</si>
  <si>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</si>
  <si>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</si>
  <si>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</si>
  <si>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</si>
  <si>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</si>
  <si>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</si>
  <si>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</si>
  <si>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</si>
  <si>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</si>
  <si>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</si>
  <si>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</si>
  <si>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</si>
  <si>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</si>
  <si>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</si>
  <si>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</si>
  <si>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</si>
  <si>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</si>
  <si>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</si>
  <si>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</si>
  <si>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</si>
  <si>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</si>
  <si>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</si>
  <si>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</si>
  <si>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</si>
  <si>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</si>
  <si>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</si>
  <si>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</si>
  <si>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</si>
  <si>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</si>
  <si>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</si>
  <si>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</si>
  <si>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</si>
  <si>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</si>
  <si>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</si>
  <si>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</si>
  <si>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</si>
  <si>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</si>
  <si>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</si>
  <si>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</si>
  <si>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</si>
  <si>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</si>
  <si>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</si>
  <si>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</si>
  <si>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</si>
  <si>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</si>
  <si>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</si>
  <si>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</si>
  <si>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</si>
  <si>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</si>
  <si>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</si>
  <si>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</si>
  <si>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</si>
  <si>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</si>
  <si>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</si>
  <si>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</si>
  <si>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</si>
  <si>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</si>
  <si>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</si>
  <si>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</si>
  <si>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</si>
  <si>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F#29</t>
  </si>
  <si>
    <t xml:space="preserve">guide</t>
  </si>
  <si>
    <r>
      <rPr>
        <sz val="11"/>
        <color rgb="FF808080"/>
        <rFont val="Noto Sans CJK SC"/>
        <family val="2"/>
      </rPr>
      <t xml:space="preserve">報告口徑曆年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175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190</t>
    </r>
    <r>
      <rPr>
        <sz val="11"/>
        <color rgb="FF808080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</si>
  <si>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[Interested-party]</t>
  </si>
  <si>
    <r>
      <rPr>
        <sz val="11"/>
        <color rgb="FF808080"/>
        <rFont val="Cambria"/>
        <family val="0"/>
        <charset val="1"/>
      </rPr>
      <t xml:space="preserve">Microsoft FY26Q4 </t>
    </r>
    <r>
      <rPr>
        <sz val="11"/>
        <color rgb="FF808080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</si>
  <si>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</si>
  <si>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法說 </t>
    </r>
    <r>
      <rPr>
        <sz val="11"/>
        <color rgb="FF808080"/>
        <rFont val="Cambria"/>
        <family val="0"/>
        <charset val="1"/>
      </rPr>
      <t xml:space="preserve">170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F#237</t>
    </r>
    <r>
      <rPr>
        <sz val="11"/>
        <color rgb="FF808080"/>
        <rFont val="Noto Sans CJK SC"/>
        <family val="2"/>
      </rPr>
      <t xml:space="preserve">）</t>
    </r>
  </si>
  <si>
    <t xml:space="preserve">F#30</t>
  </si>
  <si>
    <t xml:space="preserve">post</t>
  </si>
  <si>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&gt;50</t>
    </r>
    <r>
      <rPr>
        <sz val="11"/>
        <color rgb="FF808080"/>
        <rFont val="Noto Sans CJK SC"/>
        <family val="2"/>
      </rPr>
      <t xml:space="preserve">（含租賃改列效果）；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盤後財報未收錄</t>
    </r>
  </si>
  <si>
    <t xml:space="preserve">https://www.thestar.com.my/business/business-news/2026/07/31/microsoft-sees-strong-cash-flow-lower-capex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</si>
  <si>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實績（</t>
    </r>
    <r>
      <rPr>
        <sz val="11"/>
        <color rgb="FF808080"/>
        <rFont val="Cambria"/>
        <family val="0"/>
        <charset val="1"/>
      </rPr>
      <t xml:space="preserve">F#228–234</t>
    </r>
    <r>
      <rPr>
        <sz val="11"/>
        <color rgb="FF808080"/>
        <rFont val="Noto Sans CJK SC"/>
        <family val="2"/>
      </rPr>
      <t xml:space="preserve">）</t>
    </r>
  </si>
  <si>
    <t xml:space="preserve">F#31</t>
  </si>
  <si>
    <t xml:space="preserve">2025-11</t>
  </si>
  <si>
    <t xml:space="preserve">compute_purchase</t>
  </si>
  <si>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&gt;60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23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IREN 9.7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Lambda </t>
    </r>
    <r>
      <rPr>
        <sz val="11"/>
        <color rgb="FF808080"/>
        <rFont val="Noto Sans CJK SC"/>
        <family val="2"/>
      </rPr>
      <t xml:space="preserve">未揭露）；</t>
    </r>
    <r>
      <rPr>
        <sz val="11"/>
        <color rgb="FF808080"/>
        <rFont val="Cambria"/>
        <family val="0"/>
        <charset val="1"/>
      </rPr>
      <t xml:space="preserve">Bloomberg </t>
    </r>
    <r>
      <rPr>
        <sz val="11"/>
        <color rgb="FF808080"/>
        <rFont val="Noto Sans CJK SC"/>
        <family val="2"/>
      </rPr>
      <t xml:space="preserve">統計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</si>
  <si>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金額為匿名來源）</t>
    </r>
  </si>
  <si>
    <r>
      <rPr>
        <sz val="11"/>
        <color rgb="FF808080"/>
        <rFont val="Cambria"/>
        <family val="0"/>
        <charset val="1"/>
      </rPr>
      <t xml:space="preserve">Data Center Knowledge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</si>
  <si>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</si>
  <si>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段改不採用</t>
    </r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</si>
  <si>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段更正：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租用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算力是採購承諾（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為付款方），不是資金來源 → 不採用</t>
    </r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</si>
  <si>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</si>
  <si>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</si>
  <si>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</si>
  <si>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</si>
  <si>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</si>
  <si>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</si>
  <si>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</si>
  <si>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</si>
  <si>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</si>
  <si>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</si>
  <si>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</si>
  <si>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</si>
  <si>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</si>
  <si>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</si>
  <si>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</si>
  <si>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</si>
  <si>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</si>
  <si>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</si>
  <si>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</si>
  <si>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</si>
  <si>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</si>
  <si>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</si>
  <si>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</si>
  <si>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</si>
  <si>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</si>
  <si>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</si>
  <si>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</si>
  <si>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</si>
  <si>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</si>
  <si>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</si>
  <si>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rgb="FF808080"/>
        <rFont val="Cambria"/>
        <family val="0"/>
        <charset val="1"/>
      </rPr>
      <t xml:space="preserve">Q1 45.790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39.069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</si>
  <si>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</si>
  <si>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</si>
  <si>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</si>
  <si>
    <t xml:space="preserve">F#45</t>
  </si>
  <si>
    <r>
      <rPr>
        <sz val="11"/>
        <color rgb="FF808080"/>
        <rFont val="Cambria"/>
        <family val="0"/>
        <charset val="1"/>
      </rPr>
      <t xml:space="preserve">Q1 35.674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44.924</t>
    </r>
  </si>
  <si>
    <t xml:space="preserve">F#46</t>
  </si>
  <si>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單季 −</t>
    </r>
    <r>
      <rPr>
        <sz val="11"/>
        <color rgb="FF808080"/>
        <rFont val="Cambria"/>
        <family val="0"/>
        <charset val="1"/>
      </rPr>
      <t xml:space="preserve">5.855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TTM 53.3</t>
    </r>
  </si>
  <si>
    <t xml:space="preserve">F#47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</si>
  <si>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皆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）＋股利 </t>
    </r>
    <r>
      <rPr>
        <sz val="11"/>
        <color rgb="FF808080"/>
        <rFont val="Cambria"/>
        <family val="0"/>
        <charset val="1"/>
      </rPr>
      <t xml:space="preserve">5.231</t>
    </r>
    <r>
      <rPr>
        <sz val="11"/>
        <color rgb="FF808080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</si>
  <si>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</si>
  <si>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</si>
  <si>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</si>
  <si>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</si>
  <si>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t xml:space="preserve">F#49</t>
  </si>
  <si>
    <t xml:space="preserve">2026-08-10</t>
  </si>
  <si>
    <r>
      <rPr>
        <sz val="11"/>
        <color rgb="FF808080"/>
        <rFont val="Cambria"/>
        <family val="0"/>
        <charset val="1"/>
      </rPr>
      <t xml:space="preserve">USD 25B </t>
    </r>
    <r>
      <rPr>
        <sz val="11"/>
        <color rgb="FF808080"/>
        <rFont val="Noto Sans CJK SC"/>
        <family val="2"/>
      </rPr>
      <t xml:space="preserve">優先無擔保；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票面利率）</t>
    </r>
  </si>
  <si>
    <r>
      <rPr>
        <sz val="11"/>
        <color rgb="FF808080"/>
        <rFont val="Cambria"/>
        <family val="0"/>
        <charset val="1"/>
      </rPr>
      <t xml:space="preserve">Alphabet 8-K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FWP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debt.iss.202608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</si>
  <si>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</si>
  <si>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月發債已在 </t>
    </r>
    <r>
      <rPr>
        <sz val="11"/>
        <color rgb="FF808080"/>
        <rFont val="Cambria"/>
        <family val="0"/>
        <charset val="1"/>
      </rPr>
      <t xml:space="preserve">9M </t>
    </r>
    <r>
      <rPr>
        <sz val="11"/>
        <color rgb="FF808080"/>
        <rFont val="Noto Sans CJK SC"/>
        <family val="2"/>
      </rPr>
      <t xml:space="preserve">現金流量表內）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</si>
  <si>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段更正：依 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 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csv </t>
    </r>
    <r>
      <rPr>
        <sz val="11"/>
        <color rgb="FF808080"/>
        <rFont val="Noto Sans CJK SC"/>
        <family val="2"/>
      </rPr>
      <t xml:space="preserve">原寫 </t>
    </r>
    <r>
      <rPr>
        <sz val="11"/>
        <color rgb="FF808080"/>
        <rFont val="Cambria"/>
        <family val="0"/>
        <charset val="1"/>
      </rPr>
      <t xml:space="preserve">6.283%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5.52% </t>
    </r>
    <r>
      <rPr>
        <sz val="11"/>
        <color rgb="FF808080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</si>
  <si>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</si>
  <si>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</si>
  <si>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</si>
  <si>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</si>
  <si>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</si>
  <si>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rgb="FF808080"/>
        <rFont val="Noto Sans CJK SC"/>
        <family val="2"/>
      </rPr>
      <t xml:space="preserve">普通股 </t>
    </r>
    <r>
      <rPr>
        <sz val="11"/>
        <color rgb="FF808080"/>
        <rFont val="Cambria"/>
        <family val="0"/>
        <charset val="1"/>
      </rPr>
      <t xml:space="preserve">18.0</t>
    </r>
    <r>
      <rPr>
        <sz val="11"/>
        <color rgb="FF808080"/>
        <rFont val="Noto Sans CJK SC"/>
        <family val="2"/>
      </rPr>
      <t xml:space="preserve">＋強制轉換特別股 </t>
    </r>
    <r>
      <rPr>
        <sz val="11"/>
        <color rgb="FF808080"/>
        <rFont val="Cambria"/>
        <family val="0"/>
        <charset val="1"/>
      </rPr>
      <t xml:space="preserve">16.75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6.25%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2029 </t>
    </r>
    <r>
      <rPr>
        <sz val="11"/>
        <color rgb="FF808080"/>
        <rFont val="Noto Sans CJK SC"/>
        <family val="2"/>
      </rPr>
      <t xml:space="preserve">轉換）＋</t>
    </r>
    <r>
      <rPr>
        <sz val="11"/>
        <color rgb="FF808080"/>
        <rFont val="Cambria"/>
        <family val="0"/>
        <charset val="1"/>
      </rPr>
      <t xml:space="preserve">Berkshire </t>
    </r>
    <r>
      <rPr>
        <sz val="11"/>
        <color rgb="FF808080"/>
        <rFont val="Noto Sans CJK SC"/>
        <family val="2"/>
      </rPr>
      <t xml:space="preserve">私募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ATM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40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起）；用途含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資本支出</t>
    </r>
  </si>
  <si>
    <r>
      <rPr>
        <sz val="11"/>
        <color rgb="FF808080"/>
        <rFont val="Cambria"/>
        <family val="0"/>
        <charset val="1"/>
      </rPr>
      <t xml:space="preserve">Alphabet 8-K 99.2 </t>
    </r>
    <r>
      <rPr>
        <sz val="11"/>
        <color rgb="FF808080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</si>
  <si>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</si>
  <si>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實收 </t>
    </r>
    <r>
      <rPr>
        <sz val="11"/>
        <color rgb="FF808080"/>
        <rFont val="Cambria"/>
        <family val="0"/>
        <charset val="1"/>
      </rPr>
      <t xml:space="preserve">61.933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</si>
  <si>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段更正：刪除『美國史上最大股權發行』（</t>
    </r>
    <r>
      <rPr>
        <sz val="11"/>
        <color rgb="FF808080"/>
        <rFont val="Cambria"/>
        <family val="0"/>
        <charset val="1"/>
      </rPr>
      <t xml:space="preserve">8-K Ex.99.2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Bloomberg Law </t>
    </r>
    <r>
      <rPr>
        <sz val="11"/>
        <color rgb="FF808080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</si>
  <si>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</si>
  <si>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</si>
  <si>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</si>
  <si>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</si>
  <si>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</si>
  <si>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</si>
  <si>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</si>
  <si>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t xml:space="preserve">F#55</t>
  </si>
  <si>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195–205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法說，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盤後未收錄</t>
    </r>
  </si>
  <si>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Alphabet 2026 capex guidance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</si>
  <si>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</si>
  <si>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法說重申（</t>
    </r>
    <r>
      <rPr>
        <sz val="11"/>
        <color rgb="FF808080"/>
        <rFont val="Cambria"/>
        <family val="0"/>
        <charset val="1"/>
      </rPr>
      <t xml:space="preserve">F#245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</si>
  <si>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</si>
  <si>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</si>
  <si>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</si>
  <si>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</si>
  <si>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</si>
  <si>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</si>
  <si>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</si>
  <si>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</si>
  <si>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</si>
  <si>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t xml:space="preserve">F#58</t>
  </si>
  <si>
    <t xml:space="preserve">jv_exposure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</si>
  <si>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</si>
  <si>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</si>
  <si>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</si>
  <si>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</si>
  <si>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</si>
  <si>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</si>
  <si>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</si>
  <si>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</si>
  <si>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</si>
  <si>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</si>
  <si>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</si>
  <si>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</si>
  <si>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</si>
  <si>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</si>
  <si>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</si>
  <si>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</si>
  <si>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</si>
  <si>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</si>
  <si>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</si>
  <si>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</si>
  <si>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</si>
  <si>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</si>
  <si>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</si>
  <si>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</si>
  <si>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</si>
  <si>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rgb="FF808080"/>
        <rFont val="Cambria"/>
        <family val="0"/>
        <charset val="1"/>
      </rPr>
      <t xml:space="preserve">Q1 26.032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45.387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</si>
  <si>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</si>
  <si>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</si>
  <si>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F#247</t>
    </r>
    <r>
      <rPr>
        <sz val="11"/>
        <color rgb="FF808080"/>
        <rFont val="Noto Sans CJK SC"/>
        <family val="2"/>
      </rPr>
      <t xml:space="preserve">）</t>
    </r>
  </si>
  <si>
    <t xml:space="preserve">F#70</t>
  </si>
  <si>
    <r>
      <rPr>
        <sz val="11"/>
        <color rgb="FF808080"/>
        <rFont val="Noto Sans CJK SC"/>
        <family val="2"/>
      </rPr>
      <t xml:space="preserve">資本支出淨額 </t>
    </r>
    <r>
      <rPr>
        <sz val="11"/>
        <color rgb="FF808080"/>
        <rFont val="Cambria"/>
        <family val="0"/>
        <charset val="1"/>
      </rPr>
      <t xml:space="preserve">Q1 43.234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53.076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</si>
  <si>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F#248</t>
    </r>
    <r>
      <rPr>
        <sz val="11"/>
        <color rgb="FF808080"/>
        <rFont val="Noto Sans CJK SC"/>
        <family val="2"/>
      </rPr>
      <t xml:space="preserve">）</t>
    </r>
  </si>
  <si>
    <t xml:space="preserve">F#71</t>
  </si>
  <si>
    <r>
      <rPr>
        <sz val="11"/>
        <color rgb="FF808080"/>
        <rFont val="Noto Sans CJK SC"/>
        <family val="2"/>
      </rPr>
      <t xml:space="preserve">融資租賃取得 </t>
    </r>
    <r>
      <rPr>
        <sz val="11"/>
        <color rgb="FF808080"/>
        <rFont val="Cambria"/>
        <family val="0"/>
        <charset val="1"/>
      </rPr>
      <t xml:space="preserve">PP&amp;E Q1 1.565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0.563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</si>
  <si>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F#249</t>
    </r>
    <r>
      <rPr>
        <sz val="11"/>
        <color rgb="FF808080"/>
        <rFont val="Noto Sans CJK SC"/>
        <family val="2"/>
      </rPr>
      <t xml:space="preserve">）</t>
    </r>
  </si>
  <si>
    <t xml:space="preserve">F#72</t>
  </si>
  <si>
    <r>
      <rPr>
        <sz val="11"/>
        <color rgb="FF808080"/>
        <rFont val="Cambria"/>
        <family val="0"/>
        <charset val="1"/>
      </rPr>
      <t xml:space="preserve">TTM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2026-06 </t>
    </r>
    <r>
      <rPr>
        <sz val="11"/>
        <color rgb="FF808080"/>
        <rFont val="Noto Sans CJK SC"/>
        <family val="2"/>
      </rPr>
      <t xml:space="preserve">為 −</t>
    </r>
    <r>
      <rPr>
        <sz val="11"/>
        <color rgb="FF808080"/>
        <rFont val="Cambria"/>
        <family val="0"/>
        <charset val="1"/>
      </rPr>
      <t xml:space="preserve">7.6</t>
    </r>
    <r>
      <rPr>
        <sz val="11"/>
        <color rgb="FF808080"/>
        <rFont val="Noto Sans CJK SC"/>
        <family val="2"/>
      </rPr>
      <t xml:space="preserve">，首次轉負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</si>
  <si>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F#251</t>
    </r>
    <r>
      <rPr>
        <sz val="11"/>
        <color rgb="FF808080"/>
        <rFont val="Noto Sans CJK SC"/>
        <family val="2"/>
      </rPr>
      <t xml:space="preserve">）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</si>
  <si>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</si>
  <si>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</si>
  <si>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</si>
  <si>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</si>
  <si>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</si>
  <si>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</si>
  <si>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rgb="FF808080"/>
        <rFont val="Cambria"/>
        <family val="0"/>
        <charset val="1"/>
      </rPr>
      <t xml:space="preserve">USD 37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EUR 14.5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19 </t>
    </r>
    <r>
      <rPr>
        <sz val="11"/>
        <color rgb="FF808080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</si>
  <si>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</si>
  <si>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</si>
  <si>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長期借款收入 </t>
    </r>
    <r>
      <rPr>
        <sz val="11"/>
        <color rgb="FF808080"/>
        <rFont val="Cambria"/>
        <family val="0"/>
        <charset val="1"/>
      </rPr>
      <t xml:space="preserve">115.1 </t>
    </r>
    <r>
      <rPr>
        <sz val="11"/>
        <color rgb="FF808080"/>
        <rFont val="Noto Sans CJK SC"/>
        <family val="2"/>
      </rPr>
      <t xml:space="preserve">已含（</t>
    </r>
    <r>
      <rPr>
        <sz val="11"/>
        <color rgb="FF808080"/>
        <rFont val="Cambria"/>
        <family val="0"/>
        <charset val="1"/>
      </rPr>
      <t xml:space="preserve">F#253</t>
    </r>
    <r>
      <rPr>
        <sz val="11"/>
        <color rgb="FF808080"/>
        <rFont val="Noto Sans CJK SC"/>
        <family val="2"/>
      </rPr>
      <t xml:space="preserve">）</t>
    </r>
  </si>
  <si>
    <t xml:space="preserve">F#75</t>
  </si>
  <si>
    <t xml:space="preserve">2026-07-08</t>
  </si>
  <si>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檔、</t>
    </r>
    <r>
      <rPr>
        <sz val="11"/>
        <color rgb="FF808080"/>
        <rFont val="Cambria"/>
        <family val="0"/>
        <charset val="1"/>
      </rPr>
      <t xml:space="preserve">2029–2066</t>
    </r>
    <r>
      <rPr>
        <sz val="11"/>
        <color rgb="FF808080"/>
        <rFont val="Noto Sans CJK SC"/>
        <family val="2"/>
      </rPr>
      <t xml:space="preserve">；公司稱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不再發債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</si>
  <si>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</si>
  <si>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</si>
  <si>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</si>
  <si>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</si>
  <si>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</si>
  <si>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</si>
  <si>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</si>
  <si>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</si>
  <si>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</si>
  <si>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</si>
  <si>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</si>
  <si>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t xml:space="preserve">F#79</t>
  </si>
  <si>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220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200</t>
    </r>
    <r>
      <rPr>
        <sz val="11"/>
        <color rgb="FF808080"/>
        <rFont val="Noto Sans CJK SC"/>
        <family val="2"/>
      </rPr>
      <t xml:space="preserve">，主因記憶體漲價）；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10-29 </t>
    </r>
    <r>
      <rPr>
        <sz val="11"/>
        <color rgb="FF808080"/>
        <rFont val="Noto Sans CJK SC"/>
        <family val="2"/>
      </rPr>
      <t xml:space="preserve">發布</t>
    </r>
  </si>
  <si>
    <r>
      <rPr>
        <sz val="11"/>
        <color rgb="FF808080"/>
        <rFont val="Cambria"/>
        <family val="0"/>
        <charset val="1"/>
      </rPr>
      <t xml:space="preserve">MarketBeat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Amazon Q2 Earnings Call Highlights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Jassy</t>
    </r>
    <r>
      <rPr>
        <sz val="11"/>
        <color rgb="FF808080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</si>
  <si>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</si>
  <si>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新聞稿重申（</t>
    </r>
    <r>
      <rPr>
        <sz val="11"/>
        <color rgb="FF808080"/>
        <rFont val="Cambria"/>
        <family val="0"/>
        <charset val="1"/>
      </rPr>
      <t xml:space="preserve">F#254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</si>
  <si>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MarketBeat </t>
    </r>
    <r>
      <rPr>
        <sz val="11"/>
        <color rgb="FF808080"/>
        <rFont val="Noto Sans CJK SC"/>
        <family val="2"/>
      </rPr>
      <t xml:space="preserve">摘要），新聞稿無資本支出展望</t>
    </r>
  </si>
  <si>
    <t xml:space="preserve">F#80</t>
  </si>
  <si>
    <t xml:space="preserve">2026-07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</si>
  <si>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</si>
  <si>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</si>
  <si>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</si>
  <si>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</si>
  <si>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</si>
  <si>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</si>
  <si>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</si>
  <si>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</si>
  <si>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</si>
  <si>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</si>
  <si>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</si>
  <si>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</si>
  <si>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</si>
  <si>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</si>
  <si>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</si>
  <si>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</si>
  <si>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</si>
  <si>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</si>
  <si>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</si>
  <si>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</si>
  <si>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</si>
  <si>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</si>
  <si>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</si>
  <si>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</si>
  <si>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</si>
  <si>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</si>
  <si>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</si>
  <si>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</si>
  <si>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</si>
  <si>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</si>
  <si>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</si>
  <si>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</si>
  <si>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</si>
  <si>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</si>
  <si>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</si>
  <si>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</si>
  <si>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</si>
  <si>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</si>
  <si>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</si>
  <si>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</si>
  <si>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</si>
  <si>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</si>
  <si>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</si>
  <si>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</si>
  <si>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</si>
  <si>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</si>
  <si>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</si>
  <si>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</si>
  <si>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</si>
  <si>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</si>
  <si>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</si>
  <si>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</si>
  <si>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t xml:space="preserve">jv_offbalance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</si>
  <si>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</si>
  <si>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</si>
  <si>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</si>
  <si>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</si>
  <si>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</si>
  <si>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</si>
  <si>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</si>
  <si>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</si>
  <si>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</si>
  <si>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</si>
  <si>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</si>
  <si>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</si>
  <si>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</si>
  <si>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</si>
  <si>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</si>
  <si>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</si>
  <si>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</si>
  <si>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</si>
  <si>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</si>
  <si>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</si>
  <si>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</si>
  <si>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</si>
  <si>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</si>
  <si>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</si>
  <si>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</si>
  <si>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</si>
  <si>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</si>
  <si>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</si>
  <si>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</si>
  <si>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</si>
  <si>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</si>
  <si>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</si>
  <si>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</si>
  <si>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</si>
  <si>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</si>
  <si>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</si>
  <si>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</si>
  <si>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</si>
  <si>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</si>
  <si>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</si>
  <si>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</si>
  <si>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</si>
  <si>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</si>
  <si>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</si>
  <si>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</si>
  <si>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</si>
  <si>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</si>
  <si>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</si>
  <si>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</si>
  <si>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</si>
  <si>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</si>
  <si>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</si>
  <si>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</si>
  <si>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</si>
  <si>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</si>
  <si>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</si>
  <si>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</si>
  <si>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</si>
  <si>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</si>
  <si>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</si>
  <si>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</si>
  <si>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</si>
  <si>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</si>
  <si>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</si>
  <si>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</si>
  <si>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</si>
  <si>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</si>
  <si>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</si>
  <si>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</si>
  <si>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</si>
  <si>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</si>
  <si>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</si>
  <si>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</si>
  <si>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</si>
  <si>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</si>
  <si>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</si>
  <si>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</si>
  <si>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</si>
  <si>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</si>
  <si>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</si>
  <si>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</si>
  <si>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</si>
  <si>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</si>
  <si>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</si>
  <si>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</si>
  <si>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</si>
  <si>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</si>
  <si>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</si>
  <si>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</si>
  <si>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</si>
  <si>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</si>
  <si>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</si>
  <si>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</si>
  <si>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</si>
  <si>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</si>
  <si>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</si>
  <si>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</si>
  <si>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</si>
  <si>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</si>
  <si>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</si>
  <si>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</si>
  <si>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</si>
  <si>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</si>
  <si>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</si>
  <si>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</si>
  <si>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</si>
  <si>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</si>
  <si>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</si>
  <si>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</si>
  <si>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</si>
  <si>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</si>
  <si>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</si>
  <si>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</si>
  <si>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</si>
  <si>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</si>
  <si>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</si>
  <si>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</si>
  <si>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</si>
  <si>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</si>
  <si>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</si>
  <si>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</si>
  <si>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</si>
  <si>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</si>
  <si>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</si>
  <si>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</si>
  <si>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</si>
  <si>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</si>
  <si>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</si>
  <si>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</si>
  <si>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</si>
  <si>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</si>
  <si>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</si>
  <si>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</si>
  <si>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</si>
  <si>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</si>
  <si>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</si>
  <si>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</si>
  <si>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</si>
  <si>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</si>
  <si>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</si>
  <si>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</si>
  <si>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</si>
  <si>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</si>
  <si>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</si>
  <si>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</si>
  <si>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</si>
  <si>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</si>
  <si>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</si>
  <si>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</si>
  <si>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</si>
  <si>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</si>
  <si>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</si>
  <si>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</si>
  <si>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</si>
  <si>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</si>
  <si>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</si>
  <si>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</si>
  <si>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</si>
  <si>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</si>
  <si>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</si>
  <si>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</si>
  <si>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</si>
  <si>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</si>
  <si>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</si>
  <si>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</si>
  <si>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</si>
  <si>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</si>
  <si>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</si>
  <si>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</si>
  <si>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</si>
  <si>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</si>
  <si>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</si>
  <si>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</si>
  <si>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</si>
  <si>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</si>
  <si>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</si>
  <si>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</si>
  <si>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</si>
  <si>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</si>
  <si>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</si>
  <si>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</si>
  <si>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</si>
  <si>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</si>
  <si>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</si>
  <si>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</si>
  <si>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</si>
  <si>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</si>
  <si>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</si>
  <si>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</si>
  <si>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</si>
  <si>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</si>
  <si>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</si>
  <si>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</si>
  <si>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19+19+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45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 'roughly $45B'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55 </t>
    </r>
    <r>
      <rPr>
        <sz val="11"/>
        <color rgb="FF808080"/>
        <rFont val="Noto Sans CJK SC"/>
        <family val="2"/>
      </rPr>
      <t xml:space="preserve">為首期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尚缺額；持股 </t>
    </r>
    <r>
      <rPr>
        <sz val="11"/>
        <color rgb="FF808080"/>
        <rFont val="Cambria"/>
        <family val="0"/>
        <charset val="1"/>
      </rPr>
      <t xml:space="preserve">40% </t>
    </r>
    <r>
      <rPr>
        <sz val="11"/>
        <color rgb="FF808080"/>
        <rFont val="Noto Sans CJK SC"/>
        <family val="2"/>
      </rPr>
      <t xml:space="preserve">兩來源說法不一</t>
    </r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</si>
  <si>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</si>
  <si>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</si>
  <si>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</si>
  <si>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</si>
  <si>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</si>
  <si>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</si>
  <si>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</si>
  <si>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</si>
  <si>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</si>
  <si>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</si>
  <si>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</si>
  <si>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</si>
  <si>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</si>
  <si>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</si>
  <si>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：原文無美元金額；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自家新聞稿；歸屬另綁股價與里程碑</t>
    </r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</si>
  <si>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</si>
  <si>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</si>
  <si>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</si>
  <si>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</si>
  <si>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</si>
  <si>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</si>
  <si>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</si>
  <si>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</si>
  <si>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</si>
  <si>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</si>
  <si>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</si>
  <si>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</si>
  <si>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</si>
  <si>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</si>
  <si>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</si>
  <si>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</si>
  <si>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</si>
  <si>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</si>
  <si>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</si>
  <si>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</si>
  <si>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</si>
  <si>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</si>
  <si>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</si>
  <si>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</si>
  <si>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</si>
  <si>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</si>
  <si>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</si>
  <si>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</si>
  <si>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</si>
  <si>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</si>
  <si>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</si>
  <si>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</si>
  <si>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</si>
  <si>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</si>
  <si>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</si>
  <si>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</si>
  <si>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</si>
  <si>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</si>
  <si>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</si>
  <si>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</si>
  <si>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</si>
  <si>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</si>
  <si>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</si>
  <si>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</si>
  <si>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</si>
  <si>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</si>
  <si>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</si>
  <si>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</si>
  <si>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</si>
  <si>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</si>
  <si>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</si>
  <si>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</si>
  <si>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</si>
  <si>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</si>
  <si>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t xml:space="preserve">capex_commitment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</si>
  <si>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</si>
  <si>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</si>
  <si>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：原文無 </t>
    </r>
    <r>
      <rPr>
        <sz val="11"/>
        <color rgb="FF808080"/>
        <rFont val="Cambria"/>
        <family val="0"/>
        <charset val="1"/>
      </rPr>
      <t xml:space="preserve">JV</t>
    </r>
    <r>
      <rPr>
        <sz val="11"/>
        <color rgb="FF808080"/>
        <rFont val="Noto Sans CJK SC"/>
        <family val="2"/>
      </rPr>
      <t xml:space="preserve">／表外</t>
    </r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</si>
  <si>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</si>
  <si>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</si>
  <si>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</si>
  <si>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</si>
  <si>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</si>
  <si>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t xml:space="preserve">cash_level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</si>
  <si>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</si>
  <si>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</si>
  <si>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</si>
  <si>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20.28 </t>
    </r>
    <r>
      <rPr>
        <sz val="11"/>
        <color rgb="FF808080"/>
        <rFont val="Noto Sans CJK SC"/>
        <family val="2"/>
      </rPr>
      <t xml:space="preserve">為期末現金與短投存量；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：正值存量</t>
    </r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</si>
  <si>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</si>
  <si>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</si>
  <si>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</si>
  <si>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</si>
  <si>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</si>
  <si>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</si>
  <si>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</si>
  <si>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</si>
  <si>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</si>
  <si>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</si>
  <si>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</si>
  <si>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</si>
  <si>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rgb="FF808080"/>
        <rFont val="Noto Sans CJK SC"/>
        <family val="2"/>
      </rPr>
      <t xml:space="preserve">付 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xAI Colossus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Colossus II</t>
    </r>
    <r>
      <rPr>
        <sz val="11"/>
        <color rgb="FF808080"/>
        <rFont val="Noto Sans CJK SC"/>
        <family val="2"/>
      </rPr>
      <t xml:space="preserve">）每月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，年化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為上限；</t>
    </r>
    <r>
      <rPr>
        <sz val="11"/>
        <color rgb="FF808080"/>
        <rFont val="Cambria"/>
        <family val="0"/>
        <charset val="1"/>
      </rPr>
      <t xml:space="preserve">90 </t>
    </r>
    <r>
      <rPr>
        <sz val="11"/>
        <color rgb="FF808080"/>
        <rFont val="Noto Sans CJK SC"/>
        <family val="2"/>
      </rPr>
      <t xml:space="preserve">天可終止（</t>
    </r>
    <r>
      <rPr>
        <sz val="11"/>
        <color rgb="FF808080"/>
        <rFont val="Cambria"/>
        <family val="0"/>
        <charset val="1"/>
      </rPr>
      <t xml:space="preserve">SRC_ANT_227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</si>
  <si>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轉述 </t>
    </r>
    <r>
      <rPr>
        <sz val="11"/>
        <color rgb="FF808080"/>
        <rFont val="Cambria"/>
        <family val="0"/>
        <charset val="1"/>
      </rPr>
      <t xml:space="preserve">SpaceX S-1</t>
    </r>
    <r>
      <rPr>
        <sz val="11"/>
        <color rgb="FF808080"/>
        <rFont val="Noto Sans CJK SC"/>
        <family val="2"/>
      </rPr>
      <t xml:space="preserve">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為上限，爬坡期減免）</t>
    </r>
  </si>
  <si>
    <r>
      <rPr>
        <sz val="11"/>
        <color rgb="FF808080"/>
        <rFont val="Cambria"/>
        <family val="0"/>
        <charset val="1"/>
      </rPr>
      <t xml:space="preserve">SpaceX IPO </t>
    </r>
    <r>
      <rPr>
        <sz val="11"/>
        <color rgb="FF808080"/>
        <rFont val="Noto Sans CJK SC"/>
        <family val="2"/>
      </rPr>
      <t xml:space="preserve">申報（</t>
    </r>
    <r>
      <rPr>
        <sz val="11"/>
        <color rgb="FF808080"/>
        <rFont val="Cambria"/>
        <family val="0"/>
        <charset val="1"/>
      </rPr>
      <t xml:space="preserve">Yahoo </t>
    </r>
    <r>
      <rPr>
        <sz val="11"/>
        <color rgb="FF808080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</si>
  <si>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</si>
  <si>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，取代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段）：這是 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付給 </t>
    </r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的算力採購，不是融資 → 不採用；『至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』原文有（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經 </t>
    </r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），撤回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段刪除；年化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[Derived] </t>
    </r>
    <r>
      <rPr>
        <sz val="11"/>
        <color rgb="FF808080"/>
        <rFont val="Noto Sans CJK SC"/>
        <family val="2"/>
      </rPr>
      <t xml:space="preserve">上限（爬坡期減免）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</si>
  <si>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</si>
  <si>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</si>
  <si>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</si>
  <si>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</si>
  <si>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</si>
  <si>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</si>
  <si>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</si>
  <si>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</si>
  <si>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</si>
  <si>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</si>
  <si>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</si>
  <si>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</si>
  <si>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</si>
  <si>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</si>
  <si>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</si>
  <si>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</si>
  <si>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</si>
  <si>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</si>
  <si>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</si>
  <si>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</si>
  <si>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</si>
  <si>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</si>
  <si>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</si>
  <si>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</si>
  <si>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</si>
  <si>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</si>
  <si>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</si>
  <si>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</si>
  <si>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</si>
  <si>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</si>
  <si>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</si>
  <si>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</si>
  <si>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</si>
  <si>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</si>
  <si>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</si>
  <si>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</si>
  <si>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</si>
  <si>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</si>
  <si>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</si>
  <si>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</si>
  <si>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</si>
  <si>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</si>
  <si>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</si>
  <si>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</si>
  <si>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</si>
  <si>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</si>
  <si>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</si>
  <si>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</si>
  <si>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</si>
  <si>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</si>
  <si>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</si>
  <si>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</si>
  <si>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</si>
  <si>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</si>
  <si>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</si>
  <si>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</si>
  <si>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</si>
  <si>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</si>
  <si>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</si>
  <si>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</si>
  <si>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</si>
  <si>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</si>
  <si>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</si>
  <si>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AI Weekly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為背景敘述）</t>
    </r>
  </si>
  <si>
    <t xml:space="preserve">AI Weekly</t>
  </si>
  <si>
    <t xml:space="preserve">https://aiweekly.co/alerts/crusoe-closes-3b-round-at-30b-valuation-tripling-series-e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</si>
  <si>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：非公司公告</t>
    </r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</si>
  <si>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</si>
  <si>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</si>
  <si>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</si>
  <si>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</si>
  <si>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</si>
  <si>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</si>
  <si>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</si>
  <si>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</si>
  <si>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</si>
  <si>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</si>
  <si>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</si>
  <si>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</si>
  <si>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</si>
  <si>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</si>
  <si>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</si>
  <si>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</si>
  <si>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</si>
  <si>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</si>
  <si>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</si>
  <si>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</si>
  <si>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</si>
  <si>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</si>
  <si>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</si>
  <si>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</si>
  <si>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t xml:space="preserve">customer_contract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</si>
  <si>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TNW 2026-05-10</t>
    </r>
    <r>
      <rPr>
        <sz val="11"/>
        <color rgb="FF808080"/>
        <rFont val="Noto Sans CJK SC"/>
        <family val="2"/>
      </rPr>
      <t xml:space="preserve">）；預付 </t>
    </r>
    <r>
      <rPr>
        <sz val="11"/>
        <color rgb="FF808080"/>
        <rFont val="Cambria"/>
        <family val="0"/>
        <charset val="1"/>
      </rPr>
      <t xml:space="preserve">1.9 </t>
    </r>
    <r>
      <rPr>
        <sz val="11"/>
        <color rgb="FF808080"/>
        <rFont val="Noto Sans CJK SC"/>
        <family val="2"/>
      </rPr>
      <t xml:space="preserve">另附出處（見 </t>
    </r>
    <r>
      <rPr>
        <sz val="11"/>
        <color rgb="FF808080"/>
        <rFont val="Cambria"/>
        <family val="0"/>
        <charset val="1"/>
      </rPr>
      <t xml:space="preserve">F#220</t>
    </r>
    <r>
      <rPr>
        <sz val="11"/>
        <color rgb="FF808080"/>
        <rFont val="Noto Sans CJK SC"/>
        <family val="2"/>
      </rPr>
      <t xml:space="preserve">）</t>
    </r>
  </si>
  <si>
    <t xml:space="preserve">Data Center Knowledge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</si>
  <si>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：合約營收非融資；與 </t>
    </r>
    <r>
      <rPr>
        <sz val="11"/>
        <color rgb="FF808080"/>
        <rFont val="Cambria"/>
        <family val="0"/>
        <charset val="1"/>
      </rPr>
      <t xml:space="preserve">F#31 </t>
    </r>
    <r>
      <rPr>
        <sz val="11"/>
        <color rgb="FF808080"/>
        <rFont val="Noto Sans CJK SC"/>
        <family val="2"/>
      </rPr>
      <t xml:space="preserve">重複；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：預付不在兩來源</t>
    </r>
  </si>
  <si>
    <t xml:space="preserve">F#222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</si>
  <si>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</si>
  <si>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2026-04-26</t>
  </si>
  <si>
    <t xml:space="preserve">investment_stock_nonmkt</t>
  </si>
  <si>
    <r>
      <rPr>
        <sz val="11"/>
        <color rgb="FF808080"/>
        <rFont val="Noto Sans CJK SC"/>
        <family val="2"/>
      </rPr>
      <t xml:space="preserve">非上市權益證券帳面（</t>
    </r>
    <r>
      <rPr>
        <sz val="11"/>
        <color rgb="FF808080"/>
        <rFont val="Cambria"/>
        <family val="0"/>
        <charset val="1"/>
      </rPr>
      <t xml:space="preserve">2026-01-25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22.251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</si>
  <si>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NVIDIA 10-Q</t>
    </r>
    <r>
      <rPr>
        <sz val="11"/>
        <color rgb="FF808080"/>
        <rFont val="Noto Sans CJK SC"/>
        <family val="2"/>
      </rPr>
      <t xml:space="preserve">（期末 </t>
    </r>
    <r>
      <rPr>
        <sz val="11"/>
        <color rgb="FF808080"/>
        <rFont val="Cambria"/>
        <family val="0"/>
        <charset val="1"/>
      </rPr>
      <t xml:space="preserve">2026-04-26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</si>
  <si>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</si>
  <si>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段連帶更正（同 </t>
    </r>
    <r>
      <rPr>
        <sz val="11"/>
        <color rgb="FF808080"/>
        <rFont val="Cambria"/>
        <family val="0"/>
        <charset val="1"/>
      </rPr>
      <t xml:space="preserve">F#226 </t>
    </r>
    <r>
      <rPr>
        <sz val="11"/>
        <color rgb="FF808080"/>
        <rFont val="Noto Sans CJK SC"/>
        <family val="2"/>
      </rPr>
      <t xml:space="preserve">口徑）：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非上市權益存量是投資組合，不是供應商融資流量 → </t>
    </r>
    <r>
      <rPr>
        <sz val="11"/>
        <color rgb="FF808080"/>
        <rFont val="Cambria"/>
        <family val="0"/>
        <charset val="1"/>
      </rPr>
      <t xml:space="preserve">item </t>
    </r>
    <r>
      <rPr>
        <sz val="11"/>
        <color rgb="FF808080"/>
        <rFont val="Noto Sans CJK SC"/>
        <family val="2"/>
      </rPr>
      <t xml:space="preserve">改 </t>
    </r>
    <r>
      <rPr>
        <sz val="11"/>
        <color rgb="FF808080"/>
        <rFont val="Cambria"/>
        <family val="0"/>
        <charset val="1"/>
      </rPr>
      <t xml:space="preserve">investment_stock_nonmkt</t>
    </r>
    <r>
      <rPr>
        <sz val="11"/>
        <color rgb="FF808080"/>
        <rFont val="Noto Sans CJK SC"/>
        <family val="2"/>
      </rPr>
      <t xml:space="preserve">、不採用</t>
    </r>
  </si>
  <si>
    <t xml:space="preserve">F#223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</si>
  <si>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</si>
  <si>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</si>
  <si>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</si>
  <si>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</si>
  <si>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</si>
  <si>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</si>
  <si>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</si>
  <si>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</si>
  <si>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</si>
  <si>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51.157</t>
    </r>
    <r>
      <rPr>
        <sz val="11"/>
        <color rgb="FF808080"/>
        <rFont val="Noto Sans CJK SC"/>
        <family val="2"/>
      </rPr>
      <t xml:space="preserve">（其中非上市權益 </t>
    </r>
    <r>
      <rPr>
        <sz val="11"/>
        <color rgb="FF808080"/>
        <rFont val="Cambria"/>
        <family val="0"/>
        <charset val="1"/>
      </rPr>
      <t xml:space="preserve">47.898</t>
    </r>
    <r>
      <rPr>
        <sz val="11"/>
        <color rgb="FF808080"/>
        <rFont val="Noto Sans CJK SC"/>
        <family val="2"/>
      </rPr>
      <t xml:space="preserve">）；另上市權益 </t>
    </r>
    <r>
      <rPr>
        <sz val="11"/>
        <color rgb="FF808080"/>
        <rFont val="Cambria"/>
        <family val="0"/>
        <charset val="1"/>
      </rPr>
      <t xml:space="preserve">42.783</t>
    </r>
    <r>
      <rPr>
        <sz val="11"/>
        <color rgb="FF808080"/>
        <rFont val="Noto Sans CJK SC"/>
        <family val="2"/>
      </rPr>
      <t xml:space="preserve">（兩者口徑不同不相加）；來源自稱多為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生成，應以 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核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</si>
  <si>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</si>
  <si>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</si>
  <si>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：投資組合存量≠供應商融資；連帶 </t>
    </r>
    <r>
      <rPr>
        <sz val="11"/>
        <color rgb="FF808080"/>
        <rFont val="Cambria"/>
        <family val="0"/>
        <charset val="1"/>
      </rPr>
      <t xml:space="preserve">F#222 </t>
    </r>
    <r>
      <rPr>
        <sz val="11"/>
        <color rgb="FF808080"/>
        <rFont val="Noto Sans CJK SC"/>
        <family val="2"/>
      </rPr>
      <t xml:space="preserve">同口徑（</t>
    </r>
    <r>
      <rPr>
        <sz val="11"/>
        <color rgb="FF808080"/>
        <rFont val="Cambria"/>
        <family val="0"/>
        <charset val="1"/>
      </rPr>
      <t xml:space="preserve">Excel O224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1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：口徑混加</t>
    </r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</si>
  <si>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</si>
  <si>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</si>
  <si>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</si>
  <si>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</si>
  <si>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</si>
  <si>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</si>
  <si>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r>
      <rPr>
        <sz val="11"/>
        <color theme="1"/>
        <rFont val="Calibri"/>
        <family val="2"/>
        <charset val="1"/>
      </rPr>
      <t xml:space="preserve">Microsoft 10-Q 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</si>
  <si>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/MSFT_FY27Q1_10Q.docx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</si>
  <si>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Amy Hood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</si>
  <si>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/Transcript_MSFT_FY27Q1.docx</t>
    </r>
  </si>
  <si>
    <t xml:space="preserve">F#239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</si>
  <si>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</si>
  <si>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</si>
  <si>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/2026q3-alphabet-earnings-release.pdf</t>
    </r>
  </si>
  <si>
    <t xml:space="preserve">F#240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</si>
  <si>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51.355</t>
    </r>
    <r>
      <rPr>
        <sz val="11"/>
        <color theme="1"/>
        <rFont val="Noto Sans CJK SC"/>
        <family val="2"/>
      </rPr>
      <t xml:space="preserve">）</t>
    </r>
  </si>
  <si>
    <t xml:space="preserve">F#241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</si>
  <si>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9.065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庫存、歐盟罰款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）</t>
    </r>
  </si>
  <si>
    <t xml:space="preserve">F#242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</si>
  <si>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8.167</t>
    </r>
  </si>
  <si>
    <t xml:space="preserve">F#243</t>
  </si>
  <si>
    <r>
      <rPr>
        <sz val="11"/>
        <color theme="1"/>
        <rFont val="Noto Sans CJK SC"/>
        <family val="2"/>
      </rPr>
      <t xml:space="preserve">發行債務（淨發行成本）總額；還款 </t>
    </r>
    <r>
      <rPr>
        <sz val="11"/>
        <color theme="1"/>
        <rFont val="Calibri"/>
        <family val="2"/>
        <charset val="1"/>
      </rPr>
      <t xml:space="preserve">8.879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單季發行 </t>
    </r>
    <r>
      <rPr>
        <sz val="11"/>
        <color theme="1"/>
        <rFont val="Calibri"/>
        <family val="2"/>
        <charset val="1"/>
      </rPr>
      <t xml:space="preserve">28.996</t>
    </r>
  </si>
  <si>
    <t xml:space="preserve">F#244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</si>
  <si>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（現金流量表實收）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</si>
  <si>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Anat Ashkenazi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</si>
  <si>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/Transcript_GOOGL_3Q26.docx</t>
    </r>
  </si>
  <si>
    <t xml:space="preserve">F#246</t>
  </si>
  <si>
    <t xml:space="preserve">cloud_backlog</t>
  </si>
  <si>
    <r>
      <rPr>
        <sz val="11"/>
        <color theme="1"/>
        <rFont val="Calibri"/>
        <family val="2"/>
        <charset val="1"/>
      </rPr>
      <t xml:space="preserve">Google Cloud backlog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</t>
    </r>
  </si>
  <si>
    <t xml:space="preserve">F#247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</si>
  <si>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42.422</t>
    </r>
    <r>
      <rPr>
        <sz val="11"/>
        <color theme="1"/>
        <rFont val="Noto Sans CJK SC"/>
        <family val="2"/>
      </rPr>
      <t xml:space="preserve">；去年同期 </t>
    </r>
    <r>
      <rPr>
        <sz val="11"/>
        <color theme="1"/>
        <rFont val="Calibri"/>
        <family val="2"/>
        <charset val="1"/>
      </rPr>
      <t xml:space="preserve">9M 85.055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</si>
  <si>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IR</t>
    </r>
    <r>
      <rPr>
        <sz val="11"/>
        <color theme="1"/>
        <rFont val="Noto Sans CJK SC"/>
        <family val="2"/>
      </rPr>
      <t xml:space="preserve">）</t>
    </r>
  </si>
  <si>
    <t xml:space="preserve">https://s2.q4cdn.com/299287126/files/doc_earnings/2026/q3/earnings-result/AMZN-Q3-2026-Earnings-Release.pdf</t>
  </si>
  <si>
    <t xml:space="preserve">F#248</t>
  </si>
  <si>
    <r>
      <rPr>
        <sz val="11"/>
        <color theme="1"/>
        <rFont val="Noto Sans CJK SC"/>
        <family val="2"/>
      </rPr>
      <t xml:space="preserve">資本支出淨額＝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 </t>
    </r>
    <r>
      <rPr>
        <sz val="11"/>
        <color theme="1"/>
        <rFont val="Calibri"/>
        <family val="2"/>
        <charset val="1"/>
      </rPr>
      <t xml:space="preserve">175.670 − </t>
    </r>
    <r>
      <rPr>
        <sz val="11"/>
        <color theme="1"/>
        <rFont val="Noto Sans CJK SC"/>
        <family val="2"/>
      </rPr>
      <t xml:space="preserve">出售與獎勵 </t>
    </r>
    <r>
      <rPr>
        <sz val="11"/>
        <color theme="1"/>
        <rFont val="Calibri"/>
        <family val="2"/>
        <charset val="1"/>
      </rPr>
      <t xml:space="preserve">3.482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單季購置 </t>
    </r>
    <r>
      <rPr>
        <sz val="11"/>
        <color theme="1"/>
        <rFont val="Calibri"/>
        <family val="2"/>
        <charset val="1"/>
      </rPr>
      <t xml:space="preserve">77.259</t>
    </r>
    <r>
      <rPr>
        <sz val="11"/>
        <color theme="1"/>
        <rFont val="Noto Sans CJK SC"/>
        <family val="2"/>
      </rPr>
      <t xml:space="preserve">）</t>
    </r>
  </si>
  <si>
    <t xml:space="preserve">F#249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</si>
  <si>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（淨重估與修改）；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1.472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H1 2.128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F#71</t>
    </r>
    <r>
      <rPr>
        <sz val="11"/>
        <color theme="1"/>
        <rFont val="Noto Sans CJK SC"/>
        <family val="2"/>
      </rPr>
      <t xml:space="preserve">）</t>
    </r>
  </si>
  <si>
    <t xml:space="preserve">F#250</t>
  </si>
  <si>
    <r>
      <rPr>
        <sz val="11"/>
        <color theme="1"/>
        <rFont val="Noto Sans CJK SC"/>
        <family val="2"/>
      </rPr>
      <t xml:space="preserve">＝淨額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＋融資租賃取得 </t>
    </r>
    <r>
      <rPr>
        <sz val="11"/>
        <color theme="1"/>
        <rFont val="Calibri"/>
        <family val="2"/>
        <charset val="1"/>
      </rPr>
      <t xml:space="preserve">3.600</t>
    </r>
  </si>
  <si>
    <t xml:space="preserve">F#251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</si>
  <si>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113.841 − </t>
    </r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42.357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outflow 42.4</t>
    </r>
    <r>
      <rPr>
        <sz val="11"/>
        <color theme="1"/>
        <rFont val="Noto Sans CJK SC"/>
        <family val="2"/>
      </rPr>
      <t xml:space="preserve">）</t>
    </r>
  </si>
  <si>
    <t xml:space="preserve">F#252</t>
  </si>
  <si>
    <r>
      <rPr>
        <sz val="11"/>
        <color theme="1"/>
        <rFont val="Noto Sans CJK SC"/>
        <family val="2"/>
      </rPr>
      <t xml:space="preserve">現金流量表無買回、股利列（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未買回、無股利）</t>
    </r>
  </si>
  <si>
    <t xml:space="preserve">F#253</t>
  </si>
  <si>
    <r>
      <rPr>
        <sz val="11"/>
        <color theme="1"/>
        <rFont val="Noto Sans CJK SC"/>
        <family val="2"/>
      </rPr>
      <t xml:space="preserve">長期借款收入（含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48.102</t>
    </r>
    <r>
      <rPr>
        <sz val="11"/>
        <color theme="1"/>
        <rFont val="Noto Sans CJK SC"/>
        <family val="2"/>
      </rPr>
      <t xml:space="preserve">）；還款 </t>
    </r>
    <r>
      <rPr>
        <sz val="11"/>
        <color theme="1"/>
        <rFont val="Calibri"/>
        <family val="2"/>
        <charset val="1"/>
      </rPr>
      <t xml:space="preserve">2.759</t>
    </r>
    <r>
      <rPr>
        <sz val="11"/>
        <color theme="1"/>
        <rFont val="Noto Sans CJK SC"/>
        <family val="2"/>
      </rPr>
      <t xml:space="preserve">；短期借款收入 </t>
    </r>
    <r>
      <rPr>
        <sz val="11"/>
        <color theme="1"/>
        <rFont val="Calibri"/>
        <family val="2"/>
        <charset val="1"/>
      </rPr>
      <t xml:space="preserve">20.693</t>
    </r>
    <r>
      <rPr>
        <sz val="11"/>
        <color theme="1"/>
        <rFont val="Noto Sans CJK SC"/>
        <family val="2"/>
      </rPr>
      <t xml:space="preserve">、還款 </t>
    </r>
    <r>
      <rPr>
        <sz val="11"/>
        <color theme="1"/>
        <rFont val="Calibri"/>
        <family val="2"/>
        <charset val="1"/>
      </rPr>
      <t xml:space="preserve">19.609</t>
    </r>
    <r>
      <rPr>
        <sz val="11"/>
        <color theme="1"/>
        <rFont val="Noto Sans CJK SC"/>
        <family val="2"/>
      </rPr>
      <t xml:space="preserve">（另列不計）；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長期借款帳面 </t>
    </r>
    <r>
      <rPr>
        <sz val="11"/>
        <color theme="1"/>
        <rFont val="Calibri"/>
        <family val="2"/>
        <charset val="1"/>
      </rPr>
      <t xml:space="preserve">173.125</t>
    </r>
  </si>
  <si>
    <t xml:space="preserve">F#205b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</si>
  <si>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F#205 detail </t>
    </r>
    <r>
      <rPr>
        <sz val="11"/>
        <color theme="1"/>
        <rFont val="Noto Sans CJK SC"/>
        <family val="2"/>
      </rPr>
      <t xml:space="preserve">拆出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</si>
  <si>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F#205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段屬實）拆出；</t>
    </r>
    <r>
      <rPr>
        <sz val="11"/>
        <color theme="1"/>
        <rFont val="Calibri"/>
        <family val="2"/>
        <charset val="1"/>
      </rPr>
      <t xml:space="preserve">F#200–202 </t>
    </r>
    <r>
      <rPr>
        <sz val="11"/>
        <color theme="1"/>
        <rFont val="Noto Sans CJK SC"/>
        <family val="2"/>
      </rPr>
      <t xml:space="preserve">未抽查維持不採用</t>
    </r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</si>
  <si>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</si>
  <si>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</si>
  <si>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</si>
  <si>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</si>
  <si>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</si>
  <si>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</si>
  <si>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</si>
  <si>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</si>
  <si>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</si>
  <si>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</si>
  <si>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</si>
  <si>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</si>
  <si>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</si>
  <si>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</si>
  <si>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</si>
  <si>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</si>
  <si>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</si>
  <si>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</si>
  <si>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</si>
  <si>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</si>
  <si>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</si>
  <si>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</si>
  <si>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</si>
  <si>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</si>
  <si>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</si>
  <si>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</si>
  <si>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</si>
  <si>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</si>
  <si>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</si>
  <si>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</si>
  <si>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</si>
  <si>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主變壓器（含一台退出備援；</t>
    </r>
    <r>
      <rPr>
        <sz val="11"/>
        <color theme="1"/>
        <rFont val="Calibri"/>
        <family val="2"/>
        <charset val="1"/>
      </rPr>
      <t xml:space="preserve">P#50 ModulEdge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ComEd </t>
    </r>
    <r>
      <rPr>
        <sz val="11"/>
        <color theme="1"/>
        <rFont val="Noto Sans CJK SC"/>
        <family val="2"/>
      </rPr>
      <t xml:space="preserve">例）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</si>
  <si>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</si>
  <si>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</si>
  <si>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</si>
  <si>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</si>
  <si>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</si>
  <si>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</si>
  <si>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</si>
  <si>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</si>
  <si>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</si>
  <si>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</si>
  <si>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</si>
  <si>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</si>
  <si>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</si>
  <si>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</si>
  <si>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</si>
  <si>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</si>
  <si>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</si>
  <si>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</si>
  <si>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</si>
  <si>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</si>
  <si>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</si>
  <si>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</si>
  <si>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</si>
  <si>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</si>
  <si>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</si>
  <si>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</si>
  <si>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</si>
  <si>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</si>
  <si>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</si>
  <si>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</si>
  <si>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</si>
  <si>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</si>
  <si>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</si>
  <si>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</si>
  <si>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</si>
  <si>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</si>
  <si>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</si>
  <si>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</si>
  <si>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</si>
  <si>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</si>
  <si>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</si>
  <si>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</si>
  <si>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</si>
  <si>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</si>
  <si>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</si>
  <si>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</si>
  <si>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</si>
  <si>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</si>
  <si>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</si>
  <si>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</si>
  <si>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</si>
  <si>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</si>
  <si>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</si>
  <si>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</si>
  <si>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</si>
  <si>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</si>
  <si>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</si>
  <si>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</si>
  <si>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</si>
  <si>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</si>
  <si>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</si>
  <si>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</si>
  <si>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</si>
  <si>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</si>
  <si>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</si>
  <si>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</si>
  <si>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</si>
  <si>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</si>
  <si>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</si>
  <si>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</si>
  <si>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</si>
  <si>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</si>
  <si>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</si>
  <si>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</si>
  <si>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</si>
  <si>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</si>
  <si>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</si>
  <si>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</si>
  <si>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</si>
  <si>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</si>
  <si>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</si>
  <si>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</si>
  <si>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</si>
  <si>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</si>
  <si>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</si>
  <si>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</si>
  <si>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</si>
  <si>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</si>
  <si>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</si>
  <si>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</si>
  <si>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</si>
  <si>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</si>
  <si>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</si>
  <si>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</si>
  <si>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v0.8.4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</si>
  <si>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</si>
  <si>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</si>
  <si>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</si>
  <si>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</si>
  <si>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</si>
  <si>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</si>
  <si>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</si>
  <si>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</si>
  <si>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</si>
  <si>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</si>
  <si>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</si>
  <si>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</si>
  <si>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</si>
  <si>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</si>
  <si>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</si>
  <si>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</si>
  <si>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</si>
  <si>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</si>
  <si>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</si>
  <si>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</si>
  <si>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</si>
  <si>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</si>
  <si>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</si>
  <si>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</si>
  <si>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</si>
  <si>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</si>
  <si>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</si>
  <si>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</si>
  <si>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</si>
  <si>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</si>
  <si>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</si>
  <si>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</si>
  <si>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</si>
  <si>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</si>
  <si>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</si>
  <si>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</si>
  <si>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</si>
  <si>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</si>
  <si>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</si>
  <si>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</si>
  <si>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</si>
  <si>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</si>
  <si>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</si>
  <si>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</si>
  <si>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</si>
  <si>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</si>
  <si>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</si>
  <si>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</si>
  <si>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</si>
  <si>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</si>
  <si>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</si>
  <si>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</si>
  <si>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</si>
  <si>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</si>
  <si>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</si>
  <si>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</si>
  <si>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</si>
  <si>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</si>
  <si>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</si>
  <si>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</si>
  <si>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</si>
  <si>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</si>
  <si>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</si>
  <si>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</si>
  <si>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</si>
  <si>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</si>
  <si>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</si>
  <si>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</si>
  <si>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</si>
  <si>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</si>
  <si>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</si>
  <si>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</si>
  <si>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</si>
  <si>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</si>
  <si>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</si>
  <si>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</si>
  <si>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</si>
  <si>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</si>
  <si>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</si>
  <si>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</si>
  <si>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</si>
  <si>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</si>
  <si>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</si>
  <si>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</si>
  <si>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</si>
  <si>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</si>
  <si>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</si>
  <si>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</si>
  <si>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</si>
  <si>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</si>
  <si>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</si>
  <si>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</si>
  <si>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</si>
  <si>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</si>
  <si>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</si>
  <si>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</si>
  <si>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</si>
  <si>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</si>
  <si>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</si>
  <si>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</si>
  <si>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</si>
  <si>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</si>
  <si>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</si>
  <si>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</si>
  <si>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</si>
  <si>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</si>
  <si>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</si>
  <si>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</si>
  <si>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</si>
  <si>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</si>
  <si>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</si>
  <si>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</si>
  <si>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</si>
  <si>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</si>
  <si>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</si>
  <si>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</si>
  <si>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</si>
  <si>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</si>
  <si>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</si>
  <si>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</si>
  <si>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</si>
  <si>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</si>
  <si>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</si>
  <si>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</si>
  <si>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</si>
  <si>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</si>
  <si>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</si>
  <si>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</si>
  <si>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</si>
  <si>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</si>
  <si>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</si>
  <si>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</si>
  <si>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</si>
  <si>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</si>
  <si>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</si>
  <si>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</si>
  <si>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</si>
  <si>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</si>
  <si>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</si>
  <si>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</si>
  <si>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</si>
  <si>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</si>
  <si>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</si>
  <si>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</si>
  <si>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</si>
  <si>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</si>
  <si>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</si>
  <si>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</si>
  <si>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</si>
  <si>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</si>
  <si>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</si>
  <si>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</si>
  <si>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</si>
  <si>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</si>
  <si>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</si>
  <si>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</si>
  <si>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</si>
  <si>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</si>
  <si>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</si>
  <si>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</si>
  <si>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</si>
  <si>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</si>
  <si>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</si>
  <si>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</si>
  <si>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</si>
  <si>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</si>
  <si>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</si>
  <si>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</si>
  <si>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</si>
  <si>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</si>
  <si>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</si>
  <si>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</si>
  <si>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</si>
  <si>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</si>
  <si>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</si>
  <si>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</si>
  <si>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</si>
  <si>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</si>
  <si>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</si>
  <si>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</si>
  <si>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</si>
  <si>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</si>
  <si>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</si>
  <si>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</si>
  <si>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</si>
  <si>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</si>
  <si>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</si>
  <si>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</si>
  <si>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</si>
  <si>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</si>
  <si>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</si>
  <si>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</si>
  <si>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</si>
  <si>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</si>
  <si>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</si>
  <si>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</si>
  <si>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</si>
  <si>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</si>
  <si>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</si>
  <si>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</si>
  <si>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</si>
  <si>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</si>
  <si>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</si>
  <si>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</si>
  <si>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</si>
  <si>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</si>
  <si>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</si>
  <si>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</si>
  <si>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</si>
  <si>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</si>
  <si>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</si>
  <si>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</si>
  <si>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</si>
  <si>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</si>
  <si>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</si>
  <si>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</si>
  <si>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</si>
  <si>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</si>
  <si>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</si>
  <si>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</si>
  <si>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</si>
  <si>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</si>
  <si>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</si>
  <si>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</si>
  <si>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</si>
  <si>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</si>
  <si>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</si>
  <si>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</si>
  <si>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</si>
  <si>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</si>
  <si>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</si>
  <si>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</si>
  <si>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</si>
  <si>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</si>
  <si>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</si>
  <si>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</si>
  <si>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</si>
  <si>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</si>
  <si>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</si>
  <si>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</si>
  <si>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</si>
  <si>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</si>
  <si>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</si>
  <si>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</si>
  <si>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</si>
  <si>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</si>
  <si>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</si>
  <si>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</si>
  <si>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</si>
  <si>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</si>
  <si>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</si>
  <si>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</si>
  <si>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</si>
  <si>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</si>
  <si>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</si>
  <si>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</si>
  <si>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</si>
  <si>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</si>
  <si>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</si>
  <si>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</si>
  <si>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</si>
  <si>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</si>
  <si>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</si>
  <si>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</si>
  <si>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</si>
  <si>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</si>
  <si>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</si>
  <si>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</si>
  <si>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</si>
  <si>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</si>
  <si>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</si>
  <si>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</si>
  <si>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</si>
  <si>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</si>
  <si>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</si>
  <si>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</si>
  <si>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</si>
  <si>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</si>
  <si>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</si>
  <si>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</si>
  <si>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</si>
  <si>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</si>
  <si>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</si>
  <si>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</si>
  <si>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</si>
  <si>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</si>
  <si>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</si>
  <si>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</si>
  <si>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</si>
  <si>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</si>
  <si>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</si>
  <si>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</si>
  <si>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</si>
  <si>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</si>
  <si>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</si>
  <si>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</si>
  <si>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</si>
  <si>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</si>
  <si>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</si>
  <si>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</si>
  <si>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</si>
  <si>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</si>
  <si>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</si>
  <si>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</si>
  <si>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</si>
  <si>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</si>
  <si>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</si>
  <si>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</si>
  <si>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</si>
  <si>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</si>
  <si>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</si>
  <si>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</si>
  <si>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</si>
  <si>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</si>
  <si>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</si>
  <si>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</si>
  <si>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</si>
  <si>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</si>
  <si>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</si>
  <si>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</si>
  <si>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</si>
  <si>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</si>
  <si>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</si>
  <si>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</si>
  <si>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</si>
  <si>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</si>
  <si>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</si>
  <si>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</si>
  <si>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</si>
  <si>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</si>
  <si>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</si>
  <si>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</si>
  <si>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</si>
  <si>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</si>
  <si>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</si>
  <si>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</si>
  <si>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</si>
  <si>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</si>
  <si>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</si>
  <si>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</si>
  <si>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</si>
  <si>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</si>
  <si>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</si>
  <si>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</si>
  <si>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</si>
  <si>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</si>
  <si>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</si>
  <si>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</si>
  <si>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</si>
  <si>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</si>
  <si>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</si>
  <si>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</si>
  <si>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</si>
  <si>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</si>
  <si>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</si>
  <si>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</si>
  <si>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</si>
  <si>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</si>
  <si>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</si>
  <si>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</si>
  <si>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</si>
  <si>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</si>
  <si>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</si>
  <si>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</si>
  <si>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</si>
  <si>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</si>
  <si>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</si>
  <si>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</si>
  <si>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</si>
  <si>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</si>
  <si>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</si>
  <si>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</si>
  <si>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</si>
  <si>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</si>
  <si>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</si>
  <si>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</si>
  <si>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</si>
  <si>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</si>
  <si>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</si>
  <si>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</si>
  <si>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</si>
  <si>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</si>
  <si>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</si>
  <si>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</si>
  <si>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</si>
  <si>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</si>
  <si>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</si>
  <si>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</si>
  <si>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</si>
  <si>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</si>
  <si>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</si>
  <si>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WIF_Funding_msft_2024_gross_ext</t>
  </si>
  <si>
    <t xml:space="preserve">gross_ext</t>
  </si>
  <si>
    <t xml:space="preserve">Funding!AL5</t>
  </si>
  <si>
    <t xml:space="preserve">WIF_Funding_msft_2024_gross_ext_pct</t>
  </si>
  <si>
    <t xml:space="preserve">gross_ext_pct</t>
  </si>
  <si>
    <t xml:space="preserve">Funding!AM5</t>
  </si>
  <si>
    <t xml:space="preserve">WIF_Funding_msft_2024_gross_ocf_pct</t>
  </si>
  <si>
    <t xml:space="preserve">gross_ocf_pct</t>
  </si>
  <si>
    <t xml:space="preserve">Funding!AN5</t>
  </si>
  <si>
    <t xml:space="preserve">WIF_Funding_msft_2024_gross_debt_pct</t>
  </si>
  <si>
    <t xml:space="preserve">gross_debt_pct</t>
  </si>
  <si>
    <t xml:space="preserve">Funding!AO5</t>
  </si>
  <si>
    <t xml:space="preserve">WIF_Funding_msft_2024_gross_equity_pct</t>
  </si>
  <si>
    <t xml:space="preserve">gross_equity_pct</t>
  </si>
  <si>
    <t xml:space="preserve">Funding!AP5</t>
  </si>
  <si>
    <t xml:space="preserve">WIF_Funding_msft_2024_gross_lease_jv_pct</t>
  </si>
  <si>
    <t xml:space="preserve">gross_lease_jv_pct</t>
  </si>
  <si>
    <t xml:space="preserve">Funding!AQ5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</si>
  <si>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</si>
  <si>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</si>
  <si>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</si>
  <si>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</si>
  <si>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</si>
  <si>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</si>
  <si>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</si>
  <si>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</si>
  <si>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</si>
  <si>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</si>
  <si>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</si>
  <si>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</si>
  <si>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</si>
  <si>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</si>
  <si>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</si>
  <si>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</si>
  <si>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</si>
  <si>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</si>
  <si>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</si>
  <si>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</si>
  <si>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</si>
  <si>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</si>
  <si>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</si>
  <si>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</si>
  <si>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</si>
  <si>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WIF_Funding_msft_2025_gross_ext</t>
  </si>
  <si>
    <t xml:space="preserve">Funding!AL6</t>
  </si>
  <si>
    <t xml:space="preserve">WIF_Funding_msft_2025_gross_ext_pct</t>
  </si>
  <si>
    <t xml:space="preserve">Funding!AM6</t>
  </si>
  <si>
    <t xml:space="preserve">WIF_Funding_msft_2025_gross_ocf_pct</t>
  </si>
  <si>
    <t xml:space="preserve">Funding!AN6</t>
  </si>
  <si>
    <t xml:space="preserve">WIF_Funding_msft_2025_gross_debt_pct</t>
  </si>
  <si>
    <t xml:space="preserve">Funding!AO6</t>
  </si>
  <si>
    <t xml:space="preserve">WIF_Funding_msft_2025_gross_equity_pct</t>
  </si>
  <si>
    <t xml:space="preserve">Funding!AP6</t>
  </si>
  <si>
    <t xml:space="preserve">WIF_Funding_msft_2025_gross_lease_jv_pct</t>
  </si>
  <si>
    <t xml:space="preserve">Funding!AQ6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</si>
  <si>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</si>
  <si>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</si>
  <si>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</si>
  <si>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</si>
  <si>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</si>
  <si>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</si>
  <si>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</si>
  <si>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</si>
  <si>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</si>
  <si>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</si>
  <si>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</si>
  <si>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</si>
  <si>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</si>
  <si>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</si>
  <si>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</si>
  <si>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</si>
  <si>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</si>
  <si>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</si>
  <si>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</si>
  <si>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</si>
  <si>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</si>
  <si>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</si>
  <si>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WIF_Funding_msft_2026_gross_ext</t>
  </si>
  <si>
    <t xml:space="preserve">Funding!AL7</t>
  </si>
  <si>
    <t xml:space="preserve">WIF_Funding_msft_2026_gross_ext_pct</t>
  </si>
  <si>
    <t xml:space="preserve">Funding!AM7</t>
  </si>
  <si>
    <t xml:space="preserve">WIF_Funding_msft_2026_gross_ocf_pct</t>
  </si>
  <si>
    <t xml:space="preserve">Funding!AN7</t>
  </si>
  <si>
    <t xml:space="preserve">WIF_Funding_msft_2026_gross_debt_pct</t>
  </si>
  <si>
    <t xml:space="preserve">Funding!AO7</t>
  </si>
  <si>
    <t xml:space="preserve">WIF_Funding_msft_2026_gross_equity_pct</t>
  </si>
  <si>
    <t xml:space="preserve">Funding!AP7</t>
  </si>
  <si>
    <t xml:space="preserve">WIF_Funding_msft_2026_gross_lease_jv_pct</t>
  </si>
  <si>
    <t xml:space="preserve">Funding!AQ7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</si>
  <si>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</si>
  <si>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</si>
  <si>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</si>
  <si>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</si>
  <si>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</si>
  <si>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</si>
  <si>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</si>
  <si>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</si>
  <si>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</si>
  <si>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</si>
  <si>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</si>
  <si>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</si>
  <si>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</si>
  <si>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</si>
  <si>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</si>
  <si>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</si>
  <si>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</si>
  <si>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</si>
  <si>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</si>
  <si>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</si>
  <si>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</si>
  <si>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</si>
  <si>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WIF_Funding_googl_2024_gross_ext</t>
  </si>
  <si>
    <t xml:space="preserve">Funding!AL8</t>
  </si>
  <si>
    <t xml:space="preserve">WIF_Funding_googl_2024_gross_ext_pct</t>
  </si>
  <si>
    <t xml:space="preserve">Funding!AM8</t>
  </si>
  <si>
    <t xml:space="preserve">WIF_Funding_googl_2024_gross_ocf_pct</t>
  </si>
  <si>
    <t xml:space="preserve">Funding!AN8</t>
  </si>
  <si>
    <t xml:space="preserve">WIF_Funding_googl_2024_gross_debt_pct</t>
  </si>
  <si>
    <t xml:space="preserve">Funding!AO8</t>
  </si>
  <si>
    <t xml:space="preserve">WIF_Funding_googl_2024_gross_equity_pct</t>
  </si>
  <si>
    <t xml:space="preserve">Funding!AP8</t>
  </si>
  <si>
    <t xml:space="preserve">WIF_Funding_googl_2024_gross_lease_jv_pct</t>
  </si>
  <si>
    <t xml:space="preserve">Funding!AQ8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</si>
  <si>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</si>
  <si>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</si>
  <si>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</si>
  <si>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</si>
  <si>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</si>
  <si>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</si>
  <si>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</si>
  <si>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</si>
  <si>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</si>
  <si>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</si>
  <si>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</si>
  <si>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</si>
  <si>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</si>
  <si>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</si>
  <si>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</si>
  <si>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</si>
  <si>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</si>
  <si>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</si>
  <si>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</si>
  <si>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</si>
  <si>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</si>
  <si>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</si>
  <si>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WIF_Funding_googl_2025_gross_ext</t>
  </si>
  <si>
    <t xml:space="preserve">Funding!AL9</t>
  </si>
  <si>
    <t xml:space="preserve">WIF_Funding_googl_2025_gross_ext_pct</t>
  </si>
  <si>
    <t xml:space="preserve">Funding!AM9</t>
  </si>
  <si>
    <t xml:space="preserve">WIF_Funding_googl_2025_gross_ocf_pct</t>
  </si>
  <si>
    <t xml:space="preserve">Funding!AN9</t>
  </si>
  <si>
    <t xml:space="preserve">WIF_Funding_googl_2025_gross_debt_pct</t>
  </si>
  <si>
    <t xml:space="preserve">Funding!AO9</t>
  </si>
  <si>
    <t xml:space="preserve">WIF_Funding_googl_2025_gross_equity_pct</t>
  </si>
  <si>
    <t xml:space="preserve">Funding!AP9</t>
  </si>
  <si>
    <t xml:space="preserve">WIF_Funding_googl_2025_gross_lease_jv_pct</t>
  </si>
  <si>
    <t xml:space="preserve">Funding!AQ9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</si>
  <si>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</si>
  <si>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</si>
  <si>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</si>
  <si>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</si>
  <si>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</si>
  <si>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</si>
  <si>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</si>
  <si>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</si>
  <si>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</si>
  <si>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</si>
  <si>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</si>
  <si>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</si>
  <si>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</si>
  <si>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</si>
  <si>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</si>
  <si>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</si>
  <si>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</si>
  <si>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</si>
  <si>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</si>
  <si>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</si>
  <si>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</si>
  <si>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</si>
  <si>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WIF_Funding_googl_2026_gross_ext</t>
  </si>
  <si>
    <t xml:space="preserve">Funding!AL10</t>
  </si>
  <si>
    <t xml:space="preserve">WIF_Funding_googl_2026_gross_ext_pct</t>
  </si>
  <si>
    <t xml:space="preserve">Funding!AM10</t>
  </si>
  <si>
    <t xml:space="preserve">WIF_Funding_googl_2026_gross_ocf_pct</t>
  </si>
  <si>
    <t xml:space="preserve">Funding!AN10</t>
  </si>
  <si>
    <t xml:space="preserve">WIF_Funding_googl_2026_gross_debt_pct</t>
  </si>
  <si>
    <t xml:space="preserve">Funding!AO10</t>
  </si>
  <si>
    <t xml:space="preserve">WIF_Funding_googl_2026_gross_equity_pct</t>
  </si>
  <si>
    <t xml:space="preserve">Funding!AP10</t>
  </si>
  <si>
    <t xml:space="preserve">WIF_Funding_googl_2026_gross_lease_jv_pct</t>
  </si>
  <si>
    <t xml:space="preserve">Funding!AQ10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</si>
  <si>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</si>
  <si>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</si>
  <si>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</si>
  <si>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</si>
  <si>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</si>
  <si>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</si>
  <si>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</si>
  <si>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</si>
  <si>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</si>
  <si>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</si>
  <si>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</si>
  <si>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</si>
  <si>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</si>
  <si>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</si>
  <si>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</si>
  <si>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</si>
  <si>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</si>
  <si>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</si>
  <si>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</si>
  <si>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</si>
  <si>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</si>
  <si>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</si>
  <si>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WIF_Funding_amzn_2024_gross_ext</t>
  </si>
  <si>
    <t xml:space="preserve">Funding!AL11</t>
  </si>
  <si>
    <t xml:space="preserve">WIF_Funding_amzn_2024_gross_ext_pct</t>
  </si>
  <si>
    <t xml:space="preserve">Funding!AM11</t>
  </si>
  <si>
    <t xml:space="preserve">WIF_Funding_amzn_2024_gross_ocf_pct</t>
  </si>
  <si>
    <t xml:space="preserve">Funding!AN11</t>
  </si>
  <si>
    <t xml:space="preserve">WIF_Funding_amzn_2024_gross_debt_pct</t>
  </si>
  <si>
    <t xml:space="preserve">Funding!AO11</t>
  </si>
  <si>
    <t xml:space="preserve">WIF_Funding_amzn_2024_gross_equity_pct</t>
  </si>
  <si>
    <t xml:space="preserve">Funding!AP11</t>
  </si>
  <si>
    <t xml:space="preserve">WIF_Funding_amzn_2024_gross_lease_jv_pct</t>
  </si>
  <si>
    <t xml:space="preserve">Funding!AQ11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</si>
  <si>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</si>
  <si>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</si>
  <si>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</si>
  <si>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</si>
  <si>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</si>
  <si>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</si>
  <si>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</si>
  <si>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</si>
  <si>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</si>
  <si>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</si>
  <si>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</si>
  <si>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</si>
  <si>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</si>
  <si>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</si>
  <si>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</si>
  <si>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</si>
  <si>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</si>
  <si>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</si>
  <si>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</si>
  <si>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</si>
  <si>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</si>
  <si>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</si>
  <si>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WIF_Funding_amzn_2025_gross_ext</t>
  </si>
  <si>
    <t xml:space="preserve">Funding!AL12</t>
  </si>
  <si>
    <t xml:space="preserve">WIF_Funding_amzn_2025_gross_ext_pct</t>
  </si>
  <si>
    <t xml:space="preserve">Funding!AM12</t>
  </si>
  <si>
    <t xml:space="preserve">WIF_Funding_amzn_2025_gross_ocf_pct</t>
  </si>
  <si>
    <t xml:space="preserve">Funding!AN12</t>
  </si>
  <si>
    <t xml:space="preserve">WIF_Funding_amzn_2025_gross_debt_pct</t>
  </si>
  <si>
    <t xml:space="preserve">Funding!AO12</t>
  </si>
  <si>
    <t xml:space="preserve">WIF_Funding_amzn_2025_gross_equity_pct</t>
  </si>
  <si>
    <t xml:space="preserve">Funding!AP12</t>
  </si>
  <si>
    <t xml:space="preserve">WIF_Funding_amzn_2025_gross_lease_jv_pct</t>
  </si>
  <si>
    <t xml:space="preserve">Funding!AQ12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</si>
  <si>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</si>
  <si>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</si>
  <si>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</si>
  <si>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</si>
  <si>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</si>
  <si>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</si>
  <si>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</si>
  <si>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</si>
  <si>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</si>
  <si>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</si>
  <si>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</si>
  <si>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</si>
  <si>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</si>
  <si>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</si>
  <si>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</si>
  <si>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</si>
  <si>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</si>
  <si>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</si>
  <si>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</si>
  <si>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</si>
  <si>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</si>
  <si>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</si>
  <si>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WIF_Funding_amzn_2026_gross_ext</t>
  </si>
  <si>
    <t xml:space="preserve">Funding!AL13</t>
  </si>
  <si>
    <t xml:space="preserve">WIF_Funding_amzn_2026_gross_ext_pct</t>
  </si>
  <si>
    <t xml:space="preserve">Funding!AM13</t>
  </si>
  <si>
    <t xml:space="preserve">WIF_Funding_amzn_2026_gross_ocf_pct</t>
  </si>
  <si>
    <t xml:space="preserve">Funding!AN13</t>
  </si>
  <si>
    <t xml:space="preserve">WIF_Funding_amzn_2026_gross_debt_pct</t>
  </si>
  <si>
    <t xml:space="preserve">Funding!AO13</t>
  </si>
  <si>
    <t xml:space="preserve">WIF_Funding_amzn_2026_gross_equity_pct</t>
  </si>
  <si>
    <t xml:space="preserve">Funding!AP13</t>
  </si>
  <si>
    <t xml:space="preserve">WIF_Funding_amzn_2026_gross_lease_jv_pct</t>
  </si>
  <si>
    <t xml:space="preserve">Funding!AQ13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</si>
  <si>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</si>
  <si>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</si>
  <si>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</si>
  <si>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</si>
  <si>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</si>
  <si>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</si>
  <si>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</si>
  <si>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</si>
  <si>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</si>
  <si>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</si>
  <si>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</si>
  <si>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</si>
  <si>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</si>
  <si>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</si>
  <si>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</si>
  <si>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</si>
  <si>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</si>
  <si>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</si>
  <si>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</si>
  <si>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</si>
  <si>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</si>
  <si>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</si>
  <si>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WIF_Funding_meta_2024_gross_ext</t>
  </si>
  <si>
    <t xml:space="preserve">Funding!AL14</t>
  </si>
  <si>
    <t xml:space="preserve">WIF_Funding_meta_2024_gross_ext_pct</t>
  </si>
  <si>
    <t xml:space="preserve">Funding!AM14</t>
  </si>
  <si>
    <t xml:space="preserve">WIF_Funding_meta_2024_gross_ocf_pct</t>
  </si>
  <si>
    <t xml:space="preserve">Funding!AN14</t>
  </si>
  <si>
    <t xml:space="preserve">WIF_Funding_meta_2024_gross_debt_pct</t>
  </si>
  <si>
    <t xml:space="preserve">Funding!AO14</t>
  </si>
  <si>
    <t xml:space="preserve">WIF_Funding_meta_2024_gross_equity_pct</t>
  </si>
  <si>
    <t xml:space="preserve">Funding!AP14</t>
  </si>
  <si>
    <t xml:space="preserve">WIF_Funding_meta_2024_gross_lease_jv_pct</t>
  </si>
  <si>
    <t xml:space="preserve">Funding!AQ14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</si>
  <si>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</si>
  <si>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</si>
  <si>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</si>
  <si>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</si>
  <si>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</si>
  <si>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</si>
  <si>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</si>
  <si>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</si>
  <si>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</si>
  <si>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</si>
  <si>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</si>
  <si>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</si>
  <si>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</si>
  <si>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</si>
  <si>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</si>
  <si>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</si>
  <si>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</si>
  <si>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</si>
  <si>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</si>
  <si>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</si>
  <si>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</si>
  <si>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</si>
  <si>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WIF_Funding_meta_2025_gross_ext</t>
  </si>
  <si>
    <t xml:space="preserve">Funding!AL15</t>
  </si>
  <si>
    <t xml:space="preserve">WIF_Funding_meta_2025_gross_ext_pct</t>
  </si>
  <si>
    <t xml:space="preserve">Funding!AM15</t>
  </si>
  <si>
    <t xml:space="preserve">WIF_Funding_meta_2025_gross_ocf_pct</t>
  </si>
  <si>
    <t xml:space="preserve">Funding!AN15</t>
  </si>
  <si>
    <t xml:space="preserve">WIF_Funding_meta_2025_gross_debt_pct</t>
  </si>
  <si>
    <t xml:space="preserve">Funding!AO15</t>
  </si>
  <si>
    <t xml:space="preserve">WIF_Funding_meta_2025_gross_equity_pct</t>
  </si>
  <si>
    <t xml:space="preserve">Funding!AP15</t>
  </si>
  <si>
    <t xml:space="preserve">WIF_Funding_meta_2025_gross_lease_jv_pct</t>
  </si>
  <si>
    <t xml:space="preserve">Funding!AQ15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</si>
  <si>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</si>
  <si>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</si>
  <si>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</si>
  <si>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</si>
  <si>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</si>
  <si>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</si>
  <si>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</si>
  <si>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</si>
  <si>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</si>
  <si>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</si>
  <si>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</si>
  <si>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</si>
  <si>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</si>
  <si>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</si>
  <si>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</si>
  <si>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</si>
  <si>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</si>
  <si>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</si>
  <si>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</si>
  <si>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</si>
  <si>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</si>
  <si>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</si>
  <si>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WIF_Funding_meta_2026_gross_ext</t>
  </si>
  <si>
    <t xml:space="preserve">Funding!AL16</t>
  </si>
  <si>
    <t xml:space="preserve">WIF_Funding_meta_2026_gross_ext_pct</t>
  </si>
  <si>
    <t xml:space="preserve">Funding!AM16</t>
  </si>
  <si>
    <t xml:space="preserve">WIF_Funding_meta_2026_gross_ocf_pct</t>
  </si>
  <si>
    <t xml:space="preserve">Funding!AN16</t>
  </si>
  <si>
    <t xml:space="preserve">WIF_Funding_meta_2026_gross_debt_pct</t>
  </si>
  <si>
    <t xml:space="preserve">Funding!AO16</t>
  </si>
  <si>
    <t xml:space="preserve">WIF_Funding_meta_2026_gross_equity_pct</t>
  </si>
  <si>
    <t xml:space="preserve">Funding!AP16</t>
  </si>
  <si>
    <t xml:space="preserve">WIF_Funding_meta_2026_gross_lease_jv_pct</t>
  </si>
  <si>
    <t xml:space="preserve">Funding!AQ16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</si>
  <si>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</si>
  <si>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</si>
  <si>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</si>
  <si>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</si>
  <si>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</si>
  <si>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</si>
  <si>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</si>
  <si>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</si>
  <si>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</si>
  <si>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</si>
  <si>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</si>
  <si>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</si>
  <si>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</si>
  <si>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</si>
  <si>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</si>
  <si>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</si>
  <si>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</si>
  <si>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</si>
  <si>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</si>
  <si>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</si>
  <si>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</si>
  <si>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</si>
  <si>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WIF_Funding_orcl_2024_gross_ext</t>
  </si>
  <si>
    <t xml:space="preserve">Funding!AL17</t>
  </si>
  <si>
    <t xml:space="preserve">WIF_Funding_orcl_2024_gross_ext_pct</t>
  </si>
  <si>
    <t xml:space="preserve">Funding!AM17</t>
  </si>
  <si>
    <t xml:space="preserve">WIF_Funding_orcl_2024_gross_ocf_pct</t>
  </si>
  <si>
    <t xml:space="preserve">Funding!AN17</t>
  </si>
  <si>
    <t xml:space="preserve">WIF_Funding_orcl_2024_gross_debt_pct</t>
  </si>
  <si>
    <t xml:space="preserve">Funding!AO17</t>
  </si>
  <si>
    <t xml:space="preserve">WIF_Funding_orcl_2024_gross_equity_pct</t>
  </si>
  <si>
    <t xml:space="preserve">Funding!AP17</t>
  </si>
  <si>
    <t xml:space="preserve">WIF_Funding_orcl_2024_gross_lease_jv_pct</t>
  </si>
  <si>
    <t xml:space="preserve">Funding!AQ17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</si>
  <si>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</si>
  <si>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</si>
  <si>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</si>
  <si>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</si>
  <si>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</si>
  <si>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</si>
  <si>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</si>
  <si>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</si>
  <si>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</si>
  <si>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</si>
  <si>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</si>
  <si>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</si>
  <si>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</si>
  <si>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</si>
  <si>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</si>
  <si>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</si>
  <si>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</si>
  <si>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</si>
  <si>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</si>
  <si>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</si>
  <si>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</si>
  <si>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</si>
  <si>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WIF_Funding_orcl_2025_gross_ext</t>
  </si>
  <si>
    <t xml:space="preserve">Funding!AL18</t>
  </si>
  <si>
    <t xml:space="preserve">WIF_Funding_orcl_2025_gross_ext_pct</t>
  </si>
  <si>
    <t xml:space="preserve">Funding!AM18</t>
  </si>
  <si>
    <t xml:space="preserve">WIF_Funding_orcl_2025_gross_ocf_pct</t>
  </si>
  <si>
    <t xml:space="preserve">Funding!AN18</t>
  </si>
  <si>
    <t xml:space="preserve">WIF_Funding_orcl_2025_gross_debt_pct</t>
  </si>
  <si>
    <t xml:space="preserve">Funding!AO18</t>
  </si>
  <si>
    <t xml:space="preserve">WIF_Funding_orcl_2025_gross_equity_pct</t>
  </si>
  <si>
    <t xml:space="preserve">Funding!AP18</t>
  </si>
  <si>
    <t xml:space="preserve">WIF_Funding_orcl_2025_gross_lease_jv_pct</t>
  </si>
  <si>
    <t xml:space="preserve">Funding!AQ18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</si>
  <si>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</si>
  <si>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</si>
  <si>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</si>
  <si>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</si>
  <si>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</si>
  <si>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</si>
  <si>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</si>
  <si>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</si>
  <si>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</si>
  <si>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</si>
  <si>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</si>
  <si>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</si>
  <si>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</si>
  <si>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</si>
  <si>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</si>
  <si>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</si>
  <si>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</si>
  <si>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</si>
  <si>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</si>
  <si>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</si>
  <si>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</si>
  <si>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</si>
  <si>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WIF_Funding_orcl_2026_gross_ext</t>
  </si>
  <si>
    <t xml:space="preserve">Funding!AL19</t>
  </si>
  <si>
    <t xml:space="preserve">WIF_Funding_orcl_2026_gross_ext_pct</t>
  </si>
  <si>
    <t xml:space="preserve">Funding!AM19</t>
  </si>
  <si>
    <t xml:space="preserve">WIF_Funding_orcl_2026_gross_ocf_pct</t>
  </si>
  <si>
    <t xml:space="preserve">Funding!AN19</t>
  </si>
  <si>
    <t xml:space="preserve">WIF_Funding_orcl_2026_gross_debt_pct</t>
  </si>
  <si>
    <t xml:space="preserve">Funding!AO19</t>
  </si>
  <si>
    <t xml:space="preserve">WIF_Funding_orcl_2026_gross_equity_pct</t>
  </si>
  <si>
    <t xml:space="preserve">Funding!AP19</t>
  </si>
  <si>
    <t xml:space="preserve">WIF_Funding_orcl_2026_gross_lease_jv_pct</t>
  </si>
  <si>
    <t xml:space="preserve">Funding!AQ19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</si>
  <si>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</si>
  <si>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</si>
  <si>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</si>
  <si>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</si>
  <si>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</si>
  <si>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</si>
  <si>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</si>
  <si>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</si>
  <si>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</si>
  <si>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</si>
  <si>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</si>
  <si>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</si>
  <si>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</si>
  <si>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</si>
  <si>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</si>
  <si>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</si>
  <si>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</si>
  <si>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</si>
  <si>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</si>
  <si>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</si>
  <si>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</si>
  <si>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</si>
  <si>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WIF_Funding_crwv_2024_gross_ext</t>
  </si>
  <si>
    <t xml:space="preserve">Funding!AL20</t>
  </si>
  <si>
    <t xml:space="preserve">WIF_Funding_crwv_2024_gross_ext_pct</t>
  </si>
  <si>
    <t xml:space="preserve">Funding!AM20</t>
  </si>
  <si>
    <t xml:space="preserve">WIF_Funding_crwv_2024_gross_ocf_pct</t>
  </si>
  <si>
    <t xml:space="preserve">Funding!AN20</t>
  </si>
  <si>
    <t xml:space="preserve">WIF_Funding_crwv_2024_gross_debt_pct</t>
  </si>
  <si>
    <t xml:space="preserve">Funding!AO20</t>
  </si>
  <si>
    <t xml:space="preserve">WIF_Funding_crwv_2024_gross_equity_pct</t>
  </si>
  <si>
    <t xml:space="preserve">Funding!AP20</t>
  </si>
  <si>
    <t xml:space="preserve">WIF_Funding_crwv_2024_gross_lease_jv_pct</t>
  </si>
  <si>
    <t xml:space="preserve">Funding!AQ20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</si>
  <si>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</si>
  <si>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</si>
  <si>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</si>
  <si>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</si>
  <si>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</si>
  <si>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</si>
  <si>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</si>
  <si>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</si>
  <si>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</si>
  <si>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</si>
  <si>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</si>
  <si>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</si>
  <si>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</si>
  <si>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</si>
  <si>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</si>
  <si>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</si>
  <si>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</si>
  <si>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</si>
  <si>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</si>
  <si>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</si>
  <si>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</si>
  <si>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</si>
  <si>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WIF_Funding_crwv_2025_gross_ext</t>
  </si>
  <si>
    <t xml:space="preserve">Funding!AL21</t>
  </si>
  <si>
    <t xml:space="preserve">WIF_Funding_crwv_2025_gross_ext_pct</t>
  </si>
  <si>
    <t xml:space="preserve">Funding!AM21</t>
  </si>
  <si>
    <t xml:space="preserve">WIF_Funding_crwv_2025_gross_ocf_pct</t>
  </si>
  <si>
    <t xml:space="preserve">Funding!AN21</t>
  </si>
  <si>
    <t xml:space="preserve">WIF_Funding_crwv_2025_gross_debt_pct</t>
  </si>
  <si>
    <t xml:space="preserve">Funding!AO21</t>
  </si>
  <si>
    <t xml:space="preserve">WIF_Funding_crwv_2025_gross_equity_pct</t>
  </si>
  <si>
    <t xml:space="preserve">Funding!AP21</t>
  </si>
  <si>
    <t xml:space="preserve">WIF_Funding_crwv_2025_gross_lease_jv_pct</t>
  </si>
  <si>
    <t xml:space="preserve">Funding!AQ21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</si>
  <si>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</si>
  <si>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</si>
  <si>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</si>
  <si>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</si>
  <si>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</si>
  <si>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</si>
  <si>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</si>
  <si>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</si>
  <si>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</si>
  <si>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</si>
  <si>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</si>
  <si>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</si>
  <si>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</si>
  <si>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</si>
  <si>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</si>
  <si>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</si>
  <si>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</si>
  <si>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</si>
  <si>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</si>
  <si>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</si>
  <si>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</si>
  <si>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</si>
  <si>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WIF_Funding_crwv_2026_gross_ext</t>
  </si>
  <si>
    <t xml:space="preserve">Funding!AL22</t>
  </si>
  <si>
    <t xml:space="preserve">WIF_Funding_crwv_2026_gross_ext_pct</t>
  </si>
  <si>
    <t xml:space="preserve">Funding!AM22</t>
  </si>
  <si>
    <t xml:space="preserve">WIF_Funding_crwv_2026_gross_ocf_pct</t>
  </si>
  <si>
    <t xml:space="preserve">Funding!AN22</t>
  </si>
  <si>
    <t xml:space="preserve">WIF_Funding_crwv_2026_gross_debt_pct</t>
  </si>
  <si>
    <t xml:space="preserve">Funding!AO22</t>
  </si>
  <si>
    <t xml:space="preserve">WIF_Funding_crwv_2026_gross_equity_pct</t>
  </si>
  <si>
    <t xml:space="preserve">Funding!AP22</t>
  </si>
  <si>
    <t xml:space="preserve">WIF_Funding_crwv_2026_gross_lease_jv_pct</t>
  </si>
  <si>
    <t xml:space="preserve">Funding!AQ22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</si>
  <si>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</si>
  <si>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</si>
  <si>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</si>
  <si>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</si>
  <si>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</si>
  <si>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</si>
  <si>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</si>
  <si>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</si>
  <si>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</si>
  <si>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</si>
  <si>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</si>
  <si>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</si>
  <si>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</si>
  <si>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</si>
  <si>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</si>
  <si>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</si>
  <si>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</si>
  <si>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</si>
  <si>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</si>
  <si>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</si>
  <si>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</si>
  <si>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</si>
  <si>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WIF_Funding_nbis_2025_gross_ext</t>
  </si>
  <si>
    <t xml:space="preserve">Funding!AL23</t>
  </si>
  <si>
    <t xml:space="preserve">WIF_Funding_nbis_2025_gross_ext_pct</t>
  </si>
  <si>
    <t xml:space="preserve">Funding!AM23</t>
  </si>
  <si>
    <t xml:space="preserve">WIF_Funding_nbis_2025_gross_ocf_pct</t>
  </si>
  <si>
    <t xml:space="preserve">Funding!AN23</t>
  </si>
  <si>
    <t xml:space="preserve">WIF_Funding_nbis_2025_gross_debt_pct</t>
  </si>
  <si>
    <t xml:space="preserve">Funding!AO23</t>
  </si>
  <si>
    <t xml:space="preserve">WIF_Funding_nbis_2025_gross_equity_pct</t>
  </si>
  <si>
    <t xml:space="preserve">Funding!AP23</t>
  </si>
  <si>
    <t xml:space="preserve">WIF_Funding_nbis_2025_gross_lease_jv_pct</t>
  </si>
  <si>
    <t xml:space="preserve">Funding!AQ23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</si>
  <si>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</si>
  <si>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</si>
  <si>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</si>
  <si>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</si>
  <si>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</si>
  <si>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</si>
  <si>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</si>
  <si>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</si>
  <si>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</si>
  <si>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</si>
  <si>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</si>
  <si>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</si>
  <si>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</si>
  <si>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</si>
  <si>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</si>
  <si>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</si>
  <si>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</si>
  <si>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</si>
  <si>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</si>
  <si>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</si>
  <si>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</si>
  <si>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</si>
  <si>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WIF_Funding_nbis_2026_gross_ext</t>
  </si>
  <si>
    <t xml:space="preserve">Funding!AL24</t>
  </si>
  <si>
    <t xml:space="preserve">WIF_Funding_nbis_2026_gross_ext_pct</t>
  </si>
  <si>
    <t xml:space="preserve">Funding!AM24</t>
  </si>
  <si>
    <t xml:space="preserve">WIF_Funding_nbis_2026_gross_ocf_pct</t>
  </si>
  <si>
    <t xml:space="preserve">Funding!AN24</t>
  </si>
  <si>
    <t xml:space="preserve">WIF_Funding_nbis_2026_gross_debt_pct</t>
  </si>
  <si>
    <t xml:space="preserve">Funding!AO24</t>
  </si>
  <si>
    <t xml:space="preserve">WIF_Funding_nbis_2026_gross_equity_pct</t>
  </si>
  <si>
    <t xml:space="preserve">Funding!AP24</t>
  </si>
  <si>
    <t xml:space="preserve">WIF_Funding_nbis_2026_gross_lease_jv_pct</t>
  </si>
  <si>
    <t xml:space="preserve">Funding!AQ24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</si>
  <si>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</si>
  <si>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</si>
  <si>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</si>
  <si>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</si>
  <si>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</si>
  <si>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</si>
  <si>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</si>
  <si>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</si>
  <si>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</si>
  <si>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</si>
  <si>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</si>
  <si>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</si>
  <si>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</si>
  <si>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</si>
  <si>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</si>
  <si>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</si>
  <si>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</si>
  <si>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</si>
  <si>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</si>
  <si>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</si>
  <si>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</si>
  <si>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</si>
  <si>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WIF_Funding_xai_2025_gross_ext</t>
  </si>
  <si>
    <t xml:space="preserve">Funding!AL25</t>
  </si>
  <si>
    <t xml:space="preserve">WIF_Funding_xai_2025_gross_ext_pct</t>
  </si>
  <si>
    <t xml:space="preserve">Funding!AM25</t>
  </si>
  <si>
    <t xml:space="preserve">WIF_Funding_xai_2025_gross_ocf_pct</t>
  </si>
  <si>
    <t xml:space="preserve">Funding!AN25</t>
  </si>
  <si>
    <t xml:space="preserve">WIF_Funding_xai_2025_gross_debt_pct</t>
  </si>
  <si>
    <t xml:space="preserve">Funding!AO25</t>
  </si>
  <si>
    <t xml:space="preserve">WIF_Funding_xai_2025_gross_equity_pct</t>
  </si>
  <si>
    <t xml:space="preserve">Funding!AP25</t>
  </si>
  <si>
    <t xml:space="preserve">WIF_Funding_xai_2025_gross_lease_jv_pct</t>
  </si>
  <si>
    <t xml:space="preserve">Funding!AQ25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</si>
  <si>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</si>
  <si>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</si>
  <si>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</si>
  <si>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</si>
  <si>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</si>
  <si>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</si>
  <si>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</si>
  <si>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</si>
  <si>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</si>
  <si>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</si>
  <si>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</si>
  <si>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</si>
  <si>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</si>
  <si>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</si>
  <si>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</si>
  <si>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</si>
  <si>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</si>
  <si>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</si>
  <si>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</si>
  <si>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</si>
  <si>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</si>
  <si>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</si>
  <si>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WIF_Funding_xai_2026_gross_ext</t>
  </si>
  <si>
    <t xml:space="preserve">Funding!AL26</t>
  </si>
  <si>
    <t xml:space="preserve">WIF_Funding_xai_2026_gross_ext_pct</t>
  </si>
  <si>
    <t xml:space="preserve">Funding!AM26</t>
  </si>
  <si>
    <t xml:space="preserve">WIF_Funding_xai_2026_gross_ocf_pct</t>
  </si>
  <si>
    <t xml:space="preserve">Funding!AN26</t>
  </si>
  <si>
    <t xml:space="preserve">WIF_Funding_xai_2026_gross_debt_pct</t>
  </si>
  <si>
    <t xml:space="preserve">Funding!AO26</t>
  </si>
  <si>
    <t xml:space="preserve">WIF_Funding_xai_2026_gross_equity_pct</t>
  </si>
  <si>
    <t xml:space="preserve">Funding!AP26</t>
  </si>
  <si>
    <t xml:space="preserve">WIF_Funding_xai_2026_gross_lease_jv_pct</t>
  </si>
  <si>
    <t xml:space="preserve">Funding!AQ26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</si>
  <si>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</si>
  <si>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</si>
  <si>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</si>
  <si>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</si>
  <si>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</si>
  <si>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</si>
  <si>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</si>
  <si>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</si>
  <si>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</si>
  <si>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</si>
  <si>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</si>
  <si>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</si>
  <si>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</si>
  <si>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</si>
  <si>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</si>
  <si>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</si>
  <si>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</si>
  <si>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</si>
  <si>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</si>
  <si>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</si>
  <si>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</si>
  <si>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</si>
  <si>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WIF_Funding_oai_2025_gross_ext</t>
  </si>
  <si>
    <t xml:space="preserve">Funding!AL27</t>
  </si>
  <si>
    <t xml:space="preserve">WIF_Funding_oai_2025_gross_ext_pct</t>
  </si>
  <si>
    <t xml:space="preserve">Funding!AM27</t>
  </si>
  <si>
    <t xml:space="preserve">WIF_Funding_oai_2025_gross_ocf_pct</t>
  </si>
  <si>
    <t xml:space="preserve">Funding!AN27</t>
  </si>
  <si>
    <t xml:space="preserve">WIF_Funding_oai_2025_gross_debt_pct</t>
  </si>
  <si>
    <t xml:space="preserve">Funding!AO27</t>
  </si>
  <si>
    <t xml:space="preserve">WIF_Funding_oai_2025_gross_equity_pct</t>
  </si>
  <si>
    <t xml:space="preserve">Funding!AP27</t>
  </si>
  <si>
    <t xml:space="preserve">WIF_Funding_oai_2025_gross_lease_jv_pct</t>
  </si>
  <si>
    <t xml:space="preserve">Funding!AQ27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</si>
  <si>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</si>
  <si>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</si>
  <si>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</si>
  <si>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</si>
  <si>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</si>
  <si>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</si>
  <si>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</si>
  <si>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</si>
  <si>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</si>
  <si>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</si>
  <si>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</si>
  <si>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</si>
  <si>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</si>
  <si>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</si>
  <si>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</si>
  <si>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</si>
  <si>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</si>
  <si>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</si>
  <si>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</si>
  <si>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</si>
  <si>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</si>
  <si>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</si>
  <si>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WIF_Funding_oai_2026_gross_ext</t>
  </si>
  <si>
    <t xml:space="preserve">Funding!AL28</t>
  </si>
  <si>
    <t xml:space="preserve">WIF_Funding_oai_2026_gross_ext_pct</t>
  </si>
  <si>
    <t xml:space="preserve">Funding!AM28</t>
  </si>
  <si>
    <t xml:space="preserve">WIF_Funding_oai_2026_gross_ocf_pct</t>
  </si>
  <si>
    <t xml:space="preserve">Funding!AN28</t>
  </si>
  <si>
    <t xml:space="preserve">WIF_Funding_oai_2026_gross_debt_pct</t>
  </si>
  <si>
    <t xml:space="preserve">Funding!AO28</t>
  </si>
  <si>
    <t xml:space="preserve">WIF_Funding_oai_2026_gross_equity_pct</t>
  </si>
  <si>
    <t xml:space="preserve">Funding!AP28</t>
  </si>
  <si>
    <t xml:space="preserve">WIF_Funding_oai_2026_gross_lease_jv_pct</t>
  </si>
  <si>
    <t xml:space="preserve">Funding!AQ28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</si>
  <si>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</si>
  <si>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</si>
  <si>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</si>
  <si>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</si>
  <si>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</si>
  <si>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</si>
  <si>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</si>
  <si>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</si>
  <si>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</si>
  <si>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</si>
  <si>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</si>
  <si>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</si>
  <si>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</si>
  <si>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</si>
  <si>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</si>
  <si>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</si>
  <si>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</si>
  <si>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</si>
  <si>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</si>
  <si>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</si>
  <si>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</si>
  <si>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</si>
  <si>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WIF_Funding_ant_2025_gross_ext</t>
  </si>
  <si>
    <t xml:space="preserve">Funding!AL29</t>
  </si>
  <si>
    <t xml:space="preserve">WIF_Funding_ant_2025_gross_ext_pct</t>
  </si>
  <si>
    <t xml:space="preserve">Funding!AM29</t>
  </si>
  <si>
    <t xml:space="preserve">WIF_Funding_ant_2025_gross_ocf_pct</t>
  </si>
  <si>
    <t xml:space="preserve">Funding!AN29</t>
  </si>
  <si>
    <t xml:space="preserve">WIF_Funding_ant_2025_gross_debt_pct</t>
  </si>
  <si>
    <t xml:space="preserve">Funding!AO29</t>
  </si>
  <si>
    <t xml:space="preserve">WIF_Funding_ant_2025_gross_equity_pct</t>
  </si>
  <si>
    <t xml:space="preserve">Funding!AP29</t>
  </si>
  <si>
    <t xml:space="preserve">WIF_Funding_ant_2025_gross_lease_jv_pct</t>
  </si>
  <si>
    <t xml:space="preserve">Funding!AQ29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</si>
  <si>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</si>
  <si>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</si>
  <si>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</si>
  <si>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</si>
  <si>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</si>
  <si>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</si>
  <si>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</si>
  <si>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</si>
  <si>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</si>
  <si>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</si>
  <si>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</si>
  <si>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</si>
  <si>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</si>
  <si>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</si>
  <si>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</si>
  <si>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</si>
  <si>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</si>
  <si>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</si>
  <si>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</si>
  <si>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</si>
  <si>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</si>
  <si>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</si>
  <si>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WIF_Funding_ant_2026_gross_ext</t>
  </si>
  <si>
    <t xml:space="preserve">Funding!AL30</t>
  </si>
  <si>
    <t xml:space="preserve">WIF_Funding_ant_2026_gross_ext_pct</t>
  </si>
  <si>
    <t xml:space="preserve">Funding!AM30</t>
  </si>
  <si>
    <t xml:space="preserve">WIF_Funding_ant_2026_gross_ocf_pct</t>
  </si>
  <si>
    <t xml:space="preserve">Funding!AN30</t>
  </si>
  <si>
    <t xml:space="preserve">WIF_Funding_ant_2026_gross_debt_pct</t>
  </si>
  <si>
    <t xml:space="preserve">Funding!AO30</t>
  </si>
  <si>
    <t xml:space="preserve">WIF_Funding_ant_2026_gross_equity_pct</t>
  </si>
  <si>
    <t xml:space="preserve">Funding!AP30</t>
  </si>
  <si>
    <t xml:space="preserve">WIF_Funding_ant_2026_gross_lease_jv_pct</t>
  </si>
  <si>
    <t xml:space="preserve">Funding!AQ30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</si>
  <si>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</si>
  <si>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</si>
  <si>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</si>
  <si>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</si>
  <si>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</si>
  <si>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</si>
  <si>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</si>
  <si>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</si>
  <si>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</si>
  <si>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</si>
  <si>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</si>
  <si>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</si>
  <si>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</si>
  <si>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</si>
  <si>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</si>
  <si>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</si>
  <si>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</si>
  <si>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</si>
  <si>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</si>
  <si>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</si>
  <si>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</si>
  <si>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</si>
  <si>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</si>
  <si>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</si>
  <si>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</si>
  <si>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</si>
  <si>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</si>
  <si>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</si>
  <si>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</si>
  <si>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</si>
  <si>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</si>
  <si>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</si>
  <si>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</si>
  <si>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</si>
  <si>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</si>
  <si>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</si>
  <si>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</si>
  <si>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</si>
  <si>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</si>
  <si>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</si>
  <si>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</si>
  <si>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</si>
  <si>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</si>
  <si>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</si>
  <si>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</si>
  <si>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</si>
  <si>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</si>
  <si>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</si>
  <si>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</si>
  <si>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</si>
  <si>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</si>
  <si>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</si>
  <si>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</si>
  <si>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</si>
  <si>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</si>
  <si>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</si>
  <si>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</si>
  <si>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</si>
  <si>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</si>
  <si>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</si>
  <si>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</si>
  <si>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</si>
  <si>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</si>
  <si>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</si>
  <si>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</si>
  <si>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</si>
  <si>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</si>
  <si>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</si>
  <si>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</si>
  <si>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</si>
  <si>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</si>
  <si>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</si>
  <si>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</si>
  <si>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</si>
  <si>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</si>
  <si>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</si>
  <si>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</si>
  <si>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</si>
  <si>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</si>
  <si>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</si>
  <si>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</si>
  <si>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</si>
  <si>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</si>
  <si>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</si>
  <si>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</si>
  <si>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</si>
  <si>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</si>
  <si>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</si>
  <si>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</si>
  <si>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</si>
  <si>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</si>
  <si>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</si>
  <si>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</si>
  <si>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</si>
  <si>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</si>
  <si>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</si>
  <si>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</si>
  <si>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</si>
  <si>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</si>
  <si>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</si>
  <si>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</si>
  <si>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</si>
  <si>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</si>
  <si>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</si>
  <si>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</si>
  <si>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</si>
  <si>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</si>
  <si>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</si>
  <si>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</si>
  <si>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</si>
  <si>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</si>
  <si>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</si>
  <si>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</si>
  <si>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</si>
  <si>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</si>
  <si>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</si>
  <si>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</si>
  <si>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</si>
  <si>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</si>
  <si>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</si>
  <si>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</si>
  <si>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</si>
  <si>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</si>
  <si>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</si>
  <si>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</si>
  <si>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</si>
  <si>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</si>
  <si>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</si>
  <si>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</si>
  <si>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</si>
  <si>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</si>
  <si>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</si>
  <si>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</si>
  <si>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</si>
  <si>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</si>
  <si>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</si>
  <si>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</si>
  <si>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</si>
  <si>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</si>
  <si>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</si>
  <si>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</si>
  <si>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</si>
  <si>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</si>
  <si>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</si>
  <si>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</si>
  <si>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</si>
  <si>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</si>
  <si>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</si>
  <si>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</si>
  <si>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</si>
  <si>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</si>
  <si>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</si>
  <si>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</si>
  <si>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</si>
  <si>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</si>
  <si>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</si>
  <si>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</si>
  <si>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</si>
  <si>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</si>
  <si>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</si>
  <si>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</si>
  <si>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</si>
  <si>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</si>
  <si>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</si>
  <si>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</si>
  <si>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</si>
  <si>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</si>
  <si>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</si>
  <si>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</si>
  <si>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</si>
  <si>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</si>
  <si>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</si>
  <si>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</si>
  <si>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</si>
  <si>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</si>
  <si>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</si>
  <si>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</si>
  <si>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</si>
  <si>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</si>
  <si>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</si>
  <si>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</si>
  <si>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</si>
  <si>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</si>
  <si>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</si>
  <si>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</si>
  <si>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</si>
  <si>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</si>
  <si>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</si>
  <si>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</si>
  <si>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</si>
  <si>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</si>
  <si>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</si>
  <si>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</si>
  <si>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</si>
  <si>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</si>
  <si>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</si>
  <si>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</si>
  <si>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</si>
  <si>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</si>
  <si>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</si>
  <si>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</si>
  <si>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</si>
  <si>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</si>
  <si>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</si>
  <si>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</si>
  <si>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</si>
  <si>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</si>
  <si>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</si>
  <si>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</si>
  <si>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</si>
  <si>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</si>
  <si>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</si>
  <si>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</si>
  <si>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</si>
  <si>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</si>
  <si>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</si>
  <si>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</si>
  <si>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</si>
  <si>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</si>
  <si>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</si>
  <si>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</si>
  <si>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</si>
  <si>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</si>
  <si>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</si>
  <si>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</si>
  <si>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</si>
  <si>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</si>
  <si>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</si>
  <si>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</si>
  <si>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</si>
  <si>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</si>
  <si>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</si>
  <si>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</si>
  <si>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</si>
  <si>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</si>
  <si>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</si>
  <si>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</si>
  <si>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</si>
  <si>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</si>
  <si>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</si>
  <si>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</si>
  <si>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</si>
  <si>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</si>
  <si>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</si>
  <si>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</si>
  <si>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</si>
  <si>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</si>
  <si>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</si>
  <si>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</si>
  <si>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</si>
  <si>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</si>
  <si>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</si>
  <si>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</si>
  <si>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</si>
  <si>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</si>
  <si>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</si>
  <si>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</si>
  <si>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</si>
  <si>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</si>
  <si>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</si>
  <si>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</si>
  <si>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</si>
  <si>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</si>
  <si>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</si>
  <si>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</si>
  <si>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</si>
  <si>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</si>
  <si>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</si>
  <si>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</si>
  <si>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</si>
  <si>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</si>
  <si>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</si>
  <si>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</si>
  <si>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</si>
  <si>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</si>
  <si>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</si>
  <si>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</si>
  <si>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</si>
  <si>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</si>
  <si>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</si>
  <si>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</si>
  <si>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</si>
  <si>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</si>
  <si>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</si>
  <si>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</si>
  <si>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</si>
  <si>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</si>
  <si>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</si>
  <si>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</si>
  <si>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</si>
  <si>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</si>
  <si>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</si>
  <si>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</si>
  <si>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</si>
  <si>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</si>
  <si>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</si>
  <si>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</si>
  <si>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</si>
  <si>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</si>
  <si>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</si>
  <si>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</si>
  <si>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</si>
  <si>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</si>
  <si>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</si>
  <si>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</si>
  <si>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</si>
  <si>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</si>
  <si>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</si>
  <si>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</si>
  <si>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</si>
  <si>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</si>
  <si>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K28-googl2025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</si>
  <si>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64.564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</si>
  <si>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驗證（核對要求）</t>
  </si>
  <si>
    <t xml:space="preserve">K28-meta2025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</si>
  <si>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57.3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</si>
  <si>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</si>
  <si>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</si>
  <si>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</si>
  <si>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</si>
  <si>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</si>
  <si>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</si>
  <si>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</si>
  <si>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</si>
  <si>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</si>
  <si>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</si>
  <si>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</si>
  <si>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</si>
  <si>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</si>
  <si>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</si>
  <si>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</si>
  <si>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</si>
  <si>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</si>
  <si>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</si>
  <si>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</si>
  <si>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</si>
  <si>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</si>
  <si>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</si>
  <si>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</si>
  <si>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</si>
  <si>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</si>
  <si>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</si>
  <si>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</si>
  <si>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</si>
  <si>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</si>
  <si>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</si>
  <si>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</si>
  <si>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</si>
  <si>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</si>
  <si>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</si>
  <si>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</si>
  <si>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</si>
  <si>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</si>
  <si>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</si>
  <si>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</si>
  <si>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</si>
  <si>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</si>
  <si>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</si>
  <si>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</si>
  <si>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</si>
  <si>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</si>
  <si>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</si>
  <si>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</si>
  <si>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</si>
  <si>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</si>
  <si>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</si>
  <si>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</si>
  <si>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</si>
  <si>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</si>
  <si>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</si>
  <si>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</si>
  <si>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</si>
  <si>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</si>
  <si>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</si>
  <si>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</si>
  <si>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</si>
  <si>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</si>
  <si>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</si>
  <si>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</si>
  <si>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</si>
  <si>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</si>
  <si>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</si>
  <si>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</si>
  <si>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</si>
  <si>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</si>
  <si>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</si>
  <si>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</si>
  <si>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</si>
  <si>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</si>
  <si>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</si>
  <si>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</si>
  <si>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</si>
  <si>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</si>
  <si>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</si>
  <si>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</si>
  <si>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</si>
  <si>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</si>
  <si>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</si>
  <si>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</si>
  <si>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</si>
  <si>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</si>
  <si>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</si>
  <si>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</si>
  <si>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</si>
  <si>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</si>
  <si>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</si>
  <si>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</si>
  <si>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</si>
  <si>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</si>
  <si>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</si>
  <si>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</si>
  <si>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</si>
  <si>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</si>
  <si>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</si>
  <si>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</si>
  <si>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</si>
  <si>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</si>
  <si>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</si>
  <si>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</si>
  <si>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</si>
  <si>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</si>
  <si>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</si>
  <si>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</si>
  <si>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</si>
  <si>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</si>
  <si>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</si>
  <si>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</si>
  <si>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</si>
  <si>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</si>
  <si>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</si>
  <si>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</si>
  <si>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</si>
  <si>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</si>
  <si>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</si>
  <si>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</si>
  <si>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</si>
  <si>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</si>
  <si>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</si>
  <si>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</si>
  <si>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</si>
  <si>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</si>
  <si>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</si>
  <si>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</si>
  <si>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</si>
  <si>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</si>
  <si>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</si>
  <si>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</si>
  <si>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</si>
  <si>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</si>
  <si>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</si>
  <si>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</si>
  <si>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</si>
  <si>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</si>
  <si>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</si>
  <si>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</si>
  <si>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</si>
  <si>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</si>
  <si>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</si>
  <si>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</si>
  <si>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</si>
  <si>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</si>
  <si>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</si>
  <si>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</si>
  <si>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</si>
  <si>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</si>
  <si>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</si>
  <si>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</si>
  <si>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</si>
  <si>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</si>
  <si>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</si>
  <si>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</si>
  <si>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</si>
  <si>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</si>
  <si>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</si>
  <si>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</si>
  <si>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</si>
  <si>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</si>
  <si>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</si>
  <si>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</si>
  <si>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</si>
  <si>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</si>
  <si>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</si>
  <si>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</si>
  <si>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</si>
  <si>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</si>
  <si>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</si>
  <si>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</si>
  <si>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</si>
  <si>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</si>
  <si>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</si>
  <si>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</si>
  <si>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</si>
  <si>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</si>
  <si>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</si>
  <si>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</si>
  <si>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：措辭；原文無『知情人士』『全部負載』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</si>
  <si>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</si>
  <si>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</si>
  <si>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</si>
  <si>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</si>
  <si>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</si>
  <si>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</si>
  <si>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</si>
  <si>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</si>
  <si>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</si>
  <si>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</si>
  <si>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</si>
  <si>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</si>
  <si>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</si>
  <si>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</si>
  <si>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</si>
  <si>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</si>
  <si>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</si>
  <si>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</si>
  <si>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</si>
  <si>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</si>
  <si>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</si>
  <si>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</si>
  <si>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</si>
  <si>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</si>
  <si>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</si>
  <si>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</si>
  <si>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</si>
  <si>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</si>
  <si>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</si>
  <si>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</si>
  <si>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</si>
  <si>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</si>
  <si>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</si>
  <si>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</si>
  <si>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</si>
  <si>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</si>
  <si>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</si>
  <si>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</si>
  <si>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</si>
  <si>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</si>
  <si>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</si>
  <si>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</si>
  <si>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</si>
  <si>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</si>
  <si>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</si>
  <si>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</si>
  <si>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700 MW</t>
  </si>
  <si>
    <t xml:space="preserve">2026-03-30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</si>
  <si>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現場發電廠容量；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 </t>
    </r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In!J189 cp_msft_abl 900→700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段判屬實有誤；以原文為準</t>
    </r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</si>
  <si>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</si>
  <si>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</si>
  <si>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</si>
  <si>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之外的額外承諾，上限 </t>
    </r>
    <r>
      <rPr>
        <sz val="11"/>
        <color theme="1"/>
        <rFont val="Calibri"/>
        <family val="2"/>
        <charset val="1"/>
      </rPr>
      <t xml:space="preserve">up to 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</si>
  <si>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段更正（取代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'and to contract additional compute capacity up to one gigawatt'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』有誤；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為上限承諾，非確定量；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：一手頁可讀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</si>
  <si>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</si>
  <si>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</si>
  <si>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</si>
  <si>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</si>
  <si>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</si>
  <si>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</si>
  <si>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</si>
  <si>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</si>
  <si>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</si>
  <si>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</si>
  <si>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</si>
  <si>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</si>
  <si>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</si>
  <si>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</si>
  <si>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</si>
  <si>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</si>
  <si>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</si>
  <si>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</si>
  <si>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</si>
  <si>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</si>
  <si>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</si>
  <si>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</si>
  <si>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</si>
  <si>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</si>
  <si>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</si>
  <si>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</si>
  <si>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</si>
  <si>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</si>
  <si>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</si>
  <si>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</si>
  <si>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</si>
  <si>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</si>
  <si>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</si>
  <si>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</si>
  <si>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</si>
  <si>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</si>
  <si>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</si>
  <si>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</si>
  <si>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</si>
  <si>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</si>
  <si>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</si>
  <si>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</si>
  <si>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）：維持；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'well over a gigawatt' </t>
    </r>
    <r>
      <rPr>
        <sz val="11"/>
        <color theme="1"/>
        <rFont val="Noto Sans CJK SC"/>
        <family val="2"/>
      </rPr>
      <t xml:space="preserve">下限，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已註明</t>
    </r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</si>
  <si>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</si>
  <si>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</si>
  <si>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</si>
  <si>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</si>
  <si>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</si>
  <si>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</si>
  <si>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</si>
  <si>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</si>
  <si>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</si>
  <si>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</si>
  <si>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</si>
  <si>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</si>
  <si>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</si>
  <si>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</si>
  <si>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</si>
  <si>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</si>
  <si>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</si>
  <si>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</si>
  <si>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</si>
  <si>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</si>
  <si>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</si>
  <si>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</si>
  <si>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</si>
  <si>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</si>
  <si>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</si>
  <si>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</si>
  <si>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</si>
  <si>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</si>
  <si>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</si>
  <si>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</si>
  <si>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</si>
  <si>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</si>
  <si>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</si>
  <si>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</si>
  <si>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</si>
  <si>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</si>
  <si>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</si>
  <si>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</si>
  <si>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</si>
  <si>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</si>
  <si>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</si>
  <si>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</si>
  <si>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site_or_scope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'AWS remains on pace to double its power capacity'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：無引號，屬轉述</t>
    </r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</si>
  <si>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</si>
  <si>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</si>
  <si>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</si>
  <si>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</si>
  <si>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</si>
  <si>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</si>
  <si>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</si>
  <si>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</si>
  <si>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</si>
  <si>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</si>
  <si>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</si>
  <si>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</si>
  <si>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</si>
  <si>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</si>
  <si>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</si>
  <si>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</si>
  <si>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</si>
  <si>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</si>
  <si>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</si>
  <si>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</si>
  <si>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</si>
  <si>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</si>
  <si>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</si>
  <si>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</si>
  <si>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</si>
  <si>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</si>
  <si>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</si>
  <si>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</si>
  <si>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</si>
  <si>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</si>
  <si>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</si>
  <si>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</si>
  <si>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</si>
  <si>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</si>
  <si>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</si>
  <si>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</si>
  <si>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</si>
  <si>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</si>
  <si>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</si>
  <si>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</si>
  <si>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</si>
  <si>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</si>
  <si>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</si>
  <si>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</si>
  <si>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</si>
  <si>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</si>
  <si>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</si>
  <si>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</si>
  <si>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</si>
  <si>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</si>
  <si>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</si>
  <si>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</si>
  <si>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</si>
  <si>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</si>
  <si>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</si>
  <si>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</si>
  <si>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</si>
  <si>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</si>
  <si>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</si>
  <si>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</si>
  <si>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</si>
  <si>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</si>
  <si>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</si>
  <si>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</si>
  <si>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</si>
  <si>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</si>
  <si>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</si>
  <si>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</si>
  <si>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</si>
  <si>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</si>
  <si>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</si>
  <si>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</si>
  <si>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</si>
  <si>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</si>
  <si>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</si>
  <si>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</si>
  <si>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</si>
  <si>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：主來源 </t>
    </r>
    <r>
      <rPr>
        <sz val="11"/>
        <color theme="1"/>
        <rFont val="Calibri"/>
        <family val="2"/>
        <charset val="1"/>
      </rPr>
      <t xml:space="preserve">cryptobriefing </t>
    </r>
    <r>
      <rPr>
        <sz val="11"/>
        <color theme="1"/>
        <rFont val="Noto Sans CJK SC"/>
        <family val="2"/>
      </rPr>
      <t xml:space="preserve">被擋（未繞過）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</si>
  <si>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</si>
  <si>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</si>
  <si>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</si>
  <si>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</si>
  <si>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</si>
  <si>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</si>
  <si>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</si>
  <si>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</si>
  <si>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</si>
  <si>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</si>
  <si>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</si>
  <si>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</si>
  <si>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</si>
  <si>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</si>
  <si>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</si>
  <si>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</si>
  <si>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</si>
  <si>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</si>
  <si>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</si>
  <si>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</si>
  <si>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</si>
  <si>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</si>
  <si>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</si>
  <si>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</si>
  <si>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（第三方彙整引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</si>
  <si>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：來源只寫 </t>
    </r>
    <r>
      <rPr>
        <sz val="11"/>
        <color theme="1"/>
        <rFont val="Calibri"/>
        <family val="2"/>
        <charset val="1"/>
      </rPr>
      <t xml:space="preserve">Announced Mar 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：出處性質</t>
    </r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</si>
  <si>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</si>
  <si>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</si>
  <si>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</si>
  <si>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</si>
  <si>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</si>
  <si>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</si>
  <si>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</si>
  <si>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</si>
  <si>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</si>
  <si>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</si>
  <si>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</si>
  <si>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</si>
  <si>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</si>
  <si>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</si>
  <si>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</si>
  <si>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</si>
  <si>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</si>
  <si>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</si>
  <si>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</si>
  <si>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</si>
  <si>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</si>
  <si>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</si>
  <si>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</si>
  <si>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</si>
  <si>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</si>
  <si>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</si>
  <si>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</si>
  <si>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</si>
  <si>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</si>
  <si>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</si>
  <si>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</si>
  <si>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</si>
  <si>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</si>
  <si>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</si>
  <si>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（原規劃園區擴至約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；現上限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，取消增量約 </t>
    </r>
    <r>
      <rPr>
        <sz val="11"/>
        <color theme="1"/>
        <rFont val="Calibri"/>
        <family val="2"/>
        <charset val="1"/>
      </rPr>
      <t xml:space="preserve">0.8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B#8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</si>
  <si>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為園區總目標非擴建量；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TechRadar 2026-03-09</t>
    </r>
    <r>
      <rPr>
        <sz val="11"/>
        <color theme="1"/>
        <rFont val="Noto Sans CJK SC"/>
        <family val="2"/>
      </rPr>
      <t xml:space="preserve">，原文無 </t>
    </r>
    <r>
      <rPr>
        <sz val="11"/>
        <color theme="1"/>
        <rFont val="Calibri"/>
        <family val="2"/>
        <charset val="1"/>
      </rPr>
      <t xml:space="preserve">3/6</t>
    </r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</si>
  <si>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</si>
  <si>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</si>
  <si>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</si>
  <si>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</si>
  <si>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</si>
  <si>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</si>
  <si>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</si>
  <si>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</si>
  <si>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</si>
  <si>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</si>
  <si>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</si>
  <si>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</si>
  <si>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</si>
  <si>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</si>
  <si>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</si>
  <si>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</si>
  <si>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</si>
  <si>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</si>
  <si>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</si>
  <si>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</si>
  <si>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</si>
  <si>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</si>
  <si>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</si>
  <si>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</si>
  <si>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</si>
  <si>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</si>
  <si>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</si>
  <si>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</si>
  <si>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</si>
  <si>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</si>
  <si>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</si>
  <si>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</si>
  <si>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</si>
  <si>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</si>
  <si>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</si>
  <si>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</si>
  <si>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</si>
  <si>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</si>
  <si>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</si>
  <si>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</si>
  <si>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</si>
  <si>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</si>
  <si>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</si>
  <si>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</si>
  <si>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</si>
  <si>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</si>
  <si>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</si>
  <si>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</si>
  <si>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</si>
  <si>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</si>
  <si>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</si>
  <si>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</si>
  <si>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</si>
  <si>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</si>
  <si>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</si>
  <si>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</si>
  <si>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</si>
  <si>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</si>
  <si>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</si>
  <si>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</si>
  <si>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</si>
  <si>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</si>
  <si>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</si>
  <si>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</si>
  <si>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</si>
  <si>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</si>
  <si>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</si>
  <si>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</si>
  <si>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</si>
  <si>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</si>
  <si>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</si>
  <si>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</si>
  <si>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</si>
  <si>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</si>
  <si>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</si>
  <si>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</si>
  <si>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</si>
  <si>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</si>
  <si>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</si>
  <si>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</si>
  <si>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</si>
  <si>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</si>
  <si>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</si>
  <si>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</si>
  <si>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</si>
  <si>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</si>
  <si>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</si>
  <si>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</si>
  <si>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</si>
  <si>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</si>
  <si>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</si>
  <si>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</si>
  <si>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</si>
  <si>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</si>
  <si>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</si>
  <si>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</si>
  <si>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</si>
  <si>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</si>
  <si>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</si>
  <si>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</si>
  <si>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</si>
  <si>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</si>
  <si>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</si>
  <si>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</si>
  <si>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</si>
  <si>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</si>
  <si>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</si>
  <si>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</si>
  <si>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</si>
  <si>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</si>
  <si>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</si>
  <si>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</si>
  <si>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</si>
  <si>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</si>
  <si>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</si>
  <si>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</si>
  <si>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</si>
  <si>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</si>
  <si>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</si>
  <si>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</si>
  <si>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</si>
  <si>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</si>
  <si>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</si>
  <si>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</si>
  <si>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</si>
  <si>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</si>
  <si>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</si>
  <si>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</si>
  <si>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</si>
  <si>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</si>
  <si>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</si>
  <si>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</si>
  <si>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</si>
  <si>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</si>
  <si>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</si>
  <si>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</si>
  <si>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</si>
  <si>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</si>
  <si>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</si>
  <si>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</si>
  <si>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</si>
  <si>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</si>
  <si>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</si>
  <si>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</si>
  <si>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</si>
  <si>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</si>
  <si>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</si>
  <si>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</si>
  <si>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</si>
  <si>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</si>
  <si>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</si>
  <si>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</si>
  <si>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</si>
  <si>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</si>
  <si>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</si>
  <si>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</si>
  <si>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</si>
  <si>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</si>
  <si>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</si>
  <si>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</si>
  <si>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</si>
  <si>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</si>
  <si>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</si>
  <si>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</si>
  <si>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</si>
  <si>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</si>
  <si>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</si>
  <si>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</si>
  <si>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</si>
  <si>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</si>
  <si>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</si>
  <si>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</si>
  <si>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</si>
  <si>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</si>
  <si>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</si>
  <si>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</si>
  <si>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</si>
  <si>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</si>
  <si>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</si>
  <si>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</si>
  <si>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</si>
  <si>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</si>
  <si>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</si>
  <si>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</si>
  <si>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</si>
  <si>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</si>
  <si>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</si>
  <si>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</si>
  <si>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</si>
  <si>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</si>
  <si>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</si>
  <si>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</si>
  <si>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</si>
  <si>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</si>
  <si>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</si>
  <si>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</si>
  <si>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</si>
  <si>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</si>
  <si>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</si>
  <si>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</si>
  <si>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內部預測，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引；備忘錄經 </t>
    </r>
    <r>
      <rPr>
        <sz val="11"/>
        <color theme="1"/>
        <rFont val="Calibri"/>
        <family val="2"/>
        <charset val="1"/>
      </rPr>
      <t xml:space="preserve">Tae Kim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</si>
  <si>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：出處拆分；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：無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</si>
  <si>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</si>
  <si>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</si>
  <si>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</si>
  <si>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</si>
  <si>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</si>
  <si>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</si>
  <si>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</si>
  <si>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</si>
  <si>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</si>
  <si>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</si>
  <si>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</si>
  <si>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</si>
  <si>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</si>
  <si>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</si>
  <si>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</si>
  <si>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</si>
  <si>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</si>
  <si>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</si>
  <si>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</si>
  <si>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</si>
  <si>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</si>
  <si>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</si>
  <si>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</si>
  <si>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：原文僅月份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</si>
  <si>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</si>
  <si>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</si>
  <si>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</si>
  <si>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</si>
  <si>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</si>
  <si>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</si>
  <si>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</si>
  <si>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</si>
  <si>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</si>
  <si>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</si>
  <si>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</si>
  <si>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</si>
  <si>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</si>
  <si>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</si>
  <si>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</si>
  <si>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</si>
  <si>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</si>
  <si>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</si>
  <si>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</si>
  <si>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</si>
  <si>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</si>
  <si>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</si>
  <si>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</si>
  <si>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</si>
  <si>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</si>
  <si>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</si>
  <si>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</si>
  <si>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</si>
  <si>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</si>
  <si>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</si>
  <si>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</si>
  <si>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</si>
  <si>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</si>
  <si>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</si>
  <si>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</si>
  <si>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</si>
  <si>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</si>
  <si>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</si>
  <si>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initial_phase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信用支持首期；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</si>
  <si>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</si>
  <si>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</si>
  <si>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</si>
  <si>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4.25 </t>
    </r>
    <r>
      <rPr>
        <sz val="11"/>
        <color theme="1"/>
        <rFont val="Noto Sans CJK SC"/>
        <family val="2"/>
      </rPr>
      <t xml:space="preserve">為首期，非簽約量；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800MW </t>
    </r>
    <r>
      <rPr>
        <sz val="11"/>
        <color theme="1"/>
        <rFont val="Noto Sans CJK SC"/>
        <family val="2"/>
      </rPr>
      <t xml:space="preserve">不在原文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</si>
  <si>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</si>
  <si>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</si>
  <si>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</si>
  <si>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</si>
  <si>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</si>
  <si>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</si>
  <si>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</si>
  <si>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</si>
  <si>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</si>
  <si>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</si>
  <si>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</si>
  <si>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</si>
  <si>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</si>
  <si>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</si>
  <si>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</si>
  <si>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</si>
  <si>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</si>
  <si>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</si>
  <si>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</si>
  <si>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$6.5B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2031-05-31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ledger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$11.9B 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$4B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</si>
  <si>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找不到有誤：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有；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『至 </t>
    </r>
    <r>
      <rPr>
        <sz val="11"/>
        <color theme="1"/>
        <rFont val="Calibri"/>
        <family val="2"/>
        <charset val="1"/>
      </rPr>
      <t xml:space="preserve">2029–2031 </t>
    </r>
    <r>
      <rPr>
        <sz val="11"/>
        <color theme="1"/>
        <rFont val="Noto Sans CJK SC"/>
        <family val="2"/>
      </rPr>
      <t xml:space="preserve">找不到』有誤（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$6.5B through May 31, 2031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</si>
  <si>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</si>
  <si>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</si>
  <si>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</si>
  <si>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</si>
  <si>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</si>
  <si>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</si>
  <si>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</si>
  <si>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</si>
  <si>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</si>
  <si>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</si>
  <si>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</si>
  <si>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</si>
  <si>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</si>
  <si>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</si>
  <si>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</si>
  <si>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</si>
  <si>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</si>
  <si>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</si>
  <si>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</si>
  <si>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</si>
  <si>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</si>
  <si>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</si>
  <si>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</si>
  <si>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</si>
  <si>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</si>
  <si>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</si>
  <si>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</si>
  <si>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</si>
  <si>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</si>
  <si>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</si>
  <si>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</si>
  <si>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</si>
  <si>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</si>
  <si>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</si>
  <si>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</si>
  <si>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</si>
  <si>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</si>
  <si>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</si>
  <si>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</si>
  <si>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</si>
  <si>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delay_note</t>
    </r>
    <r>
      <rPr>
        <sz val="11"/>
        <color theme="1"/>
        <rFont val="Noto Sans CJK SC"/>
        <family val="2"/>
      </rPr>
      <t xml:space="preserve">：範圍誤植；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：兩來源皆無 </t>
    </r>
    <r>
      <rPr>
        <sz val="11"/>
        <color theme="1"/>
        <rFont val="Calibri"/>
        <family val="2"/>
        <charset val="1"/>
      </rPr>
      <t xml:space="preserve">Epoch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</si>
  <si>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</si>
  <si>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</si>
  <si>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</si>
  <si>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</si>
  <si>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</si>
  <si>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</si>
  <si>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</si>
  <si>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</si>
  <si>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</si>
  <si>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</si>
  <si>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</si>
  <si>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</si>
  <si>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</si>
  <si>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</si>
  <si>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</si>
  <si>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：承諾量為公司自述；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</si>
  <si>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</si>
  <si>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</si>
  <si>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</si>
  <si>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</si>
  <si>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</si>
  <si>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</si>
  <si>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</si>
  <si>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</si>
  <si>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</si>
  <si>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</si>
  <si>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</si>
  <si>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</si>
  <si>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 </t>
    </r>
    <r>
      <rPr>
        <sz val="11"/>
        <color theme="1"/>
        <rFont val="Noto Sans CJK SC"/>
        <family val="2"/>
      </rPr>
      <t xml:space="preserve">確定採購＋額外 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</si>
  <si>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</si>
  <si>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</si>
  <si>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site_or_contract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為額外承諾（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段判屬實有誤）；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up to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</si>
  <si>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</si>
  <si>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</si>
  <si>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</si>
  <si>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</si>
  <si>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</si>
  <si>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公告）＋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SpaceX S-1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</si>
  <si>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：二手轉述非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Colossus II </t>
    </r>
    <r>
      <rPr>
        <sz val="11"/>
        <color theme="1"/>
        <rFont val="Noto Sans CJK SC"/>
        <family val="2"/>
      </rPr>
      <t xml:space="preserve">有據（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$84.5B </t>
    </r>
    <r>
      <rPr>
        <sz val="11"/>
        <color theme="1"/>
        <rFont val="Noto Sans CJK SC"/>
        <family val="2"/>
      </rPr>
      <t xml:space="preserve">兩來源皆無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</si>
  <si>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</si>
  <si>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</si>
  <si>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</si>
  <si>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</si>
  <si>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</si>
  <si>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</si>
  <si>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</si>
  <si>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</si>
  <si>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</si>
  <si>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</si>
  <si>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</si>
  <si>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</si>
  <si>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</si>
  <si>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</si>
  <si>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</si>
  <si>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</si>
  <si>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</si>
  <si>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</si>
  <si>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：原文有</t>
    </r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</si>
  <si>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</si>
  <si>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</si>
  <si>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</si>
  <si>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</si>
  <si>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</si>
  <si>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</si>
  <si>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</si>
  <si>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</si>
  <si>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</si>
  <si>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</si>
  <si>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</si>
  <si>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</si>
  <si>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</si>
  <si>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</si>
  <si>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</si>
  <si>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</si>
  <si>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</si>
  <si>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</si>
  <si>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</si>
  <si>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</si>
  <si>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</si>
  <si>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</si>
  <si>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</si>
  <si>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</si>
  <si>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</si>
  <si>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</si>
  <si>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</si>
  <si>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</si>
  <si>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</si>
  <si>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</si>
  <si>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</si>
  <si>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</si>
  <si>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</si>
  <si>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</si>
  <si>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</si>
  <si>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</si>
  <si>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</si>
  <si>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</si>
  <si>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</si>
  <si>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</si>
  <si>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</si>
  <si>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</si>
  <si>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</si>
  <si>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</si>
  <si>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</si>
  <si>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</si>
  <si>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</si>
  <si>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</si>
  <si>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</si>
  <si>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</si>
  <si>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</si>
  <si>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</si>
  <si>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</si>
  <si>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</si>
  <si>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</si>
  <si>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</si>
  <si>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</si>
  <si>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</si>
  <si>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</si>
  <si>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</si>
  <si>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</si>
  <si>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</si>
  <si>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</si>
  <si>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</si>
  <si>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</si>
  <si>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</si>
  <si>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</si>
  <si>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</si>
  <si>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</si>
  <si>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</si>
  <si>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</si>
  <si>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</si>
  <si>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</si>
  <si>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</si>
  <si>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</si>
  <si>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</si>
  <si>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</si>
  <si>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</si>
  <si>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</si>
  <si>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</si>
  <si>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</si>
  <si>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</si>
  <si>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</si>
  <si>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</si>
  <si>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</si>
  <si>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</si>
  <si>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</si>
  <si>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</si>
  <si>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</si>
  <si>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</si>
  <si>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</si>
  <si>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</si>
  <si>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</si>
  <si>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</si>
  <si>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</si>
  <si>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</si>
  <si>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</si>
  <si>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</si>
  <si>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</si>
  <si>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</si>
  <si>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</si>
  <si>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</si>
  <si>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</si>
  <si>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</si>
  <si>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</si>
  <si>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</si>
  <si>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</si>
  <si>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</si>
  <si>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</si>
  <si>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</si>
  <si>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</si>
  <si>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</si>
  <si>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</si>
  <si>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</si>
  <si>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</si>
  <si>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</si>
  <si>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</si>
  <si>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</si>
  <si>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</si>
  <si>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</si>
  <si>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</si>
  <si>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</si>
  <si>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</si>
  <si>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</si>
  <si>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</si>
  <si>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</si>
  <si>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</si>
  <si>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</si>
  <si>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</si>
  <si>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</si>
  <si>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</si>
  <si>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</si>
  <si>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</si>
  <si>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</si>
  <si>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</si>
  <si>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</si>
  <si>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</si>
  <si>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</si>
  <si>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</si>
  <si>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</si>
  <si>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</si>
  <si>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</si>
  <si>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</si>
  <si>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</si>
  <si>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</si>
  <si>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</si>
  <si>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</si>
  <si>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</si>
  <si>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</si>
  <si>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</si>
  <si>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</si>
  <si>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</si>
  <si>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</si>
  <si>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</si>
  <si>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</si>
  <si>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1200–1600</t>
    </r>
    <r>
      <rPr>
        <sz val="11"/>
        <color theme="1"/>
        <rFont val="Noto Sans CJK SC"/>
        <family val="2"/>
      </rPr>
      <t xml:space="preserve">（一季落後 </t>
    </r>
    <r>
      <rPr>
        <sz val="11"/>
        <color theme="1"/>
        <rFont val="Calibri"/>
        <family val="2"/>
        <charset val="1"/>
      </rPr>
      <t xml:space="preserve">1600</t>
    </r>
    <r>
      <rPr>
        <sz val="11"/>
        <color theme="1"/>
        <rFont val="Noto Sans CJK SC"/>
        <family val="2"/>
      </rPr>
      <t xml:space="preserve">；兩季落後 </t>
    </r>
    <r>
      <rPr>
        <sz val="11"/>
        <color theme="1"/>
        <rFont val="Calibri"/>
        <family val="2"/>
        <charset val="1"/>
      </rPr>
      <t xml:space="preserve">1200</t>
    </r>
    <r>
      <rPr>
        <sz val="11"/>
        <color theme="1"/>
        <rFont val="Noto Sans CJK SC"/>
        <family val="2"/>
      </rPr>
      <t xml:space="preserve">） 萬 </t>
    </r>
    <r>
      <rPr>
        <sz val="11"/>
        <color theme="1"/>
        <rFont val="Calibri"/>
        <family val="2"/>
        <charset val="1"/>
      </rPr>
      <t xml:space="preserve">H100e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</si>
  <si>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為情境值；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：年份誤植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</si>
  <si>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</si>
  <si>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</si>
  <si>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</si>
  <si>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</si>
  <si>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</si>
  <si>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</si>
  <si>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</si>
  <si>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</si>
  <si>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</si>
  <si>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</si>
  <si>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</si>
  <si>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</si>
  <si>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</si>
  <si>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</si>
  <si>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</si>
  <si>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</si>
  <si>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</si>
  <si>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</si>
  <si>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</si>
  <si>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</si>
  <si>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</si>
  <si>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</si>
  <si>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</si>
  <si>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</si>
  <si>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</si>
  <si>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</si>
  <si>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</si>
  <si>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</si>
  <si>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</si>
  <si>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</si>
  <si>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</si>
  <si>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</si>
  <si>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</si>
  <si>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</si>
  <si>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</si>
  <si>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</si>
  <si>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</si>
  <si>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</si>
  <si>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</si>
  <si>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</si>
  <si>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</si>
  <si>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</si>
  <si>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</si>
  <si>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</si>
  <si>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</si>
  <si>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</si>
  <si>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</si>
  <si>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</si>
  <si>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</si>
  <si>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</si>
  <si>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</si>
  <si>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</si>
  <si>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</si>
  <si>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</si>
  <si>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</si>
  <si>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</si>
  <si>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</si>
  <si>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</si>
  <si>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</si>
  <si>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</si>
  <si>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</si>
  <si>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</si>
  <si>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</si>
  <si>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</si>
  <si>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</si>
  <si>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</si>
  <si>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</si>
  <si>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</si>
  <si>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</si>
  <si>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</si>
  <si>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</si>
  <si>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</si>
  <si>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</si>
  <si>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</si>
  <si>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</si>
  <si>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</si>
  <si>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</si>
  <si>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</si>
  <si>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</si>
  <si>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</si>
  <si>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</si>
  <si>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</si>
  <si>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</si>
  <si>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</si>
  <si>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</si>
  <si>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</si>
  <si>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經第三方轉述；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年〔</t>
    </r>
    <r>
      <rPr>
        <sz val="11"/>
        <color theme="1"/>
        <rFont val="Calibri"/>
        <family val="2"/>
        <charset val="1"/>
      </rPr>
      <t xml:space="preserve">2018–24</t>
    </r>
    <r>
      <rPr>
        <sz val="11"/>
        <color theme="1"/>
        <rFont val="Noto Sans CJK SC"/>
        <family val="2"/>
      </rPr>
      <t xml:space="preserve">〕、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&gt;5 </t>
    </r>
    <r>
      <rPr>
        <sz val="11"/>
        <color theme="1"/>
        <rFont val="Noto Sans CJK SC"/>
        <family val="2"/>
      </rPr>
      <t xml:space="preserve">年下限〔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完工〕、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&gt;7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</si>
  <si>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：數值屬實但為下限／不同統計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</si>
  <si>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</si>
  <si>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</si>
  <si>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</si>
  <si>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</si>
  <si>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</si>
  <si>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</si>
  <si>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</si>
  <si>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</si>
  <si>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</si>
  <si>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</si>
  <si>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</si>
  <si>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</si>
  <si>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</si>
  <si>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</si>
  <si>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</si>
  <si>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</si>
  <si>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</si>
  <si>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</si>
  <si>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</si>
  <si>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</si>
  <si>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</si>
  <si>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</si>
  <si>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</si>
  <si>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</si>
  <si>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</si>
  <si>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</si>
  <si>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</si>
  <si>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</si>
  <si>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</si>
  <si>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</si>
  <si>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r>
      <rPr>
        <sz val="11"/>
        <color theme="1"/>
        <rFont val="Noto Sans CJK SC"/>
        <family val="2"/>
      </rPr>
      <t xml:space="preserve">燃氣渦輪（全產業）｜全球｜最強機型平均等待（</t>
    </r>
    <r>
      <rPr>
        <sz val="11"/>
        <color theme="1"/>
        <rFont val="Calibri"/>
        <family val="2"/>
        <charset val="1"/>
      </rPr>
      <t xml:space="preserve">EPRI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</si>
  <si>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</si>
  <si>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</si>
  <si>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</si>
  <si>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low </t>
    </r>
    <r>
      <rPr>
        <sz val="11"/>
        <color theme="1"/>
        <rFont val="Noto Sans CJK SC"/>
        <family val="2"/>
      </rPr>
      <t xml:space="preserve">非現行值；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：範圍為最強機型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</si>
  <si>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</si>
  <si>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</si>
  <si>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</si>
  <si>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</si>
  <si>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</si>
  <si>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</si>
  <si>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</si>
  <si>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</si>
  <si>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</si>
  <si>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</si>
  <si>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</si>
  <si>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</si>
  <si>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</si>
  <si>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high_months</t>
    </r>
    <r>
      <rPr>
        <sz val="11"/>
        <color theme="1"/>
        <rFont val="Noto Sans CJK SC"/>
        <family val="2"/>
      </rPr>
      <t xml:space="preserve">：原文最高為 </t>
    </r>
    <r>
      <rPr>
        <sz val="11"/>
        <color theme="1"/>
        <rFont val="Calibri"/>
        <family val="2"/>
        <charset val="1"/>
      </rPr>
      <t xml:space="preserve">GSU 144 </t>
    </r>
    <r>
      <rPr>
        <sz val="11"/>
        <color theme="1"/>
        <rFont val="Noto Sans CJK SC"/>
        <family val="2"/>
      </rPr>
      <t xml:space="preserve">週（約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無出處，改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年前 </t>
    </r>
    <r>
      <rPr>
        <sz val="11"/>
        <color theme="1"/>
        <rFont val="Calibri"/>
        <family val="2"/>
        <charset val="1"/>
      </rPr>
      <t xml:space="preserve">24–30 </t>
    </r>
    <r>
      <rPr>
        <sz val="11"/>
        <color theme="1"/>
        <rFont val="Noto Sans CJK SC"/>
        <family val="2"/>
      </rPr>
      <t xml:space="preserve">個月』不在原文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</si>
  <si>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</si>
  <si>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</si>
  <si>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</si>
  <si>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</si>
  <si>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</si>
  <si>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</si>
  <si>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</si>
  <si>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</si>
  <si>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</si>
  <si>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</si>
  <si>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</si>
  <si>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</si>
  <si>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</si>
  <si>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</si>
  <si>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</si>
  <si>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</si>
  <si>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</si>
  <si>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</si>
  <si>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</si>
  <si>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</si>
  <si>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</si>
  <si>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</si>
  <si>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</si>
  <si>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</si>
  <si>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</si>
  <si>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</si>
  <si>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</si>
  <si>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</si>
  <si>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</si>
  <si>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</si>
  <si>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（頁面無日期）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</si>
  <si>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</si>
  <si>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：原文無此日期；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：原文找不到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</si>
  <si>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</si>
  <si>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</si>
  <si>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</si>
  <si>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延遲（實際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 − 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</si>
  <si>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</si>
  <si>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</si>
  <si>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</si>
  <si>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為延遲量非工期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</si>
  <si>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</si>
  <si>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</si>
  <si>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</si>
  <si>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</si>
  <si>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</si>
  <si>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</si>
  <si>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</si>
  <si>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無試運轉公告（官方未改期、不視為延遲）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</si>
  <si>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</si>
  <si>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</si>
  <si>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：原文明言不視為延遲；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：範圍誤植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</si>
  <si>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</si>
  <si>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</si>
  <si>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</si>
  <si>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</si>
  <si>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</si>
  <si>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</si>
  <si>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</si>
  <si>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</si>
  <si>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</si>
  <si>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</si>
  <si>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 </t>
    </r>
    <r>
      <rPr>
        <sz val="11"/>
        <color theme="1"/>
        <rFont val="Calibri"/>
        <family val="2"/>
        <charset val="1"/>
      </rPr>
      <t xml:space="preserve">several quarters</t>
    </r>
    <r>
      <rPr>
        <sz val="11"/>
        <color theme="1"/>
        <rFont val="Noto Sans CJK SC"/>
        <family val="2"/>
      </rPr>
      <t xml:space="preserve">）；月數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2–4 </t>
    </r>
    <r>
      <rPr>
        <sz val="11"/>
        <color theme="1"/>
        <rFont val="Noto Sans CJK SC"/>
        <family val="2"/>
      </rPr>
      <t xml:space="preserve">季）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</si>
  <si>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：月數非原話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</si>
  <si>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</si>
  <si>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</si>
  <si>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</si>
  <si>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</si>
  <si>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</si>
  <si>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</si>
  <si>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</si>
  <si>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</si>
  <si>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</si>
  <si>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</si>
  <si>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</si>
  <si>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</si>
  <si>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t xml:space="preserve">S#2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</si>
  <si>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</si>
  <si>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願景）｜規劃</t>
    </r>
  </si>
  <si>
    <t xml:space="preserve">5000 MW</t>
  </si>
  <si>
    <t xml:space="preserve">2026-09-11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</si>
  <si>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：小誤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</si>
  <si>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平方公里、分散網路與日期皆屬實。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「照計畫進行、部分仍在檢討」被付費牆截斷，無法核對。來源是 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，標題寫法偏離。</t>
    </r>
  </si>
  <si>
    <t xml:space="preserve">https://news.bloomberglaw.com/artificial-intelligence/uae-revising-ai-data-center-plan-after-iranian-attacks-reuters</t>
  </si>
  <si>
    <t xml:space="preserve">S#3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</si>
  <si>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</si>
  <si>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1GW </t>
    </r>
    <r>
      <rPr>
        <sz val="11"/>
        <color theme="1"/>
        <rFont val="Noto Sans CJK SC"/>
        <family val="2"/>
      </rPr>
      <t xml:space="preserve">叢集｜在建</t>
    </r>
  </si>
  <si>
    <t xml:space="preserve">1000 MW</t>
  </si>
  <si>
    <t xml:space="preserve">2025-12-05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</si>
  <si>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說」屬實。但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起算點與 </t>
    </r>
    <r>
      <rPr>
        <sz val="11"/>
        <color theme="1"/>
        <rFont val="Calibri"/>
        <family val="2"/>
        <charset val="1"/>
      </rPr>
      <t xml:space="preserve">Reuters 300 </t>
    </r>
    <r>
      <rPr>
        <sz val="11"/>
        <color theme="1"/>
        <rFont val="Noto Sans CJK SC"/>
        <family val="2"/>
      </rPr>
      <t xml:space="preserve">億美元在原文找不到；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欄也不是文章標題。</t>
    </r>
  </si>
  <si>
    <t xml:space="preserve">https://www.uaepreferred.com/perspectives/stargate-uae-on-track-for-2026-launch?51d95f76_page=51&amp;ee969b52_page=4</t>
  </si>
  <si>
    <t xml:space="preserve">S#4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</si>
  <si>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</si>
  <si>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</si>
  <si>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說法皆屬實。但原文稱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為第一期，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只是首批。頁面直接標 </t>
    </r>
    <r>
      <rPr>
        <sz val="11"/>
        <color theme="1"/>
        <rFont val="Calibri"/>
        <family val="2"/>
        <charset val="1"/>
      </rPr>
      <t xml:space="preserve">26 Oct 2026</t>
    </r>
    <r>
      <rPr>
        <sz val="11"/>
        <color theme="1"/>
        <rFont val="Noto Sans CJK SC"/>
        <family val="2"/>
      </rPr>
      <t xml:space="preserve">，不需推估。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原目標與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不在本文。</t>
    </r>
  </si>
  <si>
    <t xml:space="preserve">https://enterpriseam.com/ksa/issues/no-blinking-in-the-buildout/</t>
  </si>
  <si>
    <t xml:space="preserve">S#5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</si>
  <si>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｜全園區｜上線</t>
    </r>
  </si>
  <si>
    <t xml:space="preserve">2026-07-17</t>
  </si>
  <si>
    <r>
      <rPr>
        <sz val="11"/>
        <color theme="1"/>
        <rFont val="Calibri"/>
        <family val="2"/>
        <charset val="1"/>
      </rPr>
      <t xml:space="preserve">636 MW IT </t>
    </r>
    <r>
      <rPr>
        <sz val="11"/>
        <color theme="1"/>
        <rFont val="Noto Sans CJK SC"/>
        <family val="2"/>
      </rPr>
      <t xml:space="preserve">與頁面更新日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屬實。但全園區 </t>
    </r>
    <r>
      <rPr>
        <sz val="11"/>
        <color theme="1"/>
        <rFont val="Calibri"/>
        <family val="2"/>
        <charset val="1"/>
      </rPr>
      <t xml:space="preserve">636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才達成，非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。此為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估算卻標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天前」及他站 </t>
    </r>
    <r>
      <rPr>
        <sz val="11"/>
        <color theme="1"/>
        <rFont val="Calibri"/>
        <family val="2"/>
        <charset val="1"/>
      </rPr>
      <t xml:space="preserve">433/250+ MW </t>
    </r>
    <r>
      <rPr>
        <sz val="11"/>
        <color theme="1"/>
        <rFont val="Noto Sans CJK SC"/>
        <family val="2"/>
      </rPr>
      <t xml:space="preserve">原文找不到。</t>
    </r>
  </si>
  <si>
    <r>
      <rPr>
        <sz val="11"/>
        <color theme="1"/>
        <rFont val="Calibri"/>
        <family val="2"/>
        <charset val="1"/>
      </rPr>
      <t xml:space="preserve">cp_msft_atl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cp_msft_atl2</t>
    </r>
  </si>
  <si>
    <t xml:space="preserve">S#6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</si>
  <si>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雙棟）｜上線</t>
    </r>
  </si>
  <si>
    <t xml:space="preserve">321 MW</t>
  </si>
  <si>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388k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上線皆屬實。但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的時間軸已升至 </t>
    </r>
    <r>
      <rPr>
        <sz val="11"/>
        <color theme="1"/>
        <rFont val="Calibri"/>
        <family val="2"/>
        <charset val="1"/>
      </rPr>
      <t xml:space="preserve">769k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636 MW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」有誤，應只到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</si>
  <si>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S#7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</si>
  <si>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</si>
  <si>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：不符</t>
    </r>
  </si>
  <si>
    <r>
      <rPr>
        <sz val="11"/>
        <color theme="1"/>
        <rFont val="Calibri"/>
        <family val="2"/>
        <charset val="1"/>
      </rPr>
      <t xml:space="preserve">Epoch 2026-05 </t>
    </r>
    <r>
      <rPr>
        <sz val="11"/>
        <color theme="1"/>
        <rFont val="Noto Sans CJK SC"/>
        <family val="2"/>
      </rPr>
      <t xml:space="preserve">判斷試運轉屬實，但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已判定 </t>
    </r>
    <r>
      <rPr>
        <sz val="11"/>
        <color theme="1"/>
        <rFont val="Calibri"/>
        <family val="2"/>
        <charset val="1"/>
      </rPr>
      <t xml:space="preserve">Building 4 </t>
    </r>
    <r>
      <rPr>
        <sz val="11"/>
        <color theme="1"/>
        <rFont val="Noto Sans CJK SC"/>
        <family val="2"/>
      </rPr>
      <t xml:space="preserve">運轉中，故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標「在建」不符。兩棟新殼體施工屬實，</t>
    </r>
    <r>
      <rPr>
        <sz val="11"/>
        <color theme="1"/>
        <rFont val="Calibri"/>
        <family val="2"/>
        <charset val="1"/>
      </rPr>
      <t xml:space="preserve">Cleanview 268 MW </t>
    </r>
    <r>
      <rPr>
        <sz val="11"/>
        <color theme="1"/>
        <rFont val="Noto Sans CJK SC"/>
        <family val="2"/>
      </rPr>
      <t xml:space="preserve">原文找不到。</t>
    </r>
  </si>
  <si>
    <t xml:space="preserve">S#8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</si>
  <si>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</si>
  <si>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QTS Fayetteville I DC1-2</t>
    </r>
    <r>
      <rPr>
        <sz val="11"/>
        <color theme="1"/>
        <rFont val="Noto Sans CJK SC"/>
        <family val="2"/>
      </rPr>
      <t xml:space="preserve">（債券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持有的兩棟）｜上線</t>
    </r>
  </si>
  <si>
    <t xml:space="preserve">2026-08-07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</si>
  <si>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：口徑不同</t>
    </r>
  </si>
  <si>
    <r>
      <rPr>
        <sz val="11"/>
        <color theme="1"/>
        <rFont val="Noto Sans CJK SC"/>
        <family val="2"/>
      </rPr>
      <t xml:space="preserve">原文「逾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」是兩棟新建樓的容量，非上線量，且為記者轉述。商業運轉始於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年底屬實，債務最高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億美元屬實。標為公司本人說並不準確，應為記者轉述。</t>
    </r>
  </si>
  <si>
    <t xml:space="preserve">https://nordsip.com/2026/08/07/afii-assesses-green-credentials-of-qts/</t>
  </si>
  <si>
    <t xml:space="preserve">S#9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</si>
  <si>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ATL2 East </t>
    </r>
    <r>
      <rPr>
        <sz val="11"/>
        <color theme="1"/>
        <rFont val="Noto Sans CJK SC"/>
        <family val="2"/>
      </rPr>
      <t xml:space="preserve">擴建｜規劃</t>
    </r>
  </si>
  <si>
    <t xml:space="preserve">2026-01-15</t>
  </si>
  <si>
    <r>
      <rPr>
        <sz val="11"/>
        <color theme="1"/>
        <rFont val="Noto Sans CJK SC"/>
        <family val="2"/>
      </rPr>
      <t xml:space="preserve">面積、英畝、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未揭露也對。但原文未提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承租」無依據。「可能完工」被寫成「最快」。原文也未說明 </t>
    </r>
    <r>
      <rPr>
        <sz val="11"/>
        <color theme="1"/>
        <rFont val="Calibri"/>
        <family val="2"/>
        <charset val="1"/>
      </rPr>
      <t xml:space="preserve">DRI </t>
    </r>
    <r>
      <rPr>
        <sz val="11"/>
        <color theme="1"/>
        <rFont val="Noto Sans CJK SC"/>
        <family val="2"/>
      </rPr>
      <t xml:space="preserve">申請文件內容，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偏強。</t>
    </r>
  </si>
  <si>
    <t xml:space="preserve">https://www.datacenterdynamics.com/en/news/qts-files-to-expand-fayetteville-data-center-campus-in-georgia/</t>
  </si>
  <si>
    <t xml:space="preserve">S#10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</si>
  <si>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承租）｜全園區滿載規劃｜規劃</t>
    </r>
  </si>
  <si>
    <t xml:space="preserve">1500 MW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</si>
  <si>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：無法取得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</si>
  <si>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403</t>
    </r>
    <r>
      <rPr>
        <sz val="11"/>
        <color theme="1"/>
        <rFont val="Noto Sans CJK SC"/>
        <family val="2"/>
      </rPr>
      <t xml:space="preserve">）</t>
    </r>
  </si>
  <si>
    <t xml:space="preserve">https://measuredai.substack.com/p/microsoft-fairwater-atlanta-data-center</t>
  </si>
  <si>
    <t xml:space="preserve">S#11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</si>
  <si>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官方公告）｜上線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</si>
  <si>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：屬實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</si>
  <si>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發布，稱 </t>
    </r>
    <r>
      <rPr>
        <sz val="11"/>
        <color theme="1"/>
        <rFont val="Calibri"/>
        <family val="2"/>
        <charset val="1"/>
      </rPr>
      <t xml:space="preserve">Atlanta 10 </t>
    </r>
    <r>
      <rPr>
        <sz val="11"/>
        <color theme="1"/>
        <rFont val="Noto Sans CJK SC"/>
        <family val="2"/>
      </rPr>
      <t xml:space="preserve">月開始運作；使用者列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超級智慧團隊、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，未列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。公司自述標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</si>
  <si>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https://news.microsoft.com/source/features/ai/from-wisconsin-to-atlanta-microsoft-connects-datacenters-to-build-its-first-ai-superfactory/</t>
  </si>
  <si>
    <t xml:space="preserve">S#12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</si>
  <si>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（第一期，已啟用）｜上線</t>
    </r>
  </si>
  <si>
    <t xml:space="preserve">2026-10-06</t>
  </si>
  <si>
    <r>
      <rPr>
        <sz val="11"/>
        <color theme="1"/>
        <rFont val="Calibri"/>
        <family val="2"/>
        <charset val="1"/>
      </rPr>
      <t xml:space="preserve">369 MW IT </t>
    </r>
    <r>
      <rPr>
        <sz val="11"/>
        <color theme="1"/>
        <rFont val="Noto Sans CJK SC"/>
        <family val="2"/>
      </rPr>
      <t xml:space="preserve">屬實。但原文找不到「</t>
    </r>
    <r>
      <rPr>
        <sz val="11"/>
        <color theme="1"/>
        <rFont val="Calibri"/>
        <family val="2"/>
        <charset val="1"/>
      </rPr>
      <t xml:space="preserve">450 MW</t>
    </r>
    <r>
      <rPr>
        <sz val="11"/>
        <color theme="1"/>
        <rFont val="Noto Sans CJK SC"/>
        <family val="2"/>
      </rPr>
      <t xml:space="preserve">」報導；第一期 </t>
    </r>
    <r>
      <rPr>
        <sz val="11"/>
        <color theme="1"/>
        <rFont val="Calibri"/>
        <family val="2"/>
        <charset val="1"/>
      </rPr>
      <t xml:space="preserve">4/16 </t>
    </r>
    <r>
      <rPr>
        <sz val="11"/>
        <color theme="1"/>
        <rFont val="Noto Sans CJK SC"/>
        <family val="2"/>
      </rPr>
      <t xml:space="preserve">已上線，與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不符。頁面更新日為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</si>
  <si>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r>
      <rPr>
        <sz val="11"/>
        <color theme="1"/>
        <rFont val="Calibri"/>
        <family val="2"/>
        <charset val="1"/>
      </rPr>
      <t xml:space="preserve">cp_msft_wi1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</si>
  <si>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S#13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</si>
  <si>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程序所列需求）｜上線</t>
    </r>
  </si>
  <si>
    <t xml:space="preserve">450 MW</t>
  </si>
  <si>
    <t xml:space="preserve">2026-02-10</t>
  </si>
  <si>
    <r>
      <rPr>
        <sz val="11"/>
        <color theme="1"/>
        <rFont val="Calibri"/>
        <family val="2"/>
        <charset val="1"/>
      </rPr>
      <t xml:space="preserve">450 MW </t>
    </r>
    <r>
      <rPr>
        <sz val="11"/>
        <color theme="1"/>
        <rFont val="Noto Sans CJK SC"/>
        <family val="2"/>
      </rPr>
      <t xml:space="preserve">屬實，但原文是記者未標出處的「預估需求」，不是上線容量。原文無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上線時間，也未說明這是 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標示也不當。</t>
    </r>
  </si>
  <si>
    <t xml:space="preserve">https://wisconsinexaminer.com/2026/02/10/wisconsin-public-service-commission-data-center-hearing-draws-public-outcry/</t>
  </si>
  <si>
    <t xml:space="preserve">S#14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</si>
  <si>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｜第二座資料中心（相鄰，在建）｜在建</t>
    </r>
  </si>
  <si>
    <t xml:space="preserve">2026-06-23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</si>
  <si>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：原文找不到</t>
    </r>
  </si>
  <si>
    <r>
      <rPr>
        <sz val="11"/>
        <color theme="1"/>
        <rFont val="Noto Sans CJK SC"/>
        <family val="2"/>
      </rPr>
      <t xml:space="preserve">第二座在建、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完工屬實。但「另投資約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億美元」原文沒有，原文只有 </t>
    </r>
    <r>
      <rPr>
        <sz val="11"/>
        <color theme="1"/>
        <rFont val="Calibri"/>
        <family val="2"/>
        <charset val="1"/>
      </rPr>
      <t xml:space="preserve">2024–2028 </t>
    </r>
    <r>
      <rPr>
        <sz val="11"/>
        <color theme="1"/>
        <rFont val="Noto Sans CJK SC"/>
        <family val="2"/>
      </rPr>
      <t xml:space="preserve">威州共約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億美元。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寫「公司本人」也不是原文標題。</t>
    </r>
  </si>
  <si>
    <t xml:space="preserve">https://wtmj.com/news/2026/06/23/microsoft-completes-first-mount-pleasant-data-center-announces-facility-is-operational/</t>
  </si>
  <si>
    <t xml:space="preserve">S#15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</si>
  <si>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｜後續擴建（新增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</si>
  <si>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月核准再增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棟，且未載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與完工時點，主旨屬實。但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填「記者推論」並非文章標題；原文是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的報導陳述，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稍偏。</t>
    </r>
  </si>
  <si>
    <t xml:space="preserve">https://www.datacenterdynamics.com/en/news/microsoft-ceo-says-fairwater-data-center-site-is-going-live-ahead-of-schedule/</t>
  </si>
  <si>
    <t xml:space="preserve">S#16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</si>
  <si>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）｜規劃</t>
    </r>
  </si>
  <si>
    <t xml:space="preserve">2263 MW</t>
  </si>
  <si>
    <r>
      <rPr>
        <sz val="11"/>
        <color theme="1"/>
        <rFont val="Calibri"/>
        <family val="2"/>
        <charset val="1"/>
      </rPr>
      <t xml:space="preserve">2,263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月整地與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年建期皆與原文相符。但頁面更新日為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</si>
  <si>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S#17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</si>
  <si>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稱規模）｜規劃</t>
    </r>
  </si>
  <si>
    <r>
      <rPr>
        <sz val="11"/>
        <color theme="1"/>
        <rFont val="Noto Sans CJK SC"/>
        <family val="2"/>
      </rPr>
      <t xml:space="preserve">數值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上線皆符合，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基礎未說明亦合。但 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為本人說法，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尚可；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標「公司本人」不精確，實為轉載頁面。原文稱「</t>
    </r>
    <r>
      <rPr>
        <sz val="11"/>
        <color theme="1"/>
        <rFont val="Calibri"/>
        <family val="2"/>
        <charset val="1"/>
      </rPr>
      <t xml:space="preserve">scale to</t>
    </r>
    <r>
      <rPr>
        <sz val="11"/>
        <color theme="1"/>
        <rFont val="Noto Sans CJK SC"/>
        <family val="2"/>
      </rPr>
      <t xml:space="preserve">」，未明說規劃時程。</t>
    </r>
  </si>
  <si>
    <t xml:space="preserve">https://www.aipredictionindex.com/p/nadella-2025-fairwater-wisconsin-2gw/</t>
  </si>
  <si>
    <t xml:space="preserve">S#18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</si>
  <si>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預期新增需求）｜規劃</t>
    </r>
  </si>
  <si>
    <t xml:space="preserve">2600 MW</t>
  </si>
  <si>
    <t xml:space="preserve">2026-06-24</t>
  </si>
  <si>
    <r>
      <rPr>
        <sz val="11"/>
        <color theme="1"/>
        <rFont val="Calibri"/>
        <family val="2"/>
        <charset val="1"/>
      </rPr>
      <t xml:space="preserve">2.6 GW</t>
    </r>
    <r>
      <rPr>
        <sz val="11"/>
        <color theme="1"/>
        <rFont val="Noto Sans CJK SC"/>
        <family val="2"/>
      </rPr>
      <t xml:space="preserve">、日期與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基礎未說明皆屬實。但這是 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投資人簡報的利害關係人說法，經記者轉述，標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偏高。來源標題寫「第三方機構」不準確，實為 </t>
    </r>
    <r>
      <rPr>
        <sz val="11"/>
        <color theme="1"/>
        <rFont val="Calibri"/>
        <family val="2"/>
        <charset val="1"/>
      </rPr>
      <t xml:space="preserve">Racine County Eye </t>
    </r>
    <r>
      <rPr>
        <sz val="11"/>
        <color theme="1"/>
        <rFont val="Noto Sans CJK SC"/>
        <family val="2"/>
      </rPr>
      <t xml:space="preserve">報導。</t>
    </r>
  </si>
  <si>
    <t xml:space="preserve">https://civicmedia.us/news/2026/06/24/microsoft-opens-the-fairwater-data-center-in-mount-pleasant</t>
  </si>
  <si>
    <t xml:space="preserve">S#19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</si>
  <si>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</si>
  <si>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</si>
  <si>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2026-10-14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</si>
  <si>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有出現，但為設計規格；原文狀態為營運中、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棟已交付，非「在建」。原文無施工延至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、延遲 </t>
    </r>
    <r>
      <rPr>
        <sz val="11"/>
        <color theme="1"/>
        <rFont val="Calibri"/>
        <family val="2"/>
        <charset val="1"/>
      </rPr>
      <t xml:space="preserve">6–9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上線之說。「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擴建已取消」亦不符，原文只說未確認。</t>
    </r>
  </si>
  <si>
    <t xml:space="preserve">https://americanbuildout.com/stargate-abilene/</t>
  </si>
  <si>
    <t xml:space="preserve">S#20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</si>
  <si>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B1–B2</t>
    </r>
    <r>
      <rPr>
        <sz val="11"/>
        <color theme="1"/>
        <rFont val="Noto Sans CJK SC"/>
        <family val="2"/>
      </rPr>
      <t xml:space="preserve">）｜上線</t>
    </r>
  </si>
  <si>
    <t xml:space="preserve">2025-11-17</t>
  </si>
  <si>
    <r>
      <rPr>
        <sz val="11"/>
        <color theme="1"/>
        <rFont val="Calibri"/>
        <family val="2"/>
        <charset val="1"/>
      </rPr>
      <t xml:space="preserve">200MW+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980,000 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是文章日期，上線說法在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月。原文無 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日期與延遲約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個月說法。</t>
    </r>
  </si>
  <si>
    <t xml:space="preserve">https://www.datacenterdynamics.com/en/news/crusoe-tops-out-final-building-at-openai-stargate-data-center-campus-in-abilene-texas/</t>
  </si>
  <si>
    <t xml:space="preserve">S#21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</si>
  <si>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B3–B8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</si>
  <si>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B3–B8 </t>
    </r>
    <r>
      <rPr>
        <sz val="11"/>
        <color theme="1"/>
        <rFont val="Noto Sans CJK SC"/>
        <family val="2"/>
      </rPr>
      <t xml:space="preserve">分棟資料、</t>
    </r>
    <r>
      <rPr>
        <sz val="11"/>
        <color theme="1"/>
        <rFont val="Calibri"/>
        <family val="2"/>
        <charset val="1"/>
      </rPr>
      <t xml:space="preserve">B3/B4 </t>
    </r>
    <r>
      <rPr>
        <sz val="11"/>
        <color theme="1"/>
        <rFont val="Noto Sans CJK SC"/>
        <family val="2"/>
      </rPr>
      <t xml:space="preserve">許可日期，也無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上線或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新聞稿未上線之說。原文是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棟中的 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已交付，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Noto Sans CJK SC"/>
        <family val="2"/>
      </rPr>
      <t xml:space="preserve">屬合理。</t>
    </r>
  </si>
  <si>
    <t xml:space="preserve">S#22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</si>
  <si>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｜已交付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財報口徑）｜上線</t>
    </r>
  </si>
  <si>
    <t xml:space="preserve">https://www.alphaspread.com/security/nyse/orcl/investor-relations/earnings-call/q1-2027</t>
  </si>
  <si>
    <t xml:space="preserve">S#23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</si>
  <si>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｜已運轉 </t>
    </r>
    <r>
      <rPr>
        <sz val="11"/>
        <color theme="1"/>
        <rFont val="Calibri"/>
        <family val="2"/>
        <charset val="1"/>
      </rPr>
      <t xml:space="preserve">B1–B4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</si>
  <si>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t xml:space="preserve">421 MW</t>
  </si>
  <si>
    <r>
      <rPr>
        <sz val="11"/>
        <color theme="1"/>
        <rFont val="Calibri"/>
        <family val="2"/>
        <charset val="1"/>
      </rPr>
      <t xml:space="preserve">421MW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843MW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預測皆與原文相符。但頁面更新日為 </t>
    </r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，衛星影像最新為 </t>
    </r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的估計。</t>
    </r>
  </si>
  <si>
    <t xml:space="preserve">https://epoch.ai/data/ai-data-centers/directory/openai-stargate-abilene</t>
  </si>
  <si>
    <t xml:space="preserve">S#24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</si>
  <si>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｜全園區｜在建</t>
    </r>
  </si>
  <si>
    <t xml:space="preserve">900 MW</t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</si>
  <si>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、兩棟樓、整地、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年中通電、合計</t>
    </r>
    <r>
      <rPr>
        <sz val="11"/>
        <color theme="1"/>
        <rFont val="Calibri"/>
        <family val="2"/>
        <charset val="1"/>
      </rPr>
      <t xml:space="preserve">2.1GW </t>
    </r>
    <r>
      <rPr>
        <sz val="11"/>
        <color theme="1"/>
        <rFont val="Noto Sans CJK SC"/>
        <family val="2"/>
      </rPr>
      <t xml:space="preserve">皆屬實。但原文另載每棟</t>
    </r>
    <r>
      <rPr>
        <sz val="11"/>
        <color theme="1"/>
        <rFont val="Calibri"/>
        <family val="2"/>
        <charset val="1"/>
      </rPr>
      <t xml:space="preserve">336MW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負載（約</t>
    </r>
    <r>
      <rPr>
        <sz val="11"/>
        <color theme="1"/>
        <rFont val="Calibri"/>
        <family val="2"/>
        <charset val="1"/>
      </rPr>
      <t xml:space="preserve">672MW 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是園區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電廠口徑，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應標明。</t>
    </r>
    <r>
      <rPr>
        <sz val="11"/>
        <color theme="1"/>
        <rFont val="Calibri"/>
        <family val="2"/>
        <charset val="1"/>
      </rPr>
      <t xml:space="preserve">Stargate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說法原文未提。</t>
    </r>
  </si>
  <si>
    <r>
      <rPr>
        <sz val="11"/>
        <color theme="1"/>
        <rFont val="Calibri"/>
        <family val="2"/>
        <charset val="1"/>
      </rPr>
      <t xml:space="preserve">cp_msft_abl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cp_msft_abl2</t>
    </r>
  </si>
  <si>
    <t xml:space="preserve">https://www.crusoe.ai/resources/newsroom/crusoe-announces-new-900-mw-ai-factory-campus-in-abilene-texas-to-support-microsoft-ai-infrastructure</t>
  </si>
  <si>
    <t xml:space="preserve">S#25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</si>
  <si>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</si>
  <si>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336 MW</t>
  </si>
  <si>
    <r>
      <rPr>
        <sz val="11"/>
        <color theme="1"/>
        <rFont val="Calibri"/>
        <family val="2"/>
        <charset val="1"/>
      </rPr>
      <t xml:space="preserve">336MW IT</t>
    </r>
    <r>
      <rPr>
        <sz val="11"/>
        <color theme="1"/>
        <rFont val="Noto Sans CJK SC"/>
        <family val="2"/>
      </rPr>
      <t xml:space="preserve">、首棟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</t>
    </r>
    <r>
      <rPr>
        <sz val="11"/>
        <color theme="1"/>
        <rFont val="Calibri"/>
        <family val="2"/>
        <charset val="1"/>
      </rPr>
      <t xml:space="preserve">MV BESS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填「記者推論」不符，原文是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確認的事實；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尚可。「未見延遲報導」原文未提及。</t>
    </r>
  </si>
  <si>
    <t xml:space="preserve">https://www.datacenterdynamics.com/en/news/crusoe-confirms-microsoft-as-customer-at-campus-in-abilene-texas/</t>
  </si>
  <si>
    <t xml:space="preserve">S#26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</si>
  <si>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</si>
  <si>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原文只給首棟通電時點，第二棟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為假設，列中已自承。</t>
    </r>
    <r>
      <rPr>
        <sz val="11"/>
        <color theme="1"/>
        <rFont val="Calibri"/>
        <family val="2"/>
        <charset val="1"/>
      </rPr>
      <t xml:space="preserve">336×2=672MW </t>
    </r>
    <r>
      <rPr>
        <sz val="11"/>
        <color theme="1"/>
        <rFont val="Noto Sans CJK SC"/>
        <family val="2"/>
      </rPr>
      <t xml:space="preserve">屬實（原文總租約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含電廠）。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填「記者推論」不當，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原文無。</t>
    </r>
  </si>
  <si>
    <t xml:space="preserve">S#27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</si>
  <si>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｜全園區｜規劃</t>
    </r>
  </si>
  <si>
    <t xml:space="preserve">400 MW</t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</si>
  <si>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SRP </t>
    </r>
    <r>
      <rPr>
        <sz val="11"/>
        <color theme="1"/>
        <rFont val="Noto Sans CJK SC"/>
        <family val="2"/>
      </rPr>
      <t xml:space="preserve">風光供電、日期皆符。但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是公布年；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有誤。</t>
    </r>
  </si>
  <si>
    <t xml:space="preserve">https://www.compute-atlas.com/facilities/google-redhawk-mesa-az</t>
  </si>
  <si>
    <t xml:space="preserve">S#28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</si>
  <si>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）｜上線</t>
    </r>
  </si>
  <si>
    <t xml:space="preserve">183 MW</t>
  </si>
  <si>
    <r>
      <rPr>
        <sz val="11"/>
        <color theme="1"/>
        <rFont val="Calibri"/>
        <family val="2"/>
        <charset val="1"/>
      </rPr>
      <t xml:space="preserve">183MW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Building 1+2 </t>
    </r>
    <r>
      <rPr>
        <sz val="11"/>
        <color theme="1"/>
        <rFont val="Noto Sans CJK SC"/>
        <family val="2"/>
      </rPr>
      <t xml:space="preserve">的累計值（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上線），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110k H100e</t>
    </r>
    <r>
      <rPr>
        <sz val="11"/>
        <color theme="1"/>
        <rFont val="Noto Sans CJK SC"/>
        <family val="2"/>
      </rPr>
      <t xml:space="preserve">。原文無「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天前」，頁面更新日為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無依據。「是否僅含第一期不明」其實原文已明示含兩棟。</t>
    </r>
  </si>
  <si>
    <t xml:space="preserve">S#29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</si>
  <si>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</si>
  <si>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萬平方呎、在建、目標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，與原文相符。但原文把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掛在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建置，與「那是整園區供電」不合。</t>
    </r>
    <r>
      <rPr>
        <sz val="11"/>
        <color theme="1"/>
        <rFont val="Calibri"/>
        <family val="2"/>
        <charset val="1"/>
      </rPr>
      <t xml:space="preserve">Cleanview 2026 </t>
    </r>
    <r>
      <rPr>
        <sz val="11"/>
        <color theme="1"/>
        <rFont val="Noto Sans CJK SC"/>
        <family val="2"/>
      </rPr>
      <t xml:space="preserve">在原文找不到。</t>
    </r>
  </si>
  <si>
    <t xml:space="preserve">S#30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</si>
  <si>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）｜規劃</t>
    </r>
  </si>
  <si>
    <t xml:space="preserve">2026-03-10</t>
  </si>
  <si>
    <r>
      <rPr>
        <sz val="11"/>
        <color theme="1"/>
        <rFont val="Calibri"/>
        <family val="2"/>
        <charset val="1"/>
      </rPr>
      <t xml:space="preserve">2026-03-10 </t>
    </r>
    <r>
      <rPr>
        <sz val="11"/>
        <color theme="1"/>
        <rFont val="Noto Sans CJK SC"/>
        <family val="2"/>
      </rPr>
      <t xml:space="preserve">提交修訂文件、合併為兩棟屬實。但「三期原為約</t>
    </r>
    <r>
      <rPr>
        <sz val="11"/>
        <color theme="1"/>
        <rFont val="Calibri"/>
        <family val="2"/>
        <charset val="1"/>
      </rPr>
      <t xml:space="preserve">283.5KSF</t>
    </r>
    <r>
      <rPr>
        <sz val="11"/>
        <color theme="1"/>
        <rFont val="Noto Sans CJK SC"/>
        <family val="2"/>
      </rPr>
      <t xml:space="preserve">」原文找不到，原文只有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288,530 sq ft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數字尚可接受。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對第三方來源亦偏。</t>
    </r>
  </si>
  <si>
    <t xml:space="preserve">https://dcpulse.com/project/google-red-hawk-mesa-arizona-ai-data-center</t>
  </si>
  <si>
    <t xml:space="preserve">S#31</t>
  </si>
  <si>
    <t xml:space="preserve">Amazon Web Services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</si>
  <si>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</si>
  <si>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棟、逾</t>
    </r>
    <r>
      <rPr>
        <sz val="11"/>
        <color theme="1"/>
        <rFont val="Calibri"/>
        <family val="2"/>
        <charset val="1"/>
      </rPr>
      <t xml:space="preserve">2.2GW</t>
    </r>
    <r>
      <rPr>
        <sz val="11"/>
        <color theme="1"/>
        <rFont val="Noto Sans CJK SC"/>
        <family val="2"/>
      </rPr>
      <t xml:space="preserve">屬實，但文中未明確歸屬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Measured AI 32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/2.25GW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1,925MW </t>
    </r>
    <r>
      <rPr>
        <sz val="11"/>
        <color theme="1"/>
        <rFont val="Noto Sans CJK SC"/>
        <family val="2"/>
      </rPr>
      <t xml:space="preserve">原文皆無。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棟上線，全園區非當月上線。</t>
    </r>
  </si>
  <si>
    <t xml:space="preserve">https://www.cnbc.com/2025/10/29/amazon-opens-11-billion-ai-data-center-project-rainier-in-indiana.html</t>
  </si>
  <si>
    <t xml:space="preserve">S#32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</si>
  <si>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｜已上線部分（約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棟）｜上線</t>
    </r>
  </si>
  <si>
    <r>
      <rPr>
        <sz val="11"/>
        <color theme="1"/>
        <rFont val="Calibri"/>
        <family val="2"/>
        <charset val="1"/>
      </rPr>
      <t xml:space="preserve">1,037MW IT</t>
    </r>
    <r>
      <rPr>
        <sz val="11"/>
        <color theme="1"/>
        <rFont val="Noto Sans CJK SC"/>
        <family val="2"/>
      </rPr>
      <t xml:space="preserve">功率屬實，但原文為整個站點當前估計，非「已上線約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棟」；頁面標示更新日為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為第三方估計，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稍偏。</t>
    </r>
  </si>
  <si>
    <t xml:space="preserve">https://epoch.ai/data/ai-data-centers</t>
  </si>
  <si>
    <t xml:space="preserve">S#33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</si>
  <si>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 Campus Expansion SBN210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Buildings 19–32</t>
    </r>
    <r>
      <rPr>
        <sz val="11"/>
        <color theme="1"/>
        <rFont val="Noto Sans CJK SC"/>
        <family val="2"/>
      </rPr>
      <t xml:space="preserve">）｜在建</t>
    </r>
  </si>
  <si>
    <t xml:space="preserve">775 MW</t>
  </si>
  <si>
    <t xml:space="preserve">https://measuredai.substack.com/p/aws-new-carlisle-data-center-campus</t>
  </si>
  <si>
    <t xml:space="preserve">S#34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</si>
  <si>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1-4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估計已運轉）｜上線</t>
    </r>
  </si>
  <si>
    <t xml:space="preserve">228 MW</t>
  </si>
  <si>
    <r>
      <rPr>
        <sz val="11"/>
        <color theme="1"/>
        <rFont val="Calibri"/>
        <family val="2"/>
        <charset val="1"/>
      </rPr>
      <t xml:space="preserve">228 MW IT </t>
    </r>
    <r>
      <rPr>
        <sz val="11"/>
        <color theme="1"/>
        <rFont val="Noto Sans CJK SC"/>
        <family val="2"/>
      </rPr>
      <t xml:space="preserve">屬實。但來源頁有日期（更新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，衛星 </t>
    </r>
    <r>
      <rPr>
        <sz val="11"/>
        <color theme="1"/>
        <rFont val="Calibri"/>
        <family val="2"/>
        <charset val="1"/>
      </rPr>
      <t xml:space="preserve">2026-05-15</t>
    </r>
    <r>
      <rPr>
        <sz val="11"/>
        <color theme="1"/>
        <rFont val="Noto Sans CJK SC"/>
        <family val="2"/>
      </rPr>
      <t xml:space="preserve">），並非無日期。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稱早期施工之說原文找不到。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</si>
  <si>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S#35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</si>
  <si>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5</t>
    </r>
    <r>
      <rPr>
        <sz val="11"/>
        <color theme="1"/>
        <rFont val="Noto Sans CJK SC"/>
        <family val="2"/>
      </rPr>
      <t xml:space="preserve">（累計）｜在建</t>
    </r>
  </si>
  <si>
    <t xml:space="preserve">284 MW</t>
  </si>
  <si>
    <r>
      <rPr>
        <sz val="11"/>
        <color theme="1"/>
        <rFont val="Calibri"/>
        <family val="2"/>
        <charset val="1"/>
      </rPr>
      <t xml:space="preserve">284 MW IT </t>
    </r>
    <r>
      <rPr>
        <sz val="11"/>
        <color theme="1"/>
        <rFont val="Noto Sans CJK SC"/>
        <family val="2"/>
      </rPr>
      <t xml:space="preserve">為累計預測值，數字屬實。但 </t>
    </r>
    <r>
      <rPr>
        <sz val="11"/>
        <color theme="1"/>
        <rFont val="Calibri"/>
        <family val="2"/>
        <charset val="1"/>
      </rPr>
      <t xml:space="preserve">B5 </t>
    </r>
    <r>
      <rPr>
        <sz val="11"/>
        <color theme="1"/>
        <rFont val="Noto Sans CJK SC"/>
        <family val="2"/>
      </rPr>
      <t xml:space="preserve">預計運轉為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也不對。另一聚合站之說原文找不到。</t>
    </r>
  </si>
  <si>
    <t xml:space="preserve">S#36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</si>
  <si>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6-14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預測，累計）｜規劃</t>
    </r>
  </si>
  <si>
    <t xml:space="preserve">840 MW</t>
  </si>
  <si>
    <r>
      <rPr>
        <sz val="11"/>
        <color theme="1"/>
        <rFont val="Calibri"/>
        <family val="2"/>
        <charset val="1"/>
      </rPr>
      <t xml:space="preserve">840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2.25 </t>
    </r>
    <r>
      <rPr>
        <sz val="11"/>
        <color theme="1"/>
        <rFont val="Noto Sans CJK SC"/>
        <family val="2"/>
      </rPr>
      <t xml:space="preserve">年均屬實。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不符原文日期。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預測應標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</si>
  <si>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</si>
  <si>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County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</si>
  <si>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Madison County $11bn </t>
    </r>
    <r>
      <rPr>
        <sz val="11"/>
        <color theme="1"/>
        <rFont val="Noto Sans CJK SC"/>
        <family val="2"/>
      </rPr>
      <t xml:space="preserve">且未公布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。但原文未提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完工或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，這些屬第三方說法。「加碼 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」不精確，</t>
    </r>
    <r>
      <rPr>
        <sz val="11"/>
        <color theme="1"/>
        <rFont val="Calibri"/>
        <family val="2"/>
        <charset val="1"/>
      </rPr>
      <t xml:space="preserve">$11B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Madison </t>
    </r>
    <r>
      <rPr>
        <sz val="11"/>
        <color theme="1"/>
        <rFont val="Noto Sans CJK SC"/>
        <family val="2"/>
      </rPr>
      <t xml:space="preserve">總額。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</si>
  <si>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https://www.datacenterdynamics.com/en/news/aws-scales-up-investment-commitment-for-mississippi-data-centers-to-25bn/</t>
  </si>
  <si>
    <t xml:space="preserve">S#38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</si>
  <si>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</si>
  <si>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｜已上線（五棟營運中）｜上線</t>
    </r>
  </si>
  <si>
    <r>
      <rPr>
        <sz val="11"/>
        <color theme="1"/>
        <rFont val="Calibri"/>
        <family val="2"/>
        <charset val="1"/>
      </rPr>
      <t xml:space="preserve">284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214k H100e </t>
    </r>
    <r>
      <rPr>
        <sz val="11"/>
        <color theme="1"/>
        <rFont val="Noto Sans CJK SC"/>
        <family val="2"/>
      </rPr>
      <t xml:space="preserve">皆屬實。但這是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估計，應標 </t>
    </r>
    <r>
      <rPr>
        <sz val="11"/>
        <color theme="1"/>
        <rFont val="Calibri"/>
        <family val="2"/>
        <charset val="1"/>
      </rPr>
      <t xml:space="preserve">[Third-party estimate]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。另「頁面無日期」有誤，頁面標示 </t>
    </r>
    <r>
      <rPr>
        <sz val="11"/>
        <color theme="1"/>
        <rFont val="Calibri"/>
        <family val="2"/>
        <charset val="1"/>
      </rPr>
      <t xml:space="preserve">Updated Jul. 15, 2026</t>
    </r>
    <r>
      <rPr>
        <sz val="11"/>
        <color theme="1"/>
        <rFont val="Noto Sans CJK SC"/>
        <family val="2"/>
      </rPr>
      <t xml:space="preserve">。</t>
    </r>
  </si>
  <si>
    <t xml:space="preserve">S#39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</si>
  <si>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｜擴建（現有五棟之外至少再增同等規模）｜在建</t>
    </r>
  </si>
  <si>
    <t xml:space="preserve">https://mississippitoday.org/2026/06/09/amazon-data-centers-mississippi/</t>
  </si>
  <si>
    <t xml:space="preserve">S#40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</si>
  <si>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預測滿載（至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）｜規劃</t>
    </r>
  </si>
  <si>
    <t xml:space="preserve">683 MW</t>
  </si>
  <si>
    <r>
      <rPr>
        <sz val="11"/>
        <color theme="1"/>
        <rFont val="Calibri"/>
        <family val="2"/>
        <charset val="1"/>
      </rPr>
      <t xml:space="preserve">683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514k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皆屬實（時間線為 </t>
    </r>
    <r>
      <rPr>
        <sz val="11"/>
        <color theme="1"/>
        <rFont val="Calibri"/>
        <family val="2"/>
        <charset val="1"/>
      </rPr>
      <t xml:space="preserve">2028-03-15</t>
    </r>
    <r>
      <rPr>
        <sz val="11"/>
        <color theme="1"/>
        <rFont val="Noto Sans CJK SC"/>
        <family val="2"/>
      </rPr>
      <t xml:space="preserve">）。但屬模型預測，不應標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。「頁面無日期」亦有誤，頁面標示更新日期 </t>
    </r>
    <r>
      <rPr>
        <sz val="11"/>
        <color theme="1"/>
        <rFont val="Calibri"/>
        <family val="2"/>
        <charset val="1"/>
      </rPr>
      <t xml:space="preserve">Jul. 15, 2026</t>
    </r>
    <r>
      <rPr>
        <sz val="11"/>
        <color theme="1"/>
        <rFont val="Noto Sans CJK SC"/>
        <family val="2"/>
      </rPr>
      <t xml:space="preserve">。</t>
    </r>
  </si>
  <si>
    <t xml:space="preserve">S#41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</si>
  <si>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</si>
  <si>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2026-09-02</t>
  </si>
  <si>
    <r>
      <rPr>
        <sz val="11"/>
        <color theme="1"/>
        <rFont val="Noto Sans CJK SC"/>
        <family val="2"/>
      </rPr>
      <t xml:space="preserve">原文刊於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天前」。原文僅說州備妥約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園區條件，未提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，也未說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完工；</t>
    </r>
    <r>
      <rPr>
        <sz val="11"/>
        <color theme="1"/>
        <rFont val="Calibri"/>
        <family val="2"/>
        <charset val="1"/>
      </rPr>
      <t xml:space="preserve">Person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年底前部分啟用。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為記者敘述，非州政府說法。</t>
    </r>
  </si>
  <si>
    <t xml:space="preserve">https://siteselection.com/cover-story-data-center-boom-comes-to-mississippi/</t>
  </si>
  <si>
    <t xml:space="preserve">S#42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</si>
  <si>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</si>
  <si>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</si>
  <si>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https://www.sec.gov/Archives/edgar/data/0001819989/000181998926000028/cifr-20260331.htm</t>
  </si>
  <si>
    <t xml:space="preserve">S#43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</si>
  <si>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</si>
  <si>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https://www.sec.gov/Archives/edgar/data/0001819989/000181998926000038/q226_earningsxprxdraftxvf.htm</t>
  </si>
  <si>
    <t xml:space="preserve">S#44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</si>
  <si>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</si>
  <si>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S#45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</si>
  <si>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｜全園區｜在建</t>
    </r>
  </si>
  <si>
    <t xml:space="preserve">2026-01-09</t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</si>
  <si>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叢集、跨多棟建築，預計今年（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）上線，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公告，日期 </t>
    </r>
    <r>
      <rPr>
        <sz val="11"/>
        <color theme="1"/>
        <rFont val="Calibri"/>
        <family val="2"/>
        <charset val="1"/>
      </rPr>
      <t xml:space="preserve">2026-01-09 </t>
    </r>
    <r>
      <rPr>
        <sz val="11"/>
        <color theme="1"/>
        <rFont val="Noto Sans CJK SC"/>
        <family val="2"/>
      </rPr>
      <t xml:space="preserve">相符。</t>
    </r>
    <r>
      <rPr>
        <sz val="11"/>
        <color theme="1"/>
        <rFont val="Calibri"/>
        <family val="2"/>
        <charset val="1"/>
      </rPr>
      <t xml:space="preserve">1 GW=1000 MW </t>
    </r>
    <r>
      <rPr>
        <sz val="11"/>
        <color theme="1"/>
        <rFont val="Noto Sans CJK SC"/>
        <family val="2"/>
      </rPr>
      <t xml:space="preserve">換算正確，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為利害關係人合理。「在建」原文為 </t>
    </r>
    <r>
      <rPr>
        <sz val="11"/>
        <color theme="1"/>
        <rFont val="Calibri"/>
        <family val="2"/>
        <charset val="1"/>
      </rPr>
      <t xml:space="preserve">being built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 </t>
    </r>
    <r>
      <rPr>
        <sz val="11"/>
        <color theme="1"/>
        <rFont val="Noto Sans CJK SC"/>
        <family val="2"/>
      </rPr>
      <t xml:space="preserve">部分不在本來源，屬其他來源補充。</t>
    </r>
  </si>
  <si>
    <t xml:space="preserve">https://www.cbsnews.com/news/meta-nuclear-power-deals-ai-data-centers/</t>
  </si>
  <si>
    <t xml:space="preserve">S#46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</si>
  <si>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｜目前已運轉（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棟）｜上線</t>
    </r>
  </si>
  <si>
    <t xml:space="preserve">562 MW</t>
  </si>
  <si>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時點屬實。但此頁未載首棟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運轉與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棟，應是別處來源；未涉及 </t>
    </r>
    <r>
      <rPr>
        <sz val="11"/>
        <color theme="1"/>
        <rFont val="Calibri"/>
        <family val="2"/>
        <charset val="1"/>
      </rPr>
      <t xml:space="preserve">471 MW</t>
    </r>
    <r>
      <rPr>
        <sz val="11"/>
        <color theme="1"/>
        <rFont val="Noto Sans CJK SC"/>
        <family val="2"/>
      </rPr>
      <t xml:space="preserve">。</t>
    </r>
  </si>
  <si>
    <t xml:space="preserve">https://brightlio.com/largest-ai-data-centers-in-the-world/</t>
  </si>
  <si>
    <t xml:space="preserve">S#47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</si>
  <si>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累計｜在建</t>
    </r>
  </si>
  <si>
    <t xml:space="preserve">854 MW</t>
  </si>
  <si>
    <t xml:space="preserve">2026-09-23</t>
  </si>
  <si>
    <r>
      <rPr>
        <sz val="11"/>
        <color theme="1"/>
        <rFont val="Calibri"/>
        <family val="2"/>
        <charset val="1"/>
      </rPr>
      <t xml:space="preserve">854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的預測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容量，不是「在建」量；目前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時點未公開」也忽略了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所稱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年上線。</t>
    </r>
  </si>
  <si>
    <t xml:space="preserve">https://datacentercensus.com/dc/meta-prometheus-new-albany-oh</t>
  </si>
  <si>
    <t xml:space="preserve">S#48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</si>
  <si>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</si>
  <si>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</si>
  <si>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億美元、發言人稱約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年完成，皆與原文一致。</t>
    </r>
    <r>
      <rPr>
        <sz val="11"/>
        <color theme="1"/>
        <rFont val="Calibri"/>
        <family val="2"/>
        <charset val="1"/>
      </rPr>
      <t xml:space="preserve">Blue Owl 80/20 </t>
    </r>
    <r>
      <rPr>
        <sz val="11"/>
        <color theme="1"/>
        <rFont val="Noto Sans CJK SC"/>
        <family val="2"/>
      </rPr>
      <t xml:space="preserve">持股比例不在此文，但不影響數值。</t>
    </r>
  </si>
  <si>
    <t xml:space="preserve">https://www.cnbc.com/2026/07/13/meta-louisiana-data-center-investment-reaches-50-billion-amid-ai-push.html</t>
  </si>
  <si>
    <t xml:space="preserve">S#49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</si>
  <si>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｜第一階段（原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規劃）｜在建</t>
    </r>
  </si>
  <si>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年屬實。但「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官網寫逾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」不在本文，文中只說原規劃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。不影響數值。</t>
    </r>
  </si>
  <si>
    <t xml:space="preserve">S#50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</si>
  <si>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之後增量）｜規劃</t>
    </r>
  </si>
  <si>
    <t xml:space="preserve">3000 MW</t>
  </si>
  <si>
    <r>
      <rPr>
        <sz val="11"/>
        <color theme="1"/>
        <rFont val="Noto Sans CJK SC"/>
        <family val="2"/>
      </rPr>
      <t xml:space="preserve">推算用的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皆在原文，</t>
    </r>
    <r>
      <rPr>
        <sz val="11"/>
        <color theme="1"/>
        <rFont val="Calibri"/>
        <family val="2"/>
        <charset val="1"/>
      </rPr>
      <t xml:space="preserve">5000−2000=3000 </t>
    </r>
    <r>
      <rPr>
        <sz val="11"/>
        <color theme="1"/>
        <rFont val="Noto Sans CJK SC"/>
        <family val="2"/>
      </rPr>
      <t xml:space="preserve">成立。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英畝與 </t>
    </r>
    <r>
      <rPr>
        <sz val="11"/>
        <color theme="1"/>
        <rFont val="Calibri"/>
        <family val="2"/>
        <charset val="1"/>
      </rPr>
      <t xml:space="preserve">Entergy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LPSC </t>
    </r>
    <r>
      <rPr>
        <sz val="11"/>
        <color theme="1"/>
        <rFont val="Noto Sans CJK SC"/>
        <family val="2"/>
      </rPr>
      <t xml:space="preserve">不在本文，但非推算所需。</t>
    </r>
  </si>
  <si>
    <t xml:space="preserve">S#51</t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</si>
  <si>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</t>
    </r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</si>
  <si>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負責工程與物業管理）｜</t>
    </r>
    <r>
      <rPr>
        <sz val="11"/>
        <color theme="1"/>
        <rFont val="Calibri"/>
        <family val="2"/>
        <charset val="1"/>
      </rPr>
      <t xml:space="preserve">Meta El Paso Data Center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</si>
  <si>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、在建、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80/20</t>
    </r>
    <r>
      <rPr>
        <sz val="11"/>
        <color theme="1"/>
        <rFont val="Noto Sans CJK SC"/>
        <family val="2"/>
      </rPr>
      <t xml:space="preserve">、日期皆屬實，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合理。但「租金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起算」與</t>
    </r>
    <r>
      <rPr>
        <sz val="11"/>
        <color theme="1"/>
        <rFont val="Calibri"/>
        <family val="2"/>
        <charset val="1"/>
      </rPr>
      <t xml:space="preserve">Substack 960MW</t>
    </r>
    <r>
      <rPr>
        <sz val="11"/>
        <color theme="1"/>
        <rFont val="Noto Sans CJK SC"/>
        <family val="2"/>
      </rPr>
      <t xml:space="preserve">不在本文，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「公司本人」非標題。</t>
    </r>
  </si>
  <si>
    <t xml:space="preserve">https://investor.atmeta.com/investor-news/press-release-details/2026/Meta-Announces-New-Strategic-Venture-with-BlackRock-to-Develop-Data-Center-in-El-Paso/default.aspx</t>
  </si>
  <si>
    <t xml:space="preserve">S#52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</si>
  <si>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</si>
  <si>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動工皆與原文一致，客戶僅稱「領先超大規模業者」故「未揭露」成立，公司自述標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DCD 1.4GW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的說法不在本來源，無法由此核對。</t>
    </r>
  </si>
  <si>
    <t xml:space="preserve">https://www.crusoe.ai/resources/newsroom/crusoe-and-lancium-announce-1-gigawatt-ai-data-center-campus-in-childress-texas</t>
  </si>
  <si>
    <t xml:space="preserve">S#53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</si>
  <si>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DC1/DC2</t>
    </r>
    <r>
      <rPr>
        <sz val="11"/>
        <color theme="1"/>
        <rFont val="Noto Sans CJK SC"/>
        <family val="2"/>
      </rPr>
      <t xml:space="preserve">）｜在建</t>
    </r>
  </si>
  <si>
    <t xml:space="preserve">2026-10-02</t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</si>
  <si>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806,360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上半年完工、兩棟已動工、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僅為先前報導，皆與原文一致；原文未列申報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Project Hyper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園區的對應為推論。</t>
    </r>
  </si>
  <si>
    <t xml:space="preserve">https://www.datacenterdynamics.com/en/news/crusoe-files-for-48bn-data-center-campus-in-jayton-texas/</t>
  </si>
  <si>
    <t xml:space="preserve">S#54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</si>
  <si>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DC3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</si>
  <si>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806,359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億美元，沒有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數字，也沒提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報導。僅完工日</t>
    </r>
    <r>
      <rPr>
        <sz val="11"/>
        <color theme="1"/>
        <rFont val="Calibri"/>
        <family val="2"/>
        <charset val="1"/>
      </rPr>
      <t xml:space="preserve">2028-05-31</t>
    </r>
    <r>
      <rPr>
        <sz val="11"/>
        <color theme="1"/>
        <rFont val="Noto Sans CJK SC"/>
        <family val="2"/>
      </rPr>
      <t xml:space="preserve">與原文相符，另該頁同時寫在建與預建階段。</t>
    </r>
  </si>
  <si>
    <t xml:space="preserve">https://www.zabalist.com/projects/TABS2027000835</t>
  </si>
  <si>
    <t xml:space="preserve">S#55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</si>
  <si>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容量合約（</t>
    </r>
    <r>
      <rPr>
        <sz val="11"/>
        <color theme="1"/>
        <rFont val="Calibri"/>
        <family val="2"/>
        <charset val="1"/>
      </rPr>
      <t xml:space="preserve">Childress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</t>
    </r>
    <r>
      <rPr>
        <sz val="11"/>
        <color theme="1"/>
        <rFont val="Noto Sans CJK SC"/>
        <family val="2"/>
      </rPr>
      <t xml:space="preserve">合計）｜簽約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</si>
  <si>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、兩園區合計、金額未揭露皆屬實。但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刊登日為 </t>
    </r>
    <r>
      <rPr>
        <sz val="11"/>
        <color theme="1"/>
        <rFont val="Calibri"/>
        <family val="2"/>
        <charset val="1"/>
      </rPr>
      <t xml:space="preserve">6/19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報導」，未提匿名知情人士。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也偏差。</t>
    </r>
  </si>
  <si>
    <t xml:space="preserve">https://www.datacenterdynamics.com/en/news/meta-signs-16gw-capacity-agreement-with-crusoe-report/</t>
  </si>
  <si>
    <t xml:space="preserve">S#56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</si>
  <si>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</si>
  <si>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｜全園區｜在建</t>
    </r>
  </si>
  <si>
    <t xml:space="preserve">2025-08-19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</si>
  <si>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370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下半年首棟、</t>
    </r>
    <r>
      <rPr>
        <sz val="11"/>
        <color theme="1"/>
        <rFont val="Calibri"/>
        <family val="2"/>
        <charset val="1"/>
      </rPr>
      <t xml:space="preserve">8/19 </t>
    </r>
    <r>
      <rPr>
        <sz val="11"/>
        <color theme="1"/>
        <rFont val="Noto Sans CJK SC"/>
        <family val="2"/>
      </rPr>
      <t xml:space="preserve">均屬實。但原文稱「</t>
    </r>
    <r>
      <rPr>
        <sz val="11"/>
        <color theme="1"/>
        <rFont val="Calibri"/>
        <family val="2"/>
        <charset val="1"/>
      </rPr>
      <t xml:space="preserve">GPU compute capacity</t>
    </r>
    <r>
      <rPr>
        <sz val="11"/>
        <color theme="1"/>
        <rFont val="Noto Sans CJK SC"/>
        <family val="2"/>
      </rPr>
      <t xml:space="preserve">」，並非全無口徑暗示；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原文未提；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是規劃總量。</t>
    </r>
  </si>
  <si>
    <t xml:space="preserve">https://vantage-dc.com/news/vantage-data-centers-unveils-plans-for-frontier-a-25b-mega-campus-in-texas-to-meet-unprecedented-ai-demand/</t>
  </si>
  <si>
    <t xml:space="preserve">S#57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</si>
  <si>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</si>
  <si>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｜首棟（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</si>
  <si>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t xml:space="preserve">2026-10-18</t>
  </si>
  <si>
    <r>
      <rPr>
        <sz val="11"/>
        <color theme="1"/>
        <rFont val="Noto Sans CJK SC"/>
        <family val="2"/>
      </rPr>
      <t xml:space="preserve">無法取得（內容過短，可能需 </t>
    </r>
    <r>
      <rPr>
        <sz val="11"/>
        <color theme="1"/>
        <rFont val="Calibri"/>
        <family val="2"/>
        <charset val="1"/>
      </rPr>
      <t xml:space="preserve">JavaScript </t>
    </r>
    <r>
      <rPr>
        <sz val="11"/>
        <color theme="1"/>
        <rFont val="Noto Sans CJK SC"/>
        <family val="2"/>
      </rPr>
      <t xml:space="preserve">或登入）</t>
    </r>
  </si>
  <si>
    <t xml:space="preserve">https://stargate.how/</t>
  </si>
  <si>
    <t xml:space="preserve">S#58</t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</si>
  <si>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</si>
  <si>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｜現場燃氣發電（供電，非資料中心容量）｜簽約</t>
    </r>
  </si>
  <si>
    <t xml:space="preserve">2026-06-06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</si>
  <si>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405</t>
    </r>
    <r>
      <rPr>
        <sz val="11"/>
        <color theme="1"/>
        <rFont val="Noto Sans CJK SC"/>
        <family val="2"/>
      </rPr>
      <t xml:space="preserve">）</t>
    </r>
  </si>
  <si>
    <t xml:space="preserve">https://naturalgasintel.com/news/no-turbine-data-centers-find-faster-path-with-natural-gas-reciprocating-engines/</t>
  </si>
  <si>
    <t xml:space="preserve">S#59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</si>
  <si>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</si>
  <si>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｜全園區｜規劃</t>
    </r>
  </si>
  <si>
    <t xml:space="preserve">2462 MW</t>
  </si>
  <si>
    <t xml:space="preserve">2026-09-28</t>
  </si>
  <si>
    <r>
      <rPr>
        <sz val="11"/>
        <color theme="1"/>
        <rFont val="Calibri"/>
        <family val="2"/>
        <charset val="1"/>
      </rPr>
      <t xml:space="preserve">2,462 MW</t>
    </r>
    <r>
      <rPr>
        <sz val="11"/>
        <color theme="1"/>
        <rFont val="Noto Sans CJK SC"/>
        <family val="2"/>
      </rPr>
      <t xml:space="preserve">、日期、管線延至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月、許可未批皆屬實。但「租金延長最多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年」、「反覆否決」、「</t>
    </r>
    <r>
      <rPr>
        <sz val="11"/>
        <color theme="1"/>
        <rFont val="Calibri"/>
        <family val="2"/>
        <charset val="1"/>
      </rPr>
      <t xml:space="preserve">Oracle 4 </t>
    </r>
    <r>
      <rPr>
        <sz val="11"/>
        <color theme="1"/>
        <rFont val="Noto Sans CJK SC"/>
        <family val="2"/>
      </rPr>
      <t xml:space="preserve">月稱 </t>
    </r>
    <r>
      <rPr>
        <sz val="11"/>
        <color theme="1"/>
        <rFont val="Calibri"/>
        <family val="2"/>
        <charset val="1"/>
      </rPr>
      <t xml:space="preserve">2.45 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2027-02-01</t>
    </r>
    <r>
      <rPr>
        <sz val="11"/>
        <color theme="1"/>
        <rFont val="Noto Sans CJK SC"/>
        <family val="2"/>
      </rPr>
      <t xml:space="preserve">」在原文找不到。這些不影響數值。</t>
    </r>
  </si>
  <si>
    <t xml:space="preserve">https://www.enr.com/articles/63720-oracle-invokes-force-majeure-as-new-mexico-project-jupiter-power-work-faces-hurdles</t>
  </si>
  <si>
    <t xml:space="preserve">S#60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</si>
  <si>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</si>
  <si>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</si>
  <si>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2026-10-11</t>
  </si>
  <si>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、進度不變、許可待核准均屬實。但「四棟資料中心」與「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通知可延後付款」在原文找不到，原文稱無延遲。</t>
    </r>
  </si>
  <si>
    <t xml:space="preserve">https://americanbuildout.com/project-jupiter/</t>
  </si>
  <si>
    <t xml:space="preserve">S#61</t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</si>
  <si>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</t>
    </r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</si>
  <si>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｜全園區（微電網運轉上限）｜規劃</t>
    </r>
  </si>
  <si>
    <t xml:space="preserve">1600 MW</t>
  </si>
  <si>
    <r>
      <rPr>
        <sz val="11"/>
        <color theme="1"/>
        <rFont val="Calibri"/>
        <family val="2"/>
        <charset val="1"/>
      </rPr>
      <t xml:space="preserve">1,600 MW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屬實。但原文發布日為 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。數字出自 </t>
    </r>
    <r>
      <rPr>
        <sz val="11"/>
        <color theme="1"/>
        <rFont val="Calibri"/>
        <family val="2"/>
        <charset val="1"/>
      </rPr>
      <t xml:space="preserve">YGI </t>
    </r>
    <r>
      <rPr>
        <sz val="11"/>
        <color theme="1"/>
        <rFont val="Noto Sans CJK SC"/>
        <family val="2"/>
      </rPr>
      <t xml:space="preserve">自己的申請，標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上線與 </t>
    </r>
    <r>
      <rPr>
        <sz val="11"/>
        <color theme="1"/>
        <rFont val="Calibri"/>
        <family val="2"/>
        <charset val="1"/>
      </rPr>
      <t xml:space="preserve">700–900 MW </t>
    </r>
    <r>
      <rPr>
        <sz val="11"/>
        <color theme="1"/>
        <rFont val="Noto Sans CJK SC"/>
        <family val="2"/>
      </rPr>
      <t xml:space="preserve">不在此文。</t>
    </r>
  </si>
  <si>
    <t xml:space="preserve">https://www.abqjournal.com/business/hearing-officer-rejects-bid-to-toss-revised-project-jupiter-air-permit/3150570</t>
  </si>
  <si>
    <t xml:space="preserve">S#62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</si>
  <si>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</si>
  <si>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</si>
  <si>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：未判定</t>
    </r>
  </si>
  <si>
    <t xml:space="preserve">https://vantage-dc.com/data-center-locations/north-america/port-washington-wisconsin</t>
  </si>
  <si>
    <t xml:space="preserve">S#63</t>
  </si>
  <si>
    <t xml:space="preserve">Vantage Data Centers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</si>
  <si>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）｜第一期（</t>
    </r>
    <r>
      <rPr>
        <sz val="11"/>
        <color theme="1"/>
        <rFont val="Calibri"/>
        <family val="2"/>
        <charset val="1"/>
      </rPr>
      <t xml:space="preserve">$8B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</si>
  <si>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億首期、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完工、承包商名單無誤，且未給分期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。但「文章日期未標示」不實，原文標示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日。</t>
    </r>
    <r>
      <rPr>
        <sz val="11"/>
        <color theme="1"/>
        <rFont val="Calibri"/>
        <family val="2"/>
        <charset val="1"/>
      </rPr>
      <t xml:space="preserve">metric/unit </t>
    </r>
    <r>
      <rPr>
        <sz val="11"/>
        <color theme="1"/>
        <rFont val="Noto Sans CJK SC"/>
        <family val="2"/>
      </rPr>
      <t xml:space="preserve">的「在建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」無數值。標為記者推論，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卻是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，口徑混亂。</t>
    </r>
  </si>
  <si>
    <t xml:space="preserve">https://www.datacenterknowledge.com/data-center-construction/vantage-breaks-ground-on-15b-stargate-campus-in-wisconsin</t>
  </si>
  <si>
    <t xml:space="preserve">S#64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</si>
  <si>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）｜全園區（電網接入容量）｜規劃</t>
    </r>
  </si>
  <si>
    <r>
      <rPr>
        <sz val="11"/>
        <color theme="1"/>
        <rFont val="Calibri"/>
        <family val="2"/>
        <charset val="1"/>
      </rPr>
      <t xml:space="preserve">1.3GW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Adams </t>
    </r>
    <r>
      <rPr>
        <sz val="11"/>
        <color theme="1"/>
        <rFont val="Noto Sans CJK SC"/>
        <family val="2"/>
      </rPr>
      <t xml:space="preserve">所說，</t>
    </r>
    <r>
      <rPr>
        <sz val="11"/>
        <color theme="1"/>
        <rFont val="Calibri"/>
        <family val="2"/>
        <charset val="1"/>
      </rPr>
      <t xml:space="preserve">902MW </t>
    </r>
    <r>
      <rPr>
        <sz val="11"/>
        <color theme="1"/>
        <rFont val="Noto Sans CJK SC"/>
        <family val="2"/>
      </rPr>
      <t xml:space="preserve">亦屬實。但原文完工為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expected_online 2027 </t>
    </r>
    <r>
      <rPr>
        <sz val="11"/>
        <color theme="1"/>
        <rFont val="Noto Sans CJK SC"/>
        <family val="2"/>
      </rPr>
      <t xml:space="preserve">不符。</t>
    </r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在原文找不到。來源是第三方彙整站，非公司本人。頁面有「</t>
    </r>
    <r>
      <rPr>
        <sz val="11"/>
        <color theme="1"/>
        <rFont val="Calibri"/>
        <family val="2"/>
        <charset val="1"/>
      </rPr>
      <t xml:space="preserve">Record checked Sep 16, 2026</t>
    </r>
    <r>
      <rPr>
        <sz val="11"/>
        <color theme="1"/>
        <rFont val="Noto Sans CJK SC"/>
        <family val="2"/>
      </rPr>
      <t xml:space="preserve">」。</t>
    </r>
  </si>
  <si>
    <t xml:space="preserve">https://globaldatacenters.net/project/vantage-lighthouse-port-washington-wisconsin/</t>
  </si>
  <si>
    <t xml:space="preserve">S#65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</si>
  <si>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</si>
  <si>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Stargate Michigan 'The Barn'</t>
    </r>
    <r>
      <rPr>
        <sz val="11"/>
        <color theme="1"/>
        <rFont val="Noto Sans CJK SC"/>
        <family val="2"/>
      </rPr>
      <t xml:space="preserve">｜全園區｜在建</t>
    </r>
  </si>
  <si>
    <t xml:space="preserve">1383 MW</t>
  </si>
  <si>
    <t xml:space="preserve">https://www.michigan.gov/mpsc/commission/news-releases/2026/08/27/mpsc-approves-siting-settlement-on-ingham-county-solar-project</t>
  </si>
  <si>
    <t xml:space="preserve">S#66</t>
  </si>
  <si>
    <t xml:space="preserve">Galaxy Digital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</si>
  <si>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</si>
  <si>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TimeoutError</t>
    </r>
    <r>
      <rPr>
        <sz val="11"/>
        <color theme="1"/>
        <rFont val="Noto Sans CJK SC"/>
        <family val="2"/>
      </rPr>
      <t xml:space="preserve">）</t>
    </r>
  </si>
  <si>
    <t xml:space="preserve">https://www.nasdaq.com/press-release/galaxy-completes-phase-i-its-helios-data-center-campus-delivering-133-megawatts</t>
  </si>
  <si>
    <t xml:space="preserve">S#67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</si>
  <si>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</si>
  <si>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260 MW</t>
  </si>
  <si>
    <r>
      <rPr>
        <sz val="11"/>
        <color theme="1"/>
        <rFont val="Calibri"/>
        <family val="2"/>
        <charset val="1"/>
      </rPr>
      <t xml:space="preserve">260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35.07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租金起算皆屬實。但「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簡報稱已全額融資」原文找不到，「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上半年交付」是改寫。來源為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報導引述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文件，標成「公司本人」稍偏。</t>
    </r>
  </si>
  <si>
    <t xml:space="preserve">https://finance.yahoo.com/technology/ai/articles/galaxy-digital-plans-3-507-143713956.html</t>
  </si>
  <si>
    <t xml:space="preserve">S#68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</si>
  <si>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III</t>
    </r>
    <r>
      <rPr>
        <sz val="11"/>
        <color theme="1"/>
        <rFont val="Noto Sans CJK SC"/>
        <family val="2"/>
      </rPr>
      <t xml:space="preserve">｜簽約</t>
    </r>
  </si>
  <si>
    <t xml:space="preserve">2026-10-27</t>
  </si>
  <si>
    <t xml:space="preserve">https://www.investing.com/news/company-news/galaxy-digital-q3-2026-slides-dual-strategy-drives-323m-profit-93CH-4976040</t>
  </si>
  <si>
    <t xml:space="preserve">S#69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</si>
  <si>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｜全園區｜規劃</t>
    </r>
  </si>
  <si>
    <t xml:space="preserve">1630 MW</t>
  </si>
  <si>
    <t xml:space="preserve">S#70</t>
  </si>
  <si>
    <t xml:space="preserve">Applied Digital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</si>
  <si>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</si>
  <si>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上線屬實。但原文未提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</t>
    </r>
    <r>
      <rPr>
        <sz val="11"/>
        <color theme="1"/>
        <rFont val="Noto Sans CJK SC"/>
        <family val="2"/>
      </rPr>
      <t xml:space="preserve">在建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年及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年說法，這些找不到。</t>
    </r>
  </si>
  <si>
    <t xml:space="preserve">https://ir.applieddigital.com/news-events/press-releases/detail/161/applied-digital-brings-an-additional-75-mw-of-ai</t>
  </si>
  <si>
    <t xml:space="preserve">S#71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</si>
  <si>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I+II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ELN-02</t>
    </r>
    <r>
      <rPr>
        <sz val="11"/>
        <color theme="1"/>
        <rFont val="Noto Sans CJK SC"/>
        <family val="2"/>
      </rPr>
      <t xml:space="preserve">）｜上線</t>
    </r>
  </si>
  <si>
    <t xml:space="preserve">100 MW</t>
  </si>
  <si>
    <t xml:space="preserve">2025-11-24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</si>
  <si>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2025-11-24 </t>
    </r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按時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B1</t>
    </r>
    <r>
      <rPr>
        <sz val="11"/>
        <color theme="1"/>
        <rFont val="Noto Sans CJK SC"/>
        <family val="2"/>
      </rPr>
      <t xml:space="preserve">達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負載；首期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月交付；客戶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；公司新聞稿，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利害關係人正確。「首期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」為合理推斷。「預期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」原文未明示但不影響。</t>
    </r>
  </si>
  <si>
    <t xml:space="preserve">https://finance.yahoo.com/news/applied-digital-completes-phase-ii-130000534.html</t>
  </si>
  <si>
    <t xml:space="preserve">S#72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</si>
  <si>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</si>
  <si>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t xml:space="preserve">75 MW</t>
  </si>
  <si>
    <r>
      <rPr>
        <sz val="11"/>
        <color theme="1"/>
        <rFont val="Calibri"/>
        <family val="2"/>
        <charset val="1"/>
      </rPr>
      <t xml:space="preserve">7/1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75MW RFS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175MW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正確。但原文只稱 </t>
    </r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CJK SC"/>
        <family val="2"/>
      </rPr>
      <t xml:space="preserve">，未點名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75MW </t>
    </r>
    <r>
      <rPr>
        <sz val="11"/>
        <color theme="1"/>
        <rFont val="Noto Sans CJK SC"/>
        <family val="2"/>
      </rPr>
      <t xml:space="preserve">也未明說是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ELN-03 </t>
    </r>
    <r>
      <rPr>
        <sz val="11"/>
        <color theme="1"/>
        <rFont val="Noto Sans CJK SC"/>
        <family val="2"/>
      </rPr>
      <t xml:space="preserve">與第三方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說法原文找不到。</t>
    </r>
  </si>
  <si>
    <t xml:space="preserve">https://finance.yahoo.com/technology/ai/articles/applied-digital-delivers-second-building-170000050.html</t>
  </si>
  <si>
    <t xml:space="preserve">S#73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</si>
  <si>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</si>
  <si>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、三個</t>
    </r>
    <r>
      <rPr>
        <sz val="11"/>
        <color theme="1"/>
        <rFont val="Calibri"/>
        <family val="2"/>
        <charset val="1"/>
      </rPr>
      <t xml:space="preserve">25MW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滿載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、園區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，也未載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日為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（財報說法）。</t>
    </r>
  </si>
  <si>
    <t xml:space="preserve">S#74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</si>
  <si>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ELN-04</t>
    </r>
    <r>
      <rPr>
        <sz val="11"/>
        <color theme="1"/>
        <rFont val="Noto Sans CJK SC"/>
        <family val="2"/>
      </rPr>
      <t xml:space="preserve">）｜在建</t>
    </r>
  </si>
  <si>
    <t xml:space="preserve">150 MW</t>
  </si>
  <si>
    <t xml:space="preserve">https://www.sec.gov/Archives/edgar/data/0001144879/000149315226027979/ex99-1.htm</t>
  </si>
  <si>
    <t xml:space="preserve">S#75</t>
  </si>
  <si>
    <t xml:space="preserve">Core Scientific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</si>
  <si>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｜全園區｜上線</t>
    </r>
  </si>
  <si>
    <t xml:space="preserve">https://www.sec.gov/Archives/edgar/data/1839341/000162828026027645/q2fy26earningsdeck728am.htm</t>
  </si>
  <si>
    <t xml:space="preserve">S#76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</si>
  <si>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棟｜上線</t>
    </r>
  </si>
  <si>
    <t xml:space="preserve">132 MW</t>
  </si>
  <si>
    <t xml:space="preserve">2026-04-21</t>
  </si>
  <si>
    <r>
      <rPr>
        <sz val="11"/>
        <color theme="1"/>
        <rFont val="Calibri"/>
        <family val="2"/>
        <charset val="1"/>
      </rPr>
      <t xml:space="preserve">132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D-G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H2 2026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H2 2025 </t>
    </r>
    <r>
      <rPr>
        <sz val="11"/>
        <color theme="1"/>
        <rFont val="Noto Sans CJK SC"/>
        <family val="2"/>
      </rPr>
      <t xml:space="preserve">起計費、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均屬實。</t>
    </r>
    <r>
      <rPr>
        <sz val="11"/>
        <color theme="1"/>
        <rFont val="Calibri"/>
        <family val="2"/>
        <charset val="1"/>
      </rPr>
      <t xml:space="preserve">expected_online=2025 </t>
    </r>
    <r>
      <rPr>
        <sz val="11"/>
        <color theme="1"/>
        <rFont val="Noto Sans CJK SC"/>
        <family val="2"/>
      </rPr>
      <t xml:space="preserve">與原文不符（完工為 </t>
    </r>
    <r>
      <rPr>
        <sz val="11"/>
        <color theme="1"/>
        <rFont val="Calibri"/>
        <family val="2"/>
        <charset val="1"/>
      </rPr>
      <t xml:space="preserve">H2 2026</t>
    </r>
    <r>
      <rPr>
        <sz val="11"/>
        <color theme="1"/>
        <rFont val="Noto Sans CJK SC"/>
        <family val="2"/>
      </rPr>
      <t xml:space="preserve">）。公司自述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稍偏，宜視為利害關係人說法。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未說明可接受。</t>
    </r>
  </si>
  <si>
    <t xml:space="preserve">https://investors.corescientific.com/sec-filings/all-sec-filings/content/0001193125-26-165121/d149019dex992.htm</t>
  </si>
  <si>
    <t xml:space="preserve">S#77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</si>
  <si>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NEST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2000 Galloping Hill Rd </t>
    </r>
    <r>
      <rPr>
        <sz val="11"/>
        <color theme="1"/>
        <rFont val="Noto Sans CJK SC"/>
        <family val="2"/>
      </rPr>
      <t xml:space="preserve">首期）｜在建</t>
    </r>
  </si>
  <si>
    <t xml:space="preserve">40 MW</t>
  </si>
  <si>
    <t xml:space="preserve">2026-10-15</t>
  </si>
  <si>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規劃負載、未說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或設施，皆與原文相符。但頁面無日期與「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天前」字樣，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推算無法核實；「在建」屬實。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初期地方會議、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財報稿等說法亦不在此頁。</t>
    </r>
  </si>
  <si>
    <t xml:space="preserve">https://www.coreweave.com/ai-data-center-development/kenilworth-new-jersey</t>
  </si>
  <si>
    <t xml:space="preserve">S#78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</si>
  <si>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｜全園區｜規劃</t>
    </r>
  </si>
  <si>
    <t xml:space="preserve">2025-08-12</t>
  </si>
  <si>
    <t xml:space="preserve">https://www.businesswire.com/news/home/20250812279284/en/CoreWeave-Reports-Strong-Second-Quarter-2025-Results</t>
  </si>
  <si>
    <t xml:space="preserve">S#79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</si>
  <si>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216 Greenfield Road </t>
    </r>
    <r>
      <rPr>
        <sz val="11"/>
        <color theme="1"/>
        <rFont val="Noto Sans CJK SC"/>
        <family val="2"/>
      </rPr>
      <t xml:space="preserve">第一棟）｜在建</t>
    </r>
  </si>
  <si>
    <t xml:space="preserve">2025-07-15</t>
  </si>
  <si>
    <r>
      <rPr>
        <sz val="11"/>
        <color theme="1"/>
        <rFont val="Noto Sans CJK SC"/>
        <family val="2"/>
      </rPr>
      <t xml:space="preserve">初期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屬實。此頁日期為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07-15 </t>
    </r>
    <r>
      <rPr>
        <sz val="11"/>
        <color theme="1"/>
        <rFont val="Noto Sans CJK SC"/>
        <family val="2"/>
      </rPr>
      <t xml:space="preserve">是活動日）。「在建」、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LNP </t>
    </r>
    <r>
      <rPr>
        <sz val="11"/>
        <color theme="1"/>
        <rFont val="Noto Sans CJK SC"/>
        <family val="2"/>
      </rPr>
      <t xml:space="preserve">等說法不在此原文。</t>
    </r>
  </si>
  <si>
    <t xml:space="preserve">https://www.hochtief.com/news-media/press-releases/press-release/coreweave-announces-multi-billion-dollar-commitment-to-ai-infrastructure-in-pennsylvania</t>
  </si>
  <si>
    <t xml:space="preserve">S#80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</si>
  <si>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</si>
  <si>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擴充潛力屬實，原文未給時程。此頁日期為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。上訴與 </t>
    </r>
    <r>
      <rPr>
        <sz val="11"/>
        <color theme="1"/>
        <rFont val="Calibri"/>
        <family val="2"/>
        <charset val="1"/>
      </rPr>
      <t xml:space="preserve">Blue Owl </t>
    </r>
    <r>
      <rPr>
        <sz val="11"/>
        <color theme="1"/>
        <rFont val="Noto Sans CJK SC"/>
        <family val="2"/>
      </rPr>
      <t xml:space="preserve">等說法不在此原文。</t>
    </r>
  </si>
  <si>
    <t xml:space="preserve">S#81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</si>
  <si>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Lappeenranta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</si>
  <si>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310MW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首批、日期、公司本人皆與原文相符。但「開發商</t>
    </r>
    <r>
      <rPr>
        <sz val="11"/>
        <color theme="1"/>
        <rFont val="Calibri"/>
        <family val="2"/>
        <charset val="1"/>
      </rPr>
      <t xml:space="preserve">Polarnode</t>
    </r>
    <r>
      <rPr>
        <sz val="11"/>
        <color theme="1"/>
        <rFont val="Noto Sans CJK SC"/>
        <family val="2"/>
      </rPr>
      <t xml:space="preserve">」、「不專供單一客戶」、「未見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」原文均無，屬研究者補充，不是本人說法。</t>
    </r>
  </si>
  <si>
    <t xml:space="preserve">https://nebius.com/newsroom/nebius-to-construct-310-mw-ai-factory-in-finland</t>
  </si>
  <si>
    <t xml:space="preserve">S#82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</si>
  <si>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</si>
  <si>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電網、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場內發電屬實，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利害關係人正確。但頁面有時間表（</t>
    </r>
    <r>
      <rPr>
        <sz val="11"/>
        <color theme="1"/>
        <rFont val="Calibri"/>
        <family val="2"/>
        <charset val="1"/>
      </rPr>
      <t xml:space="preserve">Q2 2026–2029+</t>
    </r>
    <r>
      <rPr>
        <sz val="11"/>
        <color theme="1"/>
        <rFont val="Noto Sans CJK SC"/>
        <family val="2"/>
      </rPr>
      <t xml:space="preserve">、電力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</t>
    </r>
    <r>
      <rPr>
        <sz val="11"/>
        <color theme="1"/>
        <rFont val="Calibri"/>
        <family val="2"/>
        <charset val="1"/>
      </rPr>
      <t xml:space="preserve">/2029</t>
    </r>
    <r>
      <rPr>
        <sz val="11"/>
        <color theme="1"/>
        <rFont val="Noto Sans CJK SC"/>
        <family val="2"/>
      </rPr>
      <t xml:space="preserve">初），</t>
    </r>
    <r>
      <rPr>
        <sz val="11"/>
        <color theme="1"/>
        <rFont val="Calibri"/>
        <family val="2"/>
        <charset val="1"/>
      </rPr>
      <t xml:space="preserve">expected_online 2027-10 </t>
    </r>
    <r>
      <rPr>
        <sz val="11"/>
        <color theme="1"/>
        <rFont val="Noto Sans CJK SC"/>
        <family val="2"/>
      </rPr>
      <t xml:space="preserve">非官方且頁面「無日期」說法不精確。早期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、聽證等原文無。</t>
    </r>
  </si>
  <si>
    <t xml:space="preserve">https://nebius.com/independencemo</t>
  </si>
  <si>
    <t xml:space="preserve">S#83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</si>
  <si>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</si>
  <si>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、在建、首期、承包商說法皆屬實。面積原文為約 </t>
    </r>
    <r>
      <rPr>
        <sz val="11"/>
        <color theme="1"/>
        <rFont val="Calibri"/>
        <family val="2"/>
        <charset val="1"/>
      </rPr>
      <t xml:space="preserve">490,000 </t>
    </r>
    <r>
      <rPr>
        <sz val="11"/>
        <color theme="1"/>
        <rFont val="Noto Sans CJK SC"/>
        <family val="2"/>
      </rPr>
      <t xml:space="preserve">平方呎，列中寫 </t>
    </r>
    <r>
      <rPr>
        <sz val="11"/>
        <color theme="1"/>
        <rFont val="Calibri"/>
        <family val="2"/>
        <charset val="1"/>
      </rPr>
      <t xml:space="preserve">488,000 </t>
    </r>
    <r>
      <rPr>
        <sz val="11"/>
        <color theme="1"/>
        <rFont val="Noto Sans CJK SC"/>
        <family val="2"/>
      </rPr>
      <t xml:space="preserve">有出入。頁面無日期屬實。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的上線時間不在此來源中，無法由此頁核對。</t>
    </r>
  </si>
  <si>
    <t xml:space="preserve">https://www.arconational.com/nebius-independence-mo/</t>
  </si>
  <si>
    <t xml:space="preserve">S#84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</si>
  <si>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</si>
  <si>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</si>
  <si>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DataOne/Nebius/Microsoft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月停工令屬實。「設計上限」、</t>
    </r>
    <r>
      <rPr>
        <sz val="11"/>
        <color theme="1"/>
        <rFont val="Calibri"/>
        <family val="2"/>
        <charset val="1"/>
      </rPr>
      <t xml:space="preserve">350/315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稱不影響工期均不在本文，應出自他源。本文未歸因，記者直述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。</t>
    </r>
  </si>
  <si>
    <t xml:space="preserve">https://whyy.org/articles/vineland-data-center-fined/</t>
  </si>
  <si>
    <t xml:space="preserve">S#85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</si>
  <si>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</si>
  <si>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（已運作部分）｜上線</t>
    </r>
  </si>
  <si>
    <t xml:space="preserve">2026-07-12</t>
  </si>
  <si>
    <r>
      <rPr>
        <sz val="11"/>
        <color theme="1"/>
        <rFont val="Calibri"/>
        <family val="2"/>
        <charset val="1"/>
      </rPr>
      <t xml:space="preserve">50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57k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月新冷卻機組未連線均屬實。但這是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。頁面更新日為 </t>
    </r>
    <r>
      <rPr>
        <sz val="11"/>
        <color theme="1"/>
        <rFont val="Calibri"/>
        <family val="2"/>
        <charset val="1"/>
      </rPr>
      <t xml:space="preserve">8/4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只是影像日期。原文稱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年初上線，沒有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。</t>
    </r>
  </si>
  <si>
    <t xml:space="preserve">https://epoch.ai/data/ai-data-centers/directory/microsoft-nebius-new-jersey</t>
  </si>
  <si>
    <t xml:space="preserve">S#86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</si>
  <si>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</si>
  <si>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（擴建＋</t>
    </r>
    <r>
      <rPr>
        <sz val="11"/>
        <color theme="1"/>
        <rFont val="Calibri"/>
        <family val="2"/>
        <charset val="1"/>
      </rPr>
      <t xml:space="preserve">Bloom</t>
    </r>
    <r>
      <rPr>
        <sz val="11"/>
        <color theme="1"/>
        <rFont val="Noto Sans CJK SC"/>
        <family val="2"/>
      </rPr>
      <t xml:space="preserve">燃料電池）｜在建</t>
    </r>
  </si>
  <si>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核准與無單獨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</t>
    </r>
    <r>
      <rPr>
        <sz val="11"/>
        <color theme="1"/>
        <rFont val="Calibri"/>
        <family val="2"/>
        <charset val="1"/>
      </rPr>
      <t xml:space="preserve">Bloom 328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期交付、停工令、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NJDEP</t>
    </r>
    <r>
      <rPr>
        <sz val="11"/>
        <color theme="1"/>
        <rFont val="Noto Sans CJK SC"/>
        <family val="2"/>
      </rPr>
      <t xml:space="preserve">罰款、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上線，原文皆無；罰款時點晚於文章日期。</t>
    </r>
  </si>
  <si>
    <t xml:space="preserve">https://www.foreignpolicyjournal.com/2026/08/18/vineland-planning-board-approves-phase-2-expansion-clearing-path-for-nebius-group-nasdaq-nbis-microsoft-deal/</t>
  </si>
  <si>
    <t xml:space="preserve">S#87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</si>
  <si>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</si>
  <si>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https://www.sec.gov/Archives/edgar/data/0001878848/000114036126032638/ef20080141_ex99-1.htm</t>
  </si>
  <si>
    <t xml:space="preserve">S#88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</si>
  <si>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2</t>
    </r>
    <r>
      <rPr>
        <sz val="11"/>
        <color theme="1"/>
        <rFont val="Noto Sans CJK SC"/>
        <family val="2"/>
      </rPr>
      <t xml:space="preserve">｜在建</t>
    </r>
  </si>
  <si>
    <t xml:space="preserve">https://www.sec.gov/Archives/edgar/data/1878848/000187884826000051/irenreportsfy26results.htm</t>
  </si>
  <si>
    <t xml:space="preserve">S#89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</si>
  <si>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3</t>
    </r>
    <r>
      <rPr>
        <sz val="11"/>
        <color theme="1"/>
        <rFont val="Noto Sans CJK SC"/>
        <family val="2"/>
      </rPr>
      <t xml:space="preserve">｜在建</t>
    </r>
  </si>
  <si>
    <t xml:space="preserve">S#90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</si>
  <si>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4</t>
    </r>
    <r>
      <rPr>
        <sz val="11"/>
        <color theme="1"/>
        <rFont val="Noto Sans CJK SC"/>
        <family val="2"/>
      </rPr>
      <t xml:space="preserve">｜在建</t>
    </r>
  </si>
  <si>
    <t xml:space="preserve">S#91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</si>
  <si>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</si>
  <si>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576 </t>
    </r>
    <r>
      <rPr>
        <sz val="11"/>
        <color theme="1"/>
        <rFont val="Noto Sans CJK SC"/>
        <family val="2"/>
      </rPr>
      <t xml:space="preserve">英畝屬實，</t>
    </r>
    <r>
      <rPr>
        <sz val="11"/>
        <color theme="1"/>
        <rFont val="Calibri"/>
        <family val="2"/>
        <charset val="1"/>
      </rPr>
      <t xml:space="preserve">H1-4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4×50MW 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亦可推得。但原文是完整建成目標，不是「在建」量。來源是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報導，不是公司本人。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電網容量一說在原文找不到。</t>
    </r>
  </si>
  <si>
    <t xml:space="preserve">https://www.datacenterdynamics.com/en/news/iren-delivers-first-phase-of-ai-capacity-to-microsoft-in-texas/</t>
  </si>
  <si>
    <t xml:space="preserve">S#92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</si>
  <si>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（啟動階段）｜在建</t>
    </r>
  </si>
  <si>
    <t xml:space="preserve">24 MW</t>
  </si>
  <si>
    <t xml:space="preserve">https://www.businesswire.com/news/home/20251028473000/en/Lambda-Doubles-Down-on-Midwest-Expansion-To-Build-AI-Factory-in-Kansas-City-MO</t>
  </si>
  <si>
    <t xml:space="preserve">S#93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</si>
  <si>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）｜擴建（潛在上限）｜規劃</t>
    </r>
  </si>
  <si>
    <t xml:space="preserve">S#94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</si>
  <si>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Azure 23,040 GB300</t>
    </r>
    <r>
      <rPr>
        <sz val="11"/>
        <color theme="1"/>
        <rFont val="Noto Sans CJK SC"/>
        <family val="2"/>
      </rPr>
      <t xml:space="preserve">）｜規劃</t>
    </r>
  </si>
  <si>
    <t xml:space="preserve">2025-09-16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</si>
  <si>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23,040 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容量口徑皆屬實。但原訂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、電網延遲、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退出不在此原文，列中雖註明屬媒體報導，仍無法由本來源核對。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為公司說法，合理。</t>
    </r>
  </si>
  <si>
    <t xml:space="preserve">https://www.nscale.com/press-releases/nscale-uk-ai-infrastructure-announcement</t>
  </si>
  <si>
    <t xml:space="preserve">S#95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</si>
  <si>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｜擴充至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｜規劃</t>
    </r>
  </si>
  <si>
    <t xml:space="preserve">90 MW</t>
  </si>
  <si>
    <t xml:space="preserve">2025-01-01</t>
  </si>
  <si>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與可擴充屬實。但本來源寫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上線，不是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。新聞稿日期是 </t>
    </r>
    <r>
      <rPr>
        <sz val="11"/>
        <color theme="1"/>
        <rFont val="Calibri"/>
        <family val="2"/>
        <charset val="1"/>
      </rPr>
      <t xml:space="preserve">2025-01-13</t>
    </r>
    <r>
      <rPr>
        <sz val="11"/>
        <color theme="1"/>
        <rFont val="Noto Sans CJK SC"/>
        <family val="2"/>
      </rPr>
      <t xml:space="preserve">，並非「僅知 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UKPN </t>
    </r>
    <r>
      <rPr>
        <sz val="11"/>
        <color theme="1"/>
        <rFont val="Noto Sans CJK SC"/>
        <family val="2"/>
      </rPr>
      <t xml:space="preserve">延誤說法不在原文。</t>
    </r>
  </si>
  <si>
    <t xml:space="preserve">https://www.nscale.com/press-releases/ai-hyperscaler-nscale-to-invest-gbp-2-billion-in-the-uk-data-centre-industry</t>
  </si>
  <si>
    <t xml:space="preserve">S#96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</si>
  <si>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</si>
  <si>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Cedarvale </t>
    </r>
    <r>
      <rPr>
        <sz val="11"/>
        <color theme="1"/>
        <rFont val="Noto Sans CJK SC"/>
        <family val="2"/>
      </rPr>
      <t xml:space="preserve">已租 </t>
    </r>
    <r>
      <rPr>
        <sz val="11"/>
        <color theme="1"/>
        <rFont val="Calibri"/>
        <family val="2"/>
        <charset val="1"/>
      </rPr>
      <t xml:space="preserve">234 MW</t>
    </r>
    <r>
      <rPr>
        <sz val="11"/>
        <color theme="1"/>
        <rFont val="Noto Sans CJK SC"/>
        <family val="2"/>
      </rPr>
      <t xml:space="preserve">）｜上線</t>
    </r>
  </si>
  <si>
    <t xml:space="preserve">234 MW</t>
  </si>
  <si>
    <t xml:space="preserve">https://www.sec.gov/Archives/edgar/data/0002007691/000200769126000012/ioni-20260630.htm</t>
  </si>
  <si>
    <t xml:space="preserve">S#97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</si>
  <si>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｜追加 </t>
    </r>
    <r>
      <rPr>
        <sz val="11"/>
        <color theme="1"/>
        <rFont val="Calibri"/>
        <family val="2"/>
        <charset val="1"/>
      </rPr>
      <t xml:space="preserve">89 MW</t>
    </r>
    <r>
      <rPr>
        <sz val="11"/>
        <color theme="1"/>
        <rFont val="Noto Sans CJK SC"/>
        <family val="2"/>
      </rPr>
      <t xml:space="preserve">（租約修訂）｜簽約</t>
    </r>
  </si>
  <si>
    <t xml:space="preserve">89 MW</t>
  </si>
  <si>
    <t xml:space="preserve">S#98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</si>
  <si>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選擇權）｜規劃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</si>
  <si>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年底、日期皆屬實。但 </t>
    </r>
    <r>
      <rPr>
        <sz val="11"/>
        <color theme="1"/>
        <rFont val="Calibri"/>
        <family val="2"/>
        <charset val="1"/>
      </rPr>
      <t xml:space="preserve">Ionic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234→700MW </t>
    </r>
    <r>
      <rPr>
        <sz val="11"/>
        <color theme="1"/>
        <rFont val="Noto Sans CJK SC"/>
        <family val="2"/>
      </rPr>
      <t xml:space="preserve">說法不在此原文，屬他處引述。公司本人新聞稿標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稍偏，不影響數值。</t>
    </r>
  </si>
  <si>
    <t xml:space="preserve">https://www.nscale.com/press-releases/nscale-microsoft-2025</t>
  </si>
  <si>
    <t xml:space="preserve">S#99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</si>
  <si>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</si>
  <si>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1200MW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屬實；未揭露上線時間與口徑相符；「遠期目標」為合理註記。</t>
    </r>
  </si>
  <si>
    <t xml:space="preserve">S#100</t>
  </si>
  <si>
    <t xml:space="preserve">Start Campus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</si>
  <si>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</si>
  <si>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2026-10-13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</si>
  <si>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與「未說明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／設施」口徑屬實，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為利害關係人也合理。但頁面沒有日期（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為推估）、沒有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完工，也沒有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；這些來自其他來源，原文找不到。</t>
    </r>
  </si>
  <si>
    <t xml:space="preserve">https://www.startcampus.pt/sines</t>
  </si>
  <si>
    <t xml:space="preserve">S#101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</si>
  <si>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SIN01</t>
    </r>
    <r>
      <rPr>
        <sz val="11"/>
        <color theme="1"/>
        <rFont val="Noto Sans CJK SC"/>
        <family val="2"/>
      </rPr>
      <t xml:space="preserve">｜上線</t>
    </r>
  </si>
  <si>
    <t xml:space="preserve">37.5 MW</t>
  </si>
  <si>
    <r>
      <rPr>
        <sz val="11"/>
        <color theme="1"/>
        <rFont val="Noto Sans CJK SC"/>
        <family val="2"/>
      </rPr>
      <t xml:space="preserve">官網確實寫 </t>
    </r>
    <r>
      <rPr>
        <sz val="11"/>
        <color theme="1"/>
        <rFont val="Calibri"/>
        <family val="2"/>
        <charset val="1"/>
      </rPr>
      <t xml:space="preserve">37.5MW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SIN01 </t>
    </r>
    <r>
      <rPr>
        <sz val="11"/>
        <color theme="1"/>
        <rFont val="Noto Sans CJK SC"/>
        <family val="2"/>
      </rPr>
      <t xml:space="preserve">已上線、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12,600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Blackwell Ultra</t>
    </r>
    <r>
      <rPr>
        <sz val="11"/>
        <color theme="1"/>
        <rFont val="Noto Sans CJK SC"/>
        <family val="2"/>
      </rPr>
      <t xml:space="preserve">，與列相符。但頁面已列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新聞，</t>
    </r>
    <r>
      <rPr>
        <sz val="11"/>
        <color theme="1"/>
        <rFont val="Calibri"/>
        <family val="2"/>
        <charset val="1"/>
      </rPr>
      <t xml:space="preserve">as_of 2026-10-13 </t>
    </r>
    <r>
      <rPr>
        <sz val="11"/>
        <color theme="1"/>
        <rFont val="Noto Sans CJK SC"/>
        <family val="2"/>
      </rPr>
      <t xml:space="preserve">有出入。其他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數字與預期上線時點非出自本頁。</t>
    </r>
  </si>
  <si>
    <t xml:space="preserve">https://www.startcampus.pt/</t>
  </si>
  <si>
    <t xml:space="preserve">S#102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</si>
  <si>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SIN02</t>
    </r>
    <r>
      <rPr>
        <sz val="11"/>
        <color theme="1"/>
        <rFont val="Noto Sans CJK SC"/>
        <family val="2"/>
      </rPr>
      <t xml:space="preserve">｜在建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</si>
  <si>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</si>
  <si>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465M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年底部署屬實。但原文未稱「在建」，來源是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Dunn 180MW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Capacity </t>
    </r>
    <r>
      <rPr>
        <sz val="11"/>
        <color theme="1"/>
        <rFont val="Noto Sans CJK SC"/>
        <family val="2"/>
      </rPr>
      <t xml:space="preserve">訪談與延遲說明皆不在此文。</t>
    </r>
  </si>
  <si>
    <t xml:space="preserve">https://www.datacenterdynamics.com/en/news/nscale-to-deploy-66000-rubin-gpus-for-microsoft-in-portugal/</t>
  </si>
  <si>
    <t xml:space="preserve">S#103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</si>
  <si>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SIN03–SIN06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</si>
  <si>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各棟 </t>
    </r>
    <r>
      <rPr>
        <sz val="11"/>
        <color theme="1"/>
        <rFont val="Calibri"/>
        <family val="2"/>
        <charset val="1"/>
      </rPr>
      <t xml:space="preserve">180–240MW </t>
    </r>
    <r>
      <rPr>
        <sz val="11"/>
        <color theme="1"/>
        <rFont val="Noto Sans CJK SC"/>
        <family val="2"/>
      </rPr>
      <t xml:space="preserve">屬實，原文也未給個別數字。頁面沒有「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天前」或日期，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無從核對。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貢獻與六棟 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，未明說上線年。原文未出現 </t>
    </r>
    <r>
      <rPr>
        <sz val="11"/>
        <color theme="1"/>
        <rFont val="Calibri"/>
        <family val="2"/>
        <charset val="1"/>
      </rPr>
      <t xml:space="preserve">SIN03–06 </t>
    </r>
    <r>
      <rPr>
        <sz val="11"/>
        <color theme="1"/>
        <rFont val="Noto Sans CJK SC"/>
        <family val="2"/>
      </rPr>
      <t xml:space="preserve">編號。</t>
    </r>
  </si>
  <si>
    <t xml:space="preserve">https://www.jacobs.com/projects/sines-dc-campus</t>
  </si>
  <si>
    <t xml:space="preserve">S#104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</si>
  <si>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</si>
  <si>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｜全園區（初期 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）｜在建</t>
    </r>
  </si>
  <si>
    <t xml:space="preserve">230 MW</t>
  </si>
  <si>
    <t xml:space="preserve">2026-04-14</t>
  </si>
  <si>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單獨管理皆屬實。但原文只說園區 </t>
    </r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，沒有「在建」或「初期」。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Aker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Vattenfall PPA </t>
    </r>
    <r>
      <rPr>
        <sz val="11"/>
        <color theme="1"/>
        <rFont val="Noto Sans CJK SC"/>
        <family val="2"/>
      </rPr>
      <t xml:space="preserve">與延遲說法也不在此來源。</t>
    </r>
  </si>
  <si>
    <t xml:space="preserve">https://www.nscale.com/press-releases/nscale-microsoft-norway</t>
  </si>
  <si>
    <t xml:space="preserve">S#105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</si>
  <si>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+290MW</t>
    </r>
    <r>
      <rPr>
        <sz val="11"/>
        <color theme="1"/>
        <rFont val="Noto Sans CJK SC"/>
        <family val="2"/>
      </rPr>
      <t xml:space="preserve">）｜規劃</t>
    </r>
  </si>
  <si>
    <t xml:space="preserve">290 MW</t>
  </si>
  <si>
    <t xml:space="preserve">2026-05-08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</si>
  <si>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已簽約在建屬實；惟原文僅稱「</t>
    </r>
    <r>
      <rPr>
        <sz val="11"/>
        <color theme="1"/>
        <rFont val="Calibri"/>
        <family val="2"/>
        <charset val="1"/>
      </rPr>
      <t xml:space="preserve">expansion planned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 queue</t>
    </r>
    <r>
      <rPr>
        <sz val="11"/>
        <color theme="1"/>
        <rFont val="Noto Sans CJK SC"/>
        <family val="2"/>
      </rPr>
      <t xml:space="preserve">」，未見</t>
    </r>
    <r>
      <rPr>
        <sz val="11"/>
        <color theme="1"/>
        <rFont val="Calibri"/>
        <family val="2"/>
        <charset val="1"/>
      </rPr>
      <t xml:space="preserve">520MW</t>
    </r>
    <r>
      <rPr>
        <sz val="11"/>
        <color theme="1"/>
        <rFont val="Noto Sans CJK SC"/>
        <family val="2"/>
      </rPr>
      <t xml:space="preserve">總目標；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與標題（公司本人）亦偏籠統，單位與時點可接受。</t>
    </r>
  </si>
  <si>
    <t xml:space="preserve">https://live.euronext.com/sites/default/files/company_press_releases/attachments_oslo/2026/05/08/672820_Aker%20ASA%201Q%202026%20Presentation.pdf?VersionId=IYUPz4vHILE18dPzgEYy76We9yZVuKug</t>
  </si>
  <si>
    <t xml:space="preserve">S#106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</si>
  <si>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8,000 GPU</t>
    </r>
    <r>
      <rPr>
        <sz val="11"/>
        <color theme="1"/>
        <rFont val="Noto Sans CJK SC"/>
        <family val="2"/>
      </rPr>
      <t xml:space="preserve">）｜規劃</t>
    </r>
  </si>
  <si>
    <t xml:space="preserve">2025-09-17</t>
  </si>
  <si>
    <r>
      <rPr>
        <sz val="11"/>
        <color theme="1"/>
        <rFont val="Calibri"/>
        <family val="2"/>
        <charset val="1"/>
      </rPr>
      <t xml:space="preserve">8,000/31,000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2025-09-17 </t>
    </r>
    <r>
      <rPr>
        <sz val="11"/>
        <color theme="1"/>
        <rFont val="Noto Sans CJK SC"/>
        <family val="2"/>
      </rPr>
      <t xml:space="preserve">屬實，原文無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</t>
    </r>
    <r>
      <rPr>
        <sz val="11"/>
        <color theme="1"/>
        <rFont val="Calibri"/>
        <family val="2"/>
        <charset val="1"/>
      </rPr>
      <t xml:space="preserve">2026 Q1</t>
    </r>
    <r>
      <rPr>
        <sz val="11"/>
        <color theme="1"/>
        <rFont val="Noto Sans CJK SC"/>
        <family val="2"/>
      </rPr>
      <t xml:space="preserve">」，暫停與延遲說明也不在此來源（欄位自註來自他處）。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利害關係人合理，但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為記者轉述。</t>
    </r>
  </si>
  <si>
    <t xml:space="preserve">https://www.datacenterdynamics.com/en/news/openai-announces-stargate-uk-with-up-to-8000-gpus-at-nscale-data-centers/</t>
  </si>
  <si>
    <t xml:space="preserve">S#107</t>
  </si>
  <si>
    <t xml:space="preserve">未揭露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</si>
  <si>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East AI Growth Zone </t>
    </r>
    <r>
      <rPr>
        <sz val="11"/>
        <color theme="1"/>
        <rFont val="Noto Sans CJK SC"/>
        <family val="2"/>
      </rPr>
      <t xml:space="preserve">整體（含 </t>
    </r>
    <r>
      <rPr>
        <sz val="11"/>
        <color theme="1"/>
        <rFont val="Calibri"/>
        <family val="2"/>
        <charset val="1"/>
      </rPr>
      <t xml:space="preserve">Blyth</t>
    </r>
    <r>
      <rPr>
        <sz val="11"/>
        <color theme="1"/>
        <rFont val="Noto Sans CJK SC"/>
        <family val="2"/>
      </rPr>
      <t xml:space="preserve">，非僅 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）｜規劃</t>
    </r>
  </si>
  <si>
    <t xml:space="preserve">1100 MW</t>
  </si>
  <si>
    <r>
      <rPr>
        <sz val="11"/>
        <color theme="1"/>
        <rFont val="Noto Sans CJK SC"/>
        <family val="2"/>
      </rPr>
      <t xml:space="preserve">整區含 </t>
    </r>
    <r>
      <rPr>
        <sz val="11"/>
        <color theme="1"/>
        <rFont val="Calibri"/>
        <family val="2"/>
        <charset val="1"/>
      </rPr>
      <t xml:space="preserve">Blyth </t>
    </r>
    <r>
      <rPr>
        <sz val="11"/>
        <color theme="1"/>
        <rFont val="Noto Sans CJK SC"/>
        <family val="2"/>
      </rPr>
      <t xml:space="preserve">新資料中心，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年內與原文一致。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為推算，口徑未說明，範圍標註正確。發布日 </t>
    </r>
    <r>
      <rPr>
        <sz val="11"/>
        <color theme="1"/>
        <rFont val="Calibri"/>
        <family val="2"/>
        <charset val="1"/>
      </rPr>
      <t xml:space="preserve">9/16</t>
    </r>
    <r>
      <rPr>
        <sz val="11"/>
        <color theme="1"/>
        <rFont val="Noto Sans CJK SC"/>
        <family val="2"/>
      </rPr>
      <t xml:space="preserve">、公告日 </t>
    </r>
    <r>
      <rPr>
        <sz val="11"/>
        <color theme="1"/>
        <rFont val="Calibri"/>
        <family val="2"/>
        <charset val="1"/>
      </rPr>
      <t xml:space="preserve">9/17</t>
    </r>
    <r>
      <rPr>
        <sz val="11"/>
        <color theme="1"/>
        <rFont val="Noto Sans CJK SC"/>
        <family val="2"/>
      </rPr>
      <t xml:space="preserve">，差異不影響數值。</t>
    </r>
  </si>
  <si>
    <t xml:space="preserve">https://www.ncl.ac.uk/press/articles/archive/2025/09/aigrowthzone/</t>
  </si>
  <si>
    <t xml:space="preserve">S#108</t>
  </si>
  <si>
    <t xml:space="preserve">Stellium Data Centers</t>
  </si>
  <si>
    <r>
      <rPr>
        <sz val="11"/>
        <color theme="1"/>
        <rFont val="Calibri"/>
        <family val="2"/>
        <charset val="1"/>
      </rPr>
      <t xml:space="preserve">Stellium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Cobalt Park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Stellium </t>
    </r>
    <r>
      <rPr>
        <sz val="11"/>
        <color theme="1"/>
        <rFont val="Noto Sans CJK SC"/>
        <family val="2"/>
      </rPr>
      <t xml:space="preserve">託管資料中心｜上線</t>
    </r>
  </si>
  <si>
    <t xml:space="preserve">16 MW</t>
  </si>
  <si>
    <r>
      <rPr>
        <sz val="11"/>
        <color theme="1"/>
        <rFont val="Noto Sans CJK SC"/>
        <family val="2"/>
      </rPr>
      <t xml:space="preserve">四個 </t>
    </r>
    <r>
      <rPr>
        <sz val="11"/>
        <color theme="1"/>
        <rFont val="Calibri"/>
        <family val="2"/>
        <charset val="1"/>
      </rPr>
      <t xml:space="preserve">4MW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180MW </t>
    </r>
    <r>
      <rPr>
        <sz val="11"/>
        <color theme="1"/>
        <rFont val="Noto Sans CJK SC"/>
        <family val="2"/>
      </rPr>
      <t xml:space="preserve">皆有原文支持，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為合理推算，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正確。但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引述營運者資訊」，原文僅為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自述，未註明引自營運者。</t>
    </r>
    <r>
      <rPr>
        <sz val="11"/>
        <color theme="1"/>
        <rFont val="Calibri"/>
        <family val="2"/>
        <charset val="1"/>
      </rPr>
      <t xml:space="preserve">Computer Weekly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35MW </t>
    </r>
    <r>
      <rPr>
        <sz val="11"/>
        <color theme="1"/>
        <rFont val="Noto Sans CJK SC"/>
        <family val="2"/>
      </rPr>
      <t xml:space="preserve">不在此文，無法在此核對。</t>
    </r>
  </si>
  <si>
    <t xml:space="preserve">https://www.datacenterdynamics.com/en/news/us-uk-tech-deal-agreed-as-ai-growth-zone-announced-for-north-east-of-england/</t>
  </si>
  <si>
    <t xml:space="preserve">S#109</t>
  </si>
  <si>
    <t xml:space="preserve">TeraWulf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</si>
  <si>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｜全園區｜簽約</t>
    </r>
  </si>
  <si>
    <t xml:space="preserve">438 MW</t>
  </si>
  <si>
    <t xml:space="preserve">https://www.sec.gov/Archives/edgar/data/0001083301/000108330126000162/terawulfq22026investorpr.htm</t>
  </si>
  <si>
    <t xml:space="preserve">S#110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</si>
  <si>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WULF Den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Core42</t>
    </r>
    <r>
      <rPr>
        <sz val="11"/>
        <color theme="1"/>
        <rFont val="Noto Sans CJK SC"/>
        <family val="2"/>
      </rPr>
      <t xml:space="preserve">）｜上線</t>
    </r>
  </si>
  <si>
    <t xml:space="preserve">60 MW</t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</si>
  <si>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、截至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填的是申報日 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，而非資料時點。「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簡報」</t>
    </r>
    <r>
      <rPr>
        <sz val="11"/>
        <color theme="1"/>
        <rFont val="Calibri"/>
        <family val="2"/>
        <charset val="1"/>
      </rPr>
      <t xml:space="preserve">2+16+21+21 </t>
    </r>
    <r>
      <rPr>
        <sz val="11"/>
        <color theme="1"/>
        <rFont val="Noto Sans CJK SC"/>
        <family val="2"/>
      </rPr>
      <t xml:space="preserve">分項在原文找不到。延遲說明為第三方，非本文。</t>
    </r>
  </si>
  <si>
    <t xml:space="preserve">https://investors.terawulf.com/sec-filings/all-sec-filings/content/0001083301-26-000092/wulf-20260331.htm</t>
  </si>
  <si>
    <t xml:space="preserve">S#111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</si>
  <si>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CB-3</t>
    </r>
    <r>
      <rPr>
        <sz val="11"/>
        <color theme="1"/>
        <rFont val="Noto Sans CJK SC"/>
        <family val="2"/>
      </rPr>
      <t xml:space="preserve">｜上線</t>
    </r>
  </si>
  <si>
    <t xml:space="preserve">42 MW</t>
  </si>
  <si>
    <t xml:space="preserve">https://www.sec.gov/Archives/edgar/data/0001083301/000108330126000162/a_wulfearningsreleaseq22026.htm</t>
  </si>
  <si>
    <t xml:space="preserve">S#112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</si>
  <si>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CB-4</t>
    </r>
    <r>
      <rPr>
        <sz val="11"/>
        <color theme="1"/>
        <rFont val="Noto Sans CJK SC"/>
        <family val="2"/>
      </rPr>
      <t xml:space="preserve">｜在建</t>
    </r>
  </si>
  <si>
    <t xml:space="preserve">168 MW</t>
  </si>
  <si>
    <t xml:space="preserve">S#113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</si>
  <si>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CB-5</t>
    </r>
    <r>
      <rPr>
        <sz val="11"/>
        <color theme="1"/>
        <rFont val="Noto Sans CJK SC"/>
        <family val="2"/>
      </rPr>
      <t xml:space="preserve">｜在建</t>
    </r>
  </si>
  <si>
    <t xml:space="preserve">S#114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</si>
  <si>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｜擴建（未簽約）｜規劃</t>
    </r>
  </si>
  <si>
    <t xml:space="preserve">162 MW</t>
  </si>
  <si>
    <t xml:space="preserve">S#115</t>
  </si>
  <si>
    <t xml:space="preserve">Hut 8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</si>
  <si>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租約首期）｜在建</t>
    </r>
  </si>
  <si>
    <r>
      <rPr>
        <sz val="11"/>
        <color theme="1"/>
        <rFont val="Calibri"/>
        <family val="2"/>
        <charset val="1"/>
      </rPr>
      <t xml:space="preserve">245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擔保、</t>
    </r>
    <r>
      <rPr>
        <sz val="11"/>
        <color theme="1"/>
        <rFont val="Calibri"/>
        <family val="2"/>
        <charset val="1"/>
      </rPr>
      <t xml:space="preserve">330 MW </t>
    </r>
    <r>
      <rPr>
        <sz val="11"/>
        <color theme="1"/>
        <rFont val="Noto Sans CJK SC"/>
        <family val="2"/>
      </rPr>
      <t xml:space="preserve">皆屬實。但內文找不到「</t>
    </r>
    <r>
      <rPr>
        <sz val="11"/>
        <color theme="1"/>
        <rFont val="Calibri"/>
        <family val="2"/>
        <charset val="1"/>
      </rPr>
      <t xml:space="preserve">2026-10-05 </t>
    </r>
    <r>
      <rPr>
        <sz val="11"/>
        <color theme="1"/>
        <rFont val="Noto Sans CJK SC"/>
        <family val="2"/>
      </rPr>
      <t xml:space="preserve">動土」，也沒有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為預期租戶的說法，僅標題提到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。</t>
    </r>
  </si>
  <si>
    <t xml:space="preserve">https://canada.hut8.com/resources/press-releases/hut-8-signs-15-year-245-mw-ai-data-center-lease-at-river-bend-campus-with-total-contract-value-of-usd7-0-billion</t>
  </si>
  <si>
    <t xml:space="preserve">S#116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</si>
  <si>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｜後續擴建（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優先要約權 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</si>
  <si>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1,000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、須視電力擴充、無時程與融資，皆與原文一致。但內文未提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僅見於標題。</t>
    </r>
  </si>
  <si>
    <t xml:space="preserve">S#117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</si>
  <si>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</t>
    </r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</si>
  <si>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為出租方）｜</t>
    </r>
    <r>
      <rPr>
        <sz val="11"/>
        <color theme="1"/>
        <rFont val="Calibri"/>
        <family val="2"/>
        <charset val="1"/>
      </rPr>
      <t xml:space="preserve">TeraWulf Kentucky Campus (Justified Data)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</si>
  <si>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https://www.sec.gov/Archives/edgar/data/0001083301/000110465926080583/tm2619468d1_8k.htm</t>
  </si>
  <si>
    <t xml:space="preserve">S#118</t>
  </si>
  <si>
    <t xml:space="preserve">Riot Platforms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</si>
  <si>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第一階段（</t>
    </r>
    <r>
      <rPr>
        <sz val="11"/>
        <color theme="1"/>
        <rFont val="Calibri"/>
        <family val="2"/>
        <charset val="1"/>
      </rPr>
      <t xml:space="preserve">96 MW</t>
    </r>
    <r>
      <rPr>
        <sz val="11"/>
        <color theme="1"/>
        <rFont val="Noto Sans CJK SC"/>
        <family val="2"/>
      </rPr>
      <t xml:space="preserve">）｜簽約</t>
    </r>
  </si>
  <si>
    <t xml:space="preserve">96 MW</t>
  </si>
  <si>
    <t xml:space="preserve">https://www.sec.gov/Archives/edgar/data/0001167419/000110465926093406/riot-20260810xex99d2.htm</t>
  </si>
  <si>
    <t xml:space="preserve">S#119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</si>
  <si>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第二階段（</t>
    </r>
    <r>
      <rPr>
        <sz val="11"/>
        <color theme="1"/>
        <rFont val="Calibri"/>
        <family val="2"/>
        <charset val="1"/>
      </rPr>
      <t xml:space="preserve">95 MW</t>
    </r>
    <r>
      <rPr>
        <sz val="11"/>
        <color theme="1"/>
        <rFont val="Noto Sans CJK SC"/>
        <family val="2"/>
      </rPr>
      <t xml:space="preserve">）｜簽約</t>
    </r>
  </si>
  <si>
    <t xml:space="preserve">95 MW</t>
  </si>
  <si>
    <t xml:space="preserve">S#120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</si>
  <si>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初期部署（</t>
    </r>
    <r>
      <rPr>
        <sz val="11"/>
        <color theme="1"/>
        <rFont val="Calibri"/>
        <family val="2"/>
        <charset val="1"/>
      </rPr>
      <t xml:space="preserve">25 MW</t>
    </r>
    <r>
      <rPr>
        <sz val="11"/>
        <color theme="1"/>
        <rFont val="Noto Sans CJK SC"/>
        <family val="2"/>
      </rPr>
      <t xml:space="preserve">）｜上線</t>
    </r>
  </si>
  <si>
    <t xml:space="preserve">25 MW</t>
  </si>
  <si>
    <t xml:space="preserve">https://www.sec.gov/Archives/edgar/data/0001167419/000110465926093406/riot-20260810xex99d1.htm</t>
  </si>
  <si>
    <t xml:space="preserve">S#121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</si>
  <si>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擴充第一批（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）｜在建</t>
    </r>
  </si>
  <si>
    <t xml:space="preserve">10 MW</t>
  </si>
  <si>
    <t xml:space="preserve">https://blockspace.media/insight/riot-platforms-signs-ai-lease-rockdale-2026/</t>
  </si>
  <si>
    <t xml:space="preserve">S#122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</si>
  <si>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擴充第二批（</t>
    </r>
    <r>
      <rPr>
        <sz val="11"/>
        <color theme="1"/>
        <rFont val="Calibri"/>
        <family val="2"/>
        <charset val="1"/>
      </rPr>
      <t xml:space="preserve">15 MW</t>
    </r>
    <r>
      <rPr>
        <sz val="11"/>
        <color theme="1"/>
        <rFont val="Noto Sans CJK SC"/>
        <family val="2"/>
      </rPr>
      <t xml:space="preserve">）｜在建</t>
    </r>
  </si>
  <si>
    <t xml:space="preserve">15 MW</t>
  </si>
  <si>
    <t xml:space="preserve">S#123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</si>
  <si>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</t>
    </r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</si>
  <si>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）｜全園區｜在建</t>
    </r>
  </si>
  <si>
    <t xml:space="preserve">2026-07-20</t>
  </si>
  <si>
    <t xml:space="preserve">https://www.sec.gov/Archives/edgar/data/1964789/000110465926084862/tm2620835d1_ex99-1.htm</t>
  </si>
  <si>
    <t xml:space="preserve">S#124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</si>
  <si>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</si>
  <si>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352 MW</t>
  </si>
  <si>
    <r>
      <rPr>
        <sz val="11"/>
        <color theme="1"/>
        <rFont val="Calibri"/>
        <family val="2"/>
        <charset val="1"/>
      </rPr>
      <t xml:space="preserve">352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交付皆屬實；原文未提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、分析師延期說法，租戶僅稱保密的高投資等級公司，這些屬媒體或推論，且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標註稍偏。</t>
    </r>
  </si>
  <si>
    <t xml:space="preserve">https://www.prnewswire.com/news-releases/hut-8-commercializes-first-phase-of-1-gw-beacon-point-ai-data-center-campus-with-15-year-352-mw-it-lease-with-base-term-contract-value-of-9-8-billion-302763484.html</t>
  </si>
  <si>
    <t xml:space="preserve">S#125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</si>
  <si>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｜簽約</t>
    </r>
  </si>
  <si>
    <t xml:space="preserve">S#126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</si>
  <si>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</si>
  <si>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園區）｜全園區｜簽約</t>
    </r>
  </si>
  <si>
    <t xml:space="preserve">121 MW</t>
  </si>
  <si>
    <t xml:space="preserve">https://ir.bitdeer.com/news-releases/news-release-details/bitdeer-announces-47-billion-16-year-aihpc-data-center-lease</t>
  </si>
  <si>
    <t xml:space="preserve">S#127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</si>
  <si>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</si>
  <si>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60.5 MW</t>
  </si>
  <si>
    <t xml:space="preserve">S#128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</si>
  <si>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</si>
  <si>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S#129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</si>
  <si>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</si>
  <si>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園區）｜擴建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機房（租約外）｜規劃</t>
    </r>
  </si>
  <si>
    <t xml:space="preserve">47 MW</t>
  </si>
  <si>
    <t xml:space="preserve">S#130</t>
  </si>
  <si>
    <t xml:space="preserve">Nexus Data Centers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</si>
  <si>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（首期）｜在建</t>
    </r>
  </si>
  <si>
    <r>
      <rPr>
        <sz val="11"/>
        <color theme="1"/>
        <rFont val="Noto Sans CJK SC"/>
        <family val="2"/>
      </rPr>
      <t xml:space="preserve">原文日期為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，並非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（「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天前」推估有誤）。原文只說目標今年提供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，不是「在建」。</t>
    </r>
  </si>
  <si>
    <t xml:space="preserve">S#131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</si>
  <si>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自備燃氣電廠許可｜在建</t>
    </r>
  </si>
  <si>
    <t xml:space="preserve">612.93 MW</t>
  </si>
  <si>
    <r>
      <rPr>
        <sz val="11"/>
        <color theme="1"/>
        <rFont val="Calibri"/>
        <family val="2"/>
        <charset val="1"/>
      </rPr>
      <t xml:space="preserve">612.93 MW </t>
    </r>
    <r>
      <rPr>
        <sz val="11"/>
        <color theme="1"/>
        <rFont val="Noto Sans CJK SC"/>
        <family val="2"/>
      </rPr>
      <t xml:space="preserve">為發電登記量、非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，屬實；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年首棟也有。但原文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認證是 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只是媒體報導 </t>
    </r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，並非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申請，也未稱出自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。頁面日期為 </t>
    </r>
    <r>
      <rPr>
        <sz val="11"/>
        <color theme="1"/>
        <rFont val="Calibri"/>
        <family val="2"/>
        <charset val="1"/>
      </rPr>
      <t xml:space="preserve">10/25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10/20</t>
    </r>
    <r>
      <rPr>
        <sz val="11"/>
        <color theme="1"/>
        <rFont val="Noto Sans CJK SC"/>
        <family val="2"/>
      </rPr>
      <t xml:space="preserve">。</t>
    </r>
  </si>
  <si>
    <t xml:space="preserve">https://everydatacenter.com/nexus-hubbard</t>
  </si>
  <si>
    <t xml:space="preserve">S#132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</si>
  <si>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四筆租約＋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電廠）｜簽約</t>
    </r>
  </si>
  <si>
    <t xml:space="preserve">2026-07-31</t>
  </si>
  <si>
    <r>
      <rPr>
        <sz val="11"/>
        <color theme="1"/>
        <rFont val="Calibri"/>
        <family val="2"/>
        <charset val="1"/>
      </rPr>
      <t xml:space="preserve">1.6GW </t>
    </r>
    <r>
      <rPr>
        <sz val="11"/>
        <color theme="1"/>
        <rFont val="Noto Sans CJK SC"/>
        <family val="2"/>
      </rPr>
      <t xml:space="preserve">是燃氣電廠發電容量，並非簽約容量，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標「簽約」口徑有誤。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擔保與約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股權屬實。「融資已募得」原文未提，僅稱洽談中。</t>
    </r>
  </si>
  <si>
    <t xml:space="preserve">https://qz.com/morgan-stanley-anthropic-nexus-data-centers-texas-loan-073126</t>
  </si>
  <si>
    <t xml:space="preserve">S#133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</si>
  <si>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｜全園區遠期擴建｜規劃</t>
    </r>
  </si>
  <si>
    <t xml:space="preserve">7700 MW</t>
  </si>
  <si>
    <r>
      <rPr>
        <sz val="11"/>
        <color theme="1"/>
        <rFont val="Calibri"/>
        <family val="2"/>
        <charset val="1"/>
      </rPr>
      <t xml:space="preserve">7.7GW</t>
    </r>
    <r>
      <rPr>
        <sz val="11"/>
        <color theme="1"/>
        <rFont val="Noto Sans CJK SC"/>
        <family val="2"/>
      </rPr>
      <t xml:space="preserve">的數值屬實，但原文日期是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寫成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有誤。</t>
    </r>
    <r>
      <rPr>
        <sz val="11"/>
        <color theme="1"/>
        <rFont val="Calibri"/>
        <family val="2"/>
        <charset val="1"/>
      </rPr>
      <t xml:space="preserve">7.2GW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等說法原文找不到。</t>
    </r>
  </si>
  <si>
    <t xml:space="preserve">S#134</t>
  </si>
  <si>
    <t xml:space="preserve">SpaceX (xAI)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</si>
  <si>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</si>
  <si>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r>
      <rPr>
        <sz val="11"/>
        <color theme="1"/>
        <rFont val="Calibri"/>
        <family val="2"/>
        <charset val="1"/>
      </rPr>
      <t xml:space="preserve">946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屬實。但原文無 </t>
    </r>
    <r>
      <rPr>
        <sz val="11"/>
        <color theme="1"/>
        <rFont val="Calibri"/>
        <family val="2"/>
        <charset val="1"/>
      </rPr>
      <t xml:space="preserve">Measured AI 634 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上線說（只說 </t>
    </r>
    <r>
      <rPr>
        <sz val="11"/>
        <color theme="1"/>
        <rFont val="Calibri"/>
        <family val="2"/>
        <charset val="1"/>
      </rPr>
      <t xml:space="preserve">2026-09-03 </t>
    </r>
    <r>
      <rPr>
        <sz val="11"/>
        <color theme="1"/>
        <rFont val="Noto Sans CJK SC"/>
        <family val="2"/>
      </rPr>
      <t xml:space="preserve">運作）。「全園區」是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單一場址；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對轉述的估計偏高。</t>
    </r>
  </si>
  <si>
    <t xml:space="preserve">https://www.ventureatlas.org/company/xai</t>
  </si>
  <si>
    <t xml:space="preserve">S#135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</si>
  <si>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）｜在建</t>
    </r>
  </si>
  <si>
    <t xml:space="preserve">1531 MW</t>
  </si>
  <si>
    <t xml:space="preserve">2026-10-23</t>
  </si>
  <si>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預測、日期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皆與原文相符，且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報導第三座 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資料中心。但這是二手轉述的第三方預測，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或預測類。</t>
    </r>
  </si>
  <si>
    <t xml:space="preserve">https://www.insidedeeptech.com/xai-colossus-2-memphis-gigawatt-ai-supercomputer-full-guide/</t>
  </si>
  <si>
    <t xml:space="preserve">S#136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</si>
  <si>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整體 </t>
    </r>
    <r>
      <rPr>
        <sz val="11"/>
        <color theme="1"/>
        <rFont val="Calibri"/>
        <family val="2"/>
        <charset val="1"/>
      </rPr>
      <t xml:space="preserve">nameplate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 I+II</t>
    </r>
    <r>
      <rPr>
        <sz val="11"/>
        <color theme="1"/>
        <rFont val="Noto Sans CJK SC"/>
        <family val="2"/>
      </rPr>
      <t xml:space="preserve">，非單一園區）｜上線</t>
    </r>
  </si>
  <si>
    <t xml:space="preserve">1700 MW</t>
  </si>
  <si>
    <t xml:space="preserve">https://www.sec.gov/Archives/edgar/data/1181412/000162828026066482/spaceexplorationtechnologi.htm</t>
  </si>
  <si>
    <t xml:space="preserve">S#137</t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</si>
  <si>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</si>
  <si>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電廠（供電，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台永久渦輪）｜在建</t>
    </r>
  </si>
  <si>
    <t xml:space="preserve">1240 MW</t>
  </si>
  <si>
    <t xml:space="preserve">2026-03-11</t>
  </si>
  <si>
    <t xml:space="preserve">https://oilandgaswatch.org/facility/rec_d5nrijecevv1v46o78d0</t>
  </si>
  <si>
    <t xml:space="preserve">S#138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</si>
  <si>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Macrohardrr</t>
    </r>
    <r>
      <rPr>
        <sz val="11"/>
        <color theme="1"/>
        <rFont val="Noto Sans CJK SC"/>
        <family val="2"/>
      </rPr>
      <t xml:space="preserve">（第三棟，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</si>
  <si>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原文僅為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記者陳述 </t>
    </r>
    <r>
      <rPr>
        <sz val="11"/>
        <color theme="1"/>
        <rFont val="Calibri"/>
        <family val="2"/>
        <charset val="1"/>
      </rPr>
      <t xml:space="preserve">Macrohardrr </t>
    </r>
    <r>
      <rPr>
        <sz val="11"/>
        <color theme="1"/>
        <rFont val="Noto Sans CJK SC"/>
        <family val="2"/>
      </rPr>
      <t xml:space="preserve">由前 </t>
    </r>
    <r>
      <rPr>
        <sz val="11"/>
        <color theme="1"/>
        <rFont val="Calibri"/>
        <family val="2"/>
        <charset val="1"/>
      </rPr>
      <t xml:space="preserve">GXO </t>
    </r>
    <r>
      <rPr>
        <sz val="11"/>
        <color theme="1"/>
        <rFont val="Noto Sans CJK SC"/>
        <family val="2"/>
      </rPr>
      <t xml:space="preserve">倉庫改建，非 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本人說法。原文無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購入日期，也無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與來源標題不符。「未公布單棟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」大致相符。</t>
    </r>
  </si>
  <si>
    <t xml:space="preserve">https://www.cnbc.com/2026/03/10/elon-musk-xai-permit-for-mississippi-plant-despite-pollution-concerns.html</t>
  </si>
  <si>
    <t xml:space="preserve">S#139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</si>
  <si>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｜全園區目標（含第三棟）｜規劃</t>
    </r>
  </si>
  <si>
    <t xml:space="preserve">2025-12-30</t>
  </si>
  <si>
    <r>
      <rPr>
        <sz val="11"/>
        <color theme="1"/>
        <rFont val="Noto Sans CJK SC"/>
        <family val="2"/>
      </rPr>
      <t xml:space="preserve">原文「</t>
    </r>
    <r>
      <rPr>
        <sz val="11"/>
        <color theme="1"/>
        <rFont val="Calibri"/>
        <family val="2"/>
        <charset val="1"/>
      </rPr>
      <t xml:space="preserve">nearly 2 GW</t>
    </r>
    <r>
      <rPr>
        <sz val="11"/>
        <color theme="1"/>
        <rFont val="Noto Sans CJK SC"/>
        <family val="2"/>
      </rPr>
      <t xml:space="preserve">」，列中取整為 </t>
    </r>
    <r>
      <rPr>
        <sz val="11"/>
        <color theme="1"/>
        <rFont val="Calibri"/>
        <family val="2"/>
        <charset val="1"/>
      </rPr>
      <t xml:space="preserve">2000 MW </t>
    </r>
    <r>
      <rPr>
        <sz val="11"/>
        <color theme="1"/>
        <rFont val="Noto Sans CJK SC"/>
        <family val="2"/>
      </rPr>
      <t xml:space="preserve">且已註明；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發言、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合理；日期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一致；口徑原文未說明。「近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個月前」依頁面相對時間推算，不影響數值。</t>
    </r>
  </si>
  <si>
    <t xml:space="preserve">https://finance.yahoo.com/news/musks-xai-buys-third-building-221629820.html</t>
  </si>
  <si>
    <t xml:space="preserve">S#140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</si>
  <si>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租用（</t>
    </r>
    <r>
      <rPr>
        <sz val="11"/>
        <color theme="1"/>
        <rFont val="Calibri"/>
        <family val="2"/>
        <charset val="1"/>
      </rPr>
      <t xml:space="preserve">Colossus 2 GB200</t>
    </r>
    <r>
      <rPr>
        <sz val="11"/>
        <color theme="1"/>
        <rFont val="Noto Sans CJK SC"/>
        <family val="2"/>
      </rPr>
      <t xml:space="preserve">）｜簽約</t>
    </r>
  </si>
  <si>
    <t xml:space="preserve">https://www.axios.com/2026/05/20/anthropic-spacex-compute</t>
  </si>
  <si>
    <t xml:space="preserve">S#141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</si>
  <si>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1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</si>
  <si>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原文為「超過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萬片以上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或設施口徑，與列中描述一致。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是下限值。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與渦輪許可 </t>
    </r>
    <r>
      <rPr>
        <sz val="11"/>
        <color theme="1"/>
        <rFont val="Calibri"/>
        <family val="2"/>
        <charset val="1"/>
      </rPr>
      <t xml:space="preserve">247.2 MW </t>
    </r>
    <r>
      <rPr>
        <sz val="11"/>
        <color theme="1"/>
        <rFont val="Noto Sans CJK SC"/>
        <family val="2"/>
      </rPr>
      <t xml:space="preserve">屬其他來源（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），不在此原文中，也不屬本人說的部分。</t>
    </r>
  </si>
  <si>
    <t xml:space="preserve">S#142</t>
  </si>
  <si>
    <t xml:space="preserve">SB Energy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</si>
  <si>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</si>
  <si>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2026-01-09</t>
    </r>
    <r>
      <rPr>
        <sz val="11"/>
        <color theme="1"/>
        <rFont val="Noto Sans CJK SC"/>
        <family val="2"/>
      </rPr>
      <t xml:space="preserve">、新聞稿說法皆屬實。但「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年投入使用」原文指 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多個園區的初期設施，並未明指 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Cleanview 300 MW </t>
    </r>
    <r>
      <rPr>
        <sz val="11"/>
        <color theme="1"/>
        <rFont val="Noto Sans CJK SC"/>
        <family val="2"/>
      </rPr>
      <t xml:space="preserve">不在此原文。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未寫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標題。</t>
    </r>
  </si>
  <si>
    <r>
      <rPr>
        <sz val="11"/>
        <color theme="1"/>
        <rFont val="Calibri"/>
        <family val="2"/>
        <charset val="1"/>
      </rPr>
      <t xml:space="preserve">cpx_oai_milam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</si>
  <si>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https://www.cnbc.com/2026/01/09/openai-and-softbank-group-announce-1-billion-investment-in-sb-energy-.html</t>
  </si>
  <si>
    <t xml:space="preserve">S#143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</si>
  <si>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Milam County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號樓（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關係企業租約）｜簽約</t>
    </r>
  </si>
  <si>
    <t xml:space="preserve">800 MW</t>
  </si>
  <si>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租約屬實，但原文發布日為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09-11</t>
    </r>
    <r>
      <rPr>
        <sz val="11"/>
        <color theme="1"/>
        <rFont val="Noto Sans CJK SC"/>
        <family val="2"/>
      </rPr>
      <t xml:space="preserve">；原文未提 </t>
    </r>
    <r>
      <rPr>
        <sz val="11"/>
        <color theme="1"/>
        <rFont val="Calibri"/>
        <family val="2"/>
        <charset val="1"/>
      </rPr>
      <t xml:space="preserve">Milam 2027 </t>
    </r>
    <r>
      <rPr>
        <sz val="11"/>
        <color theme="1"/>
        <rFont val="Noto Sans CJK SC"/>
        <family val="2"/>
      </rPr>
      <t xml:space="preserve">上線，也沒有「延遲一年觸發收購選擇權」。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與推估日期有誤。</t>
    </r>
  </si>
  <si>
    <t xml:space="preserve">https://marketwise.com/investing/sb-energy-ipo-openai-warrants-ai-bubble/</t>
  </si>
  <si>
    <t xml:space="preserve">S#144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</si>
  <si>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Freebird Data Center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DC01</t>
    </r>
    <r>
      <rPr>
        <sz val="11"/>
        <color theme="1"/>
        <rFont val="Noto Sans CJK SC"/>
        <family val="2"/>
      </rPr>
      <t xml:space="preserve">）｜在建</t>
    </r>
  </si>
  <si>
    <t xml:space="preserve">2026-04-15</t>
  </si>
  <si>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面積、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資料廳、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屬實，且無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數值；原文業主是 </t>
    </r>
    <r>
      <rPr>
        <sz val="11"/>
        <color theme="1"/>
        <rFont val="Calibri"/>
        <family val="2"/>
        <charset val="1"/>
      </rPr>
      <t xml:space="preserve">Milam County Data Center LLC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僅在租戶欄，且為第三方登記資料。</t>
    </r>
  </si>
  <si>
    <t xml:space="preserve">https://www.zabalist.com/projects/TABS2026017746</t>
  </si>
  <si>
    <t xml:space="preserve">S#145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</si>
  <si>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</si>
  <si>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214 MW IT</t>
    </r>
    <r>
      <rPr>
        <sz val="11"/>
        <color theme="1"/>
        <rFont val="Noto Sans CJK SC"/>
        <family val="2"/>
      </rPr>
      <t xml:space="preserve">、現況 </t>
    </r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預測屬實。但頁面更新日為 </t>
    </r>
    <r>
      <rPr>
        <sz val="11"/>
        <color theme="1"/>
        <rFont val="Calibri"/>
        <family val="2"/>
        <charset val="1"/>
      </rPr>
      <t xml:space="preserve">2026-08-25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說的是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個月內，約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月，並非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年，所謂延遲不成立。</t>
    </r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有出處，且是與 </t>
    </r>
    <r>
      <rPr>
        <sz val="11"/>
        <color theme="1"/>
        <rFont val="Calibri"/>
        <family val="2"/>
        <charset val="1"/>
      </rPr>
      <t xml:space="preserve">Milam </t>
    </r>
    <r>
      <rPr>
        <sz val="11"/>
        <color theme="1"/>
        <rFont val="Noto Sans CJK SC"/>
        <family val="2"/>
      </rPr>
      <t xml:space="preserve">合計。預測值標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也偏高。</t>
    </r>
  </si>
  <si>
    <t xml:space="preserve">https://epoch.ai/data/ai-data-centers/directory/openai-stargate-lordstown</t>
  </si>
  <si>
    <t xml:space="preserve">S#146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</si>
  <si>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｜概念驗證（模組化貨櫃）｜規劃</t>
    </r>
  </si>
  <si>
    <t xml:space="preserve">https://citizenportal.ai/articles/10275645/Ohio/Trumbull-County/Lordstown/SoftBank-representatives-describe-modular-PC-proofofconcept-at-Lordstown-site-council-presses-on-water-permits-and-employee-numbers</t>
  </si>
  <si>
    <t xml:space="preserve">S#147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</si>
  <si>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｜全園區｜規劃</t>
    </r>
  </si>
  <si>
    <t xml:space="preserve">10000 MW</t>
  </si>
  <si>
    <t xml:space="preserve">2026-03-24</t>
  </si>
  <si>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3/20 </t>
    </r>
    <r>
      <rPr>
        <sz val="11"/>
        <color theme="1"/>
        <rFont val="Noto Sans CJK SC"/>
        <family val="2"/>
      </rPr>
      <t xml:space="preserve">動土、日期與未說明口徑都屬實。但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DOE </t>
    </r>
    <r>
      <rPr>
        <sz val="11"/>
        <color theme="1"/>
        <rFont val="Noto Sans CJK SC"/>
        <family val="2"/>
      </rPr>
      <t xml:space="preserve">文章；原文也未提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為使用者。</t>
    </r>
  </si>
  <si>
    <t xml:space="preserve">https://www.energy.gov/em/articles/partnership-ensures-affordable-energy-powers-ai-future-portsmouth-site</t>
  </si>
  <si>
    <t xml:space="preserve">S#148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</si>
  <si>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租約總量（約 </t>
    </r>
    <r>
      <rPr>
        <sz val="11"/>
        <color theme="1"/>
        <rFont val="Calibri"/>
        <family val="2"/>
        <charset val="1"/>
      </rPr>
      <t xml:space="preserve">8 GW-IT</t>
    </r>
    <r>
      <rPr>
        <sz val="11"/>
        <color theme="1"/>
        <rFont val="Noto Sans CJK SC"/>
        <family val="2"/>
      </rPr>
      <t xml:space="preserve">）｜簽約</t>
    </r>
  </si>
  <si>
    <t xml:space="preserve">8000 MW</t>
  </si>
  <si>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cp_oai_pp4</t>
    </r>
  </si>
  <si>
    <t xml:space="preserve">https://openai.com/index/openai-joins-ports-pike-project/</t>
  </si>
  <si>
    <t xml:space="preserve">S#149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</si>
  <si>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殘值擔保範圍）｜簽約</t>
    </r>
  </si>
  <si>
    <t xml:space="preserve">4250 MW</t>
  </si>
  <si>
    <r>
      <rPr>
        <sz val="11"/>
        <color theme="1"/>
        <rFont val="Noto Sans CJK SC"/>
        <family val="2"/>
      </rPr>
      <t xml:space="preserve">原文確有初期約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殘值擔保與</t>
    </r>
    <r>
      <rPr>
        <sz val="11"/>
        <color theme="1"/>
        <rFont val="Calibri"/>
        <family val="2"/>
        <charset val="1"/>
      </rPr>
      <t xml:space="preserve">1050</t>
    </r>
    <r>
      <rPr>
        <sz val="11"/>
        <color theme="1"/>
        <rFont val="Noto Sans CJK SC"/>
        <family val="2"/>
      </rPr>
      <t xml:space="preserve">億美元上限，但那是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擔保範圍，不是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「簽約」容量（租約約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）。主體、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口徑錯置；來源為二手報導，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偏高。</t>
    </r>
  </si>
  <si>
    <t xml:space="preserve">https://xenospectrum.com/en/openai-nvidia-ports-pike-lease/</t>
  </si>
  <si>
    <t xml:space="preserve">S#150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</si>
  <si>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800 MW</t>
    </r>
    <r>
      <rPr>
        <sz val="11"/>
        <color theme="1"/>
        <rFont val="Noto Sans CJK SC"/>
        <family val="2"/>
      </rPr>
      <t xml:space="preserve">）｜在建</t>
    </r>
  </si>
  <si>
    <t xml:space="preserve">https://www.sec.gov/Archives/edgar/data/0002133037/000162828026062846/sbenergy-sx1a2.htm</t>
  </si>
  <si>
    <t xml:space="preserve">S#151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</si>
  <si>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</si>
  <si>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園區）｜全園區｜規劃</t>
    </r>
  </si>
  <si>
    <t xml:space="preserve">2026-06-01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</si>
  <si>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為「至終」容量，原文未說明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</t>
    </r>
    <r>
      <rPr>
        <sz val="11"/>
        <color theme="1"/>
        <rFont val="Calibri"/>
        <family val="2"/>
        <charset val="1"/>
      </rPr>
      <t xml:space="preserve">RTE </t>
    </r>
    <r>
      <rPr>
        <sz val="11"/>
        <color theme="1"/>
        <rFont val="Noto Sans CJK SC"/>
        <family val="2"/>
      </rPr>
      <t xml:space="preserve">與部落格說法不在本來源，但已標為他源。</t>
    </r>
  </si>
  <si>
    <t xml:space="preserve">https://presse.bpifrance.fr/mistral-securise-jusqua-200-mw-de-capacite-de-calcul-avec-campus-ai-en-france/?lang=fra</t>
  </si>
  <si>
    <t xml:space="preserve">S#152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</si>
  <si>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座資料中心＋臨時 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變電站）｜在建</t>
    </r>
  </si>
  <si>
    <t xml:space="preserve">2026-01-01</t>
  </si>
  <si>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為臨時變電站、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，與原文相符。但專案仍在事前諮詢，並非「在建」。來源是 </t>
    </r>
    <r>
      <rPr>
        <sz val="11"/>
        <color theme="1"/>
        <rFont val="Calibri"/>
        <family val="2"/>
        <charset val="1"/>
      </rPr>
      <t xml:space="preserve">CNDP </t>
    </r>
    <r>
      <rPr>
        <sz val="11"/>
        <color theme="1"/>
        <rFont val="Noto Sans CJK SC"/>
        <family val="2"/>
      </rPr>
      <t xml:space="preserve">保證人報告，不是公司本人。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底</t>
    </r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」在可見原文找不到。</t>
    </r>
  </si>
  <si>
    <t xml:space="preserve">https://www.debatpublic.fr/sites/default/files/2026-01/bilan-campus-ia-accessible_0.pdf</t>
  </si>
  <si>
    <t xml:space="preserve">S#153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</si>
  <si>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首期承租｜簽約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</si>
  <si>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已確保，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為首位客戶，預計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初營運，日期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亦為股東，皆與原文一致。</t>
    </r>
  </si>
  <si>
    <t xml:space="preserve">S#154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</si>
  <si>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擴充上限｜規劃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</si>
  <si>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擴至最高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，口徑未說明。與原文一致。</t>
    </r>
  </si>
  <si>
    <t xml:space="preserve">S#155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</si>
  <si>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座資料中心＋永久 </t>
    </r>
    <r>
      <rPr>
        <sz val="11"/>
        <color theme="1"/>
        <rFont val="Calibri"/>
        <family val="2"/>
        <charset val="1"/>
      </rPr>
      <t xml:space="preserve">1400MW </t>
    </r>
    <r>
      <rPr>
        <sz val="11"/>
        <color theme="1"/>
        <rFont val="Noto Sans CJK SC"/>
        <family val="2"/>
      </rPr>
      <t xml:space="preserve">變電站）｜規劃</t>
    </r>
  </si>
  <si>
    <t xml:space="preserve">2026-08-14</t>
  </si>
  <si>
    <r>
      <rPr>
        <sz val="11"/>
        <color theme="1"/>
        <rFont val="Noto Sans CJK SC"/>
        <family val="2"/>
      </rPr>
      <t xml:space="preserve">原文第二階段為 </t>
    </r>
    <r>
      <rPr>
        <sz val="11"/>
        <color theme="1"/>
        <rFont val="Calibri"/>
        <family val="2"/>
        <charset val="1"/>
      </rPr>
      <t xml:space="preserve">2030–2033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1,4 GW </t>
    </r>
    <r>
      <rPr>
        <sz val="11"/>
        <color theme="1"/>
        <rFont val="Noto Sans CJK SC"/>
        <family val="2"/>
      </rPr>
      <t xml:space="preserve">屬實，但「約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座」「</t>
    </r>
    <r>
      <rPr>
        <sz val="11"/>
        <color theme="1"/>
        <rFont val="Calibri"/>
        <family val="2"/>
        <charset val="1"/>
      </rPr>
      <t xml:space="preserve">DC1/DC2/DC4 </t>
    </r>
    <r>
      <rPr>
        <sz val="11"/>
        <color theme="1"/>
        <rFont val="Noto Sans CJK SC"/>
        <family val="2"/>
      </rPr>
      <t xml:space="preserve">獲許可」原文找不到。文章日期為 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寫「記者推論」不是標題。</t>
    </r>
  </si>
  <si>
    <t xml:space="preserve">https://dcmag.fr/le-prefet-de-seine-et-marne-a-valide-le-projet-campus-ia-de-fouju-14-gw-et-50-milliards-e/</t>
  </si>
  <si>
    <t xml:space="preserve">S#156</t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</si>
  <si>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</si>
  <si>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Reliance–Brookfield–Digital Realty Visakhapatnam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</si>
  <si>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2025-11-27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</si>
  <si>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億美元、至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年及口徑未說明皆屬實。但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寫「公司本人」並非文章標題，原文也無 </t>
    </r>
    <r>
      <rPr>
        <sz val="11"/>
        <color theme="1"/>
        <rFont val="Calibri"/>
        <family val="2"/>
        <charset val="1"/>
      </rPr>
      <t xml:space="preserve">11-26 </t>
    </r>
    <r>
      <rPr>
        <sz val="11"/>
        <color theme="1"/>
        <rFont val="Noto Sans CJK SC"/>
        <family val="2"/>
      </rPr>
      <t xml:space="preserve">簽署日與「經濟發展局」，只寫安得拉邦政府。</t>
    </r>
  </si>
  <si>
    <t xml:space="preserve">https://www.datacenterdynamics.com/en/news/digital-connexion-signs-mou-to-build-1gw-campus-in-andhra-pradesh-india/</t>
  </si>
  <si>
    <t xml:space="preserve">S#157</t>
  </si>
  <si>
    <t xml:space="preserve">Humain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</si>
  <si>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</si>
  <si>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6000 MW</t>
  </si>
  <si>
    <t xml:space="preserve">https://www.constructionweeksaudi.com/pif/humain-6gw-riyadh-ai-campus-infrastructure</t>
  </si>
  <si>
    <t xml:space="preserve">S#158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</si>
  <si>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｜第一期（地塊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）｜在建</t>
    </r>
  </si>
  <si>
    <t xml:space="preserve">2026-09-04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</si>
  <si>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動工、首期涵蓋六個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地塊中的兩個、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自稱，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與日期相符。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一句不在此來源內，不影響本列數值。</t>
    </r>
  </si>
  <si>
    <r>
      <rPr>
        <sz val="11"/>
        <color theme="1"/>
        <rFont val="Calibri"/>
        <family val="2"/>
        <charset val="1"/>
      </rPr>
      <t xml:space="preserve">cp_sov_hum2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</si>
  <si>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https://www.middleeastainews.com/p/humain-seeks-25-billion-for-data</t>
  </si>
  <si>
    <t xml:space="preserve">S#159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</si>
  <si>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｜第二期（地塊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）｜規劃</t>
    </r>
  </si>
  <si>
    <t xml:space="preserve">4000 MW</t>
  </si>
  <si>
    <r>
      <rPr>
        <sz val="11"/>
        <color theme="1"/>
        <rFont val="Noto Sans CJK SC"/>
        <family val="2"/>
      </rPr>
      <t xml:space="preserve">原文寫六個地塊各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，第二期為地塊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4×1000=4000MW </t>
    </r>
    <r>
      <rPr>
        <sz val="11"/>
        <color theme="1"/>
        <rFont val="Noto Sans CJK SC"/>
        <family val="2"/>
      </rPr>
      <t xml:space="preserve">推算成立。原文 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標未說明稍保守。日期僅標 </t>
    </r>
    <r>
      <rPr>
        <sz val="11"/>
        <color theme="1"/>
        <rFont val="Calibri"/>
        <family val="2"/>
        <charset val="1"/>
      </rPr>
      <t xml:space="preserve">Sept 2026</t>
    </r>
    <r>
      <rPr>
        <sz val="11"/>
        <color theme="1"/>
        <rFont val="Noto Sans CJK SC"/>
        <family val="2"/>
      </rPr>
      <t xml:space="preserve">，已註明為近似值。</t>
    </r>
  </si>
  <si>
    <t xml:space="preserve">https://www.meedprojects.com/project-profile/?pid=552703</t>
  </si>
  <si>
    <t xml:space="preserve">S#160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</si>
  <si>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Al-Saad 100MW AI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招標）｜規劃</t>
    </r>
  </si>
  <si>
    <t xml:space="preserve">2026-10-16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</si>
  <si>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、發標與截標日、可選擴至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、首期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月、二期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億美元皆與原文相符。原文未用「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」名稱，也未明講容量口徑（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或設施），標「未說明」可接受。</t>
    </r>
  </si>
  <si>
    <t xml:space="preserve">https://www.meed.com/humain-tenders-100mw-riyadh-ai-data-centre</t>
  </si>
  <si>
    <t xml:space="preserve">S#161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</si>
  <si>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設計施工／基金）｜在建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</si>
  <si>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與可擴至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均有。但原文未提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稱年底 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，也未指明在 </t>
    </r>
    <r>
      <rPr>
        <sz val="11"/>
        <color theme="1"/>
        <rFont val="Calibri"/>
        <family val="2"/>
        <charset val="1"/>
      </rPr>
      <t xml:space="preserve">Al Sa'ad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Amin </t>
    </r>
    <r>
      <rPr>
        <sz val="11"/>
        <color theme="1"/>
        <rFont val="Noto Sans CJK SC"/>
        <family val="2"/>
      </rPr>
      <t xml:space="preserve">只確認基金、未給規模。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上線時程原文找不到。</t>
    </r>
  </si>
  <si>
    <t xml:space="preserve">S#162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</si>
  <si>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</si>
  <si>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AI Zone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）｜簽約</t>
    </r>
  </si>
  <si>
    <t xml:space="preserve">2026-09-05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</si>
  <si>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萬加速器皆屬實。但來源是 </t>
    </r>
    <r>
      <rPr>
        <sz val="11"/>
        <color theme="1"/>
        <rFont val="Calibri"/>
        <family val="2"/>
        <charset val="1"/>
      </rPr>
      <t xml:space="preserve">PPC Land </t>
    </r>
    <r>
      <rPr>
        <sz val="11"/>
        <color theme="1"/>
        <rFont val="Noto Sans CJK SC"/>
        <family val="2"/>
      </rPr>
      <t xml:space="preserve">轉述，非公司本人；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說法此文未見，只寫利雅得。</t>
    </r>
  </si>
  <si>
    <t xml:space="preserve">https://ppc.land/aws-commits-5-3-billion-50mw-capacity-to-saudi-ai-zone-by-2028/</t>
  </si>
  <si>
    <t xml:space="preserve">S#163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</si>
  <si>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園區）｜在建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</si>
  <si>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各一、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皆屬實。但原文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引述出自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也是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自述，未歸於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與逾期說法不在原文。</t>
    </r>
  </si>
  <si>
    <t xml:space="preserve">https://www.datacenterdynamics.com/en/news/humain-secures-211-plots-of-land-in-saudi-arabia-for-data-centers/</t>
  </si>
  <si>
    <t xml:space="preserve">S#164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</si>
  <si>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</si>
  <si>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 </t>
    </r>
    <r>
      <rPr>
        <sz val="11"/>
        <color theme="1"/>
        <rFont val="Noto Sans CJK SC"/>
        <family val="2"/>
      </rPr>
      <t xml:space="preserve">推論區（</t>
    </r>
    <r>
      <rPr>
        <sz val="11"/>
        <color theme="1"/>
        <rFont val="Calibri"/>
        <family val="2"/>
        <charset val="1"/>
      </rPr>
      <t xml:space="preserve">GroqCloud Dammam</t>
    </r>
    <r>
      <rPr>
        <sz val="11"/>
        <color theme="1"/>
        <rFont val="Noto Sans CJK SC"/>
        <family val="2"/>
      </rPr>
      <t xml:space="preserve">）｜上線</t>
    </r>
  </si>
  <si>
    <t xml:space="preserve">2026-10-09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</si>
  <si>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年初承載正式流量，且無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數字。但頁面未提「第三方估約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」，該說法原文找不到。標題稱「轉述」尚可，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偏向廠商自述。主旨正確。</t>
    </r>
  </si>
  <si>
    <t xml:space="preserve">https://www.al-jammaz.com/vendors/groq</t>
  </si>
  <si>
    <t xml:space="preserve">S#165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</si>
  <si>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Together AI 250MW </t>
    </r>
    <r>
      <rPr>
        <sz val="11"/>
        <color theme="1"/>
        <rFont val="Noto Sans CJK SC"/>
        <family val="2"/>
      </rPr>
      <t xml:space="preserve">合作（站點未區分）｜簽約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</si>
  <si>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萬顆晶片、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屬實。但原文是轉述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，未提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，也未指明</t>
    </r>
    <r>
      <rPr>
        <sz val="11"/>
        <color theme="1"/>
        <rFont val="Calibri"/>
        <family val="2"/>
        <charset val="1"/>
      </rPr>
      <t xml:space="preserve">Dammam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出自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轉述，非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聲明。</t>
    </r>
  </si>
  <si>
    <t xml:space="preserve">https://www.supplychainbrain.com/articles/44765-together-ai-looks-abroad-for-data-crunching-capacity</t>
  </si>
  <si>
    <t xml:space="preserve">S#166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</si>
  <si>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</si>
  <si>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</si>
  <si>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Jeet Adani </t>
    </r>
    <r>
      <rPr>
        <sz val="11"/>
        <color theme="1"/>
        <rFont val="Noto Sans CJK SC"/>
        <family val="2"/>
      </rPr>
      <t xml:space="preserve">說「</t>
    </r>
    <r>
      <rPr>
        <sz val="11"/>
        <color theme="1"/>
        <rFont val="Calibri"/>
        <family val="2"/>
        <charset val="1"/>
      </rPr>
      <t xml:space="preserve">nearly 1 GW</t>
    </r>
    <r>
      <rPr>
        <sz val="11"/>
        <color theme="1"/>
        <rFont val="Noto Sans CJK SC"/>
        <family val="2"/>
      </rPr>
      <t xml:space="preserve">」，未給 </t>
    </r>
    <r>
      <rPr>
        <sz val="11"/>
        <color theme="1"/>
        <rFont val="Calibri"/>
        <family val="2"/>
        <charset val="1"/>
      </rPr>
      <t xml:space="preserve">1000MW </t>
    </r>
    <r>
      <rPr>
        <sz val="11"/>
        <color theme="1"/>
        <rFont val="Noto Sans CJK SC"/>
        <family val="2"/>
      </rPr>
      <t xml:space="preserve">精確值；備註漏掉「</t>
    </r>
    <r>
      <rPr>
        <sz val="11"/>
        <color theme="1"/>
        <rFont val="Calibri"/>
        <family val="2"/>
        <charset val="1"/>
      </rPr>
      <t xml:space="preserve">nearly</t>
    </r>
    <r>
      <rPr>
        <sz val="11"/>
        <color theme="1"/>
        <rFont val="Noto Sans CJK SC"/>
        <family val="2"/>
      </rPr>
      <t xml:space="preserve">」。動工在建、日期與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上線不在此來源。</t>
    </r>
  </si>
  <si>
    <t xml:space="preserve">https://www.googlecloudpresscorner.com/2026-04-28-Google-Breaks-Ground-on-India-AI-Hub,-Launching-a-National-Industrial-Ecosystem-Alongside-Indias-Digital-Infrastructure-Milestone</t>
  </si>
  <si>
    <t xml:space="preserve">S#167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</si>
  <si>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Tarluvada</t>
    </r>
    <r>
      <rPr>
        <sz val="11"/>
        <color theme="1"/>
        <rFont val="Noto Sans CJK SC"/>
        <family val="2"/>
      </rPr>
      <t xml:space="preserve">（主園區）｜在建</t>
    </r>
  </si>
  <si>
    <r>
      <rPr>
        <sz val="11"/>
        <color theme="1"/>
        <rFont val="Calibri"/>
        <family val="2"/>
        <charset val="1"/>
      </rPr>
      <t xml:space="preserve">266.6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屬實。但原文發布日為</t>
    </r>
    <r>
      <rPr>
        <sz val="11"/>
        <color theme="1"/>
        <rFont val="Calibri"/>
        <family val="2"/>
        <charset val="1"/>
      </rPr>
      <t xml:space="preserve">10/23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10/24</t>
    </r>
    <r>
      <rPr>
        <sz val="11"/>
        <color theme="1"/>
        <rFont val="Noto Sans CJK SC"/>
        <family val="2"/>
      </rPr>
      <t xml:space="preserve">，標題誤寫為「記者推論」，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也偏。「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月法院訴訟」原文找不到。</t>
    </r>
  </si>
  <si>
    <t xml:space="preserve">https://www.esgnews.earth/latest-news/google-adaniconnex-partner-for-15b-sustainable-data-center/22684.html</t>
  </si>
  <si>
    <t xml:space="preserve">S#168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</si>
  <si>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Adavivaram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Mudasarlova</t>
    </r>
    <r>
      <rPr>
        <sz val="11"/>
        <color theme="1"/>
        <rFont val="Noto Sans CJK SC"/>
        <family val="2"/>
      </rPr>
      <t xml:space="preserve">｜規劃</t>
    </r>
  </si>
  <si>
    <t xml:space="preserve">2026-08-01</t>
  </si>
  <si>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英畝屬實；原文標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，且載明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月目標，並非只出自</t>
    </r>
    <r>
      <rPr>
        <sz val="11"/>
        <color theme="1"/>
        <rFont val="Calibri"/>
        <family val="2"/>
        <charset val="1"/>
      </rPr>
      <t xml:space="preserve">Deccan Herald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未公開屬實。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與來源標題分類偏差。</t>
    </r>
  </si>
  <si>
    <t xml:space="preserve">https://www.landconflictwatch.org/conflicts/concerns-around-acquisition-process-of-dalit-farmers-land-in-the-google-adani-data-centre-project-in-visakhapatnam</t>
  </si>
  <si>
    <t xml:space="preserve">S#169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</si>
  <si>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Rambilli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</si>
  <si>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英畝屬實，日期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屬實。原文未提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已核發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許可，只說歸類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、僅需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清關；此點需其他來源佐證。</t>
    </r>
  </si>
  <si>
    <t xml:space="preserve">S#170</t>
  </si>
  <si>
    <t xml:space="preserve">Reliance Industries (RIL)</t>
  </si>
  <si>
    <r>
      <rPr>
        <sz val="11"/>
        <color theme="1"/>
        <rFont val="Calibri"/>
        <family val="2"/>
        <charset val="1"/>
      </rPr>
      <t xml:space="preserve">Reliance Industries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built-to-suit </t>
    </r>
    <r>
      <rPr>
        <sz val="11"/>
        <color theme="1"/>
        <rFont val="Noto Sans CJK SC"/>
        <family val="2"/>
      </rPr>
      <t xml:space="preserve">首期｜簽約</t>
    </r>
  </si>
  <si>
    <t xml:space="preserve">2026-06-10</t>
  </si>
  <si>
    <r>
      <rPr>
        <sz val="11"/>
        <color theme="1"/>
        <rFont val="Calibri"/>
        <family val="2"/>
        <charset val="1"/>
      </rPr>
      <t xml:space="preserve">168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租用、可擴充皆屬實。但原文日期為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日（另有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日更新標示），非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日。「兩年內完工」及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年上線原文未提，應出自他處。</t>
    </r>
  </si>
  <si>
    <t xml:space="preserve">https://about.fb.com/news/2026/06/meta-partners-with-reliance-on-ai-enabled-data-center-in-india/</t>
  </si>
  <si>
    <t xml:space="preserve">S#171</t>
  </si>
  <si>
    <t xml:space="preserve">Reliance Intelligence (RIL)</t>
  </si>
  <si>
    <r>
      <rPr>
        <sz val="11"/>
        <color theme="1"/>
        <rFont val="Calibri"/>
        <family val="2"/>
        <charset val="1"/>
      </rPr>
      <t xml:space="preserve">Reliance Intelligence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Intelligence </t>
    </r>
    <r>
      <rPr>
        <sz val="11"/>
        <color theme="1"/>
        <rFont val="Noto Sans CJK SC"/>
        <family val="2"/>
      </rPr>
      <t xml:space="preserve">首期｜在建</t>
    </r>
  </si>
  <si>
    <t xml:space="preserve">120 MW</t>
  </si>
  <si>
    <t xml:space="preserve">2026-06-20</t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</si>
  <si>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年底上線、</t>
    </r>
    <r>
      <rPr>
        <sz val="11"/>
        <color theme="1"/>
        <rFont val="Calibri"/>
        <family val="2"/>
        <charset val="1"/>
      </rPr>
      <t xml:space="preserve">Ambani </t>
    </r>
    <r>
      <rPr>
        <sz val="11"/>
        <color theme="1"/>
        <rFont val="Noto Sans CJK SC"/>
        <family val="2"/>
      </rPr>
      <t xml:space="preserve">說法皆屬實，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為利害關係人也合理。但原文日期是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），證據表寫 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；「在建」屬規劃措辭。</t>
    </r>
  </si>
  <si>
    <t xml:space="preserve">https://startuptalky.com/news/reliance-intelligence-expands-ai-push/</t>
  </si>
  <si>
    <t xml:space="preserve">S#172</t>
  </si>
  <si>
    <t xml:space="preserve">Reliance Industries</t>
  </si>
  <si>
    <r>
      <rPr>
        <sz val="11"/>
        <color theme="1"/>
        <rFont val="Calibri"/>
        <family val="2"/>
        <charset val="1"/>
      </rPr>
      <t xml:space="preserve">Reliance Industries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</si>
  <si>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2025-01-23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</si>
  <si>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404</t>
    </r>
    <r>
      <rPr>
        <sz val="11"/>
        <color theme="1"/>
        <rFont val="Noto Sans CJK SC"/>
        <family val="2"/>
      </rPr>
      <t xml:space="preserve">）</t>
    </r>
  </si>
  <si>
    <t xml:space="preserve">https://techcrunch.com/2025/01/23/reliance-plans-world-biggest-ai-data-center-in-india-report-says</t>
  </si>
  <si>
    <t xml:space="preserve">S#173</t>
  </si>
  <si>
    <t xml:space="preserve">New Era Energy &amp; Digital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</si>
  <si>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</si>
  <si>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7000 MW</t>
  </si>
  <si>
    <t xml:space="preserve">2025-11-06</t>
  </si>
  <si>
    <t xml:space="preserve">https://www.businesswire.com/news/home/20251106765936/en</t>
  </si>
  <si>
    <t xml:space="preserve">S#174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</si>
  <si>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｜天然氣發電（</t>
    </r>
    <r>
      <rPr>
        <sz val="11"/>
        <color theme="1"/>
        <rFont val="Calibri"/>
        <family val="2"/>
        <charset val="1"/>
      </rPr>
      <t xml:space="preserve">2GW+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</si>
  <si>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2GW+ </t>
    </r>
    <r>
      <rPr>
        <sz val="11"/>
        <color theme="1"/>
        <rFont val="Noto Sans CJK SC"/>
        <family val="2"/>
      </rPr>
      <t xml:space="preserve">燃氣、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首批發電（可能為新燃氣機組）皆屬實，且為公司說法。但此網址是 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寫「公司本人」、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11/6</t>
    </r>
    <r>
      <rPr>
        <sz val="11"/>
        <color theme="1"/>
        <rFont val="Noto Sans CJK SC"/>
        <family val="2"/>
      </rPr>
      <t xml:space="preserve">，與網址不符；</t>
    </r>
    <r>
      <rPr>
        <sz val="11"/>
        <color theme="1"/>
        <rFont val="Calibri"/>
        <family val="2"/>
        <charset val="1"/>
      </rPr>
      <t xml:space="preserve">11/6 </t>
    </r>
    <r>
      <rPr>
        <sz val="11"/>
        <color theme="1"/>
        <rFont val="Noto Sans CJK SC"/>
        <family val="2"/>
      </rPr>
      <t xml:space="preserve">是公司公告日。</t>
    </r>
  </si>
  <si>
    <t xml:space="preserve">https://www.powermag.com/nuclear-natural-gas-power-generation-planned-for-massive-new-mexico-data-center-site/</t>
  </si>
  <si>
    <t xml:space="preserve">S#175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</si>
  <si>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｜核能（</t>
    </r>
    <r>
      <rPr>
        <sz val="11"/>
        <color theme="1"/>
        <rFont val="Calibri"/>
        <family val="2"/>
        <charset val="1"/>
      </rPr>
      <t xml:space="preserve">5GW+</t>
    </r>
    <r>
      <rPr>
        <sz val="11"/>
        <color theme="1"/>
        <rFont val="Noto Sans CJK SC"/>
        <family val="2"/>
      </rPr>
      <t xml:space="preserve">）｜規劃</t>
    </r>
  </si>
  <si>
    <t xml:space="preserve">S#176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</si>
  <si>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Camellia (Effingham County)</t>
    </r>
    <r>
      <rPr>
        <sz val="11"/>
        <color theme="1"/>
        <rFont val="Noto Sans CJK SC"/>
        <family val="2"/>
      </rPr>
      <t xml:space="preserve">｜全園區｜規劃</t>
    </r>
  </si>
  <si>
    <t xml:space="preserve">3210 MW</t>
  </si>
  <si>
    <t xml:space="preserve">2026-09-16</t>
  </si>
  <si>
    <r>
      <rPr>
        <sz val="11"/>
        <color theme="1"/>
        <rFont val="Calibri"/>
        <family val="2"/>
        <charset val="1"/>
      </rPr>
      <t xml:space="preserve">3,210MW </t>
    </r>
    <r>
      <rPr>
        <sz val="11"/>
        <color theme="1"/>
        <rFont val="Noto Sans CJK SC"/>
        <family val="2"/>
      </rPr>
      <t xml:space="preserve">尖峰負載屬實，但來自開發商申報的資料，標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偏高，應為利害關係人說法。原文也無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分期與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</si>
  <si>
    <t xml:space="preserve">https://www.wtoc.com/2026/09/16/state-reveals-full-dri-report-openais-data-center-project/</t>
  </si>
  <si>
    <t xml:space="preserve">S#177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</si>
  <si>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Lebanon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</si>
  <si>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2026-02-11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</si>
  <si>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2026-02-11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引述及</t>
    </r>
    <r>
      <rPr>
        <sz val="11"/>
        <color theme="1"/>
        <rFont val="Calibri"/>
        <family val="2"/>
        <charset val="1"/>
      </rPr>
      <t xml:space="preserve">Boone</t>
    </r>
    <r>
      <rPr>
        <sz val="11"/>
        <color theme="1"/>
        <rFont val="Noto Sans CJK SC"/>
        <family val="2"/>
      </rPr>
      <t xml:space="preserve">郡暫停令，這些找不到；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「公司本人」亦非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標題。</t>
    </r>
  </si>
  <si>
    <t xml:space="preserve">https://www.datacenterdynamics.com/en/news/meta-announces-1gw-data-center-campus-in-indiana/</t>
  </si>
  <si>
    <t xml:space="preserve">S#178</t>
  </si>
  <si>
    <t xml:space="preserve">Meta (Greater Kudu LLC)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</si>
  <si>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｜全園區｜上線</t>
    </r>
  </si>
  <si>
    <t xml:space="preserve">87 MW</t>
  </si>
  <si>
    <t xml:space="preserve">未標示</t>
  </si>
  <si>
    <r>
      <rPr>
        <sz val="11"/>
        <color theme="1"/>
        <rFont val="Calibri"/>
        <family val="2"/>
        <charset val="1"/>
      </rPr>
      <t xml:space="preserve">87MW </t>
    </r>
    <r>
      <rPr>
        <sz val="11"/>
        <color theme="1"/>
        <rFont val="Noto Sans CJK SC"/>
        <family val="2"/>
      </rPr>
      <t xml:space="preserve">僅是 </t>
    </r>
    <r>
      <rPr>
        <sz val="11"/>
        <color theme="1"/>
        <rFont val="Calibri"/>
        <family val="2"/>
        <charset val="1"/>
      </rPr>
      <t xml:space="preserve">2026-03-01 </t>
    </r>
    <r>
      <rPr>
        <sz val="11"/>
        <color theme="1"/>
        <rFont val="Noto Sans CJK SC"/>
        <family val="2"/>
      </rPr>
      <t xml:space="preserve">的時間點估值；當前為 </t>
    </r>
    <r>
      <rPr>
        <sz val="11"/>
        <color theme="1"/>
        <rFont val="Calibri"/>
        <family val="2"/>
        <charset val="1"/>
      </rPr>
      <t xml:space="preserve">118MW</t>
    </r>
    <r>
      <rPr>
        <sz val="11"/>
        <color theme="1"/>
        <rFont val="Noto Sans CJK SC"/>
        <family val="2"/>
      </rPr>
      <t xml:space="preserve">，預測 </t>
    </r>
    <r>
      <rPr>
        <sz val="11"/>
        <color theme="1"/>
        <rFont val="Calibri"/>
        <family val="2"/>
        <charset val="1"/>
      </rPr>
      <t xml:space="preserve">218MW</t>
    </r>
    <r>
      <rPr>
        <sz val="11"/>
        <color theme="1"/>
        <rFont val="Noto Sans CJK SC"/>
        <family val="2"/>
      </rPr>
      <t xml:space="preserve">。資本支出 </t>
    </r>
    <r>
      <rPr>
        <sz val="11"/>
        <color theme="1"/>
        <rFont val="Calibri"/>
        <family val="2"/>
        <charset val="1"/>
      </rPr>
      <t xml:space="preserve">$3.3B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億。原文無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上線，亦無 </t>
    </r>
    <r>
      <rPr>
        <sz val="11"/>
        <color theme="1"/>
        <rFont val="Calibri"/>
        <family val="2"/>
        <charset val="1"/>
      </rPr>
      <t xml:space="preserve">100/105/120MW </t>
    </r>
    <r>
      <rPr>
        <sz val="11"/>
        <color theme="1"/>
        <rFont val="Noto Sans CJK SC"/>
        <family val="2"/>
      </rPr>
      <t xml:space="preserve">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應為估算而非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。</t>
    </r>
  </si>
  <si>
    <t xml:space="preserve">https://samaritan-research.org/data/ai-data-centers/directory/meta-los-lunas</t>
  </si>
  <si>
    <t xml:space="preserve">S#179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</si>
  <si>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AI </t>
    </r>
    <r>
      <rPr>
        <sz val="11"/>
        <color theme="1"/>
        <rFont val="Noto Sans CJK SC"/>
        <family val="2"/>
      </rPr>
      <t xml:space="preserve">擴建（兩棟，約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億美元）｜在建</t>
    </r>
  </si>
  <si>
    <t xml:space="preserve">2026-09-15</t>
  </si>
  <si>
    <r>
      <rPr>
        <sz val="11"/>
        <color theme="1"/>
        <rFont val="Noto Sans CJK SC"/>
        <family val="2"/>
      </rPr>
      <t xml:space="preserve">動工時點、</t>
    </r>
    <r>
      <rPr>
        <sz val="11"/>
        <color theme="1"/>
        <rFont val="Calibri"/>
        <family val="2"/>
        <charset val="1"/>
      </rPr>
      <t xml:space="preserve">2–3</t>
    </r>
    <r>
      <rPr>
        <sz val="11"/>
        <color theme="1"/>
        <rFont val="Noto Sans CJK SC"/>
        <family val="2"/>
      </rPr>
      <t xml:space="preserve">年工期、未公開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億美元皆與原文相符。但原文寫</t>
    </r>
    <r>
      <rPr>
        <sz val="11"/>
        <color theme="1"/>
        <rFont val="Calibri"/>
        <family val="2"/>
        <charset val="1"/>
      </rPr>
      <t xml:space="preserve">PNM</t>
    </r>
    <r>
      <rPr>
        <sz val="11"/>
        <color theme="1"/>
        <rFont val="Noto Sans CJK SC"/>
        <family val="2"/>
      </rPr>
      <t xml:space="preserve">「尋求核准」三個太陽能加儲能案，不是「已簽」購電約。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對聚合型網站也偏弱。</t>
    </r>
  </si>
  <si>
    <t xml:space="preserve">https://suedatacenters.org/data-centers/meta-los-lunas-ai-nm</t>
  </si>
  <si>
    <t xml:space="preserve">S#180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</si>
  <si>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｜相鄰 </t>
    </r>
    <r>
      <rPr>
        <sz val="11"/>
        <color theme="1"/>
        <rFont val="Calibri"/>
        <family val="2"/>
        <charset val="1"/>
      </rPr>
      <t xml:space="preserve">474 </t>
    </r>
    <r>
      <rPr>
        <sz val="11"/>
        <color theme="1"/>
        <rFont val="Noto Sans CJK SC"/>
        <family val="2"/>
      </rPr>
      <t xml:space="preserve">英畝用地／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IRB </t>
    </r>
    <r>
      <rPr>
        <sz val="11"/>
        <color theme="1"/>
        <rFont val="Noto Sans CJK SC"/>
        <family val="2"/>
      </rPr>
      <t xml:space="preserve">擴建｜規劃</t>
    </r>
  </si>
  <si>
    <t xml:space="preserve">2026-01-13</t>
  </si>
  <si>
    <t xml:space="preserve">https://www.newsradiokkob.com/2026/01/13/meta-expanding-its-los-lunas-footprint/</t>
  </si>
  <si>
    <t xml:space="preserve">S#181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</si>
  <si>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</si>
  <si>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</si>
  <si>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https://www.globenewswire.com/news-release/2026/09/28/3370313/0/en/crusoe-developing-data-center-campus-in-armstrong-county-texas.html</t>
  </si>
  <si>
    <t xml:space="preserve">S#182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</si>
  <si>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</si>
  <si>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180MW+85MW </t>
    </r>
    <r>
      <rPr>
        <sz val="11"/>
        <color theme="1"/>
        <rFont val="Noto Sans CJK SC"/>
        <family val="2"/>
      </rPr>
      <t xml:space="preserve">兩階段）｜在建</t>
    </r>
  </si>
  <si>
    <t xml:space="preserve">265.5 MW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</si>
  <si>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Load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265.5 MW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180+85 </t>
    </r>
    <r>
      <rPr>
        <sz val="11"/>
        <color theme="1"/>
        <rFont val="Noto Sans CJK SC"/>
        <family val="2"/>
      </rPr>
      <t xml:space="preserve">兩階段；</t>
    </r>
    <r>
      <rPr>
        <sz val="11"/>
        <color theme="1"/>
        <rFont val="Calibri"/>
        <family val="2"/>
        <charset val="1"/>
      </rPr>
      <t xml:space="preserve">265.5 MW </t>
    </r>
    <r>
      <rPr>
        <sz val="11"/>
        <color theme="1"/>
        <rFont val="Noto Sans CJK SC"/>
        <family val="2"/>
      </rPr>
      <t xml:space="preserve">同時是風場容量，並非「在建」設施負載。文章日期為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Load 2 260 MW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58881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分鐘削減屬實，但「另一來源 </t>
    </r>
    <r>
      <rPr>
        <sz val="11"/>
        <color theme="1"/>
        <rFont val="Calibri"/>
        <family val="2"/>
        <charset val="1"/>
      </rPr>
      <t xml:space="preserve">180+85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</si>
  <si>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https://www.tftc.io/puct-docket-59220-crusoe-ensign-goodnight-wind-ai-campus-sb6-curtailment</t>
  </si>
  <si>
    <t xml:space="preserve">S#183</t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</si>
  <si>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</t>
    </r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</si>
  <si>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2 / Crusoe Two</t>
    </r>
    <r>
      <rPr>
        <sz val="11"/>
        <color theme="1"/>
        <rFont val="Noto Sans CJK SC"/>
        <family val="2"/>
      </rPr>
      <t xml:space="preserve">｜在建</t>
    </r>
  </si>
  <si>
    <t xml:space="preserve">2026-07-02</t>
  </si>
  <si>
    <r>
      <rPr>
        <sz val="11"/>
        <color theme="1"/>
        <rFont val="Calibri"/>
        <family val="2"/>
        <charset val="1"/>
      </rPr>
      <t xml:space="preserve">260MW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購入場址、</t>
    </r>
    <r>
      <rPr>
        <sz val="11"/>
        <color theme="1"/>
        <rFont val="Calibri"/>
        <family val="2"/>
        <charset val="1"/>
      </rPr>
      <t xml:space="preserve">265.5MW</t>
    </r>
    <r>
      <rPr>
        <sz val="11"/>
        <color theme="1"/>
        <rFont val="Noto Sans CJK SC"/>
        <family val="2"/>
      </rPr>
      <t xml:space="preserve">風場屬實；但原文是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聯合提案命令草案（當事人提出），非核准，</t>
    </r>
    <r>
      <rPr>
        <sz val="11"/>
        <color theme="1"/>
        <rFont val="Calibri"/>
        <family val="2"/>
        <charset val="1"/>
      </rPr>
      <t xml:space="preserve">7/23-24</t>
    </r>
    <r>
      <rPr>
        <sz val="11"/>
        <color theme="1"/>
        <rFont val="Noto Sans CJK SC"/>
        <family val="2"/>
      </rPr>
      <t xml:space="preserve">核准與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通電皆未見；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應為利害關係人；「在建」與「全額削減」亦未見。</t>
    </r>
  </si>
  <si>
    <t xml:space="preserve">https://interchange.puc.texas.gov/Documents/59220_56_1662474.PDF</t>
  </si>
  <si>
    <t xml:space="preserve">S#184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</si>
  <si>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｜現場燃氣電廠（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台渦輪）｜規劃</t>
    </r>
  </si>
  <si>
    <t xml:space="preserve">933 MW</t>
  </si>
  <si>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月許可申請、離網供兩棟、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未簽購電協議皆屬實。但「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台渦輪」、衛星影像與彙整站狀態不在此文；原文為「兩棟」非「至少兩棟」。不影響</t>
    </r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數值。</t>
    </r>
  </si>
  <si>
    <t xml:space="preserve">https://theenergymag.com/news/2026-09-29/crusoe-google-texas-ai-armstrong</t>
  </si>
  <si>
    <t xml:space="preserve">S#185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</si>
  <si>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棟）｜在建</t>
    </r>
  </si>
  <si>
    <t xml:space="preserve">530 MW</t>
  </si>
  <si>
    <r>
      <rPr>
        <sz val="11"/>
        <color theme="1"/>
        <rFont val="Calibri"/>
        <family val="2"/>
        <charset val="1"/>
      </rPr>
      <t xml:space="preserve">530MW </t>
    </r>
    <r>
      <rPr>
        <sz val="11"/>
        <color theme="1"/>
        <rFont val="Noto Sans CJK SC"/>
        <family val="2"/>
      </rPr>
      <t xml:space="preserve">與四棟屬實，但來源為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第三方估算，標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，也沒有縣府稱縮減為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棟、稅賦減免文件。「在建」亦與原文不完全一致。</t>
    </r>
  </si>
  <si>
    <t xml:space="preserve">https://www.datacenterdynamics.com/en/news/crusoe-files-for-two-more-data-centers-at-goodnight-campus-in-armstrong-county-texas/</t>
  </si>
  <si>
    <t xml:space="preserve">S#186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</si>
  <si>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</si>
  <si>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、三棟、總投資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億美元皆屬實，但為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。原文未提縣府稱縮減，也未提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</si>
  <si>
    <t xml:space="preserve">S#187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</si>
  <si>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｜全園區｜在建</t>
    </r>
  </si>
  <si>
    <t xml:space="preserve">2026-06-04</t>
  </si>
  <si>
    <r>
      <rPr>
        <sz val="11"/>
        <color theme="1"/>
        <rFont val="Calibri"/>
        <family val="2"/>
        <charset val="1"/>
      </rPr>
      <t xml:space="preserve">2026-06-04 </t>
    </r>
    <r>
      <rPr>
        <sz val="11"/>
        <color theme="1"/>
        <rFont val="Noto Sans CJK SC"/>
        <family val="2"/>
      </rPr>
      <t xml:space="preserve">稱資料中心近期動工，與原文相符；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也未公開。但原文只提 </t>
    </r>
    <r>
      <rPr>
        <sz val="11"/>
        <color theme="1"/>
        <rFont val="Calibri"/>
        <family val="2"/>
        <charset val="1"/>
      </rPr>
      <t xml:space="preserve">Haskell </t>
    </r>
    <r>
      <rPr>
        <sz val="11"/>
        <color theme="1"/>
        <rFont val="Noto Sans CJK SC"/>
        <family val="2"/>
      </rPr>
      <t xml:space="preserve">一座，沒有「兩座園區」，也沒有 </t>
    </r>
    <r>
      <rPr>
        <sz val="11"/>
        <color theme="1"/>
        <rFont val="Calibri"/>
        <family val="2"/>
        <charset val="1"/>
      </rPr>
      <t xml:space="preserve">CoStar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完工目標，這些須由其他來源支持。</t>
    </r>
  </si>
  <si>
    <t xml:space="preserve">https://www.intersect.com/news/google-and-intersect-deepen-texas-roots-with-new-data-center-and-energy-investments-in-gray-and-roberts-counties</t>
  </si>
  <si>
    <t xml:space="preserve">S#188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</si>
  <si>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Thelma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Homebound Data Center</t>
    </r>
    <r>
      <rPr>
        <sz val="11"/>
        <color theme="1"/>
        <rFont val="Noto Sans CJK SC"/>
        <family val="2"/>
      </rPr>
      <t xml:space="preserve">）｜規劃</t>
    </r>
  </si>
  <si>
    <t xml:space="preserve">2025-06-24</t>
  </si>
  <si>
    <r>
      <rPr>
        <sz val="11"/>
        <color theme="1"/>
        <rFont val="Noto Sans CJK SC"/>
        <family val="2"/>
      </rPr>
      <t xml:space="preserve">協議名稱、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2025-06-24</t>
    </r>
    <r>
      <rPr>
        <sz val="11"/>
        <color theme="1"/>
        <rFont val="Noto Sans CJK SC"/>
        <family val="2"/>
      </rPr>
      <t xml:space="preserve">屬實；頁面僅列連結，未載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「第三方機構」不準，實為郡政府官方頁面；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對日期可成立。</t>
    </r>
  </si>
  <si>
    <t xml:space="preserve">https://www.haskellcountytx.gov/page/haskell.Abatement</t>
  </si>
  <si>
    <t xml:space="preserve">S#189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</si>
  <si>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Ascendant Site Solutions</t>
    </r>
    <r>
      <rPr>
        <sz val="11"/>
        <color theme="1"/>
        <rFont val="Noto Sans CJK SC"/>
        <family val="2"/>
      </rPr>
      <t xml:space="preserve">）｜規劃</t>
    </r>
  </si>
  <si>
    <t xml:space="preserve">2026-04-27</t>
  </si>
  <si>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協議、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另案（</t>
    </r>
    <r>
      <rPr>
        <sz val="11"/>
        <color theme="1"/>
        <rFont val="Calibri"/>
        <family val="2"/>
        <charset val="1"/>
      </rPr>
      <t xml:space="preserve">Haskell DC Owner, June 23, 2026</t>
    </r>
    <r>
      <rPr>
        <sz val="11"/>
        <color theme="1"/>
        <rFont val="Noto Sans CJK SC"/>
        <family val="2"/>
      </rPr>
      <t xml:space="preserve">）亦屬實。未載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符合。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「第三方機構」應為郡政府頁面。</t>
    </r>
  </si>
  <si>
    <t xml:space="preserve">S#190</t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</si>
  <si>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</si>
  <si>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Quantum I/II </t>
    </r>
    <r>
      <rPr>
        <sz val="11"/>
        <color theme="1"/>
        <rFont val="Noto Sans CJK SC"/>
        <family val="2"/>
      </rPr>
      <t xml:space="preserve">配套電源（太陽能，非資料中心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）｜上線</t>
    </r>
  </si>
  <si>
    <t xml:space="preserve">640 MW</t>
  </si>
  <si>
    <t xml:space="preserve">2026-10-07</t>
  </si>
  <si>
    <r>
      <rPr>
        <sz val="11"/>
        <color theme="1"/>
        <rFont val="Calibri"/>
        <family val="2"/>
        <charset val="1"/>
      </rPr>
      <t xml:space="preserve">640 MW </t>
    </r>
    <r>
      <rPr>
        <sz val="11"/>
        <color theme="1"/>
        <rFont val="Noto Sans CJK SC"/>
        <family val="2"/>
      </rPr>
      <t xml:space="preserve">太陽能、</t>
    </r>
    <r>
      <rPr>
        <sz val="11"/>
        <color theme="1"/>
        <rFont val="Calibri"/>
        <family val="2"/>
        <charset val="1"/>
      </rPr>
      <t xml:space="preserve">1.3 GWh </t>
    </r>
    <r>
      <rPr>
        <sz val="11"/>
        <color theme="1"/>
        <rFont val="Noto Sans CJK SC"/>
        <family val="2"/>
      </rPr>
      <t xml:space="preserve">儲能屬實，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運轉亦屬實。但原文狀態欄寫 </t>
    </r>
    <r>
      <rPr>
        <sz val="11"/>
        <color theme="1"/>
        <rFont val="Calibri"/>
        <family val="2"/>
        <charset val="1"/>
      </rPr>
      <t xml:space="preserve">In Operation</t>
    </r>
    <r>
      <rPr>
        <sz val="11"/>
        <color theme="1"/>
        <rFont val="Noto Sans CJK SC"/>
        <family val="2"/>
      </rPr>
      <t xml:space="preserve">，並無「在建」矛盾；該說法不實。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資料中心才剛開工。</t>
    </r>
  </si>
  <si>
    <t xml:space="preserve">https://www.intersect.com/portfolio/quantum</t>
  </si>
  <si>
    <t xml:space="preserve">S#191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</si>
  <si>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</si>
  <si>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｜全園區｜規劃</t>
    </r>
  </si>
  <si>
    <t xml:space="preserve">2700 MW</t>
  </si>
  <si>
    <t xml:space="preserve">2026-07-14</t>
  </si>
  <si>
    <r>
      <rPr>
        <sz val="11"/>
        <color theme="1"/>
        <rFont val="Calibri"/>
        <family val="2"/>
        <charset val="1"/>
      </rPr>
      <t xml:space="preserve">2.7GW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座資料廳、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1.8GW/10GW </t>
    </r>
    <r>
      <rPr>
        <sz val="11"/>
        <color theme="1"/>
        <rFont val="Noto Sans CJK SC"/>
        <family val="2"/>
      </rPr>
      <t xml:space="preserve">皆屬實。但「縮減為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棟」「投資額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億至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億美元」原文找不到，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原文只說暫停並被取代。</t>
    </r>
  </si>
  <si>
    <t xml:space="preserve">https://www.datacenterdynamics.com/en/news/google-is-customer-behind-27gw-data-center-campus-near-cheyenne-wyoming/</t>
  </si>
  <si>
    <t xml:space="preserve">S#192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</si>
  <si>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Black Hills </t>
    </r>
    <r>
      <rPr>
        <sz val="11"/>
        <color theme="1"/>
        <rFont val="Noto Sans CJK SC"/>
        <family val="2"/>
      </rPr>
      <t xml:space="preserve">電力服務合約（併網部分）｜簽約</t>
    </r>
  </si>
  <si>
    <t xml:space="preserve">590 MW</t>
  </si>
  <si>
    <t xml:space="preserve">https://fourweekmba.com/ai-black-hills-signs-google-power-deal-1-8b-gas-2-7-gw-mix/</t>
  </si>
  <si>
    <t xml:space="preserve">S#193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</si>
  <si>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｜第一階段（原契約，</t>
    </r>
    <r>
      <rPr>
        <sz val="11"/>
        <color theme="1"/>
        <rFont val="Calibri"/>
        <family val="2"/>
        <charset val="1"/>
      </rPr>
      <t xml:space="preserve">2025/12 PSC </t>
    </r>
    <r>
      <rPr>
        <sz val="11"/>
        <color theme="1"/>
        <rFont val="Noto Sans CJK SC"/>
        <family val="2"/>
      </rPr>
      <t xml:space="preserve">核准）｜在建</t>
    </r>
  </si>
  <si>
    <t xml:space="preserve">600 MW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</si>
  <si>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為最大需量、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供電、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達滿載皆有；惟「在建」是否指此階段未說明。最低計費 </t>
    </r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2027/02 </t>
    </r>
    <r>
      <rPr>
        <sz val="11"/>
        <color theme="1"/>
        <rFont val="Noto Sans CJK SC"/>
        <family val="2"/>
      </rPr>
      <t xml:space="preserve">不在原文，來自他處。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Interested-party/Derived</t>
    </r>
    <r>
      <rPr>
        <sz val="11"/>
        <color theme="1"/>
        <rFont val="Noto Sans CJK SC"/>
        <family val="2"/>
      </rPr>
      <t xml:space="preserve">。</t>
    </r>
  </si>
  <si>
    <t xml:space="preserve">https://www.arkansasonline.com/news/2026/oct/20/entergy-files-heavily-redacted-amended/</t>
  </si>
  <si>
    <t xml:space="preserve">S#194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</si>
  <si>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｜第二階段（</t>
    </r>
    <r>
      <rPr>
        <sz val="11"/>
        <color theme="1"/>
        <rFont val="Calibri"/>
        <family val="2"/>
        <charset val="1"/>
      </rPr>
      <t xml:space="preserve">Entergy 2026-10-19 </t>
    </r>
    <r>
      <rPr>
        <sz val="11"/>
        <color theme="1"/>
        <rFont val="Noto Sans CJK SC"/>
        <family val="2"/>
      </rPr>
      <t xml:space="preserve">公告，增加最大需量並加速爬升）｜規劃</t>
    </r>
  </si>
  <si>
    <r>
      <rPr>
        <sz val="11"/>
        <color theme="1"/>
        <rFont val="Noto Sans CJK SC"/>
        <family val="2"/>
      </rPr>
      <t xml:space="preserve">需量超過 </t>
    </r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且增幅遮蔽、</t>
    </r>
    <r>
      <rPr>
        <sz val="11"/>
        <color theme="1"/>
        <rFont val="Calibri"/>
        <family val="2"/>
        <charset val="1"/>
      </rPr>
      <t xml:space="preserve">Big Island 440 MW </t>
    </r>
    <r>
      <rPr>
        <sz val="11"/>
        <color theme="1"/>
        <rFont val="Noto Sans CJK SC"/>
        <family val="2"/>
      </rPr>
      <t xml:space="preserve">被駁回皆屬實。「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」非原文針對第二階段所述，原文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底指 </t>
    </r>
    <r>
      <rPr>
        <sz val="11"/>
        <color theme="1"/>
        <rFont val="Calibri"/>
        <family val="2"/>
        <charset val="1"/>
      </rPr>
      <t xml:space="preserve">Cypress Solar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Credence</t>
    </r>
    <r>
      <rPr>
        <sz val="11"/>
        <color theme="1"/>
        <rFont val="Noto Sans CJK SC"/>
        <family val="2"/>
      </rPr>
      <t xml:space="preserve">，非本文。</t>
    </r>
  </si>
  <si>
    <t xml:space="preserve">S#195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</si>
  <si>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估算，標為 </t>
    </r>
    <r>
      <rPr>
        <sz val="11"/>
        <color theme="1"/>
        <rFont val="Calibri"/>
        <family val="2"/>
        <charset val="1"/>
      </rPr>
      <t xml:space="preserve">Council Bluffs (East)</t>
    </r>
    <r>
      <rPr>
        <sz val="11"/>
        <color theme="1"/>
        <rFont val="Noto Sans CJK SC"/>
        <family val="2"/>
      </rPr>
      <t xml:space="preserve">）｜上線</t>
    </r>
  </si>
  <si>
    <t xml:space="preserve">237 MW</t>
  </si>
  <si>
    <r>
      <rPr>
        <sz val="11"/>
        <color theme="1"/>
        <rFont val="Calibri"/>
        <family val="2"/>
        <charset val="1"/>
      </rPr>
      <t xml:space="preserve">237 MW IT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2024-11 </t>
    </r>
    <r>
      <rPr>
        <sz val="11"/>
        <color theme="1"/>
        <rFont val="Noto Sans CJK SC"/>
        <family val="2"/>
      </rPr>
      <t xml:space="preserve">推測也屬實。但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自行估算，不是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，應標 </t>
    </r>
    <r>
      <rPr>
        <sz val="11"/>
        <color theme="1"/>
        <rFont val="Calibri"/>
        <family val="2"/>
        <charset val="1"/>
      </rPr>
      <t xml:space="preserve">[Analogy] </t>
    </r>
    <r>
      <rPr>
        <sz val="11"/>
        <color theme="1"/>
        <rFont val="Noto Sans CJK SC"/>
        <family val="2"/>
      </rPr>
      <t xml:space="preserve">或第三方估算；</t>
    </r>
    <r>
      <rPr>
        <sz val="11"/>
        <color theme="1"/>
        <rFont val="Calibri"/>
        <family val="2"/>
        <charset val="1"/>
      </rPr>
      <t xml:space="preserve">as_of 2026-09-03 </t>
    </r>
    <r>
      <rPr>
        <sz val="11"/>
        <color theme="1"/>
        <rFont val="Noto Sans CJK SC"/>
        <family val="2"/>
      </rPr>
      <t xml:space="preserve">是頁面更新日。「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天前」原文找不到。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上線時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79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237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的數字，與 </t>
    </r>
    <r>
      <rPr>
        <sz val="11"/>
        <color theme="1"/>
        <rFont val="Calibri"/>
        <family val="2"/>
        <charset val="1"/>
      </rPr>
      <t xml:space="preserve">expected_online 2024-11 </t>
    </r>
    <r>
      <rPr>
        <sz val="11"/>
        <color theme="1"/>
        <rFont val="Noto Sans CJK SC"/>
        <family val="2"/>
      </rPr>
      <t xml:space="preserve">不對應。</t>
    </r>
  </si>
  <si>
    <t xml:space="preserve">https://epoch.ai/data/ai-data-centers/directory/google-council-bluffs-east</t>
  </si>
  <si>
    <t xml:space="preserve">S#196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</si>
  <si>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營運中合計）｜上線</t>
    </r>
  </si>
  <si>
    <t xml:space="preserve">696 MW</t>
  </si>
  <si>
    <t xml:space="preserve">2026-09-09</t>
  </si>
  <si>
    <r>
      <rPr>
        <sz val="11"/>
        <color theme="1"/>
        <rFont val="Calibri"/>
        <family val="2"/>
        <charset val="1"/>
      </rPr>
      <t xml:space="preserve">696 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（電網取電，近設施口徑），非「未說明」。頁面更新日為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天前」。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啟用年也不在原文。</t>
    </r>
  </si>
  <si>
    <t xml:space="preserve">https://cleanview.co/data-centers/us</t>
  </si>
  <si>
    <t xml:space="preserve">S#197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</si>
  <si>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｜上線</t>
    </r>
  </si>
  <si>
    <t xml:space="preserve">94 MW</t>
  </si>
  <si>
    <r>
      <rPr>
        <sz val="11"/>
        <color theme="1"/>
        <rFont val="Noto Sans CJK SC"/>
        <family val="2"/>
      </rPr>
      <t xml:space="preserve">頁面只給園區級容量區間，未列 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94 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年營運；逐棟數據需付費訂閱。頁面也無 </t>
    </r>
    <r>
      <rPr>
        <sz val="11"/>
        <color theme="1"/>
        <rFont val="Calibri"/>
        <family val="2"/>
        <charset val="1"/>
      </rPr>
      <t xml:space="preserve">Data Center Map </t>
    </r>
    <r>
      <rPr>
        <sz val="11"/>
        <color theme="1"/>
        <rFont val="Noto Sans CJK SC"/>
        <family val="2"/>
      </rPr>
      <t xml:space="preserve">對照，「來源頁未載日期」亦不符（有更新日期）。</t>
    </r>
  </si>
  <si>
    <t xml:space="preserve">https://cleanview.co/data-centers/iowa</t>
  </si>
  <si>
    <t xml:space="preserve">S#198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</si>
  <si>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Iowa 70 </t>
    </r>
    <r>
      <rPr>
        <sz val="11"/>
        <color theme="1"/>
        <rFont val="Noto Sans CJK SC"/>
        <family val="2"/>
      </rPr>
      <t xml:space="preserve">億美元擴建（含 </t>
    </r>
    <r>
      <rPr>
        <sz val="11"/>
        <color theme="1"/>
        <rFont val="Calibri"/>
        <family val="2"/>
        <charset val="1"/>
      </rPr>
      <t xml:space="preserve">Council Bluffs</t>
    </r>
    <r>
      <rPr>
        <sz val="11"/>
        <color theme="1"/>
        <rFont val="Noto Sans CJK SC"/>
        <family val="2"/>
      </rPr>
      <t xml:space="preserve">，未分期）｜規劃</t>
    </r>
  </si>
  <si>
    <t xml:space="preserve">2025-05-30</t>
  </si>
  <si>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億美元、兩年期、</t>
    </r>
    <r>
      <rPr>
        <sz val="11"/>
        <color theme="1"/>
        <rFont val="Calibri"/>
        <family val="2"/>
        <charset val="1"/>
      </rPr>
      <t xml:space="preserve">Cedar Rapids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Council Bluffs </t>
    </r>
    <r>
      <rPr>
        <sz val="11"/>
        <color theme="1"/>
        <rFont val="Noto Sans CJK SC"/>
        <family val="2"/>
      </rPr>
      <t xml:space="preserve">皆屬實；原文無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Southlands</t>
    </r>
    <r>
      <rPr>
        <sz val="11"/>
        <color theme="1"/>
        <rFont val="Noto Sans CJK SC"/>
        <family val="2"/>
      </rPr>
      <t xml:space="preserve">分額，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為推算已自述。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寫「公司本人」並非報導標題，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對公司表態尚可，但來源是媒體。</t>
    </r>
  </si>
  <si>
    <t xml:space="preserve">https://corridorbusiness.com/google-to-invest-another-7-billion-in-iowa-in-next-two-years/</t>
  </si>
  <si>
    <t xml:space="preserve">S#199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</si>
  <si>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（首棟）｜上線</t>
    </r>
  </si>
  <si>
    <t xml:space="preserve">2026-02-17</t>
  </si>
  <si>
    <r>
      <rPr>
        <sz val="11"/>
        <color theme="1"/>
        <rFont val="Noto Sans CJK SC"/>
        <family val="2"/>
      </rPr>
      <t xml:space="preserve">原文僅稱 </t>
    </r>
    <r>
      <rPr>
        <sz val="11"/>
        <color theme="1"/>
        <rFont val="Calibri"/>
        <family val="2"/>
        <charset val="1"/>
      </rPr>
      <t xml:space="preserve">2025/12 </t>
    </r>
    <r>
      <rPr>
        <sz val="11"/>
        <color theme="1"/>
        <rFont val="Noto Sans CJK SC"/>
        <family val="2"/>
      </rPr>
      <t xml:space="preserve">開始運轉，屬記者陳述。未見 </t>
    </r>
    <r>
      <rPr>
        <sz val="11"/>
        <color theme="1"/>
        <rFont val="Calibri"/>
        <family val="2"/>
        <charset val="1"/>
      </rPr>
      <t xml:space="preserve">Maps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Noto Sans CJK SC"/>
        <family val="2"/>
      </rPr>
      <t xml:space="preserve">、雲端客戶、</t>
    </r>
    <r>
      <rPr>
        <sz val="11"/>
        <color theme="1"/>
        <rFont val="Calibri"/>
        <family val="2"/>
        <charset val="1"/>
      </rPr>
      <t xml:space="preserve">I&amp;M 2024-11 </t>
    </r>
    <r>
      <rPr>
        <sz val="11"/>
        <color theme="1"/>
        <rFont val="Noto Sans CJK SC"/>
        <family val="2"/>
      </rPr>
      <t xml:space="preserve">送電或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說法；亦非公司本人原話。</t>
    </r>
  </si>
  <si>
    <t xml:space="preserve">https://www.21alivenews.com/2026/02/17/google-creates-website-address-questions-concerns-about-fort-wayne-data-center/</t>
  </si>
  <si>
    <t xml:space="preserve">S#200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</si>
  <si>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（五棟）｜在建</t>
    </r>
  </si>
  <si>
    <t xml:space="preserve">2025-09-22</t>
  </si>
  <si>
    <r>
      <rPr>
        <sz val="11"/>
        <color theme="1"/>
        <rFont val="Noto Sans CJK SC"/>
        <family val="2"/>
      </rPr>
      <t xml:space="preserve">原文只講 </t>
    </r>
    <r>
      <rPr>
        <sz val="11"/>
        <color theme="1"/>
        <rFont val="Calibri"/>
        <family val="2"/>
        <charset val="1"/>
      </rPr>
      <t xml:space="preserve">IDEM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9/16 </t>
    </r>
    <r>
      <rPr>
        <sz val="11"/>
        <color theme="1"/>
        <rFont val="Noto Sans CJK SC"/>
        <family val="2"/>
      </rPr>
      <t xml:space="preserve">核准填濕地蓋五棟，沒有任何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在建數字，總容量未知。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無依據。許可屬官方文件，經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與標題也不精確。</t>
    </r>
  </si>
  <si>
    <t xml:space="preserve">https://www.datacenterdynamics.com/en/news/indiana-approves-expanding-googles-fort-wayne-data-center-campus-onto-protected-wetlands-despite-local-opposition/</t>
  </si>
  <si>
    <t xml:space="preserve">S#201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</si>
  <si>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（三棟）｜規劃</t>
    </r>
  </si>
  <si>
    <r>
      <rPr>
        <sz val="11"/>
        <color theme="1"/>
        <rFont val="Calibri"/>
        <family val="2"/>
        <charset val="1"/>
      </rPr>
      <t xml:space="preserve">2.13</t>
    </r>
    <r>
      <rPr>
        <sz val="11"/>
        <color theme="1"/>
        <rFont val="Noto Sans CJK SC"/>
        <family val="2"/>
      </rPr>
      <t xml:space="preserve">英畝、三棟、</t>
    </r>
    <r>
      <rPr>
        <sz val="11"/>
        <color theme="1"/>
        <rFont val="Calibri"/>
        <family val="2"/>
        <charset val="1"/>
      </rPr>
      <t xml:space="preserve">9/10</t>
    </r>
    <r>
      <rPr>
        <sz val="11"/>
        <color theme="1"/>
        <rFont val="Noto Sans CJK SC"/>
        <family val="2"/>
      </rPr>
      <t xml:space="preserve">核准、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月完工均屬實。但「</t>
    </r>
    <r>
      <rPr>
        <sz val="11"/>
        <color theme="1"/>
        <rFont val="Calibri"/>
        <family val="2"/>
        <charset val="1"/>
      </rPr>
      <t xml:space="preserve">867,435</t>
    </r>
    <r>
      <rPr>
        <sz val="11"/>
        <color theme="1"/>
        <rFont val="Noto Sans CJK SC"/>
        <family val="2"/>
      </rPr>
      <t xml:space="preserve">平方呎」和任何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數值原文都沒有，可能在</t>
    </r>
    <r>
      <rPr>
        <sz val="11"/>
        <color theme="1"/>
        <rFont val="Calibri"/>
        <family val="2"/>
        <charset val="1"/>
      </rPr>
      <t xml:space="preserve">IDEM</t>
    </r>
    <r>
      <rPr>
        <sz val="11"/>
        <color theme="1"/>
        <rFont val="Noto Sans CJK SC"/>
        <family val="2"/>
      </rPr>
      <t xml:space="preserve">附件中。</t>
    </r>
    <r>
      <rPr>
        <sz val="11"/>
        <color theme="1"/>
        <rFont val="Calibri"/>
        <family val="2"/>
        <charset val="1"/>
      </rPr>
      <t xml:space="preserve">2030-12</t>
    </r>
    <r>
      <rPr>
        <sz val="11"/>
        <color theme="1"/>
        <rFont val="Noto Sans CJK SC"/>
        <family val="2"/>
      </rPr>
      <t xml:space="preserve">是開發商自述，標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偏寬。</t>
    </r>
  </si>
  <si>
    <t xml:space="preserve">https://www.21alivenews.com/2026/09/11/idem-approves-googles-latest-request-fill-wetlands-fort-wayne-data-center-expansion/</t>
  </si>
  <si>
    <t xml:space="preserve">S#202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</si>
  <si>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</si>
  <si>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892 </t>
    </r>
    <r>
      <rPr>
        <sz val="11"/>
        <color theme="1"/>
        <rFont val="Noto Sans CJK SC"/>
        <family val="2"/>
      </rPr>
      <t xml:space="preserve">英畝（非 </t>
    </r>
    <r>
      <rPr>
        <sz val="11"/>
        <color theme="1"/>
        <rFont val="Calibri"/>
        <family val="2"/>
        <charset val="1"/>
      </rPr>
      <t xml:space="preserve">858</t>
    </r>
    <r>
      <rPr>
        <sz val="11"/>
        <color theme="1"/>
        <rFont val="Noto Sans CJK SC"/>
        <family val="2"/>
      </rPr>
      <t xml:space="preserve">），未提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IURC </t>
    </r>
    <r>
      <rPr>
        <sz val="11"/>
        <color theme="1"/>
        <rFont val="Noto Sans CJK SC"/>
        <family val="2"/>
      </rPr>
      <t xml:space="preserve">或第三方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1,035 MW</t>
    </r>
    <r>
      <rPr>
        <sz val="11"/>
        <color theme="1"/>
        <rFont val="Noto Sans CJK SC"/>
        <family val="2"/>
      </rPr>
      <t xml:space="preserve">；內容為記者轉述，並非公司本人。</t>
    </r>
  </si>
  <si>
    <t xml:space="preserve">S#203</t>
  </si>
  <si>
    <t xml:space="preserve">Amazon (AWS)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</si>
  <si>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｜第一棟（</t>
    </r>
    <r>
      <rPr>
        <sz val="11"/>
        <color theme="1"/>
        <rFont val="Calibri"/>
        <family val="2"/>
        <charset val="1"/>
      </rPr>
      <t xml:space="preserve">Cumulus </t>
    </r>
    <r>
      <rPr>
        <sz val="11"/>
        <color theme="1"/>
        <rFont val="Noto Sans CJK SC"/>
        <family val="2"/>
      </rPr>
      <t xml:space="preserve">既有建物）｜上線</t>
    </r>
  </si>
  <si>
    <t xml:space="preserve">48 MW</t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</si>
  <si>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年初（文章日期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日）皆吻合。但原文頁面有標日期，「未標日期」不正確。原文也未明說此為 </t>
    </r>
    <r>
      <rPr>
        <sz val="11"/>
        <color theme="1"/>
        <rFont val="Calibri"/>
        <family val="2"/>
        <charset val="1"/>
      </rPr>
      <t xml:space="preserve">Talen </t>
    </r>
    <r>
      <rPr>
        <sz val="11"/>
        <color theme="1"/>
        <rFont val="Noto Sans CJK SC"/>
        <family val="2"/>
      </rPr>
      <t xml:space="preserve">說法，</t>
    </r>
    <r>
      <rPr>
        <sz val="11"/>
        <color theme="1"/>
        <rFont val="Calibri"/>
        <family val="2"/>
        <charset val="1"/>
      </rPr>
      <t xml:space="preserve">Compute Atlas </t>
    </r>
    <r>
      <rPr>
        <sz val="11"/>
        <color theme="1"/>
        <rFont val="Noto Sans CJK SC"/>
        <family val="2"/>
      </rPr>
      <t xml:space="preserve">部分無法在此核對。</t>
    </r>
  </si>
  <si>
    <t xml:space="preserve">https://www.datacenterdynamics.com/en/news/aws-acquires-talens-nuclear-data-center-campus-in-pennsylvania/</t>
  </si>
  <si>
    <t xml:space="preserve">S#204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</si>
  <si>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｜全園區（原 </t>
    </r>
    <r>
      <rPr>
        <sz val="11"/>
        <color theme="1"/>
        <rFont val="Calibri"/>
        <family val="2"/>
        <charset val="1"/>
      </rPr>
      <t xml:space="preserve">Talen/AWS </t>
    </r>
    <r>
      <rPr>
        <sz val="11"/>
        <color theme="1"/>
        <rFont val="Noto Sans CJK SC"/>
        <family val="2"/>
      </rPr>
      <t xml:space="preserve">共置規模）｜規劃</t>
    </r>
  </si>
  <si>
    <t xml:space="preserve">960 MW</t>
  </si>
  <si>
    <t xml:space="preserve">https://www.sec.gov/Archives/edgar/data/1622536/000162253626000017/tln-20251231.htm</t>
  </si>
  <si>
    <t xml:space="preserve">S#205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</si>
  <si>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｜全園區（修訂 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合約電量）｜簽約</t>
    </r>
  </si>
  <si>
    <t xml:space="preserve">1920 MW</t>
  </si>
  <si>
    <t xml:space="preserve">S#206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</si>
  <si>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｜全園區（前表後轉換）｜上線</t>
    </r>
  </si>
  <si>
    <t xml:space="preserve">https://measuredai.substack.com/p/amazon-susquehanna-data-center-campus</t>
  </si>
  <si>
    <t xml:space="preserve">S#207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</si>
  <si>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年）｜規劃</t>
    </r>
  </si>
  <si>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、近</t>
    </r>
    <r>
      <rPr>
        <sz val="11"/>
        <color theme="1"/>
        <rFont val="Calibri"/>
        <family val="2"/>
        <charset val="1"/>
      </rPr>
      <t xml:space="preserve">1,600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稱十年內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棟皆屬實，無分棟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、上線時間亦符。但「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棟」不在本文；原文是「</t>
    </r>
    <r>
      <rPr>
        <sz val="11"/>
        <color theme="1"/>
        <rFont val="Calibri"/>
        <family val="2"/>
        <charset val="1"/>
      </rPr>
      <t xml:space="preserve">nearly 1,600 acres</t>
    </r>
    <r>
      <rPr>
        <sz val="11"/>
        <color theme="1"/>
        <rFont val="Noto Sans CJK SC"/>
        <family val="2"/>
      </rPr>
      <t xml:space="preserve">」，且是 </t>
    </r>
    <r>
      <rPr>
        <sz val="11"/>
        <color theme="1"/>
        <rFont val="Calibri"/>
        <family val="2"/>
        <charset val="1"/>
      </rPr>
      <t xml:space="preserve">Citizen Voice </t>
    </r>
    <r>
      <rPr>
        <sz val="11"/>
        <color theme="1"/>
        <rFont val="Noto Sans CJK SC"/>
        <family val="2"/>
      </rPr>
      <t xml:space="preserve">首報、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略偏。</t>
    </r>
  </si>
  <si>
    <t xml:space="preserve">https://www.datacenterdynamics.com/en/news/aws-granted-1600-acre-rezoning-request-plans-15-building-campus-at-pennsylvania-nuclear-site/</t>
  </si>
  <si>
    <t xml:space="preserve">S#208</t>
  </si>
  <si>
    <t xml:space="preserve">Amazon (Amazon Data Services)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</si>
  <si>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</si>
  <si>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2026-07-27</t>
  </si>
  <si>
    <t xml:space="preserve">https://hobartdatacenters.org/full-public-record/</t>
  </si>
  <si>
    <t xml:space="preserve">S#209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</si>
  <si>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Hobart Tech Park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英畝）｜在建</t>
    </r>
  </si>
  <si>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持有、訴訟與禁制令皆屬實，原文也無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；「在建」只有整地持續進行的依據。</t>
    </r>
  </si>
  <si>
    <t xml:space="preserve">https://savrn.com/blog/data-center-capital-atlas-update-2026-09-30</t>
  </si>
  <si>
    <t xml:space="preserve">S#210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</si>
  <si>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Ewen Farm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</si>
  <si>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英畝、租用、無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屬實。但原文是「</t>
    </r>
    <r>
      <rPr>
        <sz val="11"/>
        <color theme="1"/>
        <rFont val="Calibri"/>
        <family val="2"/>
        <charset val="1"/>
      </rPr>
      <t xml:space="preserve">to be leased</t>
    </r>
    <r>
      <rPr>
        <sz val="11"/>
        <color theme="1"/>
        <rFont val="Noto Sans CJK SC"/>
        <family val="2"/>
      </rPr>
      <t xml:space="preserve">」（將租用），不是已承租；原文也沒提「兩分期」，只說兩塊地。規劃狀態為推論。</t>
    </r>
  </si>
  <si>
    <t xml:space="preserve">S#211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</si>
  <si>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MISO </t>
    </r>
    <r>
      <rPr>
        <sz val="11"/>
        <color theme="1"/>
        <rFont val="Noto Sans CJK SC"/>
        <family val="2"/>
      </rPr>
      <t xml:space="preserve">負載新增案（</t>
    </r>
    <r>
      <rPr>
        <sz val="11"/>
        <color theme="1"/>
        <rFont val="Calibri"/>
        <family val="2"/>
        <charset val="1"/>
      </rPr>
      <t xml:space="preserve">Project 51141</t>
    </r>
    <r>
      <rPr>
        <sz val="11"/>
        <color theme="1"/>
        <rFont val="Noto Sans CJK SC"/>
        <family val="2"/>
      </rPr>
      <t xml:space="preserve">，客戶未點名）｜規劃</t>
    </r>
  </si>
  <si>
    <t xml:space="preserve">https://hobartdatacenters.org/public-documents/</t>
  </si>
  <si>
    <t xml:space="preserve">S#212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</si>
  <si>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｜北印州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合約總量（含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，非單獨）｜簽約</t>
    </r>
  </si>
  <si>
    <t xml:space="preserve">2400 MW</t>
  </si>
  <si>
    <t xml:space="preserve">2026-06-17</t>
  </si>
  <si>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2027/1/1 </t>
    </r>
    <r>
      <rPr>
        <sz val="11"/>
        <color theme="1"/>
        <rFont val="Noto Sans CJK SC"/>
        <family val="2"/>
      </rPr>
      <t xml:space="preserve">起供電、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年底達標、</t>
    </r>
    <r>
      <rPr>
        <sz val="11"/>
        <color theme="1"/>
        <rFont val="Calibri"/>
        <family val="2"/>
        <charset val="1"/>
      </rPr>
      <t xml:space="preserve">2026/6/17 </t>
    </r>
    <r>
      <rPr>
        <sz val="11"/>
        <color theme="1"/>
        <rFont val="Noto Sans CJK SC"/>
        <family val="2"/>
      </rPr>
      <t xml:space="preserve">核准皆屬實。但原文（所見部分）未提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2029/3 </t>
    </r>
    <r>
      <rPr>
        <sz val="11"/>
        <color theme="1"/>
        <rFont val="Noto Sans CJK SC"/>
        <family val="2"/>
      </rPr>
      <t xml:space="preserve">前可減 </t>
    </r>
    <r>
      <rPr>
        <sz val="11"/>
        <color theme="1"/>
        <rFont val="Calibri"/>
        <family val="2"/>
        <charset val="1"/>
      </rPr>
      <t xml:space="preserve">1,200 MW</t>
    </r>
    <r>
      <rPr>
        <sz val="11"/>
        <color theme="1"/>
        <rFont val="Noto Sans CJK SC"/>
        <family val="2"/>
      </rPr>
      <t xml:space="preserve">，後者為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公告說法，非本原文。</t>
    </r>
  </si>
  <si>
    <t xml:space="preserve">https://secure.in.gov/iurc/files/ord_46322_061726.pdf</t>
  </si>
  <si>
    <t xml:space="preserve">S#213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</si>
  <si>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3.82M sq ft</t>
    </r>
    <r>
      <rPr>
        <sz val="11"/>
        <color theme="1"/>
        <rFont val="Noto Sans CJK SC"/>
        <family val="2"/>
      </rPr>
      <t xml:space="preserve">）｜在建</t>
    </r>
  </si>
  <si>
    <t xml:space="preserve">https://tammypurcell.substack.com/p/supes-set-to-greenlight-aws-infrastructure</t>
  </si>
  <si>
    <t xml:space="preserve">S#214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</si>
  <si>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</si>
  <si>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月動工屬實。但原文寫 </t>
    </r>
    <r>
      <rPr>
        <sz val="11"/>
        <color theme="1"/>
        <rFont val="Calibri"/>
        <family val="2"/>
        <charset val="1"/>
      </rPr>
      <t xml:space="preserve">Northeast Creek </t>
    </r>
    <r>
      <rPr>
        <sz val="11"/>
        <color theme="1"/>
        <rFont val="Noto Sans CJK SC"/>
        <family val="2"/>
      </rPr>
      <t xml:space="preserve">技術重疊區，沒有 </t>
    </r>
    <r>
      <rPr>
        <sz val="11"/>
        <color theme="1"/>
        <rFont val="Calibri"/>
        <family val="2"/>
        <charset val="1"/>
      </rPr>
      <t xml:space="preserve">NCTC </t>
    </r>
    <r>
      <rPr>
        <sz val="11"/>
        <color theme="1"/>
        <rFont val="Noto Sans CJK SC"/>
        <family val="2"/>
      </rPr>
      <t xml:space="preserve">名稱；第三方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數字也不在原文；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並非實際標題。</t>
    </r>
  </si>
  <si>
    <t xml:space="preserve">https://virginiamercury.com/2026/07/28/brown-water-dust-and-loud-noises-louisa-homeowner-sues-amazon-over-data-center-construction/</t>
  </si>
  <si>
    <t xml:space="preserve">S#215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</si>
  <si>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</si>
  <si>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Galaxy</t>
    </r>
    <r>
      <rPr>
        <sz val="11"/>
        <color theme="1"/>
        <rFont val="Noto Sans CJK SC"/>
        <family val="2"/>
      </rPr>
      <t xml:space="preserve">｜全園區｜在建</t>
    </r>
  </si>
  <si>
    <t xml:space="preserve">2025-10-31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</si>
  <si>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完工（</t>
    </r>
    <r>
      <rPr>
        <sz val="11"/>
        <color theme="1"/>
        <rFont val="Calibri"/>
        <family val="2"/>
        <charset val="1"/>
      </rPr>
      <t xml:space="preserve">reportedly</t>
    </r>
    <r>
      <rPr>
        <sz val="11"/>
        <color theme="1"/>
        <rFont val="Noto Sans CJK SC"/>
        <family val="2"/>
      </rPr>
      <t xml:space="preserve">）屬實，原文也無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數字。但「共七棟分期建」原文找不到；當時尚未動工，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「在建」也偏早。</t>
    </r>
  </si>
  <si>
    <t xml:space="preserve">https://www.datacenterdynamics.com/en/news/amazon-secures-tax-break-for-3bn-data-center-campus-in-sidney-ohio/</t>
  </si>
  <si>
    <t xml:space="preserve">S#216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</si>
  <si>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</si>
  <si>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</si>
  <si>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未公布總投資與規模、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7.65GW </t>
    </r>
    <r>
      <rPr>
        <sz val="11"/>
        <color theme="1"/>
        <rFont val="Noto Sans CJK SC"/>
        <family val="2"/>
      </rPr>
      <t xml:space="preserve">皆屬實。但文章標示日期為 </t>
    </r>
    <r>
      <rPr>
        <sz val="11"/>
        <color theme="1"/>
        <rFont val="Calibri"/>
        <family val="2"/>
        <charset val="1"/>
      </rPr>
      <t xml:space="preserve">8/11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8/31 </t>
    </r>
    <r>
      <rPr>
        <sz val="11"/>
        <color theme="1"/>
        <rFont val="Noto Sans CJK SC"/>
        <family val="2"/>
      </rPr>
      <t xml:space="preserve">不符（列內已註明約略）。發電許可屬 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</si>
  <si>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https://www.enr.com/articles/63464-amazon-discloses-ownership-of-gw-ranch-giant-texas-data-center-gas-power-complex</t>
  </si>
  <si>
    <t xml:space="preserve">S#217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</si>
  <si>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A–C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登記）｜在建</t>
    </r>
  </si>
  <si>
    <r>
      <rPr>
        <sz val="11"/>
        <color theme="1"/>
        <rFont val="Noto Sans CJK SC"/>
        <family val="2"/>
      </rPr>
      <t xml:space="preserve">面積、造價、施工期間與原文一致，且正確標示未公布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。但文章日期為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；原文未載 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登記日。「在建」與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上線屬推論，原文僅寫施工期至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月。</t>
    </r>
  </si>
  <si>
    <t xml:space="preserve">https://www.datacenterdynamics.com/en/news/amazon-files-to-develop-two-new-data-center-campuses-in-texas/</t>
  </si>
  <si>
    <t xml:space="preserve">S#218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</si>
  <si>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</si>
  <si>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）｜在建</t>
    </r>
  </si>
  <si>
    <t xml:space="preserve">2026-01-26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</si>
  <si>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上半年首電屬實，且是公司說法。但原文只說許可核准興建、專案為規劃中，未說「在建」。原文日期為 </t>
    </r>
    <r>
      <rPr>
        <sz val="11"/>
        <color theme="1"/>
        <rFont val="Calibri"/>
        <family val="2"/>
        <charset val="1"/>
      </rPr>
      <t xml:space="preserve">1/27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1/26 </t>
    </r>
    <r>
      <rPr>
        <sz val="11"/>
        <color theme="1"/>
        <rFont val="Noto Sans CJK SC"/>
        <family val="2"/>
      </rPr>
      <t xml:space="preserve">無法從原文核實。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填「公司本人」不是文章標題。</t>
    </r>
  </si>
  <si>
    <t xml:space="preserve">https://www.datacenterdynamics.com/en/news/pacifico-secures-765gw-air-permit-for-gw-ranch-project-in-west-texas/</t>
  </si>
  <si>
    <t xml:space="preserve">S#219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</si>
  <si>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全期（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許可）｜規劃</t>
    </r>
  </si>
  <si>
    <t xml:space="preserve">7650 MW</t>
  </si>
  <si>
    <r>
      <rPr>
        <sz val="11"/>
        <color theme="1"/>
        <rFont val="Calibri"/>
        <family val="2"/>
        <charset val="1"/>
      </rPr>
      <t xml:space="preserve">7650MW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部渦輪、</t>
    </r>
    <r>
      <rPr>
        <sz val="11"/>
        <color theme="1"/>
        <rFont val="Calibri"/>
        <family val="2"/>
        <charset val="1"/>
      </rPr>
      <t xml:space="preserve">1.8GW</t>
    </r>
    <r>
      <rPr>
        <sz val="11"/>
        <color theme="1"/>
        <rFont val="Noto Sans CJK SC"/>
        <family val="2"/>
      </rPr>
      <t xml:space="preserve">電池、</t>
    </r>
    <r>
      <rPr>
        <sz val="11"/>
        <color theme="1"/>
        <rFont val="Calibri"/>
        <family val="2"/>
        <charset val="1"/>
      </rPr>
      <t xml:space="preserve">750MW</t>
    </r>
    <r>
      <rPr>
        <sz val="11"/>
        <color theme="1"/>
        <rFont val="Noto Sans CJK SC"/>
        <family val="2"/>
      </rPr>
      <t xml:space="preserve">太陽能皆屬實。但「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稱可穩定供電超過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」與預計上線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在原文找不到。</t>
    </r>
  </si>
  <si>
    <t xml:space="preserve">https://www.datacenterdynamics.com/en/news/amazon-acquires-8000-acre-site-in-pecos-texas-for-natural-gas-powered-behind-the-meter-data-center-report/</t>
  </si>
  <si>
    <t xml:space="preserve">S#220</t>
  </si>
  <si>
    <t xml:space="preserve">Amazon Data Services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</si>
  <si>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｜電力合約（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，非園區容量）｜簽約</t>
    </r>
  </si>
  <si>
    <t xml:space="preserve">https://www.sec.gov/Archives/edgar/data/0001692819/000169281926000019/vistra-20260630.htm</t>
  </si>
  <si>
    <t xml:space="preserve">S#221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</si>
  <si>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Somervell County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Comanche Peak </t>
    </r>
    <r>
      <rPr>
        <sz val="11"/>
        <color theme="1"/>
        <rFont val="Noto Sans CJK SC"/>
        <family val="2"/>
      </rPr>
      <t xml:space="preserve">旁，</t>
    </r>
    <r>
      <rPr>
        <sz val="11"/>
        <color theme="1"/>
        <rFont val="Calibri"/>
        <family val="2"/>
        <charset val="1"/>
      </rPr>
      <t xml:space="preserve">Vistra </t>
    </r>
    <r>
      <rPr>
        <sz val="11"/>
        <color theme="1"/>
        <rFont val="Noto Sans CJK SC"/>
        <family val="2"/>
      </rPr>
      <t xml:space="preserve">土地）｜規劃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</si>
  <si>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435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PUCT 59399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規劃也有。但原文無「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動工」，只寫 </t>
    </r>
    <r>
      <rPr>
        <sz val="11"/>
        <color theme="1"/>
        <rFont val="Calibri"/>
        <family val="2"/>
        <charset val="1"/>
      </rPr>
      <t xml:space="preserve">site planned for 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為查詢日，非原文日期；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標利害關係人偏差，第三方彙整較接近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</si>
  <si>
    <t xml:space="preserve">https://baxtel.com/data-center/amazon-comanche-peak</t>
  </si>
  <si>
    <t xml:space="preserve">S#222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</si>
  <si>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Hood County </t>
    </r>
    <r>
      <rPr>
        <sz val="11"/>
        <color theme="1"/>
        <rFont val="Noto Sans CJK SC"/>
        <family val="2"/>
      </rPr>
      <t xml:space="preserve">原案（</t>
    </r>
    <r>
      <rPr>
        <sz val="11"/>
        <color theme="1"/>
        <rFont val="Calibri"/>
        <family val="2"/>
        <charset val="1"/>
      </rPr>
      <t xml:space="preserve">Coates Rd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/1,265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</si>
  <si>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Noto Sans CJK SC"/>
        <family val="2"/>
      </rPr>
      <t xml:space="preserve">原文確認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2026-05-26 Hood</t>
    </r>
    <r>
      <rPr>
        <sz val="11"/>
        <color theme="1"/>
        <rFont val="Noto Sans CJK SC"/>
        <family val="2"/>
      </rPr>
      <t xml:space="preserve">縣</t>
    </r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接受。但原文無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規劃值，且未提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Amazon 2026-09</t>
    </r>
    <r>
      <rPr>
        <sz val="11"/>
        <color theme="1"/>
        <rFont val="Noto Sans CJK SC"/>
        <family val="2"/>
      </rPr>
      <t xml:space="preserve">表態，只說某追蹤站列為撤回。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應為第三方或未證實。原文也未稱「概念圖核准」為本人說。</t>
    </r>
  </si>
  <si>
    <t xml:space="preserve">https://nearbydatacenters.org/projects/tx-hood-aws-project-spectrum/</t>
  </si>
  <si>
    <t xml:space="preserve">S#223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</si>
  <si>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</si>
  <si>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原文為「約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」，列中寫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是換算，精確度稍高；未說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或設施、五至七年皆屬實；公司本人說法標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尚可。「</t>
    </r>
    <r>
      <rPr>
        <sz val="11"/>
        <color theme="1"/>
        <rFont val="Calibri"/>
        <family val="2"/>
        <charset val="1"/>
      </rPr>
      <t xml:space="preserve">2,595MW</t>
    </r>
    <r>
      <rPr>
        <sz val="11"/>
        <color theme="1"/>
        <rFont val="Noto Sans CJK SC"/>
        <family val="2"/>
      </rPr>
      <t xml:space="preserve">」第三方說法不在原文中，但已註明為他源。</t>
    </r>
  </si>
  <si>
    <t xml:space="preserve">https://blogs.microsoft.com/blog/2026/06/22/powering-the-next-wave-of-ai-expanding-capacity-with-our-new-datacenter-in-pecos/</t>
  </si>
  <si>
    <t xml:space="preserve">S#224</t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</si>
  <si>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</t>
    </r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</si>
  <si>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Kilby </t>
    </r>
    <r>
      <rPr>
        <sz val="11"/>
        <color theme="1"/>
        <rFont val="Noto Sans CJK SC"/>
        <family val="2"/>
      </rPr>
      <t xml:space="preserve">配套燃氣電廠（發電容量，非資料中心容量）｜簽約</t>
    </r>
  </si>
  <si>
    <t xml:space="preserve">2670 MW</t>
  </si>
  <si>
    <r>
      <rPr>
        <sz val="11"/>
        <color theme="1"/>
        <rFont val="Calibri"/>
        <family val="2"/>
        <charset val="1"/>
      </rPr>
      <t xml:space="preserve">2.67GW=2670MW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首次供電、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皆屬實。但原文發表於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，只說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月簽約，無</t>
    </r>
    <r>
      <rPr>
        <sz val="11"/>
        <color theme="1"/>
        <rFont val="Calibri"/>
        <family val="2"/>
        <charset val="1"/>
      </rPr>
      <t xml:space="preserve">6/24</t>
    </r>
    <r>
      <rPr>
        <sz val="11"/>
        <color theme="1"/>
        <rFont val="Noto Sans CJK SC"/>
        <family val="2"/>
      </rPr>
      <t xml:space="preserve">；「持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選擇權」原文是</t>
    </r>
    <r>
      <rPr>
        <sz val="11"/>
        <color theme="1"/>
        <rFont val="Calibri"/>
        <family val="2"/>
        <charset val="1"/>
      </rPr>
      <t xml:space="preserve">50/50</t>
    </r>
    <r>
      <rPr>
        <sz val="11"/>
        <color theme="1"/>
        <rFont val="Noto Sans CJK SC"/>
        <family val="2"/>
      </rPr>
      <t xml:space="preserve">合資；來源標題「公司本人」不是原文標題。</t>
    </r>
  </si>
  <si>
    <t xml:space="preserve">https://thenextweb.com/news/texas-politics-delay-chevron-microsoft-data-centre</t>
  </si>
  <si>
    <t xml:space="preserve">S#225</t>
  </si>
  <si>
    <t xml:space="preserve">Poolside AI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</si>
  <si>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</si>
  <si>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568 </t>
    </r>
    <r>
      <rPr>
        <sz val="11"/>
        <color theme="1"/>
        <rFont val="Noto Sans CJK SC"/>
        <family val="2"/>
      </rPr>
      <t xml:space="preserve">英畝、八期各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均與原文一致，為公司本人說法。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退出等內容不在本文，須由其他列驗證。</t>
    </r>
  </si>
  <si>
    <t xml:space="preserve">https://www.publicpower.org/periodical/article/plans-unveiled-2-gw-artificial-intelligence-campus-west-texas</t>
  </si>
  <si>
    <t xml:space="preserve">S#226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</si>
  <si>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｜第一期（原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錨定期）｜規劃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</si>
  <si>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年租約屬實。但原文無「</t>
    </r>
    <r>
      <rPr>
        <sz val="11"/>
        <color theme="1"/>
        <rFont val="Calibri"/>
        <family val="2"/>
        <charset val="1"/>
      </rPr>
      <t xml:space="preserve">gross power</t>
    </r>
    <r>
      <rPr>
        <sz val="11"/>
        <color theme="1"/>
        <rFont val="Noto Sans CJK SC"/>
        <family val="2"/>
      </rPr>
      <t xml:space="preserve">」，口徑未說明，標設施屬推論。</t>
    </r>
    <r>
      <rPr>
        <sz val="11"/>
        <color theme="1"/>
        <rFont val="Calibri"/>
        <family val="2"/>
        <charset val="1"/>
      </rPr>
      <t xml:space="preserve">Bloomberg 2026</t>
    </r>
    <r>
      <rPr>
        <sz val="11"/>
        <color theme="1"/>
        <rFont val="Noto Sans CJK SC"/>
        <family val="2"/>
      </rPr>
      <t xml:space="preserve">年底上線及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退出等內容原文找不到。</t>
    </r>
  </si>
  <si>
    <t xml:space="preserve">https://www.datacenterdynamics.com/en/news/ai-startup-poolside-teams-up-with-coreweave-on-2gw-data-center-in-texas/</t>
  </si>
  <si>
    <t xml:space="preserve">S#227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</si>
  <si>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｜縮小重啟方案（約 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）｜規劃</t>
    </r>
  </si>
  <si>
    <t xml:space="preserve">2026-04-04</t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</si>
  <si>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已不在洽談中皆屬實，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亦符。但原文是在洽談取得承諾以支撐最多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容量，並未稱「縮小重啟方案」；「記者推論」標示也稍偏，來源實為轉述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報導。</t>
    </r>
  </si>
  <si>
    <t xml:space="preserve">https://baxtel.com/news/poolside-pursues-new-partners-for-texas-data-center-following-coreweave-deal-breakdown</t>
  </si>
  <si>
    <t xml:space="preserve">S#228</t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</si>
  <si>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</si>
  <si>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LF Phase 2 DC Ops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Puckett Road </t>
    </r>
    <r>
      <rPr>
        <sz val="11"/>
        <color theme="1"/>
        <rFont val="Noto Sans CJK SC"/>
        <family val="2"/>
      </rPr>
      <t xml:space="preserve">場址）｜規劃</t>
    </r>
  </si>
  <si>
    <r>
      <rPr>
        <sz val="11"/>
        <color theme="1"/>
        <rFont val="Noto Sans CJK SC"/>
        <family val="2"/>
      </rPr>
      <t xml:space="preserve">提出日 </t>
    </r>
    <r>
      <rPr>
        <sz val="11"/>
        <color theme="1"/>
        <rFont val="Calibri"/>
        <family val="2"/>
        <charset val="1"/>
      </rPr>
      <t xml:space="preserve">2026-03-09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Puckett Rd</t>
    </r>
    <r>
      <rPr>
        <sz val="11"/>
        <color theme="1"/>
        <rFont val="Noto Sans CJK SC"/>
        <family val="2"/>
      </rPr>
      <t xml:space="preserve">、電力設備（</t>
    </r>
    <r>
      <rPr>
        <sz val="11"/>
        <color theme="1"/>
        <rFont val="Calibri"/>
        <family val="2"/>
        <charset val="1"/>
      </rPr>
      <t xml:space="preserve">EGU</t>
    </r>
    <r>
      <rPr>
        <sz val="11"/>
        <color theme="1"/>
        <rFont val="Noto Sans CJK SC"/>
        <family val="2"/>
      </rPr>
      <t xml:space="preserve">）且無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皆符。但原文只有參考號 </t>
    </r>
    <r>
      <rPr>
        <sz val="11"/>
        <color theme="1"/>
        <rFont val="Calibri"/>
        <family val="2"/>
        <charset val="1"/>
      </rPr>
      <t xml:space="preserve">905510</t>
    </r>
    <r>
      <rPr>
        <sz val="11"/>
        <color theme="1"/>
        <rFont val="Noto Sans CJK SC"/>
        <family val="2"/>
      </rPr>
      <t xml:space="preserve">，找不到許可號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。來源標題寫成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轉述，實為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申請原件。</t>
    </r>
  </si>
  <si>
    <t xml:space="preserve">https://records.tceq.texas.gov/cs/idcplg?IdcService=GET_FILE&amp;allowInterrupt=1&amp;dDocName=8294578&amp;dID=9580276</t>
  </si>
  <si>
    <t xml:space="preserve">S#229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</si>
  <si>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Victoria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</si>
  <si>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是核電廠上限，園區僅稱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卻放在「全園區」。日期、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Calhoun </t>
    </r>
    <r>
      <rPr>
        <sz val="11"/>
        <color theme="1"/>
        <rFont val="Noto Sans CJK SC"/>
        <family val="2"/>
      </rPr>
      <t xml:space="preserve">更正屬實；「縣府審議中」原文找不到。</t>
    </r>
  </si>
  <si>
    <t xml:space="preserve">https://www.crusoe.ai/resources/newsroom/blue-energy-and-crusoe-partner-to-develop-nuclear-powered-ai-data-center</t>
  </si>
  <si>
    <t xml:space="preserve">S#230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</si>
  <si>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｜既有比特幣礦場（改造為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用途中）｜上線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</si>
  <si>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挖礦容量與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年啟用屬實，但來源是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記者報導，非公司本人直接說法；標題「公司本人」不準；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「上線」亦非原文用語。</t>
    </r>
  </si>
  <si>
    <t xml:space="preserve">https://www.datacenterdynamics.com/en/news/core-scientific-secures-300mw-capacity-at-pecos-data-center-in-texas-looks-to-behind-the-meter-power/</t>
  </si>
  <si>
    <t xml:space="preserve">S#231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</si>
  <si>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直租首期（</t>
    </r>
    <r>
      <rPr>
        <sz val="11"/>
        <color theme="1"/>
        <rFont val="Calibri"/>
        <family val="2"/>
        <charset val="1"/>
      </rPr>
      <t xml:space="preserve">Pecos </t>
    </r>
    <r>
      <rPr>
        <sz val="11"/>
        <color theme="1"/>
        <rFont val="Noto Sans CJK SC"/>
        <family val="2"/>
      </rPr>
      <t xml:space="preserve">分配量）｜簽約</t>
    </r>
  </si>
  <si>
    <t xml:space="preserve">185 MW</t>
  </si>
  <si>
    <t xml:space="preserve">https://www.sec.gov/Archives/edgar/data/0001839341/000183934126000013/q2fy26earningsdeck728am.htm</t>
  </si>
  <si>
    <t xml:space="preserve">S#232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</si>
  <si>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｜新增公用電網電力（已與電力商簽約）｜簽約</t>
    </r>
  </si>
  <si>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、與電力商簽約、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初上線皆屬實；原文是「</t>
    </r>
    <r>
      <rPr>
        <sz val="11"/>
        <color theme="1"/>
        <rFont val="Calibri"/>
        <family val="2"/>
        <charset val="1"/>
      </rPr>
      <t xml:space="preserve">incremental</t>
    </r>
    <r>
      <rPr>
        <sz val="11"/>
        <color theme="1"/>
        <rFont val="Noto Sans CJK SC"/>
        <family val="2"/>
      </rPr>
      <t xml:space="preserve">」新增，故與既有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不重疊。來源標題標「公司本人」不準，實為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</t>
    </r>
  </si>
  <si>
    <t xml:space="preserve">S#233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</si>
  <si>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擴充機會（負載研究／</t>
    </r>
    <r>
      <rPr>
        <sz val="11"/>
        <color theme="1"/>
        <rFont val="Calibri"/>
        <family val="2"/>
        <charset val="1"/>
      </rPr>
      <t xml:space="preserve">BTM </t>
    </r>
    <r>
      <rPr>
        <sz val="11"/>
        <color theme="1"/>
        <rFont val="Noto Sans CJK SC"/>
        <family val="2"/>
      </rPr>
      <t xml:space="preserve">自備電力）｜規劃</t>
    </r>
  </si>
  <si>
    <t xml:space="preserve">815 MW</t>
  </si>
  <si>
    <t xml:space="preserve">S#234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</si>
  <si>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</si>
  <si>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總電力、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可出租、逾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英畝皆屬實；原文未提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</t>
    </r>
    <r>
      <rPr>
        <sz val="11"/>
        <color theme="1"/>
        <rFont val="Noto Sans CJK SC"/>
        <family val="2"/>
      </rPr>
      <t xml:space="preserve">欄無法由此來源支持，來源標題「公司本人」亦不準。</t>
    </r>
  </si>
  <si>
    <t xml:space="preserve">S#235</t>
  </si>
  <si>
    <t xml:space="preserve">Cloverleaf Infrastructure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</si>
  <si>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</si>
  <si>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與公司代表說法一致，數值無誤。但第五次延後、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表決、</t>
    </r>
    <r>
      <rPr>
        <sz val="11"/>
        <color theme="1"/>
        <rFont val="Calibri"/>
        <family val="2"/>
        <charset val="1"/>
      </rPr>
      <t xml:space="preserve">Nov. 12 </t>
    </r>
    <r>
      <rPr>
        <sz val="11"/>
        <color theme="1"/>
        <rFont val="Noto Sans CJK SC"/>
        <family val="2"/>
      </rPr>
      <t xml:space="preserve">聽證、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口徑，原文均找不到。</t>
    </r>
  </si>
  <si>
    <t xml:space="preserve">https://okcfox.com/news/local/piedmont-city-council-delays-cloverleaf-data-center-plan-sends-land-use-map-back-cloverleaf-project-open-sky-hyperscale-campus-pud-future-land-use-map-study-zoning-and-planning-commission</t>
  </si>
  <si>
    <t xml:space="preserve">S#236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</si>
  <si>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｜全園區（總電力需求）｜規劃</t>
    </r>
  </si>
  <si>
    <r>
      <rPr>
        <sz val="11"/>
        <color theme="1"/>
        <rFont val="Calibri"/>
        <family val="2"/>
        <charset val="1"/>
      </rPr>
      <t xml:space="preserve">1,400MW </t>
    </r>
    <r>
      <rPr>
        <sz val="11"/>
        <color theme="1"/>
        <rFont val="Noto Sans CJK SC"/>
        <family val="2"/>
      </rPr>
      <t xml:space="preserve">為公司代表所稱，數值、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皆吻合。第五次延後、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通過、</t>
    </r>
    <r>
      <rPr>
        <sz val="11"/>
        <color theme="1"/>
        <rFont val="Calibri"/>
        <family val="2"/>
        <charset val="1"/>
      </rPr>
      <t xml:space="preserve">NPM </t>
    </r>
    <r>
      <rPr>
        <sz val="11"/>
        <color theme="1"/>
        <rFont val="Noto Sans CJK SC"/>
        <family val="2"/>
      </rPr>
      <t xml:space="preserve">訪談無最終用戶等說法，原文找不到。</t>
    </r>
  </si>
  <si>
    <t xml:space="preserve">S#237</t>
  </si>
  <si>
    <t xml:space="preserve">O'Leary Digital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</si>
  <si>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</si>
  <si>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7500 MW</t>
  </si>
  <si>
    <r>
      <rPr>
        <sz val="11"/>
        <color theme="1"/>
        <rFont val="Calibri"/>
        <family val="2"/>
        <charset val="1"/>
      </rPr>
      <t xml:space="preserve">7.5GW </t>
    </r>
    <r>
      <rPr>
        <sz val="11"/>
        <color theme="1"/>
        <rFont val="Noto Sans CJK SC"/>
        <family val="2"/>
      </rPr>
      <t xml:space="preserve">是申請書所列發電設施，不是資料中心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不應寫「未說明」。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9GW</t>
    </r>
    <r>
      <rPr>
        <sz val="11"/>
        <color theme="1"/>
        <rFont val="Noto Sans CJK SC"/>
        <family val="2"/>
      </rPr>
      <t xml:space="preserve">、面積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萬縮至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萬英畝，原文均找不到。原文另稱園區約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萬英畝。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也不是文章標題。</t>
    </r>
  </si>
  <si>
    <t xml:space="preserve">https://www.ksl.com/article/51637099/stratos-project-water-application-reveals-new-details-on-massive-data-center</t>
  </si>
  <si>
    <t xml:space="preserve">S#238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</si>
  <si>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</si>
  <si>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發電容量、核准日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（週五）屬實。但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上線、訴訟與空氣許可、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月與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月數字皆不在本文；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「記者推論」並非文章標題。</t>
    </r>
  </si>
  <si>
    <t xml:space="preserve">https://www.tomshardware.com/tech-industry/kevin-o-learys-9-gw-utah-data-center-campus-approved</t>
  </si>
  <si>
    <t xml:space="preserve">S#239</t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</si>
  <si>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</si>
  <si>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HCG </t>
    </r>
    <r>
      <rPr>
        <sz val="11"/>
        <color theme="1"/>
        <rFont val="Noto Sans CJK SC"/>
        <family val="2"/>
      </rPr>
      <t xml:space="preserve">燃氣電廠）｜在建</t>
    </r>
  </si>
  <si>
    <t xml:space="preserve">4400 MW</t>
  </si>
  <si>
    <t xml:space="preserve">2025-11-20</t>
  </si>
  <si>
    <t xml:space="preserve">https://www.businesswire.com/news/home/20251120696816/en</t>
  </si>
  <si>
    <t xml:space="preserve">S#240</t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</si>
  <si>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</si>
  <si>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PIT100 Masterplan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個基地）｜規劃</t>
    </r>
  </si>
  <si>
    <r>
      <rPr>
        <sz val="11"/>
        <color theme="1"/>
        <rFont val="Noto Sans CJK SC"/>
        <family val="2"/>
      </rPr>
      <t xml:space="preserve">四階段、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月起、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月末期屬實，且未公布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8/28</t>
    </r>
    <r>
      <rPr>
        <sz val="11"/>
        <color theme="1"/>
        <rFont val="Noto Sans CJK SC"/>
        <family val="2"/>
      </rPr>
      <t xml:space="preserve">提交」日期與「尚無最終協議」原文都沒有，只寫「</t>
    </r>
    <r>
      <rPr>
        <sz val="11"/>
        <color theme="1"/>
        <rFont val="Calibri"/>
        <family val="2"/>
        <charset val="1"/>
      </rPr>
      <t xml:space="preserve">in discussions</t>
    </r>
    <r>
      <rPr>
        <sz val="11"/>
        <color theme="1"/>
        <rFont val="Noto Sans CJK SC"/>
        <family val="2"/>
      </rPr>
      <t xml:space="preserve">」。</t>
    </r>
  </si>
  <si>
    <t xml:space="preserve">https://www.datacenterdynamics.com/en/news/aws-plans-36-building-data-center-campus-in-indiana-county-pennsylvania/</t>
  </si>
  <si>
    <t xml:space="preserve">S#241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</si>
  <si>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</si>
  <si>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</si>
  <si>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https://www.sec.gov/Archives/edgar/data/0001083301/000110465926080583/tm2619468d1_ex99-1.htm</t>
  </si>
  <si>
    <t xml:space="preserve">S#242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</si>
  <si>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</si>
  <si>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｜全園區（總電力需求）｜在建</t>
    </r>
  </si>
  <si>
    <t xml:space="preserve">240 MW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</si>
  <si>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240MW gross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168MW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下半年交付，日期屬實。但 </t>
    </r>
    <r>
      <rPr>
        <sz val="11"/>
        <color theme="1"/>
        <rFont val="Calibri"/>
        <family val="2"/>
        <charset val="1"/>
      </rPr>
      <t xml:space="preserve">240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gross </t>
    </r>
    <r>
      <rPr>
        <sz val="11"/>
        <color theme="1"/>
        <rFont val="Noto Sans CJK SC"/>
        <family val="2"/>
      </rPr>
      <t xml:space="preserve">而非確認的「設施」口徑，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寫「記者推論」皆不貼切；該數字出自公司公告（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轉述）。</t>
    </r>
  </si>
  <si>
    <t xml:space="preserve">https://www.datacenterdynamics.com/en/news/terawulf-and-fluidstack-to-develop-texas-data-center-in-google-backed-deal/</t>
  </si>
  <si>
    <t xml:space="preserve">S#243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</si>
  <si>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（初始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租約）｜在建</t>
    </r>
  </si>
  <si>
    <t xml:space="preserve">https://www.sec.gov/Archives/edgar/data/1819989/000181998925000110/ciphermining_businessupd.htm</t>
  </si>
  <si>
    <t xml:space="preserve">S#244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</si>
  <si>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（追加 </t>
    </r>
    <r>
      <rPr>
        <sz val="11"/>
        <color theme="1"/>
        <rFont val="Calibri"/>
        <family val="2"/>
        <charset val="1"/>
      </rPr>
      <t xml:space="preserve">39 MW</t>
    </r>
    <r>
      <rPr>
        <sz val="11"/>
        <color theme="1"/>
        <rFont val="Noto Sans CJK SC"/>
        <family val="2"/>
      </rPr>
      <t xml:space="preserve">）｜在建</t>
    </r>
  </si>
  <si>
    <t xml:space="preserve">39 MW</t>
  </si>
  <si>
    <t xml:space="preserve">https://investors.cipherdigital.com/news-releases/news-release-details/cipher-mining-signs-additional-56-mw-10-year-ai-hosting</t>
  </si>
  <si>
    <t xml:space="preserve">S#245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</si>
  <si>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</si>
  <si>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2026-10-10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</si>
  <si>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207MW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168+39</t>
    </r>
    <r>
      <rPr>
        <sz val="11"/>
        <color theme="1"/>
        <rFont val="Noto Sans CJK SC"/>
        <family val="2"/>
      </rPr>
      <t xml:space="preserve">）、逾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Q1 2027 </t>
    </r>
    <r>
      <rPr>
        <sz val="11"/>
        <color theme="1"/>
        <rFont val="Noto Sans CJK SC"/>
        <family val="2"/>
      </rPr>
      <t xml:space="preserve">均與原文一致。但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寫「記者推論」並非文章標題；原文只說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，沒寫「在建」；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不在原文中。</t>
    </r>
  </si>
  <si>
    <t xml:space="preserve">https://www.datacenterdynamics.com/en/news/cipher-extends-barber-lake-data-center-lease-commitments-to-20-years/</t>
  </si>
  <si>
    <t xml:space="preserve">S#246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</si>
  <si>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｜全園區｜在建</t>
    </r>
  </si>
  <si>
    <t xml:space="preserve">280 MW</t>
  </si>
  <si>
    <t xml:space="preserve">2025-08-18</t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</si>
  <si>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2025-08-18</t>
    </r>
    <r>
      <rPr>
        <sz val="11"/>
        <color theme="1"/>
        <rFont val="Noto Sans CJK SC"/>
        <family val="2"/>
      </rPr>
      <t xml:space="preserve">、公司本人說法皆屬實。但原文是「規劃」而非「在建」（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月才動工），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稍偏；原文也未說明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／設施口徑。引述中「後續財報」「</t>
    </r>
    <r>
      <rPr>
        <sz val="11"/>
        <color theme="1"/>
        <rFont val="Calibri"/>
        <family val="2"/>
        <charset val="1"/>
      </rPr>
      <t xml:space="preserve">B. Riley</t>
    </r>
    <r>
      <rPr>
        <sz val="11"/>
        <color theme="1"/>
        <rFont val="Noto Sans CJK SC"/>
        <family val="2"/>
      </rPr>
      <t xml:space="preserve">」「最新稱」等不在此來源內。</t>
    </r>
  </si>
  <si>
    <t xml:space="preserve">https://ir.applieddigital.com/news-events/press-releases/detail/127/applied-digital-to-break-ground-on-3-billion-polaris-forge</t>
  </si>
  <si>
    <t xml:space="preserve">S#247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</si>
  <si>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</si>
  <si>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2025-10-22</t>
  </si>
  <si>
    <t xml:space="preserve">https://www.sec.gov/Archives/edgar/data/1144879/000114487925000076/apld_invxfinalpresentati.htm</t>
  </si>
  <si>
    <t xml:space="preserve">S#248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</si>
  <si>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</si>
  <si>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t xml:space="preserve">S#249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</si>
  <si>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｜已簽租約（</t>
    </r>
    <r>
      <rPr>
        <sz val="11"/>
        <color theme="1"/>
        <rFont val="Calibri"/>
        <family val="2"/>
        <charset val="1"/>
      </rPr>
      <t xml:space="preserve">Building 1/2 </t>
    </r>
    <r>
      <rPr>
        <sz val="11"/>
        <color theme="1"/>
        <rFont val="Noto Sans CJK SC"/>
        <family val="2"/>
      </rPr>
      <t xml:space="preserve">合計，非加總）｜簽約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</si>
  <si>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億美元、約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、兩棟樓、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年達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、承租方未具名，均與原文一致。</t>
    </r>
    <r>
      <rPr>
        <sz val="11"/>
        <color theme="1"/>
        <rFont val="Calibri"/>
        <family val="2"/>
        <charset val="1"/>
      </rPr>
      <t xml:space="preserve">Valley News Live </t>
    </r>
    <r>
      <rPr>
        <sz val="11"/>
        <color theme="1"/>
        <rFont val="Noto Sans CJK SC"/>
        <family val="2"/>
      </rPr>
      <t xml:space="preserve">報導為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一事不在本原文，但列中已註明公司未證實。</t>
    </r>
  </si>
  <si>
    <t xml:space="preserve">https://ir.applieddigital.com/news-events/press-releases/detail/132/applied-digital-announces-5-billion-ai-factory-lease-with</t>
  </si>
  <si>
    <t xml:space="preserve">S#250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</si>
  <si>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</si>
  <si>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）｜初期（原公告）｜規劃</t>
    </r>
  </si>
  <si>
    <t xml:space="preserve">1800 MW</t>
  </si>
  <si>
    <t xml:space="preserve">2025-07-29</t>
  </si>
  <si>
    <r>
      <rPr>
        <sz val="11"/>
        <color theme="1"/>
        <rFont val="Calibri"/>
        <family val="2"/>
        <charset val="1"/>
      </rPr>
      <t xml:space="preserve">1.8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2025-07-29 </t>
    </r>
    <r>
      <rPr>
        <sz val="11"/>
        <color theme="1"/>
        <rFont val="Noto Sans CJK SC"/>
        <family val="2"/>
      </rPr>
      <t xml:space="preserve">與公司公告屬實，未說明口徑也合理。但原文沒有 </t>
    </r>
    <r>
      <rPr>
        <sz val="11"/>
        <color theme="1"/>
        <rFont val="Calibri"/>
        <family val="2"/>
        <charset val="1"/>
      </rPr>
      <t xml:space="preserve">2027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Project Jade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1.6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寫「公司本人」，並非報導標題。</t>
    </r>
  </si>
  <si>
    <t xml:space="preserve">https://cowboystatedaily.com/2025/07/29/cheyenne-to-get-massive-ai-data-center-powered-by-gas-and-carbon-capture/</t>
  </si>
  <si>
    <t xml:space="preserve">S#251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</si>
  <si>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</si>
  <si>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Project Tembo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接手）｜規劃</t>
    </r>
  </si>
  <si>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是記者對設施的描述，不在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存檔文件內，標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公司本人有誤。原文也未說 </t>
    </r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電力容量。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完工、四棟 </t>
    </r>
    <r>
      <rPr>
        <sz val="11"/>
        <color theme="1"/>
        <rFont val="Calibri"/>
        <family val="2"/>
        <charset val="1"/>
      </rPr>
      <t xml:space="preserve">halls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等延遲說明在本文找不到。</t>
    </r>
  </si>
  <si>
    <t xml:space="preserve">https://cowboystatedaily.com/2026/07/08/google-revealed-as-owner-of-wyomings-largest-data-center-now-project-tembo/</t>
  </si>
  <si>
    <t xml:space="preserve">S#252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</si>
  <si>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）｜遠期擴充上限｜規劃</t>
    </r>
  </si>
  <si>
    <t xml:space="preserve">2026-01-08</t>
  </si>
  <si>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2.7GW </t>
    </r>
    <r>
      <rPr>
        <sz val="11"/>
        <color theme="1"/>
        <rFont val="Noto Sans CJK SC"/>
        <family val="2"/>
      </rPr>
      <t xml:space="preserve">電廠、日期皆屬實。但原文未提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（僅說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首批通電）。</t>
    </r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記者陳述，非公司本人說法，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</si>
  <si>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https://www.datacenterdynamics.com/en/news/crusoe-gets-go-ahead-for-18gw-data-center-campus-and-power-plant-in-cheyenne-wyoming/</t>
  </si>
  <si>
    <t xml:space="preserve">S#253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</si>
  <si>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</si>
  <si>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）｜全園區（狀態更新）｜規劃</t>
    </r>
  </si>
  <si>
    <r>
      <rPr>
        <sz val="11"/>
        <color theme="1"/>
        <rFont val="Noto Sans CJK SC"/>
        <family val="2"/>
      </rPr>
      <t xml:space="preserve">原文只支持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應客戶要求暫停、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規模與 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照進度、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非營運者、</t>
    </r>
    <r>
      <rPr>
        <sz val="11"/>
        <color theme="1"/>
        <rFont val="Calibri"/>
        <family val="2"/>
        <charset val="1"/>
      </rPr>
      <t xml:space="preserve">Enverus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皆未出現。</t>
    </r>
  </si>
  <si>
    <t xml:space="preserve">https://www.datacenterdynamics.com/en/news/crusoe-pauses-work-on-18gw-cheyenne-wyoming-data-center-at-the-request-of-our-customer/</t>
  </si>
  <si>
    <t xml:space="preserve">S#254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</si>
  <si>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</si>
  <si>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2026-03-16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</si>
  <si>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上半年上線、約 </t>
    </r>
    <r>
      <rPr>
        <sz val="11"/>
        <color theme="1"/>
        <rFont val="Calibri"/>
        <family val="2"/>
        <charset val="1"/>
      </rPr>
      <t xml:space="preserve">8GW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up to 2,250 acres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8000 MW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8GW</t>
    </r>
    <r>
      <rPr>
        <sz val="11"/>
        <color theme="1"/>
        <rFont val="Noto Sans CJK SC"/>
        <family val="2"/>
      </rPr>
      <t xml:space="preserve">，約數；公司本人稿件，標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合理；口徑未說明亦符合。</t>
    </r>
  </si>
  <si>
    <t xml:space="preserve">https://www.nscale.com/press-releases/nscale-acquires-american-intelligence-power-corporation</t>
  </si>
  <si>
    <t xml:space="preserve">S#255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</si>
  <si>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</si>
  <si>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1350 MW</t>
  </si>
  <si>
    <r>
      <rPr>
        <sz val="11"/>
        <color theme="1"/>
        <rFont val="Calibri"/>
        <family val="2"/>
        <charset val="1"/>
      </rPr>
      <t xml:space="preserve">1.35GW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年初交付屬實，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作為公司自述也合理。但頁面沒有日期標示，「約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天前」和「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月已動土」都找不到，「在建」也無明文，原文只說 </t>
    </r>
    <r>
      <rPr>
        <sz val="11"/>
        <color theme="1"/>
        <rFont val="Calibri"/>
        <family val="2"/>
        <charset val="1"/>
      </rPr>
      <t xml:space="preserve">engineered to host</t>
    </r>
    <r>
      <rPr>
        <sz val="11"/>
        <color theme="1"/>
        <rFont val="Noto Sans CJK SC"/>
        <family val="2"/>
      </rPr>
      <t xml:space="preserve">。</t>
    </r>
  </si>
  <si>
    <t xml:space="preserve">https://www.nscale.com/ai-infrastructure</t>
  </si>
  <si>
    <t xml:space="preserve">S#256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</si>
  <si>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租用）｜簽約</t>
    </r>
  </si>
  <si>
    <r>
      <rPr>
        <sz val="11"/>
        <color theme="1"/>
        <rFont val="Calibri"/>
        <family val="2"/>
        <charset val="1"/>
      </rPr>
      <t xml:space="preserve">460MW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8/25</t>
    </r>
    <r>
      <rPr>
        <sz val="11"/>
        <color theme="1"/>
        <rFont val="Noto Sans CJK SC"/>
        <family val="2"/>
      </rPr>
      <t xml:space="preserve">簽約、最高</t>
    </r>
    <r>
      <rPr>
        <sz val="11"/>
        <color theme="1"/>
        <rFont val="Calibri"/>
        <family val="2"/>
        <charset val="1"/>
      </rPr>
      <t xml:space="preserve">446</t>
    </r>
    <r>
      <rPr>
        <sz val="11"/>
        <color theme="1"/>
        <rFont val="Noto Sans CJK SC"/>
        <family val="2"/>
      </rPr>
      <t xml:space="preserve">億美元皆屬實。但「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年底上線」與「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」原文均無。來源是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轉述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，並非公司本人。</t>
    </r>
  </si>
  <si>
    <t xml:space="preserve">https://cryptobriefing.com/nscale-103-billion-data-center-contracts-ipo/</t>
  </si>
  <si>
    <t xml:space="preserve">S#257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</si>
  <si>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（洽談中）｜規劃</t>
    </r>
  </si>
  <si>
    <r>
      <rPr>
        <sz val="11"/>
        <color theme="1"/>
        <rFont val="Noto Sans CJK SC"/>
        <family val="2"/>
      </rPr>
      <t xml:space="preserve">原文無「</t>
    </r>
    <r>
      <rPr>
        <sz val="11"/>
        <color theme="1"/>
        <rFont val="Calibri"/>
        <family val="2"/>
        <charset val="1"/>
      </rPr>
      <t xml:space="preserve">460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Building 2 </t>
    </r>
    <r>
      <rPr>
        <sz val="11"/>
        <color theme="1"/>
        <rFont val="Noto Sans CJK SC"/>
        <family val="2"/>
      </rPr>
      <t xml:space="preserve">規模、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上線，也沒有第三棟優先議購權。只有 </t>
    </r>
    <r>
      <rPr>
        <sz val="11"/>
        <color theme="1"/>
        <rFont val="Calibri"/>
        <family val="2"/>
        <charset val="1"/>
      </rPr>
      <t xml:space="preserve">446 </t>
    </r>
    <r>
      <rPr>
        <sz val="11"/>
        <color theme="1"/>
        <rFont val="Noto Sans CJK SC"/>
        <family val="2"/>
      </rPr>
      <t xml:space="preserve">億美元交易與第二座設施，園區首期為 </t>
    </r>
    <r>
      <rPr>
        <sz val="11"/>
        <color theme="1"/>
        <rFont val="Calibri"/>
        <family val="2"/>
        <charset val="1"/>
      </rPr>
      <t xml:space="preserve">1.35 GW</t>
    </r>
    <r>
      <rPr>
        <sz val="11"/>
        <color theme="1"/>
        <rFont val="Noto Sans CJK SC"/>
        <family val="2"/>
      </rPr>
      <t xml:space="preserve">。此外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標為利害關係人，與「記者推論」的標題也不一致。</t>
    </r>
  </si>
  <si>
    <t xml:space="preserve">https://w.media/nscale-shops-second-anthropic-deal-at-monarch-data-center-campus-report/</t>
  </si>
  <si>
    <t xml:space="preserve">S#258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</si>
  <si>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</si>
  <si>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2026-09-08</t>
  </si>
  <si>
    <t xml:space="preserve">https://www.stocktitan.net/news/IREN/iren-s-2gw-sweetwater-hub-included-as-base-load-in-ercot-batch-cy6xg3ubvfes.html</t>
  </si>
  <si>
    <t xml:space="preserve">S#259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</si>
  <si>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</t>
    </r>
    <r>
      <rPr>
        <sz val="11"/>
        <color theme="1"/>
        <rFont val="Noto Sans CJK SC"/>
        <family val="2"/>
      </rPr>
      <t xml:space="preserve">（變電站／電力）｜在建</t>
    </r>
  </si>
  <si>
    <t xml:space="preserve">2026-05-04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</si>
  <si>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 </t>
    </r>
    <r>
      <rPr>
        <sz val="11"/>
        <color theme="1"/>
        <rFont val="Noto Sans CJK SC"/>
        <family val="2"/>
      </rPr>
      <t xml:space="preserve">併入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、如期、電力逐步爬升均屬實。但「原目標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」原文找不到，來源是媒體報導而非公司本人。</t>
    </r>
  </si>
  <si>
    <t xml:space="preserve">https://www.theenergymag.com/news/2026-05-04/iren-ai-sweetwater</t>
  </si>
  <si>
    <t xml:space="preserve">S#260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</si>
  <si>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 </t>
    </r>
    <r>
      <rPr>
        <sz val="11"/>
        <color theme="1"/>
        <rFont val="Noto Sans CJK SC"/>
        <family val="2"/>
      </rPr>
      <t xml:space="preserve">首期資料中心（</t>
    </r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）｜在建</t>
    </r>
  </si>
  <si>
    <t xml:space="preserve">S#261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</si>
  <si>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2</t>
    </r>
    <r>
      <rPr>
        <sz val="11"/>
        <color theme="1"/>
        <rFont val="Noto Sans CJK SC"/>
        <family val="2"/>
      </rPr>
      <t xml:space="preserve">｜簽約</t>
    </r>
  </si>
  <si>
    <t xml:space="preserve">https://irisenergy.gcs-web.com/news-releases/news-release-details/iren-reports-q1-fy26-results</t>
  </si>
  <si>
    <t xml:space="preserve">S#262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</si>
  <si>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</si>
  <si>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｜全園區｜規劃</t>
    </r>
  </si>
  <si>
    <t xml:space="preserve">9000 MW</t>
  </si>
  <si>
    <t xml:space="preserve">2026-06-03</t>
  </si>
  <si>
    <t xml:space="preserve">https://www.cbc.ca/news/canada/edmonton/wonder-valley-newsletter-open-house-9.7217459</t>
  </si>
  <si>
    <t xml:space="preserve">S#263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</si>
  <si>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</si>
  <si>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平方公里、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年分期開發、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年僅許可、前期預期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完成，皆屬實。但「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年首期 </t>
    </r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」原文找不到。來源是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轉述公司通訊，並非公司本人。</t>
    </r>
  </si>
  <si>
    <t xml:space="preserve">https://ca.news.yahoo.com/updated-water-timelines-proposed-wonder-175429222.html</t>
  </si>
  <si>
    <t xml:space="preserve">S#264</t>
  </si>
  <si>
    <t xml:space="preserve">Bell Canada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</si>
  <si>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一期（</t>
    </r>
    <r>
      <rPr>
        <sz val="11"/>
        <color theme="1"/>
        <rFont val="Calibri"/>
        <family val="2"/>
        <charset val="1"/>
      </rPr>
      <t xml:space="preserve">Groq LPU </t>
    </r>
    <r>
      <rPr>
        <sz val="11"/>
        <color theme="1"/>
        <rFont val="Noto Sans CJK SC"/>
        <family val="2"/>
      </rPr>
      <t xml:space="preserve">推論，前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總部）｜上線</t>
    </r>
  </si>
  <si>
    <t xml:space="preserve">7 MW</t>
  </si>
  <si>
    <r>
      <rPr>
        <sz val="11"/>
        <color theme="1"/>
        <rFont val="Calibri"/>
        <family val="2"/>
        <charset val="1"/>
      </rPr>
      <t xml:space="preserve">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月上線、發布日</t>
    </r>
    <r>
      <rPr>
        <sz val="11"/>
        <color theme="1"/>
        <rFont val="Calibri"/>
        <family val="2"/>
        <charset val="1"/>
      </rPr>
      <t xml:space="preserve">2025-05-28 </t>
    </r>
    <r>
      <rPr>
        <sz val="11"/>
        <color theme="1"/>
        <rFont val="Noto Sans CJK SC"/>
        <family val="2"/>
      </rPr>
      <t xml:space="preserve">均與原文一致。口徑未說明，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為公司本人說法，標示正確。前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總部及後段第三方資訊不在原文，屬他源補充。</t>
    </r>
  </si>
  <si>
    <t xml:space="preserve">https://www.newswire.ca/news-releases/bell-canada-increases-sovereign-ai-capacity-with-bell-ai-fabric-875549746.html</t>
  </si>
  <si>
    <t xml:space="preserve">S#265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</si>
  <si>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 </t>
    </r>
    <r>
      <rPr>
        <sz val="11"/>
        <color theme="1"/>
        <rFont val="Noto Sans CJK SC"/>
        <family val="2"/>
      </rPr>
      <t xml:space="preserve">校園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，二期）｜在建</t>
    </r>
  </si>
  <si>
    <t xml:space="preserve">26 MW</t>
  </si>
  <si>
    <r>
      <rPr>
        <sz val="11"/>
        <color theme="1"/>
        <rFont val="Noto Sans CJK SC"/>
        <family val="2"/>
      </rPr>
      <t xml:space="preserve">原文沒有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、二期、</t>
    </r>
    <r>
      <rPr>
        <sz val="11"/>
        <color theme="1"/>
        <rFont val="Calibri"/>
        <family val="2"/>
        <charset val="1"/>
      </rPr>
      <t xml:space="preserve">TRU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BCNET </t>
    </r>
    <r>
      <rPr>
        <sz val="11"/>
        <color theme="1"/>
        <rFont val="Noto Sans CJK SC"/>
        <family val="2"/>
      </rPr>
      <t xml:space="preserve">學術使用，也沒提原定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上線。只有動工、</t>
    </r>
    <r>
      <rPr>
        <sz val="11"/>
        <color theme="1"/>
        <rFont val="Calibri"/>
        <family val="2"/>
        <charset val="1"/>
      </rPr>
      <t xml:space="preserve">TrueNorth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日期相符。</t>
    </r>
    <r>
      <rPr>
        <sz val="11"/>
        <color theme="1"/>
        <rFont val="Calibri"/>
        <family val="2"/>
        <charset val="1"/>
      </rPr>
      <t xml:space="preserve">26MW </t>
    </r>
    <r>
      <rPr>
        <sz val="11"/>
        <color theme="1"/>
        <rFont val="Noto Sans CJK SC"/>
        <family val="2"/>
      </rPr>
      <t xml:space="preserve">取自另一份新聞稿。</t>
    </r>
  </si>
  <si>
    <t xml:space="preserve">https://businessexaminer.ca/thompson-okanagan-articles/item/bell-ai-fabric-data-centre-construction-starts/</t>
  </si>
  <si>
    <t xml:space="preserve">S#266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</si>
  <si>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第二座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（三期）｜規劃</t>
    </r>
  </si>
  <si>
    <r>
      <rPr>
        <sz val="11"/>
        <color theme="1"/>
        <rFont val="Noto Sans CJK SC"/>
        <family val="2"/>
      </rPr>
      <t xml:space="preserve">第二座</t>
    </r>
    <r>
      <rPr>
        <sz val="11"/>
        <color theme="1"/>
        <rFont val="Calibri"/>
        <family val="2"/>
        <charset val="1"/>
      </rPr>
      <t xml:space="preserve">26MW Kamloops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年均與原文一致。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未揭露合理，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為公司本人說法。「三期」為模型分類，近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個月查無新資訊屬調查敘述，與原文不衝突。</t>
    </r>
  </si>
  <si>
    <t xml:space="preserve">S#267</t>
  </si>
  <si>
    <t xml:space="preserve">Khazna Data Centers (G42)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</si>
  <si>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｜全園區｜在建</t>
    </r>
  </si>
  <si>
    <t xml:space="preserve">2026-02-24</t>
  </si>
  <si>
    <t xml:space="preserve">https://www.businesswire.com/news/home/20260224185771/en/Khazna-Awarded-Uptime-Tier-III-Certification-of-Design-Documents-for-Ajman-UAE-Facility-Largest-in-Companys-Portfolio</t>
  </si>
  <si>
    <t xml:space="preserve">S#268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</si>
  <si>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（初期階段）｜在建</t>
    </r>
  </si>
  <si>
    <t xml:space="preserve">30 MW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</si>
  <si>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口徑、原訂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、預計 </t>
    </r>
    <r>
      <rPr>
        <sz val="11"/>
        <color theme="1"/>
        <rFont val="Calibri"/>
        <family val="2"/>
        <charset val="1"/>
      </rPr>
      <t xml:space="preserve">2026-12</t>
    </r>
    <r>
      <rPr>
        <sz val="11"/>
        <color theme="1"/>
        <rFont val="Noto Sans CJK SC"/>
        <family val="2"/>
      </rPr>
      <t xml:space="preserve">、更新日 </t>
    </r>
    <r>
      <rPr>
        <sz val="11"/>
        <color theme="1"/>
        <rFont val="Calibri"/>
        <family val="2"/>
        <charset val="1"/>
      </rPr>
      <t xml:space="preserve">2026-04-30 </t>
    </r>
    <r>
      <rPr>
        <sz val="11"/>
        <color theme="1"/>
        <rFont val="Noto Sans CJK SC"/>
        <family val="2"/>
      </rPr>
      <t xml:space="preserve">均與原文一致。但這是第三方明載的數字，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偏離，且日期並非推估。</t>
    </r>
  </si>
  <si>
    <t xml:space="preserve">https://www.blackridgeresearch.com/project-profiles/ajman-data-center-project-khazna-location-cost-contractors-current-status-latest-updates</t>
  </si>
  <si>
    <t xml:space="preserve">S#269</t>
  </si>
  <si>
    <t xml:space="preserve">DataVolt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</si>
  <si>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</si>
  <si>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、未說明口徑、日期皆符。但原文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僅指首批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，不是整個首期，備註寫「僅指首期」不準確。</t>
    </r>
  </si>
  <si>
    <t xml:space="preserve">https://www.neom.com/en-us/newsroom/HUMAIN-and-DataVolt-to-develop-AI-data-center-in-NEOM</t>
  </si>
  <si>
    <t xml:space="preserve">S#270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</si>
  <si>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</si>
  <si>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首期與動工屬實。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只是首批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的可用時點，原文未說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全期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的說法原文未提。</t>
    </r>
  </si>
  <si>
    <t xml:space="preserve">S#271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</si>
  <si>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｜首期內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</si>
  <si>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PIF </t>
    </r>
    <r>
      <rPr>
        <sz val="11"/>
        <color theme="1"/>
        <rFont val="Noto Sans CJK SC"/>
        <family val="2"/>
      </rPr>
      <t xml:space="preserve">公司皆符。但原文未提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為使用者，</t>
    </r>
    <r>
      <rPr>
        <sz val="11"/>
        <color theme="1"/>
        <rFont val="Calibri"/>
        <family val="2"/>
        <charset val="1"/>
      </rPr>
      <t xml:space="preserve">Semafor 13 </t>
    </r>
    <r>
      <rPr>
        <sz val="11"/>
        <color theme="1"/>
        <rFont val="Noto Sans CJK SC"/>
        <family val="2"/>
      </rPr>
      <t xml:space="preserve">個月的說法也不在原文。</t>
    </r>
  </si>
  <si>
    <t xml:space="preserve">S#272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</si>
  <si>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承租容量（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區塊內）｜簽約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</si>
  <si>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</si>
  <si>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的一半、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分階段上線、日期皆屬實。但原文是 </t>
    </r>
    <r>
      <rPr>
        <sz val="11"/>
        <color theme="1"/>
        <rFont val="Calibri"/>
        <family val="2"/>
        <charset val="1"/>
      </rPr>
      <t xml:space="preserve">'an anchor customer'</t>
    </r>
    <r>
      <rPr>
        <sz val="11"/>
        <color theme="1"/>
        <rFont val="Noto Sans CJK SC"/>
        <family val="2"/>
      </rPr>
      <t xml:space="preserve">，沒說『首家』；『比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目標早』原文找不到；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寫『公司本人』，實為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</si>
  <si>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https://www.datacenterdynamics.com/en/news/nebius-signs-on-for-50mw-at-neoms-oxagon-data-center-in-saudi-arabia/</t>
  </si>
  <si>
    <t xml:space="preserve">S#273</t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</si>
  <si>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</t>
    </r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</si>
  <si>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</si>
  <si>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2025-12-09</t>
  </si>
  <si>
    <r>
      <rPr>
        <sz val="11"/>
        <color theme="1"/>
        <rFont val="Noto Sans CJK SC"/>
        <family val="2"/>
      </rPr>
      <t xml:space="preserve">原文確實只講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Integrated Compute center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、站址、時程；「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億」應為</t>
    </r>
    <r>
      <rPr>
        <sz val="11"/>
        <color theme="1"/>
        <rFont val="Calibri"/>
        <family val="2"/>
        <charset val="1"/>
      </rPr>
      <t xml:space="preserve">$20 billion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=20B</t>
    </r>
    <r>
      <rPr>
        <sz val="11"/>
        <color theme="1"/>
        <rFont val="Noto Sans CJK SC"/>
        <family val="2"/>
      </rPr>
      <t xml:space="preserve">，其實正確）。但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「公司本人」非標題，且稱「</t>
    </r>
    <r>
      <rPr>
        <sz val="11"/>
        <color theme="1"/>
        <rFont val="Calibri"/>
        <family val="2"/>
        <charset val="1"/>
      </rPr>
      <t xml:space="preserve">Qatar AI Compute Center</t>
    </r>
    <r>
      <rPr>
        <sz val="11"/>
        <color theme="1"/>
        <rFont val="Noto Sans CJK SC"/>
        <family val="2"/>
      </rPr>
      <t xml:space="preserve">」名稱原文未見；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」第三方說法原文無法核對。</t>
    </r>
  </si>
  <si>
    <t xml:space="preserve">https://www.qia.qa/en/Newsroom/Pages/Brookfield-and-Qai-Form-$20-Billion-Strategic-Investment-Partnership-for-AI-Infrastructure.aspx</t>
  </si>
  <si>
    <t xml:space="preserve">S#274</t>
  </si>
  <si>
    <t xml:space="preserve">MEEZA</t>
  </si>
  <si>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｜初期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託管，與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園區關係未明）｜在建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</si>
  <si>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Qai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MEEZA </t>
    </r>
    <r>
      <rPr>
        <sz val="11"/>
        <color theme="1"/>
        <rFont val="Noto Sans CJK SC"/>
        <family val="2"/>
      </rPr>
      <t xml:space="preserve">杜哈機房部署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，日期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，未揭露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數量或金額，也未提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。「既有」為合理推斷。新聞稿屬公司自述，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</si>
  <si>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https://www.meeza.net/qai-and-meeza-to-deliver-ai-infrastructure-services/</t>
  </si>
  <si>
    <t xml:space="preserve">S#275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</si>
  <si>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</si>
  <si>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</si>
  <si>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原文是記者（</t>
    </r>
    <r>
      <rPr>
        <sz val="11"/>
        <color theme="1"/>
        <rFont val="Calibri"/>
        <family val="2"/>
        <charset val="1"/>
      </rPr>
      <t xml:space="preserve">DCmag</t>
    </r>
    <r>
      <rPr>
        <sz val="11"/>
        <color theme="1"/>
        <rFont val="Noto Sans CJK SC"/>
        <family val="2"/>
      </rPr>
      <t xml:space="preserve">）報導，非公司本人說法。「</t>
    </r>
    <r>
      <rPr>
        <sz val="11"/>
        <color theme="1"/>
        <rFont val="Calibri"/>
        <family val="2"/>
        <charset val="1"/>
      </rPr>
      <t xml:space="preserve">Data4 </t>
    </r>
    <r>
      <rPr>
        <sz val="11"/>
        <color theme="1"/>
        <rFont val="Noto Sans CJK SC"/>
        <family val="2"/>
      </rPr>
      <t xml:space="preserve">稱約十年內不會達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」原文找不到。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與日期可對上，但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</si>
  <si>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https://dcmag.fr/cambrai-le-mega-data-center-e-valley-de-data4-et-brookfield-recoit-un-second-feu-vert-foncier/</t>
  </si>
  <si>
    <t xml:space="preserve">S#276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</si>
  <si>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｜第一階段（短期目標）｜規劃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</si>
  <si>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屬實，但為記者轉述。原文未提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年目標，反而稱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年投運；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L'Usine Nouvelle </t>
    </r>
    <r>
      <rPr>
        <sz val="11"/>
        <color theme="1"/>
        <rFont val="Noto Sans CJK SC"/>
        <family val="2"/>
      </rPr>
      <t xml:space="preserve">在原文找不到。</t>
    </r>
  </si>
  <si>
    <t xml:space="preserve">S#277</t>
  </si>
  <si>
    <t xml:space="preserve">Fluidstack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</si>
  <si>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</si>
  <si>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2025-02-10</t>
  </si>
  <si>
    <t xml:space="preserve">https://www.businesswire.com/news/home/20250210579531/en/Fluidstack-to-Build-1GW-AI-Supercomputer-in-France</t>
  </si>
  <si>
    <t xml:space="preserve">S#278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</si>
  <si>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</si>
  <si>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S#279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</si>
  <si>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</si>
  <si>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退出，疑似 </t>
    </r>
    <r>
      <rPr>
        <sz val="11"/>
        <color theme="1"/>
        <rFont val="Calibri"/>
        <family val="2"/>
        <charset val="1"/>
      </rPr>
      <t xml:space="preserve">Bosquel </t>
    </r>
    <r>
      <rPr>
        <sz val="11"/>
        <color theme="1"/>
        <rFont val="Noto Sans CJK SC"/>
        <family val="2"/>
      </rPr>
      <t xml:space="preserve">站址）｜規劃</t>
    </r>
  </si>
  <si>
    <t xml:space="preserve">2026-03-18</t>
  </si>
  <si>
    <t xml:space="preserve">https://www.bloomberg.com/news/articles/2026-03-18/fluidstack-drops-out-of-marquee-10-billion-ai-project-in-france</t>
  </si>
  <si>
    <t xml:space="preserve">S#280</t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</si>
  <si>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</si>
  <si>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Bosquel Business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退出後接手）｜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Sesterce </t>
    </r>
    <r>
      <rPr>
        <sz val="11"/>
        <color theme="1"/>
        <rFont val="Noto Sans CJK SC"/>
        <family val="2"/>
      </rPr>
      <t xml:space="preserve">合資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</si>
  <si>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、合資公司、日期、利害關係人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均屬實。但原文未提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退出或接手，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也不是原文標題，</t>
    </r>
    <r>
      <rPr>
        <sz val="11"/>
        <color theme="1"/>
        <rFont val="Calibri"/>
        <family val="2"/>
        <charset val="1"/>
      </rPr>
      <t xml:space="preserve">quote </t>
    </r>
    <r>
      <rPr>
        <sz val="11"/>
        <color theme="1"/>
        <rFont val="Noto Sans CJK SC"/>
        <family val="2"/>
      </rPr>
      <t xml:space="preserve">帶有 </t>
    </r>
    <r>
      <rPr>
        <sz val="11"/>
        <color theme="1"/>
        <rFont val="Calibri"/>
        <family val="2"/>
        <charset val="1"/>
      </rPr>
      <t xml:space="preserve">cite </t>
    </r>
    <r>
      <rPr>
        <sz val="11"/>
        <color theme="1"/>
        <rFont val="Noto Sans CJK SC"/>
        <family val="2"/>
      </rPr>
      <t xml:space="preserve">標籤殘留。不影響數值。</t>
    </r>
  </si>
  <si>
    <t xml:space="preserve">https://group.softbank/en/news/press/20260531</t>
  </si>
  <si>
    <t xml:space="preserve">S#281</t>
  </si>
  <si>
    <t xml:space="preserve">EcoDataCenter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</si>
  <si>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超大園區）｜全園區｜規劃</t>
    </r>
  </si>
  <si>
    <t xml:space="preserve">2025-09-24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</si>
  <si>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為擴充潛力，日期 </t>
    </r>
    <r>
      <rPr>
        <sz val="11"/>
        <color theme="1"/>
        <rFont val="Calibri"/>
        <family val="2"/>
        <charset val="1"/>
      </rPr>
      <t xml:space="preserve">2025-09-24</t>
    </r>
    <r>
      <rPr>
        <sz val="11"/>
        <color theme="1"/>
        <rFont val="Noto Sans CJK SC"/>
        <family val="2"/>
      </rPr>
      <t xml:space="preserve">，營運者本人說法，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，該欄需另有來源。</t>
    </r>
  </si>
  <si>
    <t xml:space="preserve">https://ecodatacenter.tech/press/ecodatacenter-breaks-ground-on-mega-campus-in-borlnge-3406556</t>
  </si>
  <si>
    <t xml:space="preserve">S#282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</si>
  <si>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EcoDataCenter 2 </t>
    </r>
    <r>
      <rPr>
        <sz val="11"/>
        <color theme="1"/>
        <rFont val="Noto Sans CJK SC"/>
        <family val="2"/>
      </rPr>
      <t xml:space="preserve">首期｜在建</t>
    </r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</si>
  <si>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年初完工皆與原文一致，口徑未說明，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，也未提第三方 </t>
    </r>
    <r>
      <rPr>
        <sz val="11"/>
        <color theme="1"/>
        <rFont val="Calibri"/>
        <family val="2"/>
        <charset val="1"/>
      </rPr>
      <t xml:space="preserve">48 MW </t>
    </r>
    <r>
      <rPr>
        <sz val="11"/>
        <color theme="1"/>
        <rFont val="Noto Sans CJK SC"/>
        <family val="2"/>
      </rPr>
      <t xml:space="preserve">等數字。</t>
    </r>
  </si>
  <si>
    <t xml:space="preserve">S#283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</si>
  <si>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租用容量（</t>
    </r>
    <r>
      <rPr>
        <sz val="11"/>
        <color theme="1"/>
        <rFont val="Calibri"/>
        <family val="2"/>
        <charset val="1"/>
      </rPr>
      <t xml:space="preserve">Vera Rubin GPU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</si>
  <si>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€12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年開幕、</t>
    </r>
    <r>
      <rPr>
        <sz val="11"/>
        <color theme="1"/>
        <rFont val="Calibri"/>
        <family val="2"/>
        <charset val="1"/>
      </rPr>
      <t xml:space="preserve">Borlänge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均屬實，且原文未揭露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稱租用容量」不在此原文，屬他處引述。</t>
    </r>
  </si>
  <si>
    <t xml:space="preserve">https://ecodatacenter.tech/press/mistral-ai-and-ecodatacenter-partner-to-build-ai-focused-data-center-in-sweden-3431886</t>
  </si>
  <si>
    <t xml:space="preserve">S#284</t>
  </si>
  <si>
    <t xml:space="preserve">QTS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</si>
  <si>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｜全園區｜規劃</t>
    </r>
  </si>
  <si>
    <t xml:space="preserve">720 MW</t>
  </si>
  <si>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2026-04-14</t>
    </r>
    <r>
      <rPr>
        <sz val="11"/>
        <color theme="1"/>
        <rFont val="Noto Sans CJK SC"/>
        <family val="2"/>
      </rPr>
      <t xml:space="preserve">皆屬實；但原文無議員稱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，也無</t>
    </r>
    <r>
      <rPr>
        <sz val="11"/>
        <color theme="1"/>
        <rFont val="Calibri"/>
        <family val="2"/>
        <charset val="1"/>
      </rPr>
      <t xml:space="preserve">2035</t>
    </r>
    <r>
      <rPr>
        <sz val="11"/>
        <color theme="1"/>
        <rFont val="Noto Sans CJK SC"/>
        <family val="2"/>
      </rPr>
      <t xml:space="preserve">完工，這兩項找不到。另</t>
    </r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為記者轉述，非</t>
    </r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本人說法。</t>
    </r>
  </si>
  <si>
    <t xml:space="preserve">https://datacentrereview.com/2026/04/qts-reaffirms-commitment-to-north-east-ai-growth-zone/</t>
  </si>
  <si>
    <t xml:space="preserve">S#285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</si>
  <si>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｜第一期（第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棟）｜在建</t>
    </r>
  </si>
  <si>
    <t xml:space="preserve">144 MW</t>
  </si>
  <si>
    <r>
      <rPr>
        <sz val="11"/>
        <color theme="1"/>
        <rFont val="Noto Sans CJK SC"/>
        <family val="2"/>
      </rPr>
      <t xml:space="preserve">原文只說前兩棟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營運，未提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；「原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」亦不在原文，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應來自他處，列內推算無法由本文核對。</t>
    </r>
  </si>
  <si>
    <t xml:space="preserve">https://www.businessnorthumberland.co.uk/qts-applies-to-speed-up-10bn-uk-data-centre-delivery/</t>
  </si>
  <si>
    <t xml:space="preserve">S#286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</si>
  <si>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</si>
  <si>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完成及提早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年屬實；但原文無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數字，僅有全案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，推算所用數字找不到。</t>
    </r>
  </si>
  <si>
    <t xml:space="preserve">S#287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</si>
  <si>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</t>
    </r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</si>
  <si>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</si>
  <si>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1,000MW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年首期、</t>
    </r>
    <r>
      <rPr>
        <sz val="11"/>
        <color theme="1"/>
        <rFont val="Calibri"/>
        <family val="2"/>
        <charset val="1"/>
      </rPr>
      <t xml:space="preserve">outline approval </t>
    </r>
    <r>
      <rPr>
        <sz val="11"/>
        <color theme="1"/>
        <rFont val="Noto Sans CJK SC"/>
        <family val="2"/>
      </rPr>
      <t xml:space="preserve">皆與原文一致。日期由網址得知。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等其他說法與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進展不在此原文，未核。</t>
    </r>
  </si>
  <si>
    <t xml:space="preserve">https://www.constructionenquirer.com/2026/03/12/uks-biggest-ai-data-centre-plan-approved/</t>
  </si>
  <si>
    <t xml:space="preserve">S#288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</si>
  <si>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</si>
  <si>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開放第一期、僅</t>
    </r>
    <r>
      <rPr>
        <sz val="11"/>
        <color theme="1"/>
        <rFont val="Calibri"/>
        <family val="2"/>
        <charset val="1"/>
      </rPr>
      <t xml:space="preserve">outline</t>
    </r>
    <r>
      <rPr>
        <sz val="11"/>
        <color theme="1"/>
        <rFont val="Noto Sans CJK SC"/>
        <family val="2"/>
      </rPr>
      <t xml:space="preserve">許可、建設期約十年皆屬實，第一期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原文未提。但原文未出現 </t>
    </r>
    <r>
      <rPr>
        <sz val="11"/>
        <color theme="1"/>
        <rFont val="Calibri"/>
        <family val="2"/>
        <charset val="1"/>
      </rPr>
      <t xml:space="preserve">Elsham Tech Park Ltd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Greystoke</t>
    </r>
    <r>
      <rPr>
        <sz val="11"/>
        <color theme="1"/>
        <rFont val="Noto Sans CJK SC"/>
        <family val="2"/>
      </rPr>
      <t xml:space="preserve">，這兩個名稱找不到出處。</t>
    </r>
  </si>
  <si>
    <t xml:space="preserve">https://www.newcivilengineer.com/latest/uks-largest-ai-data-centre-receives-approval-paving-way-for-10bn-investment-12-03-2026/</t>
  </si>
  <si>
    <t xml:space="preserve">S#289</t>
  </si>
  <si>
    <t xml:space="preserve">Sesterce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</si>
  <si>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｜第一期｜規劃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</si>
  <si>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</si>
  <si>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、日期、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動工、錨定客戶未具名皆符。但 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引述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與市府稱許可未完成，原文找不到（市長只說須符合要求），可能來自他處。</t>
    </r>
  </si>
  <si>
    <t xml:space="preserve">https://www.sesterce.com/newsroom/sesterce-plans-ai-campus-kaipola-jamsa-finland</t>
  </si>
  <si>
    <t xml:space="preserve">S#290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</si>
  <si>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</si>
  <si>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第二期、長期逾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400=600−200</t>
    </r>
    <r>
      <rPr>
        <sz val="11"/>
        <color theme="1"/>
        <rFont val="Noto Sans CJK SC"/>
        <family val="2"/>
      </rPr>
      <t xml:space="preserve">為推算，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標註合理。原文未說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是否累計，但推論合理。</t>
    </r>
  </si>
  <si>
    <t xml:space="preserve">S#291</t>
  </si>
  <si>
    <t xml:space="preserve">Brookfield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</si>
  <si>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</si>
  <si>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2025-06-04</t>
  </si>
  <si>
    <t xml:space="preserve">https://www.barchart.com/story/news/32750671/brookfield-to-advance-ai-infrastructure-in-sweden-through-sek-95-billion-investment</t>
  </si>
  <si>
    <t xml:space="preserve">S#292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</si>
  <si>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｜原規劃（既有土地）｜規劃</t>
    </r>
  </si>
  <si>
    <t xml:space="preserve">S#293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</si>
  <si>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</si>
  <si>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</si>
  <si>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11 Mrd </t>
    </r>
    <r>
      <rPr>
        <sz val="11"/>
        <color theme="1"/>
        <rFont val="Noto Sans CJK SC"/>
        <family val="2"/>
      </rPr>
      <t xml:space="preserve">歐元（</t>
    </r>
    <r>
      <rPr>
        <sz val="11"/>
        <color theme="1"/>
        <rFont val="Calibri"/>
        <family val="2"/>
        <charset val="1"/>
      </rPr>
      <t xml:space="preserve">=110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皆屬實。原文只提第一階段三模組、兩個建設階段，沒有「共六棟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模組」。不影響數值。</t>
    </r>
  </si>
  <si>
    <t xml:space="preserve">https://www.presseportal.de/pm/176941/6160204</t>
  </si>
  <si>
    <t xml:space="preserve">S#294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</si>
  <si>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</si>
  <si>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｜第一建設階段（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個模組）｜在建</t>
    </r>
  </si>
  <si>
    <r>
      <rPr>
        <sz val="11"/>
        <color theme="1"/>
        <rFont val="Noto Sans CJK SC"/>
        <family val="2"/>
      </rPr>
      <t xml:space="preserve">第一階段三模組於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年底完成、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年起餘熱併入區域供暖，皆有原文。原文未單獨揭露第一階段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，與列中說法一致。</t>
    </r>
  </si>
  <si>
    <t xml:space="preserve">S#295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</si>
  <si>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｜第二建設階段（其餘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個模組）｜規劃</t>
    </r>
  </si>
  <si>
    <r>
      <rPr>
        <sz val="11"/>
        <color theme="1"/>
        <rFont val="Noto Sans CJK SC"/>
        <family val="2"/>
      </rPr>
      <t xml:space="preserve">「兩階段共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」且第二階段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未揭露，屬實。但頁面日期為 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，並非「不明」，與 </t>
    </r>
    <r>
      <rPr>
        <sz val="11"/>
        <color theme="1"/>
        <rFont val="Calibri"/>
        <family val="2"/>
        <charset val="1"/>
      </rPr>
      <t xml:space="preserve">2025-11-17 </t>
    </r>
    <r>
      <rPr>
        <sz val="11"/>
        <color theme="1"/>
        <rFont val="Noto Sans CJK SC"/>
        <family val="2"/>
      </rPr>
      <t xml:space="preserve">差一天。原文也沒有「其餘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個模組」及「模組化擴充」的說法，標題「記者推論」亦與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不一致。</t>
    </r>
  </si>
  <si>
    <t xml:space="preserve">https://www.datacenterdynamics.com/en/news/lidl-owner-schwarz-breaks-ground-on-200mw-data-center-in-germany/</t>
  </si>
  <si>
    <t xml:space="preserve">S#296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</si>
  <si>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</si>
  <si>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</si>
  <si>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億歐元屬實。但原文稱第四期「初始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＋潛在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」，且為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容量口徑，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寫「未說明」稍偏；「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年初約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」等說法原文找不到。</t>
    </r>
  </si>
  <si>
    <t xml:space="preserve">https://www.merca2.es/2026/08/10/merlin-centro-datos-extremadura-2434033/</t>
  </si>
  <si>
    <t xml:space="preserve">S#297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</si>
  <si>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｜第一階段首期（首棟起步）｜規劃</t>
    </r>
  </si>
  <si>
    <t xml:space="preserve">20 MW</t>
  </si>
  <si>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億歐元、首棟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皆屬實。但原文稱秋季動工、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月可能核發施工許可，無「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」、原定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月底動工、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改稱年底前等說法，原文找不到；推算部分不在原文。</t>
    </r>
  </si>
  <si>
    <t xml:space="preserve">S#298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</si>
  <si>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｜第一階段首期（首棟起步）－電力側｜簽約</t>
    </r>
  </si>
  <si>
    <t xml:space="preserve">29 MW</t>
  </si>
  <si>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原文有；但原文稱「</t>
    </r>
    <r>
      <rPr>
        <sz val="11"/>
        <color theme="1"/>
        <rFont val="Calibri"/>
        <family val="2"/>
        <charset val="1"/>
      </rPr>
      <t xml:space="preserve">granted electrical power</t>
    </r>
    <r>
      <rPr>
        <sz val="11"/>
        <color theme="1"/>
        <rFont val="Noto Sans CJK SC"/>
        <family val="2"/>
      </rPr>
      <t xml:space="preserve">」，標「設施」為本人判斷；</t>
    </r>
    <r>
      <rPr>
        <sz val="11"/>
        <color theme="1"/>
        <rFont val="Calibri"/>
        <family val="2"/>
        <charset val="1"/>
      </rPr>
      <t xml:space="preserve">COPE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Iberdrola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天前」原文找不到；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與來源標示為公司本人、經媒體轉述，偏弱。</t>
    </r>
  </si>
  <si>
    <t xml:space="preserve">https://cloudnews.tech/merlins-new-navalmoral-data-center-is-constrained-by-power-not-ambition/</t>
  </si>
  <si>
    <t xml:space="preserve">S#299</t>
  </si>
  <si>
    <t xml:space="preserve">Merlin Edged, SL</t>
  </si>
  <si>
    <r>
      <rPr>
        <sz val="11"/>
        <color theme="1"/>
        <rFont val="Calibri"/>
        <family val="2"/>
        <charset val="1"/>
      </rPr>
      <t xml:space="preserve">Merlin Edged, SL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｜環評申請範圍（</t>
    </r>
    <r>
      <rPr>
        <sz val="11"/>
        <color theme="1"/>
        <rFont val="Calibri"/>
        <family val="2"/>
        <charset val="1"/>
      </rPr>
      <t xml:space="preserve">Parcela I-64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棟）｜規劃</t>
    </r>
  </si>
  <si>
    <t xml:space="preserve">288 MW</t>
  </si>
  <si>
    <t xml:space="preserve">2026-05-22</t>
  </si>
  <si>
    <r>
      <rPr>
        <sz val="11"/>
        <color theme="1"/>
        <rFont val="Calibri"/>
        <family val="2"/>
        <charset val="1"/>
      </rPr>
      <t xml:space="preserve">288MW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206,753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台發電機、出租均屬實；但「已授予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」在本文找不到，應出自他處。</t>
    </r>
  </si>
  <si>
    <t xml:space="preserve">https://www.eldiario.es/extremadura/politica/futuro-macrocentro-datos-merlin-navalmoral-mata-inicia-examen-ambiental_1_13241719.html</t>
  </si>
  <si>
    <t xml:space="preserve">S#300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</si>
  <si>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</si>
  <si>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月簡報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，數值屬實；但「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公司稱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億歐元」及日期推估於原文找不到。</t>
    </r>
  </si>
  <si>
    <t xml:space="preserve">S#301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</si>
  <si>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 </t>
    </r>
    <r>
      <rPr>
        <sz val="11"/>
        <color theme="1"/>
        <rFont val="Noto Sans CJK SC"/>
        <family val="2"/>
      </rPr>
      <t xml:space="preserve">後續擴充｜規劃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</si>
  <si>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屬實，取決於電網容量亦合；但「</t>
    </r>
    <r>
      <rPr>
        <sz val="11"/>
        <color theme="1"/>
        <rFont val="Calibri"/>
        <family val="2"/>
        <charset val="1"/>
      </rPr>
      <t xml:space="preserve">Canal Extremadura</t>
    </r>
    <r>
      <rPr>
        <sz val="11"/>
        <color theme="1"/>
        <rFont val="Noto Sans CJK SC"/>
        <family val="2"/>
      </rPr>
      <t xml:space="preserve">稱預留土地」原文找不到，其餘為推估。</t>
    </r>
  </si>
  <si>
    <t xml:space="preserve">S#302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</si>
  <si>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｜全園區｜規劃</t>
    </r>
  </si>
  <si>
    <t xml:space="preserve">430 MW</t>
  </si>
  <si>
    <t xml:space="preserve">https://www.eleconomista.es/tecnologia/noticias/14017615/09/26/blackstone-ya-tiene-via-libre-su-primer-centro-de-datos-en-zaragoza-estara-finalizado-en-2028.html</t>
  </si>
  <si>
    <t xml:space="preserve">S#303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</si>
  <si>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棟）｜規劃</t>
    </r>
  </si>
  <si>
    <t xml:space="preserve">S#304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</si>
  <si>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｜第二期（最多再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</si>
  <si>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第二期最多再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與時程也確實未載。但 </t>
    </r>
    <r>
      <rPr>
        <sz val="11"/>
        <color theme="1"/>
        <rFont val="Calibri"/>
        <family val="2"/>
        <charset val="1"/>
      </rPr>
      <t xml:space="preserve">220 kV </t>
    </r>
    <r>
      <rPr>
        <sz val="11"/>
        <color theme="1"/>
        <rFont val="Noto Sans CJK SC"/>
        <family val="2"/>
      </rPr>
      <t xml:space="preserve">併網許可程序在原文找不到。來源是媒體報導政府核准，並非公司本人；日期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也未見於原文。</t>
    </r>
  </si>
  <si>
    <t xml:space="preserve">https://www.goaragon.es/noticias-aragon-espana-proyecto-rhodes-campus-centros-datos-calatorao-empleos/</t>
  </si>
  <si>
    <t xml:space="preserve">S#305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</si>
  <si>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</si>
  <si>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La Muela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Centrovía</t>
    </r>
    <r>
      <rPr>
        <sz val="11"/>
        <color theme="1"/>
        <rFont val="Noto Sans CJK SC"/>
        <family val="2"/>
      </rPr>
      <t xml:space="preserve">）｜規劃</t>
    </r>
  </si>
  <si>
    <t xml:space="preserve">2025-11-14</t>
  </si>
  <si>
    <r>
      <rPr>
        <sz val="11"/>
        <color theme="1"/>
        <rFont val="Noto Sans CJK SC"/>
        <family val="2"/>
      </rPr>
      <t xml:space="preserve">每園初始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2025-11-14</t>
    </r>
    <r>
      <rPr>
        <sz val="11"/>
        <color theme="1"/>
        <rFont val="Noto Sans CJK SC"/>
        <family val="2"/>
      </rPr>
      <t xml:space="preserve">屬實；原文稱「</t>
    </r>
    <r>
      <rPr>
        <sz val="11"/>
        <color theme="1"/>
        <rFont val="Calibri"/>
        <family val="2"/>
        <charset val="1"/>
      </rPr>
      <t xml:space="preserve">fuentes de Microsoft</t>
    </r>
    <r>
      <rPr>
        <sz val="11"/>
        <color theme="1"/>
        <rFont val="Noto Sans CJK SC"/>
        <family val="2"/>
      </rPr>
      <t xml:space="preserve">」說法，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算利害關係人可接受。原文第一期最長四年，未明列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來自他處；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僅初步核准的說法與原文「</t>
    </r>
    <r>
      <rPr>
        <sz val="11"/>
        <color theme="1"/>
        <rFont val="Calibri"/>
        <family val="2"/>
        <charset val="1"/>
      </rPr>
      <t xml:space="preserve">aprobado</t>
    </r>
    <r>
      <rPr>
        <sz val="11"/>
        <color theme="1"/>
        <rFont val="Noto Sans CJK SC"/>
        <family val="2"/>
      </rPr>
      <t xml:space="preserve">」不一致。</t>
    </r>
  </si>
  <si>
    <t xml:space="preserve">https://www.datacentermarket.es/datacenter-infrastructure/microsoft-pisa-el-acelerador-en-aragon-invierte-mas-de-5-millones-de-euros-en-tres-data-centers/</t>
  </si>
  <si>
    <t xml:space="preserve">S#306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</si>
  <si>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Villamayor de Gállego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</si>
  <si>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50MW/</t>
    </r>
    <r>
      <rPr>
        <sz val="11"/>
        <color theme="1"/>
        <rFont val="Noto Sans CJK SC"/>
        <family val="2"/>
      </rPr>
      <t xml:space="preserve">園屬實；</t>
    </r>
    <r>
      <rPr>
        <sz val="11"/>
        <color theme="1"/>
        <rFont val="Calibri"/>
        <family val="2"/>
        <charset val="1"/>
      </rPr>
      <t xml:space="preserve">Villamayor</t>
    </r>
    <r>
      <rPr>
        <sz val="11"/>
        <color theme="1"/>
        <rFont val="Noto Sans CJK SC"/>
        <family val="2"/>
      </rPr>
      <t xml:space="preserve">為三棟</t>
    </r>
    <r>
      <rPr>
        <sz val="11"/>
        <color theme="1"/>
        <rFont val="Calibri"/>
        <family val="2"/>
        <charset val="1"/>
      </rPr>
      <t xml:space="preserve">Double</t>
    </r>
    <r>
      <rPr>
        <sz val="11"/>
        <color theme="1"/>
        <rFont val="Noto Sans CJK SC"/>
        <family val="2"/>
      </rPr>
      <t xml:space="preserve">雙層，屬實。但原文稱三園各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、未寫合計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已核准、可儘速動工，與「待最終核准」相左（該說法來自他處）。</t>
    </r>
  </si>
  <si>
    <t xml:space="preserve">S#307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</si>
  <si>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Puerto Venecia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</si>
  <si>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每園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屬實。原文未提整地許可、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開工等細節，這些來自其他來源；本來源僅支持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與最長四年第一期。</t>
    </r>
  </si>
  <si>
    <t xml:space="preserve">S#308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</si>
  <si>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）｜全園區（成熟期目標）｜規劃</t>
    </r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</si>
  <si>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（每園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、取決於電力規劃與併網）及</t>
    </r>
    <r>
      <rPr>
        <sz val="11"/>
        <color theme="1"/>
        <rFont val="Calibri"/>
        <family val="2"/>
        <charset val="1"/>
      </rPr>
      <t xml:space="preserve">5,356</t>
    </r>
    <r>
      <rPr>
        <sz val="11"/>
        <color theme="1"/>
        <rFont val="Noto Sans CJK SC"/>
        <family val="2"/>
      </rPr>
      <t xml:space="preserve">百萬歐元、十年期均屬實。但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是由十年期推算，原文未明列；來源是媒體轉述，標「公司本人」稍偏。</t>
    </r>
  </si>
  <si>
    <t xml:space="preserve">https://mundowin.com/microsoft-invertira-5-356-millones-en-aragon-para-su-mayor-region-de-datos/</t>
  </si>
  <si>
    <t xml:space="preserve">S#309</t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</si>
  <si>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</t>
    </r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</si>
  <si>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</si>
  <si>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、設計中、模組化、</t>
    </r>
    <r>
      <rPr>
        <sz val="11"/>
        <color theme="1"/>
        <rFont val="Calibri"/>
        <family val="2"/>
        <charset val="1"/>
      </rPr>
      <t xml:space="preserve">Eni–Khazna JV </t>
    </r>
    <r>
      <rPr>
        <sz val="11"/>
        <color theme="1"/>
        <rFont val="Noto Sans CJK SC"/>
        <family val="2"/>
      </rPr>
      <t xml:space="preserve">與日期 </t>
    </r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皆與原文一致。但來源是記者報導，並非公司本人說法，標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稍偏。原文未提 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，這兩項屬外部補充。</t>
    </r>
  </si>
  <si>
    <t xml:space="preserve">https://en.ilsole24ore.com/art/data-centre-eu-gives-green-light-to-eni-khazna-joint-venture-lombardy-hub-to-be-accelerated-AJl2Zcj</t>
  </si>
  <si>
    <t xml:space="preserve">S#310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</si>
  <si>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</t>
    </r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</si>
  <si>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意向書方案（兩期）｜簽約</t>
    </r>
  </si>
  <si>
    <t xml:space="preserve">2025-02-28</t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</si>
  <si>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、兩期「</t>
    </r>
    <r>
      <rPr>
        <sz val="11"/>
        <color theme="1"/>
        <rFont val="Calibri"/>
        <family val="2"/>
        <charset val="1"/>
      </rPr>
      <t xml:space="preserve">up to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屬實。但原文載明日期為 </t>
    </r>
    <r>
      <rPr>
        <sz val="11"/>
        <color theme="1"/>
        <rFont val="Calibri"/>
        <family val="2"/>
        <charset val="1"/>
      </rPr>
      <t xml:space="preserve">2025-02-25</t>
    </r>
    <r>
      <rPr>
        <sz val="11"/>
        <color theme="1"/>
        <rFont val="Noto Sans CJK SC"/>
        <family val="2"/>
      </rPr>
      <t xml:space="preserve">（頁首 </t>
    </r>
    <r>
      <rPr>
        <sz val="11"/>
        <color theme="1"/>
        <rFont val="Calibri"/>
        <family val="2"/>
        <charset val="1"/>
      </rPr>
      <t xml:space="preserve">02-24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02-28</t>
    </r>
    <r>
      <rPr>
        <sz val="11"/>
        <color theme="1"/>
        <rFont val="Noto Sans CJK SC"/>
        <family val="2"/>
      </rPr>
      <t xml:space="preserve">，且「來源未載明日期」不正確。</t>
    </r>
  </si>
  <si>
    <t xml:space="preserve">https://www.eni.com/en-IT/media/press-release/2025/02/pr-eni-expands-collaboration-with-uae-in-data-center.html</t>
  </si>
  <si>
    <t xml:space="preserve">S#311</t>
  </si>
  <si>
    <t xml:space="preserve">Eni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</si>
  <si>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｜既有 </t>
    </r>
    <r>
      <rPr>
        <sz val="11"/>
        <color theme="1"/>
        <rFont val="Calibri"/>
        <family val="2"/>
        <charset val="1"/>
      </rPr>
      <t xml:space="preserve">Eni Green Data Centre</t>
    </r>
    <r>
      <rPr>
        <sz val="11"/>
        <color theme="1"/>
        <rFont val="Noto Sans CJK SC"/>
        <family val="2"/>
      </rPr>
      <t xml:space="preserve">（非新園區）｜上線</t>
    </r>
  </si>
  <si>
    <t xml:space="preserve">2025-07-11</t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</si>
  <si>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年與自用超算屬實。但原文日期為 </t>
    </r>
    <r>
      <rPr>
        <sz val="11"/>
        <color theme="1"/>
        <rFont val="Calibri"/>
        <family val="2"/>
        <charset val="1"/>
      </rPr>
      <t xml:space="preserve">2025-07-17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月完工投運原文找不到；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偏離，應屬記者敘述。</t>
    </r>
  </si>
  <si>
    <t xml:space="preserve">https://www.datacenterdynamics.com/en/news/italys-eni-and-khazna-partner-for-500mw-data-center-campus-outside-milan/</t>
  </si>
  <si>
    <t xml:space="preserve">S#312</t>
  </si>
  <si>
    <t xml:space="preserve">GreenScale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</si>
  <si>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</si>
  <si>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2.5B+</t>
    </r>
    <r>
      <rPr>
        <sz val="11"/>
        <color theme="1"/>
        <rFont val="Noto Sans CJK SC"/>
        <family val="2"/>
      </rPr>
      <t xml:space="preserve">、四棟均屬實。但原文無 </t>
    </r>
    <r>
      <rPr>
        <sz val="11"/>
        <color theme="1"/>
        <rFont val="Calibri"/>
        <family val="2"/>
        <charset val="1"/>
      </rPr>
      <t xml:space="preserve">Statnett</t>
    </r>
    <r>
      <rPr>
        <sz val="11"/>
        <color theme="1"/>
        <rFont val="Noto Sans CJK SC"/>
        <family val="2"/>
      </rPr>
      <t xml:space="preserve">、「尖峰負載」字樣，只寫 </t>
    </r>
    <r>
      <rPr>
        <sz val="11"/>
        <color theme="1"/>
        <rFont val="Calibri"/>
        <family val="2"/>
        <charset val="1"/>
      </rPr>
      <t xml:space="preserve">Power secured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的舊時程也不在本頁（本頁標題另有 </t>
    </r>
    <r>
      <rPr>
        <sz val="11"/>
        <color theme="1"/>
        <rFont val="Calibri"/>
        <family val="2"/>
        <charset val="1"/>
      </rPr>
      <t xml:space="preserve">300MVA</t>
    </r>
    <r>
      <rPr>
        <sz val="11"/>
        <color theme="1"/>
        <rFont val="Noto Sans CJK SC"/>
        <family val="2"/>
      </rPr>
      <t xml:space="preserve">）。日期為估算。</t>
    </r>
  </si>
  <si>
    <t xml:space="preserve">https://greenscaledc.com/data-centres/tonstad-campus/</t>
  </si>
  <si>
    <t xml:space="preserve">S#313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</si>
  <si>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棟（首期）｜規劃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</si>
  <si>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初首棟與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全部完工屬實，也未揭露單棟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。但原文沒有「原訂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」的說法。頁面導覽列有 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Work begins… site preparation</t>
    </r>
    <r>
      <rPr>
        <sz val="11"/>
        <color theme="1"/>
        <rFont val="Noto Sans CJK SC"/>
        <family val="2"/>
      </rPr>
      <t xml:space="preserve">」標題，與「未見動工報導」矛盾。</t>
    </r>
  </si>
  <si>
    <t xml:space="preserve">https://greenscaledc.com/sustainability/</t>
  </si>
  <si>
    <t xml:space="preserve">S#314</t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</si>
  <si>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</t>
    </r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</si>
  <si>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｜全園區（規劃擴建 </t>
    </r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</si>
  <si>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、取下限 </t>
    </r>
    <r>
      <rPr>
        <sz val="11"/>
        <color theme="1"/>
        <rFont val="Calibri"/>
        <family val="2"/>
        <charset val="1"/>
      </rPr>
      <t xml:space="preserve">5000MW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09-04</t>
    </r>
    <r>
      <rPr>
        <sz val="11"/>
        <color theme="1"/>
        <rFont val="Noto Sans CJK SC"/>
        <family val="2"/>
      </rPr>
      <t xml:space="preserve">。原文只說「未來兩年」，找不到「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年初」與「</t>
    </r>
    <r>
      <rPr>
        <sz val="11"/>
        <color theme="1"/>
        <rFont val="Calibri"/>
        <family val="2"/>
        <charset val="1"/>
      </rPr>
      <t xml:space="preserve">Jining</t>
    </r>
    <r>
      <rPr>
        <sz val="11"/>
        <color theme="1"/>
        <rFont val="Noto Sans CJK SC"/>
        <family val="2"/>
      </rPr>
      <t xml:space="preserve">」，可能在截斷處。</t>
    </r>
  </si>
  <si>
    <t xml:space="preserve">https://www.scmp.com/tech/big-tech/article/3366220/bytedance-expand-massive-ai-data-centre-cluster-inner-mongolia-source-says</t>
  </si>
  <si>
    <t xml:space="preserve">S#315</t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</si>
  <si>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</t>
    </r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</si>
  <si>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｜火山引擎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級算力中心（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</si>
  <si>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月大會簽約「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級」，未披露確切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、位置、投產時點，此部分屬實。但</t>
    </r>
    <r>
      <rPr>
        <sz val="11"/>
        <color theme="1"/>
        <rFont val="Calibri"/>
        <family val="2"/>
        <charset val="1"/>
      </rPr>
      <t xml:space="preserve">metric/unit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記、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Jining AI Cluster</t>
    </r>
    <r>
      <rPr>
        <sz val="11"/>
        <color theme="1"/>
        <rFont val="Noto Sans CJK SC"/>
        <family val="2"/>
      </rPr>
      <t xml:space="preserve">」，把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級定性描述當成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簽約量；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而來源是官媒報導，口徑偏差。</t>
    </r>
  </si>
  <si>
    <t xml:space="preserve">https://www.stdaily.com/web/gdxw/2026-10/19/content_598420.html</t>
  </si>
  <si>
    <t xml:space="preserve">S#316</t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</si>
  <si>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</si>
  <si>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｜相關：</t>
    </r>
    <r>
      <rPr>
        <sz val="11"/>
        <color theme="1"/>
        <rFont val="Calibri"/>
        <family val="2"/>
        <charset val="1"/>
      </rPr>
      <t xml:space="preserve">VNET Bayin Ulanqab</t>
    </r>
    <r>
      <rPr>
        <sz val="11"/>
        <color theme="1"/>
        <rFont val="Noto Sans CJK SC"/>
        <family val="2"/>
      </rPr>
      <t xml:space="preserve">（疑似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使用）｜上線</t>
    </r>
  </si>
  <si>
    <t xml:space="preserve">221 MW</t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</si>
  <si>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推測皆屬實。但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是第三方衛星推估，標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偏高，應為估算。頁面有日期（</t>
    </r>
    <r>
      <rPr>
        <sz val="11"/>
        <color theme="1"/>
        <rFont val="Calibri"/>
        <family val="2"/>
        <charset val="1"/>
      </rPr>
      <t xml:space="preserve">Updated Jul. 8, 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221MW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Dec 2025 </t>
    </r>
    <r>
      <rPr>
        <sz val="11"/>
        <color theme="1"/>
        <rFont val="Noto Sans CJK SC"/>
        <family val="2"/>
      </rPr>
      <t xml:space="preserve">起），「頁面無日期」不符。</t>
    </r>
    <r>
      <rPr>
        <sz val="11"/>
        <color theme="1"/>
        <rFont val="Calibri"/>
        <family val="2"/>
        <charset val="1"/>
      </rPr>
      <t xml:space="preserve">Ulanqab </t>
    </r>
    <r>
      <rPr>
        <sz val="11"/>
        <color theme="1"/>
        <rFont val="Noto Sans CJK SC"/>
        <family val="2"/>
      </rPr>
      <t xml:space="preserve">集寧區未見於原文。</t>
    </r>
  </si>
  <si>
    <t xml:space="preserve">https://epoch.ai/data/ai-data-centers/directory/vnet-bayin-ulanqab</t>
  </si>
  <si>
    <t xml:space="preserve">S#317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</si>
  <si>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</si>
  <si>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｜全園區｜規劃</t>
    </r>
  </si>
  <si>
    <t xml:space="preserve">2026-08-06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</si>
  <si>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2GW</t>
    </r>
    <r>
      <rPr>
        <sz val="11"/>
        <color theme="1"/>
        <rFont val="Noto Sans CJK SC"/>
        <family val="2"/>
      </rPr>
      <t xml:space="preserve">」，表中 </t>
    </r>
    <r>
      <rPr>
        <sz val="11"/>
        <color theme="1"/>
        <rFont val="Calibri"/>
        <family val="2"/>
        <charset val="1"/>
      </rPr>
      <t xml:space="preserve">value 2000 </t>
    </r>
    <r>
      <rPr>
        <sz val="11"/>
        <color theme="1"/>
        <rFont val="Noto Sans CJK SC"/>
        <family val="2"/>
      </rPr>
      <t xml:space="preserve">漏了「超過」。日期 </t>
    </r>
    <r>
      <rPr>
        <sz val="11"/>
        <color theme="1"/>
        <rFont val="Calibri"/>
        <family val="2"/>
        <charset val="1"/>
      </rPr>
      <t xml:space="preserve">8/6 </t>
    </r>
    <r>
      <rPr>
        <sz val="11"/>
        <color theme="1"/>
        <rFont val="Noto Sans CJK SC"/>
        <family val="2"/>
      </rPr>
      <t xml:space="preserve">與公司本人說法屬實，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expected_online 2026-08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commissioning </t>
    </r>
    <r>
      <rPr>
        <sz val="11"/>
        <color theme="1"/>
        <rFont val="Noto Sans CJK SC"/>
        <family val="2"/>
      </rPr>
      <t xml:space="preserve">日期，不等於滿載上線，其餘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與腾讯部分原文找不到。</t>
    </r>
  </si>
  <si>
    <t xml:space="preserve">https://www.prnewswire.com/news-releases/envision-commissions-galaxy-campus-in-ulanqab-establishing-a-new-model-for-gigawatt-scale-ai-infrastructure-302844834.html</t>
  </si>
  <si>
    <t xml:space="preserve">S#318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</si>
  <si>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</si>
  <si>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｜一期｜上線</t>
    </r>
  </si>
  <si>
    <t xml:space="preserve">https://www.bloomberg.com/news/articles/2026-08-06/chinese-renewable-energy-giant-envision-launches-data-center</t>
  </si>
  <si>
    <t xml:space="preserve">S#319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</si>
  <si>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｜二至四期｜在建</t>
    </r>
  </si>
  <si>
    <r>
      <rPr>
        <sz val="11"/>
        <color theme="1"/>
        <rFont val="Noto Sans CJK SC"/>
        <family val="2"/>
      </rPr>
      <t xml:space="preserve">原文支持二期變電站擴建、三四期在建、</t>
    </r>
    <r>
      <rPr>
        <sz val="11"/>
        <color theme="1"/>
        <rFont val="Calibri"/>
        <family val="2"/>
        <charset val="1"/>
      </rPr>
      <t xml:space="preserve">2027–2028</t>
    </r>
    <r>
      <rPr>
        <sz val="11"/>
        <color theme="1"/>
        <rFont val="Noto Sans CJK SC"/>
        <family val="2"/>
      </rPr>
      <t xml:space="preserve">交付，且未給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。但出處是中國證券報記者實探、非公司本人文件，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「公司本人」不準；「在建」未附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，二期並非在建。</t>
    </r>
  </si>
  <si>
    <t xml:space="preserve">https://finance.eastmoney.com/a/202610273909462262.html</t>
  </si>
  <si>
    <t xml:space="preserve">S#320</t>
  </si>
  <si>
    <t xml:space="preserve">DeepSeek</t>
  </si>
  <si>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DeepSeek Ulanqab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</si>
  <si>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原文明說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為供電與設施口徑，列中寫「未說明／口徑未明」不符。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、自建加租賃、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年初上線屬實。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萬顆昇騰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Noto Sans CJK SC"/>
        <family val="2"/>
      </rPr>
      <t xml:space="preserve">不在此文。</t>
    </r>
  </si>
  <si>
    <t xml:space="preserve">https://www.163.com/tech/article/L35D9Q9S00097U7T.html</t>
  </si>
  <si>
    <t xml:space="preserve">S#321</t>
  </si>
  <si>
    <t xml:space="preserve">Huawei Cloud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</si>
  <si>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</si>
  <si>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來源內容為亂碼，無法讀取，無法核對任何欄位（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、營運狀態、日期、現場工作人員轉述）。</t>
    </r>
  </si>
  <si>
    <t xml:space="preserve">https://news.gmw.cn/2026-01/26/content_38557281.htm</t>
  </si>
  <si>
    <t xml:space="preserve">S#322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</si>
  <si>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超節點（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）｜上線</t>
    </r>
  </si>
  <si>
    <t xml:space="preserve">2026-08-20</t>
  </si>
  <si>
    <r>
      <rPr>
        <sz val="11"/>
        <color theme="1"/>
        <rFont val="Noto Sans CJK SC"/>
        <family val="2"/>
      </rPr>
      <t xml:space="preserve">原文只說已上線昇騰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超節點云服務，無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，主旨屬實。但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300 PFlops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12.5GW</t>
    </r>
    <r>
      <rPr>
        <sz val="11"/>
        <color theme="1"/>
        <rFont val="Noto Sans CJK SC"/>
        <family val="2"/>
      </rPr>
      <t xml:space="preserve">皆不在本文，且文中未歸因華為，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偏利害關係人。</t>
    </r>
  </si>
  <si>
    <t xml:space="preserve">https://www.stdaily.com/web/gdxw/2026-08/20/content_567111.html</t>
  </si>
  <si>
    <t xml:space="preserve">S#323</t>
  </si>
  <si>
    <t xml:space="preserve">Alibaba Cloud</t>
  </si>
  <si>
    <r>
      <rPr>
        <sz val="11"/>
        <color theme="1"/>
        <rFont val="Calibri"/>
        <family val="2"/>
        <charset val="1"/>
      </rPr>
      <t xml:space="preserve">Alibaba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Alibaba Cloud Zhangbei Data Center Park</t>
    </r>
    <r>
      <rPr>
        <sz val="11"/>
        <color theme="1"/>
        <rFont val="Noto Sans CJK SC"/>
        <family val="2"/>
      </rPr>
      <t xml:space="preserve">｜全園區｜上線</t>
    </r>
  </si>
  <si>
    <t xml:space="preserve">169 MW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</si>
  <si>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169 MW</t>
    </r>
    <r>
      <rPr>
        <sz val="11"/>
        <color theme="1"/>
        <rFont val="Noto Sans CJK SC"/>
        <family val="2"/>
      </rPr>
      <t xml:space="preserve">、時點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屬實。本頁全篇以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功率為準但此句未明說，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填未說明屬保守。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上線年份此頁未載，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缺括號。</t>
    </r>
  </si>
  <si>
    <t xml:space="preserve">S#324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</si>
  <si>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｜全園區｜上線</t>
    </r>
  </si>
  <si>
    <t xml:space="preserve">2026-06-19</t>
  </si>
  <si>
    <r>
      <rPr>
        <sz val="11"/>
        <color theme="1"/>
        <rFont val="Calibri"/>
        <family val="2"/>
        <charset val="1"/>
      </rPr>
      <t xml:space="preserve">400 MW </t>
    </r>
    <r>
      <rPr>
        <sz val="11"/>
        <color theme="1"/>
        <rFont val="Noto Sans CJK SC"/>
        <family val="2"/>
      </rPr>
      <t xml:space="preserve">與營運狀態屬實。但原文名稱為 </t>
    </r>
    <r>
      <rPr>
        <sz val="11"/>
        <color theme="1"/>
        <rFont val="Calibri"/>
        <family val="2"/>
        <charset val="1"/>
      </rPr>
      <t xml:space="preserve">Guizhou AI Data Center</t>
    </r>
    <r>
      <rPr>
        <sz val="11"/>
        <color theme="1"/>
        <rFont val="Noto Sans CJK SC"/>
        <family val="2"/>
      </rPr>
      <t xml:space="preserve">，且無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上線年與 </t>
    </r>
    <r>
      <rPr>
        <sz val="11"/>
        <color theme="1"/>
        <rFont val="Calibri"/>
        <family val="2"/>
        <charset val="1"/>
      </rPr>
      <t xml:space="preserve">2026-06-19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偏高，該數字非許可文件所載。</t>
    </r>
  </si>
  <si>
    <t xml:space="preserve">https://datacenterindex.ai/markets/china</t>
  </si>
  <si>
    <t xml:space="preserve">S#325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</si>
  <si>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｜一期｜上線</t>
    </r>
  </si>
  <si>
    <t xml:space="preserve">2021-09-27</t>
  </si>
  <si>
    <r>
      <rPr>
        <sz val="11"/>
        <color theme="1"/>
        <rFont val="Noto Sans CJK SC"/>
        <family val="2"/>
      </rPr>
      <t xml:space="preserve">原文支持</t>
    </r>
    <r>
      <rPr>
        <sz val="11"/>
        <color theme="1"/>
        <rFont val="Calibri"/>
        <family val="2"/>
        <charset val="1"/>
      </rPr>
      <t xml:space="preserve">9/9</t>
    </r>
    <r>
      <rPr>
        <sz val="11"/>
        <color theme="1"/>
        <rFont val="Noto Sans CJK SC"/>
        <family val="2"/>
      </rPr>
      <t xml:space="preserve">一期上線、逾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PUE 1.12</t>
    </r>
    <r>
      <rPr>
        <sz val="11"/>
        <color theme="1"/>
        <rFont val="Noto Sans CJK SC"/>
        <family val="2"/>
      </rPr>
      <t xml:space="preserve">、九棟機房、無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2021-09-27</t>
    </r>
    <r>
      <rPr>
        <sz val="11"/>
        <color theme="1"/>
        <rFont val="Noto Sans CJK SC"/>
        <family val="2"/>
      </rPr>
      <t xml:space="preserve">為發稿日。「官方開園</t>
    </r>
    <r>
      <rPr>
        <sz val="11"/>
        <color theme="1"/>
        <rFont val="Calibri"/>
        <family val="2"/>
        <charset val="1"/>
      </rPr>
      <t xml:space="preserve">2021-12-20</t>
    </r>
    <r>
      <rPr>
        <sz val="11"/>
        <color theme="1"/>
        <rFont val="Noto Sans CJK SC"/>
        <family val="2"/>
      </rPr>
      <t xml:space="preserve">」原文找不到，來自他處。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但實無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利害關係人合理。</t>
    </r>
  </si>
  <si>
    <t xml:space="preserve">https://en.prnasia.com/releases/apac/accommodating-over-1-million-servers-world-s-largest-huawei-cloud-data-center-comes-into-service-in-gui-an-334193.shtml</t>
  </si>
  <si>
    <t xml:space="preserve">S#326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</si>
  <si>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算力部署｜在建</t>
    </r>
  </si>
  <si>
    <r>
      <rPr>
        <sz val="11"/>
        <color theme="1"/>
        <rFont val="Noto Sans CJK SC"/>
        <family val="2"/>
      </rPr>
      <t xml:space="preserve">貴安、內蒙、蕪湖三樞紐規模建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數據中心屬實，無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、無時程，日期 </t>
    </r>
    <r>
      <rPr>
        <sz val="11"/>
        <color theme="1"/>
        <rFont val="Calibri"/>
        <family val="2"/>
        <charset val="1"/>
      </rPr>
      <t xml:space="preserve">9/15 </t>
    </r>
    <r>
      <rPr>
        <sz val="11"/>
        <color theme="1"/>
        <rFont val="Noto Sans CJK SC"/>
        <family val="2"/>
      </rPr>
      <t xml:space="preserve">也對。但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只寫貴安，與三樞紐不一致；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「公司本人」非原文標題；原文是 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略偏。</t>
    </r>
  </si>
  <si>
    <t xml:space="preserve">https://finance.biggo.com/news/b2908530-cbcc-4fd6-b285-f6e71c3e2868</t>
  </si>
  <si>
    <t xml:space="preserve">S#327</t>
  </si>
  <si>
    <t xml:space="preserve">Yotta Data Services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</si>
  <si>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D2 B300 supercluster</t>
    </r>
    <r>
      <rPr>
        <sz val="11"/>
        <color theme="1"/>
        <rFont val="Noto Sans CJK SC"/>
        <family val="2"/>
      </rPr>
      <t xml:space="preserve">｜在建</t>
    </r>
  </si>
  <si>
    <t xml:space="preserve">2026-02-18</t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</si>
  <si>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20,736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月、四年逾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億美元、逾 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顆給 </t>
    </r>
    <r>
      <rPr>
        <sz val="11"/>
        <color theme="1"/>
        <rFont val="Calibri"/>
        <family val="2"/>
        <charset val="1"/>
      </rPr>
      <t xml:space="preserve">IndiaAI </t>
    </r>
    <r>
      <rPr>
        <sz val="11"/>
        <color theme="1"/>
        <rFont val="Noto Sans CJK SC"/>
        <family val="2"/>
      </rPr>
      <t xml:space="preserve">皆與原文一致，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為公司本人說法亦正確。「搜尋未見上線確認」及 </t>
    </r>
    <r>
      <rPr>
        <sz val="11"/>
        <color theme="1"/>
        <rFont val="Calibri"/>
        <family val="2"/>
        <charset val="1"/>
      </rPr>
      <t xml:space="preserve">Frost &amp; Sullivan </t>
    </r>
    <r>
      <rPr>
        <sz val="11"/>
        <color theme="1"/>
        <rFont val="Noto Sans CJK SC"/>
        <family val="2"/>
      </rPr>
      <t xml:space="preserve">稿屬外部補充，原文無法核對。</t>
    </r>
  </si>
  <si>
    <t xml:space="preserve">https://yotta.com/press-releases/yotta-to-deploy-20000-nvidia-blackwell-ultra-gpus/</t>
  </si>
  <si>
    <t xml:space="preserve">S#328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</si>
  <si>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園區）｜全園區｜規劃</t>
    </r>
  </si>
  <si>
    <r>
      <rPr>
        <sz val="11"/>
        <color theme="1"/>
        <rFont val="Noto Sans CJK SC"/>
        <family val="2"/>
      </rPr>
      <t xml:space="preserve">原文稱園區 </t>
    </r>
    <r>
      <rPr>
        <sz val="11"/>
        <color theme="1"/>
        <rFont val="Calibri"/>
        <family val="2"/>
        <charset val="1"/>
      </rPr>
      <t xml:space="preserve">scalable to 250 MW</t>
    </r>
    <r>
      <rPr>
        <sz val="11"/>
        <color theme="1"/>
        <rFont val="Noto Sans CJK SC"/>
        <family val="2"/>
      </rPr>
      <t xml:space="preserve">，與「擴充上限」解讀一致，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年舊稿 </t>
    </r>
    <r>
      <rPr>
        <sz val="11"/>
        <color theme="1"/>
        <rFont val="Calibri"/>
        <family val="2"/>
        <charset val="1"/>
      </rPr>
      <t xml:space="preserve">160 MW </t>
    </r>
    <r>
      <rPr>
        <sz val="11"/>
        <color theme="1"/>
        <rFont val="Noto Sans CJK SC"/>
        <family val="2"/>
      </rPr>
      <t xml:space="preserve">屬外部說法，本原文無法核對，不影響此數值。</t>
    </r>
  </si>
  <si>
    <t xml:space="preserve">S#329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</si>
  <si>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｜上線</t>
    </r>
  </si>
  <si>
    <t xml:space="preserve">28.8 MW</t>
  </si>
  <si>
    <t xml:space="preserve">2022-10-31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</si>
  <si>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28.8 MW IT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2022-10-31 </t>
    </r>
    <r>
      <rPr>
        <sz val="11"/>
        <color theme="1"/>
        <rFont val="Noto Sans CJK SC"/>
        <family val="2"/>
      </rPr>
      <t xml:space="preserve">發稿日與公司本人來源都屬實。但 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標成 </t>
    </r>
    <r>
      <rPr>
        <sz val="11"/>
        <color theme="1"/>
        <rFont val="Calibri"/>
        <family val="2"/>
        <charset val="1"/>
      </rPr>
      <t xml:space="preserve">D2 AI Supercluster </t>
    </r>
    <r>
      <rPr>
        <sz val="11"/>
        <color theme="1"/>
        <rFont val="Noto Sans CJK SC"/>
        <family val="2"/>
      </rPr>
      <t xml:space="preserve">並與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混寫，容易誤導；原文僅提到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奠基。</t>
    </r>
  </si>
  <si>
    <t xml:space="preserve">https://yotta.com/press-releases/yotta-launches-north-indias-first-hyperscale-data-center-yotta-d1-in-greater-noida/</t>
  </si>
  <si>
    <t xml:space="preserve">S#330</t>
  </si>
  <si>
    <t xml:space="preserve">NTT DATA</t>
  </si>
  <si>
    <r>
      <rPr>
        <sz val="11"/>
        <color theme="1"/>
        <rFont val="Calibri"/>
        <family val="2"/>
        <charset val="1"/>
      </rPr>
      <t xml:space="preserve">NTT DATA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DATA / Neysa Telangana AI Cluster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</si>
  <si>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2025-04-18</t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</si>
  <si>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Rs10,500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25,000 GPU</t>
    </r>
    <r>
      <rPr>
        <sz val="11"/>
        <color theme="1"/>
        <rFont val="Noto Sans CJK SC"/>
        <family val="2"/>
      </rPr>
      <t xml:space="preserve">、三方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與日期皆屬實。但「電力最高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」和「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年媒體仍稱開發中」不在此原文，需另有來源。</t>
    </r>
  </si>
  <si>
    <t xml:space="preserve">https://www.theweek.in/wire-updates/business/2025/04/18/mes16-tl-cm-japan-investment.html</t>
  </si>
  <si>
    <t xml:space="preserve">S#331</t>
  </si>
  <si>
    <t xml:space="preserve">CtrlS Datacenters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</si>
  <si>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</si>
  <si>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2025-09-08</t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</si>
  <si>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、動工、</t>
    </r>
    <r>
      <rPr>
        <sz val="11"/>
        <color theme="1"/>
        <rFont val="Calibri"/>
        <family val="2"/>
        <charset val="1"/>
      </rPr>
      <t xml:space="preserve">2025-09-08 </t>
    </r>
    <r>
      <rPr>
        <sz val="11"/>
        <color theme="1"/>
        <rFont val="Noto Sans CJK SC"/>
        <family val="2"/>
      </rPr>
      <t xml:space="preserve">皆屬實，原文未說明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或設施口徑。原文未明寫是公司說法，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非實際標題。官網、新聞稿、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的數字不在此文，需另行核對。</t>
    </r>
  </si>
  <si>
    <t xml:space="preserve">https://www.telecompaper.com/news/ctrls-starts-construction-of-700-mw-data-centre-campus-near-hyderabad--1547394</t>
  </si>
  <si>
    <t xml:space="preserve">S#332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</si>
  <si>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</si>
  <si>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2025-01-21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</si>
  <si>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核准電力、</t>
    </r>
    <r>
      <rPr>
        <sz val="11"/>
        <color theme="1"/>
        <rFont val="Calibri"/>
        <family val="2"/>
        <charset val="1"/>
      </rPr>
      <t xml:space="preserve">GIS </t>
    </r>
    <r>
      <rPr>
        <sz val="11"/>
        <color theme="1"/>
        <rFont val="Noto Sans CJK SC"/>
        <family val="2"/>
      </rPr>
      <t xml:space="preserve">可擴至 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屬實。但原文只說「</t>
    </r>
    <r>
      <rPr>
        <sz val="11"/>
        <color theme="1"/>
        <rFont val="Calibri"/>
        <family val="2"/>
        <charset val="1"/>
      </rPr>
      <t xml:space="preserve">planning</t>
    </r>
    <r>
      <rPr>
        <sz val="11"/>
        <color theme="1"/>
        <rFont val="Noto Sans CJK SC"/>
        <family val="2"/>
      </rPr>
      <t xml:space="preserve">」，未說在建，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「在建」不當；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FY2027/28 </t>
    </r>
    <r>
      <rPr>
        <sz val="11"/>
        <color theme="1"/>
        <rFont val="Noto Sans CJK SC"/>
        <family val="2"/>
      </rPr>
      <t xml:space="preserve">上半年營運在原文找不到。</t>
    </r>
  </si>
  <si>
    <t xml:space="preserve">https://www.datacenterdynamics.com/en/news/ctrls-to-build-40-acre-data-center-campus-near-hyderabad-india/</t>
  </si>
  <si>
    <t xml:space="preserve">S#333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</si>
  <si>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</si>
  <si>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</si>
  <si>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t xml:space="preserve">2025-04-15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</si>
  <si>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億円超、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年度稼働、</t>
    </r>
    <r>
      <rPr>
        <sz val="11"/>
        <color theme="1"/>
        <rFont val="Calibri"/>
        <family val="2"/>
        <charset val="1"/>
      </rPr>
      <t xml:space="preserve">2025-04-15 </t>
    </r>
    <r>
      <rPr>
        <sz val="11"/>
        <color theme="1"/>
        <rFont val="Noto Sans CJK SC"/>
        <family val="2"/>
      </rPr>
      <t xml:space="preserve">都與原文一致。但來源標題寫「公司本人」，實為日經報導公司發表內容。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等後半說法不在本文，屬其他來源。</t>
    </r>
  </si>
  <si>
    <t xml:space="preserve">https://www.nikkei.com/article/DGXZQOUC08AKQ0Y5A400C2000000/</t>
  </si>
  <si>
    <t xml:space="preserve">S#334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</si>
  <si>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</si>
  <si>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2025-05-01</t>
  </si>
  <si>
    <r>
      <rPr>
        <sz val="11"/>
        <color theme="1"/>
        <rFont val="Calibri"/>
        <family val="2"/>
        <charset val="1"/>
      </rPr>
      <t xml:space="preserve">fiscal 2026 </t>
    </r>
    <r>
      <rPr>
        <sz val="11"/>
        <color theme="1"/>
        <rFont val="Noto Sans CJK SC"/>
        <family val="2"/>
      </rPr>
      <t xml:space="preserve">開業、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萬㎡、超過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皆與原文一致，口徑未說明、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為公司說法也合理。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說法不在本文，但屬他處或備註，不影響數值。</t>
    </r>
  </si>
  <si>
    <t xml:space="preserve">https://www.softbank.jp/en/sbnews/entry/20250501_01</t>
  </si>
  <si>
    <t xml:space="preserve">S#335</t>
  </si>
  <si>
    <t xml:space="preserve">SoftBank Corp.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</si>
  <si>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｜全園區（初期）｜在建</t>
    </r>
  </si>
  <si>
    <t xml:space="preserve">2025-03-14</t>
  </si>
  <si>
    <t xml:space="preserve">https://www.softbank.jp/en/corp/news/press/sbkk/2025/20250314_01/</t>
  </si>
  <si>
    <t xml:space="preserve">S#336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</si>
  <si>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｜擴建（遠期）｜規劃</t>
    </r>
  </si>
  <si>
    <t xml:space="preserve">S#337</t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</si>
  <si>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</si>
  <si>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</si>
  <si>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最高電力容量、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年代初、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考慮投資均與原文相符。來源實為 </t>
    </r>
    <r>
      <rPr>
        <sz val="11"/>
        <color theme="1"/>
        <rFont val="Calibri"/>
        <family val="2"/>
        <charset val="1"/>
      </rPr>
      <t xml:space="preserve">Korea Economic Daily </t>
    </r>
    <r>
      <rPr>
        <sz val="11"/>
        <color theme="1"/>
        <rFont val="Noto Sans CJK SC"/>
        <family val="2"/>
      </rPr>
      <t xml:space="preserve">轉載日經，標題抄成「日經」不精確；</t>
    </r>
    <r>
      <rPr>
        <sz val="11"/>
        <color theme="1"/>
        <rFont val="Calibri"/>
        <family val="2"/>
        <charset val="1"/>
      </rPr>
      <t xml:space="preserve">Jiji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月協定等細節在此原文找不到。</t>
    </r>
    <r>
      <rPr>
        <sz val="11"/>
        <color theme="1"/>
        <rFont val="Calibri"/>
        <family val="2"/>
        <charset val="1"/>
      </rPr>
      <t xml:space="preserve">expected_online 2030 </t>
    </r>
    <r>
      <rPr>
        <sz val="11"/>
        <color theme="1"/>
        <rFont val="Noto Sans CJK SC"/>
        <family val="2"/>
      </rPr>
      <t xml:space="preserve">也只見「</t>
    </r>
    <r>
      <rPr>
        <sz val="11"/>
        <color theme="1"/>
        <rFont val="Calibri"/>
        <family val="2"/>
        <charset val="1"/>
      </rPr>
      <t xml:space="preserve">early 2030s</t>
    </r>
    <r>
      <rPr>
        <sz val="11"/>
        <color theme="1"/>
        <rFont val="Noto Sans CJK SC"/>
        <family val="2"/>
      </rPr>
      <t xml:space="preserve">」。</t>
    </r>
  </si>
  <si>
    <t xml:space="preserve">https://en.bloomingbit.io/feed/news/117806</t>
  </si>
  <si>
    <t xml:space="preserve">S#338</t>
  </si>
  <si>
    <t xml:space="preserve">Bitgrit</t>
  </si>
  <si>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｜先導小型站（</t>
    </r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）｜規劃</t>
    </r>
  </si>
  <si>
    <t xml:space="preserve">1.5 MW</t>
  </si>
  <si>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年底前、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伺服器、測試電力管理均符。但原文未稱「作電力管理研究」，且 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動工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的說法在原文找不到，來源也非日經直引。</t>
    </r>
  </si>
  <si>
    <t xml:space="preserve">S#339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</si>
  <si>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</si>
  <si>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｜一期｜在建</t>
    </r>
  </si>
  <si>
    <t xml:space="preserve">41 MW</t>
  </si>
  <si>
    <t xml:space="preserve">2025-06-16</t>
  </si>
  <si>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月屬實。原文是 </t>
    </r>
    <r>
      <rPr>
        <sz val="11"/>
        <color theme="1"/>
        <rFont val="Calibri"/>
        <family val="2"/>
        <charset val="1"/>
      </rPr>
      <t xml:space="preserve">Chosun Economy </t>
    </r>
    <r>
      <rPr>
        <sz val="11"/>
        <color theme="1"/>
        <rFont val="Noto Sans CJK SC"/>
        <family val="2"/>
      </rPr>
      <t xml:space="preserve">的規劃報導，並非公司本人說法，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偏誤。「在建」不準，原文為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月預計動工。動工日、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發言人、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不在本文。</t>
    </r>
  </si>
  <si>
    <t xml:space="preserve">https://www.datacenterdynamics.com/en/news/sk-group-and-aws-to-build-ai-data-center-in-ulsan-south-korea/</t>
  </si>
  <si>
    <t xml:space="preserve">S#340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</si>
  <si>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｜二期｜規劃</t>
    </r>
  </si>
  <si>
    <t xml:space="preserve">62 MW</t>
  </si>
  <si>
    <t xml:space="preserve">2025-09-01</t>
  </si>
  <si>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2029-02 </t>
    </r>
    <r>
      <rPr>
        <sz val="11"/>
        <color theme="1"/>
        <rFont val="Noto Sans CJK SC"/>
        <family val="2"/>
      </rPr>
      <t xml:space="preserve">都在原文，</t>
    </r>
    <r>
      <rPr>
        <sz val="11"/>
        <color theme="1"/>
        <rFont val="Calibri"/>
        <family val="2"/>
        <charset val="1"/>
      </rPr>
      <t xml:space="preserve">62=103−41 </t>
    </r>
    <r>
      <rPr>
        <sz val="11"/>
        <color theme="1"/>
        <rFont val="Noto Sans CJK SC"/>
        <family val="2"/>
      </rPr>
      <t xml:space="preserve">算式正確，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103MW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Chosun Biz</t>
    </r>
    <r>
      <rPr>
        <sz val="11"/>
        <color theme="1"/>
        <rFont val="Noto Sans CJK SC"/>
        <family val="2"/>
      </rPr>
      <t xml:space="preserve">，標題寫「記者推論」略偏；原文未稱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為「一期」，且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2027-11 </t>
    </r>
    <r>
      <rPr>
        <sz val="11"/>
        <color theme="1"/>
        <rFont val="Noto Sans CJK SC"/>
        <family val="2"/>
      </rPr>
      <t xml:space="preserve">可用容量。</t>
    </r>
  </si>
  <si>
    <t xml:space="preserve">https://www.datacenterdynamics.com/en/news/sk-group-and-aws-break-ground-for-data-center-in-ulsan-korea/</t>
  </si>
  <si>
    <t xml:space="preserve">S#341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</si>
  <si>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</si>
  <si>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</si>
  <si>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2026-09-13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</si>
  <si>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下半年、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兆韓元皆屬實。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萬張與早期</t>
    </r>
    <r>
      <rPr>
        <sz val="11"/>
        <color theme="1"/>
        <rFont val="Calibri"/>
        <family val="2"/>
        <charset val="1"/>
      </rPr>
      <t xml:space="preserve">103MW</t>
    </r>
    <r>
      <rPr>
        <sz val="11"/>
        <color theme="1"/>
        <rFont val="Noto Sans CJK SC"/>
        <family val="2"/>
      </rPr>
      <t xml:space="preserve">在原文找不到，但不影響數值。</t>
    </r>
  </si>
  <si>
    <t xml:space="preserve">https://www.koreatimes.co.kr/business/tech-science/20260913/sk-chairman-says-ulsan-ai-data-center-expansion-nearing-900-megawatts</t>
  </si>
  <si>
    <t xml:space="preserve">S#342</t>
  </si>
  <si>
    <t xml:space="preserve">SK Telecom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</si>
  <si>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｜擴建（追加 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</si>
  <si>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月計畫擴至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，崔稱「接近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」。「追加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」是推算，「美國」大型科技公司原文未提。</t>
    </r>
  </si>
  <si>
    <t xml:space="preserve">S#343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</si>
  <si>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</si>
  <si>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MOU/LOI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</si>
  <si>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是兩座資料中心（含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）的初期容量，未拆給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單獨。延遲至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與原因、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均不在此文中。</t>
    </r>
  </si>
  <si>
    <t xml:space="preserve">https://finance.yahoo.com/news/openai-samsung-sk-set-start-015417919.html</t>
  </si>
  <si>
    <t xml:space="preserve">S#344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</si>
  <si>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</si>
  <si>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年內公布進度與設計變更屬實。但「停滯」是報社自己的報導，原文沒有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說無進展。用地、電力用水未解決與 </t>
    </r>
    <r>
      <rPr>
        <sz val="11"/>
        <color theme="1"/>
        <rFont val="Calibri"/>
        <family val="2"/>
        <charset val="1"/>
      </rPr>
      <t xml:space="preserve">Southwest Korea </t>
    </r>
    <r>
      <rPr>
        <sz val="11"/>
        <color theme="1"/>
        <rFont val="Noto Sans CJK SC"/>
        <family val="2"/>
      </rPr>
      <t xml:space="preserve">也找不到。原文無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</si>
  <si>
    <t xml:space="preserve">https://www.koreajoongangdaily.com/business/stargate-korea-progress-update-coming-within-the-year-openai-says/12867728</t>
  </si>
  <si>
    <t xml:space="preserve">S#345</t>
  </si>
  <si>
    <t xml:space="preserve">Foxconn (Hon Hai)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</si>
  <si>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｜全園區｜規劃</t>
    </r>
  </si>
  <si>
    <t xml:space="preserve">2025-05-20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</si>
  <si>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、分期建置、部分在高雄其餘視電力而定皆與原文一致；口徑未說明、利害關係人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</t>
    </r>
  </si>
  <si>
    <t xml:space="preserve">https://www.cnbc.com/2025/05/20/taiwans-foxconn-ai-data-center-with-nvidia-to-have-100-mw-of-power.html</t>
  </si>
  <si>
    <t xml:space="preserve">S#346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</si>
  <si>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</si>
  <si>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原文確有先從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起步。原文未說明此為高雄，但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為範圍標示，不影響數值。</t>
    </r>
  </si>
  <si>
    <t xml:space="preserve">S#347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</si>
  <si>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</si>
  <si>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原文為「再增加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」，與列相符；原文未指明地點，地點未確定的說法屬合理。</t>
    </r>
  </si>
  <si>
    <t xml:space="preserve">S#348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</si>
  <si>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</si>
  <si>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皆在原文；</t>
    </r>
    <r>
      <rPr>
        <sz val="11"/>
        <color theme="1"/>
        <rFont val="Calibri"/>
        <family val="2"/>
        <charset val="1"/>
      </rPr>
      <t xml:space="preserve">100−20−40=40 </t>
    </r>
    <r>
      <rPr>
        <sz val="11"/>
        <color theme="1"/>
        <rFont val="Noto Sans CJK SC"/>
        <family val="2"/>
      </rPr>
      <t xml:space="preserve">正確，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標註恰當。</t>
    </r>
  </si>
  <si>
    <t xml:space="preserve">S#349</t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</si>
  <si>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</t>
    </r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</si>
  <si>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Visionbay.ai GB300 </t>
    </r>
    <r>
      <rPr>
        <sz val="11"/>
        <color theme="1"/>
        <rFont val="Noto Sans CJK SC"/>
        <family val="2"/>
      </rPr>
      <t xml:space="preserve">超算中心｜在建</t>
    </r>
  </si>
  <si>
    <t xml:space="preserve">27 MW</t>
  </si>
  <si>
    <t xml:space="preserve">2025-11-21</t>
  </si>
  <si>
    <r>
      <rPr>
        <sz val="11"/>
        <color theme="1"/>
        <rFont val="Calibri"/>
        <family val="2"/>
        <charset val="1"/>
      </rPr>
      <t xml:space="preserve">27MW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億美元、姚延宗均屬實。但原文未提高雄與新台幣</t>
    </r>
    <r>
      <rPr>
        <sz val="11"/>
        <color theme="1"/>
        <rFont val="Calibri"/>
        <family val="2"/>
        <charset val="1"/>
      </rPr>
      <t xml:space="preserve">420</t>
    </r>
    <r>
      <rPr>
        <sz val="11"/>
        <color theme="1"/>
        <rFont val="Noto Sans CJK SC"/>
        <family val="2"/>
      </rPr>
      <t xml:space="preserve">億元，頁面日期為</t>
    </r>
    <r>
      <rPr>
        <sz val="11"/>
        <color theme="1"/>
        <rFont val="Calibri"/>
        <family val="2"/>
        <charset val="1"/>
      </rPr>
      <t xml:space="preserve">11/20</t>
    </r>
    <r>
      <rPr>
        <sz val="11"/>
        <color theme="1"/>
        <rFont val="Noto Sans CJK SC"/>
        <family val="2"/>
      </rPr>
      <t xml:space="preserve">（內文稱週五）。標題「公司本人」不當，實為路透報導。</t>
    </r>
  </si>
  <si>
    <t xml:space="preserve">https://finance.yahoo.com/news/foxconn-1-000-ai-racks-031805011.html</t>
  </si>
  <si>
    <t xml:space="preserve">S#350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</si>
  <si>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示範）｜在建</t>
    </r>
  </si>
  <si>
    <t xml:space="preserve">2025-10-14</t>
  </si>
  <si>
    <r>
      <rPr>
        <sz val="11"/>
        <color theme="1"/>
        <rFont val="Calibri"/>
        <family val="2"/>
        <charset val="1"/>
      </rPr>
      <t xml:space="preserve">K-1 </t>
    </r>
    <r>
      <rPr>
        <sz val="11"/>
        <color theme="1"/>
        <rFont val="Noto Sans CJK SC"/>
        <family val="2"/>
      </rPr>
      <t xml:space="preserve">先實施 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，屬實；但日期 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是原文明載，並非「頁面推估」，備註不精確。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以公司本人稿來說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</si>
  <si>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https://www.foxconn.com/en-us/press-center/press-releases/latest-news/1848</t>
  </si>
  <si>
    <t xml:space="preserve">S#351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</si>
  <si>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</si>
  <si>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｜全園區（規劃容量）｜規劃</t>
    </r>
  </si>
  <si>
    <t xml:space="preserve">2026-08-19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</si>
  <si>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，是公司稱的現有園區容量。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Q1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Sea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GDS </t>
    </r>
    <r>
      <rPr>
        <sz val="11"/>
        <color theme="1"/>
        <rFont val="Noto Sans CJK SC"/>
        <family val="2"/>
      </rPr>
      <t xml:space="preserve">等在原文找不到，應來自他處。</t>
    </r>
  </si>
  <si>
    <t xml:space="preserve">https://theedgemalaysia.com/node/815134</t>
  </si>
  <si>
    <t xml:space="preserve">S#352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</si>
  <si>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｜全園區（已簽約容量）｜簽約</t>
    </r>
  </si>
  <si>
    <t xml:space="preserve">298 MW</t>
  </si>
  <si>
    <r>
      <rPr>
        <sz val="11"/>
        <color theme="1"/>
        <rFont val="Calibri"/>
        <family val="2"/>
        <charset val="1"/>
      </rPr>
      <t xml:space="preserve">298MW 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月時點皆相符。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欄填文件日，但備註已寫明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月。</t>
    </r>
    <r>
      <rPr>
        <sz val="11"/>
        <color theme="1"/>
        <rFont val="Calibri"/>
        <family val="2"/>
        <charset val="1"/>
      </rPr>
      <t xml:space="preserve">Wikipedia </t>
    </r>
    <r>
      <rPr>
        <sz val="11"/>
        <color theme="1"/>
        <rFont val="Noto Sans CJK SC"/>
        <family val="2"/>
      </rPr>
      <t xml:space="preserve">部分不在本來源。</t>
    </r>
  </si>
  <si>
    <t xml:space="preserve">S#353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</si>
  <si>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｜全園區（擴建目標）｜規劃</t>
    </r>
  </si>
  <si>
    <r>
      <rPr>
        <sz val="11"/>
        <color theme="1"/>
        <rFont val="Calibri"/>
        <family val="2"/>
        <charset val="1"/>
      </rPr>
      <t xml:space="preserve">1,000MW </t>
    </r>
    <r>
      <rPr>
        <sz val="11"/>
        <color theme="1"/>
        <rFont val="Noto Sans CJK SC"/>
        <family val="2"/>
      </rPr>
      <t xml:space="preserve">擴建目標與由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增加皆相符。</t>
    </r>
    <r>
      <rPr>
        <sz val="11"/>
        <color theme="1"/>
        <rFont val="Calibri"/>
        <family val="2"/>
        <charset val="1"/>
      </rPr>
      <t xml:space="preserve">Sedenak 145</t>
    </r>
    <r>
      <rPr>
        <sz val="11"/>
        <color theme="1"/>
        <rFont val="Noto Sans CJK SC"/>
        <family val="2"/>
      </rPr>
      <t xml:space="preserve">英畝新園區在原文也有。</t>
    </r>
  </si>
  <si>
    <t xml:space="preserve">S#354</t>
  </si>
  <si>
    <t xml:space="preserve">YTL Data Center Holdings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</si>
  <si>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主租戶 </t>
    </r>
    <r>
      <rPr>
        <sz val="11"/>
        <color theme="1"/>
        <rFont val="Calibri"/>
        <family val="2"/>
        <charset val="1"/>
      </rPr>
      <t xml:space="preserve">colo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</si>
  <si>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48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錨定租戶、首期 </t>
    </r>
    <r>
      <rPr>
        <sz val="11"/>
        <color theme="1"/>
        <rFont val="Calibri"/>
        <family val="2"/>
        <charset val="1"/>
      </rPr>
      <t xml:space="preserve">72MW </t>
    </r>
    <r>
      <rPr>
        <sz val="11"/>
        <color theme="1"/>
        <rFont val="Noto Sans CJK SC"/>
        <family val="2"/>
      </rPr>
      <t xml:space="preserve">皆屬實。原文只寫 </t>
    </r>
    <r>
      <rPr>
        <sz val="11"/>
        <color theme="1"/>
        <rFont val="Calibri"/>
        <family val="2"/>
        <charset val="1"/>
      </rPr>
      <t xml:space="preserve">target 2024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32MW </t>
    </r>
    <r>
      <rPr>
        <sz val="11"/>
        <color theme="1"/>
        <rFont val="Noto Sans CJK SC"/>
        <family val="2"/>
      </rPr>
      <t xml:space="preserve">與「營運者回報 </t>
    </r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</si>
  <si>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https://arusgrid.com/project/my-jhb-ytl-greendcpark</t>
  </si>
  <si>
    <t xml:space="preserve">S#355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</si>
  <si>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</si>
  <si>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GB200 AI </t>
    </r>
    <r>
      <rPr>
        <sz val="11"/>
        <color theme="1"/>
        <rFont val="Noto Sans CJK SC"/>
        <family val="2"/>
      </rPr>
      <t xml:space="preserve">資料中心／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</si>
  <si>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完工皆屬實。原文的超大規模客戶是整個園區的客戶，沒有指向 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。</t>
    </r>
  </si>
  <si>
    <t xml:space="preserve">S#356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</si>
  <si>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JDC3</t>
    </r>
    <r>
      <rPr>
        <sz val="11"/>
        <color theme="1"/>
        <rFont val="Noto Sans CJK SC"/>
        <family val="2"/>
      </rPr>
      <t xml:space="preserve">（第二座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資料中心）｜在建</t>
    </r>
  </si>
  <si>
    <r>
      <rPr>
        <sz val="11"/>
        <color theme="1"/>
        <rFont val="Noto Sans CJK SC"/>
        <family val="2"/>
      </rPr>
      <t xml:space="preserve">在建、無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、使用者未揭露皆與原文一致。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出自另一來源，本頁不需核對。</t>
    </r>
  </si>
  <si>
    <t xml:space="preserve">S#357</t>
  </si>
  <si>
    <t xml:space="preserve">Racks Central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</si>
  <si>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｜全園區｜在建</t>
    </r>
  </si>
  <si>
    <t xml:space="preserve">510 MW</t>
  </si>
  <si>
    <r>
      <rPr>
        <sz val="11"/>
        <color theme="1"/>
        <rFont val="Calibri"/>
        <family val="2"/>
        <charset val="1"/>
      </rPr>
      <t xml:space="preserve">510 MW </t>
    </r>
    <r>
      <rPr>
        <sz val="11"/>
        <color theme="1"/>
        <rFont val="Noto Sans CJK SC"/>
        <family val="2"/>
      </rPr>
      <t xml:space="preserve">為全園區上限，屬實。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僅指 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，不是全園區。各期相加 </t>
    </r>
    <r>
      <rPr>
        <sz val="11"/>
        <color theme="1"/>
        <rFont val="Calibri"/>
        <family val="2"/>
        <charset val="1"/>
      </rPr>
      <t xml:space="preserve">410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ESR </t>
    </r>
    <r>
      <rPr>
        <sz val="11"/>
        <color theme="1"/>
        <rFont val="Noto Sans CJK SC"/>
        <family val="2"/>
      </rPr>
      <t xml:space="preserve">說法在本文找不到。</t>
    </r>
  </si>
  <si>
    <t xml:space="preserve">https://www.rackscentral.com/news/racks-central-celebrates-milestone-for-southeast-asia-s-first-ai-factory-campus-in-johor</t>
  </si>
  <si>
    <t xml:space="preserve">S#358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</si>
  <si>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</si>
  <si>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70 MW</t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</si>
  <si>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A </t>
    </r>
    <r>
      <rPr>
        <sz val="11"/>
        <color theme="1"/>
        <rFont val="Noto Sans CJK SC"/>
        <family val="2"/>
      </rPr>
      <t xml:space="preserve">全數承諾、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月早期進場皆屬實。但原文明寫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不應填未說明。</t>
    </r>
  </si>
  <si>
    <t xml:space="preserve">S#359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</si>
  <si>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B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</si>
  <si>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全數預訂屬實，但原文稱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RCJM2A/Phase B</t>
    </r>
    <r>
      <rPr>
        <sz val="11"/>
        <color theme="1"/>
        <rFont val="Noto Sans CJK SC"/>
        <family val="2"/>
      </rPr>
      <t xml:space="preserve">。原文未寫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年完工（僅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1Q2027</t>
    </r>
    <r>
      <rPr>
        <sz val="11"/>
        <color theme="1"/>
        <rFont val="Noto Sans CJK SC"/>
        <family val="2"/>
      </rPr>
      <t xml:space="preserve">）；也未提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175MW</t>
    </r>
    <r>
      <rPr>
        <sz val="11"/>
        <color theme="1"/>
        <rFont val="Noto Sans CJK SC"/>
        <family val="2"/>
      </rPr>
      <t xml:space="preserve">。日期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為文章日，演講為前一日。</t>
    </r>
  </si>
  <si>
    <t xml:space="preserve">https://w.media/racks-centrals-aidc-phase-1-on-track-to-open-in-1q-2027/</t>
  </si>
  <si>
    <t xml:space="preserve">S#360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</si>
  <si>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RCJM2B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</si>
  <si>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頁面只有招聘、</t>
    </r>
    <r>
      <rPr>
        <sz val="11"/>
        <color theme="1"/>
        <rFont val="Calibri"/>
        <family val="2"/>
        <charset val="1"/>
      </rPr>
      <t xml:space="preserve">CTFS </t>
    </r>
    <r>
      <rPr>
        <sz val="11"/>
        <color theme="1"/>
        <rFont val="Noto Sans CJK SC"/>
        <family val="2"/>
      </rPr>
      <t xml:space="preserve">投資等貼文，沒有 </t>
    </r>
    <r>
      <rPr>
        <sz val="11"/>
        <color theme="1"/>
        <rFont val="Calibri"/>
        <family val="2"/>
        <charset val="1"/>
      </rPr>
      <t xml:space="preserve">RCJM2B 200 MW </t>
    </r>
    <r>
      <rPr>
        <sz val="11"/>
        <color theme="1"/>
        <rFont val="Noto Sans CJK SC"/>
        <family val="2"/>
      </rPr>
      <t xml:space="preserve">的說法，也沒有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轉述。可能在登入後內容或其他頁面。</t>
    </r>
  </si>
  <si>
    <t xml:space="preserve">https://www.linkedin.com/in/john-ng-6384502b/</t>
  </si>
  <si>
    <t xml:space="preserve">S#361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</si>
  <si>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RCJM3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</si>
  <si>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頁面完全沒有 </t>
    </r>
    <r>
      <rPr>
        <sz val="11"/>
        <color theme="1"/>
        <rFont val="Calibri"/>
        <family val="2"/>
        <charset val="1"/>
      </rPr>
      <t xml:space="preserve">RCJM3 20 MW </t>
    </r>
    <r>
      <rPr>
        <sz val="11"/>
        <color theme="1"/>
        <rFont val="Noto Sans CJK SC"/>
        <family val="2"/>
      </rPr>
      <t xml:space="preserve">的數字或討論，也沒有 </t>
    </r>
    <r>
      <rPr>
        <sz val="11"/>
        <color theme="1"/>
        <rFont val="Calibri"/>
        <family val="2"/>
        <charset val="1"/>
      </rPr>
      <t xml:space="preserve">w.media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說法。</t>
    </r>
  </si>
  <si>
    <t xml:space="preserve">S#362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</si>
  <si>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</si>
  <si>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｜第一期（第一棟）｜在建</t>
    </r>
  </si>
  <si>
    <t xml:space="preserve">64 MW</t>
  </si>
  <si>
    <t xml:space="preserve">2026-04-13</t>
  </si>
  <si>
    <r>
      <rPr>
        <sz val="11"/>
        <color theme="1"/>
        <rFont val="Calibri"/>
        <family val="2"/>
        <charset val="1"/>
      </rPr>
      <t xml:space="preserve">64MW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、日期皆吻合。但「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下半年商運」是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泛指</t>
    </r>
    <r>
      <rPr>
        <sz val="11"/>
        <color theme="1"/>
        <rFont val="Calibri"/>
        <family val="2"/>
        <charset val="1"/>
      </rPr>
      <t xml:space="preserve">Johor</t>
    </r>
    <r>
      <rPr>
        <sz val="11"/>
        <color theme="1"/>
        <rFont val="Noto Sans CJK SC"/>
        <family val="2"/>
      </rPr>
      <t xml:space="preserve">設施的敘述，不是公司對第一期的官方說法；來源標題也寫成公司本人。</t>
    </r>
  </si>
  <si>
    <t xml:space="preserve">https://www.datacenterdynamics.com/en/news/singtels-nxera-and-telekom-malaysia-top-out-data-center-in-johor/</t>
  </si>
  <si>
    <t xml:space="preserve">S#363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</si>
  <si>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</si>
  <si>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2026-01-12</t>
  </si>
  <si>
    <r>
      <rPr>
        <sz val="11"/>
        <color theme="1"/>
        <rFont val="Noto Sans CJK SC"/>
        <family val="2"/>
      </rPr>
      <t xml:space="preserve">原文確為「</t>
    </r>
    <r>
      <rPr>
        <sz val="11"/>
        <color theme="1"/>
        <rFont val="Calibri"/>
        <family val="2"/>
        <charset val="1"/>
      </rPr>
      <t xml:space="preserve">scalable capacity of more than 200MW</t>
    </r>
    <r>
      <rPr>
        <sz val="11"/>
        <color theme="1"/>
        <rFont val="Noto Sans CJK SC"/>
        <family val="2"/>
      </rPr>
      <t xml:space="preserve">」，來源為公司稿屬利害關係人。但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而原文是「逾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」；另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官網與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月稿的說法不在此原文，無法由此核對。</t>
    </r>
  </si>
  <si>
    <t xml:space="preserve">https://www.tm.com.my/news/tm_nxera_green_data_centre_campus</t>
  </si>
  <si>
    <t xml:space="preserve">S#364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</si>
  <si>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供電合約）｜簽約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</si>
  <si>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多年期供電協議、</t>
    </r>
    <r>
      <rPr>
        <sz val="11"/>
        <color theme="1"/>
        <rFont val="Calibri"/>
        <family val="2"/>
        <charset val="1"/>
      </rPr>
      <t xml:space="preserve">2026-01-12 </t>
    </r>
    <r>
      <rPr>
        <sz val="11"/>
        <color theme="1"/>
        <rFont val="Noto Sans CJK SC"/>
        <family val="2"/>
      </rPr>
      <t xml:space="preserve">皆屬實，且是電力合約量。但原文未提 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Nxera 49%</t>
    </r>
    <r>
      <rPr>
        <sz val="11"/>
        <color theme="1"/>
        <rFont val="Noto Sans CJK SC"/>
        <family val="2"/>
      </rPr>
      <t xml:space="preserve">，這部分在此來源找不到。</t>
    </r>
  </si>
  <si>
    <t xml:space="preserve">S#365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</si>
  <si>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</si>
  <si>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300MW+ IT</t>
    </r>
    <r>
      <rPr>
        <sz val="11"/>
        <color theme="1"/>
        <rFont val="Noto Sans CJK SC"/>
        <family val="2"/>
      </rPr>
      <t xml:space="preserve">、三棟、首棟已運轉其餘開發中皆屬實，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合理。但原文無日期，「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天前」推估日期與「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72.5MW</t>
    </r>
    <r>
      <rPr>
        <sz val="11"/>
        <color theme="1"/>
        <rFont val="Noto Sans CJK SC"/>
        <family val="2"/>
      </rPr>
      <t xml:space="preserve">」皆不在此原文，且「</t>
    </r>
    <r>
      <rPr>
        <sz val="11"/>
        <color theme="1"/>
        <rFont val="Calibri"/>
        <family val="2"/>
        <charset val="1"/>
      </rPr>
      <t xml:space="preserve">ex-Yondr</t>
    </r>
    <r>
      <rPr>
        <sz val="11"/>
        <color theme="1"/>
        <rFont val="Noto Sans CJK SC"/>
        <family val="2"/>
      </rPr>
      <t xml:space="preserve">」亦未見。</t>
    </r>
  </si>
  <si>
    <t xml:space="preserve">https://vantage-dc.com/data-center-locations/apac/johor-malaysia</t>
  </si>
  <si>
    <t xml:space="preserve">S#366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</si>
  <si>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</si>
  <si>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（第一期，三棟中的第一棟）｜在建</t>
    </r>
  </si>
  <si>
    <t xml:space="preserve">98 MW</t>
  </si>
  <si>
    <t xml:space="preserve">2024-12-23</t>
  </si>
  <si>
    <r>
      <rPr>
        <sz val="11"/>
        <color theme="1"/>
        <rFont val="Calibri"/>
        <family val="2"/>
        <charset val="1"/>
      </rPr>
      <t xml:space="preserve">98MW</t>
    </r>
    <r>
      <rPr>
        <sz val="11"/>
        <color theme="1"/>
        <rFont val="Noto Sans CJK SC"/>
        <family val="2"/>
      </rPr>
      <t xml:space="preserve">、第一期、</t>
    </r>
    <r>
      <rPr>
        <sz val="11"/>
        <color theme="1"/>
        <rFont val="Calibri"/>
        <family val="2"/>
        <charset val="1"/>
      </rPr>
      <t xml:space="preserve">2024-12-23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未說明也合理。但 </t>
    </r>
    <r>
      <rPr>
        <sz val="11"/>
        <color theme="1"/>
        <rFont val="Calibri"/>
        <family val="2"/>
        <charset val="1"/>
      </rPr>
      <t xml:space="preserve">IFC </t>
    </r>
    <r>
      <rPr>
        <sz val="11"/>
        <color theme="1"/>
        <rFont val="Noto Sans CJK SC"/>
        <family val="2"/>
      </rPr>
      <t xml:space="preserve">是出資方，新聞稿還引述 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高層，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。三棟、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DCNN </t>
    </r>
    <r>
      <rPr>
        <sz val="11"/>
        <color theme="1"/>
        <rFont val="Noto Sans CJK SC"/>
        <family val="2"/>
      </rPr>
      <t xml:space="preserve">說法在原文找不到，但屬其他來源註記。</t>
    </r>
  </si>
  <si>
    <t xml:space="preserve">https://www.ifc.org/en/pressroom/2024/ifc-and-global-lenders-finance-yondr-s-data-center-project-in-malaysia</t>
  </si>
  <si>
    <t xml:space="preserve">S#367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</si>
  <si>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 </t>
    </r>
    <r>
      <rPr>
        <sz val="11"/>
        <color theme="1"/>
        <rFont val="Noto Sans CJK SC"/>
        <family val="2"/>
      </rPr>
      <t xml:space="preserve">首批交付｜上線</t>
    </r>
  </si>
  <si>
    <t xml:space="preserve">2025-06-06</t>
  </si>
  <si>
    <r>
      <rPr>
        <sz val="11"/>
        <color theme="1"/>
        <rFont val="Calibri"/>
        <family val="2"/>
        <charset val="1"/>
      </rPr>
      <t xml:space="preserve">25MW IT</t>
    </r>
    <r>
      <rPr>
        <sz val="11"/>
        <color theme="1"/>
        <rFont val="Noto Sans CJK SC"/>
        <family val="2"/>
      </rPr>
      <t xml:space="preserve">、提早六個月、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自述皆屬實。原文無日期，</t>
    </r>
    <r>
      <rPr>
        <sz val="11"/>
        <color theme="1"/>
        <rFont val="Calibri"/>
        <family val="2"/>
        <charset val="1"/>
      </rPr>
      <t xml:space="preserve">6/6 </t>
    </r>
    <r>
      <rPr>
        <sz val="11"/>
        <color theme="1"/>
        <rFont val="Noto Sans CJK SC"/>
        <family val="2"/>
      </rPr>
      <t xml:space="preserve">為推估（證據表已註明）。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填「公司本人」而非文章標題。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說法原文找不到，屬外部補充。</t>
    </r>
  </si>
  <si>
    <t xml:space="preserve">https://dcnnmagazine.com/data-centres/yondrs-first-milestone-at-johor-data-centre/</t>
  </si>
  <si>
    <t xml:space="preserve">S#368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</si>
  <si>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JHB13</t>
    </r>
    <r>
      <rPr>
        <sz val="11"/>
        <color theme="1"/>
        <rFont val="Noto Sans CJK SC"/>
        <family val="2"/>
      </rPr>
      <t xml:space="preserve">（第二、三棟）｜規劃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</si>
  <si>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JHB12 </t>
    </r>
    <r>
      <rPr>
        <sz val="11"/>
        <color theme="1"/>
        <rFont val="Noto Sans CJK SC"/>
        <family val="2"/>
      </rPr>
      <t xml:space="preserve">為第二棟、規劃年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年發包基樁工程；</t>
    </r>
    <r>
      <rPr>
        <sz val="11"/>
        <color theme="1"/>
        <rFont val="Calibri"/>
        <family val="2"/>
        <charset val="1"/>
      </rPr>
      <t xml:space="preserve">JHB13 </t>
    </r>
    <r>
      <rPr>
        <sz val="11"/>
        <color theme="1"/>
        <rFont val="Noto Sans CJK SC"/>
        <family val="2"/>
      </rPr>
      <t xml:space="preserve">為第三棟。頁面無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數據，與列中「無分期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標籤與第三方彙整的說明大致合理。</t>
    </r>
  </si>
  <si>
    <t xml:space="preserve">https://baxtel.com/data-center/vantage-jhb12</t>
  </si>
  <si>
    <t xml:space="preserve">S#369</t>
  </si>
  <si>
    <t xml:space="preserve">DayOne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</si>
  <si>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NTP+KTP </t>
    </r>
    <r>
      <rPr>
        <sz val="11"/>
        <color theme="1"/>
        <rFont val="Noto Sans CJK SC"/>
        <family val="2"/>
      </rPr>
      <t xml:space="preserve">營運中）｜上線</t>
    </r>
  </si>
  <si>
    <t xml:space="preserve">478 MW</t>
  </si>
  <si>
    <r>
      <rPr>
        <sz val="11"/>
        <color theme="1"/>
        <rFont val="Noto Sans CJK SC"/>
        <family val="2"/>
      </rPr>
      <t xml:space="preserve">原文為「逾</t>
    </r>
    <r>
      <rPr>
        <sz val="11"/>
        <color theme="1"/>
        <rFont val="Calibri"/>
        <family val="2"/>
        <charset val="1"/>
      </rPr>
      <t xml:space="preserve">478MW</t>
    </r>
    <r>
      <rPr>
        <sz val="11"/>
        <color theme="1"/>
        <rFont val="Noto Sans CJK SC"/>
        <family val="2"/>
      </rPr>
      <t xml:space="preserve">」，表中寫成精確值</t>
    </r>
    <r>
      <rPr>
        <sz val="11"/>
        <color theme="1"/>
        <rFont val="Calibri"/>
        <family val="2"/>
        <charset val="1"/>
      </rPr>
      <t xml:space="preserve">478</t>
    </r>
    <r>
      <rPr>
        <sz val="11"/>
        <color theme="1"/>
        <rFont val="Noto Sans CJK SC"/>
        <family val="2"/>
      </rPr>
      <t xml:space="preserve">。基準為營運容量，未區分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或設施。官網</t>
    </r>
    <r>
      <rPr>
        <sz val="11"/>
        <color theme="1"/>
        <rFont val="Calibri"/>
        <family val="2"/>
        <charset val="1"/>
      </rPr>
      <t xml:space="preserve">390MW</t>
    </r>
    <r>
      <rPr>
        <sz val="11"/>
        <color theme="1"/>
        <rFont val="Noto Sans CJK SC"/>
        <family val="2"/>
      </rPr>
      <t xml:space="preserve">、延遲交付、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等說法在此文找不到。</t>
    </r>
  </si>
  <si>
    <t xml:space="preserve">https://missionmedia.asia/dayone-data-centers-malaysia-training-hub-expansion/</t>
  </si>
  <si>
    <t xml:space="preserve">S#370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</si>
  <si>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Johor </t>
    </r>
    <r>
      <rPr>
        <sz val="11"/>
        <color theme="1"/>
        <rFont val="Noto Sans CJK SC"/>
        <family val="2"/>
      </rPr>
      <t xml:space="preserve">訂約量）｜簽約</t>
    </r>
  </si>
  <si>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家超大規模業者皆與原文相符。但文章日期是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（申報日 </t>
    </r>
    <r>
      <rPr>
        <sz val="11"/>
        <color theme="1"/>
        <rFont val="Calibri"/>
        <family val="2"/>
        <charset val="1"/>
      </rPr>
      <t xml:space="preserve">10-05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。原文用 </t>
    </r>
    <r>
      <rPr>
        <sz val="11"/>
        <color theme="1"/>
        <rFont val="Calibri"/>
        <family val="2"/>
        <charset val="1"/>
      </rPr>
      <t xml:space="preserve">bookings</t>
    </r>
    <r>
      <rPr>
        <sz val="11"/>
        <color theme="1"/>
        <rFont val="Noto Sans CJK SC"/>
        <family val="2"/>
      </rPr>
      <t xml:space="preserve">，譯為「簽約」略寬鬆。</t>
    </r>
  </si>
  <si>
    <t xml:space="preserve">https://apac.entrepreneur.com/business-news/singapores-dayone-heads-for-nasdaq-as-malaysia-drives-87-of-its-revenue</t>
  </si>
  <si>
    <t xml:space="preserve">S#371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</si>
  <si>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</si>
  <si>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NTP1–3</t>
    </r>
    <r>
      <rPr>
        <sz val="11"/>
        <color theme="1"/>
        <rFont val="Noto Sans CJK SC"/>
        <family val="2"/>
      </rPr>
      <t xml:space="preserve">）｜上線</t>
    </r>
  </si>
  <si>
    <t xml:space="preserve">69.5 MW</t>
  </si>
  <si>
    <r>
      <rPr>
        <sz val="11"/>
        <color theme="1"/>
        <rFont val="Noto Sans CJK SC"/>
        <family val="2"/>
      </rPr>
      <t xml:space="preserve">數字、日期、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口徑皆符。但來源是第三方網站編譯，並非公司本人；標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、「公司本人」與原文不符。</t>
    </r>
  </si>
  <si>
    <t xml:space="preserve">https://getcommercialproperty.com/data-centres/dayone-nusajaya-tech-park</t>
  </si>
  <si>
    <t xml:space="preserve">S#372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</si>
  <si>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估計，目前）｜上線</t>
    </r>
  </si>
  <si>
    <r>
      <rPr>
        <sz val="11"/>
        <color theme="1"/>
        <rFont val="Noto Sans CJK SC"/>
        <family val="2"/>
      </rPr>
      <t xml:space="preserve">原文目前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電力為 </t>
    </r>
    <r>
      <rPr>
        <sz val="11"/>
        <color theme="1"/>
        <rFont val="Calibri"/>
        <family val="2"/>
        <charset val="1"/>
      </rPr>
      <t xml:space="preserve">473MW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更新）。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月的舊時點，不是目前值。排除第一期屬實。</t>
    </r>
  </si>
  <si>
    <t xml:space="preserve">https://epoch.ai/data/ai-data-centers/directory/dayone-nusajaya</t>
  </si>
  <si>
    <t xml:space="preserve">S#373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</si>
  <si>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）｜在建</t>
    </r>
  </si>
  <si>
    <t xml:space="preserve">473 MW</t>
  </si>
  <si>
    <r>
      <rPr>
        <sz val="11"/>
        <color theme="1"/>
        <rFont val="Calibri"/>
        <family val="2"/>
        <charset val="1"/>
      </rPr>
      <t xml:space="preserve">473MW </t>
    </r>
    <r>
      <rPr>
        <sz val="11"/>
        <color theme="1"/>
        <rFont val="Noto Sans CJK SC"/>
        <family val="2"/>
      </rPr>
      <t xml:space="preserve">數字屬實，但原文列為目前已營運（</t>
    </r>
    <r>
      <rPr>
        <sz val="11"/>
        <color theme="1"/>
        <rFont val="Calibri"/>
        <family val="2"/>
        <charset val="1"/>
      </rPr>
      <t xml:space="preserve">Operational</t>
    </r>
    <r>
      <rPr>
        <sz val="11"/>
        <color theme="1"/>
        <rFont val="Noto Sans CJK SC"/>
        <family val="2"/>
      </rPr>
      <t xml:space="preserve">），並非在建，也未寫「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升至」。</t>
    </r>
    <r>
      <rPr>
        <sz val="11"/>
        <color theme="1"/>
        <rFont val="Calibri"/>
        <family val="2"/>
        <charset val="1"/>
      </rPr>
      <t xml:space="preserve">Oct 2 </t>
    </r>
    <r>
      <rPr>
        <sz val="11"/>
        <color theme="1"/>
        <rFont val="Noto Sans CJK SC"/>
        <family val="2"/>
      </rPr>
      <t xml:space="preserve">是預估的全面營運時點。</t>
    </r>
  </si>
  <si>
    <t xml:space="preserve">S#374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</si>
  <si>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Kempas Tech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</si>
  <si>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官網只列兩園區合計容量（</t>
    </r>
    <r>
      <rPr>
        <sz val="11"/>
        <color theme="1"/>
        <rFont val="Calibri"/>
        <family val="2"/>
        <charset val="1"/>
      </rPr>
      <t xml:space="preserve">390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478 MW </t>
    </r>
    <r>
      <rPr>
        <sz val="11"/>
        <color theme="1"/>
        <rFont val="Noto Sans CJK SC"/>
        <family val="2"/>
      </rPr>
      <t xml:space="preserve">並存），未單列 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，頁面未標日期，與列內說法一致。</t>
    </r>
    <r>
      <rPr>
        <sz val="11"/>
        <color theme="1"/>
        <rFont val="Calibri"/>
        <family val="2"/>
        <charset val="1"/>
      </rPr>
      <t xml:space="preserve">108MW </t>
    </r>
    <r>
      <rPr>
        <sz val="11"/>
        <color theme="1"/>
        <rFont val="Noto Sans CJK SC"/>
        <family val="2"/>
      </rPr>
      <t xml:space="preserve">部落格說法不在本頁，但列中已註明未採用。</t>
    </r>
  </si>
  <si>
    <t xml:space="preserve">https://dayonedc.com/market/johor</t>
  </si>
  <si>
    <t xml:space="preserve">S#375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</si>
  <si>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</si>
  <si>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Gerbang Nusajaya </t>
    </r>
    <r>
      <rPr>
        <sz val="11"/>
        <color theme="1"/>
        <rFont val="Noto Sans CJK SC"/>
        <family val="2"/>
      </rPr>
      <t xml:space="preserve">新購地（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英畝）｜規劃</t>
    </r>
  </si>
  <si>
    <t xml:space="preserve">2026-06-26</t>
  </si>
  <si>
    <r>
      <rPr>
        <sz val="11"/>
        <color theme="1"/>
        <rFont val="Noto Sans CJK SC"/>
        <family val="2"/>
      </rPr>
      <t xml:space="preserve">價格、未公布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、農地轉用、</t>
    </r>
    <r>
      <rPr>
        <sz val="11"/>
        <color theme="1"/>
        <rFont val="Calibri"/>
        <family val="2"/>
        <charset val="1"/>
      </rPr>
      <t xml:space="preserve">2027 H2 </t>
    </r>
    <r>
      <rPr>
        <sz val="11"/>
        <color theme="1"/>
        <rFont val="Noto Sans CJK SC"/>
        <family val="2"/>
      </rPr>
      <t xml:space="preserve">完成皆屬實。原文地點是 </t>
    </r>
    <r>
      <rPr>
        <sz val="11"/>
        <color theme="1"/>
        <rFont val="Calibri"/>
        <family val="2"/>
        <charset val="1"/>
      </rPr>
      <t xml:space="preserve">Tanjung Kupang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Gerbang Nusajaya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公頃約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英畝，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為近似。申報人是賣方 </t>
    </r>
    <r>
      <rPr>
        <sz val="11"/>
        <color theme="1"/>
        <rFont val="Calibri"/>
        <family val="2"/>
        <charset val="1"/>
      </rPr>
      <t xml:space="preserve">Paragon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，「公司本人」標示稍偏。</t>
    </r>
  </si>
  <si>
    <t xml:space="preserve">https://w.media/dayone-deepens-johor-data-center-push-with-us-96-6-million-land-deal/</t>
  </si>
  <si>
    <t xml:space="preserve">S#376</t>
  </si>
  <si>
    <t xml:space="preserve">Firmus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</si>
  <si>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</si>
  <si>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192 MW</t>
  </si>
  <si>
    <r>
      <rPr>
        <sz val="11"/>
        <color theme="1"/>
        <rFont val="Calibri"/>
        <family val="2"/>
        <charset val="1"/>
      </rPr>
      <t xml:space="preserve">192MW </t>
    </r>
    <r>
      <rPr>
        <sz val="11"/>
        <color theme="1"/>
        <rFont val="Noto Sans CJK SC"/>
        <family val="2"/>
      </rPr>
      <t xml:space="preserve">是規劃中的新增算力，並非簽約容量。原文也沒有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、租用第三方機房或招股文件載明的說法。「</t>
    </r>
    <r>
      <rPr>
        <sz val="11"/>
        <color theme="1"/>
        <rFont val="Calibri"/>
        <family val="2"/>
        <charset val="1"/>
      </rPr>
      <t xml:space="preserve">Phased completion from 2027</t>
    </r>
    <r>
      <rPr>
        <sz val="11"/>
        <color theme="1"/>
        <rFont val="Noto Sans CJK SC"/>
        <family val="2"/>
      </rPr>
      <t xml:space="preserve">」是分階段完工自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起，不是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完工。</t>
    </r>
  </si>
  <si>
    <t xml:space="preserve">https://www.smartcompany.com.au/artificial-intelligence/firmus-could-slash-share-price-by-nearly-20-or-pull-ipo/</t>
  </si>
  <si>
    <t xml:space="preserve">S#377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</si>
  <si>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</si>
  <si>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206 MW</t>
  </si>
  <si>
    <r>
      <rPr>
        <sz val="11"/>
        <color theme="1"/>
        <rFont val="Calibri"/>
        <family val="2"/>
        <charset val="1"/>
      </rPr>
      <t xml:space="preserve">206MW </t>
    </r>
    <r>
      <rPr>
        <sz val="11"/>
        <color theme="1"/>
        <rFont val="Noto Sans CJK SC"/>
        <family val="2"/>
      </rPr>
      <t xml:space="preserve">是專案規劃容量（</t>
    </r>
    <r>
      <rPr>
        <sz val="11"/>
        <color theme="1"/>
        <rFont val="Calibri"/>
        <family val="2"/>
        <charset val="1"/>
      </rPr>
      <t xml:space="preserve">would provide</t>
    </r>
    <r>
      <rPr>
        <sz val="11"/>
        <color theme="1"/>
        <rFont val="Noto Sans CJK SC"/>
        <family val="2"/>
      </rPr>
      <t xml:space="preserve">），原文未稱已簽約。來源是經券商摘要流傳的內容，招股書要到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才送件，不是招股文件。標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</si>
  <si>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https://www.startupdaily.net/topic/asx/firmus-will-spend-4-4-billion-on-servers-and-deployment-from-asx-raise/</t>
  </si>
  <si>
    <t xml:space="preserve">S#378</t>
  </si>
  <si>
    <t xml:space="preserve">Galaxy Data Center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</si>
  <si>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｜全園區｜規劃</t>
    </r>
  </si>
  <si>
    <t xml:space="preserve">404 MW</t>
  </si>
  <si>
    <r>
      <rPr>
        <sz val="11"/>
        <color theme="1"/>
        <rFont val="Calibri"/>
        <family val="2"/>
        <charset val="1"/>
      </rPr>
      <t xml:space="preserve">404MW IT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利害關係人合理；頁面無發布日，日期為查詢日，已註明。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部分不在原文，屬研究者說明，不影響數值。</t>
    </r>
  </si>
  <si>
    <t xml:space="preserve">https://www.galaxy-dc.com/</t>
  </si>
  <si>
    <t xml:space="preserve">S#379</t>
  </si>
  <si>
    <t xml:space="preserve">Galaxy Peak Data Center Co., Ltd.</t>
  </si>
  <si>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</si>
  <si>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t xml:space="preserve">160 MW</t>
  </si>
  <si>
    <t xml:space="preserve">2025-05-19</t>
  </si>
  <si>
    <r>
      <rPr>
        <sz val="11"/>
        <color theme="1"/>
        <rFont val="Calibri"/>
        <family val="2"/>
        <charset val="1"/>
      </rPr>
      <t xml:space="preserve">160MW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23.55 </t>
    </r>
    <r>
      <rPr>
        <sz val="11"/>
        <color theme="1"/>
        <rFont val="Noto Sans CJK SC"/>
        <family val="2"/>
      </rPr>
      <t xml:space="preserve">十億泰銖、</t>
    </r>
    <r>
      <rPr>
        <sz val="11"/>
        <color theme="1"/>
        <rFont val="Calibri"/>
        <family val="2"/>
        <charset val="1"/>
      </rPr>
      <t xml:space="preserve">Rayong </t>
    </r>
    <r>
      <rPr>
        <sz val="11"/>
        <color theme="1"/>
        <rFont val="Noto Sans CJK SC"/>
        <family val="2"/>
      </rPr>
      <t xml:space="preserve">皆屬實。但來源是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官方新聞稿，卻標為第三方；與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園區的對應原文未提，列中自己也說未經官方確認，不該標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</si>
  <si>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https://www.boi.go.th/index.php?page=press_releases_detail&amp;topic_id=136939&amp;_module=news&amp;from_page=press_releases2&amp;language=en</t>
  </si>
  <si>
    <t xml:space="preserve">S#380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</si>
  <si>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Pte.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</si>
  <si>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r>
      <rPr>
        <sz val="11"/>
        <color theme="1"/>
        <rFont val="Calibri"/>
        <family val="2"/>
        <charset val="1"/>
      </rPr>
      <t xml:space="preserve">150MW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22.31 </t>
    </r>
    <r>
      <rPr>
        <sz val="11"/>
        <color theme="1"/>
        <rFont val="Noto Sans CJK SC"/>
        <family val="2"/>
      </rPr>
      <t xml:space="preserve">十億泰銖（</t>
    </r>
    <r>
      <rPr>
        <sz val="11"/>
        <color theme="1"/>
        <rFont val="Calibri"/>
        <family val="2"/>
        <charset val="1"/>
      </rPr>
      <t xml:space="preserve">223.1 </t>
    </r>
    <r>
      <rPr>
        <sz val="11"/>
        <color theme="1"/>
        <rFont val="Noto Sans CJK SC"/>
        <family val="2"/>
      </rPr>
      <t xml:space="preserve">億）、新加坡註冊中資皆屬實。但來源為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</si>
  <si>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S#381</t>
  </si>
  <si>
    <t xml:space="preserve">NEXTDC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</si>
  <si>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</si>
  <si>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612 MW</t>
  </si>
  <si>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）屬實。但原文是「準備環評報告」，不是「審查中」。</t>
    </r>
    <r>
      <rPr>
        <sz val="11"/>
        <color theme="1"/>
        <rFont val="Calibri"/>
        <family val="2"/>
        <charset val="1"/>
      </rPr>
      <t xml:space="preserve">Capital Brief 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上線、非約束性、初始承租方在此文找不到，應另有來源。</t>
    </r>
  </si>
  <si>
    <t xml:space="preserve">https://www.datacenterdynamics.com/en/news/australian-stargate-data-center-in-sydney-will-offer-612mw-of-capacity/</t>
  </si>
  <si>
    <t xml:space="preserve">S#382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</si>
  <si>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</si>
  <si>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原文支持公司稱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下半年交付，也未揭露第一期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（只說 </t>
    </r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）。但「須待核准」和「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月污水冷卻改案」原文都沒有，可能來自其他來源。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報導。</t>
    </r>
  </si>
  <si>
    <t xml:space="preserve">https://www.itnews.com.au/news/nextdc-to-build-ai-campus-and-gpu-supercluster-in-sydney-622380</t>
  </si>
  <si>
    <t xml:space="preserve">S#383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</si>
  <si>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｜全園區｜在建</t>
    </r>
  </si>
  <si>
    <t xml:space="preserve">84 MW</t>
  </si>
  <si>
    <r>
      <rPr>
        <sz val="11"/>
        <color theme="1"/>
        <rFont val="Calibri"/>
        <family val="2"/>
        <charset val="1"/>
      </rPr>
      <t xml:space="preserve">84MW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負載屬實。但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上半年、原住民遺物暫停、議會核准 </t>
    </r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皆查無，「在建」也未明說。最新新聞日是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09-28</t>
    </r>
    <r>
      <rPr>
        <sz val="11"/>
        <color theme="1"/>
        <rFont val="Noto Sans CJK SC"/>
        <family val="2"/>
      </rPr>
      <t xml:space="preserve">。</t>
    </r>
  </si>
  <si>
    <t xml:space="preserve">https://firmus.co/infrastructure/southgate</t>
  </si>
  <si>
    <t xml:space="preserve">S#384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</si>
  <si>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1a</t>
    </r>
    <r>
      <rPr>
        <sz val="11"/>
        <color theme="1"/>
        <rFont val="Noto Sans CJK SC"/>
        <family val="2"/>
      </rPr>
      <t xml:space="preserve">｜在建</t>
    </r>
  </si>
  <si>
    <t xml:space="preserve">44 MW</t>
  </si>
  <si>
    <r>
      <rPr>
        <sz val="11"/>
        <color theme="1"/>
        <rFont val="Calibri"/>
        <family val="2"/>
        <charset val="1"/>
      </rPr>
      <t xml:space="preserve">44MW </t>
    </r>
    <r>
      <rPr>
        <sz val="11"/>
        <color theme="1"/>
        <rFont val="Noto Sans CJK SC"/>
        <family val="2"/>
      </rPr>
      <t xml:space="preserve">是議會 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的核准容量（</t>
    </r>
    <r>
      <rPr>
        <sz val="11"/>
        <color theme="1"/>
        <rFont val="Calibri"/>
        <family val="2"/>
        <charset val="1"/>
      </rPr>
      <t xml:space="preserve">consented</t>
    </r>
    <r>
      <rPr>
        <sz val="11"/>
        <color theme="1"/>
        <rFont val="Noto Sans CJK SC"/>
        <family val="2"/>
      </rPr>
      <t xml:space="preserve">），不是在建容量。原文稱 </t>
    </r>
    <r>
      <rPr>
        <sz val="11"/>
        <color theme="1"/>
        <rFont val="Calibri"/>
        <family val="2"/>
        <charset val="1"/>
      </rPr>
      <t xml:space="preserve">St Leonards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初啟用，但沒有延遲、原住民遺物、暫停施工或客戶已簽約的說法。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</si>
  <si>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https://certifiedstrategic.com/neoclouds/firmus</t>
  </si>
  <si>
    <t xml:space="preserve">S#385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</si>
  <si>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1b</t>
    </r>
    <r>
      <rPr>
        <sz val="11"/>
        <color theme="1"/>
        <rFont val="Noto Sans CJK SC"/>
        <family val="2"/>
      </rPr>
      <t xml:space="preserve">｜規劃</t>
    </r>
  </si>
  <si>
    <t xml:space="preserve">46 MW</t>
  </si>
  <si>
    <t xml:space="preserve">2025-07-02</t>
  </si>
  <si>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44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年皆見於原文，</t>
    </r>
    <r>
      <rPr>
        <sz val="11"/>
        <color theme="1"/>
        <rFont val="Calibri"/>
        <family val="2"/>
        <charset val="1"/>
      </rPr>
      <t xml:space="preserve">90−44=46 </t>
    </r>
    <r>
      <rPr>
        <sz val="11"/>
        <color theme="1"/>
        <rFont val="Noto Sans CJK SC"/>
        <family val="2"/>
      </rPr>
      <t xml:space="preserve">成立。但原文只標「</t>
    </r>
    <r>
      <rPr>
        <sz val="11"/>
        <color theme="1"/>
        <rFont val="Calibri"/>
        <family val="2"/>
        <charset val="1"/>
      </rPr>
      <t xml:space="preserve">July 2025</t>
    </r>
    <r>
      <rPr>
        <sz val="11"/>
        <color theme="1"/>
        <rFont val="Noto Sans CJK SC"/>
        <family val="2"/>
      </rPr>
      <t xml:space="preserve">」，且此頁為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官方稿，不是「記者推論」。</t>
    </r>
  </si>
  <si>
    <t xml:space="preserve">https://firmus.co/newsroom/tasmanian-world-first-ai-factory-zone-clears-path-for-firmus-project-southgate</t>
  </si>
  <si>
    <t xml:space="preserve">S#386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</si>
  <si>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</si>
  <si>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第二階段「當時報導規劃、待最終核准」，且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現行資料已無第二階段數字，與備註一致。利害關係人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可接受；日期為推算。</t>
    </r>
  </si>
  <si>
    <t xml:space="preserve">S#387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</si>
  <si>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</si>
  <si>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Brooklyn </t>
    </r>
    <r>
      <rPr>
        <sz val="11"/>
        <color theme="1"/>
        <rFont val="Noto Sans CJK SC"/>
        <family val="2"/>
      </rPr>
      <t xml:space="preserve">已部署）｜上線</t>
    </r>
  </si>
  <si>
    <r>
      <rPr>
        <sz val="11"/>
        <color theme="1"/>
        <rFont val="Calibri"/>
        <family val="2"/>
        <charset val="1"/>
      </rPr>
      <t xml:space="preserve">42MW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自述、服務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皆與原文相符，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正確。原文沒有 </t>
    </r>
    <r>
      <rPr>
        <sz val="11"/>
        <color theme="1"/>
        <rFont val="Calibri"/>
        <family val="2"/>
        <charset val="1"/>
      </rPr>
      <t xml:space="preserve">CDC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目標，應出自他處。</t>
    </r>
  </si>
  <si>
    <t xml:space="preserve">S#388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</si>
  <si>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｜第一期客戶合約（約 </t>
    </r>
    <r>
      <rPr>
        <sz val="11"/>
        <color theme="1"/>
        <rFont val="Calibri"/>
        <family val="2"/>
        <charset val="1"/>
      </rPr>
      <t xml:space="preserve">18,400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）｜簽約</t>
    </r>
  </si>
  <si>
    <t xml:space="preserve">2026-03-02</t>
  </si>
  <si>
    <r>
      <rPr>
        <sz val="11"/>
        <color theme="1"/>
        <rFont val="Noto Sans CJK SC"/>
        <family val="2"/>
      </rPr>
      <t xml:space="preserve">合約規模、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顆數、客戶未具名且無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 </t>
    </r>
    <r>
      <rPr>
        <sz val="11"/>
        <color theme="1"/>
        <rFont val="Calibri"/>
        <family val="2"/>
        <charset val="1"/>
      </rPr>
      <t xml:space="preserve">CDC</t>
    </r>
    <r>
      <rPr>
        <sz val="11"/>
        <color theme="1"/>
        <rFont val="Noto Sans CJK SC"/>
        <family val="2"/>
      </rPr>
      <t xml:space="preserve">，也未給墨爾本上線時間；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年底是塔斯馬尼亞園區。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是外部報導，原文沒有。</t>
    </r>
  </si>
  <si>
    <t xml:space="preserve">https://firmus.co/newsroom/firmus-signs-multi-year-agreement-with-global-hyperscale-customer-at-project-southgate</t>
  </si>
  <si>
    <t xml:space="preserve">S#389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</si>
  <si>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｜原規劃擴建至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（已不會擴建）｜規劃</t>
    </r>
  </si>
  <si>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不再擴建屬實（據 </t>
    </r>
    <r>
      <rPr>
        <sz val="11"/>
        <color theme="1"/>
        <rFont val="Calibri"/>
        <family val="2"/>
        <charset val="1"/>
      </rPr>
      <t xml:space="preserve">AFR</t>
    </r>
    <r>
      <rPr>
        <sz val="11"/>
        <color theme="1"/>
        <rFont val="Noto Sans CJK SC"/>
        <family val="2"/>
      </rPr>
      <t xml:space="preserve">）。但「</t>
    </r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原公告數字」原文未載，原文僅稱最初規劃。「本人說」成分屬 </t>
    </r>
    <r>
      <rPr>
        <sz val="11"/>
        <color theme="1"/>
        <rFont val="Calibri"/>
        <family val="2"/>
        <charset val="1"/>
      </rPr>
      <t xml:space="preserve">AFR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與原文日期一致。</t>
    </r>
  </si>
  <si>
    <t xml:space="preserve">https://w.media/firmus-and-cdc-end-project-southgate-partnership-after-42mw-rollout/</t>
  </si>
  <si>
    <t xml:space="preserve">S#390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</si>
  <si>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</si>
  <si>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42MW </t>
    </r>
    <r>
      <rPr>
        <sz val="11"/>
        <color theme="1"/>
        <rFont val="Noto Sans CJK SC"/>
        <family val="2"/>
      </rPr>
      <t xml:space="preserve">皆有出現。但原文稱「跨澳洲」是全國部署，而非全園區；「全國目標非墨爾本單點」可成立，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寫「全園區」稍偏。</t>
    </r>
  </si>
  <si>
    <t xml:space="preserve">S#391</t>
  </si>
  <si>
    <t xml:space="preserve">Elea Data Centers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</si>
  <si>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｜上線</t>
    </r>
  </si>
  <si>
    <t xml:space="preserve">2025-05-08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</si>
  <si>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RJO1 </t>
    </r>
    <r>
      <rPr>
        <sz val="11"/>
        <color theme="1"/>
        <rFont val="Noto Sans CJK SC"/>
        <family val="2"/>
      </rPr>
      <t xml:space="preserve">已營運、</t>
    </r>
    <r>
      <rPr>
        <sz val="11"/>
        <color theme="1"/>
        <rFont val="Calibri"/>
        <family val="2"/>
        <charset val="1"/>
      </rPr>
      <t xml:space="preserve">Tier 3</t>
    </r>
    <r>
      <rPr>
        <sz val="11"/>
        <color theme="1"/>
        <rFont val="Noto Sans CJK SC"/>
        <family val="2"/>
      </rPr>
      <t xml:space="preserve">，且未給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奧運、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說法屬外部補充，不影響核對。日期 </t>
    </r>
    <r>
      <rPr>
        <sz val="11"/>
        <color theme="1"/>
        <rFont val="Calibri"/>
        <family val="2"/>
        <charset val="1"/>
      </rPr>
      <t xml:space="preserve">2025-05-08 </t>
    </r>
    <r>
      <rPr>
        <sz val="11"/>
        <color theme="1"/>
        <rFont val="Noto Sans CJK SC"/>
        <family val="2"/>
      </rPr>
      <t xml:space="preserve">與原文相符。</t>
    </r>
  </si>
  <si>
    <t xml:space="preserve">https://www.prnewswire.com/news-releases/elea-announces-rio-ai-city-a-landmark-brazilian-data-center-project-with-capacity-up-to-3-2-gw-of-renewable-energy-supporting-ai-growth-302449289.html</t>
  </si>
  <si>
    <t xml:space="preserve">S#392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</si>
  <si>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｜在建</t>
    </r>
  </si>
  <si>
    <t xml:space="preserve">80 MW</t>
  </si>
  <si>
    <t xml:space="preserve">2025-05-16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</si>
  <si>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RJO2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年啟用、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，與列相符。基準未說明、公司本人說法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正確。「官網近期改稱」的部分不在此頁，屬附加說明，不影響數值。</t>
    </r>
  </si>
  <si>
    <t xml:space="preserve">https://eleadatacenters.com/2025/05/16/cidade-de-data-centers-no-rio-de-janeiro-o-anuncio-bilionario-da-elea/</t>
  </si>
  <si>
    <t xml:space="preserve">S#393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</si>
  <si>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RJO3–RJO4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</si>
  <si>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RJO3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RJO4 </t>
    </r>
    <r>
      <rPr>
        <sz val="11"/>
        <color theme="1"/>
        <rFont val="Noto Sans CJK SC"/>
        <family val="2"/>
      </rPr>
      <t xml:space="preserve">合計增加 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，接續 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，原文未給單棟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與時程，與列相符。</t>
    </r>
  </si>
  <si>
    <t xml:space="preserve">S#394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</si>
  <si>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｜第一階段（含 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，目標總量）｜規劃</t>
    </r>
  </si>
  <si>
    <t xml:space="preserve">2026-06-08</t>
  </si>
  <si>
    <r>
      <rPr>
        <sz val="11"/>
        <color theme="1"/>
        <rFont val="Noto Sans CJK SC"/>
        <family val="2"/>
      </rPr>
      <t xml:space="preserve">初期</t>
    </r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亦對。但原文未提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JSA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市長說法，且未說明 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設施口徑。來源是 </t>
    </r>
    <r>
      <rPr>
        <sz val="11"/>
        <color theme="1"/>
        <rFont val="Calibri"/>
        <family val="2"/>
        <charset val="1"/>
      </rPr>
      <t xml:space="preserve">Teletime </t>
    </r>
    <r>
      <rPr>
        <sz val="11"/>
        <color theme="1"/>
        <rFont val="Noto Sans CJK SC"/>
        <family val="2"/>
      </rPr>
      <t xml:space="preserve">報導引述公司，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寫「公司本人」不準。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年擴至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未入表。</t>
    </r>
  </si>
  <si>
    <t xml:space="preserve">https://teletime.com.br/08/06/2026/elea-data-centers-anuncia-aporte-de-us-550-milhoes-no-rio-ai-city/</t>
  </si>
  <si>
    <t xml:space="preserve">S#395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</si>
  <si>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｜全園區｜規劃</t>
    </r>
  </si>
  <si>
    <t xml:space="preserve">3200 MW</t>
  </si>
  <si>
    <r>
      <rPr>
        <sz val="11"/>
        <color theme="1"/>
        <rFont val="Calibri"/>
        <family val="2"/>
        <charset val="1"/>
      </rPr>
      <t xml:space="preserve">3200 MW </t>
    </r>
    <r>
      <rPr>
        <sz val="11"/>
        <color theme="1"/>
        <rFont val="Noto Sans CJK SC"/>
        <family val="2"/>
      </rPr>
      <t xml:space="preserve">上限、含第一階段 </t>
    </r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、日期皆屬實。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Squared 5.5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不在原文，需由他處佐證，且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JSA </t>
    </r>
    <r>
      <rPr>
        <sz val="11"/>
        <color theme="1"/>
        <rFont val="Noto Sans CJK SC"/>
        <family val="2"/>
      </rPr>
      <t xml:space="preserve">報導。</t>
    </r>
  </si>
  <si>
    <t xml:space="preserve">S#396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</si>
  <si>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｜電網接入許可（</t>
    </r>
    <r>
      <rPr>
        <sz val="11"/>
        <color theme="1"/>
        <rFont val="Calibri"/>
        <family val="2"/>
        <charset val="1"/>
      </rPr>
      <t xml:space="preserve">ONS 225MW</t>
    </r>
    <r>
      <rPr>
        <sz val="11"/>
        <color theme="1"/>
        <rFont val="Noto Sans CJK SC"/>
        <family val="2"/>
      </rPr>
      <t xml:space="preserve">）｜規劃</t>
    </r>
  </si>
  <si>
    <t xml:space="preserve">225 MW</t>
  </si>
  <si>
    <t xml:space="preserve">2026-08-24</t>
  </si>
  <si>
    <t xml:space="preserve">https://orbis.borealbrasil.com.br/infocenter_contentview/elea-recebe-parecer-para-conectar-data-center-no-rio-de-janeiro-1787598194687x785928602886864900</t>
  </si>
  <si>
    <t xml:space="preserve">S#397</t>
  </si>
  <si>
    <t xml:space="preserve">Scala Data Centers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</si>
  <si>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｜第一期｜規劃</t>
    </r>
  </si>
  <si>
    <t xml:space="preserve">54 MW</t>
  </si>
  <si>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R$3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=R$30 </t>
    </r>
    <r>
      <rPr>
        <sz val="11"/>
        <color theme="1"/>
        <rFont val="Noto Sans CJK SC"/>
        <family val="2"/>
      </rPr>
      <t xml:space="preserve">億）、日期皆符。但原文未說明是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無依據，應為未說明。</t>
    </r>
  </si>
  <si>
    <t xml:space="preserve">https://www.datacenterdynamics.com/br/not%C3%ADcias/scala-avan%C3%A7a-na-expans%C3%A3o-do-campus-tambor%C3%A9-e-projeta-at%C3%A9-17-data-centers-verticais-em-barueri/</t>
  </si>
  <si>
    <t xml:space="preserve">S#398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</si>
  <si>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｜電網接入（</t>
    </r>
    <r>
      <rPr>
        <sz val="11"/>
        <color theme="1"/>
        <rFont val="Calibri"/>
        <family val="2"/>
        <charset val="1"/>
      </rPr>
      <t xml:space="preserve">ONS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Aneel </t>
    </r>
    <r>
      <rPr>
        <sz val="11"/>
        <color theme="1"/>
        <rFont val="Noto Sans CJK SC"/>
        <family val="2"/>
      </rPr>
      <t xml:space="preserve">許可）｜簽約</t>
    </r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</si>
  <si>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月、日期皆屬實。但原文是 </t>
    </r>
    <r>
      <rPr>
        <sz val="11"/>
        <color theme="1"/>
        <rFont val="Calibri"/>
        <family val="2"/>
        <charset val="1"/>
      </rPr>
      <t xml:space="preserve">ONS </t>
    </r>
    <r>
      <rPr>
        <sz val="11"/>
        <color theme="1"/>
        <rFont val="Noto Sans CJK SC"/>
        <family val="2"/>
      </rPr>
      <t xml:space="preserve">的「電力需求」，並非簽約容量。原文只提到 </t>
    </r>
    <r>
      <rPr>
        <sz val="11"/>
        <color theme="1"/>
        <rFont val="Calibri"/>
        <family val="2"/>
        <charset val="1"/>
      </rPr>
      <t xml:space="preserve">CUST </t>
    </r>
    <r>
      <rPr>
        <sz val="11"/>
        <color theme="1"/>
        <rFont val="Noto Sans CJK SC"/>
        <family val="2"/>
      </rPr>
      <t xml:space="preserve">已簽，沒有說 </t>
    </r>
    <r>
      <rPr>
        <sz val="11"/>
        <color theme="1"/>
        <rFont val="Calibri"/>
        <family val="2"/>
        <charset val="1"/>
      </rPr>
      <t xml:space="preserve">120 MW </t>
    </r>
    <r>
      <rPr>
        <sz val="11"/>
        <color theme="1"/>
        <rFont val="Noto Sans CJK SC"/>
        <family val="2"/>
      </rPr>
      <t xml:space="preserve">是簽約量，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標「簽約」口徑有偏。</t>
    </r>
  </si>
  <si>
    <t xml:space="preserve">https://telesintese.com.br/aneel-autoriza-conexao-da-scala-ai-city-a-rede-eletrica-no-rs/</t>
  </si>
  <si>
    <t xml:space="preserve">S#399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</si>
  <si>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｜全園區｜規劃</t>
    </r>
  </si>
  <si>
    <t xml:space="preserve">4750 MW</t>
  </si>
  <si>
    <r>
      <rPr>
        <sz val="11"/>
        <color theme="1"/>
        <rFont val="Calibri"/>
        <family val="2"/>
        <charset val="1"/>
      </rPr>
      <t xml:space="preserve">4.75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m²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MME </t>
    </r>
    <r>
      <rPr>
        <sz val="11"/>
        <color theme="1"/>
        <rFont val="Noto Sans CJK SC"/>
        <family val="2"/>
      </rPr>
      <t xml:space="preserve">授權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併網皆與原文一致。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標未說明正確。</t>
    </r>
  </si>
  <si>
    <t xml:space="preserve">S#400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</si>
  <si>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</si>
  <si>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簽約；共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</si>
  <si>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、耗電約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上線均與原文一致。但原文未提「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」，且原文是計畫建置容量（</t>
    </r>
    <r>
      <rPr>
        <sz val="11"/>
        <color theme="1"/>
        <rFont val="Calibri"/>
        <family val="2"/>
        <charset val="1"/>
      </rPr>
      <t xml:space="preserve">obras </t>
    </r>
    <r>
      <rPr>
        <sz val="11"/>
        <color theme="1"/>
        <rFont val="Noto Sans CJK SC"/>
        <family val="2"/>
      </rPr>
      <t xml:space="preserve">在整地階段），非實際在建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利害關係人說法合理。</t>
    </r>
  </si>
  <si>
    <t xml:space="preserve">https://www.abrazpe.org.br/index.php/2026/05/20/omnia-firma-acordo-de-us-2-bi-para-data-center-do-tiktok-no-ce/</t>
  </si>
  <si>
    <t xml:space="preserve">S#401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</si>
  <si>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</si>
  <si>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期約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、口徑未說明皆屬實。但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匿名稱初期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、二期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在本文找不到，且不影響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數值。</t>
    </r>
  </si>
  <si>
    <t xml:space="preserve">https://clickpetroleoegas.com.br/data-center-de-r-200-bilhoes-do-tiktok-comeca-a-sair-do-chao-no-ceara-transforma-o-pecem-em-canteiro-de-infraestrutura-digital-vml97/</t>
  </si>
  <si>
    <t xml:space="preserve">S#402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</si>
  <si>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</t>
    </r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</si>
  <si>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｜全園區｜規劃</t>
    </r>
  </si>
  <si>
    <t xml:space="preserve">2025-10-10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</si>
  <si>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「最高」、</t>
    </r>
    <r>
      <rPr>
        <sz val="11"/>
        <color theme="1"/>
        <rFont val="Calibri"/>
        <family val="2"/>
        <charset val="1"/>
      </rPr>
      <t xml:space="preserve">LOI</t>
    </r>
    <r>
      <rPr>
        <sz val="11"/>
        <color theme="1"/>
        <rFont val="Noto Sans CJK SC"/>
        <family val="2"/>
      </rPr>
      <t xml:space="preserve">、合資、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為潛在買方皆屬實。但原文無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Neuquén </t>
    </r>
    <r>
      <rPr>
        <sz val="11"/>
        <color theme="1"/>
        <rFont val="Noto Sans CJK SC"/>
        <family val="2"/>
      </rPr>
      <t xml:space="preserve">場址、</t>
    </r>
    <r>
      <rPr>
        <sz val="11"/>
        <color theme="1"/>
        <rFont val="Calibri"/>
        <family val="2"/>
        <charset val="1"/>
      </rPr>
      <t xml:space="preserve">4/29 </t>
    </r>
    <r>
      <rPr>
        <sz val="11"/>
        <color theme="1"/>
        <rFont val="Noto Sans CJK SC"/>
        <family val="2"/>
      </rPr>
      <t xml:space="preserve">經濟部說法，這些須由其他來源支持。</t>
    </r>
  </si>
  <si>
    <t xml:space="preserve">https://www.sur.energy/press-release</t>
  </si>
  <si>
    <t xml:space="preserve">S#403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</si>
  <si>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｜第一期（約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</si>
  <si>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2025-10-13 </t>
    </r>
    <r>
      <rPr>
        <sz val="11"/>
        <color theme="1"/>
        <rFont val="Noto Sans CJK SC"/>
        <family val="2"/>
      </rPr>
      <t xml:space="preserve">與原文相符，並明確為報導／當地媒體說法。但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也偏（較接近 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延遲說明不在此原文，由他源補充。</t>
    </r>
  </si>
  <si>
    <t xml:space="preserve">https://www.datacenterdynamics.com/en/news/openai-plans-500mw-data-center-in-argentina/</t>
  </si>
  <si>
    <t xml:space="preserve">S#404</t>
  </si>
  <si>
    <t xml:space="preserve">CloudHQ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</si>
  <si>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</si>
  <si>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升至近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、公司宣布皆屬實。但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上線、進度符合計畫、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在本文找不到；來源是媒體報導，非公司本人。</t>
    </r>
    <r>
      <rPr>
        <sz val="11"/>
        <color theme="1"/>
        <rFont val="Calibri"/>
        <family val="2"/>
        <charset val="1"/>
      </rPr>
      <t xml:space="preserve">value 1000</t>
    </r>
    <r>
      <rPr>
        <sz val="11"/>
        <color theme="1"/>
        <rFont val="Noto Sans CJK SC"/>
        <family val="2"/>
      </rPr>
      <t xml:space="preserve">為約數。</t>
    </r>
  </si>
  <si>
    <t xml:space="preserve">https://rotativo.com.mx/cloudhq-centros-datos-queretaro-energia-san-juan-del-rio</t>
  </si>
  <si>
    <t xml:space="preserve">S#405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</si>
  <si>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｜首期（已取得電力）｜規劃</t>
    </r>
  </si>
  <si>
    <r>
      <rPr>
        <sz val="11"/>
        <color theme="1"/>
        <rFont val="Noto Sans CJK SC"/>
        <family val="2"/>
      </rPr>
      <t xml:space="preserve">原文有首批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供電、屬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的一部分（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）。但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為公司說法卻標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「公司本人」，原文是媒體轉述；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上線、變電站完工進度、</t>
    </r>
    <r>
      <rPr>
        <sz val="11"/>
        <color theme="1"/>
        <rFont val="Calibri"/>
        <family val="2"/>
        <charset val="1"/>
      </rPr>
      <t xml:space="preserve">BNamericas </t>
    </r>
    <r>
      <rPr>
        <sz val="11"/>
        <color theme="1"/>
        <rFont val="Noto Sans CJK SC"/>
        <family val="2"/>
      </rPr>
      <t xml:space="preserve">引述均不在此文。</t>
    </r>
  </si>
  <si>
    <t xml:space="preserve">https://clusterindustrial.com.mx/cloudhq-invertira-4-800-mdd-en-un-campus-de-seis-centros-de-datos-en-queretaro/</t>
  </si>
  <si>
    <t xml:space="preserve">S#406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</si>
  <si>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｜六棟設計容量（每棟</t>
    </r>
    <r>
      <rPr>
        <sz val="11"/>
        <color theme="1"/>
        <rFont val="Calibri"/>
        <family val="2"/>
        <charset val="1"/>
      </rPr>
      <t xml:space="preserve">48MW IT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</si>
  <si>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原文引 </t>
    </r>
    <r>
      <rPr>
        <sz val="11"/>
        <color theme="1"/>
        <rFont val="Calibri"/>
        <family val="2"/>
        <charset val="1"/>
      </rPr>
      <t xml:space="preserve">CloudHQ </t>
    </r>
    <r>
      <rPr>
        <sz val="11"/>
        <color theme="1"/>
        <rFont val="Noto Sans CJK SC"/>
        <family val="2"/>
      </rPr>
      <t xml:space="preserve">官網為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×48MW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6×48=288MW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為另一說法，原文確實並列未解釋。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年完工為公司主管說法，日期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</t>
    </r>
  </si>
  <si>
    <t xml:space="preserve">https://mexiconewsdaily.com/business/cloudhq-4b-queretaro-data-centers/</t>
  </si>
  <si>
    <t xml:space="preserve">S#407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</si>
  <si>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</si>
  <si>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｜第一期（初期）｜規劃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</si>
  <si>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月目標、電力不足暫停皆屬實。但付款保證談判破裂、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個月上線、官員稱談判持續、</t>
    </r>
    <r>
      <rPr>
        <sz val="11"/>
        <color theme="1"/>
        <rFont val="Calibri"/>
        <family val="2"/>
        <charset val="1"/>
      </rPr>
      <t xml:space="preserve">DCD/TechRadar </t>
    </r>
    <r>
      <rPr>
        <sz val="11"/>
        <color theme="1"/>
        <rFont val="Noto Sans CJK SC"/>
        <family val="2"/>
      </rPr>
      <t xml:space="preserve">皆不在原文，原文反稱案子已擱置。</t>
    </r>
  </si>
  <si>
    <t xml:space="preserve">https://khusoko.com/2026/05/08/kenya-microsoft-g42-data-centre-suspended-power-capacity/</t>
  </si>
  <si>
    <t xml:space="preserve">S#408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</si>
  <si>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｜全園區（遠期擴建）｜規劃</t>
    </r>
  </si>
  <si>
    <t xml:space="preserve">2026-09-07</t>
  </si>
  <si>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。原文只稱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為擬議容量，未說是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稱可擴至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；初期為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、三分之一、半個國家斷電與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縮編皆屬實。</t>
    </r>
  </si>
  <si>
    <t xml:space="preserve">https://www.datacenterdynamics.com/en/news/microsoft-and-g42-data-center-in-kenya-stalled-due-to-lack-of-power-capacity/</t>
  </si>
  <si>
    <t xml:space="preserve">S#409</t>
  </si>
  <si>
    <t xml:space="preserve">EcoCloud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</si>
  <si>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Project Eagle </t>
    </r>
    <r>
      <rPr>
        <sz val="11"/>
        <color theme="1"/>
        <rFont val="Noto Sans CJK SC"/>
        <family val="2"/>
      </rPr>
      <t xml:space="preserve">園區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1</t>
    </r>
    <r>
      <rPr>
        <sz val="11"/>
        <color theme="1"/>
        <rFont val="Noto Sans CJK SC"/>
        <family val="2"/>
      </rPr>
      <t xml:space="preserve">）｜規劃</t>
    </r>
  </si>
  <si>
    <t xml:space="preserve">2023-09-02</t>
  </si>
  <si>
    <t xml:space="preserve">https://aptantech.com/2023/09/02/kengen-commissions-ecocloud-data-centre-at-olkaria-to-run-on-geothermal-energy/</t>
  </si>
  <si>
    <t xml:space="preserve">S#410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</si>
  <si>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</t>
    </r>
    <r>
      <rPr>
        <sz val="11"/>
        <color theme="1"/>
        <rFont val="Noto Sans CJK SC"/>
        <family val="2"/>
      </rPr>
      <t xml:space="preserve">全部三個園區（</t>
    </r>
    <r>
      <rPr>
        <sz val="11"/>
        <color theme="1"/>
        <rFont val="Calibri"/>
        <family val="2"/>
        <charset val="1"/>
      </rPr>
      <t xml:space="preserve">Campus 1–3</t>
    </r>
    <r>
      <rPr>
        <sz val="11"/>
        <color theme="1"/>
        <rFont val="Noto Sans CJK SC"/>
        <family val="2"/>
      </rPr>
      <t xml:space="preserve">）｜規劃</t>
    </r>
  </si>
  <si>
    <t xml:space="preserve">2023-08-31</t>
  </si>
  <si>
    <r>
      <rPr>
        <sz val="11"/>
        <color theme="1"/>
        <rFont val="Calibri"/>
        <family val="2"/>
        <charset val="1"/>
      </rPr>
      <t xml:space="preserve">60MW IT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24+24+12 </t>
    </r>
    <r>
      <rPr>
        <sz val="11"/>
        <color theme="1"/>
        <rFont val="Noto Sans CJK SC"/>
        <family val="2"/>
      </rPr>
      <t xml:space="preserve">與原文一致，動工日為週四 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。但文章發布日是 </t>
    </r>
    <r>
      <rPr>
        <sz val="11"/>
        <color theme="1"/>
        <rFont val="Calibri"/>
        <family val="2"/>
        <charset val="1"/>
      </rPr>
      <t xml:space="preserve">9/1</t>
    </r>
    <r>
      <rPr>
        <sz val="11"/>
        <color theme="1"/>
        <rFont val="Noto Sans CJK SC"/>
        <family val="2"/>
      </rPr>
      <t xml:space="preserve">，來源是 </t>
    </r>
    <r>
      <rPr>
        <sz val="11"/>
        <color theme="1"/>
        <rFont val="Calibri"/>
        <family val="2"/>
        <charset val="1"/>
      </rPr>
      <t xml:space="preserve">Citizen Digital </t>
    </r>
    <r>
      <rPr>
        <sz val="11"/>
        <color theme="1"/>
        <rFont val="Noto Sans CJK SC"/>
        <family val="2"/>
      </rPr>
      <t xml:space="preserve">報導而非公司文件，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與來源標題略偏。</t>
    </r>
  </si>
  <si>
    <t xml:space="preserve">https://www.citizen.digital/article/geothermal-powered-data-centre-launched-in-olkaria-n326497</t>
  </si>
  <si>
    <t xml:space="preserve">T#2</t>
  </si>
  <si>
    <t xml:space="preserve">SDAIA (Saudi Data &amp; AI Authority)</t>
  </si>
  <si>
    <r>
      <rPr>
        <sz val="11"/>
        <color theme="1"/>
        <rFont val="Calibri"/>
        <family val="2"/>
        <charset val="1"/>
      </rPr>
      <t xml:space="preserve">SDAIA (Saudi Data &amp; AI Authority)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SDAIA Hexagon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</si>
  <si>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480 MW</t>
  </si>
  <si>
    <t xml:space="preserve">https://spa.gov.sa/en/N2480096</t>
  </si>
  <si>
    <t xml:space="preserve">T#3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</si>
  <si>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</t>
    </r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</si>
  <si>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合作開發）｜</t>
    </r>
    <r>
      <rPr>
        <sz val="11"/>
        <color theme="1"/>
        <rFont val="Calibri"/>
        <family val="2"/>
        <charset val="1"/>
      </rPr>
      <t xml:space="preserve">Humain–AirTrunk Riyadh Hyperscale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</si>
  <si>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2026-05-01</t>
  </si>
  <si>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5/4 </t>
    </r>
    <r>
      <rPr>
        <sz val="11"/>
        <color theme="1"/>
        <rFont val="Noto Sans CJK SC"/>
        <family val="2"/>
      </rPr>
      <t xml:space="preserve">截標、約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億美元都有。但原文未提 </t>
    </r>
    <r>
      <rPr>
        <sz val="11"/>
        <color theme="1"/>
        <rFont val="Calibri"/>
        <family val="2"/>
        <charset val="1"/>
      </rPr>
      <t xml:space="preserve">MEED</t>
    </r>
    <r>
      <rPr>
        <sz val="11"/>
        <color theme="1"/>
        <rFont val="Noto Sans CJK SC"/>
        <family val="2"/>
      </rPr>
      <t xml:space="preserve">，也沒寫「非約束」或「首期」。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填「記者推論」不是文章標題。數值不受影響。</t>
    </r>
  </si>
  <si>
    <t xml:space="preserve">https://constructionreviewonline.com/3bn-airtrunk-data-center-campus-in-saudi-arabia-prepares-to-receive-project-bids/</t>
  </si>
  <si>
    <t xml:space="preserve">T#4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</si>
  <si>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</si>
  <si>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SAR 8.76bn</t>
    </r>
    <r>
      <rPr>
        <sz val="11"/>
        <color theme="1"/>
        <rFont val="Noto Sans CJK SC"/>
        <family val="2"/>
      </rPr>
      <t xml:space="preserve">、取代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月舊約皆屬實。但原文是 </t>
    </r>
    <r>
      <rPr>
        <sz val="11"/>
        <color theme="1"/>
        <rFont val="Calibri"/>
        <family val="2"/>
        <charset val="1"/>
      </rPr>
      <t xml:space="preserve">EnterpriseAM </t>
    </r>
    <r>
      <rPr>
        <sz val="11"/>
        <color theme="1"/>
        <rFont val="Noto Sans CJK SC"/>
        <family val="2"/>
      </rPr>
      <t xml:space="preserve">媒體報導，未提 </t>
    </r>
    <r>
      <rPr>
        <sz val="11"/>
        <color theme="1"/>
        <rFont val="Calibri"/>
        <family val="2"/>
        <charset val="1"/>
      </rPr>
      <t xml:space="preserve">Tadawul </t>
    </r>
    <r>
      <rPr>
        <sz val="11"/>
        <color theme="1"/>
        <rFont val="Noto Sans CJK SC"/>
        <family val="2"/>
      </rPr>
      <t xml:space="preserve">公告，也未說明公告只寫沙烏地；標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本人說不妥。「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」「全園區」也非原文所述。</t>
    </r>
  </si>
  <si>
    <t xml:space="preserve">https://enterpriseam.com/ksa/2026/09/21/mis-locks-in-its-fivefold-data-center-expansion-for-humain/</t>
  </si>
  <si>
    <t xml:space="preserve">T#5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</si>
  <si>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（首批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）｜在建</t>
    </r>
  </si>
  <si>
    <t xml:space="preserve">2026-10-04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</si>
  <si>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10/1</t>
    </r>
    <r>
      <rPr>
        <sz val="11"/>
        <color theme="1"/>
        <rFont val="Noto Sans CJK SC"/>
        <family val="2"/>
      </rPr>
      <t xml:space="preserve">收到、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季財務影響、未載工期均屬實。但原文只說收到工單，未說在建；且為承包商自述，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或應標利害關係人。</t>
    </r>
  </si>
  <si>
    <t xml:space="preserve">https://english.aawsat.com/business/5325766-al-moammar-receives-first-work-order-under-humain-agreement-worth-more-148-2025</t>
  </si>
  <si>
    <t xml:space="preserve">T#6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</si>
  <si>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｜簽約</t>
    </r>
  </si>
  <si>
    <t xml:space="preserve">https://www.saudiexchange.sa/wps/portal/saudiexchange/newsandreports/issuer-news/issuer-announcements/issuer-announcements-details?locale=en&amp;anCat=1&amp;anId=98397</t>
  </si>
  <si>
    <t xml:space="preserve">T#7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</si>
  <si>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＋工單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</si>
  <si>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Noto Sans CJK SC"/>
        <family val="2"/>
      </rPr>
      <t xml:space="preserve">工單收到日 </t>
    </r>
    <r>
      <rPr>
        <sz val="11"/>
        <color theme="1"/>
        <rFont val="Calibri"/>
        <family val="2"/>
        <charset val="1"/>
      </rPr>
      <t xml:space="preserve">10/10</t>
    </r>
    <r>
      <rPr>
        <sz val="11"/>
        <color theme="1"/>
        <rFont val="Noto Sans CJK SC"/>
        <family val="2"/>
      </rPr>
      <t xml:space="preserve">、各逾 </t>
    </r>
    <r>
      <rPr>
        <sz val="11"/>
        <color theme="1"/>
        <rFont val="Calibri"/>
        <family val="2"/>
        <charset val="1"/>
      </rPr>
      <t xml:space="preserve">135%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起及未列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皆屬實。但文章日期為 </t>
    </r>
    <r>
      <rPr>
        <sz val="11"/>
        <color theme="1"/>
        <rFont val="Calibri"/>
        <family val="2"/>
        <charset val="1"/>
      </rPr>
      <t xml:space="preserve">11/10/2026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差一天。</t>
    </r>
  </si>
  <si>
    <t xml:space="preserve">https://www.argaam.com/en/article/articledetail/id/1942891</t>
  </si>
  <si>
    <t xml:space="preserve">T#8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</si>
  <si>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｜擴增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（其餘分期）｜規劃</t>
    </r>
  </si>
  <si>
    <t xml:space="preserve">2026-09-20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</si>
  <si>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、日期、未說明口徑、未揭露上線時間皆符原文；</t>
    </r>
    <r>
      <rPr>
        <sz val="11"/>
        <color theme="1"/>
        <rFont val="Calibri"/>
        <family val="2"/>
        <charset val="1"/>
      </rPr>
      <t xml:space="preserve">fast track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執行長所說，非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與標示稍偏。</t>
    </r>
    <r>
      <rPr>
        <sz val="11"/>
        <color theme="1"/>
        <rFont val="Calibri"/>
        <family val="2"/>
        <charset val="1"/>
      </rPr>
      <t xml:space="preserve">player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執行長談話歸屬需留意；原文另有 </t>
    </r>
    <r>
      <rPr>
        <sz val="11"/>
        <color theme="1"/>
        <rFont val="Calibri"/>
        <family val="2"/>
        <charset val="1"/>
      </rPr>
      <t xml:space="preserve">Huawei </t>
    </r>
    <r>
      <rPr>
        <sz val="11"/>
        <color theme="1"/>
        <rFont val="Noto Sans CJK SC"/>
        <family val="2"/>
      </rPr>
      <t xml:space="preserve">字樣疑為筆誤。</t>
    </r>
  </si>
  <si>
    <t xml:space="preserve">https://jawlah.co/en/64744</t>
  </si>
  <si>
    <t xml:space="preserve">T#9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</si>
  <si>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公開目標（是否即本案未說明）｜規劃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</si>
  <si>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1.7GW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亦合理。但原文是公司整體容量目標，未提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單一案。</t>
    </r>
    <r>
      <rPr>
        <sz val="11"/>
        <color theme="1"/>
        <rFont val="Calibri"/>
        <family val="2"/>
        <charset val="1"/>
      </rPr>
      <t xml:space="preserve">MIS 16</t>
    </r>
    <r>
      <rPr>
        <sz val="11"/>
        <color theme="1"/>
        <rFont val="Noto Sans CJK SC"/>
        <family val="2"/>
      </rPr>
      <t xml:space="preserve">個月工期與第三方延遲說法不在本文。</t>
    </r>
  </si>
  <si>
    <t xml:space="preserve">https://enterpriseam.com/ai/2026/10/20/humains-taking-bids-for-its-next-data-center-project/</t>
  </si>
  <si>
    <t xml:space="preserve">T#10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</si>
  <si>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up to 50MW</t>
    </r>
    <r>
      <rPr>
        <sz val="11"/>
        <color theme="1"/>
        <rFont val="Noto Sans CJK SC"/>
        <family val="2"/>
      </rPr>
      <t xml:space="preserve">）｜規劃</t>
    </r>
  </si>
  <si>
    <t xml:space="preserve">https://www.spa.gov.sa/en/w2665748</t>
  </si>
  <si>
    <t xml:space="preserve">T#11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</si>
  <si>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</si>
  <si>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原文只講首期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上線，並提及 </t>
    </r>
    <r>
      <rPr>
        <sz val="11"/>
        <color theme="1"/>
        <rFont val="Calibri"/>
        <family val="2"/>
        <charset val="1"/>
      </rPr>
      <t xml:space="preserve">150,000 </t>
    </r>
    <r>
      <rPr>
        <sz val="11"/>
        <color theme="1"/>
        <rFont val="Noto Sans CJK SC"/>
        <family val="2"/>
      </rPr>
      <t xml:space="preserve">顆晶片與約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億美元，但列中稱「全園區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未公布」、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為「規劃」，且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說法在原文找不到。原文有首期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，未寫全園區規模。</t>
    </r>
    <r>
      <rPr>
        <sz val="11"/>
        <color theme="1"/>
        <rFont val="Calibri"/>
        <family val="2"/>
        <charset val="1"/>
      </rPr>
      <t xml:space="preserve">as_of 2026-09-02 </t>
    </r>
    <r>
      <rPr>
        <sz val="11"/>
        <color theme="1"/>
        <rFont val="Noto Sans CJK SC"/>
        <family val="2"/>
      </rPr>
      <t xml:space="preserve">屬實。</t>
    </r>
  </si>
  <si>
    <t xml:space="preserve">https://www.datacenterdynamics.com/en/news/aws-and-humain-commit-to-bringing-50mw-online-at-saudi-ai-zone-by-2028/</t>
  </si>
  <si>
    <t xml:space="preserve">T#12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</si>
  <si>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｜初期叢集（</t>
    </r>
    <r>
      <rPr>
        <sz val="11"/>
        <color theme="1"/>
        <rFont val="Calibri"/>
        <family val="2"/>
        <charset val="1"/>
      </rPr>
      <t xml:space="preserve">19,000 LPU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GroqCloud </t>
    </r>
    <r>
      <rPr>
        <sz val="11"/>
        <color theme="1"/>
        <rFont val="Noto Sans CJK SC"/>
        <family val="2"/>
      </rPr>
      <t xml:space="preserve">沙烏地區域）｜上線</t>
    </r>
  </si>
  <si>
    <t xml:space="preserve">https://vision2030.ai/analysis/saudi-data-centre-capacity-megawatts/</t>
  </si>
  <si>
    <t xml:space="preserve">T#13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</si>
  <si>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｜擴建（沙烏地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億美元承諾）｜簽約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</si>
  <si>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億美元承諾，無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SDAIA </t>
    </r>
    <r>
      <rPr>
        <sz val="11"/>
        <color theme="1"/>
        <rFont val="Noto Sans CJK SC"/>
        <family val="2"/>
      </rPr>
      <t xml:space="preserve">均未出現；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叢集是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與日期無誤。</t>
    </r>
  </si>
  <si>
    <t xml:space="preserve">https://groq.com/newsroom/saudi-arabia-announces-1-5-billion-expansion-to-fuel-ai-powered-economy-with-ai-tech-leader-groq</t>
  </si>
  <si>
    <t xml:space="preserve">T#14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</si>
  <si>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</si>
  <si>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、站址未公布、無時程、利害關係人說法皆屬實。但原文無「</t>
    </r>
    <r>
      <rPr>
        <sz val="11"/>
        <color theme="1"/>
        <rFont val="Calibri"/>
        <family val="2"/>
        <charset val="1"/>
      </rPr>
      <t xml:space="preserve">500MW+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DC Atlas</t>
    </r>
    <r>
      <rPr>
        <sz val="11"/>
        <color theme="1"/>
        <rFont val="Noto Sans CJK SC"/>
        <family val="2"/>
      </rPr>
      <t xml:space="preserve">」，也未指明營運者是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，公告日 </t>
    </r>
    <r>
      <rPr>
        <sz val="11"/>
        <color theme="1"/>
        <rFont val="Calibri"/>
        <family val="2"/>
        <charset val="1"/>
      </rPr>
      <t xml:space="preserve">11/19 </t>
    </r>
    <r>
      <rPr>
        <sz val="11"/>
        <color theme="1"/>
        <rFont val="Noto Sans CJK SC"/>
        <family val="2"/>
      </rPr>
      <t xml:space="preserve">亦未載明。不影響數值。</t>
    </r>
  </si>
  <si>
    <t xml:space="preserve">https://www.datacenterdynamics.com/en/news/xai-humain-data-center-elon-musk/</t>
  </si>
  <si>
    <t xml:space="preserve">T#15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</si>
  <si>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｜第一期（首批叢集）｜規劃</t>
    </r>
  </si>
  <si>
    <t xml:space="preserve">2025-11-19</t>
  </si>
  <si>
    <r>
      <rPr>
        <sz val="11"/>
        <color theme="1"/>
        <rFont val="Noto Sans CJK SC"/>
        <family val="2"/>
      </rPr>
      <t xml:space="preserve">首批約 </t>
    </r>
    <r>
      <rPr>
        <sz val="11"/>
        <color theme="1"/>
        <rFont val="Calibri"/>
        <family val="2"/>
        <charset val="1"/>
      </rPr>
      <t xml:space="preserve">18,000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、利害關係人口徑皆與原文一致。原文未給第一期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不在原文。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未照抄原文標題，屬小誤。</t>
    </r>
  </si>
  <si>
    <t xml:space="preserve">https://www.middleeastainews.com/p/xai-to-build-500mw-saudi-ai-data</t>
  </si>
  <si>
    <t xml:space="preserve">T#16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</si>
  <si>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Ankara AI-Ready Data Center (Başkent OIZ)</t>
    </r>
    <r>
      <rPr>
        <sz val="11"/>
        <color theme="1"/>
        <rFont val="Noto Sans CJK SC"/>
        <family val="2"/>
      </rPr>
      <t xml:space="preserve">｜全園區｜規劃</t>
    </r>
  </si>
  <si>
    <t xml:space="preserve">2025-04-30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</si>
  <si>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、最高、首期雲端且模組化擴充、日期與公司自述皆屬實。但「逾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個月無進度更新」及 </t>
    </r>
    <r>
      <rPr>
        <sz val="11"/>
        <color theme="1"/>
        <rFont val="Calibri"/>
        <family val="2"/>
        <charset val="1"/>
      </rPr>
      <t xml:space="preserve">Rönesans–Digital Realty 22MW </t>
    </r>
    <r>
      <rPr>
        <sz val="11"/>
        <color theme="1"/>
        <rFont val="Noto Sans CJK SC"/>
        <family val="2"/>
      </rPr>
      <t xml:space="preserve">案不在原文，屬分析者補充。原文用 </t>
    </r>
    <r>
      <rPr>
        <sz val="11"/>
        <color theme="1"/>
        <rFont val="Calibri"/>
        <family val="2"/>
        <charset val="1"/>
      </rPr>
      <t xml:space="preserve">AI-capable</t>
    </r>
    <r>
      <rPr>
        <sz val="11"/>
        <color theme="1"/>
        <rFont val="Noto Sans CJK SC"/>
        <family val="2"/>
      </rPr>
      <t xml:space="preserve">，非「</t>
    </r>
    <r>
      <rPr>
        <sz val="11"/>
        <color theme="1"/>
        <rFont val="Calibri"/>
        <family val="2"/>
        <charset val="1"/>
      </rPr>
      <t xml:space="preserve">AI-Ready</t>
    </r>
    <r>
      <rPr>
        <sz val="11"/>
        <color theme="1"/>
        <rFont val="Noto Sans CJK SC"/>
        <family val="2"/>
      </rPr>
      <t xml:space="preserve">」。</t>
    </r>
  </si>
  <si>
    <t xml:space="preserve">https://www.g42.ai/resources/news/g42s-khazna-data-centers-expands-turkiye-support-countrys-ai-ambitions</t>
  </si>
  <si>
    <t xml:space="preserve">T#17</t>
  </si>
  <si>
    <t xml:space="preserve">Turkcell</t>
  </si>
  <si>
    <r>
      <rPr>
        <sz val="11"/>
        <color theme="1"/>
        <rFont val="Calibri"/>
        <family val="2"/>
        <charset val="1"/>
      </rPr>
      <t xml:space="preserve">Turkcell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Google–Turkcell Turkey Hyperscale AI Campus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</si>
  <si>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https://www.sec.gov/Archives/edgar/data/1071321/000110465925109979/tm2531004d1_6k.htm</t>
  </si>
  <si>
    <t xml:space="preserve">T#18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</si>
  <si>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</si>
  <si>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合約）｜簽約</t>
    </r>
  </si>
  <si>
    <t xml:space="preserve">58 MW</t>
  </si>
  <si>
    <t xml:space="preserve">2026-01-06</t>
  </si>
  <si>
    <r>
      <rPr>
        <sz val="11"/>
        <color theme="1"/>
        <rFont val="Calibri"/>
        <family val="2"/>
        <charset val="1"/>
      </rPr>
      <t xml:space="preserve">58 MW</t>
    </r>
    <r>
      <rPr>
        <sz val="11"/>
        <color theme="1"/>
        <rFont val="Noto Sans CJK SC"/>
        <family val="2"/>
      </rPr>
      <t xml:space="preserve">、分階段交付（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）、五年合約、日期與投資人公告出處皆屬實。但「</t>
    </r>
    <r>
      <rPr>
        <sz val="11"/>
        <color theme="1"/>
        <rFont val="Calibri"/>
        <family val="2"/>
        <charset val="1"/>
      </rPr>
      <t xml:space="preserve">Mega Or 2026 Q2 </t>
    </r>
    <r>
      <rPr>
        <sz val="11"/>
        <color theme="1"/>
        <rFont val="Noto Sans CJK SC"/>
        <family val="2"/>
      </rPr>
      <t xml:space="preserve">報告列 </t>
    </r>
    <r>
      <rPr>
        <sz val="11"/>
        <color theme="1"/>
        <rFont val="Calibri"/>
        <family val="2"/>
        <charset val="1"/>
      </rPr>
      <t xml:space="preserve">58 MW IT</t>
    </r>
    <r>
      <rPr>
        <sz val="11"/>
        <color theme="1"/>
        <rFont val="Noto Sans CJK SC"/>
        <family val="2"/>
      </rPr>
      <t xml:space="preserve">」不在本文，來自他處。</t>
    </r>
  </si>
  <si>
    <t xml:space="preserve">https://www.calcalistech.com/ctechnews/article/p4ds17rzm</t>
  </si>
  <si>
    <t xml:space="preserve">T#19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</si>
  <si>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</si>
  <si>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二期規模造價與一期相近、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年底完工、未給明確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，皆屬實。但原文標明 </t>
    </r>
    <r>
      <rPr>
        <sz val="11"/>
        <color theme="1"/>
        <rFont val="Calibri"/>
        <family val="2"/>
        <charset val="1"/>
      </rPr>
      <t xml:space="preserve">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非「未說明」；作者是外部經濟學家，非記者；日期原文直接寫 </t>
    </r>
    <r>
      <rPr>
        <sz val="11"/>
        <color theme="1"/>
        <rFont val="Calibri"/>
        <family val="2"/>
        <charset val="1"/>
      </rPr>
      <t xml:space="preserve">28.04.26</t>
    </r>
    <r>
      <rPr>
        <sz val="11"/>
        <color theme="1"/>
        <rFont val="Noto Sans CJK SC"/>
        <family val="2"/>
      </rPr>
      <t xml:space="preserve">，無需「</t>
    </r>
    <r>
      <rPr>
        <sz val="11"/>
        <color theme="1"/>
        <rFont val="Calibri"/>
        <family val="2"/>
        <charset val="1"/>
      </rPr>
      <t xml:space="preserve">183 </t>
    </r>
    <r>
      <rPr>
        <sz val="11"/>
        <color theme="1"/>
        <rFont val="Noto Sans CJK SC"/>
        <family val="2"/>
      </rPr>
      <t xml:space="preserve">天前」推算。</t>
    </r>
  </si>
  <si>
    <t xml:space="preserve">https://www.calcalist.co.il/market/article/bkzmzfaawe</t>
  </si>
  <si>
    <t xml:space="preserve">T#20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</si>
  <si>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</si>
  <si>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222 MW</t>
  </si>
  <si>
    <t xml:space="preserve">https://www.idcnova.com/html/1/59/153/4829.html</t>
  </si>
  <si>
    <t xml:space="preserve">T#21</t>
  </si>
  <si>
    <t xml:space="preserve">Nvidia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</si>
  <si>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自建研發資料中心，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物流建物改建）｜上線</t>
    </r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</si>
  <si>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億美元屬實。但原文日期明載 </t>
    </r>
    <r>
      <rPr>
        <sz val="11"/>
        <color theme="1"/>
        <rFont val="Calibri"/>
        <family val="2"/>
        <charset val="1"/>
      </rPr>
      <t xml:space="preserve">27 Oct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日，也非相對天數估算。「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上半年啟用」與 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改建在此文找不到。出處是記者說法而非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</si>
  <si>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https://en.globes.co.il/en/article-kiryat-tivon-emerges-as-favorite-to-house-nvidias-new-campus-1001524767</t>
  </si>
  <si>
    <t xml:space="preserve">T#22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</si>
  <si>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Mega DC </t>
    </r>
    <r>
      <rPr>
        <sz val="11"/>
        <color theme="1"/>
        <rFont val="Noto Sans CJK SC"/>
        <family val="2"/>
      </rPr>
      <t xml:space="preserve">建造、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承租）｜簽約</t>
    </r>
  </si>
  <si>
    <t xml:space="preserve">2026-06-29</t>
  </si>
  <si>
    <r>
      <rPr>
        <sz val="11"/>
        <color theme="1"/>
        <rFont val="Calibri"/>
        <family val="2"/>
        <charset val="1"/>
      </rPr>
      <t xml:space="preserve">64MW </t>
    </r>
    <r>
      <rPr>
        <sz val="11"/>
        <color theme="1"/>
        <rFont val="Noto Sans CJK SC"/>
        <family val="2"/>
      </rPr>
      <t xml:space="preserve">屬實，但原文日期為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，表內寫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。原文僅稱洽談中、條款未定，</t>
    </r>
    <r>
      <rPr>
        <sz val="11"/>
        <color theme="1"/>
        <rFont val="Calibri"/>
        <family val="2"/>
        <charset val="1"/>
      </rPr>
      <t xml:space="preserve">Ynet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Calcalist 18</t>
    </r>
    <r>
      <rPr>
        <sz val="11"/>
        <color theme="1"/>
        <rFont val="Noto Sans CJK SC"/>
        <family val="2"/>
      </rPr>
      <t xml:space="preserve">個月與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說法均不在原文。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與口徑也不一致。</t>
    </r>
  </si>
  <si>
    <t xml:space="preserve">https://en.globes.co.il/en/article-nvidia-in-talks-with-mega-or-to-build-huge-data-center-1001529459</t>
  </si>
  <si>
    <t xml:space="preserve">T#23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</si>
  <si>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</si>
  <si>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、既有</t>
    </r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、自用均有出現，但原文日期為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Globes </t>
    </r>
    <r>
      <rPr>
        <sz val="11"/>
        <color theme="1"/>
        <rFont val="Noto Sans CJK SC"/>
        <family val="2"/>
      </rPr>
      <t xml:space="preserve">的前瞻說法，且以「若完工」為前提，並非規劃值。</t>
    </r>
  </si>
  <si>
    <t xml:space="preserve">T#24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</si>
  <si>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</t>
    </r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</si>
  <si>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資料中心）｜第一期（初始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</si>
  <si>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、三年內、首期約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億美元外資皆與原文一致。但原文沒有「</t>
    </r>
    <r>
      <rPr>
        <sz val="11"/>
        <color theme="1"/>
        <rFont val="Calibri"/>
        <family val="2"/>
        <charset val="1"/>
      </rPr>
      <t xml:space="preserve">9/8</t>
    </r>
    <r>
      <rPr>
        <sz val="11"/>
        <color theme="1"/>
        <rFont val="Noto Sans CJK SC"/>
        <family val="2"/>
      </rPr>
      <t xml:space="preserve">簽約」日期，也沒有「夥伴新聞稿一致」。部長是政府官員，不是公司本人。</t>
    </r>
  </si>
  <si>
    <t xml:space="preserve">https://www.connectingafrica.com/data-centers/vodafone-cassava-elsewedy-electric-unveil-1b-egypt-data-center-project</t>
  </si>
  <si>
    <t xml:space="preserve">T#25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</si>
  <si>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資料中心）｜全園區（遠期擴充至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</si>
  <si>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億美元、首期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三年內皆屬實。但原文發布日為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日。「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」為推算，原文無；「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工廠」字樣原文也找不到。</t>
    </r>
  </si>
  <si>
    <t xml:space="preserve">https://www.vodacom.com/news-article.php?articleID=16998</t>
  </si>
  <si>
    <t xml:space="preserve">T#26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</si>
  <si>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Mubbadrah Oman 400MW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</si>
  <si>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僅表達意向、另有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太陽能均屬實。但原文未提</t>
    </r>
    <r>
      <rPr>
        <sz val="11"/>
        <color theme="1"/>
        <rFont val="Calibri"/>
        <family val="2"/>
        <charset val="1"/>
      </rPr>
      <t xml:space="preserve">Salalah</t>
    </r>
    <r>
      <rPr>
        <sz val="11"/>
        <color theme="1"/>
        <rFont val="Noto Sans CJK SC"/>
        <family val="2"/>
      </rPr>
      <t xml:space="preserve">，來源標題的地點屬他源補充；</t>
    </r>
    <r>
      <rPr>
        <sz val="11"/>
        <color theme="1"/>
        <rFont val="Calibri"/>
        <family val="2"/>
        <charset val="1"/>
      </rPr>
      <t xml:space="preserve">player</t>
    </r>
    <r>
      <rPr>
        <sz val="11"/>
        <color theme="1"/>
        <rFont val="Noto Sans CJK SC"/>
        <family val="2"/>
      </rPr>
      <t xml:space="preserve">填「未揭露」也忽略了</t>
    </r>
    <r>
      <rPr>
        <sz val="11"/>
        <color theme="1"/>
        <rFont val="Calibri"/>
        <family val="2"/>
        <charset val="1"/>
      </rPr>
      <t xml:space="preserve">Mubbadrah</t>
    </r>
    <r>
      <rPr>
        <sz val="11"/>
        <color theme="1"/>
        <rFont val="Noto Sans CJK SC"/>
        <family val="2"/>
      </rPr>
      <t xml:space="preserve">領軍。</t>
    </r>
  </si>
  <si>
    <t xml:space="preserve">https://www.tradingview.com/news/reuters.com,2026-10-26:newsml_Zaw8GlVtm:0-zawya-oman-mubbadrah-investment-leads-consortium-to-develop-400mw-ai-data-centre/</t>
  </si>
  <si>
    <t xml:space="preserve">T#27</t>
  </si>
  <si>
    <t xml:space="preserve">Yamna</t>
  </si>
  <si>
    <r>
      <rPr>
        <sz val="11"/>
        <color theme="1"/>
        <rFont val="Calibri"/>
        <family val="2"/>
        <charset val="1"/>
      </rPr>
      <t xml:space="preserve">Yamna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Yamna Salalah AI Data Center (Salalah Al Khadra Digital)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</si>
  <si>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£1bn</t>
    </r>
    <r>
      <rPr>
        <sz val="11"/>
        <color theme="1"/>
        <rFont val="Noto Sans CJK SC"/>
        <family val="2"/>
      </rPr>
      <t xml:space="preserve">、無容量／客戶屬實；「非最終投資決定」「約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億美元」「多家媒體確認」原文無。原文只說英國新聞稿未載容量。來源標題是 </t>
    </r>
    <r>
      <rPr>
        <sz val="11"/>
        <color theme="1"/>
        <rFont val="Calibri"/>
        <family val="2"/>
        <charset val="1"/>
      </rPr>
      <t xml:space="preserve">New in AI </t>
    </r>
    <r>
      <rPr>
        <sz val="11"/>
        <color theme="1"/>
        <rFont val="Noto Sans CJK SC"/>
        <family val="2"/>
      </rPr>
      <t xml:space="preserve">而非新聞稿本身。</t>
    </r>
  </si>
  <si>
    <t xml:space="preserve">https://newinai.ai/2026-10-23-yamna-oman-mou-salalah-ai-data-centre/</t>
  </si>
  <si>
    <t xml:space="preserve">T#28</t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</si>
  <si>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</t>
    </r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</si>
  <si>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主導，實際營運者未明）｜</t>
    </r>
    <r>
      <rPr>
        <sz val="11"/>
        <color theme="1"/>
        <rFont val="Calibri"/>
        <family val="2"/>
        <charset val="1"/>
      </rPr>
      <t xml:space="preserve">Asprofin Qatar Hyperscale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</si>
  <si>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設施、在建狀態、頁面無日期皆屬實。但本頁未提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上線時點，「</t>
    </r>
    <r>
      <rPr>
        <sz val="11"/>
        <color theme="1"/>
        <rFont val="Calibri"/>
        <family val="2"/>
        <charset val="1"/>
      </rPr>
      <t xml:space="preserve">2026–2027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aidatacenterindex </t>
    </r>
    <r>
      <rPr>
        <sz val="11"/>
        <color theme="1"/>
        <rFont val="Noto Sans CJK SC"/>
        <family val="2"/>
      </rPr>
      <t xml:space="preserve">須從別處查證；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屬第三方轉述，標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略偏。</t>
    </r>
  </si>
  <si>
    <t xml:space="preserve">https://dcpulse.com/project/asprofin-qatar-hyperscale-ai-data-center-doha</t>
  </si>
  <si>
    <t xml:space="preserve">T#29</t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</si>
  <si>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</t>
    </r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</si>
  <si>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多數持股）｜</t>
    </r>
    <r>
      <rPr>
        <sz val="11"/>
        <color theme="1"/>
        <rFont val="Calibri"/>
        <family val="2"/>
        <charset val="1"/>
      </rPr>
      <t xml:space="preserve">SoftBank–Sesterce Bosquel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</si>
  <si>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或設施、合資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多數持股皆屬實。但原文無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完工，也無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初建照；省長談話未提時程。這兩項須另有來源。</t>
    </r>
  </si>
  <si>
    <t xml:space="preserve">T#30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</si>
  <si>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</t>
    </r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</si>
  <si>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為土地出租方）｜</t>
    </r>
    <r>
      <rPr>
        <sz val="11"/>
        <color theme="1"/>
        <rFont val="Calibri"/>
        <family val="2"/>
        <charset val="1"/>
      </rPr>
      <t xml:space="preserve">SoftBank Bouchain AI Data Center (ex-EDF power plant)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</si>
  <si>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bail à construction</t>
    </r>
    <r>
      <rPr>
        <sz val="11"/>
        <color theme="1"/>
        <rFont val="Noto Sans CJK SC"/>
        <family val="2"/>
      </rPr>
      <t xml:space="preserve">、盡職調查、</t>
    </r>
    <r>
      <rPr>
        <sz val="11"/>
        <color theme="1"/>
        <rFont val="Calibri"/>
        <family val="2"/>
        <charset val="1"/>
      </rPr>
      <t xml:space="preserve">EDF 5/30 </t>
    </r>
    <r>
      <rPr>
        <sz val="11"/>
        <color theme="1"/>
        <rFont val="Noto Sans CJK SC"/>
        <family val="2"/>
      </rPr>
      <t xml:space="preserve">公告皆屬實；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未說明亦可。但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偏誤，來源為 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公告經媒體轉述，且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三站合計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3.1GW </t>
    </r>
    <r>
      <rPr>
        <sz val="11"/>
        <color theme="1"/>
        <rFont val="Noto Sans CJK SC"/>
        <family val="2"/>
      </rPr>
      <t xml:space="preserve">在此原文找不到。</t>
    </r>
  </si>
  <si>
    <t xml:space="preserve">https://www.lobservateur.fr/un-data-center-annonce-sur-lancienne-centrale-thermique-de-bouchain/</t>
  </si>
  <si>
    <t xml:space="preserve">T#31</t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</si>
  <si>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</t>
    </r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</si>
  <si>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｜全園區｜規劃</t>
    </r>
  </si>
  <si>
    <t xml:space="preserve">2026-02-23</t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</si>
  <si>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400–700MW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RTE 700MW </t>
    </r>
    <r>
      <rPr>
        <sz val="11"/>
        <color theme="1"/>
        <rFont val="Noto Sans CJK SC"/>
        <family val="2"/>
      </rPr>
      <t xml:space="preserve">承諾書（條件式「</t>
    </r>
    <r>
      <rPr>
        <sz val="11"/>
        <color theme="1"/>
        <rFont val="Calibri"/>
        <family val="2"/>
        <charset val="1"/>
      </rPr>
      <t xml:space="preserve">aurait été</t>
    </r>
    <r>
      <rPr>
        <sz val="11"/>
        <color theme="1"/>
        <rFont val="Noto Sans CJK SC"/>
        <family val="2"/>
      </rPr>
      <t xml:space="preserve">」）屬實。但原文無「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年可供電」、無「數月內公布」、無「查無公告」。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為潛在電力上限，非規劃容量，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與表述偏差。</t>
    </r>
  </si>
  <si>
    <t xml:space="preserve">https://dcmag.fr/le-grand-port-maritime-de-dunkerque-lance-un-ami-pour-un-datacenter-entre-400-et-700-mw/</t>
  </si>
  <si>
    <t xml:space="preserve">T#32</t>
  </si>
  <si>
    <t xml:space="preserve">SoftBank Group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</si>
  <si>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Loon-Plage</t>
    </r>
    <r>
      <rPr>
        <sz val="11"/>
        <color theme="1"/>
        <rFont val="Noto Sans CJK SC"/>
        <family val="2"/>
      </rPr>
      <t xml:space="preserve">（與本 </t>
    </r>
    <r>
      <rPr>
        <sz val="11"/>
        <color theme="1"/>
        <rFont val="Calibri"/>
        <family val="2"/>
        <charset val="1"/>
      </rPr>
      <t xml:space="preserve">ZGI </t>
    </r>
    <r>
      <rPr>
        <sz val="11"/>
        <color theme="1"/>
        <rFont val="Noto Sans CJK SC"/>
        <family val="2"/>
      </rPr>
      <t xml:space="preserve">地塊是否同一處未確認）｜規劃</t>
    </r>
  </si>
  <si>
    <t xml:space="preserve">https://www.hpcwire.com/off-the-wire/softbank-group-to-build-5-gw-of-ai-data-center-capacity-in-france/</t>
  </si>
  <si>
    <t xml:space="preserve">T#33</t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</si>
  <si>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</si>
  <si>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Teesworks AI Growth Zone Data Centre Campus (Foundry)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</si>
  <si>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2025-12-02</t>
  </si>
  <si>
    <r>
      <rPr>
        <sz val="11"/>
        <color theme="1"/>
        <rFont val="Noto Sans CJK SC"/>
        <family val="2"/>
      </rPr>
      <t xml:space="preserve">原文確無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數字，與「查無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」一致。但</t>
    </r>
    <r>
      <rPr>
        <sz val="11"/>
        <color theme="1"/>
        <rFont val="Calibri"/>
        <family val="2"/>
        <charset val="1"/>
      </rPr>
      <t xml:space="preserve">CMS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稱未揭露、僅概要許可、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名單、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簽約傳聞等，此文均未出現。</t>
    </r>
  </si>
  <si>
    <t xml:space="preserve">https://teesbusiness.co.uk/2025/12/02/biggest-ever-private-investment-set-to-bring-giant-data-centre-to-teesworks/</t>
  </si>
  <si>
    <t xml:space="preserve">T#34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</si>
  <si>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｜全園區（長期目標）｜規劃</t>
    </r>
  </si>
  <si>
    <t xml:space="preserve">2026-08-22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</si>
  <si>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525MW</t>
    </r>
    <r>
      <rPr>
        <sz val="11"/>
        <color theme="1"/>
        <rFont val="Noto Sans CJK SC"/>
        <family val="2"/>
      </rPr>
      <t xml:space="preserve">尖峰皆屬實。但文章日期是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錯誤，原文也無「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天前」。</t>
    </r>
  </si>
  <si>
    <t xml:space="preserve">https://thegpu.ai/p/issue-24</t>
  </si>
  <si>
    <t xml:space="preserve">T#35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</si>
  <si>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｜第一期（起始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</si>
  <si>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、擴至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以上屬實，政府說法標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合理。但文章日期為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182</t>
    </r>
    <r>
      <rPr>
        <sz val="11"/>
        <color theme="1"/>
        <rFont val="Noto Sans CJK SC"/>
        <family val="2"/>
      </rPr>
      <t xml:space="preserve">天前」推估有誤。「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前無夥伴」原文未提及。</t>
    </r>
  </si>
  <si>
    <t xml:space="preserve">https://www.datacenterdynamics.com/en/news/first-ai-growth-zone-in-the-uk-may-implement-waste-heat-recycling/</t>
  </si>
  <si>
    <t xml:space="preserve">T#36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</si>
  <si>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｜研究分區（約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</si>
  <si>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錯誤。</t>
    </r>
  </si>
  <si>
    <t xml:space="preserve">T#37</t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</si>
  <si>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</t>
    </r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</si>
  <si>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融合專用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超級電腦｜在建</t>
    </r>
  </si>
  <si>
    <t xml:space="preserve">2026-03-17</t>
  </si>
  <si>
    <r>
      <rPr>
        <sz val="11"/>
        <color theme="1"/>
        <rFont val="Noto Sans CJK SC"/>
        <family val="2"/>
      </rPr>
      <t xml:space="preserve">原文明載 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1.4MW</t>
    </r>
    <r>
      <rPr>
        <sz val="11"/>
        <color theme="1"/>
        <rFont val="Noto Sans CJK SC"/>
        <family val="2"/>
      </rPr>
      <t xml:space="preserve">，列中稱「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未公布」有誤。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月通電、</t>
    </r>
    <r>
      <rPr>
        <sz val="11"/>
        <color theme="1"/>
        <rFont val="Calibri"/>
        <family val="2"/>
        <charset val="1"/>
      </rPr>
      <t xml:space="preserve">£45M</t>
    </r>
    <r>
      <rPr>
        <sz val="11"/>
        <color theme="1"/>
        <rFont val="Noto Sans CJK SC"/>
        <family val="2"/>
      </rPr>
      <t xml:space="preserve">、第一階段皆屬實。</t>
    </r>
  </si>
  <si>
    <t xml:space="preserve">https://www.cam.ac.uk/news/ps45-million-for-the-uks-first-ai-supercomputer-dedicated-to-fusion-power</t>
  </si>
  <si>
    <t xml:space="preserve">T#38</t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</si>
  <si>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</si>
  <si>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｜策略投資夥伴談判（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</si>
  <si>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STRIDE </t>
    </r>
    <r>
      <rPr>
        <sz val="11"/>
        <color theme="1"/>
        <rFont val="Noto Sans CJK SC"/>
        <family val="2"/>
      </rPr>
      <t xml:space="preserve">處於策略夥伴談判最後階段，未揭露夥伴與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。簡報日期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利害關係人合理。延遲說明已標為第三方推論，原文無此項，但不影響數值。</t>
    </r>
  </si>
  <si>
    <t xml:space="preserve">https://indico.ukaea.uk/event/690/attachments/438/835/UKAEA_16_Suppliers_Event_April2026.pdf</t>
  </si>
  <si>
    <t xml:space="preserve">T#39</t>
  </si>
  <si>
    <t xml:space="preserve">DataVita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</si>
  <si>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DV3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</si>
  <si>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夏季完工、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年，均與原文一致。原文未說明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基準，與列中「未說明」相符。</t>
    </r>
  </si>
  <si>
    <r>
      <rPr>
        <sz val="11"/>
        <color theme="1"/>
        <rFont val="Calibri"/>
        <family val="2"/>
        <charset val="1"/>
      </rPr>
      <t xml:space="preserve">cp_crwv_dv1x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cpx_crwv_dv3</t>
    </r>
  </si>
  <si>
    <t xml:space="preserve">https://www.theregister.com/on-prem/2026/08/19/scotlands-ai-growth-zone-gets-a-wee-300m-power-up/5289042</t>
  </si>
  <si>
    <t xml:space="preserve">T#40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</si>
  <si>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擴建｜在建</t>
    </r>
  </si>
  <si>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年底完工、擴建後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，均與原文一致。「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先前稱 </t>
    </r>
    <r>
      <rPr>
        <sz val="11"/>
        <color theme="1"/>
        <rFont val="Calibri"/>
        <family val="2"/>
        <charset val="1"/>
      </rPr>
      <t xml:space="preserve">24MW</t>
    </r>
    <r>
      <rPr>
        <sz val="11"/>
        <color theme="1"/>
        <rFont val="Noto Sans CJK SC"/>
        <family val="2"/>
      </rPr>
      <t xml:space="preserve">」不在本文，屬另一來源，不影響數值。</t>
    </r>
  </si>
  <si>
    <t xml:space="preserve">T#41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</si>
  <si>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</si>
  <si>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原文日期為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09-08 </t>
    </r>
    <r>
      <rPr>
        <sz val="11"/>
        <color theme="1"/>
        <rFont val="Noto Sans CJK SC"/>
        <family val="2"/>
      </rPr>
      <t xml:space="preserve">差一天（且稱推算）。投資額 </t>
    </r>
    <r>
      <rPr>
        <sz val="11"/>
        <color theme="1"/>
        <rFont val="Calibri"/>
        <family val="2"/>
        <charset val="1"/>
      </rPr>
      <t xml:space="preserve">£849.6m</t>
    </r>
    <r>
      <rPr>
        <sz val="11"/>
        <color theme="1"/>
        <rFont val="Noto Sans CJK SC"/>
        <family val="2"/>
      </rPr>
      <t xml:space="preserve">、未列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混入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，原文未提及；公司說法標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</si>
  <si>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https://datacentrenews.uk/story/datavita-seeks-approval-for-third-chapelhall-data-centre</t>
  </si>
  <si>
    <t xml:space="preserve">T#42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</si>
  <si>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</si>
  <si>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2026-01-29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</si>
  <si>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DataVita </t>
    </r>
    <r>
      <rPr>
        <sz val="11"/>
        <color theme="1"/>
        <rFont val="Noto Sans CJK SC"/>
        <family val="2"/>
      </rPr>
      <t xml:space="preserve">本人說法（利害關係人）皆與原文一致。原文未提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使用者，也無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或官網的資料；這些來自其他來源，不影響本列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的核對。</t>
    </r>
  </si>
  <si>
    <t xml:space="preserve">https://www.scottishconstructionnow.com/articles/datavitas-north-lanarkshire-site-named-uk-ai-growth-zone</t>
  </si>
  <si>
    <t xml:space="preserve">T#43</t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</si>
  <si>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</si>
  <si>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</si>
  <si>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原文只有 </t>
    </r>
    <r>
      <rPr>
        <sz val="11"/>
        <color theme="1"/>
        <rFont val="Calibri"/>
        <family val="2"/>
        <charset val="1"/>
      </rPr>
      <t xml:space="preserve">outline </t>
    </r>
    <r>
      <rPr>
        <sz val="11"/>
        <color theme="1"/>
        <rFont val="Noto Sans CJK SC"/>
        <family val="2"/>
      </rPr>
      <t xml:space="preserve">許可與 </t>
    </r>
    <r>
      <rPr>
        <sz val="11"/>
        <color theme="1"/>
        <rFont val="Calibri"/>
        <family val="2"/>
        <charset val="1"/>
      </rPr>
      <t xml:space="preserve">220,000 sqm</t>
    </r>
    <r>
      <rPr>
        <sz val="11"/>
        <color theme="1"/>
        <rFont val="Noto Sans CJK SC"/>
        <family val="2"/>
      </rPr>
      <t xml:space="preserve">（面積，非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），未提資料中心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稱無時程與客戶、投資夥伴未定不在此文。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亦有誤；來源是媒體報導，內容為開發商說法。</t>
    </r>
  </si>
  <si>
    <t xml:space="preserve">https://www.dailypost.co.uk/news/north-wales-news/massive-anglesey-development-tipped-create-32452071</t>
  </si>
  <si>
    <t xml:space="preserve">T#44</t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</si>
  <si>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</si>
  <si>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BESS</t>
    </r>
    <r>
      <rPr>
        <sz val="11"/>
        <color theme="1"/>
        <rFont val="Noto Sans CJK SC"/>
        <family val="2"/>
      </rPr>
      <t xml:space="preserve">（電池儲能）｜規劃</t>
    </r>
  </si>
  <si>
    <t xml:space="preserve">349 MW</t>
  </si>
  <si>
    <t xml:space="preserve">2025-09-11</t>
  </si>
  <si>
    <r>
      <rPr>
        <sz val="11"/>
        <color theme="1"/>
        <rFont val="Calibri"/>
        <family val="2"/>
        <charset val="1"/>
      </rPr>
      <t xml:space="preserve">349MW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BESS </t>
    </r>
    <r>
      <rPr>
        <sz val="11"/>
        <color theme="1"/>
        <rFont val="Noto Sans CJK SC"/>
        <family val="2"/>
      </rPr>
      <t xml:space="preserve">目標容量，原文有且與數值、單位一致；文章日期 </t>
    </r>
    <r>
      <rPr>
        <sz val="11"/>
        <color theme="1"/>
        <rFont val="Calibri"/>
        <family val="2"/>
        <charset val="1"/>
      </rPr>
      <t xml:space="preserve">2025-09-11 </t>
    </r>
    <r>
      <rPr>
        <sz val="11"/>
        <color theme="1"/>
        <rFont val="Noto Sans CJK SC"/>
        <family val="2"/>
      </rPr>
      <t xml:space="preserve">也對。但原文是記者轉述公司計畫，並非公司本人說法，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Barbour ABI </t>
    </r>
    <r>
      <rPr>
        <sz val="11"/>
        <color theme="1"/>
        <rFont val="Noto Sans CJK SC"/>
        <family val="2"/>
      </rPr>
      <t xml:space="preserve">引用同一數字」在本文找不到。</t>
    </r>
  </si>
  <si>
    <t xml:space="preserve">https://www.placenorthwest.co.uk/lift-off-for-angleseys-1bn-prosperity-parc/</t>
  </si>
  <si>
    <t xml:space="preserve">T#45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</si>
  <si>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</si>
  <si>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列入 </t>
    </r>
    <r>
      <rPr>
        <sz val="11"/>
        <color theme="1"/>
        <rFont val="Calibri"/>
        <family val="2"/>
        <charset val="1"/>
      </rPr>
      <t xml:space="preserve">AIGZ </t>
    </r>
    <r>
      <rPr>
        <sz val="11"/>
        <color theme="1"/>
        <rFont val="Noto Sans CJK SC"/>
        <family val="2"/>
      </rPr>
      <t xml:space="preserve">且尚無計畫公布。但原文日期為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是由「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天前」估算，並非原文所載；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填「規劃」、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無數值，不影響模型。「</t>
    </r>
    <r>
      <rPr>
        <sz val="11"/>
        <color theme="1"/>
        <rFont val="Calibri"/>
        <family val="2"/>
        <charset val="1"/>
      </rPr>
      <t xml:space="preserve">clear-er</t>
    </r>
    <r>
      <rPr>
        <sz val="11"/>
        <color theme="1"/>
        <rFont val="Noto Sans CJK SC"/>
        <family val="2"/>
      </rPr>
      <t xml:space="preserve">」另一來源無法由本文核對。</t>
    </r>
  </si>
  <si>
    <t xml:space="preserve">https://barbour-abi.com/ai-growth-zones-uk-and-their-data-centres/</t>
  </si>
  <si>
    <t xml:space="preserve">T#46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</si>
  <si>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Wales AI Growth Zone </t>
    </r>
    <r>
      <rPr>
        <sz val="11"/>
        <color theme="1"/>
        <rFont val="Noto Sans CJK SC"/>
        <family val="2"/>
      </rPr>
      <t xml:space="preserve">區域目標（含 </t>
    </r>
    <r>
      <rPr>
        <sz val="11"/>
        <color theme="1"/>
        <rFont val="Calibri"/>
        <family val="2"/>
        <charset val="1"/>
      </rPr>
      <t xml:space="preserve">Prosperity Parc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單獨）｜規劃</t>
    </r>
  </si>
  <si>
    <t xml:space="preserve">2025-11-13</t>
  </si>
  <si>
    <r>
      <rPr>
        <sz val="11"/>
        <color theme="1"/>
        <rFont val="Calibri"/>
        <family val="2"/>
        <charset val="1"/>
      </rPr>
      <t xml:space="preserve">500MW+ </t>
    </r>
    <r>
      <rPr>
        <sz val="11"/>
        <color theme="1"/>
        <rFont val="Noto Sans CJK SC"/>
        <family val="2"/>
      </rPr>
      <t xml:space="preserve">為全區目標、政府預期，數值與口徑屬實。但 </t>
    </r>
    <r>
      <rPr>
        <sz val="11"/>
        <color theme="1"/>
        <rFont val="Calibri"/>
        <family val="2"/>
        <charset val="1"/>
      </rPr>
      <t xml:space="preserve">Techerati </t>
    </r>
    <r>
      <rPr>
        <sz val="11"/>
        <color theme="1"/>
        <rFont val="Noto Sans CJK SC"/>
        <family val="2"/>
      </rPr>
      <t xml:space="preserve">文章日期是 </t>
    </r>
    <r>
      <rPr>
        <sz val="11"/>
        <color theme="1"/>
        <rFont val="Calibri"/>
        <family val="2"/>
        <charset val="1"/>
      </rPr>
      <t xml:space="preserve">2025-11-26</t>
    </r>
    <r>
      <rPr>
        <sz val="11"/>
        <color theme="1"/>
        <rFont val="Noto Sans CJK SC"/>
        <family val="2"/>
      </rPr>
      <t xml:space="preserve">，表中寫 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（可能是政府公告日，但原文未載）。「投資夥伴仍在尋找」原文也找不到。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尚可接受。</t>
    </r>
  </si>
  <si>
    <t xml:space="preserve">https://www.techerati.com/news-hub/uk-launches-new-ai-growth-zone-in-north-wales/</t>
  </si>
  <si>
    <t xml:space="preserve">T#47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</si>
  <si>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</si>
  <si>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https://www.investing.com/news/company-news/nebius-to-deploy-ai-infrastructure-at-vantage-wales-campus-93CH-4857791</t>
  </si>
  <si>
    <t xml:space="preserve">T#48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</si>
  <si>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Newport</t>
    </r>
    <r>
      <rPr>
        <sz val="11"/>
        <color theme="1"/>
        <rFont val="Noto Sans CJK SC"/>
        <family val="2"/>
      </rPr>
      <t xml:space="preserve">（全部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棟滿載）｜規劃</t>
    </r>
  </si>
  <si>
    <t xml:space="preserve">148 MW</t>
  </si>
  <si>
    <r>
      <rPr>
        <sz val="11"/>
        <color theme="1"/>
        <rFont val="Calibri"/>
        <family val="2"/>
        <charset val="1"/>
      </rPr>
      <t xml:space="preserve">148MW IT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棟中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棟已營運」屬實。但 </t>
    </r>
    <r>
      <rPr>
        <sz val="11"/>
        <color theme="1"/>
        <rFont val="Calibri"/>
        <family val="2"/>
        <charset val="1"/>
      </rPr>
      <t xml:space="preserve">148MW </t>
    </r>
    <r>
      <rPr>
        <sz val="11"/>
        <color theme="1"/>
        <rFont val="Noto Sans CJK SC"/>
        <family val="2"/>
      </rPr>
      <t xml:space="preserve">是完整開發後的規劃總量，不是已投產量。原文未提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，也沒有 </t>
    </r>
    <r>
      <rPr>
        <sz val="11"/>
        <color theme="1"/>
        <rFont val="Calibri"/>
        <family val="2"/>
        <charset val="1"/>
      </rPr>
      <t xml:space="preserve">2010 </t>
    </r>
    <r>
      <rPr>
        <sz val="11"/>
        <color theme="1"/>
        <rFont val="Noto Sans CJK SC"/>
        <family val="2"/>
      </rPr>
      <t xml:space="preserve">年上線與 </t>
    </r>
    <r>
      <rPr>
        <sz val="11"/>
        <color theme="1"/>
        <rFont val="Calibri"/>
        <family val="2"/>
        <charset val="1"/>
      </rPr>
      <t xml:space="preserve">2025-06-06 </t>
    </r>
    <r>
      <rPr>
        <sz val="11"/>
        <color theme="1"/>
        <rFont val="Noto Sans CJK SC"/>
        <family val="2"/>
      </rPr>
      <t xml:space="preserve">日期；頁面另有「現有 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」的說法。</t>
    </r>
  </si>
  <si>
    <t xml:space="preserve">https://vantage-dc.com/data-center-locations/emea/cardiff-united-kingdom/</t>
  </si>
  <si>
    <t xml:space="preserve">T#49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</si>
  <si>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Nebius </t>
    </r>
    <r>
      <rPr>
        <sz val="11"/>
        <color theme="1"/>
        <rFont val="Noto Sans CJK SC"/>
        <family val="2"/>
      </rPr>
      <t xml:space="preserve">租賃容量｜簽約</t>
    </r>
  </si>
  <si>
    <r>
      <rPr>
        <sz val="11"/>
        <color theme="1"/>
        <rFont val="Noto Sans CJK SC"/>
        <family val="2"/>
      </rPr>
      <t xml:space="preserve">規模未公開、</t>
    </r>
    <r>
      <rPr>
        <sz val="11"/>
        <color theme="1"/>
        <rFont val="Calibri"/>
        <family val="2"/>
        <charset val="1"/>
      </rPr>
      <t xml:space="preserve">DSX </t>
    </r>
    <r>
      <rPr>
        <sz val="11"/>
        <color theme="1"/>
        <rFont val="Noto Sans CJK SC"/>
        <family val="2"/>
      </rPr>
      <t xml:space="preserve">參考設計、日期皆屬實。但「英國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新址共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）」原文沒有，只提四個英國站點、約</t>
    </r>
    <r>
      <rPr>
        <sz val="11"/>
        <color theme="1"/>
        <rFont val="Calibri"/>
        <family val="2"/>
        <charset val="1"/>
      </rPr>
      <t xml:space="preserve">£1.7bn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</si>
  <si>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https://www.datacenterdynamics.com/en/news/nebius-to-lease-data-center-capacity-from-vantage-in-newport-wales/</t>
  </si>
  <si>
    <t xml:space="preserve">T#50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</si>
  <si>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CWL2 Bro Tathan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 Athan</t>
    </r>
    <r>
      <rPr>
        <sz val="11"/>
        <color theme="1"/>
        <rFont val="Noto Sans CJK SC"/>
        <family val="2"/>
      </rPr>
      <t xml:space="preserve">）｜規劃</t>
    </r>
  </si>
  <si>
    <t xml:space="preserve">2026-07-21</t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</si>
  <si>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規劃顧問說法屬實，三棟</t>
    </r>
    <r>
      <rPr>
        <sz val="11"/>
        <color theme="1"/>
        <rFont val="Calibri"/>
        <family val="2"/>
        <charset val="1"/>
      </rPr>
      <t xml:space="preserve">×8</t>
    </r>
    <r>
      <rPr>
        <sz val="11"/>
        <color theme="1"/>
        <rFont val="Noto Sans CJK SC"/>
        <family val="2"/>
      </rPr>
      <t xml:space="preserve">廳</t>
    </r>
    <r>
      <rPr>
        <sz val="11"/>
        <color theme="1"/>
        <rFont val="Calibri"/>
        <family val="2"/>
        <charset val="1"/>
      </rPr>
      <t xml:space="preserve">×4MW=96MW </t>
    </r>
    <r>
      <rPr>
        <sz val="11"/>
        <color theme="1"/>
        <rFont val="Noto Sans CJK SC"/>
        <family val="2"/>
      </rPr>
      <t xml:space="preserve">也與原文一致。但文章日期為</t>
    </r>
    <r>
      <rPr>
        <sz val="11"/>
        <color theme="1"/>
        <rFont val="Calibri"/>
        <family val="2"/>
        <charset val="1"/>
      </rPr>
      <t xml:space="preserve">2025-08-08</t>
    </r>
    <r>
      <rPr>
        <sz val="11"/>
        <color theme="1"/>
        <rFont val="Noto Sans CJK SC"/>
        <family val="2"/>
      </rPr>
      <t xml:space="preserve">，列中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為推估；站名 </t>
    </r>
    <r>
      <rPr>
        <sz val="11"/>
        <color theme="1"/>
        <rFont val="Calibri"/>
        <family val="2"/>
        <charset val="1"/>
      </rPr>
      <t xml:space="preserve">CWL2 </t>
    </r>
    <r>
      <rPr>
        <sz val="11"/>
        <color theme="1"/>
        <rFont val="Noto Sans CJK SC"/>
        <family val="2"/>
      </rPr>
      <t xml:space="preserve">也未見於原文。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以利害關係人標示尚可。</t>
    </r>
  </si>
  <si>
    <t xml:space="preserve">https://www.datacenterdynamics.com/en/news/vantage-plots-data-center-campus-outside-cardiff-wales/</t>
  </si>
  <si>
    <t xml:space="preserve">T#51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</si>
  <si>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第一棟｜在建</t>
    </r>
  </si>
  <si>
    <r>
      <rPr>
        <sz val="11"/>
        <color theme="1"/>
        <rFont val="Noto Sans CJK SC"/>
        <family val="2"/>
      </rPr>
      <t xml:space="preserve">原文僅稱</t>
    </r>
    <r>
      <rPr>
        <sz val="11"/>
        <color theme="1"/>
        <rFont val="Calibri"/>
        <family val="2"/>
        <charset val="1"/>
      </rPr>
      <t xml:space="preserve">Bridgend</t>
    </r>
    <r>
      <rPr>
        <sz val="11"/>
        <color theme="1"/>
        <rFont val="Noto Sans CJK SC"/>
        <family val="2"/>
      </rPr>
      <t xml:space="preserve">前福特廠址「</t>
    </r>
    <r>
      <rPr>
        <sz val="11"/>
        <color theme="1"/>
        <rFont val="Calibri"/>
        <family val="2"/>
        <charset val="1"/>
      </rPr>
      <t xml:space="preserve">work is under way</t>
    </r>
    <r>
      <rPr>
        <sz val="11"/>
        <color theme="1"/>
        <rFont val="Noto Sans CJK SC"/>
        <family val="2"/>
      </rPr>
      <t xml:space="preserve">」，無「第一棟</t>
    </r>
    <r>
      <rPr>
        <sz val="11"/>
        <color theme="1"/>
        <rFont val="Calibri"/>
        <family val="2"/>
        <charset val="1"/>
      </rPr>
      <t xml:space="preserve">CWL4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。文章日期為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非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；為記者報導非公司本人文件。</t>
    </r>
  </si>
  <si>
    <t xml:space="preserve">https://uk.news.yahoo.com/major-ai-infrastructure-investment-south-150813732.html</t>
  </si>
  <si>
    <t xml:space="preserve">T#52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</si>
  <si>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全園區（最多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棟）｜規劃</t>
    </r>
  </si>
  <si>
    <t xml:space="preserve">592 MW</t>
  </si>
  <si>
    <t xml:space="preserve">2025-10-07</t>
  </si>
  <si>
    <r>
      <rPr>
        <sz val="11"/>
        <color theme="1"/>
        <rFont val="Noto Sans CJK SC"/>
        <family val="2"/>
      </rPr>
      <t xml:space="preserve">原文只說容量約為</t>
    </r>
    <r>
      <rPr>
        <sz val="11"/>
        <color theme="1"/>
        <rFont val="Calibri"/>
        <family val="2"/>
        <charset val="1"/>
      </rPr>
      <t xml:space="preserve">Newport</t>
    </r>
    <r>
      <rPr>
        <sz val="11"/>
        <color theme="1"/>
        <rFont val="Noto Sans CJK SC"/>
        <family val="2"/>
      </rPr>
      <t xml:space="preserve">四倍，無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數字；</t>
    </r>
    <r>
      <rPr>
        <sz val="11"/>
        <color theme="1"/>
        <rFont val="Calibri"/>
        <family val="2"/>
        <charset val="1"/>
      </rPr>
      <t xml:space="preserve">148MW</t>
    </r>
    <r>
      <rPr>
        <sz val="11"/>
        <color theme="1"/>
        <rFont val="Noto Sans CJK SC"/>
        <family val="2"/>
      </rPr>
      <t xml:space="preserve">為外部假設，</t>
    </r>
    <r>
      <rPr>
        <sz val="11"/>
        <color theme="1"/>
        <rFont val="Calibri"/>
        <family val="2"/>
        <charset val="1"/>
      </rPr>
      <t xml:space="preserve">592MW</t>
    </r>
    <r>
      <rPr>
        <sz val="11"/>
        <color theme="1"/>
        <rFont val="Noto Sans CJK SC"/>
        <family val="2"/>
      </rPr>
      <t xml:space="preserve">純屬推算。原文日期為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日；「永久併網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</si>
  <si>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https://nation.cymru/news/plans-approved-for-new-data-centre-at-former-ford-engine-plant/</t>
  </si>
  <si>
    <t xml:space="preserve">T#53</t>
  </si>
  <si>
    <t xml:space="preserve">Ark Data Centres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</si>
  <si>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</si>
  <si>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原文稱園區「目前」共</t>
    </r>
    <r>
      <rPr>
        <sz val="11"/>
        <color theme="1"/>
        <rFont val="Calibri"/>
        <family val="2"/>
        <charset val="1"/>
      </rPr>
      <t xml:space="preserve">54MW</t>
    </r>
    <r>
      <rPr>
        <sz val="11"/>
        <color theme="1"/>
        <rFont val="Noto Sans CJK SC"/>
        <family val="2"/>
      </rPr>
      <t xml:space="preserve">、兩棟，並非「在建」。「</t>
    </r>
    <r>
      <rPr>
        <sz val="11"/>
        <color theme="1"/>
        <rFont val="Calibri"/>
        <family val="2"/>
        <charset val="1"/>
      </rPr>
      <t xml:space="preserve">LP01 19MW</t>
    </r>
    <r>
      <rPr>
        <sz val="11"/>
        <color theme="1"/>
        <rFont val="Noto Sans CJK SC"/>
        <family val="2"/>
      </rPr>
      <t xml:space="preserve">」原文找不到（僅有 </t>
    </r>
    <r>
      <rPr>
        <sz val="11"/>
        <color theme="1"/>
        <rFont val="Calibri"/>
        <family val="2"/>
        <charset val="1"/>
      </rPr>
      <t xml:space="preserve">LP02 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初租</t>
    </r>
    <r>
      <rPr>
        <sz val="11"/>
        <color theme="1"/>
        <rFont val="Calibri"/>
        <family val="2"/>
        <charset val="1"/>
      </rPr>
      <t xml:space="preserve">16MW</t>
    </r>
    <r>
      <rPr>
        <sz val="11"/>
        <color theme="1"/>
        <rFont val="Noto Sans CJK SC"/>
        <family val="2"/>
      </rPr>
      <t xml:space="preserve">）。「約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年啟用」屬實。</t>
    </r>
  </si>
  <si>
    <t xml:space="preserve">https://bebeez.eu/2026/06/09/ark-dc-to-add-new-building-to-longcross-data-center-campus-outside-london-uk/</t>
  </si>
  <si>
    <t xml:space="preserve">T#54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</si>
  <si>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LP01</t>
    </r>
    <r>
      <rPr>
        <sz val="11"/>
        <color theme="1"/>
        <rFont val="Noto Sans CJK SC"/>
        <family val="2"/>
      </rPr>
      <t xml:space="preserve">｜上線</t>
    </r>
  </si>
  <si>
    <t xml:space="preserve">19 MW</t>
  </si>
  <si>
    <r>
      <rPr>
        <sz val="11"/>
        <color theme="1"/>
        <rFont val="Noto Sans CJK SC"/>
        <family val="2"/>
      </rPr>
      <t xml:space="preserve">原文僅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已運轉、</t>
    </r>
    <r>
      <rPr>
        <sz val="11"/>
        <color theme="1"/>
        <rFont val="Calibri"/>
        <family val="2"/>
        <charset val="1"/>
      </rPr>
      <t xml:space="preserve">3MW </t>
    </r>
    <r>
      <rPr>
        <sz val="11"/>
        <color theme="1"/>
        <rFont val="Noto Sans CJK SC"/>
        <family val="2"/>
      </rPr>
      <t xml:space="preserve">交付中，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是合計，不是已上線值。原文日期為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05-31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在原文找不到。</t>
    </r>
  </si>
  <si>
    <t xml:space="preserve">https://datacentrenews.uk/story/nebius-fills-ark-s-longcross-data-centre-to-capacity</t>
  </si>
  <si>
    <t xml:space="preserve">T#55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</si>
  <si>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｜規劃</t>
    </r>
  </si>
  <si>
    <t xml:space="preserve">36 MW</t>
  </si>
  <si>
    <r>
      <rPr>
        <sz val="11"/>
        <color theme="1"/>
        <rFont val="Calibri"/>
        <family val="2"/>
        <charset val="1"/>
      </rPr>
      <t xml:space="preserve">36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、日期皆屬實；但原文未提規劃獲批、</t>
    </r>
    <r>
      <rPr>
        <sz val="11"/>
        <color theme="1"/>
        <rFont val="Calibri"/>
        <family val="2"/>
        <charset val="1"/>
      </rPr>
      <t xml:space="preserve">£807m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£335m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DC03</t>
    </r>
    <r>
      <rPr>
        <sz val="11"/>
        <color theme="1"/>
        <rFont val="Noto Sans CJK SC"/>
        <family val="2"/>
      </rPr>
      <t xml:space="preserve">（可能引自他處）。原文是媒體報導，並非 </t>
    </r>
    <r>
      <rPr>
        <sz val="11"/>
        <color theme="1"/>
        <rFont val="Calibri"/>
        <family val="2"/>
        <charset val="1"/>
      </rPr>
      <t xml:space="preserve">Ark </t>
    </r>
    <r>
      <rPr>
        <sz val="11"/>
        <color theme="1"/>
        <rFont val="Noto Sans CJK SC"/>
        <family val="2"/>
      </rPr>
      <t xml:space="preserve">公告原文，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與來源描述稍偏。且原文稱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租用既有設施，未明說租用 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。</t>
    </r>
  </si>
  <si>
    <t xml:space="preserve">https://data-central.co.uk/ark-expands-longcross-for-nebius/</t>
  </si>
  <si>
    <t xml:space="preserve">T#56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</si>
  <si>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</si>
  <si>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｜全園區（總容量）｜規劃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</si>
  <si>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初動工、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運轉皆屬實。但原文明確區分總容量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與可用</t>
    </r>
    <r>
      <rPr>
        <sz val="11"/>
        <color theme="1"/>
        <rFont val="Calibri"/>
        <family val="2"/>
        <charset val="1"/>
      </rPr>
      <t xml:space="preserve">IT 800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不宜寫「未說明」。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找租戶、尚無租戶、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五月說法，原文都找不到；原文只稱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為資料中心顧問。</t>
    </r>
  </si>
  <si>
    <t xml:space="preserve">https://pulse2.com/pantheon-ai-e50-billion-ai-data-center-and-innovation-campus-to-be-built-in-croatia/</t>
  </si>
  <si>
    <t xml:space="preserve">T#57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</si>
  <si>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｜全園區（可用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負載）｜規劃</t>
    </r>
  </si>
  <si>
    <r>
      <rPr>
        <sz val="11"/>
        <color theme="1"/>
        <rFont val="Calibri"/>
        <family val="2"/>
        <charset val="1"/>
      </rPr>
      <t xml:space="preserve">800 MW IT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屬實。但原文無「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」上線、「€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億」，也無「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天前」，只寫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年初動工。原文日期為 </t>
    </r>
    <r>
      <rPr>
        <sz val="11"/>
        <color theme="1"/>
        <rFont val="Calibri"/>
        <family val="2"/>
        <charset val="1"/>
      </rPr>
      <t xml:space="preserve">Jul 23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07-24</t>
    </r>
    <r>
      <rPr>
        <sz val="11"/>
        <color theme="1"/>
        <rFont val="Noto Sans CJK SC"/>
        <family val="2"/>
      </rPr>
      <t xml:space="preserve">。</t>
    </r>
  </si>
  <si>
    <t xml:space="preserve">https://norfolkdailynews.com/online_features/press_releases/croatias-grid-operator-approves-power-supply-blueprint-for-pantheon-ais-1-gw-data-center/article_6d761816-c301-5e80-9a72-2642b1e5ddc1.html</t>
  </si>
  <si>
    <t xml:space="preserve">T#58</t>
  </si>
  <si>
    <t xml:space="preserve">未選定（能源部／財政部徵選財團領導者中）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</si>
  <si>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</si>
  <si>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1,500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萬加速器、兩地屬實，但原文是政府（能源部）</t>
    </r>
    <r>
      <rPr>
        <sz val="11"/>
        <color theme="1"/>
        <rFont val="Calibri"/>
        <family val="2"/>
        <charset val="1"/>
      </rPr>
      <t xml:space="preserve">EOI</t>
    </r>
    <r>
      <rPr>
        <sz val="11"/>
        <color theme="1"/>
        <rFont val="Noto Sans CJK SC"/>
        <family val="2"/>
      </rPr>
      <t xml:space="preserve">公告，非公司本人；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與來源標示有偏。</t>
    </r>
    <r>
      <rPr>
        <sz val="11"/>
        <color theme="1"/>
        <rFont val="Calibri"/>
        <family val="2"/>
        <charset val="1"/>
      </rPr>
      <t xml:space="preserve">40–50</t>
    </r>
    <r>
      <rPr>
        <sz val="11"/>
        <color theme="1"/>
        <rFont val="Noto Sans CJK SC"/>
        <family val="2"/>
      </rPr>
      <t xml:space="preserve">億歐元及延遲說明原文找不到。</t>
    </r>
  </si>
  <si>
    <t xml:space="preserve">https://cursdeguvernare.ro/black-sea-ai-gigafactory-romania-lanseaza-prima-etapa-a-acestui-proiect-strategic-de-infrastructura-ai.html</t>
  </si>
  <si>
    <t xml:space="preserve">T#59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</si>
  <si>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- Cernavodă</t>
    </r>
    <r>
      <rPr>
        <sz val="11"/>
        <color theme="1"/>
        <rFont val="Noto Sans CJK SC"/>
        <family val="2"/>
      </rPr>
      <t xml:space="preserve">｜規劃</t>
    </r>
  </si>
  <si>
    <t xml:space="preserve">https://www.investenergy.ro/ministerul-energiei-a-lancat-procedura-eoi-pentru-liderul-consortiului-black-sea-ai-gigafactory/</t>
  </si>
  <si>
    <t xml:space="preserve">T#60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</si>
  <si>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 - Doicești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</si>
  <si>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462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Doicești SMR </t>
    </r>
    <r>
      <rPr>
        <sz val="11"/>
        <color theme="1"/>
        <rFont val="Noto Sans CJK SC"/>
        <family val="2"/>
      </rPr>
      <t xml:space="preserve">電源容量，屬實且口徑已註明；但 </t>
    </r>
    <r>
      <rPr>
        <sz val="11"/>
        <color theme="1"/>
        <rFont val="Calibri"/>
        <family val="2"/>
        <charset val="1"/>
      </rPr>
      <t xml:space="preserve">Replica 17% </t>
    </r>
    <r>
      <rPr>
        <sz val="11"/>
        <color theme="1"/>
        <rFont val="Noto Sans CJK SC"/>
        <family val="2"/>
      </rPr>
      <t xml:space="preserve">共同出資說法原文找不到；來源標題「公司本人」不符。</t>
    </r>
  </si>
  <si>
    <t xml:space="preserve">T#61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</si>
  <si>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</si>
  <si>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｜第一期｜規劃</t>
    </r>
  </si>
  <si>
    <t xml:space="preserve">55 MW</t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</si>
  <si>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 Aubals </t>
    </r>
    <r>
      <rPr>
        <sz val="11"/>
        <color theme="1"/>
        <rFont val="Noto Sans CJK SC"/>
        <family val="2"/>
      </rPr>
      <t xml:space="preserve">皆屬實。但「</t>
    </r>
    <r>
      <rPr>
        <sz val="11"/>
        <color theme="1"/>
        <rFont val="Calibri"/>
        <family val="2"/>
        <charset val="1"/>
      </rPr>
      <t xml:space="preserve">Incasòl </t>
    </r>
    <r>
      <rPr>
        <sz val="11"/>
        <color theme="1"/>
        <rFont val="Noto Sans CJK SC"/>
        <family val="2"/>
      </rPr>
      <t xml:space="preserve">技術研究為 </t>
    </r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」在本文找不到，應出自其他來源。</t>
    </r>
  </si>
  <si>
    <t xml:space="preserve">https://www.conectaindustria.es/articulo/innovacion/gigafactoria-ia-mora-nova-proyecta-150-mw-cobertura-renovable-total/20260811080009015122.html</t>
  </si>
  <si>
    <t xml:space="preserve">T#62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</si>
  <si>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｜第二期（擴建）｜規劃</t>
    </r>
  </si>
  <si>
    <r>
      <rPr>
        <sz val="11"/>
        <color theme="1"/>
        <rFont val="Calibri"/>
        <family val="2"/>
        <charset val="1"/>
      </rPr>
      <t xml:space="preserve">150−55=95 </t>
    </r>
    <r>
      <rPr>
        <sz val="11"/>
        <color theme="1"/>
        <rFont val="Noto Sans CJK SC"/>
        <family val="2"/>
      </rPr>
      <t xml:space="preserve">的推算數字都在原文；新增接入位、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125 MW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皆吻合。</t>
    </r>
  </si>
  <si>
    <t xml:space="preserve">T#63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</si>
  <si>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</si>
  <si>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、決標與截止日屬實。但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的時程是 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。市長 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MW </t>
    </r>
    <r>
      <rPr>
        <sz val="11"/>
        <color theme="1"/>
        <rFont val="Noto Sans CJK SC"/>
        <family val="2"/>
      </rPr>
      <t xml:space="preserve">的說法本文找不到。</t>
    </r>
  </si>
  <si>
    <t xml:space="preserve">T#64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</si>
  <si>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</si>
  <si>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</si>
  <si>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2026-08-30</t>
  </si>
  <si>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Noto Sans CJK SC"/>
        <family val="2"/>
      </rPr>
      <t xml:space="preserve">百萬歐元與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月重劃屬實，但原文稱無任何工期；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全面運作不見於原文。原文為記者轉述官方說法，並非</t>
    </r>
    <r>
      <rPr>
        <sz val="11"/>
        <color theme="1"/>
        <rFont val="Calibri"/>
        <family val="2"/>
        <charset val="1"/>
      </rPr>
      <t xml:space="preserve">DIA/PSI</t>
    </r>
    <r>
      <rPr>
        <sz val="11"/>
        <color theme="1"/>
        <rFont val="Noto Sans CJK SC"/>
        <family val="2"/>
      </rPr>
      <t xml:space="preserve">文件，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亦無。</t>
    </r>
  </si>
  <si>
    <t xml:space="preserve">https://www.elespanol.com/invertia/disruptores/autonomias/castilla-la-mancha/20260830/meta-data-center-campus-talavera-reina-sin-prisa-pausa-plazos/1003744365616_0.html</t>
  </si>
  <si>
    <t xml:space="preserve">T#65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</si>
  <si>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期（行政樓＋資料中心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</si>
  <si>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期內容與第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期基礎設施屬實，無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也屬實；但原文明說無時程，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上線不見於原文。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亦偏高。</t>
    </r>
  </si>
  <si>
    <t xml:space="preserve">T#66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</si>
  <si>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期（資料中心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）｜規劃</t>
    </r>
  </si>
  <si>
    <t xml:space="preserve">2024-03-23</t>
  </si>
  <si>
    <r>
      <rPr>
        <sz val="11"/>
        <color theme="1"/>
        <rFont val="Noto Sans CJK SC"/>
        <family val="2"/>
      </rPr>
      <t xml:space="preserve">原文第三期建第二座資料中心、第四期建太陽能電站屬實，且無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。但原文只說全案工期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年、約</t>
    </r>
    <r>
      <rPr>
        <sz val="11"/>
        <color theme="1"/>
        <rFont val="Calibri"/>
        <family val="2"/>
        <charset val="1"/>
      </rPr>
      <t xml:space="preserve">2034</t>
    </r>
    <r>
      <rPr>
        <sz val="11"/>
        <color theme="1"/>
        <rFont val="Noto Sans CJK SC"/>
        <family val="2"/>
      </rPr>
      <t xml:space="preserve">年完工，沒有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也偏高，應為記者轉述。</t>
    </r>
  </si>
  <si>
    <t xml:space="preserve">https://www.elespanol.com/invertia/disruptores/autonomias/castilla-la-mancha/20240323/clave-aval-ambiental-centros-datos-meta-talavera-refrigerar-aire-lugar-agua/841916116_0.html</t>
  </si>
  <si>
    <t xml:space="preserve">T#67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</si>
  <si>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</si>
  <si>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｜第一期｜簽約</t>
    </r>
  </si>
  <si>
    <t xml:space="preserve">2026-09-17</t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</si>
  <si>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供電容量、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年皆屬實。但「副總理稱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年初完工」原文沒有。另外原文只是備忘錄（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寫「簽約」偏強。</t>
    </r>
  </si>
  <si>
    <t xml:space="preserve">https://www.ertnews.gr/perifereiakoi-stathmoi/kozani/dytiki-makedonia-dei-amazon-web-services-mnimonio-synergasias-gia-data-center-300-mw-stin-kozani/</t>
  </si>
  <si>
    <t xml:space="preserve">T#68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</si>
  <si>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｜擴建（最高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</si>
  <si>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，但這是 </t>
    </r>
    <r>
      <rPr>
        <sz val="11"/>
        <color theme="1"/>
        <rFont val="Calibri"/>
        <family val="2"/>
        <charset val="1"/>
      </rPr>
      <t xml:space="preserve">PPC </t>
    </r>
    <r>
      <rPr>
        <sz val="11"/>
        <color theme="1"/>
        <rFont val="Noto Sans CJK SC"/>
        <family val="2"/>
      </rPr>
      <t xml:space="preserve">計畫，且未提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Agios Dimitrios </t>
    </r>
    <r>
      <rPr>
        <sz val="11"/>
        <color theme="1"/>
        <rFont val="Noto Sans CJK SC"/>
        <family val="2"/>
      </rPr>
      <t xml:space="preserve">或「考慮」、另簽協議。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只出現在相關連結標題。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也不合，原文是記者轉述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報導，不是公司本人說法。</t>
    </r>
  </si>
  <si>
    <t xml:space="preserve">https://greekcitytimes.com/2026/09/17/ppc-kozani-data-centre-western-macedonia</t>
  </si>
  <si>
    <t xml:space="preserve">T#69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</si>
  <si>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Korgen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</si>
  <si>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2025-10-24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</si>
  <si>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Rana Blad </t>
    </r>
    <r>
      <rPr>
        <sz val="11"/>
        <color theme="1"/>
        <rFont val="Noto Sans CJK SC"/>
        <family val="2"/>
      </rPr>
      <t xml:space="preserve">的報導，</t>
    </r>
    <r>
      <rPr>
        <sz val="11"/>
        <color theme="1"/>
        <rFont val="Calibri"/>
        <family val="2"/>
        <charset val="1"/>
      </rPr>
      <t xml:space="preserve">Lysø </t>
    </r>
    <r>
      <rPr>
        <sz val="11"/>
        <color theme="1"/>
        <rFont val="Noto Sans CJK SC"/>
        <family val="2"/>
      </rPr>
      <t xml:space="preserve">只說在等 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供電，不是本人說的數字。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Hemnes </t>
    </r>
    <r>
      <rPr>
        <sz val="11"/>
        <color theme="1"/>
        <rFont val="Noto Sans CJK SC"/>
        <family val="2"/>
      </rPr>
      <t xml:space="preserve">分區與縮減規模等說法，原文均未出現。</t>
    </r>
  </si>
  <si>
    <t xml:space="preserve">https://www.datacenterdynamics.com/en/news/aker-nscale-plans-another-data-center-in-narvik-norway/</t>
  </si>
  <si>
    <t xml:space="preserve">T#70</t>
  </si>
  <si>
    <t xml:space="preserve">Compute Nordic Finland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</si>
  <si>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｜全園區｜簽約</t>
    </r>
  </si>
  <si>
    <t xml:space="preserve">165 MW</t>
  </si>
  <si>
    <t xml:space="preserve">https://www.globenewswire.com/news-release/2026/09/01/3353779/0/en/cerebras-and-compute-nordic-finland-announce-new-165-mw-ai-data-centre-in-mikkeli-finland.html</t>
  </si>
  <si>
    <t xml:space="preserve">T#71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</si>
  <si>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）｜在建</t>
    </r>
  </si>
  <si>
    <t xml:space="preserve">T#72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</si>
  <si>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｜第二階段（至 </t>
    </r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）｜規劃</t>
    </r>
  </si>
  <si>
    <t xml:space="preserve">T#73</t>
  </si>
  <si>
    <t xml:space="preserve">APL Group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</si>
  <si>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</si>
  <si>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公頃、最高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Scale42</t>
    </r>
    <r>
      <rPr>
        <sz val="11"/>
        <color theme="1"/>
        <rFont val="Noto Sans CJK SC"/>
        <family val="2"/>
      </rPr>
      <t xml:space="preserve">顧問屬實；但原文無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上線、開工延遲及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月五倍擴建說法，應來自他處。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屬公司自述，合理。</t>
    </r>
  </si>
  <si>
    <t xml:space="preserve">https://news.cision.com/apl-group/r/apl-expands-into-the-nordics-with-100mw-data-center-in-varkaus--finland,c4153829</t>
  </si>
  <si>
    <t xml:space="preserve">T#74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</si>
  <si>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</si>
  <si>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原文可見的僅有開工「今年稍後」、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年內投運，且為 </t>
    </r>
    <r>
      <rPr>
        <sz val="11"/>
        <color theme="1"/>
        <rFont val="Calibri"/>
        <family val="2"/>
        <charset val="1"/>
      </rPr>
      <t xml:space="preserve">APL </t>
    </r>
    <r>
      <rPr>
        <sz val="11"/>
        <color theme="1"/>
        <rFont val="Noto Sans CJK SC"/>
        <family val="2"/>
      </rPr>
      <t xml:space="preserve">歐洲負責人所述。</t>
    </r>
    <r>
      <rPr>
        <sz val="11"/>
        <color theme="1"/>
        <rFont val="Calibri"/>
        <family val="2"/>
        <charset val="1"/>
      </rPr>
      <t xml:space="preserve">60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新聞稿、建照日期、原訂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年初開工，皆不在可見原文中，需另查。標題與導言另提「可擴大至五倍」。</t>
    </r>
  </si>
  <si>
    <t xml:space="preserve">https://www.savonsanomat.fi/paikalliset/9548042</t>
  </si>
  <si>
    <t xml:space="preserve">T#75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</si>
  <si>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｜第二期擴建｜規劃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</si>
  <si>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後規劃再擴建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，與原文一致；原文未載上線時點與建照，與列中說法相符。公司自述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</t>
    </r>
  </si>
  <si>
    <t xml:space="preserve">T#76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</si>
  <si>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｜建照範圍 </t>
    </r>
    <r>
      <rPr>
        <sz val="11"/>
        <color theme="1"/>
        <rFont val="Calibri"/>
        <family val="2"/>
        <charset val="1"/>
      </rPr>
      <t xml:space="preserve">DC-A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Best Valo DC Oy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</si>
  <si>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APL Varkaus </t>
    </r>
    <r>
      <rPr>
        <sz val="11"/>
        <color theme="1"/>
        <rFont val="Noto Sans CJK SC"/>
        <family val="2"/>
      </rPr>
      <t xml:space="preserve">列為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DC-A 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」出現在 </t>
    </r>
    <r>
      <rPr>
        <sz val="11"/>
        <color theme="1"/>
        <rFont val="Calibri"/>
        <family val="2"/>
        <charset val="1"/>
      </rPr>
      <t xml:space="preserve">Lahti Ilmarisentie </t>
    </r>
    <r>
      <rPr>
        <sz val="11"/>
        <color theme="1"/>
        <rFont val="Noto Sans CJK SC"/>
        <family val="2"/>
      </rPr>
      <t xml:space="preserve">條目，不屬 </t>
    </r>
    <r>
      <rPr>
        <sz val="11"/>
        <color theme="1"/>
        <rFont val="Calibri"/>
        <family val="2"/>
        <charset val="1"/>
      </rPr>
      <t xml:space="preserve">Varkaus</t>
    </r>
    <r>
      <rPr>
        <sz val="11"/>
        <color theme="1"/>
        <rFont val="Noto Sans CJK SC"/>
        <family val="2"/>
      </rPr>
      <t xml:space="preserve">。建照日期 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屬實，但 </t>
    </r>
    <r>
      <rPr>
        <sz val="11"/>
        <color theme="1"/>
        <rFont val="Calibri"/>
        <family val="2"/>
        <charset val="1"/>
      </rPr>
      <t xml:space="preserve">50 MW </t>
    </r>
    <r>
      <rPr>
        <sz val="11"/>
        <color theme="1"/>
        <rFont val="Noto Sans CJK SC"/>
        <family val="2"/>
      </rPr>
      <t xml:space="preserve">錯置。</t>
    </r>
  </si>
  <si>
    <t xml:space="preserve">https://www.datakeskusrekisteri.fi/</t>
  </si>
  <si>
    <t xml:space="preserve">T#77</t>
  </si>
  <si>
    <t xml:space="preserve">Prime Data Centers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</si>
  <si>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｜全園區｜規劃</t>
    </r>
  </si>
  <si>
    <t xml:space="preserve">550 MW</t>
  </si>
  <si>
    <r>
      <rPr>
        <sz val="11"/>
        <color theme="1"/>
        <rFont val="Calibri"/>
        <family val="2"/>
        <charset val="1"/>
      </rPr>
      <t xml:space="preserve">550MW IT</t>
    </r>
    <r>
      <rPr>
        <sz val="11"/>
        <color theme="1"/>
        <rFont val="Noto Sans CJK SC"/>
        <family val="2"/>
      </rPr>
      <t xml:space="preserve">、環評、€</t>
    </r>
    <r>
      <rPr>
        <sz val="11"/>
        <color theme="1"/>
        <rFont val="Calibri"/>
        <family val="2"/>
        <charset val="1"/>
      </rPr>
      <t xml:space="preserve">6bn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Brunswick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末首期皆屬實，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標題；「官方新聞稿與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一致」原文未證實；</t>
    </r>
    <r>
      <rPr>
        <sz val="11"/>
        <color theme="1"/>
        <rFont val="Calibri"/>
        <family val="2"/>
        <charset val="1"/>
      </rPr>
      <t xml:space="preserve">2029 Q4 </t>
    </r>
    <r>
      <rPr>
        <sz val="11"/>
        <color theme="1"/>
        <rFont val="Noto Sans CJK SC"/>
        <family val="2"/>
      </rPr>
      <t xml:space="preserve">為「</t>
    </r>
    <r>
      <rPr>
        <sz val="11"/>
        <color theme="1"/>
        <rFont val="Calibri"/>
        <family val="2"/>
        <charset val="1"/>
      </rPr>
      <t xml:space="preserve">late 2029</t>
    </r>
    <r>
      <rPr>
        <sz val="11"/>
        <color theme="1"/>
        <rFont val="Noto Sans CJK SC"/>
        <family val="2"/>
      </rPr>
      <t xml:space="preserve">」的近似。</t>
    </r>
  </si>
  <si>
    <t xml:space="preserve">https://www.datacenterdynamics.com/en/news/prime-data-centers-to-develop-550mw-campus-in-esbjerg-denmark/</t>
  </si>
  <si>
    <t xml:space="preserve">T#78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</si>
  <si>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</si>
  <si>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https://primedatacenters.com/news/prime-data-centers-announces-plans-for-major-data-center-development-in-esbjerg-denmark/</t>
  </si>
  <si>
    <t xml:space="preserve">T#79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</si>
  <si>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（擴建至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）｜規劃</t>
    </r>
  </si>
  <si>
    <t xml:space="preserve">390 MW</t>
  </si>
  <si>
    <t xml:space="preserve">T#80</t>
  </si>
  <si>
    <t xml:space="preserve">HSCALE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</si>
  <si>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</si>
  <si>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2027</t>
    </r>
    <r>
      <rPr>
        <sz val="11"/>
        <color theme="1"/>
        <rFont val="Noto Sans CJK SC"/>
        <family val="2"/>
      </rPr>
      <t xml:space="preserve">、單棟分期皆屬實。但頁面總覽標「</t>
    </r>
    <r>
      <rPr>
        <sz val="11"/>
        <color theme="1"/>
        <rFont val="Calibri"/>
        <family val="2"/>
        <charset val="1"/>
      </rPr>
      <t xml:space="preserve">MW IT PLANNED</t>
    </r>
    <r>
      <rPr>
        <sz val="11"/>
        <color theme="1"/>
        <rFont val="Noto Sans CJK SC"/>
        <family val="2"/>
      </rPr>
      <t xml:space="preserve">」，且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模組含 </t>
    </r>
    <r>
      <rPr>
        <sz val="11"/>
        <color theme="1"/>
        <rFont val="Calibri"/>
        <family val="2"/>
        <charset val="1"/>
      </rPr>
      <t xml:space="preserve">8MW IT </t>
    </r>
    <r>
      <rPr>
        <sz val="11"/>
        <color theme="1"/>
        <rFont val="Noto Sans CJK SC"/>
        <family val="2"/>
      </rPr>
      <t xml:space="preserve">機房，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較像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而非未說明。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日期原文無，僅見 </t>
    </r>
    <r>
      <rPr>
        <sz val="11"/>
        <color theme="1"/>
        <rFont val="Calibri"/>
        <family val="2"/>
        <charset val="1"/>
      </rPr>
      <t xml:space="preserve">© 2026</t>
    </r>
    <r>
      <rPr>
        <sz val="11"/>
        <color theme="1"/>
        <rFont val="Noto Sans CJK SC"/>
        <family val="2"/>
      </rPr>
      <t xml:space="preserve">。</t>
    </r>
  </si>
  <si>
    <t xml:space="preserve">https://www.hscaledc.com/data-centres/italy-milan/</t>
  </si>
  <si>
    <t xml:space="preserve">T#81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</si>
  <si>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</si>
  <si>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、三棟、</t>
    </r>
    <r>
      <rPr>
        <sz val="11"/>
        <color theme="1"/>
        <rFont val="Calibri"/>
        <family val="2"/>
        <charset val="1"/>
      </rPr>
      <t xml:space="preserve">2028 Q3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6/5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6/6</t>
    </r>
    <r>
      <rPr>
        <sz val="11"/>
        <color theme="1"/>
        <rFont val="Noto Sans CJK SC"/>
        <family val="2"/>
      </rPr>
      <t xml:space="preserve">。來源是媒體轉述，標「公司本人」稍偏。官網 </t>
    </r>
    <r>
      <rPr>
        <sz val="11"/>
        <color theme="1"/>
        <rFont val="Calibri"/>
        <family val="2"/>
        <charset val="1"/>
      </rPr>
      <t xml:space="preserve">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180MVA</t>
    </r>
    <r>
      <rPr>
        <sz val="11"/>
        <color theme="1"/>
        <rFont val="Noto Sans CJK SC"/>
        <family val="2"/>
      </rPr>
      <t xml:space="preserve">、東米蘭等說法不在此文。</t>
    </r>
  </si>
  <si>
    <t xml:space="preserve">https://datacentre.me/newsletter/hscale-acquires-second-milan-campus-reaches-250mw-capacity/</t>
  </si>
  <si>
    <t xml:space="preserve">T#82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</si>
  <si>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｜全園區｜簽約</t>
    </r>
  </si>
  <si>
    <t xml:space="preserve">2026-05-29</t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</si>
  <si>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屬實。但原文日期為</t>
    </r>
    <r>
      <rPr>
        <sz val="11"/>
        <color theme="1"/>
        <rFont val="Calibri"/>
        <family val="2"/>
        <charset val="1"/>
      </rPr>
      <t xml:space="preserve">5/28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5/29</t>
    </r>
    <r>
      <rPr>
        <sz val="11"/>
        <color theme="1"/>
        <rFont val="Noto Sans CJK SC"/>
        <family val="2"/>
      </rPr>
      <t xml:space="preserve">。原文只說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48+120MW</t>
    </r>
    <r>
      <rPr>
        <sz val="11"/>
        <color theme="1"/>
        <rFont val="Noto Sans CJK SC"/>
        <family val="2"/>
      </rPr>
      <t xml:space="preserve">分期與</t>
    </r>
    <r>
      <rPr>
        <sz val="11"/>
        <color theme="1"/>
        <rFont val="Calibri"/>
        <family val="2"/>
        <charset val="1"/>
      </rPr>
      <t xml:space="preserve">MXP1/MXP2</t>
    </r>
    <r>
      <rPr>
        <sz val="11"/>
        <color theme="1"/>
        <rFont val="Noto Sans CJK SC"/>
        <family val="2"/>
      </rPr>
      <t xml:space="preserve">名稱本文找不到，可能來自他處。</t>
    </r>
  </si>
  <si>
    <t xml:space="preserve">https://datacentrereview.com/2026/05/hscale-commits-e2-billion-to-milan-data-centre-campuses/</t>
  </si>
  <si>
    <t xml:space="preserve">T#83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</si>
  <si>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｜第一期（已核准，現行建設階段）｜在建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</si>
  <si>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2008 </t>
    </r>
    <r>
      <rPr>
        <sz val="11"/>
        <color theme="1"/>
        <rFont val="Noto Sans CJK SC"/>
        <family val="2"/>
      </rPr>
      <t xml:space="preserve">購地、退還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公頃屬實。但「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」、「施工延誤」及 </t>
    </r>
    <r>
      <rPr>
        <sz val="11"/>
        <color theme="1"/>
        <rFont val="Calibri"/>
        <family val="2"/>
        <charset val="1"/>
      </rPr>
      <t xml:space="preserve">E-Control 150/500 MW </t>
    </r>
    <r>
      <rPr>
        <sz val="11"/>
        <color theme="1"/>
        <rFont val="Noto Sans CJK SC"/>
        <family val="2"/>
      </rPr>
      <t xml:space="preserve">兩階段，原文均找不到。原文僅稱未履行建設義務；動工也早於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月儀式。</t>
    </r>
  </si>
  <si>
    <t xml:space="preserve">https://ooe.orf.at/stories/3351272/</t>
  </si>
  <si>
    <t xml:space="preserve">T#84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</si>
  <si>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｜二期／完整</t>
    </r>
    <r>
      <rPr>
        <sz val="11"/>
        <color theme="1"/>
        <rFont val="Calibri"/>
        <family val="2"/>
        <charset val="1"/>
      </rPr>
      <t xml:space="preserve">build-out</t>
    </r>
    <r>
      <rPr>
        <sz val="11"/>
        <color theme="1"/>
        <rFont val="Noto Sans CJK SC"/>
        <family val="2"/>
      </rPr>
      <t xml:space="preserve">（待審）｜規劃</t>
    </r>
  </si>
  <si>
    <r>
      <rPr>
        <sz val="11"/>
        <color theme="1"/>
        <rFont val="Calibri"/>
        <family val="2"/>
        <charset val="1"/>
      </rPr>
      <t xml:space="preserve">150/500 MW </t>
    </r>
    <r>
      <rPr>
        <sz val="11"/>
        <color theme="1"/>
        <rFont val="Noto Sans CJK SC"/>
        <family val="2"/>
      </rPr>
      <t xml:space="preserve">兩階段電網接入屬實，但這是 </t>
    </r>
    <r>
      <rPr>
        <sz val="11"/>
        <color theme="1"/>
        <rFont val="Calibri"/>
        <family val="2"/>
        <charset val="1"/>
      </rPr>
      <t xml:space="preserve">E-Control </t>
    </r>
    <r>
      <rPr>
        <sz val="11"/>
        <color theme="1"/>
        <rFont val="Noto Sans CJK SC"/>
        <family val="2"/>
      </rPr>
      <t xml:space="preserve">對電網接入容量的說法，非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規劃的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容量。原文未提「待主管機關決定」及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否認 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或轉述。</t>
    </r>
  </si>
  <si>
    <t xml:space="preserve">https://www.energynewsmagazine.at/2026/07/20/google-rechenzentrum-in-kronstorf-ist-laut-e-control-fuers-stromnetz-verkraftbar/</t>
  </si>
  <si>
    <t xml:space="preserve">T#85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</si>
  <si>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｜第一期：</t>
    </r>
    <r>
      <rPr>
        <sz val="11"/>
        <color theme="1"/>
        <rFont val="Calibri"/>
        <family val="2"/>
        <charset val="1"/>
      </rPr>
      <t xml:space="preserve">Azure Poland Central </t>
    </r>
    <r>
      <rPr>
        <sz val="11"/>
        <color theme="1"/>
        <rFont val="Noto Sans CJK SC"/>
        <family val="2"/>
      </rPr>
      <t xml:space="preserve">區域（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個園區）｜上線</t>
    </r>
  </si>
  <si>
    <t xml:space="preserve">2021-09-17</t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</si>
  <si>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座、</t>
    </r>
    <r>
      <rPr>
        <sz val="11"/>
        <color theme="1"/>
        <rFont val="Calibri"/>
        <family val="2"/>
        <charset val="1"/>
      </rPr>
      <t xml:space="preserve">25 km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2021-09-17 </t>
    </r>
    <r>
      <rPr>
        <sz val="11"/>
        <color theme="1"/>
        <rFont val="Noto Sans CJK SC"/>
        <family val="2"/>
      </rPr>
      <t xml:space="preserve">皆符；原文未載明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出處，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屬推測。原文稱未揭露啟用時程，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並非出自此文。</t>
    </r>
  </si>
  <si>
    <t xml:space="preserve">https://itwiz.pl/budowa-centrow-danych-microsoft-w-polsce-zgodnie-z-planem/</t>
  </si>
  <si>
    <t xml:space="preserve">T#86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</si>
  <si>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｜第二期：</t>
    </r>
    <r>
      <rPr>
        <sz val="11"/>
        <color theme="1"/>
        <rFont val="Calibri"/>
        <family val="2"/>
        <charset val="1"/>
      </rPr>
      <t xml:space="preserve">2025–2026 </t>
    </r>
    <r>
      <rPr>
        <sz val="11"/>
        <color theme="1"/>
        <rFont val="Noto Sans CJK SC"/>
        <family val="2"/>
      </rPr>
      <t xml:space="preserve">年雲端與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擴建｜在建</t>
    </r>
  </si>
  <si>
    <t xml:space="preserve">2025-02-17</t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</si>
  <si>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月底前投資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，與引述一致。但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寫「在建」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卻無數值，且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億美元的換算原文沒有；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與欄位設定略偏。</t>
    </r>
  </si>
  <si>
    <t xml:space="preserve">https://news.microsoft.com/pl-pl/2025/02/17/microsoft-oglasza-inwestycje-28-mld-zl-w-infrastrukture-chmurowa-sztuczna-inteligencje-umiejetnosci-oraz-cyberbezpieczenstwo-w-polsce/</t>
  </si>
  <si>
    <t xml:space="preserve">T#87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</si>
  <si>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｜既有園區（</t>
    </r>
    <r>
      <rPr>
        <sz val="11"/>
        <color theme="1"/>
        <rFont val="Calibri"/>
        <family val="2"/>
        <charset val="1"/>
      </rPr>
      <t xml:space="preserve">2011 </t>
    </r>
    <r>
      <rPr>
        <sz val="11"/>
        <color theme="1"/>
        <rFont val="Noto Sans CJK SC"/>
        <family val="2"/>
      </rPr>
      <t xml:space="preserve">年啟用，歷經多次擴建）｜上線</t>
    </r>
  </si>
  <si>
    <r>
      <rPr>
        <sz val="11"/>
        <color theme="1"/>
        <rFont val="Noto Sans CJK SC"/>
        <family val="2"/>
      </rPr>
      <t xml:space="preserve">原文未公布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，此點相符。但「</t>
    </r>
    <r>
      <rPr>
        <sz val="11"/>
        <color theme="1"/>
        <rFont val="Calibri"/>
        <family val="2"/>
        <charset val="1"/>
      </rPr>
      <t xml:space="preserve">2011-09 </t>
    </r>
    <r>
      <rPr>
        <sz val="11"/>
        <color theme="1"/>
        <rFont val="Noto Sans CJK SC"/>
        <family val="2"/>
      </rPr>
      <t xml:space="preserve">啟用」與「多次擴建」不在原文，原文只提 </t>
    </r>
    <r>
      <rPr>
        <sz val="11"/>
        <color theme="1"/>
        <rFont val="Calibri"/>
        <family val="2"/>
        <charset val="1"/>
      </rPr>
      <t xml:space="preserve">2009 </t>
    </r>
    <r>
      <rPr>
        <sz val="11"/>
        <color theme="1"/>
        <rFont val="Noto Sans CJK SC"/>
        <family val="2"/>
      </rPr>
      <t xml:space="preserve">年購入舊紙廠。</t>
    </r>
  </si>
  <si>
    <t xml:space="preserve">https://www.googlecloudpresscorner.com/2026-09-09-Google-Deepens-Commitment-to-Finland-with-Two-Year-EUR13-Billion-investment-in-AI-Infrastructure</t>
  </si>
  <si>
    <t xml:space="preserve">T#88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</si>
  <si>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｜新建資料中心／擴建（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投資週期）｜在建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</si>
  <si>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與分配金額，此點相符。但「區域主管」說法、</t>
    </r>
    <r>
      <rPr>
        <sz val="11"/>
        <color theme="1"/>
        <rFont val="Calibri"/>
        <family val="2"/>
        <charset val="1"/>
      </rPr>
      <t xml:space="preserve">56.4 </t>
    </r>
    <r>
      <rPr>
        <sz val="11"/>
        <color theme="1"/>
        <rFont val="Noto Sans CJK SC"/>
        <family val="2"/>
      </rPr>
      <t xml:space="preserve">公頃地、都市計畫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春均找不到；原文發言者為 </t>
    </r>
    <r>
      <rPr>
        <sz val="11"/>
        <color theme="1"/>
        <rFont val="Calibri"/>
        <family val="2"/>
        <charset val="1"/>
      </rPr>
      <t xml:space="preserve">Ruth Porat</t>
    </r>
    <r>
      <rPr>
        <sz val="11"/>
        <color theme="1"/>
        <rFont val="Noto Sans CJK SC"/>
        <family val="2"/>
      </rPr>
      <t xml:space="preserve">。</t>
    </r>
  </si>
  <si>
    <t xml:space="preserve">T#89</t>
  </si>
  <si>
    <t xml:space="preserve">atNorth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</si>
  <si>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</si>
  <si>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430MW </t>
    </r>
    <r>
      <rPr>
        <sz val="11"/>
        <color theme="1"/>
        <rFont val="Noto Sans CJK SC"/>
        <family val="2"/>
      </rPr>
      <t xml:space="preserve">全園區規劃、日期 </t>
    </r>
    <r>
      <rPr>
        <sz val="11"/>
        <color theme="1"/>
        <rFont val="Calibri"/>
        <family val="2"/>
        <charset val="1"/>
      </rPr>
      <t xml:space="preserve">2026-07-21 </t>
    </r>
    <r>
      <rPr>
        <sz val="11"/>
        <color theme="1"/>
        <rFont val="Noto Sans CJK SC"/>
        <family val="2"/>
      </rPr>
      <t xml:space="preserve">皆與原文一致；來源為 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新聞稿，標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atNorth </t>
    </r>
    <r>
      <rPr>
        <sz val="11"/>
        <color theme="1"/>
        <rFont val="Noto Sans CJK SC"/>
        <family val="2"/>
      </rPr>
      <t xml:space="preserve">官網同數字」及 </t>
    </r>
    <r>
      <rPr>
        <sz val="11"/>
        <color theme="1"/>
        <rFont val="Calibri"/>
        <family val="2"/>
        <charset val="1"/>
      </rPr>
      <t xml:space="preserve">Ocolo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datacenters.com </t>
    </r>
    <r>
      <rPr>
        <sz val="11"/>
        <color theme="1"/>
        <rFont val="Noto Sans CJK SC"/>
        <family val="2"/>
      </rPr>
      <t xml:space="preserve">數字不在此原文，但不影響本列數值。</t>
    </r>
  </si>
  <si>
    <t xml:space="preserve">https://www.arctictoday.com/%F0%9F%87%AB%F0%9F%87%AE-yit-and-atnorth-agree-on-construction-of-a-data-center-in-kouvola-value-for-yit-approximately-eur-300-million/</t>
  </si>
  <si>
    <t xml:space="preserve">T#90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</si>
  <si>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Ummeljoki </t>
    </r>
    <r>
      <rPr>
        <sz val="11"/>
        <color theme="1"/>
        <rFont val="Noto Sans CJK SC"/>
        <family val="2"/>
      </rPr>
      <t xml:space="preserve">首棟）｜在建</t>
    </r>
  </si>
  <si>
    <t xml:space="preserve">2026-02-09</t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</si>
  <si>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年公告的初期容量，有出現。但原文沒有「原定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」，官網為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上半年。「</t>
    </r>
    <r>
      <rPr>
        <sz val="11"/>
        <color theme="1"/>
        <rFont val="Calibri"/>
        <family val="2"/>
        <charset val="1"/>
      </rPr>
      <t xml:space="preserve">Yle 2026-03</t>
    </r>
    <r>
      <rPr>
        <sz val="11"/>
        <color theme="1"/>
        <rFont val="Noto Sans CJK SC"/>
        <family val="2"/>
      </rPr>
      <t xml:space="preserve">」的說法也不在這篇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月文章中。</t>
    </r>
  </si>
  <si>
    <t xml:space="preserve">https://www.datacenterdynamics.com/en/news/atnorth-files-to-expand-planned-data-center-campus-in-kouvola-finland/</t>
  </si>
  <si>
    <t xml:space="preserve">T#91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</si>
  <si>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承建新資料中心（</t>
    </r>
    <r>
      <rPr>
        <sz val="11"/>
        <color theme="1"/>
        <rFont val="Calibri"/>
        <family val="2"/>
        <charset val="1"/>
      </rPr>
      <t xml:space="preserve">Myllykoski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</si>
  <si>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年底完工與原文一致；原文確實未揭露此期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留空合理。</t>
    </r>
  </si>
  <si>
    <t xml:space="preserve">T#92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</si>
  <si>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Peab </t>
    </r>
    <r>
      <rPr>
        <sz val="11"/>
        <color theme="1"/>
        <rFont val="Noto Sans CJK SC"/>
        <family val="2"/>
      </rPr>
      <t xml:space="preserve">承建設施（疑為 </t>
    </r>
    <r>
      <rPr>
        <sz val="11"/>
        <color theme="1"/>
        <rFont val="Calibri"/>
        <family val="2"/>
        <charset val="1"/>
      </rPr>
      <t xml:space="preserve">FIN04A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</si>
  <si>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Peab 1.3 </t>
    </r>
    <r>
      <rPr>
        <sz val="11"/>
        <color theme="1"/>
        <rFont val="Noto Sans CJK SC"/>
        <family val="2"/>
      </rPr>
      <t xml:space="preserve">億歐元合約、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夏完工、原定 </t>
    </r>
    <r>
      <rPr>
        <sz val="11"/>
        <color theme="1"/>
        <rFont val="Calibri"/>
        <family val="2"/>
        <charset val="1"/>
      </rPr>
      <t xml:space="preserve">2025 Q2 </t>
    </r>
    <r>
      <rPr>
        <sz val="11"/>
        <color theme="1"/>
        <rFont val="Noto Sans CJK SC"/>
        <family val="2"/>
      </rPr>
      <t xml:space="preserve">均屬實。但原文無「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Noto Sans CJK SC"/>
        <family val="2"/>
      </rPr>
      <t xml:space="preserve">天前」，</t>
    </r>
    <r>
      <rPr>
        <sz val="11"/>
        <color theme="1"/>
        <rFont val="Calibri"/>
        <family val="2"/>
        <charset val="1"/>
      </rPr>
      <t xml:space="preserve">as_of 2026-07-28 </t>
    </r>
    <r>
      <rPr>
        <sz val="11"/>
        <color theme="1"/>
        <rFont val="Noto Sans CJK SC"/>
        <family val="2"/>
      </rPr>
      <t xml:space="preserve">為推估，且可能早於 </t>
    </r>
    <r>
      <rPr>
        <sz val="11"/>
        <color theme="1"/>
        <rFont val="Calibri"/>
        <family val="2"/>
        <charset val="1"/>
      </rPr>
      <t xml:space="preserve">7/6 </t>
    </r>
    <r>
      <rPr>
        <sz val="11"/>
        <color theme="1"/>
        <rFont val="Noto Sans CJK SC"/>
        <family val="2"/>
      </rPr>
      <t xml:space="preserve">決定日，不可靠。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未明確。</t>
    </r>
  </si>
  <si>
    <t xml:space="preserve">https://newprojectmedia.com/finland-atnorth-secures-vital-power-corridor-for-430-mw-kouvola-data-centre-project-in-myllykoski/</t>
  </si>
  <si>
    <t xml:space="preserve">T#93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</si>
  <si>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</si>
  <si>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</t>
    </r>
    <r>
      <rPr>
        <sz val="11"/>
        <color theme="1"/>
        <rFont val="Noto Sans CJK SC"/>
        <family val="2"/>
      </rPr>
      <t xml:space="preserve">與分期開發屬實；但原文無「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完工」，也未提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初期公告。</t>
    </r>
  </si>
  <si>
    <t xml:space="preserve">https://www.atnorth.com/atnorth-i-varde/</t>
  </si>
  <si>
    <t xml:space="preserve">T#94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</si>
  <si>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</si>
  <si>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通過皆屬實；但「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完工」指溫室第一期，非資料中心。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年計畫與延後之說原文無。</t>
    </r>
  </si>
  <si>
    <t xml:space="preserve">T#95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</si>
  <si>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</si>
  <si>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Hamre/Långsele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SWE04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或設施均屬實，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首次公告初期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」不在此原文，需另有來源。</t>
    </r>
  </si>
  <si>
    <t xml:space="preserve">https://www.atnorth.com/news/new-300mw-mega-site-in-solleftea-sweden/</t>
  </si>
  <si>
    <t xml:space="preserve">T#96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</si>
  <si>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etapp 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電網連接）｜簽約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</si>
  <si>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電網連接合約、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秋季投運皆屬實。但來源是 </t>
    </r>
    <r>
      <rPr>
        <sz val="11"/>
        <color theme="1"/>
        <rFont val="Calibri"/>
        <family val="2"/>
        <charset val="1"/>
      </rPr>
      <t xml:space="preserve">Sollefteå </t>
    </r>
    <r>
      <rPr>
        <sz val="11"/>
        <color theme="1"/>
        <rFont val="Noto Sans CJK SC"/>
        <family val="2"/>
      </rPr>
      <t xml:space="preserve">市府網站，不是公司本人，標題有誤。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月公告的比較在原文找不到。</t>
    </r>
  </si>
  <si>
    <t xml:space="preserve">https://www.solleftea.se/Kommun--politik/kommun--politik-nyheter/kommun--politik/2026-05-28-atnorths-etablering-i-langsele-tar-nasta-steg-nar-e.on-ansluter-200-mw</t>
  </si>
  <si>
    <t xml:space="preserve">T#97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</si>
  <si>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｜初期階段｜規劃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</si>
  <si>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年供電、</t>
    </r>
    <r>
      <rPr>
        <sz val="11"/>
        <color theme="1"/>
        <rFont val="Calibri"/>
        <family val="2"/>
        <charset val="1"/>
      </rPr>
      <t xml:space="preserve">2026-06-03 </t>
    </r>
    <r>
      <rPr>
        <sz val="11"/>
        <color theme="1"/>
        <rFont val="Noto Sans CJK SC"/>
        <family val="2"/>
      </rPr>
      <t xml:space="preserve">皆與原文一致；原文未說明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或設施口徑，標「未說明」合理；公司自述，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</si>
  <si>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https://www.atnorth.com/news/atnorth-expands-to-norway-with-new-mega-site-in-haugaland/</t>
  </si>
  <si>
    <t xml:space="preserve">T#98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</si>
  <si>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</si>
  <si>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Fagne </t>
    </r>
    <r>
      <rPr>
        <sz val="11"/>
        <color theme="1"/>
        <rFont val="Noto Sans CJK SC"/>
        <family val="2"/>
      </rPr>
      <t xml:space="preserve">兩座變電站屬實。但原文只寫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，沒有「電力容量」字樣，此說法屬推論；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為總量，與表列的不含 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一致。</t>
    </r>
  </si>
  <si>
    <t xml:space="preserve">T#99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</si>
  <si>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</si>
  <si>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</si>
  <si>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公告、未見施工許可皆屬實；但本文主題是</t>
    </r>
    <r>
      <rPr>
        <sz val="11"/>
        <color theme="1"/>
        <rFont val="Calibri"/>
        <family val="2"/>
        <charset val="1"/>
      </rPr>
      <t xml:space="preserve">Asturias 120MW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僅附帶提及。原文無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目標。日期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為本文日期，非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公告日。</t>
    </r>
  </si>
  <si>
    <t xml:space="preserve">https://www.conectaindustria.es/innovacion/salas-albergara-campus-centros-datos-que-preve-movilizar-1226-millones/20260804085414015052.html</t>
  </si>
  <si>
    <t xml:space="preserve">T#100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</si>
  <si>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｜第一期｜規劃</t>
    </r>
  </si>
  <si>
    <t xml:space="preserve">2026-02-04</t>
  </si>
  <si>
    <r>
      <rPr>
        <sz val="11"/>
        <color theme="1"/>
        <rFont val="Noto Sans CJK SC"/>
        <family val="2"/>
      </rPr>
      <t xml:space="preserve">第一期逾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MITECO</t>
    </r>
    <r>
      <rPr>
        <sz val="11"/>
        <color theme="1"/>
        <rFont val="Noto Sans CJK SC"/>
        <family val="2"/>
      </rPr>
      <t xml:space="preserve">審查中且因他社搶電力，皆屬實。但原文無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上線、分三期、居民組織反對的內容。</t>
    </r>
  </si>
  <si>
    <t xml:space="preserve">https://www.theia.global/article/digital-valleys-data-center-project-in-picassent-faces-bureaucratic-delays-for-power-approval-b70fe3</t>
  </si>
  <si>
    <t xml:space="preserve">T#101</t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</si>
  <si>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</si>
  <si>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EdgeMode GDC Alberche Campus</t>
    </r>
    <r>
      <rPr>
        <sz val="11"/>
        <color theme="1"/>
        <rFont val="Noto Sans CJK SC"/>
        <family val="2"/>
      </rPr>
      <t xml:space="preserve">｜全園區｜規劃</t>
    </r>
  </si>
  <si>
    <t xml:space="preserve">18 MW</t>
  </si>
  <si>
    <r>
      <rPr>
        <sz val="11"/>
        <color theme="1"/>
        <rFont val="Calibri"/>
        <family val="2"/>
        <charset val="1"/>
      </rPr>
      <t xml:space="preserve">18 MW</t>
    </r>
    <r>
      <rPr>
        <sz val="11"/>
        <color theme="1"/>
        <rFont val="Noto Sans CJK SC"/>
        <family val="2"/>
      </rPr>
      <t xml:space="preserve">、未註明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／設施、無日期、無客戶與上線時程皆與原文相符。但原文未提 </t>
    </r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、收購、</t>
    </r>
    <r>
      <rPr>
        <sz val="11"/>
        <color theme="1"/>
        <rFont val="Calibri"/>
        <family val="2"/>
        <charset val="1"/>
      </rPr>
      <t xml:space="preserve">Toledo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</t>
    </r>
    <r>
      <rPr>
        <sz val="11"/>
        <color theme="1"/>
        <rFont val="Noto Sans CJK SC"/>
        <family val="2"/>
      </rPr>
      <t xml:space="preserve">或全園區，這些要靠其他來源佐證。</t>
    </r>
  </si>
  <si>
    <t xml:space="preserve">https://blackberryaif.com/iberdata-hub-expands-its-portfolio-a-benchmark-infrastructure-for-iberias-technological-future/</t>
  </si>
  <si>
    <t xml:space="preserve">T#102</t>
  </si>
  <si>
    <t xml:space="preserve">AWS (Amazon Data Services Spain S.L.)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</si>
  <si>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</si>
  <si>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2026-10-03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</si>
  <si>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期、十年、</t>
    </r>
    <r>
      <rPr>
        <sz val="11"/>
        <color theme="1"/>
        <rFont val="Calibri"/>
        <family val="2"/>
        <charset val="1"/>
      </rPr>
      <t xml:space="preserve">10,800 GWh</t>
    </r>
    <r>
      <rPr>
        <sz val="11"/>
        <color theme="1"/>
        <rFont val="Noto Sans CJK SC"/>
        <family val="2"/>
      </rPr>
      <t xml:space="preserve">屬實。但原文無</t>
    </r>
    <r>
      <rPr>
        <sz val="11"/>
        <color theme="1"/>
        <rFont val="Calibri"/>
        <family val="2"/>
        <charset val="1"/>
      </rPr>
      <t xml:space="preserve">2033</t>
    </r>
    <r>
      <rPr>
        <sz val="11"/>
        <color theme="1"/>
        <rFont val="Noto Sans CJK SC"/>
        <family val="2"/>
      </rPr>
      <t xml:space="preserve">完工說法，也未說電力尚未確保；且為記者引述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文件，不宜標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</si>
  <si>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https://www.moncloa.com/2026/10/03/amazon-centros-datos-aragon-iae-madrid-3442033/</t>
  </si>
  <si>
    <t xml:space="preserve">T#103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</si>
  <si>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｜既有三座營運中資料中心（</t>
    </r>
    <r>
      <rPr>
        <sz val="11"/>
        <color theme="1"/>
        <rFont val="Calibri"/>
        <family val="2"/>
        <charset val="1"/>
      </rPr>
      <t xml:space="preserve">Villanueva de Gállego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Huesca Walqa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El Burgo de Ebro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</si>
  <si>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三地已運轉屬實，原文無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2022-11</t>
    </r>
    <r>
      <rPr>
        <sz val="11"/>
        <color theme="1"/>
        <rFont val="Noto Sans CJK SC"/>
        <family val="2"/>
      </rPr>
      <t xml:space="preserve">上線為</t>
    </r>
    <r>
      <rPr>
        <sz val="11"/>
        <color theme="1"/>
        <rFont val="Calibri"/>
        <family val="2"/>
        <charset val="1"/>
      </rPr>
      <t xml:space="preserve">InfoQ</t>
    </r>
    <r>
      <rPr>
        <sz val="11"/>
        <color theme="1"/>
        <rFont val="Noto Sans CJK SC"/>
        <family val="2"/>
      </rPr>
      <t xml:space="preserve">說法，原文無此資訊，且轉引內容不在本來源。</t>
    </r>
  </si>
  <si>
    <t xml:space="preserve">https://www.elespanol.com/aragon/economia/20260302/confirmado-amazon-duplica-apuesta-aragon-invertira-millones-euros-centros-datos/1003744151777_0.html</t>
  </si>
  <si>
    <t xml:space="preserve">T#104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</si>
  <si>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Villanueva de Gállego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Villanueva de Gállego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Walqa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期擴建｜在建</t>
    </r>
  </si>
  <si>
    <r>
      <rPr>
        <sz val="11"/>
        <color theme="1"/>
        <rFont val="Noto Sans CJK SC"/>
        <family val="2"/>
      </rPr>
      <t xml:space="preserve">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數字，核准、九個月開工、四年完工屬實。但 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「在建」不精確：原文是剛核准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，尚未開工建築。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與標題「第三方機構」不一致，來源為記者報導；另第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期擴建說法原文僅稱首次大擴建。</t>
    </r>
  </si>
  <si>
    <t xml:space="preserve">https://www.elespanol.com/aragon/economia/20260505/amazon-web-services-construidos-centros-datos-villanueva-gallego-huesca-anos/1003744233563_0.html</t>
  </si>
  <si>
    <t xml:space="preserve">T#105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</si>
  <si>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Burgo de Ebro </t>
    </r>
    <r>
      <rPr>
        <sz val="11"/>
        <color theme="1"/>
        <rFont val="Noto Sans CJK SC"/>
        <family val="2"/>
      </rPr>
      <t xml:space="preserve">新園區（</t>
    </r>
    <r>
      <rPr>
        <sz val="11"/>
        <color theme="1"/>
        <rFont val="Calibri"/>
        <family val="2"/>
        <charset val="1"/>
      </rPr>
      <t xml:space="preserve">El Espartal III</t>
    </r>
    <r>
      <rPr>
        <sz val="11"/>
        <color theme="1"/>
        <rFont val="Noto Sans CJK SC"/>
        <family val="2"/>
      </rPr>
      <t xml:space="preserve">）｜規劃</t>
    </r>
  </si>
  <si>
    <t xml:space="preserve">https://www.eleconomista.es/tecnologia/noticias/13959900/06/26/el-nuevo-centro-de-datos-de-amazon-web-services-en-zaragoza-empleara-a-150-personas.html</t>
  </si>
  <si>
    <t xml:space="preserve">T#106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</si>
  <si>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Zaragoza La Cartuja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Empresarium </t>
    </r>
    <r>
      <rPr>
        <sz val="11"/>
        <color theme="1"/>
        <rFont val="Noto Sans CJK SC"/>
        <family val="2"/>
      </rPr>
      <t xml:space="preserve">園區｜規劃</t>
    </r>
  </si>
  <si>
    <t xml:space="preserve">850 MW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</si>
  <si>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、非持續用電皆屬實，口徑未說明亦合。但原文僅提 </t>
    </r>
    <r>
      <rPr>
        <sz val="11"/>
        <color theme="1"/>
        <rFont val="Calibri"/>
        <family val="2"/>
        <charset val="1"/>
      </rPr>
      <t xml:space="preserve">La Cartuja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Empresarium</t>
    </r>
    <r>
      <rPr>
        <sz val="11"/>
        <color theme="1"/>
        <rFont val="Noto Sans CJK SC"/>
        <family val="2"/>
      </rPr>
      <t xml:space="preserve">；且為記者轉述文件，標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稍偏，宜標轉述。</t>
    </r>
  </si>
  <si>
    <t xml:space="preserve">https://www.datacenterdynamics.com/es/noticias/el-campus-de-amazon-en-zaragoza-demandar%C3%A1-hasta-850-mw-de-potencia-el%C3%A9ctrica/</t>
  </si>
  <si>
    <t xml:space="preserve">T#107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</si>
  <si>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</si>
  <si>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屬實，但原文未提</t>
    </r>
    <r>
      <rPr>
        <sz val="11"/>
        <color theme="1"/>
        <rFont val="Calibri"/>
        <family val="2"/>
        <charset val="1"/>
      </rPr>
      <t xml:space="preserve">Endesa</t>
    </r>
    <r>
      <rPr>
        <sz val="11"/>
        <color theme="1"/>
        <rFont val="Noto Sans CJK SC"/>
        <family val="2"/>
      </rPr>
      <t xml:space="preserve">電網與</t>
    </r>
    <r>
      <rPr>
        <sz val="11"/>
        <color theme="1"/>
        <rFont val="Calibri"/>
        <family val="2"/>
        <charset val="1"/>
      </rPr>
      <t xml:space="preserve">Híjar</t>
    </r>
    <r>
      <rPr>
        <sz val="11"/>
        <color theme="1"/>
        <rFont val="Noto Sans CJK SC"/>
        <family val="2"/>
      </rPr>
      <t xml:space="preserve">變電站；來源是記者敘述，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」與標題「記者推論」不一致，也不是確認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容量。</t>
    </r>
  </si>
  <si>
    <t xml:space="preserve">T#108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</si>
  <si>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（新址）｜規劃</t>
    </r>
  </si>
  <si>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新址與€</t>
    </r>
    <r>
      <rPr>
        <sz val="11"/>
        <color theme="1"/>
        <rFont val="Calibri"/>
        <family val="2"/>
        <charset val="1"/>
      </rPr>
      <t xml:space="preserve">337</t>
    </r>
    <r>
      <rPr>
        <sz val="11"/>
        <color theme="1"/>
        <rFont val="Noto Sans CJK SC"/>
        <family val="2"/>
      </rPr>
      <t xml:space="preserve">億總投資屬實，無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與時程亦符。但</t>
    </r>
    <r>
      <rPr>
        <sz val="11"/>
        <color theme="1"/>
        <rFont val="Calibri"/>
        <family val="2"/>
        <charset val="1"/>
      </rPr>
      <t xml:space="preserve">33,700</t>
    </r>
    <r>
      <rPr>
        <sz val="11"/>
        <color theme="1"/>
        <rFont val="Noto Sans CJK SC"/>
        <family val="2"/>
      </rPr>
      <t xml:space="preserve">是整個亞拉岡總額，非單一園區投資。</t>
    </r>
  </si>
  <si>
    <t xml:space="preserve">T#109</t>
  </si>
  <si>
    <t xml:space="preserve">Lefdal Mine Datacenter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</si>
  <si>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｜現有營運容量｜上線</t>
    </r>
  </si>
  <si>
    <t xml:space="preserve">37 MW</t>
  </si>
  <si>
    <r>
      <rPr>
        <sz val="11"/>
        <color theme="1"/>
        <rFont val="Calibri"/>
        <family val="2"/>
        <charset val="1"/>
      </rPr>
      <t xml:space="preserve">37MW </t>
    </r>
    <r>
      <rPr>
        <sz val="11"/>
        <color theme="1"/>
        <rFont val="Noto Sans CJK SC"/>
        <family val="2"/>
      </rPr>
      <t xml:space="preserve">營運容量、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、夏季完成皆屬實，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在原文找不到，且與「現有容量」欄位語意不符；「未查到完成確認」為本人補充。</t>
    </r>
  </si>
  <si>
    <t xml:space="preserve">https://www.3i-infrastructure.com/newsroom/press-releases/2026/3i-infrastructure-plc-invests-in-lefdal-mine-datacenter/</t>
  </si>
  <si>
    <t xml:space="preserve">T#110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</si>
  <si>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｜已簽約在建容量｜在建</t>
    </r>
  </si>
  <si>
    <t xml:space="preserve">43 MW</t>
  </si>
  <si>
    <r>
      <rPr>
        <sz val="11"/>
        <color theme="1"/>
        <rFont val="Calibri"/>
        <family val="2"/>
        <charset val="1"/>
      </rPr>
      <t xml:space="preserve">43MW </t>
    </r>
    <r>
      <rPr>
        <sz val="11"/>
        <color theme="1"/>
        <rFont val="Noto Sans CJK SC"/>
        <family val="2"/>
      </rPr>
      <t xml:space="preserve">已簽約在建、日期與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皆屬實；未揭露客戶與上線時點亦符。但「</t>
    </r>
    <r>
      <rPr>
        <sz val="11"/>
        <color theme="1"/>
        <rFont val="Calibri"/>
        <family val="2"/>
        <charset val="1"/>
      </rPr>
      <t xml:space="preserve">DCD 2026-09-29 </t>
    </r>
    <r>
      <rPr>
        <sz val="11"/>
        <color theme="1"/>
        <rFont val="Noto Sans CJK SC"/>
        <family val="2"/>
      </rPr>
      <t xml:space="preserve">沿用同一數字」不在此原文，屬其他來源。</t>
    </r>
  </si>
  <si>
    <t xml:space="preserve">T#111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</si>
  <si>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｜全園區（最終潛力）｜規劃</t>
    </r>
  </si>
  <si>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記者自述，非公司說法，標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電網由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增至 </t>
    </r>
    <r>
      <rPr>
        <sz val="11"/>
        <color theme="1"/>
        <rFont val="Calibri"/>
        <family val="2"/>
        <charset val="1"/>
      </rPr>
      <t xml:space="preserve">80MW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陳述，非明確公司說法。數值不受影響。</t>
    </r>
  </si>
  <si>
    <t xml:space="preserve">https://www.datacenterdynamics.com/en/news/3i-infrastructure-acquires-majority-stake-in-norways-lefdal-mine-datacenter/</t>
  </si>
  <si>
    <t xml:space="preserve">T#112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</si>
  <si>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LMD2 Sunnfjord </t>
    </r>
    <r>
      <rPr>
        <sz val="11"/>
        <color theme="1"/>
        <rFont val="Noto Sans CJK SC"/>
        <family val="2"/>
      </rPr>
      <t xml:space="preserve">第二園區｜規劃</t>
    </r>
  </si>
  <si>
    <r>
      <rPr>
        <sz val="11"/>
        <color theme="1"/>
        <rFont val="Noto Sans CJK SC"/>
        <family val="2"/>
      </rPr>
      <t xml:space="preserve">日期、地點、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英畝、約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億挪威克朗、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未揭露皆符合原文。但原文為記者轉述當地媒體，標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LMD2</t>
    </r>
    <r>
      <rPr>
        <sz val="11"/>
        <color theme="1"/>
        <rFont val="Noto Sans CJK SC"/>
        <family val="2"/>
      </rPr>
      <t xml:space="preserve">」名稱原文未見。「收購 </t>
    </r>
    <r>
      <rPr>
        <sz val="11"/>
        <color theme="1"/>
        <rFont val="Calibri"/>
        <family val="2"/>
        <charset val="1"/>
      </rPr>
      <t xml:space="preserve">Titan</t>
    </r>
    <r>
      <rPr>
        <sz val="11"/>
        <color theme="1"/>
        <rFont val="Noto Sans CJK SC"/>
        <family val="2"/>
      </rPr>
      <t xml:space="preserve">」屬實。</t>
    </r>
  </si>
  <si>
    <t xml:space="preserve">https://www.datacenterdynamics.com/en/news/lefdal-mine-acquires-data-center-development-site-in-norway/</t>
  </si>
  <si>
    <t xml:space="preserve">T#113</t>
  </si>
  <si>
    <t xml:space="preserve">AirTrunk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</si>
  <si>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｜全園區｜規劃</t>
    </r>
  </si>
  <si>
    <t xml:space="preserve">https://money.usnews.com/investing/news/articles/2026-10-07/blackstone-backed-airtrunk-to-invest-1-billion-in-japan-data-centre-campus</t>
  </si>
  <si>
    <t xml:space="preserve">T#114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</si>
  <si>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｜初期（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</si>
  <si>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月、超大規模錨定客戶皆屬實。但「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年原訂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年底開通」原文找不到，「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」原文只寫 </t>
    </r>
    <r>
      <rPr>
        <sz val="11"/>
        <color theme="1"/>
        <rFont val="Calibri"/>
        <family val="2"/>
        <charset val="1"/>
      </rPr>
      <t xml:space="preserve">first-phase</t>
    </r>
    <r>
      <rPr>
        <sz val="11"/>
        <color theme="1"/>
        <rFont val="Noto Sans CJK SC"/>
        <family val="2"/>
      </rPr>
      <t xml:space="preserve">，標題「記者推論」也不貼切。不影響數值。</t>
    </r>
  </si>
  <si>
    <t xml:space="preserve">https://constructionreviewonline.com/1b-airtrunk-tok1-data-center-green-loan-funds-ai-cooling-upgrade-in-inzai-japan/</t>
  </si>
  <si>
    <t xml:space="preserve">T#115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</si>
  <si>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｜在建</t>
    </r>
  </si>
  <si>
    <t xml:space="preserve">2023-06-30</t>
  </si>
  <si>
    <r>
      <rPr>
        <sz val="11"/>
        <color theme="1"/>
        <rFont val="Noto Sans CJK SC"/>
        <family val="2"/>
      </rPr>
      <t xml:space="preserve">原文為公司說法，</t>
    </r>
    <r>
      <rPr>
        <sz val="11"/>
        <color theme="1"/>
        <rFont val="Calibri"/>
        <family val="2"/>
        <charset val="1"/>
      </rPr>
      <t xml:space="preserve">55+MW</t>
    </r>
    <r>
      <rPr>
        <sz val="11"/>
        <color theme="1"/>
        <rFont val="Noto Sans CJK SC"/>
        <family val="2"/>
      </rPr>
      <t xml:space="preserve">、第三期、</t>
    </r>
    <r>
      <rPr>
        <sz val="11"/>
        <color theme="1"/>
        <rFont val="Calibri"/>
        <family val="2"/>
        <charset val="1"/>
      </rPr>
      <t xml:space="preserve">2023-06-30</t>
    </r>
    <r>
      <rPr>
        <sz val="11"/>
        <color theme="1"/>
        <rFont val="Noto Sans CJK SC"/>
        <family val="2"/>
      </rPr>
      <t xml:space="preserve">、客戶未具名、完工時程未公布皆吻合；基準未說明，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為利害關係人，合理。</t>
    </r>
  </si>
  <si>
    <t xml:space="preserve">https://www.datacenterdynamics.com/en/news/airtrunk-breaks-ground-on-tok1-campus-expansion-in-tokyo-japan/</t>
  </si>
  <si>
    <t xml:space="preserve">T#116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</si>
  <si>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｜在建</t>
    </r>
  </si>
  <si>
    <t xml:space="preserve">2025-06-19</t>
  </si>
  <si>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40+MW</t>
    </r>
    <r>
      <rPr>
        <sz val="11"/>
        <color theme="1"/>
        <rFont val="Noto Sans CJK SC"/>
        <family val="2"/>
      </rPr>
      <t xml:space="preserve">、發布日</t>
    </r>
    <r>
      <rPr>
        <sz val="11"/>
        <color theme="1"/>
        <rFont val="Calibri"/>
        <family val="2"/>
        <charset val="1"/>
      </rPr>
      <t xml:space="preserve">2025-06-19</t>
    </r>
    <r>
      <rPr>
        <sz val="11"/>
        <color theme="1"/>
        <rFont val="Noto Sans CJK SC"/>
        <family val="2"/>
      </rPr>
      <t xml:space="preserve">、未揭露完工時程與客戶皆屬實。但原文未稱「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」，也未提 </t>
    </r>
    <r>
      <rPr>
        <sz val="11"/>
        <color theme="1"/>
        <rFont val="Calibri"/>
        <family val="2"/>
        <charset val="1"/>
      </rPr>
      <t xml:space="preserve">Inzai</t>
    </r>
    <r>
      <rPr>
        <sz val="11"/>
        <color theme="1"/>
        <rFont val="Noto Sans CJK SC"/>
        <family val="2"/>
      </rPr>
      <t xml:space="preserve">；日期為發文日，非典禮日。</t>
    </r>
  </si>
  <si>
    <t xml:space="preserve">https://airtrunk.com/airtrunk-breaks-ground-on-40mw-phase-of-tok1-japans-largest-hyperscale-data-centre-campus/</t>
  </si>
  <si>
    <t xml:space="preserve">T#117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</si>
  <si>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｜新增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負載擴建（</t>
    </r>
    <r>
      <rPr>
        <sz val="11"/>
        <color theme="1"/>
        <rFont val="Calibri"/>
        <family val="2"/>
        <charset val="1"/>
      </rPr>
      <t xml:space="preserve">&gt;100MW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</si>
  <si>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100MW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負載，列值寫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略去「逾」；其餘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口徑、日期、公司自述、貸款金額皆一致。量級正確，但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應標為下限（</t>
    </r>
    <r>
      <rPr>
        <sz val="11"/>
        <color theme="1"/>
        <rFont val="Calibri"/>
        <family val="2"/>
        <charset val="1"/>
      </rPr>
      <t xml:space="preserve">&gt;100</t>
    </r>
    <r>
      <rPr>
        <sz val="11"/>
        <color theme="1"/>
        <rFont val="Noto Sans CJK SC"/>
        <family val="2"/>
      </rPr>
      <t xml:space="preserve">）。</t>
    </r>
  </si>
  <si>
    <t xml:space="preserve">https://airtrunk.com/airtrunk-secures-largest-financing-for-a-data-centre-in-japan-with-us1-2-billion-green-loan-for-its-flagship-tokyo-campus/</t>
  </si>
  <si>
    <t xml:space="preserve">T#118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</si>
  <si>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｜液冷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容量｜規劃</t>
    </r>
  </si>
  <si>
    <r>
      <rPr>
        <sz val="11"/>
        <color theme="1"/>
        <rFont val="Noto Sans CJK SC"/>
        <family val="2"/>
      </rPr>
      <t xml:space="preserve">原文提到 </t>
    </r>
    <r>
      <rPr>
        <sz val="11"/>
        <color theme="1"/>
        <rFont val="Calibri"/>
        <family val="2"/>
        <charset val="1"/>
      </rPr>
      <t xml:space="preserve">TOK1 </t>
    </r>
    <r>
      <rPr>
        <sz val="11"/>
        <color theme="1"/>
        <rFont val="Noto Sans CJK SC"/>
        <family val="2"/>
      </rPr>
      <t xml:space="preserve">完工後可達 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，且有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月首批液冷容量、</t>
    </r>
    <r>
      <rPr>
        <sz val="11"/>
        <color theme="1"/>
        <rFont val="Calibri"/>
        <family val="2"/>
        <charset val="1"/>
      </rPr>
      <t xml:space="preserve">USD10</t>
    </r>
    <r>
      <rPr>
        <sz val="11"/>
        <color theme="1"/>
        <rFont val="Noto Sans CJK SC"/>
        <family val="2"/>
      </rPr>
      <t xml:space="preserve">億貸款、多家客戶。證據列卻稱未提供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，與原文矛盾。此外，來源標題寫成「記者推論」，也不是原文標題；原文出處為 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與實際來源不完全相符。</t>
    </r>
  </si>
  <si>
    <t xml:space="preserve">https://www.capitalbrief.com/briefing/airtrunk-secures-14b-loan-to-deploy-liquid-cooling-at-tokyo-data-centre-81d2f011-ed7f-40d2-8ba3-fbe763bdd6fb/</t>
  </si>
  <si>
    <t xml:space="preserve">T#119</t>
  </si>
  <si>
    <t xml:space="preserve">EdgeConneX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</si>
  <si>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</si>
  <si>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Kagoya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Kyotanabe </t>
    </r>
    <r>
      <rPr>
        <sz val="11"/>
        <color theme="1"/>
        <rFont val="Noto Sans CJK SC"/>
        <family val="2"/>
      </rPr>
      <t xml:space="preserve">皆與原文一致；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利害關係人均合理。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RFS 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說法屬他源，不在本文核對範圍。</t>
    </r>
  </si>
  <si>
    <t xml:space="preserve">https://www.edgeconnex.com/news/press-releases/edgeconnex-commences-construction-of-200mw-ai-ready-hyperscale-campus-in-greater-osaka/</t>
  </si>
  <si>
    <t xml:space="preserve">T#120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</si>
  <si>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）｜第一期｜在建</t>
    </r>
  </si>
  <si>
    <t xml:space="preserve">28 MW</t>
  </si>
  <si>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、液冷、公司說法皆屬實。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2026-03-19</t>
    </r>
    <r>
      <rPr>
        <sz val="11"/>
        <color theme="1"/>
        <rFont val="Noto Sans CJK SC"/>
        <family val="2"/>
      </rPr>
      <t xml:space="preserve">，原文只說「本週」公布，未載 </t>
    </r>
    <r>
      <rPr>
        <sz val="11"/>
        <color theme="1"/>
        <rFont val="Calibri"/>
        <family val="2"/>
        <charset val="1"/>
      </rPr>
      <t xml:space="preserve">03-17</t>
    </r>
    <r>
      <rPr>
        <sz val="11"/>
        <color theme="1"/>
        <rFont val="Noto Sans CJK SC"/>
        <family val="2"/>
      </rPr>
      <t xml:space="preserve">。原文也沒有 </t>
    </r>
    <r>
      <rPr>
        <sz val="11"/>
        <color theme="1"/>
        <rFont val="Calibri"/>
        <family val="2"/>
        <charset val="1"/>
      </rPr>
      <t xml:space="preserve">2027 RFS </t>
    </r>
    <r>
      <rPr>
        <sz val="11"/>
        <color theme="1"/>
        <rFont val="Noto Sans CJK SC"/>
        <family val="2"/>
      </rPr>
      <t xml:space="preserve">的舊目標，只有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月首度宣布。</t>
    </r>
  </si>
  <si>
    <t xml:space="preserve">https://www.datacenterdynamics.com/en/news/edgeconnex-breaks-ground-on-osaka-data-center/</t>
  </si>
  <si>
    <t xml:space="preserve">T#121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</si>
  <si>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</t>
    </r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</si>
  <si>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｜全園區｜規劃</t>
    </r>
  </si>
  <si>
    <t xml:space="preserve">3100 MW</t>
  </si>
  <si>
    <t xml:space="preserve">2025-12-19</t>
  </si>
  <si>
    <r>
      <rPr>
        <sz val="11"/>
        <color theme="1"/>
        <rFont val="Calibri"/>
        <family val="2"/>
        <charset val="1"/>
      </rPr>
      <t xml:space="preserve">3.1GW</t>
    </r>
    <r>
      <rPr>
        <sz val="11"/>
        <color theme="1"/>
        <rFont val="Noto Sans CJK SC"/>
        <family val="2"/>
      </rPr>
      <t xml:space="preserve">、分期、未說明口徑、發布日皆與原文相符。但「報導稱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年內完成」不在此原文，屬他處報導，需另有來源。</t>
    </r>
  </si>
  <si>
    <t xml:space="preserve">https://www.prnewswire.com/apac/news-releases/nanto-city-and-gigastream-toyama-conclude-agreement-for-the-development-of-japans-largest-data-center-cluster-3-1gw-including-the-acquisition-of-phase-1-land-to-support-400mw-302646656.html</t>
  </si>
  <si>
    <t xml:space="preserve">T#122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</si>
  <si>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1-1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</si>
  <si>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13.1</t>
    </r>
    <r>
      <rPr>
        <sz val="11"/>
        <color theme="1"/>
        <rFont val="Noto Sans CJK SC"/>
        <family val="2"/>
      </rPr>
      <t xml:space="preserve">公頃、約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皆屬實。但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、受電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、起工式等為其他來源，不在本原文，另有來源支持。</t>
    </r>
  </si>
  <si>
    <t xml:space="preserve">T#123</t>
  </si>
  <si>
    <t xml:space="preserve">Goodman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</si>
  <si>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</si>
  <si>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年租約、超大規模客戶、</t>
    </r>
    <r>
      <rPr>
        <sz val="11"/>
        <color theme="1"/>
        <rFont val="Calibri"/>
        <family val="2"/>
        <charset val="1"/>
      </rPr>
      <t xml:space="preserve">TEPCO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年初均屬實。但「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」、舊資料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Rampart</t>
    </r>
    <r>
      <rPr>
        <sz val="11"/>
        <color theme="1"/>
        <rFont val="Noto Sans CJK SC"/>
        <family val="2"/>
      </rPr>
      <t xml:space="preserve">稱延遲等不在原文，屬第三方說法，須另有來源。</t>
    </r>
  </si>
  <si>
    <t xml:space="preserve">https://announcements.asx.com.au/asxpdf/20260818/pdf/072vtf4bby2kt7.pdf</t>
  </si>
  <si>
    <t xml:space="preserve">T#124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</si>
  <si>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</si>
  <si>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年購地皆屬實，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的說法不在原文，屬第三方補充，須另有來源。</t>
    </r>
  </si>
  <si>
    <t xml:space="preserve">T#125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</si>
  <si>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｜後續各期（第一期以外）｜規劃</t>
    </r>
  </si>
  <si>
    <t xml:space="preserve">950 MW</t>
  </si>
  <si>
    <r>
      <rPr>
        <sz val="11"/>
        <color theme="1"/>
        <rFont val="Calibri"/>
        <family val="2"/>
        <charset val="1"/>
      </rPr>
      <t xml:space="preserve">950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1000−50 </t>
    </r>
    <r>
      <rPr>
        <sz val="11"/>
        <color theme="1"/>
        <rFont val="Noto Sans CJK SC"/>
        <family val="2"/>
      </rPr>
      <t xml:space="preserve">屬實，原文明載。但文章日期為 </t>
    </r>
    <r>
      <rPr>
        <sz val="11"/>
        <color theme="1"/>
        <rFont val="Calibri"/>
        <family val="2"/>
        <charset val="1"/>
      </rPr>
      <t xml:space="preserve">18 Aug 2026</t>
    </r>
    <r>
      <rPr>
        <sz val="11"/>
        <color theme="1"/>
        <rFont val="Noto Sans CJK SC"/>
        <family val="2"/>
      </rPr>
      <t xml:space="preserve">，列中寫 </t>
    </r>
    <r>
      <rPr>
        <sz val="11"/>
        <color theme="1"/>
        <rFont val="Calibri"/>
        <family val="2"/>
        <charset val="1"/>
      </rPr>
      <t xml:space="preserve">08-19</t>
    </r>
    <r>
      <rPr>
        <sz val="11"/>
        <color theme="1"/>
        <rFont val="Noto Sans CJK SC"/>
        <family val="2"/>
      </rPr>
      <t xml:space="preserve">。「深入洽談」與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的說法也屬實，後者為匿名人士說法。</t>
    </r>
  </si>
  <si>
    <t xml:space="preserve">https://www.rampart.news/goodmans-empty-sheds/</t>
  </si>
  <si>
    <t xml:space="preserve">T#126</t>
  </si>
  <si>
    <t xml:space="preserve">KDDI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</si>
  <si>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</si>
  <si>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IncompleteRead</t>
    </r>
    <r>
      <rPr>
        <sz val="11"/>
        <color theme="1"/>
        <rFont val="Noto Sans CJK SC"/>
        <family val="2"/>
      </rPr>
      <t xml:space="preserve">）</t>
    </r>
  </si>
  <si>
    <t xml:space="preserve">https://toyokeizai.net/articles/-/931689?display=b</t>
  </si>
  <si>
    <t xml:space="preserve">T#127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</si>
  <si>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，原夏普堺工廠）｜全園區（上線時點與延遲）｜上線</t>
    </r>
  </si>
  <si>
    <t xml:space="preserve">2026-01-22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</si>
  <si>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日啟用、約半年建成、未列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皆屬實。但「原定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會計年度末前啟用」不在此稿，「未見延遲報導」是研究者判斷。</t>
    </r>
  </si>
  <si>
    <t xml:space="preserve">https://newsroom.kddi.com/english/news/detail/kddi_nr-916_4323.html</t>
  </si>
  <si>
    <t xml:space="preserve">T#128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</si>
  <si>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OSK2 Campus, East Osaka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</si>
  <si>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East Osaka</t>
    </r>
    <r>
      <rPr>
        <sz val="11"/>
        <color theme="1"/>
        <rFont val="Noto Sans CJK SC"/>
        <family val="2"/>
      </rPr>
      <t xml:space="preserve">、未公布時程皆屬實，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合理。但原文未提「可依客戶需求分階段上線」、使用者未揭露，以及「查無更新進度」屬研究者備註，非原文內容。</t>
    </r>
  </si>
  <si>
    <t xml:space="preserve">https://www.datacenterdynamics.com/en/news/airtrunk-plans-second-data-center-in-osaka-japan/</t>
  </si>
  <si>
    <t xml:space="preserve">T#129</t>
  </si>
  <si>
    <t xml:space="preserve">NFD Korea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</si>
  <si>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</si>
  <si>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2026-09-14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</si>
  <si>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KEPCO </t>
    </r>
    <r>
      <rPr>
        <sz val="11"/>
        <color theme="1"/>
        <rFont val="Noto Sans CJK SC"/>
        <family val="2"/>
      </rPr>
      <t xml:space="preserve">供電協議、與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洽租、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年內上線皆有。原文為業配稿，標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</si>
  <si>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https://www.mingtiandi.com/sponsored/nfd-korea-breaks-ground-on-300mw-ai-data-center-campus-in-danjin/</t>
  </si>
  <si>
    <t xml:space="preserve">T#130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</si>
  <si>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/ A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</si>
  <si>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原文只寫 </t>
    </r>
    <r>
      <rPr>
        <sz val="11"/>
        <color theme="1"/>
        <rFont val="Calibri"/>
        <family val="2"/>
        <charset val="1"/>
      </rPr>
      <t xml:space="preserve">A+B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，未明列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，該數字來自 </t>
    </r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券商稿。</t>
    </r>
    <r>
      <rPr>
        <sz val="11"/>
        <color theme="1"/>
        <rFont val="Calibri"/>
        <family val="2"/>
        <charset val="1"/>
      </rPr>
      <t xml:space="preserve">Q1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 E&amp;C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月初動工屬實。</t>
    </r>
  </si>
  <si>
    <t xml:space="preserve">T#131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</si>
  <si>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 / B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</si>
  <si>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皆在原文。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來自他稿，原文未載。</t>
    </r>
  </si>
  <si>
    <t xml:space="preserve">T#132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</si>
  <si>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/ C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</si>
  <si>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1.24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年可對上。但原文沒有「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棟」「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」，也沒有「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月前許可」或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上線，只說許可程序進行中。投資方為</t>
    </r>
    <r>
      <rPr>
        <sz val="11"/>
        <color theme="1"/>
        <rFont val="Calibri"/>
        <family val="2"/>
        <charset val="1"/>
      </rPr>
      <t xml:space="preserve">EFD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NFD</t>
    </r>
    <r>
      <rPr>
        <sz val="11"/>
        <color theme="1"/>
        <rFont val="Noto Sans CJK SC"/>
        <family val="2"/>
      </rPr>
      <t xml:space="preserve">僅提供支援。來源是媒體報導，不是公司本人。</t>
    </r>
  </si>
  <si>
    <t xml:space="preserve">https://en.sedaily.com/society/2026/09/09/chungnam-lands-124-trillion-won-ai-data-center-in-dangjin</t>
  </si>
  <si>
    <t xml:space="preserve">T#133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</si>
  <si>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｜遠期擴建構想（</t>
    </r>
    <r>
      <rPr>
        <sz val="11"/>
        <color theme="1"/>
        <rFont val="Calibri"/>
        <family val="2"/>
        <charset val="1"/>
      </rPr>
      <t xml:space="preserve">2.4GW </t>
    </r>
    <r>
      <rPr>
        <sz val="11"/>
        <color theme="1"/>
        <rFont val="Noto Sans CJK SC"/>
        <family val="2"/>
      </rPr>
      <t xml:space="preserve">叢集）｜規劃</t>
    </r>
  </si>
  <si>
    <t xml:space="preserve">2026-07-16</t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</si>
  <si>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、首批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、公司自述與日期</t>
    </r>
    <r>
      <rPr>
        <sz val="11"/>
        <color theme="1"/>
        <rFont val="Calibri"/>
        <family val="2"/>
        <charset val="1"/>
      </rPr>
      <t xml:space="preserve">2026-07-16</t>
    </r>
    <r>
      <rPr>
        <sz val="11"/>
        <color theme="1"/>
        <rFont val="Noto Sans CJK SC"/>
        <family val="2"/>
      </rPr>
      <t xml:space="preserve">皆屬實。但來源標題欄寫成「公司本人」而非文章標題；原文本有「입력 </t>
    </r>
    <r>
      <rPr>
        <sz val="11"/>
        <color theme="1"/>
        <rFont val="Calibri"/>
        <family val="2"/>
        <charset val="1"/>
      </rPr>
      <t xml:space="preserve">2026.07.16</t>
    </r>
    <r>
      <rPr>
        <sz val="11"/>
        <color theme="1"/>
        <rFont val="Noto Sans CJK SC"/>
        <family val="2"/>
      </rPr>
      <t xml:space="preserve">」，不必用「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天前」推算。</t>
    </r>
  </si>
  <si>
    <t xml:space="preserve">http://www.djtimes.co.kr/news/articleView.html?idxno=112712</t>
  </si>
  <si>
    <t xml:space="preserve">T#134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</si>
  <si>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</si>
  <si>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</si>
  <si>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年屬實；但「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等設備計入約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兆」原文找不到。</t>
    </r>
  </si>
  <si>
    <t xml:space="preserve">https://en.sedaily.com/finance/2026/06/29/gs-group-to-build-24gw-ai-data-center-in-donghae-investing</t>
  </si>
  <si>
    <t xml:space="preserve">T#135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</si>
  <si>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</t>
    </r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</si>
  <si>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</si>
  <si>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231,000</t>
    </r>
    <r>
      <rPr>
        <sz val="11"/>
        <color theme="1"/>
        <rFont val="Noto Sans CJK SC"/>
        <family val="2"/>
      </rPr>
      <t xml:space="preserve">㎡基地與營運主體「</t>
    </r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」原文找不到。</t>
    </r>
  </si>
  <si>
    <t xml:space="preserve">T#136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</si>
  <si>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首棟（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級）｜在建</t>
    </r>
  </si>
  <si>
    <r>
      <rPr>
        <sz val="11"/>
        <color theme="1"/>
        <rFont val="Noto Sans CJK SC"/>
        <family val="2"/>
      </rPr>
      <t xml:space="preserve">原文為亂碼，由可辨數字還原：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許可、</t>
    </r>
    <r>
      <rPr>
        <sz val="11"/>
        <color theme="1"/>
        <rFont val="Calibri"/>
        <family val="2"/>
        <charset val="1"/>
      </rPr>
      <t xml:space="preserve">6.8</t>
    </r>
    <r>
      <rPr>
        <sz val="11"/>
        <color theme="1"/>
        <rFont val="Noto Sans CJK SC"/>
        <family val="2"/>
      </rPr>
      <t xml:space="preserve">萬㎡、地上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層、今年開工、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下半年竣工、日期</t>
    </r>
    <r>
      <rPr>
        <sz val="11"/>
        <color theme="1"/>
        <rFont val="Calibri"/>
        <family val="2"/>
        <charset val="1"/>
      </rPr>
      <t xml:space="preserve">2026.10.02 </t>
    </r>
    <r>
      <rPr>
        <sz val="11"/>
        <color theme="1"/>
        <rFont val="Noto Sans CJK SC"/>
        <family val="2"/>
      </rPr>
      <t xml:space="preserve">均相符。但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寫「第三方機構」，並非 </t>
    </r>
    <r>
      <rPr>
        <sz val="11"/>
        <color theme="1"/>
        <rFont val="Calibri"/>
        <family val="2"/>
        <charset val="1"/>
      </rPr>
      <t xml:space="preserve">YTN </t>
    </r>
    <r>
      <rPr>
        <sz val="11"/>
        <color theme="1"/>
        <rFont val="Noto Sans CJK SC"/>
        <family val="2"/>
      </rPr>
      <t xml:space="preserve">報導標題。</t>
    </r>
  </si>
  <si>
    <t xml:space="preserve">https://m.news.nate.com/view/20261002n22203</t>
  </si>
  <si>
    <t xml:space="preserve">T#137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</si>
  <si>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</si>
  <si>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DB World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萬㎡土地的報導原文找不到。</t>
    </r>
  </si>
  <si>
    <t xml:space="preserve">T#138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</si>
  <si>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</si>
  <si>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</si>
  <si>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2028Q1 </t>
    </r>
    <r>
      <rPr>
        <sz val="11"/>
        <color theme="1"/>
        <rFont val="Noto Sans CJK SC"/>
        <family val="2"/>
      </rPr>
      <t xml:space="preserve">商轉、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月動工屬實。但原文未提 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已簽約，也無 </t>
    </r>
    <r>
      <rPr>
        <sz val="11"/>
        <color theme="1"/>
        <rFont val="Calibri"/>
        <family val="2"/>
        <charset val="1"/>
      </rPr>
      <t xml:space="preserve">40→60MW</t>
    </r>
    <r>
      <rPr>
        <sz val="11"/>
        <color theme="1"/>
        <rFont val="Noto Sans CJK SC"/>
        <family val="2"/>
      </rPr>
      <t xml:space="preserve">、未具名租戶、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；原文只說 </t>
    </r>
    <r>
      <rPr>
        <sz val="11"/>
        <color theme="1"/>
        <rFont val="Calibri"/>
        <family val="2"/>
        <charset val="1"/>
      </rPr>
      <t xml:space="preserve">PEF </t>
    </r>
    <r>
      <rPr>
        <sz val="11"/>
        <color theme="1"/>
        <rFont val="Noto Sans CJK SC"/>
        <family val="2"/>
      </rPr>
      <t xml:space="preserve">將負責 </t>
    </r>
    <r>
      <rPr>
        <sz val="11"/>
        <color theme="1"/>
        <rFont val="Calibri"/>
        <family val="2"/>
        <charset val="1"/>
      </rPr>
      <t xml:space="preserve">PF </t>
    </r>
    <r>
      <rPr>
        <sz val="11"/>
        <color theme="1"/>
        <rFont val="Noto Sans CJK SC"/>
        <family val="2"/>
      </rPr>
      <t xml:space="preserve">與工程合約，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「簽約」不符。</t>
    </r>
  </si>
  <si>
    <t xml:space="preserve">https://edata.ekn.kr/article/view/ekn202609110005</t>
  </si>
  <si>
    <t xml:space="preserve">T#139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</si>
  <si>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</si>
  <si>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商轉皆與原文一致。租戶傳聞未見於原文，但已標為傳聞；原文也確實未提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。</t>
    </r>
  </si>
  <si>
    <t xml:space="preserve">T#140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</si>
  <si>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</si>
  <si>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2026-08-25</t>
  </si>
  <si>
    <r>
      <rPr>
        <sz val="11"/>
        <color theme="1"/>
        <rFont val="Noto Sans CJK SC"/>
        <family val="2"/>
      </rPr>
      <t xml:space="preserve">原文為亂碼，僅能辨出數字。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8720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萬㎡、國家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產業園區與日期皆符。但原文只寫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運轉，找不到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；來源是</t>
    </r>
    <r>
      <rPr>
        <sz val="11"/>
        <color theme="1"/>
        <rFont val="Calibri"/>
        <family val="2"/>
        <charset val="1"/>
      </rPr>
      <t xml:space="preserve">Newsis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KTC</t>
    </r>
    <r>
      <rPr>
        <sz val="11"/>
        <color theme="1"/>
        <rFont val="Noto Sans CJK SC"/>
        <family val="2"/>
      </rPr>
      <t xml:space="preserve">、現代</t>
    </r>
    <r>
      <rPr>
        <sz val="11"/>
        <color theme="1"/>
        <rFont val="Calibri"/>
        <family val="2"/>
        <charset val="1"/>
      </rPr>
      <t xml:space="preserve">E&amp;C</t>
    </r>
    <r>
      <rPr>
        <sz val="11"/>
        <color theme="1"/>
        <rFont val="Noto Sans CJK SC"/>
        <family val="2"/>
      </rPr>
      <t xml:space="preserve">也找不到。</t>
    </r>
  </si>
  <si>
    <t xml:space="preserve">https://m.news.nate.com/view/20260825n27466</t>
  </si>
  <si>
    <t xml:space="preserve">T#141</t>
  </si>
  <si>
    <t xml:space="preserve">Naver Cloud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</si>
  <si>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｜全園區｜規劃</t>
    </r>
  </si>
  <si>
    <t xml:space="preserve">270 MW</t>
  </si>
  <si>
    <r>
      <rPr>
        <sz val="11"/>
        <color theme="1"/>
        <rFont val="Calibri"/>
        <family val="2"/>
        <charset val="1"/>
      </rPr>
      <t xml:space="preserve">270MW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萬台屬實。但 </t>
    </r>
    <r>
      <rPr>
        <sz val="11"/>
        <color theme="1"/>
        <rFont val="Calibri"/>
        <family val="2"/>
        <charset val="1"/>
      </rPr>
      <t xml:space="preserve">2023-11 </t>
    </r>
    <r>
      <rPr>
        <sz val="11"/>
        <color theme="1"/>
        <rFont val="Noto Sans CJK SC"/>
        <family val="2"/>
      </rPr>
      <t xml:space="preserve">是開工而非上線；原文無「韓媒引述公司」、「受電」或「六期」，是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偏。</t>
    </r>
  </si>
  <si>
    <t xml:space="preserve">https://www.datacenterdynamics.com/en/news/south-koreas-naver-confirms-it-will-expand-sejong-data-center-to-200mw/</t>
  </si>
  <si>
    <t xml:space="preserve">T#142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</si>
  <si>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期｜上線</t>
    </r>
  </si>
  <si>
    <t xml:space="preserve">2025-11-10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</si>
  <si>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是受電容量（電力公司供電量），不是上線容量，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應標為受電／設施端。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也未寫原文標題與媒體。</t>
    </r>
  </si>
  <si>
    <t xml:space="preserve">https://www.hankyung.com/article/2025111034931</t>
  </si>
  <si>
    <t xml:space="preserve">T#143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</si>
  <si>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期｜在建</t>
    </r>
  </si>
  <si>
    <t xml:space="preserve">2025-10-27</t>
  </si>
  <si>
    <t xml:space="preserve">https://www.thebell.co.kr/free/content/ArticleView.asp?key=202510270910271020102172</t>
  </si>
  <si>
    <t xml:space="preserve">T#144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</si>
  <si>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期｜在建</t>
    </r>
  </si>
  <si>
    <t xml:space="preserve">T#145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</si>
  <si>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4–6</t>
    </r>
    <r>
      <rPr>
        <sz val="11"/>
        <color theme="1"/>
        <rFont val="Noto Sans CJK SC"/>
        <family val="2"/>
      </rPr>
      <t xml:space="preserve">期（南館）｜規劃</t>
    </r>
  </si>
  <si>
    <t xml:space="preserve">135 MW</t>
  </si>
  <si>
    <t xml:space="preserve">T#146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</si>
  <si>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初期｜規劃</t>
    </r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</si>
  <si>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、利害關係人皆屬實。但「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取得 </t>
    </r>
    <r>
      <rPr>
        <sz val="11"/>
        <color theme="1"/>
        <rFont val="Calibri"/>
        <family val="2"/>
        <charset val="1"/>
      </rPr>
      <t xml:space="preserve">4000 </t>
    </r>
    <r>
      <rPr>
        <sz val="11"/>
        <color theme="1"/>
        <rFont val="Noto Sans CJK SC"/>
        <family val="2"/>
      </rPr>
      <t xml:space="preserve">億韓元公共成長基金貸款」原文找不到，「</t>
    </r>
    <r>
      <rPr>
        <sz val="11"/>
        <color theme="1"/>
        <rFont val="Calibri"/>
        <family val="2"/>
        <charset val="1"/>
      </rPr>
      <t xml:space="preserve">Cloud Ring</t>
    </r>
    <r>
      <rPr>
        <sz val="11"/>
        <color theme="1"/>
        <rFont val="Noto Sans CJK SC"/>
        <family val="2"/>
      </rPr>
      <t xml:space="preserve">」也未見；不影響模型數值。</t>
    </r>
  </si>
  <si>
    <t xml:space="preserve">https://www.navercorp.com/en/media/pressReleasesDetail?seq=10034386</t>
  </si>
  <si>
    <t xml:space="preserve">T#147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</si>
  <si>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擴建至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</si>
  <si>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7/24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億美元融資條件皆屬實。但「約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年內先到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」原文找不到，可能出自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</si>
  <si>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https://nvidianews.nvidia.com/news/naver-nvidia-and-brookfield-to-expand-koreas-national-ai-factory-infrastructure-buildout</t>
  </si>
  <si>
    <t xml:space="preserve">T#148</t>
  </si>
  <si>
    <t xml:space="preserve">現代汽車集團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</si>
  <si>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</si>
  <si>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2026-08-26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</si>
  <si>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年啟用屬實，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也合理。但「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月著工」「建照審議中」「一期」「機器人訓練」及園區地址，原文皆無。</t>
    </r>
  </si>
  <si>
    <t xml:space="preserve">https://www.newsis.com/view/NISX20260826_0003763642</t>
  </si>
  <si>
    <t xml:space="preserve">T#149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</si>
  <si>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｜遠期擴建（至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，含一期）｜規劃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</si>
  <si>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年一期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屬實，但原文是媒體據業界報導，非現代本人說法，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不當；原文亦未提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之說。</t>
    </r>
  </si>
  <si>
    <t xml:space="preserve">https://www.huffingtonpost.kr/article/260893</t>
  </si>
  <si>
    <t xml:space="preserve">T#150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</si>
  <si>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</si>
  <si>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一期｜在建</t>
    </r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</si>
  <si>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as_of 2026-08-03 </t>
    </r>
    <r>
      <rPr>
        <sz val="11"/>
        <color theme="1"/>
        <rFont val="Noto Sans CJK SC"/>
        <family val="2"/>
      </rPr>
      <t xml:space="preserve">屬實，基準未說明也相符。但原文無「</t>
    </r>
    <r>
      <rPr>
        <sz val="11"/>
        <color theme="1"/>
        <rFont val="Calibri"/>
        <family val="2"/>
        <charset val="1"/>
      </rPr>
      <t xml:space="preserve">2028-04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月底完工」，只寫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年。來源為報社轉述地方政府，並非公司本人。</t>
    </r>
  </si>
  <si>
    <t xml:space="preserve">https://www.getnews.co.kr/news/articleView.html?idxno=876877</t>
  </si>
  <si>
    <t xml:space="preserve">T#151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</si>
  <si>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</si>
  <si>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二期擴建｜規劃</t>
    </r>
  </si>
  <si>
    <r>
      <rPr>
        <sz val="11"/>
        <color theme="1"/>
        <rFont val="Noto Sans CJK SC"/>
        <family val="2"/>
      </rPr>
      <t xml:space="preserve">先建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、再增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屬實。但來源是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報導，並非公司本人。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年是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擴至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萬張的時點，非增設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的上線時間；「依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需求」原文也沒有。</t>
    </r>
  </si>
  <si>
    <t xml:space="preserve">https://v.daum.net/v/ta3CDHXSW2</t>
  </si>
  <si>
    <t xml:space="preserve">T#152</t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</si>
  <si>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</si>
  <si>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Samsung 210MW AI</t>
    </r>
    <r>
      <rPr>
        <sz val="11"/>
        <color theme="1"/>
        <rFont val="Noto Sans CJK SC"/>
        <family val="2"/>
      </rPr>
      <t xml:space="preserve">資料中心計畫（與上列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的關係未說明）｜規劃</t>
    </r>
  </si>
  <si>
    <t xml:space="preserve">210 MW</t>
  </si>
  <si>
    <r>
      <rPr>
        <sz val="11"/>
        <color theme="1"/>
        <rFont val="Calibri"/>
        <family val="2"/>
        <charset val="1"/>
      </rPr>
      <t xml:space="preserve">210MW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首度營運皆屬實，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也合理。但原文宣布者是三星電子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部門，不是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倍」說法原文找不到。</t>
    </r>
  </si>
  <si>
    <t xml:space="preserve">https://en.sedaily.com/finance/2026/06/30/korea-to-build-southwest-industrial-complexes-within-5-years</t>
  </si>
  <si>
    <t xml:space="preserve">T#153</t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</si>
  <si>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</t>
    </r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</si>
  <si>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</si>
  <si>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Noto Sans CJK SC"/>
        <family val="2"/>
      </rPr>
      <t xml:space="preserve">原文為政府規劃的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園區（最多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×40MW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2037</t>
    </r>
    <r>
      <rPr>
        <sz val="11"/>
        <color theme="1"/>
        <rFont val="Noto Sans CJK SC"/>
        <family val="2"/>
      </rPr>
      <t xml:space="preserve">年分階段），非已簽約容量；該協議是推動園區建設的商業協議。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應為政府計畫而非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；發布日期為</t>
    </r>
    <r>
      <rPr>
        <sz val="11"/>
        <color theme="1"/>
        <rFont val="Calibri"/>
        <family val="2"/>
        <charset val="1"/>
      </rPr>
      <t xml:space="preserve">2023-08-25</t>
    </r>
    <r>
      <rPr>
        <sz val="11"/>
        <color theme="1"/>
        <rFont val="Noto Sans CJK SC"/>
        <family val="2"/>
      </rPr>
      <t xml:space="preserve">，來源標題亦誤植。投資公司七家與名單屬實。</t>
    </r>
  </si>
  <si>
    <t xml:space="preserve">https://www.datacenterdynamics.com/en/news/south-korean-govt-announces-plans-for-1gw-data-center-campus/</t>
  </si>
  <si>
    <t xml:space="preserve">T#154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</si>
  <si>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Taiwan North AI Cloud Region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</si>
  <si>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原文支持未公布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、尚未</t>
    </r>
    <r>
      <rPr>
        <sz val="11"/>
        <color theme="1"/>
        <rFont val="Calibri"/>
        <family val="2"/>
        <charset val="1"/>
      </rPr>
      <t xml:space="preserve">GA</t>
    </r>
    <r>
      <rPr>
        <sz val="11"/>
        <color theme="1"/>
        <rFont val="Noto Sans CJK SC"/>
        <family val="2"/>
      </rPr>
      <t xml:space="preserve">且無時程；但只說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年啟用，無「</t>
    </r>
    <r>
      <rPr>
        <sz val="11"/>
        <color theme="1"/>
        <rFont val="Calibri"/>
        <family val="2"/>
        <charset val="1"/>
      </rPr>
      <t xml:space="preserve">2024-11</t>
    </r>
    <r>
      <rPr>
        <sz val="11"/>
        <color theme="1"/>
        <rFont val="Noto Sans CJK SC"/>
        <family val="2"/>
      </rPr>
      <t xml:space="preserve">」，也無「原預期</t>
    </r>
    <r>
      <rPr>
        <sz val="11"/>
        <color theme="1"/>
        <rFont val="Calibri"/>
        <family val="2"/>
        <charset val="1"/>
      </rPr>
      <t xml:space="preserve">2026 GA</t>
    </r>
    <r>
      <rPr>
        <sz val="11"/>
        <color theme="1"/>
        <rFont val="Noto Sans CJK SC"/>
        <family val="2"/>
      </rPr>
      <t xml:space="preserve">」，</t>
    </r>
    <r>
      <rPr>
        <sz val="11"/>
        <color theme="1"/>
        <rFont val="Calibri"/>
        <family val="2"/>
        <charset val="1"/>
      </rPr>
      <t xml:space="preserve">aidatacenterindex 200MW</t>
    </r>
    <r>
      <rPr>
        <sz val="11"/>
        <color theme="1"/>
        <rFont val="Noto Sans CJK SC"/>
        <family val="2"/>
      </rPr>
      <t xml:space="preserve">亦不在本文。</t>
    </r>
  </si>
  <si>
    <t xml:space="preserve">https://focustaiwan.tw/business/202609010030</t>
  </si>
  <si>
    <t xml:space="preserve">T#155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</si>
  <si>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</si>
  <si>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、業者未公開、未說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或設施皆屬實。但原文日期為</t>
    </r>
    <r>
      <rPr>
        <sz val="11"/>
        <color theme="1"/>
        <rFont val="Calibri"/>
        <family val="2"/>
        <charset val="1"/>
      </rPr>
      <t xml:space="preserve">2026/4/20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4/21</t>
    </r>
    <r>
      <rPr>
        <sz val="11"/>
        <color theme="1"/>
        <rFont val="Noto Sans CJK SC"/>
        <family val="2"/>
      </rPr>
      <t xml:space="preserve">；只說</t>
    </r>
    <r>
      <rPr>
        <sz val="11"/>
        <color theme="1"/>
        <rFont val="Calibri"/>
        <family val="2"/>
        <charset val="1"/>
      </rPr>
      <t xml:space="preserve">2013</t>
    </r>
    <r>
      <rPr>
        <sz val="11"/>
        <color theme="1"/>
        <rFont val="Noto Sans CJK SC"/>
        <family val="2"/>
      </rPr>
      <t xml:space="preserve">年，無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AmCham 60MW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不在此文。</t>
    </r>
  </si>
  <si>
    <t xml:space="preserve">https://www.twreporter.org/a/data-center-electricity-demand</t>
  </si>
  <si>
    <t xml:space="preserve">T#156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</si>
  <si>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｜擴建（投審會核准增資）｜規劃</t>
    </r>
  </si>
  <si>
    <r>
      <rPr>
        <sz val="11"/>
        <color theme="1"/>
        <rFont val="Calibri"/>
        <family val="2"/>
        <charset val="1"/>
      </rPr>
      <t xml:space="preserve">253.4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無法評論、未揭露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皆屬實；但原文無「或為還債」，只說預期加碼資料中心與半導體採購。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亦非文章標題。</t>
    </r>
  </si>
  <si>
    <t xml:space="preserve">https://www.ctee.com.tw/news/20260424700077-439901</t>
  </si>
  <si>
    <t xml:space="preserve">T#157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</si>
  <si>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</si>
  <si>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</si>
  <si>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原文為「最高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」，表中寫規劃</t>
    </r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，稍偏（最高容量，非確定規劃值）。</t>
    </r>
    <r>
      <rPr>
        <sz val="11"/>
        <color theme="1"/>
        <rFont val="Calibri"/>
        <family val="2"/>
        <charset val="1"/>
      </rPr>
      <t xml:space="preserve">264</t>
    </r>
    <r>
      <rPr>
        <sz val="11"/>
        <color theme="1"/>
        <rFont val="Noto Sans CJK SC"/>
        <family val="2"/>
      </rPr>
      <t xml:space="preserve">英畝、₹</t>
    </r>
    <r>
      <rPr>
        <sz val="11"/>
        <color theme="1"/>
        <rFont val="Calibri"/>
        <family val="2"/>
        <charset val="1"/>
      </rPr>
      <t xml:space="preserve">70,000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2026-09-05 </t>
    </r>
    <r>
      <rPr>
        <sz val="11"/>
        <color theme="1"/>
        <rFont val="Noto Sans CJK SC"/>
        <family val="2"/>
      </rPr>
      <t xml:space="preserve">皆屬實；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2028-06 </t>
    </r>
    <r>
      <rPr>
        <sz val="11"/>
        <color theme="1"/>
        <rFont val="Noto Sans CJK SC"/>
        <family val="2"/>
      </rPr>
      <t xml:space="preserve">原文無，備註已說明非官方，但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欄填入該值，來源稿中找不到。</t>
    </r>
  </si>
  <si>
    <t xml:space="preserve">https://www.analyticsinsight.net/press-release/tcs-hypervault-to-establish-large-scale-ai-data-center-campus-in-telangana</t>
  </si>
  <si>
    <t xml:space="preserve">T#158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</si>
  <si>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首期錨定容量（園區分期未定）｜簽約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</si>
  <si>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、站點未點名、</t>
    </r>
    <r>
      <rPr>
        <sz val="11"/>
        <color theme="1"/>
        <rFont val="Calibri"/>
        <family val="2"/>
        <charset val="1"/>
      </rPr>
      <t xml:space="preserve">as_of 2026-09-05 </t>
    </r>
    <r>
      <rPr>
        <sz val="11"/>
        <color theme="1"/>
        <rFont val="Noto Sans CJK SC"/>
        <family val="2"/>
      </rPr>
      <t xml:space="preserve">皆與原文一致。但來源是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彙整頁，並非公司本人。原文為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的「起始容量」說法，不等於已簽約，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</t>
    </r>
  </si>
  <si>
    <t xml:space="preserve">https://arusgrid.com/project/in-hyd-hypervault-hyderabad</t>
  </si>
  <si>
    <t xml:space="preserve">T#159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</si>
  <si>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</si>
  <si>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、裝修中、約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均屬實，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Frost</t>
    </r>
    <r>
      <rPr>
        <sz val="11"/>
        <color theme="1"/>
        <rFont val="Noto Sans CJK SC"/>
        <family val="2"/>
      </rPr>
      <t xml:space="preserve">新聞稿寫</t>
    </r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萬顆」在本文找不到，文中 </t>
    </r>
    <r>
      <rPr>
        <sz val="11"/>
        <color theme="1"/>
        <rFont val="Calibri"/>
        <family val="2"/>
        <charset val="1"/>
      </rPr>
      <t xml:space="preserve">Frost </t>
    </r>
    <r>
      <rPr>
        <sz val="11"/>
        <color theme="1"/>
        <rFont val="Noto Sans CJK SC"/>
        <family val="2"/>
      </rPr>
      <t xml:space="preserve">只提獎項，該句應出自他處。</t>
    </r>
  </si>
  <si>
    <t xml:space="preserve">https://www.techtimes.com/articles/327395/20260912/indias-yotta-plans-80000-vera-rubin-gpus-world-leaks-hacked-customer-server.htm</t>
  </si>
  <si>
    <t xml:space="preserve">T#160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</si>
  <si>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</si>
  <si>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英畝、可擴至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、創辦人說法均符。但原文無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NM1 52MW</t>
    </r>
    <r>
      <rPr>
        <sz val="11"/>
        <color theme="1"/>
        <rFont val="Noto Sans CJK SC"/>
        <family val="2"/>
      </rPr>
      <t xml:space="preserve">、官網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；來源標題寫「公司本人」，實為媒體轉述創辦人。</t>
    </r>
  </si>
  <si>
    <t xml:space="preserve">https://tele.net.in/national-news/yotta-data-services-to-build-horizontal-single-storey-data-centres-in-mumbai-and-delhi-12518177</t>
  </si>
  <si>
    <t xml:space="preserve">T#161</t>
  </si>
  <si>
    <t xml:space="preserve">AdaniConneX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</si>
  <si>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初期三棟（</t>
    </r>
    <r>
      <rPr>
        <sz val="11"/>
        <color theme="1"/>
        <rFont val="Calibri"/>
        <family val="2"/>
        <charset val="1"/>
      </rPr>
      <t xml:space="preserve">3×80 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</si>
  <si>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、三棟</t>
    </r>
    <r>
      <rPr>
        <sz val="11"/>
        <color theme="1"/>
        <rFont val="Calibri"/>
        <family val="2"/>
        <charset val="1"/>
      </rPr>
      <t xml:space="preserve">×80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年中、獨租、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均屬實。但原文為「</t>
    </r>
    <r>
      <rPr>
        <sz val="11"/>
        <color theme="1"/>
        <rFont val="Calibri"/>
        <family val="2"/>
        <charset val="1"/>
      </rPr>
      <t xml:space="preserve">plans</t>
    </r>
    <r>
      <rPr>
        <sz val="11"/>
        <color theme="1"/>
        <rFont val="Noto Sans CJK SC"/>
        <family val="2"/>
      </rPr>
      <t xml:space="preserve">」規劃容量，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標「簽約」稍偏；來源標題應為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新聞稿標題；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部分不在本文，無法核對。</t>
    </r>
  </si>
  <si>
    <t xml:space="preserve">https://www.coreweave.com/news/coreweave-enters-india-expanding-ai-cloud-platform-with-adaniconnex</t>
  </si>
  <si>
    <t xml:space="preserve">T#162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</si>
  <si>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擴充選項（另加最多 </t>
    </r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</si>
  <si>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240 MW </t>
    </r>
    <r>
      <rPr>
        <sz val="11"/>
        <color theme="1"/>
        <rFont val="Noto Sans CJK SC"/>
        <family val="2"/>
      </rPr>
      <t xml:space="preserve">選項與 </t>
    </r>
    <r>
      <rPr>
        <sz val="11"/>
        <color theme="1"/>
        <rFont val="Calibri"/>
        <family val="2"/>
        <charset val="1"/>
      </rPr>
      <t xml:space="preserve">480 MW </t>
    </r>
    <r>
      <rPr>
        <sz val="11"/>
        <color theme="1"/>
        <rFont val="Noto Sans CJK SC"/>
        <family val="2"/>
      </rPr>
      <t xml:space="preserve">合計屬實，但原文載明首期預計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年中上線，表中寫「未說明」、「未給上線時點」有誤；標題非原文標題，「記者推論」亦不當。</t>
    </r>
  </si>
  <si>
    <t xml:space="preserve">https://tele.net.in/national-news/coreweave-collaborates-with-adaniconnex-to-develop-240-mw-ai-data-centre-campus-in-navi-mumbai-12649992</t>
  </si>
  <si>
    <t xml:space="preserve">T#163</t>
  </si>
  <si>
    <t xml:space="preserve">Submer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</si>
  <si>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</si>
  <si>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英畝、時程未公布、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日大會皆屬實。但₹</t>
    </r>
    <r>
      <rPr>
        <sz val="11"/>
        <color theme="1"/>
        <rFont val="Calibri"/>
        <family val="2"/>
        <charset val="1"/>
      </rPr>
      <t xml:space="preserve">19,000 crore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1,900 </t>
    </r>
    <r>
      <rPr>
        <sz val="11"/>
        <color theme="1"/>
        <rFont val="Noto Sans CJK SC"/>
        <family val="2"/>
      </rPr>
      <t xml:space="preserve">億盧比，寫成「</t>
    </r>
    <r>
      <rPr>
        <sz val="11"/>
        <color theme="1"/>
        <rFont val="Calibri"/>
        <family val="2"/>
        <charset val="1"/>
      </rPr>
      <t xml:space="preserve">19,000</t>
    </r>
    <r>
      <rPr>
        <sz val="11"/>
        <color theme="1"/>
        <rFont val="Noto Sans CJK SC"/>
        <family val="2"/>
      </rPr>
      <t xml:space="preserve">億」差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倍。文章日期為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日，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日。兩處不影響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數值。</t>
    </r>
  </si>
  <si>
    <t xml:space="preserve">https://www.cxodigitalpulse.com/submer-announces-%E2%82%B919000-crore-plan-for-ai-ready-data-centre-campus-in-madhya-pradesh/</t>
  </si>
  <si>
    <t xml:space="preserve">T#164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</si>
  <si>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｜未分期（</t>
    </r>
    <r>
      <rPr>
        <sz val="11"/>
        <color theme="1"/>
        <rFont val="Calibri"/>
        <family val="2"/>
        <charset val="1"/>
      </rPr>
      <t xml:space="preserve">400–500 MW </t>
    </r>
    <r>
      <rPr>
        <sz val="11"/>
        <color theme="1"/>
        <rFont val="Noto Sans CJK SC"/>
        <family val="2"/>
      </rPr>
      <t xml:space="preserve">版本）｜規劃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</si>
  <si>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999</t>
    </r>
    <r>
      <rPr>
        <sz val="11"/>
        <color theme="1"/>
        <rFont val="Noto Sans CJK SC"/>
        <family val="2"/>
      </rPr>
      <t xml:space="preserve">）</t>
    </r>
  </si>
  <si>
    <t xml:space="preserve">https://www.linkedin.com/in/ranjan-kumar-a9b488a/</t>
  </si>
  <si>
    <t xml:space="preserve">T#165</t>
  </si>
  <si>
    <t xml:space="preserve">Princeton Digital Group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</si>
  <si>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PDG MU2 Navi Mumbai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</si>
  <si>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英畝、五層、</t>
    </r>
    <r>
      <rPr>
        <sz val="11"/>
        <color theme="1"/>
        <rFont val="Calibri"/>
        <family val="2"/>
        <charset val="1"/>
      </rPr>
      <t xml:space="preserve">18,880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月購地、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月動工皆屬實。但原文未提「目標客群為超大規模雲端業者」。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報導，未必是 </t>
    </r>
    <r>
      <rPr>
        <sz val="11"/>
        <color theme="1"/>
        <rFont val="Calibri"/>
        <family val="2"/>
        <charset val="1"/>
      </rPr>
      <t xml:space="preserve">PDG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可能偏。</t>
    </r>
  </si>
  <si>
    <t xml:space="preserve">https://www.datacenterdynamics.com/en/news/pdg-breaks-ground-on-latest-mumbai-data-center/</t>
  </si>
  <si>
    <t xml:space="preserve">T#166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</si>
  <si>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</si>
  <si>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官網確列 </t>
    </r>
    <r>
      <rPr>
        <sz val="11"/>
        <color theme="1"/>
        <rFont val="Calibri"/>
        <family val="2"/>
        <charset val="1"/>
      </rPr>
      <t xml:space="preserve">250 MW IT </t>
    </r>
    <r>
      <rPr>
        <sz val="11"/>
        <color theme="1"/>
        <rFont val="Noto Sans CJK SC"/>
        <family val="2"/>
      </rPr>
      <t xml:space="preserve">潛在容量與 </t>
    </r>
    <r>
      <rPr>
        <sz val="11"/>
        <color theme="1"/>
        <rFont val="Calibri"/>
        <family val="2"/>
        <charset val="1"/>
      </rPr>
      <t xml:space="preserve">Phase 1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月，數值、基準與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皆符；但「</t>
    </r>
    <r>
      <rPr>
        <sz val="11"/>
        <color theme="1"/>
        <rFont val="Calibri"/>
        <family val="2"/>
        <charset val="1"/>
      </rPr>
      <t xml:space="preserve">DC Atlas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在建」不在此來源，且官網稱「</t>
    </r>
    <r>
      <rPr>
        <sz val="11"/>
        <color theme="1"/>
        <rFont val="Calibri"/>
        <family val="2"/>
        <charset val="1"/>
      </rPr>
      <t xml:space="preserve">Live</t>
    </r>
    <r>
      <rPr>
        <sz val="11"/>
        <color theme="1"/>
        <rFont val="Noto Sans CJK SC"/>
        <family val="2"/>
      </rPr>
      <t xml:space="preserve">」，並非單純「上線」預告。</t>
    </r>
  </si>
  <si>
    <t xml:space="preserve">https://www.adaniconnex.com/data-centers</t>
  </si>
  <si>
    <t xml:space="preserve">T#167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</si>
  <si>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</si>
  <si>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「即將啟用」與「</t>
    </r>
    <r>
      <rPr>
        <sz val="11"/>
        <color theme="1"/>
        <rFont val="Calibri"/>
        <family val="2"/>
        <charset val="1"/>
      </rPr>
      <t xml:space="preserve">Phase 1 Live: Oct 2025</t>
    </r>
    <r>
      <rPr>
        <sz val="11"/>
        <color theme="1"/>
        <rFont val="Noto Sans CJK SC"/>
        <family val="2"/>
      </rPr>
      <t xml:space="preserve">」確實並存，且未列 </t>
    </r>
    <r>
      <rPr>
        <sz val="11"/>
        <color theme="1"/>
        <rFont val="Calibri"/>
        <family val="2"/>
        <charset val="1"/>
      </rPr>
      <t xml:space="preserve">Phase 1 MW</t>
    </r>
    <r>
      <rPr>
        <sz val="11"/>
        <color theme="1"/>
        <rFont val="Noto Sans CJK SC"/>
        <family val="2"/>
      </rPr>
      <t xml:space="preserve">。但「說法矛盾」是研究者的判斷，不是原文本身的說法；「延遲報導」也不在此來源。</t>
    </r>
  </si>
  <si>
    <t xml:space="preserve">T#168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</si>
  <si>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PNQ26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Bhosari MIDC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</si>
  <si>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429</t>
    </r>
    <r>
      <rPr>
        <sz val="11"/>
        <color theme="1"/>
        <rFont val="Noto Sans CJK SC"/>
        <family val="2"/>
      </rPr>
      <t xml:space="preserve">）</t>
    </r>
  </si>
  <si>
    <t xml:space="preserve">https://www.datacentermap.com/india/pune/adaniconnex-pune/</t>
  </si>
  <si>
    <t xml:space="preserve">T#169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</si>
  <si>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｜全園區（土地）｜在建</t>
    </r>
  </si>
  <si>
    <t xml:space="preserve">2024-04-10</t>
  </si>
  <si>
    <r>
      <rPr>
        <sz val="11"/>
        <color theme="1"/>
        <rFont val="Noto Sans CJK SC"/>
        <family val="2"/>
      </rPr>
      <t xml:space="preserve">原文僅報導 </t>
    </r>
    <r>
      <rPr>
        <sz val="11"/>
        <color theme="1"/>
        <rFont val="Calibri"/>
        <family val="2"/>
        <charset val="1"/>
      </rPr>
      <t xml:space="preserve">Terravista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Rs 471 crore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$56.6m</t>
    </r>
    <r>
      <rPr>
        <sz val="11"/>
        <color theme="1"/>
        <rFont val="Noto Sans CJK SC"/>
        <family val="2"/>
      </rPr>
      <t xml:space="preserve">）取得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英畝地，未提容量。在建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上線時間皆無；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也未出現。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亦不適當。</t>
    </r>
  </si>
  <si>
    <t xml:space="preserve">https://www.datacenterdynamics.com/en/news/adani-group-acquires-25-acre-plot-for-566m-to-build-data-center-in-pune-india-report/</t>
  </si>
  <si>
    <t xml:space="preserve">T#170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</si>
  <si>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｜全園區｜在建</t>
    </r>
  </si>
  <si>
    <t xml:space="preserve">2026-06-28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</si>
  <si>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、最多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萬加速器、與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合作開發屬實。原文只寫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月，無</t>
    </r>
    <r>
      <rPr>
        <sz val="11"/>
        <color theme="1"/>
        <rFont val="Calibri"/>
        <family val="2"/>
        <charset val="1"/>
      </rPr>
      <t xml:space="preserve">6/28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上線、租用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空間、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BMI</t>
    </r>
    <r>
      <rPr>
        <sz val="11"/>
        <color theme="1"/>
        <rFont val="Noto Sans CJK SC"/>
        <family val="2"/>
      </rPr>
      <t xml:space="preserve">說法均未見，應另有來源。</t>
    </r>
  </si>
  <si>
    <t xml:space="preserve">https://firmus.co/newsroom/firmus-to-build-170-000-gpu-ai-factor-y-campus-with-nvidia-for-global-ai-natives</t>
  </si>
  <si>
    <t xml:space="preserve">T#171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</si>
  <si>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｜首批容量（初期）｜在建</t>
    </r>
  </si>
  <si>
    <t xml:space="preserve">2026-08-09</t>
  </si>
  <si>
    <r>
      <rPr>
        <sz val="11"/>
        <color theme="1"/>
        <rFont val="Noto Sans CJK SC"/>
        <family val="2"/>
      </rPr>
      <t xml:space="preserve">募資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、分階段至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年、未公布各期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皆屬實。但頁面直接標示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日，原文無「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天前」。來源標題寫成「第三方機構」有誤，原文出處為 </t>
    </r>
    <r>
      <rPr>
        <sz val="11"/>
        <color theme="1"/>
        <rFont val="Calibri"/>
        <family val="2"/>
        <charset val="1"/>
      </rPr>
      <t xml:space="preserve">Detik INET</t>
    </r>
    <r>
      <rPr>
        <sz val="11"/>
        <color theme="1"/>
        <rFont val="Noto Sans CJK SC"/>
        <family val="2"/>
      </rPr>
      <t xml:space="preserve">。「尚無延遲報導」原文無從核對。</t>
    </r>
  </si>
  <si>
    <t xml:space="preserve">https://global.techapple.com/2026/08/firmus-raises-us2-billion-to-accelerate-170000-gpu-ai-factory-in-batam/</t>
  </si>
  <si>
    <t xml:space="preserve">T#172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</si>
  <si>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Kabil </t>
    </r>
    <r>
      <rPr>
        <sz val="11"/>
        <color theme="1"/>
        <rFont val="Noto Sans CJK SC"/>
        <family val="2"/>
      </rPr>
      <t xml:space="preserve">園區電力合約（母園區，含 </t>
    </r>
    <r>
      <rPr>
        <sz val="11"/>
        <color theme="1"/>
        <rFont val="Calibri"/>
        <family val="2"/>
        <charset val="1"/>
      </rPr>
      <t xml:space="preserve">Firmus 360MW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</si>
  <si>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URLError</t>
    </r>
    <r>
      <rPr>
        <sz val="11"/>
        <color theme="1"/>
        <rFont val="Noto Sans CJK SC"/>
        <family val="2"/>
      </rPr>
      <t xml:space="preserve">）</t>
    </r>
  </si>
  <si>
    <t xml:space="preserve">https://ptsp.bpbatam.go.id/en/investasi-digital-menguat-bp-batam-dukung-proyek-pusat-data-dayone-pln-batam/</t>
  </si>
  <si>
    <t xml:space="preserve">T#173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</si>
  <si>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</si>
  <si>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已完工）｜上線</t>
    </r>
  </si>
  <si>
    <t xml:space="preserve">2024-07-31</t>
  </si>
  <si>
    <r>
      <rPr>
        <sz val="11"/>
        <color theme="1"/>
        <rFont val="Calibri"/>
        <family val="2"/>
        <charset val="1"/>
      </rPr>
      <t xml:space="preserve">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4,150 </t>
    </r>
    <r>
      <rPr>
        <sz val="11"/>
        <color theme="1"/>
        <rFont val="Noto Sans CJK SC"/>
        <family val="2"/>
      </rPr>
      <t xml:space="preserve">平方米、未說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或設施皆屬實，日期也對。但 </t>
    </r>
    <r>
      <rPr>
        <sz val="11"/>
        <color theme="1"/>
        <rFont val="Calibri"/>
        <family val="2"/>
        <charset val="1"/>
      </rPr>
      <t xml:space="preserve">70MW </t>
    </r>
    <r>
      <rPr>
        <sz val="11"/>
        <color theme="1"/>
        <rFont val="Noto Sans CJK SC"/>
        <family val="2"/>
      </rPr>
      <t xml:space="preserve">是官網對整個站點的描述，原文未說明是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的容量。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可接受，只是偏弱。「來源逾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個月」是本人的判斷。</t>
    </r>
  </si>
  <si>
    <t xml:space="preserve">https://www.datacenterdynamics.com/en/news/bdx-launches-data-center-campus-in-jatiluhur-indonesia/</t>
  </si>
  <si>
    <t xml:space="preserve">T#174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</si>
  <si>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Campus 2 </t>
    </r>
    <r>
      <rPr>
        <sz val="11"/>
        <color theme="1"/>
        <rFont val="Noto Sans CJK SC"/>
        <family val="2"/>
      </rPr>
      <t xml:space="preserve">首棟）｜在建</t>
    </r>
  </si>
  <si>
    <t xml:space="preserve">2026-09-24</t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</si>
  <si>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、分階段與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口徑皆符。原文只寫 </t>
    </r>
    <r>
      <rPr>
        <sz val="11"/>
        <color theme="1"/>
        <rFont val="Calibri"/>
        <family val="2"/>
        <charset val="1"/>
      </rPr>
      <t xml:space="preserve">early 2027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」是推斷。停工與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不在本文。</t>
    </r>
  </si>
  <si>
    <t xml:space="preserve">https://migrantimes.com/future-of-work/24-09-2026/bdx-expands-jatiluhur-ai-data-centre-plan-as-indonesia-builds-domestic-computing-capacity</t>
  </si>
  <si>
    <t xml:space="preserve">T#175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</si>
  <si>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</si>
  <si>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640MW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845MVA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年、曾稱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年份與停工資訊不在本文。</t>
    </r>
  </si>
  <si>
    <t xml:space="preserve">T#176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</si>
  <si>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</si>
  <si>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</si>
  <si>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、一期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＋二期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、遠期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級皆屬實，且為公司本人說法。「本年底」交付與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大致相符。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抄成公司地址而非文章標題；</t>
    </r>
    <r>
      <rPr>
        <sz val="11"/>
        <color theme="1"/>
        <rFont val="Calibri"/>
        <family val="2"/>
        <charset val="1"/>
      </rPr>
      <t xml:space="preserve">batam.co.id </t>
    </r>
    <r>
      <rPr>
        <sz val="11"/>
        <color theme="1"/>
        <rFont val="Noto Sans CJK SC"/>
        <family val="2"/>
      </rPr>
      <t xml:space="preserve">的說法不在本文，無法核對。</t>
    </r>
  </si>
  <si>
    <t xml:space="preserve">https://news.10jqka.com.cn/20260414/c675969561.shtml</t>
  </si>
  <si>
    <t xml:space="preserve">T#177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</si>
  <si>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</si>
  <si>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2026-04-22</t>
  </si>
  <si>
    <r>
      <rPr>
        <sz val="11"/>
        <color theme="1"/>
        <rFont val="Calibri"/>
        <family val="2"/>
        <charset val="1"/>
      </rPr>
      <t xml:space="preserve">160MW</t>
    </r>
    <r>
      <rPr>
        <sz val="11"/>
        <color theme="1"/>
        <rFont val="Noto Sans CJK SC"/>
        <family val="2"/>
      </rPr>
      <t xml:space="preserve">、年底交付有出現，但來源是記者轉述潤澤科技（收購方），未提 </t>
    </r>
    <r>
      <rPr>
        <sz val="11"/>
        <color theme="1"/>
        <rFont val="Calibri"/>
        <family val="2"/>
        <charset val="1"/>
      </rPr>
      <t xml:space="preserve">EGSB/RangeIDC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Nongsa</t>
    </r>
    <r>
      <rPr>
        <sz val="11"/>
        <color theme="1"/>
        <rFont val="Noto Sans CJK SC"/>
        <family val="2"/>
      </rPr>
      <t xml:space="preserve">；不是公司本人說法，也無「中建標示」等內容。</t>
    </r>
  </si>
  <si>
    <t xml:space="preserve">https://finance.sina.com.cn/jjxw/2026-04-22/doc-inhvkqfw5570107.shtml</t>
  </si>
  <si>
    <t xml:space="preserve">T#178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</si>
  <si>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｜二期｜規劃</t>
    </r>
  </si>
  <si>
    <r>
      <rPr>
        <sz val="11"/>
        <color theme="1"/>
        <rFont val="Noto Sans CJK SC"/>
        <family val="2"/>
      </rPr>
      <t xml:space="preserve">二期約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屬實，且為公司本人說法。原文未給二期上線時點，與「無上線時點」相符。</t>
    </r>
    <r>
      <rPr>
        <sz val="11"/>
        <color theme="1"/>
        <rFont val="Calibri"/>
        <family val="2"/>
        <charset val="1"/>
      </rPr>
      <t xml:space="preserve">PLN Batam 2x305 MVA </t>
    </r>
    <r>
      <rPr>
        <sz val="11"/>
        <color theme="1"/>
        <rFont val="Noto Sans CJK SC"/>
        <family val="2"/>
      </rPr>
      <t xml:space="preserve">不在本文，無法核對。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抄錯。</t>
    </r>
  </si>
  <si>
    <t xml:space="preserve">T#179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</si>
  <si>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</t>
    </r>
    <r>
      <rPr>
        <sz val="11"/>
        <color theme="1"/>
        <rFont val="Noto Sans CJK SC"/>
        <family val="2"/>
      </rPr>
      <t xml:space="preserve">｜上線</t>
    </r>
  </si>
  <si>
    <t xml:space="preserve">2025-02-14</t>
  </si>
  <si>
    <r>
      <rPr>
        <sz val="11"/>
        <color theme="1"/>
        <rFont val="Noto Sans CJK SC"/>
        <family val="2"/>
      </rPr>
      <t xml:space="preserve">原文僅有標題、日期 </t>
    </r>
    <r>
      <rPr>
        <sz val="11"/>
        <color theme="1"/>
        <rFont val="Calibri"/>
        <family val="2"/>
        <charset val="1"/>
      </rPr>
      <t xml:space="preserve">2025-02-14 </t>
    </r>
    <r>
      <rPr>
        <sz val="11"/>
        <color theme="1"/>
        <rFont val="Noto Sans CJK SC"/>
        <family val="2"/>
      </rPr>
      <t xml:space="preserve">與付費提示，無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個資料廳、</t>
    </r>
    <r>
      <rPr>
        <sz val="11"/>
        <color theme="1"/>
        <rFont val="Calibri"/>
        <family val="2"/>
        <charset val="1"/>
      </rPr>
      <t xml:space="preserve">420MW </t>
    </r>
    <r>
      <rPr>
        <sz val="11"/>
        <color theme="1"/>
        <rFont val="Noto Sans CJK SC"/>
        <family val="2"/>
      </rPr>
      <t xml:space="preserve">等內容，可能在圖片或付費內容中。</t>
    </r>
  </si>
  <si>
    <t xml:space="preserve">https://www.bernama.com/en/news.php?id=2392574</t>
  </si>
  <si>
    <t xml:space="preserve">T#180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</si>
  <si>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</si>
  <si>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原文只稱計畫興建、可擴充至</t>
    </r>
    <r>
      <rPr>
        <sz val="11"/>
        <color theme="1"/>
        <rFont val="Calibri"/>
        <family val="2"/>
        <charset val="1"/>
      </rPr>
      <t xml:space="preserve">270MW</t>
    </r>
    <r>
      <rPr>
        <sz val="11"/>
        <color theme="1"/>
        <rFont val="Noto Sans CJK SC"/>
        <family val="2"/>
      </rPr>
      <t xml:space="preserve">以上，並非在建。原文日期為</t>
    </r>
    <r>
      <rPr>
        <sz val="11"/>
        <color theme="1"/>
        <rFont val="Calibri"/>
        <family val="2"/>
        <charset val="1"/>
      </rPr>
      <t xml:space="preserve">2/12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2/14</t>
    </r>
    <r>
      <rPr>
        <sz val="11"/>
        <color theme="1"/>
        <rFont val="Noto Sans CJK SC"/>
        <family val="2"/>
      </rPr>
      <t xml:space="preserve">。來源是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報導，並非公司本人。融資、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等內容不在此文。</t>
    </r>
  </si>
  <si>
    <t xml:space="preserve">https://www.datacenterdynamics.com/en/news/airtrunk-announces-second-malaysian-data-center-in-johor/</t>
  </si>
  <si>
    <t xml:space="preserve">T#181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</si>
  <si>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JHB3+JHB4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</si>
  <si>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JHB3+JHB4 </t>
    </r>
    <r>
      <rPr>
        <sz val="11"/>
        <color theme="1"/>
        <rFont val="Noto Sans CJK SC"/>
        <family val="2"/>
      </rPr>
      <t xml:space="preserve">合計超過 </t>
    </r>
    <r>
      <rPr>
        <sz val="11"/>
        <color theme="1"/>
        <rFont val="Calibri"/>
        <family val="2"/>
        <charset val="1"/>
      </rPr>
      <t xml:space="preserve">280MW IT</t>
    </r>
    <r>
      <rPr>
        <sz val="11"/>
        <color theme="1"/>
        <rFont val="Noto Sans CJK SC"/>
        <family val="2"/>
      </rPr>
      <t xml:space="preserve">、投資 </t>
    </r>
    <r>
      <rPr>
        <sz val="11"/>
        <color theme="1"/>
        <rFont val="Calibri"/>
        <family val="2"/>
        <charset val="1"/>
      </rPr>
      <t xml:space="preserve">RM12bil </t>
    </r>
    <r>
      <rPr>
        <sz val="11"/>
        <color theme="1"/>
        <rFont val="Noto Sans CJK SC"/>
        <family val="2"/>
      </rPr>
      <t xml:space="preserve">皆符；原文未拆分各自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、未給上線時點。公司說法標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</si>
  <si>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https://www.nst.com.my/amp/business/corporate/2026/05/1430056/airtrunk-invest-rm12bil-two-new-johor-hyperscale-data-centres</t>
  </si>
  <si>
    <t xml:space="preserve">T#182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</si>
  <si>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</si>
  <si>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JHB1+2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簽約皆符。但 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億美元出售柔佛資產（含 </t>
    </r>
    <r>
      <rPr>
        <sz val="11"/>
        <color theme="1"/>
        <rFont val="Calibri"/>
        <family val="2"/>
        <charset val="1"/>
      </rPr>
      <t xml:space="preserve">KWAP</t>
    </r>
    <r>
      <rPr>
        <sz val="11"/>
        <color theme="1"/>
        <rFont val="Noto Sans CJK SC"/>
        <family val="2"/>
      </rPr>
      <t xml:space="preserve">）的報導，此文找不到，應另有來源。</t>
    </r>
  </si>
  <si>
    <t xml:space="preserve">T#183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</si>
  <si>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</si>
  <si>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2025-12-16</t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</si>
  <si>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原文明列為 </t>
    </r>
    <r>
      <rPr>
        <sz val="11"/>
        <color theme="1"/>
        <rFont val="Calibri"/>
        <family val="2"/>
        <charset val="1"/>
      </rPr>
      <t xml:space="preserve">Total IT Capacity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，不是未說明。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上線日、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早期公告、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租戶原文皆無；頁尾為 </t>
    </r>
    <r>
      <rPr>
        <sz val="11"/>
        <color theme="1"/>
        <rFont val="Calibri"/>
        <family val="2"/>
        <charset val="1"/>
      </rPr>
      <t xml:space="preserve">© 2023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2025-12-16 </t>
    </r>
    <r>
      <rPr>
        <sz val="11"/>
        <color theme="1"/>
        <rFont val="Noto Sans CJK SC"/>
        <family val="2"/>
      </rPr>
      <t xml:space="preserve">僅見於檔名。</t>
    </r>
  </si>
  <si>
    <t xml:space="preserve">https://princetondg.com/wp-content/uploads/2025/12/JH1_Factsheet_12162025.pdf</t>
  </si>
  <si>
    <t xml:space="preserve">T#184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</si>
  <si>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</si>
  <si>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52 MW</t>
  </si>
  <si>
    <t xml:space="preserve">2024-07-03</t>
  </si>
  <si>
    <r>
      <rPr>
        <sz val="11"/>
        <color theme="1"/>
        <rFont val="Calibri"/>
        <family val="2"/>
        <charset val="1"/>
      </rPr>
      <t xml:space="preserve">52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2024-07-03</t>
    </r>
    <r>
      <rPr>
        <sz val="11"/>
        <color theme="1"/>
        <rFont val="Noto Sans CJK SC"/>
        <family val="2"/>
      </rPr>
      <t xml:space="preserve">、公司自述皆屬實。但原文未稱客戶為「全球大型科技公司」（僅寫 </t>
    </r>
    <r>
      <rPr>
        <sz val="11"/>
        <color theme="1"/>
        <rFont val="Calibri"/>
        <family val="2"/>
        <charset val="1"/>
      </rPr>
      <t xml:space="preserve">some of the world's largest technology companies</t>
    </r>
    <r>
      <rPr>
        <sz val="11"/>
        <color theme="1"/>
        <rFont val="Noto Sans CJK SC"/>
        <family val="2"/>
      </rPr>
      <t xml:space="preserve">），也沒有原規劃 </t>
    </r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Q2 </t>
    </r>
    <r>
      <rPr>
        <sz val="11"/>
        <color theme="1"/>
        <rFont val="Noto Sans CJK SC"/>
        <family val="2"/>
      </rPr>
      <t xml:space="preserve">的說法。這些是備註中的錯誤說法。</t>
    </r>
  </si>
  <si>
    <t xml:space="preserve">https://princetondg.com/newsroom/princeton-digital-group-delivers-phase-one-of-its-150mw-ai-ready-jh1-campus-in-sedenak-tech-park-johor/</t>
  </si>
  <si>
    <t xml:space="preserve">T#185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</si>
  <si>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棟）｜在建</t>
    </r>
  </si>
  <si>
    <t xml:space="preserve">2025-12-04</t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</si>
  <si>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棟封頂有據。但「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」、「符合加速時程」原文皆無。文章日期為 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12-04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</si>
  <si>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https://www.datacenterdynamics.com/en/news/princeton-digital-group-tops-out-third-building-of-200mw-campus-in-johor-malaysia/</t>
  </si>
  <si>
    <t xml:space="preserve">T#186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</si>
  <si>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</si>
  <si>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棟動工有據。但「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GBI </t>
    </r>
    <r>
      <rPr>
        <sz val="11"/>
        <color theme="1"/>
        <rFont val="Noto Sans CJK SC"/>
        <family val="2"/>
      </rPr>
      <t xml:space="preserve">金級認證原文均未提及。日期 </t>
    </r>
    <r>
      <rPr>
        <sz val="11"/>
        <color theme="1"/>
        <rFont val="Calibri"/>
        <family val="2"/>
        <charset val="1"/>
      </rPr>
      <t xml:space="preserve">12-04 </t>
    </r>
    <r>
      <rPr>
        <sz val="11"/>
        <color theme="1"/>
        <rFont val="Noto Sans CJK SC"/>
        <family val="2"/>
      </rPr>
      <t xml:space="preserve">也找不到，文章為 </t>
    </r>
    <r>
      <rPr>
        <sz val="11"/>
        <color theme="1"/>
        <rFont val="Calibri"/>
        <family val="2"/>
        <charset val="1"/>
      </rPr>
      <t xml:space="preserve">12-10</t>
    </r>
    <r>
      <rPr>
        <sz val="11"/>
        <color theme="1"/>
        <rFont val="Noto Sans CJK SC"/>
        <family val="2"/>
      </rPr>
      <t xml:space="preserve">。</t>
    </r>
  </si>
  <si>
    <t xml:space="preserve">T#187</t>
  </si>
  <si>
    <t xml:space="preserve">Bridge Data Centres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</si>
  <si>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｜全園區｜在建</t>
    </r>
  </si>
  <si>
    <t xml:space="preserve">110 MW</t>
  </si>
  <si>
    <t xml:space="preserve">2022-10-20</t>
  </si>
  <si>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英畝、日期均屬實，口徑未說明亦合理，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為公司稱法合理。但原文是第一期開幕，整個專案並非「在建」，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100MW IT </t>
    </r>
    <r>
      <rPr>
        <sz val="11"/>
        <color theme="1"/>
        <rFont val="Noto Sans CJK SC"/>
        <family val="2"/>
      </rPr>
      <t xml:space="preserve">動工報導」在此原文找不到，該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是另外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年擴建計畫。</t>
    </r>
  </si>
  <si>
    <t xml:space="preserve">https://w.media/bridge-data-centres-bytedance-open-1st-hyperscale-dc-in-malaysia/</t>
  </si>
  <si>
    <t xml:space="preserve">T#188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</si>
  <si>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MY06-1</t>
    </r>
    <r>
      <rPr>
        <sz val="11"/>
        <color theme="1"/>
        <rFont val="Noto Sans CJK SC"/>
        <family val="2"/>
      </rPr>
      <t xml:space="preserve">）｜上線</t>
    </r>
  </si>
  <si>
    <t xml:space="preserve">2022-10-21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</si>
  <si>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anchor tenant </t>
    </r>
    <r>
      <rPr>
        <sz val="11"/>
        <color theme="1"/>
        <rFont val="Noto Sans CJK SC"/>
        <family val="2"/>
      </rPr>
      <t xml:space="preserve">屬實；但頁面日期為 </t>
    </r>
    <r>
      <rPr>
        <sz val="11"/>
        <color theme="1"/>
        <rFont val="Calibri"/>
        <family val="2"/>
        <charset val="1"/>
      </rPr>
      <t xml:space="preserve">2022-12-19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2022-10-21 </t>
    </r>
    <r>
      <rPr>
        <sz val="11"/>
        <color theme="1"/>
        <rFont val="Noto Sans CJK SC"/>
        <family val="2"/>
      </rPr>
      <t xml:space="preserve">為推定。原文是公司說法的贊助內容，且寫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月上線，與列中 </t>
    </r>
    <r>
      <rPr>
        <sz val="11"/>
        <color theme="1"/>
        <rFont val="Calibri"/>
        <family val="2"/>
        <charset val="1"/>
      </rPr>
      <t xml:space="preserve">expected_online 2022-10 </t>
    </r>
    <r>
      <rPr>
        <sz val="11"/>
        <color theme="1"/>
        <rFont val="Noto Sans CJK SC"/>
        <family val="2"/>
      </rPr>
      <t xml:space="preserve">不一致，列內已自承此點。</t>
    </r>
  </si>
  <si>
    <t xml:space="preserve">https://www.datacenterdynamics.com/en/marketwatch/building-a-modular-hyperscale-data-center-in-malaysia/</t>
  </si>
  <si>
    <t xml:space="preserve">T#189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</si>
  <si>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</si>
  <si>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原文建成年為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確實未揭露。原文僅稱首個採浸沒式冷卻，找不到「超大規模」及「公司稱」。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為主要租戶屬實。</t>
    </r>
  </si>
  <si>
    <t xml:space="preserve">https://baxtel.com/data-center/bridge-my06-02</t>
  </si>
  <si>
    <t xml:space="preserve">T#190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</si>
  <si>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MY06-3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MY06-4</t>
    </r>
    <r>
      <rPr>
        <sz val="11"/>
        <color theme="1"/>
        <rFont val="Noto Sans CJK SC"/>
        <family val="2"/>
      </rPr>
      <t xml:space="preserve">／擴建｜規劃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</si>
  <si>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棟說法屬實，原文稱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自述；「與官方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棟不符」及無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、時程皆於頁面找不到對照，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棟官方說法需另查。</t>
    </r>
    <r>
      <rPr>
        <sz val="11"/>
        <color theme="1"/>
        <rFont val="Calibri"/>
        <family val="2"/>
        <charset val="1"/>
      </rPr>
      <t xml:space="preserve">MY06-3/MY06-4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租戶屬實。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偏弱。</t>
    </r>
  </si>
  <si>
    <t xml:space="preserve">https://baxtel.com/data-centers/bridge-data-centres</t>
  </si>
  <si>
    <t xml:space="preserve">T#191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</si>
  <si>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</si>
  <si>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</si>
  <si>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94MW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億泰銖、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皆屬實。但原文只說合作，沒有各持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只適用 </t>
    </r>
    <r>
      <rPr>
        <sz val="11"/>
        <color theme="1"/>
        <rFont val="Calibri"/>
        <family val="2"/>
        <charset val="1"/>
      </rPr>
      <t xml:space="preserve">BKK1 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47MW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BKK2 </t>
    </r>
    <r>
      <rPr>
        <sz val="11"/>
        <color theme="1"/>
        <rFont val="Noto Sans CJK SC"/>
        <family val="2"/>
      </rPr>
      <t xml:space="preserve">要到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年。</t>
    </r>
  </si>
  <si>
    <t xml:space="preserve">https://www.kaohooninternational.com/markets/584422</t>
  </si>
  <si>
    <t xml:space="preserve">T#192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</si>
  <si>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</si>
  <si>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BKK1</t>
    </r>
    <r>
      <rPr>
        <sz val="11"/>
        <color theme="1"/>
        <rFont val="Noto Sans CJK SC"/>
        <family val="2"/>
      </rPr>
      <t xml:space="preserve">｜在建</t>
    </r>
  </si>
  <si>
    <t xml:space="preserve">https://portfolio-look-through.com/news/7770</t>
  </si>
  <si>
    <t xml:space="preserve">T#193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</si>
  <si>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BKK2</t>
    </r>
    <r>
      <rPr>
        <sz val="11"/>
        <color theme="1"/>
        <rFont val="Noto Sans CJK SC"/>
        <family val="2"/>
      </rPr>
      <t xml:space="preserve">｜在建</t>
    </r>
  </si>
  <si>
    <t xml:space="preserve">T#194</t>
  </si>
  <si>
    <t xml:space="preserve">NTT Global Data Centers (NTT GDC)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</si>
  <si>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</si>
  <si>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性質、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通電、動工時點皆與原文相符。但原文只寫 </t>
    </r>
    <r>
      <rPr>
        <sz val="11"/>
        <color theme="1"/>
        <rFont val="Calibri"/>
        <family val="2"/>
        <charset val="1"/>
      </rPr>
      <t xml:space="preserve">B.Grimm Power</t>
    </r>
    <r>
      <rPr>
        <sz val="11"/>
        <color theme="1"/>
        <rFont val="Noto Sans CJK SC"/>
        <family val="2"/>
      </rPr>
      <t xml:space="preserve">，沒有「</t>
    </r>
    <r>
      <rPr>
        <sz val="11"/>
        <color theme="1"/>
        <rFont val="Calibri"/>
        <family val="2"/>
        <charset val="1"/>
      </rPr>
      <t xml:space="preserve">Amata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Amata City </t>
    </r>
    <r>
      <rPr>
        <sz val="11"/>
        <color theme="1"/>
        <rFont val="Noto Sans CJK SC"/>
        <family val="2"/>
      </rPr>
      <t xml:space="preserve">工業區與 </t>
    </r>
    <r>
      <rPr>
        <sz val="11"/>
        <color theme="1"/>
        <rFont val="Calibri"/>
        <family val="2"/>
        <charset val="1"/>
      </rPr>
      <t xml:space="preserve">The Tech Capital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也不在本文，應來自其他來源。</t>
    </r>
  </si>
  <si>
    <t xml:space="preserve">https://www.datacenterdynamics.com/en/news/ntt-breaks-ground-on-campus-in-chonburi-thailand/</t>
  </si>
  <si>
    <t xml:space="preserve">T#195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</si>
  <si>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BKK5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</si>
  <si>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Amata </t>
    </r>
    <r>
      <rPr>
        <sz val="11"/>
        <color theme="1"/>
        <rFont val="Noto Sans CJK SC"/>
        <family val="2"/>
      </rPr>
      <t xml:space="preserve">簽土地協議、日期 </t>
    </r>
    <r>
      <rPr>
        <sz val="11"/>
        <color theme="1"/>
        <rFont val="Calibri"/>
        <family val="2"/>
        <charset val="1"/>
      </rPr>
      <t xml:space="preserve">2026-02-10</t>
    </r>
    <r>
      <rPr>
        <sz val="11"/>
        <color theme="1"/>
        <rFont val="Noto Sans CJK SC"/>
        <family val="2"/>
      </rPr>
      <t xml:space="preserve">、未公布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與上線時點皆屬實。但原文無「</t>
    </r>
    <r>
      <rPr>
        <sz val="11"/>
        <color theme="1"/>
        <rFont val="Calibri"/>
        <family val="2"/>
        <charset val="1"/>
      </rPr>
      <t xml:space="preserve">Bangkok 4 Campus</t>
    </r>
    <r>
      <rPr>
        <sz val="11"/>
        <color theme="1"/>
        <rFont val="Noto Sans CJK SC"/>
        <family val="2"/>
      </rPr>
      <t xml:space="preserve">」一詞，</t>
    </r>
    <r>
      <rPr>
        <sz val="11"/>
        <color theme="1"/>
        <rFont val="Calibri"/>
        <family val="2"/>
        <charset val="1"/>
      </rPr>
      <t xml:space="preserve">BKK4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BKK5 </t>
    </r>
    <r>
      <rPr>
        <sz val="11"/>
        <color theme="1"/>
        <rFont val="Noto Sans CJK SC"/>
        <family val="2"/>
      </rPr>
      <t xml:space="preserve">的範圍標示混用。</t>
    </r>
  </si>
  <si>
    <t xml:space="preserve">https://www.datacenterdynamics.com/en/news/ntt-buys-land-in-bangkok-thailand-for-new-data-center/</t>
  </si>
  <si>
    <t xml:space="preserve">T#196</t>
  </si>
  <si>
    <t xml:space="preserve">Gorilla Technology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</si>
  <si>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</si>
  <si>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、六機房（</t>
    </r>
    <r>
      <rPr>
        <sz val="11"/>
        <color theme="1"/>
        <rFont val="Calibri"/>
        <family val="2"/>
        <charset val="1"/>
      </rPr>
      <t xml:space="preserve">5×30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）皆屬實，但 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CTO </t>
    </r>
    <r>
      <rPr>
        <sz val="11"/>
        <color theme="1"/>
        <rFont val="Noto Sans CJK SC"/>
        <family val="2"/>
      </rPr>
      <t xml:space="preserve">規劃假設（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），非「公司稱可支援」；延遲說明部分原文無，需另證。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標利害關係人合理。</t>
    </r>
  </si>
  <si>
    <t xml:space="preserve">https://investingnews.com/gorilla-technology-secures-200mw-thailand-ai-campus-to-power-southeast-asia-s-next-wave-of-ai-compute/</t>
  </si>
  <si>
    <t xml:space="preserve">T#197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</si>
  <si>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</si>
  <si>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整地、推進融資與採購、洽談客戶屬實。但原文無「</t>
    </r>
    <r>
      <rPr>
        <sz val="11"/>
        <color theme="1"/>
        <rFont val="Calibri"/>
        <family val="2"/>
        <charset val="1"/>
      </rPr>
      <t xml:space="preserve">Korat AI Campus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上線。原文日期為 </t>
    </r>
    <r>
      <rPr>
        <sz val="11"/>
        <color theme="1"/>
        <rFont val="Calibri"/>
        <family val="2"/>
        <charset val="1"/>
      </rPr>
      <t xml:space="preserve">8/24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8/25 </t>
    </r>
    <r>
      <rPr>
        <sz val="11"/>
        <color theme="1"/>
        <rFont val="Noto Sans CJK SC"/>
        <family val="2"/>
      </rPr>
      <t xml:space="preserve">屬估算。</t>
    </r>
  </si>
  <si>
    <t xml:space="preserve">https://finance.yahoo.com/markets/stocks/articles/gorilla-technology-group-q2-earnings-220210794.html</t>
  </si>
  <si>
    <t xml:space="preserve">T#198</t>
  </si>
  <si>
    <t xml:space="preserve">True IDC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</si>
  <si>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｜全園區｜在建</t>
    </r>
  </si>
  <si>
    <t xml:space="preserve">2026-04-01</t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</si>
  <si>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為總電力容量，原文未說明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不在本文，但已標註出自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</si>
  <si>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https://www.acnnewswire.com/press-release/english/106122/true-idc-pushes-</t>
  </si>
  <si>
    <t xml:space="preserve">T#199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</si>
  <si>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｜第一期｜在建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</si>
  <si>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年前運作屬實，原文未揭露首期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留空一致。凍結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件一節不在本文，但已標為另有出處。</t>
    </r>
  </si>
  <si>
    <t xml:space="preserve">T#200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</si>
  <si>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(BOI </t>
    </r>
    <r>
      <rPr>
        <sz val="11"/>
        <color theme="1"/>
        <rFont val="Noto Sans CJK SC"/>
        <family val="2"/>
      </rPr>
      <t xml:space="preserve">核准案，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Samut Prakan)</t>
    </r>
    <r>
      <rPr>
        <sz val="11"/>
        <color theme="1"/>
        <rFont val="Noto Sans CJK SC"/>
        <family val="2"/>
      </rPr>
      <t xml:space="preserve">｜全園區｜規劃</t>
    </r>
  </si>
  <si>
    <t xml:space="preserve">223 MW</t>
  </si>
  <si>
    <t xml:space="preserve">2026-01-16</t>
  </si>
  <si>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在原文只對應兩座 </t>
    </r>
    <r>
      <rPr>
        <sz val="11"/>
        <color theme="1"/>
        <rFont val="Calibri"/>
        <family val="2"/>
        <charset val="1"/>
      </rPr>
      <t xml:space="preserve">True IDC </t>
    </r>
    <r>
      <rPr>
        <sz val="11"/>
        <color theme="1"/>
        <rFont val="Noto Sans CJK SC"/>
        <family val="2"/>
      </rPr>
      <t xml:space="preserve">資料中心，三座才是 </t>
    </r>
    <r>
      <rPr>
        <sz val="11"/>
        <color theme="1"/>
        <rFont val="Calibri"/>
        <family val="2"/>
        <charset val="1"/>
      </rPr>
      <t xml:space="preserve">453 </t>
    </r>
    <r>
      <rPr>
        <sz val="11"/>
        <color theme="1"/>
        <rFont val="Noto Sans CJK SC"/>
        <family val="2"/>
      </rPr>
      <t xml:space="preserve">億泰銖。列中把三案與 </t>
    </r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併稱，並寫成「全園區」「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」，原文無此名稱與範圍。</t>
    </r>
  </si>
  <si>
    <t xml:space="preserve">https://www.datacenterdynamics.com/en/news/thailand-board-of-investment-approves-31bn-in-data-center-projects/</t>
  </si>
  <si>
    <t xml:space="preserve">T#201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</si>
  <si>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</si>
  <si>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Chonburi (TH-1)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</si>
  <si>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2026-09-27</t>
  </si>
  <si>
    <r>
      <rPr>
        <sz val="11"/>
        <color theme="1"/>
        <rFont val="Noto Sans CJK SC"/>
        <family val="2"/>
      </rPr>
      <t xml:space="preserve">來源原文為亂碼，無法讀取；找不到「在建」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BOI THB328</t>
    </r>
    <r>
      <rPr>
        <sz val="11"/>
        <color theme="1"/>
        <rFont val="Noto Sans CJK SC"/>
        <family val="2"/>
      </rPr>
      <t xml:space="preserve">億或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上線等內容，無法佐證。</t>
    </r>
  </si>
  <si>
    <t xml:space="preserve">https://en.vietnamplus.vn/thailand-collaborates-with-google-to-develop-data-centre-standards-post352682.vnp</t>
  </si>
  <si>
    <t xml:space="preserve">T#202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</si>
  <si>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</si>
  <si>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</si>
  <si>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登記證、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億美元、原訂</t>
    </r>
    <r>
      <rPr>
        <sz val="11"/>
        <color theme="1"/>
        <rFont val="Calibri"/>
        <family val="2"/>
        <charset val="1"/>
      </rPr>
      <t xml:space="preserve">8/29</t>
    </r>
    <r>
      <rPr>
        <sz val="11"/>
        <color theme="1"/>
        <rFont val="Noto Sans CJK SC"/>
        <family val="2"/>
      </rPr>
      <t xml:space="preserve">後延至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皆屬實。但原文找不到「原訂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上線」，原文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是動工而非上線。</t>
    </r>
  </si>
  <si>
    <t xml:space="preserve">https://www.vietnam.vn/en/chua-thong-nhat-gia-dien-du-an-trung-tam-du-lieu-2-1-ty-usd-tai-tp-hcm-gap-kho</t>
  </si>
  <si>
    <t xml:space="preserve">T#203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</si>
  <si>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Factory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</si>
  <si>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28,000 GPU</t>
    </r>
    <r>
      <rPr>
        <sz val="11"/>
        <color theme="1"/>
        <rFont val="Noto Sans CJK SC"/>
        <family val="2"/>
      </rPr>
      <t xml:space="preserve">、未說明口徑皆屬實。但 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上線與動工延後不在此文，需靠其他來源；此文只說資金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底前到位。來源標題寫「公司本人」不準，實為媒體報導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。</t>
    </r>
  </si>
  <si>
    <t xml:space="preserve">https://en.vneconomy.vn/hcmc-to-break-ground-on-2-bln-ai-data-center.htm</t>
  </si>
  <si>
    <t xml:space="preserve">T#204</t>
  </si>
  <si>
    <t xml:space="preserve">Viettel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</si>
  <si>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</si>
  <si>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140 MW</t>
  </si>
  <si>
    <t xml:space="preserve">2025-04-23</t>
  </si>
  <si>
    <r>
      <rPr>
        <sz val="11"/>
        <color theme="1"/>
        <rFont val="Noto Sans CJK SC"/>
        <family val="2"/>
      </rPr>
      <t xml:space="preserve">提供的原文為無法解讀的亂碼，找不到 </t>
    </r>
    <r>
      <rPr>
        <sz val="11"/>
        <color theme="1"/>
        <rFont val="Calibri"/>
        <family val="2"/>
        <charset val="1"/>
      </rPr>
      <t xml:space="preserve">140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萬機櫃或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等說法，無法核對。</t>
    </r>
  </si>
  <si>
    <t xml:space="preserve">https://znews.vn/viettel-khoi-cong-trung-tam-du-lieu-sieu-lon-o-cu-chi-post1548185.html</t>
  </si>
  <si>
    <t xml:space="preserve">T#205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</si>
  <si>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</si>
  <si>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上線、第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、地點皆與原文一致。但來源是 </t>
    </r>
    <r>
      <rPr>
        <sz val="11"/>
        <color theme="1"/>
        <rFont val="Calibri"/>
        <family val="2"/>
        <charset val="1"/>
      </rPr>
      <t xml:space="preserve">VietNamNet </t>
    </r>
    <r>
      <rPr>
        <sz val="11"/>
        <color theme="1"/>
        <rFont val="Noto Sans CJK SC"/>
        <family val="2"/>
      </rPr>
      <t xml:space="preserve">報導，不是公司本人文件；文章發布日為 </t>
    </r>
    <r>
      <rPr>
        <sz val="11"/>
        <color theme="1"/>
        <rFont val="Calibri"/>
        <family val="2"/>
        <charset val="1"/>
      </rPr>
      <t xml:space="preserve">4/24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4/23 </t>
    </r>
    <r>
      <rPr>
        <sz val="11"/>
        <color theme="1"/>
        <rFont val="Noto Sans CJK SC"/>
        <family val="2"/>
      </rPr>
      <t xml:space="preserve">是動土日。</t>
    </r>
  </si>
  <si>
    <t xml:space="preserve">https://vietnamnet.vn/en/vietnam-breaks-ground-on-first-data-center-exceeding-100mw-2394651.html</t>
  </si>
  <si>
    <t xml:space="preserve">T#206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</si>
  <si>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，再建三個資料中心樓）｜規劃</t>
    </r>
  </si>
  <si>
    <r>
      <rPr>
        <sz val="11"/>
        <color theme="1"/>
        <rFont val="Noto Sans CJK SC"/>
        <family val="2"/>
      </rPr>
      <t xml:space="preserve">提供的原文為無法解讀的亂碼，找不到第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、三個資料中心樓等說法，無法核對。</t>
    </r>
  </si>
  <si>
    <t xml:space="preserve">T#207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</si>
  <si>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</si>
  <si>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</si>
  <si>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提供的來源原文為亂碼，無法讀取，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億美元等說法皆無法核對。</t>
    </r>
  </si>
  <si>
    <t xml:space="preserve">https://en.nhandan.vn/viet-nams-cmc-inks-1-bln-usd-data-centre-deal-with-samsung-ct-in-seoul-post151653.html</t>
  </si>
  <si>
    <t xml:space="preserve">T#208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</si>
  <si>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(Phase 1)</t>
    </r>
    <r>
      <rPr>
        <sz val="11"/>
        <color theme="1"/>
        <rFont val="Noto Sans CJK SC"/>
        <family val="2"/>
      </rPr>
      <t xml:space="preserve">｜規劃</t>
    </r>
  </si>
  <si>
    <t xml:space="preserve">2025-08-14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</si>
  <si>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2025-08-14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未說明亦合理。但 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開工、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投產等時程及第三方說法不在此原文，須另有來源。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TNGlobal </t>
    </r>
    <r>
      <rPr>
        <sz val="11"/>
        <color theme="1"/>
        <rFont val="Noto Sans CJK SC"/>
        <family val="2"/>
      </rPr>
      <t xml:space="preserve">報導，非公司本人。</t>
    </r>
  </si>
  <si>
    <t xml:space="preserve">https://technode.global/2025/08/14/vietnams-cmc-inks-1b-data-center-deal-with-samsung-ct/</t>
  </si>
  <si>
    <t xml:space="preserve">T#209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</si>
  <si>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｜後續分期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</si>
  <si>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後續分期超過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、總投資約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億美元、簽約日</t>
    </r>
    <r>
      <rPr>
        <sz val="11"/>
        <color theme="1"/>
        <rFont val="Calibri"/>
        <family val="2"/>
        <charset val="1"/>
      </rPr>
      <t xml:space="preserve">8/12</t>
    </r>
    <r>
      <rPr>
        <sz val="11"/>
        <color theme="1"/>
        <rFont val="Noto Sans CJK SC"/>
        <family val="2"/>
      </rPr>
      <t xml:space="preserve">、屬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自述均屬實。但原文只分兩期，沒有「第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期」；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年上線、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矛盾、已無新進展均不在原文。</t>
    </r>
  </si>
  <si>
    <t xml:space="preserve">https://w.media/samsung-ct-cmc-ink-mou-to-build-us1-billion-data-center-in-ho-chi-minh-city/</t>
  </si>
  <si>
    <t xml:space="preserve">T#210</t>
  </si>
  <si>
    <t xml:space="preserve">DAMAC Digital</t>
  </si>
  <si>
    <r>
      <rPr>
        <sz val="11"/>
        <color theme="1"/>
        <rFont val="Calibri"/>
        <family val="2"/>
        <charset val="1"/>
      </rPr>
      <t xml:space="preserve">DAMAC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DAMAC Laguna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</si>
  <si>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可見原文為付費牆截斷，僅有導言，未見 </t>
    </r>
    <r>
      <rPr>
        <sz val="11"/>
        <color theme="1"/>
        <rFont val="Calibri"/>
        <family val="2"/>
        <charset val="1"/>
      </rPr>
      <t xml:space="preserve">DAMAC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DTI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內容；全文可能在付費部分，無法證實。</t>
    </r>
  </si>
  <si>
    <t xml:space="preserve">https://www.manilatimes.net/2026/05/08/business/top-business/ph-steps-up-energy-ai-infra-deals-with-uae/2338680/amp</t>
  </si>
  <si>
    <t xml:space="preserve">T#211</t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</si>
  <si>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</si>
  <si>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</si>
  <si>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</t>
    </r>
    <r>
      <rPr>
        <sz val="11"/>
        <color theme="1"/>
        <rFont val="Calibri"/>
        <family val="2"/>
        <charset val="1"/>
      </rPr>
      <t xml:space="preserve">2025-10-27 </t>
    </r>
    <r>
      <rPr>
        <sz val="11"/>
        <color theme="1"/>
        <rFont val="Noto Sans CJK SC"/>
        <family val="2"/>
      </rPr>
      <t xml:space="preserve">皆屬實。但頁面是海峽時報轉載，不是 </t>
    </r>
    <r>
      <rPr>
        <sz val="11"/>
        <color theme="1"/>
        <rFont val="Calibri"/>
        <family val="2"/>
        <charset val="1"/>
      </rPr>
      <t xml:space="preserve">JTC </t>
    </r>
    <r>
      <rPr>
        <sz val="11"/>
        <color theme="1"/>
        <rFont val="Noto Sans CJK SC"/>
        <family val="2"/>
      </rPr>
      <t xml:space="preserve">本人文章；原文也找不到「</t>
    </r>
    <r>
      <rPr>
        <sz val="11"/>
        <color theme="1"/>
        <rFont val="Calibri"/>
        <family val="2"/>
        <charset val="1"/>
      </rPr>
      <t xml:space="preserve">2026-04-14 </t>
    </r>
    <r>
      <rPr>
        <sz val="11"/>
        <color theme="1"/>
        <rFont val="Noto Sans CJK SC"/>
        <family val="2"/>
      </rPr>
      <t xml:space="preserve">重述」。</t>
    </r>
  </si>
  <si>
    <t xml:space="preserve">https://www.jtc.gov.sg/jurongisland/story-articles/jurong-island-to-host-largest-green-data-centre-park-in-singapore</t>
  </si>
  <si>
    <t xml:space="preserve">T#212</t>
  </si>
  <si>
    <t xml:space="preserve">Digital Realty</t>
  </si>
  <si>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｜規劃</t>
    </r>
  </si>
  <si>
    <t xml:space="preserve">2026-08-21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</si>
  <si>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、日期和未公布細節都對。但「暫定」配額原文沒有，原文只說 </t>
    </r>
    <r>
      <rPr>
        <sz val="11"/>
        <color theme="1"/>
        <rFont val="Calibri"/>
        <family val="2"/>
        <charset val="1"/>
      </rPr>
      <t xml:space="preserve">allocated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</si>
  <si>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https://www.datacenterdynamics.com/en/news/singapore-govt-allocates-200mw-of-power-for-four-data-center-developers-on-jurong-island/</t>
  </si>
  <si>
    <t xml:space="preserve">T#213</t>
  </si>
  <si>
    <t xml:space="preserve">Equinix</t>
  </si>
  <si>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</si>
  <si>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和時程未公布都屬實。「暫定」一詞原文沒有，屬小幅加註。</t>
    </r>
  </si>
  <si>
    <t xml:space="preserve">T#214</t>
  </si>
  <si>
    <t xml:space="preserve">Keppel Data Centres</t>
  </si>
  <si>
    <r>
      <rPr>
        <sz val="11"/>
        <color theme="1"/>
        <rFont val="Calibri"/>
        <family val="2"/>
        <charset val="1"/>
      </rPr>
      <t xml:space="preserve">Keppel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Keppel DC SGP 11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</si>
  <si>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Keppel DC SGP 11 </t>
    </r>
    <r>
      <rPr>
        <sz val="11"/>
        <color theme="1"/>
        <rFont val="Noto Sans CJK SC"/>
        <family val="2"/>
      </rPr>
      <t xml:space="preserve">屬實。「</t>
    </r>
    <r>
      <rPr>
        <sz val="11"/>
        <color theme="1"/>
        <rFont val="Calibri"/>
        <family val="2"/>
        <charset val="1"/>
      </rPr>
      <t xml:space="preserve">S$1</t>
    </r>
    <r>
      <rPr>
        <sz val="11"/>
        <color theme="1"/>
        <rFont val="Noto Sans CJK SC"/>
        <family val="2"/>
      </rPr>
      <t xml:space="preserve">億（十億）」寫法混亂，原文是 </t>
    </r>
    <r>
      <rPr>
        <sz val="11"/>
        <color theme="1"/>
        <rFont val="Calibri"/>
        <family val="2"/>
        <charset val="1"/>
      </rPr>
      <t xml:space="preserve">S$1 billion</t>
    </r>
    <r>
      <rPr>
        <sz val="11"/>
        <color theme="1"/>
        <rFont val="Noto Sans CJK SC"/>
        <family val="2"/>
      </rPr>
      <t xml:space="preserve">，即十億。</t>
    </r>
  </si>
  <si>
    <t xml:space="preserve">T#215</t>
  </si>
  <si>
    <t xml:space="preserve">ST Telemedia Global Data Centres</t>
  </si>
  <si>
    <r>
      <rPr>
        <sz val="11"/>
        <color theme="1"/>
        <rFont val="Calibri"/>
        <family val="2"/>
        <charset val="1"/>
      </rPr>
      <t xml:space="preserve">ST Telemedia Global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ST Telemedia GDC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</si>
  <si>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合計和時程未揭露都對。但原文是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低碳能源，不是「</t>
    </r>
    <r>
      <rPr>
        <sz val="11"/>
        <color theme="1"/>
        <rFont val="Calibri"/>
        <family val="2"/>
        <charset val="1"/>
      </rPr>
      <t xml:space="preserve">&gt;50%</t>
    </r>
    <r>
      <rPr>
        <sz val="11"/>
        <color theme="1"/>
        <rFont val="Noto Sans CJK SC"/>
        <family val="2"/>
      </rPr>
      <t xml:space="preserve">」，且沒有「暫定」。</t>
    </r>
  </si>
  <si>
    <t xml:space="preserve">T#216</t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</si>
  <si>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</si>
  <si>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試驗設施（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）｜規劃</t>
    </r>
  </si>
  <si>
    <t xml:space="preserve">2025-11-28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</si>
  <si>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試驗設施、低碳資料中心園區屬實；規模未揭露亦合理。但原文未提「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」與「可行性研究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年開始」，且 </t>
    </r>
    <r>
      <rPr>
        <sz val="11"/>
        <color theme="1"/>
        <rFont val="Calibri"/>
        <family val="2"/>
        <charset val="1"/>
      </rPr>
      <t xml:space="preserve">metric=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unit=MW </t>
    </r>
    <r>
      <rPr>
        <sz val="11"/>
        <color theme="1"/>
        <rFont val="Noto Sans CJK SC"/>
        <family val="2"/>
      </rPr>
      <t xml:space="preserve">無對應數值。</t>
    </r>
  </si>
  <si>
    <t xml:space="preserve">https://cde.nus.edu.sg/news/nus-and-jtc-to-test-green-data-centre-innovations-on-jurong-island</t>
  </si>
  <si>
    <t xml:space="preserve">T#217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</si>
  <si>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SYD3 Campus, Eastern Creek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</si>
  <si>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400MW+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320+MW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A$42.5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年中皆屬實。但原文發布與公告日為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；「在建」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實為園區容量，基準未說明；位址 </t>
    </r>
    <r>
      <rPr>
        <sz val="11"/>
        <color theme="1"/>
        <rFont val="Calibri"/>
        <family val="2"/>
        <charset val="1"/>
      </rPr>
      <t xml:space="preserve">Eastern Creek/Huntingwood </t>
    </r>
    <r>
      <rPr>
        <sz val="11"/>
        <color theme="1"/>
        <rFont val="Noto Sans CJK SC"/>
        <family val="2"/>
      </rPr>
      <t xml:space="preserve">原文未見，僅稱</t>
    </r>
    <r>
      <rPr>
        <sz val="11"/>
        <color theme="1"/>
        <rFont val="Calibri"/>
        <family val="2"/>
        <charset val="1"/>
      </rPr>
      <t xml:space="preserve">Western Sydney</t>
    </r>
    <r>
      <rPr>
        <sz val="11"/>
        <color theme="1"/>
        <rFont val="Noto Sans CJK SC"/>
        <family val="2"/>
      </rPr>
      <t xml:space="preserve">。</t>
    </r>
  </si>
  <si>
    <t xml:space="preserve">https://constructionreviewonline.com/a4-25-billion-green-loan-to-fund-airtrunk-australia-data-centre-expansion-in-sydney/</t>
  </si>
  <si>
    <t xml:space="preserve">T#218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</si>
  <si>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，官方公告）｜規劃</t>
    </r>
  </si>
  <si>
    <t xml:space="preserve">354 MW</t>
  </si>
  <si>
    <t xml:space="preserve">2025-12-24</t>
  </si>
  <si>
    <r>
      <rPr>
        <sz val="11"/>
        <color theme="1"/>
        <rFont val="Calibri"/>
        <family val="2"/>
        <charset val="1"/>
      </rPr>
      <t xml:space="preserve">354MW</t>
    </r>
    <r>
      <rPr>
        <sz val="11"/>
        <color theme="1"/>
        <rFont val="Noto Sans CJK SC"/>
        <family val="2"/>
      </rPr>
      <t xml:space="preserve">、逾、公司說法、</t>
    </r>
    <r>
      <rPr>
        <sz val="11"/>
        <color theme="1"/>
        <rFont val="Calibri"/>
        <family val="2"/>
        <charset val="1"/>
      </rPr>
      <t xml:space="preserve">2025-12-24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 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Tullamarine</t>
    </r>
    <r>
      <rPr>
        <sz val="11"/>
        <color theme="1"/>
        <rFont val="Noto Sans CJK SC"/>
        <family val="2"/>
      </rPr>
      <t xml:space="preserve">，也未提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（原文稱時程未公布），這些來自別處，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不能由此來源支持。</t>
    </r>
  </si>
  <si>
    <t xml:space="preserve">https://www.datacenterdynamics.com/en/news/airtrunk-acquires-site-in-melbourne-australia-for-354mw-data-center/</t>
  </si>
  <si>
    <t xml:space="preserve">T#219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</si>
  <si>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45 Donnybrook Rd </t>
    </r>
    <r>
      <rPr>
        <sz val="11"/>
        <color theme="1"/>
        <rFont val="Noto Sans CJK SC"/>
        <family val="2"/>
      </rPr>
      <t xml:space="preserve">七棟提案（與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的關聯未證實）｜規劃</t>
    </r>
  </si>
  <si>
    <r>
      <rPr>
        <sz val="11"/>
        <color theme="1"/>
        <rFont val="Noto Sans CJK SC"/>
        <family val="2"/>
      </rPr>
      <t xml:space="preserve">原文只說七棟、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公頃、三週前提交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，沒有</t>
    </r>
    <r>
      <rPr>
        <sz val="11"/>
        <color theme="1"/>
        <rFont val="Calibri"/>
        <family val="2"/>
        <charset val="1"/>
      </rPr>
      <t xml:space="preserve">93.6</t>
    </r>
    <r>
      <rPr>
        <sz val="11"/>
        <color theme="1"/>
        <rFont val="Noto Sans CJK SC"/>
        <family val="2"/>
      </rPr>
      <t xml:space="preserve">萬㎡樓地板面積，也沒有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數字。原文稱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為買家並規劃，並未說申請人未具名。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是指</t>
    </r>
    <r>
      <rPr>
        <sz val="11"/>
        <color theme="1"/>
        <rFont val="Calibri"/>
        <family val="2"/>
        <charset val="1"/>
      </rPr>
      <t xml:space="preserve">Campbellfield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Oroya Drive</t>
    </r>
    <r>
      <rPr>
        <sz val="11"/>
        <color theme="1"/>
        <rFont val="Noto Sans CJK SC"/>
        <family val="2"/>
      </rPr>
      <t xml:space="preserve">，不是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。</t>
    </r>
  </si>
  <si>
    <t xml:space="preserve">https://www.realestatesource.com.au/data-centre-giant-buys-350m-melbourne-site/</t>
  </si>
  <si>
    <t xml:space="preserve">T#220</t>
  </si>
  <si>
    <t xml:space="preserve">CDC Data Centres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</si>
  <si>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｜全園區｜在建</t>
    </r>
  </si>
  <si>
    <t xml:space="preserve">504 MW</t>
  </si>
  <si>
    <r>
      <rPr>
        <sz val="11"/>
        <color theme="1"/>
        <rFont val="Calibri"/>
        <family val="2"/>
        <charset val="1"/>
      </rPr>
      <t xml:space="preserve">504MW ICT</t>
    </r>
    <r>
      <rPr>
        <sz val="11"/>
        <color theme="1"/>
        <rFont val="Noto Sans CJK SC"/>
        <family val="2"/>
      </rPr>
      <t xml:space="preserve">、可擴至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核准、公司口吻皆屬實。但原文無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交付、施工至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；「在建」也只是獲批規劃。</t>
    </r>
  </si>
  <si>
    <t xml:space="preserve">https://w.media/nsw-govt-approves-cdcs-504-mw-campus-in-sydney/</t>
  </si>
  <si>
    <t xml:space="preserve">T#221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</si>
  <si>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MP1</t>
    </r>
    <r>
      <rPr>
        <sz val="11"/>
        <color theme="1"/>
        <rFont val="Noto Sans CJK SC"/>
        <family val="2"/>
      </rPr>
      <t xml:space="preserve">（首座建築）｜上線</t>
    </r>
  </si>
  <si>
    <r>
      <rPr>
        <sz val="11"/>
        <color theme="1"/>
        <rFont val="Noto Sans CJK SC"/>
        <family val="2"/>
      </rPr>
      <t xml:space="preserve">原文列 </t>
    </r>
    <r>
      <rPr>
        <sz val="11"/>
        <color theme="1"/>
        <rFont val="Calibri"/>
        <family val="2"/>
        <charset val="1"/>
      </rPr>
      <t xml:space="preserve">Marsden Park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起已交付，未給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與客戶；</t>
    </r>
    <r>
      <rPr>
        <sz val="11"/>
        <color theme="1"/>
        <rFont val="Calibri"/>
        <family val="2"/>
        <charset val="1"/>
      </rPr>
      <t xml:space="preserve">Marsden Park </t>
    </r>
    <r>
      <rPr>
        <sz val="11"/>
        <color theme="1"/>
        <rFont val="Noto Sans CJK SC"/>
        <family val="2"/>
      </rPr>
      <t xml:space="preserve">多座大型機房為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，與列中說法一致。</t>
    </r>
  </si>
  <si>
    <t xml:space="preserve">https://infratil.com/news/data-centre-demand-drives-growth-and-guidance-increase/infratil-investor-day-2026-cdc-update/</t>
  </si>
  <si>
    <t xml:space="preserve">T#222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</si>
  <si>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MP2 </t>
    </r>
    <r>
      <rPr>
        <sz val="11"/>
        <color theme="1"/>
        <rFont val="Noto Sans CJK SC"/>
        <family val="2"/>
      </rPr>
      <t xml:space="preserve">起（其餘建築）｜在建</t>
    </r>
  </si>
  <si>
    <r>
      <rPr>
        <sz val="11"/>
        <color theme="1"/>
        <rFont val="Noto Sans CJK SC"/>
        <family val="2"/>
      </rPr>
      <t xml:space="preserve">原文是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Infratil </t>
    </r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月結），列中寫成 </t>
    </r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像曆年，時點略偏。</t>
    </r>
    <r>
      <rPr>
        <sz val="11"/>
        <color theme="1"/>
        <rFont val="Calibri"/>
        <family val="2"/>
        <charset val="1"/>
      </rPr>
      <t xml:space="preserve">FY27-29 </t>
    </r>
    <r>
      <rPr>
        <sz val="11"/>
        <color theme="1"/>
        <rFont val="Noto Sans CJK SC"/>
        <family val="2"/>
      </rPr>
      <t xml:space="preserve">交付與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未揭露屬實；官網建築數不在此來源。</t>
    </r>
  </si>
  <si>
    <t xml:space="preserve">T#223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</si>
  <si>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</si>
  <si>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2026-10-12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</si>
  <si>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$15bn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SEARs</t>
    </r>
    <r>
      <rPr>
        <sz val="11"/>
        <color theme="1"/>
        <rFont val="Noto Sans CJK SC"/>
        <family val="2"/>
      </rPr>
      <t xml:space="preserve">階段未獲批准皆屬實。但頁面未載 </t>
    </r>
    <r>
      <rPr>
        <sz val="11"/>
        <color theme="1"/>
        <rFont val="Calibri"/>
        <family val="2"/>
        <charset val="1"/>
      </rPr>
      <t xml:space="preserve">2026-09-16 scoping report </t>
    </r>
    <r>
      <rPr>
        <sz val="11"/>
        <color theme="1"/>
        <rFont val="Noto Sans CJK SC"/>
        <family val="2"/>
      </rPr>
      <t xml:space="preserve">日期，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是議會決議日。來源為市議會頁面，非公司本人。</t>
    </r>
  </si>
  <si>
    <t xml:space="preserve">https://haveyoursay.wagga.nsw.gov.au/ashford-road-gregadoo-data-centre-proposal</t>
  </si>
  <si>
    <t xml:space="preserve">T#224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</si>
  <si>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｜單棟（共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棟，分期建置）｜規劃</t>
    </r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</si>
  <si>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47,275</t>
    </r>
    <r>
      <rPr>
        <sz val="11"/>
        <color theme="1"/>
        <rFont val="Noto Sans CJK SC"/>
        <family val="2"/>
      </rPr>
      <t xml:space="preserve">平方米、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未說明亦合。但原文日期為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是推估而錯；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寫「記者推論」並非原標題；來源為 </t>
    </r>
    <r>
      <rPr>
        <sz val="11"/>
        <color theme="1"/>
        <rFont val="Calibri"/>
        <family val="2"/>
        <charset val="1"/>
      </rPr>
      <t xml:space="preserve">SEARs </t>
    </r>
    <r>
      <rPr>
        <sz val="11"/>
        <color theme="1"/>
        <rFont val="Noto Sans CJK SC"/>
        <family val="2"/>
      </rPr>
      <t xml:space="preserve">申請文件，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4×240=960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不符也屬實。</t>
    </r>
  </si>
  <si>
    <t xml:space="preserve">https://www.datacenterdynamics.com/en/news/australias-cdc-plans-gigawatt-scale-data-center-campus-in-wagga-wagga/</t>
  </si>
  <si>
    <t xml:space="preserve">T#225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</si>
  <si>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Bundey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</si>
  <si>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https://www.globenewswire.com/news-release/2026/06/03/3305925/0/en/iren-announces-first-australian-data-center-campus-800mw-in-south-australia.html</t>
  </si>
  <si>
    <t xml:space="preserve">T#226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</si>
  <si>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</t>
    </r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</si>
  <si>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，改建舊 </t>
    </r>
    <r>
      <rPr>
        <sz val="11"/>
        <color theme="1"/>
        <rFont val="Calibri"/>
        <family val="2"/>
        <charset val="1"/>
      </rPr>
      <t xml:space="preserve">IBM/Kyndryl </t>
    </r>
    <r>
      <rPr>
        <sz val="11"/>
        <color theme="1"/>
        <rFont val="Noto Sans CJK SC"/>
        <family val="2"/>
      </rPr>
      <t xml:space="preserve">機房）｜上線</t>
    </r>
  </si>
  <si>
    <r>
      <rPr>
        <sz val="11"/>
        <color theme="1"/>
        <rFont val="Calibri"/>
        <family val="2"/>
        <charset val="1"/>
      </rPr>
      <t xml:space="preserve">15MW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、全租給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8,200 </t>
    </r>
    <r>
      <rPr>
        <sz val="11"/>
        <color theme="1"/>
        <rFont val="Noto Sans CJK SC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屬實。原文未提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字樣、</t>
    </r>
    <r>
      <rPr>
        <sz val="11"/>
        <color theme="1"/>
        <rFont val="Calibri"/>
        <family val="2"/>
        <charset val="1"/>
      </rPr>
      <t xml:space="preserve">Sharon AI 8 </t>
    </r>
    <r>
      <rPr>
        <sz val="11"/>
        <color theme="1"/>
        <rFont val="Noto Sans CJK SC"/>
        <family val="2"/>
      </rPr>
      <t xml:space="preserve">月文件與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年、原訂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，這些無法由本文核對。</t>
    </r>
  </si>
  <si>
    <t xml:space="preserve">https://www.capitalbrief.com/briefing/greensquare-dc-brings-15mw-online-at-sydney-data-centre-leased-by-sharon-ai-c81cdb20-89c8-4521-8cee-e53be16786e5/</t>
  </si>
  <si>
    <t xml:space="preserve">T#227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</si>
  <si>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（綠地擴建）｜規劃</t>
    </r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</si>
  <si>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IDA </t>
    </r>
    <r>
      <rPr>
        <sz val="11"/>
        <color theme="1"/>
        <rFont val="Noto Sans CJK SC"/>
        <family val="2"/>
      </rPr>
      <t xml:space="preserve">背書也有。但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是公司稱的「擬議容量」，口徑未說明；原文無「綠地擴建」、「</t>
    </r>
    <r>
      <rPr>
        <sz val="11"/>
        <color theme="1"/>
        <rFont val="Calibri"/>
        <family val="2"/>
        <charset val="1"/>
      </rPr>
      <t xml:space="preserve">96MW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Hills </t>
    </r>
    <r>
      <rPr>
        <sz val="11"/>
        <color theme="1"/>
        <rFont val="Noto Sans CJK SC"/>
        <family val="2"/>
      </rPr>
      <t xml:space="preserve">議會等說法，後者屬他源。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大致合理。</t>
    </r>
  </si>
  <si>
    <t xml:space="preserve">https://itbrief.com.au/story/greensquare-opens-reused-sydney-data-centre-for-ai</t>
  </si>
  <si>
    <t xml:space="preserve">T#228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</si>
  <si>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</si>
  <si>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2026-01-14</t>
  </si>
  <si>
    <r>
      <rPr>
        <sz val="11"/>
        <color theme="1"/>
        <rFont val="Calibri"/>
        <family val="2"/>
        <charset val="1"/>
      </rPr>
      <t xml:space="preserve">100MW+</t>
    </r>
    <r>
      <rPr>
        <sz val="11"/>
        <color theme="1"/>
        <rFont val="Noto Sans CJK SC"/>
        <family val="2"/>
      </rPr>
      <t xml:space="preserve">、最高</t>
    </r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最高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億澳元屬實。但原文未提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園區範圍，也未寫官網「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」口徑；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是另一個 </t>
    </r>
    <r>
      <rPr>
        <sz val="11"/>
        <color theme="1"/>
        <rFont val="Calibri"/>
        <family val="2"/>
        <charset val="1"/>
      </rPr>
      <t xml:space="preserve">Brookhollow </t>
    </r>
    <r>
      <rPr>
        <sz val="11"/>
        <color theme="1"/>
        <rFont val="Noto Sans CJK SC"/>
        <family val="2"/>
      </rPr>
      <t xml:space="preserve">場址。</t>
    </r>
  </si>
  <si>
    <t xml:space="preserve">https://w.media/greensquaredc-pushes-ahead-with-100mw-plus-sydney-campus/</t>
  </si>
  <si>
    <t xml:space="preserve">T#229</t>
  </si>
  <si>
    <t xml:space="preserve">GreenSquareDC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</si>
  <si>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GreenSquareDC Spotswood Campus (MEL1)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</si>
  <si>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240MW IT</t>
    </r>
    <r>
      <rPr>
        <sz val="11"/>
        <color theme="1"/>
        <rFont val="Noto Sans CJK SC"/>
        <family val="2"/>
      </rPr>
      <t xml:space="preserve">、三層樓、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上線、公司說法與日期皆相符，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標註正確。官網與社區資料的說法本文未載，無法核對。申請已提交，本文未提「待裁決」。</t>
    </r>
  </si>
  <si>
    <t xml:space="preserve">https://www.datacenterdynamics.com/en/news/australias-greensquare-expands-into-melbourne-with-240mw-campus/</t>
  </si>
  <si>
    <t xml:space="preserve">T#230</t>
  </si>
  <si>
    <t xml:space="preserve">Macquarie Data Centres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</si>
  <si>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｜全園區｜在建</t>
    </r>
  </si>
  <si>
    <t xml:space="preserve">65 MW</t>
  </si>
  <si>
    <r>
      <rPr>
        <sz val="11"/>
        <color theme="1"/>
        <rFont val="Noto Sans CJK SC"/>
        <family val="2"/>
      </rPr>
      <t xml:space="preserve">原文僅稱園區為「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」，未標明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或設施口徑，也未說是在建量；在建的是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IC3 Super West</t>
    </r>
    <r>
      <rPr>
        <sz val="11"/>
        <color theme="1"/>
        <rFont val="Noto Sans CJK SC"/>
        <family val="2"/>
      </rPr>
      <t xml:space="preserve">。把 </t>
    </r>
    <r>
      <rPr>
        <sz val="11"/>
        <color theme="1"/>
        <rFont val="Calibri"/>
        <family val="2"/>
        <charset val="1"/>
      </rPr>
      <t xml:space="preserve">65MW </t>
    </r>
    <r>
      <rPr>
        <sz val="11"/>
        <color theme="1"/>
        <rFont val="Noto Sans CJK SC"/>
        <family val="2"/>
      </rPr>
      <t xml:space="preserve">當在建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容量並不符。官網 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70MW+ </t>
    </r>
    <r>
      <rPr>
        <sz val="11"/>
        <color theme="1"/>
        <rFont val="Noto Sans CJK SC"/>
        <family val="2"/>
      </rPr>
      <t xml:space="preserve">的說法不在此原文。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報導本身。</t>
    </r>
  </si>
  <si>
    <t xml:space="preserve">https://www.datacenterdynamics.com/en/news/macquarie-data-centres-tops-out-ic3-super-west-facility-in-sydney/</t>
  </si>
  <si>
    <t xml:space="preserve">T#231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</si>
  <si>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</si>
  <si>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 MW</t>
  </si>
  <si>
    <t xml:space="preserve">https://kalkine.com.au/news/technology/macquarie-technology-group-asxmaq-expands-data-centre-capacity-for-cloud-and-ai-workloads</t>
  </si>
  <si>
    <t xml:space="preserve">T#232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</si>
  <si>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</si>
  <si>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13 MW</t>
  </si>
  <si>
    <t xml:space="preserve">T#233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</si>
  <si>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IC3 Super West </t>
    </r>
    <r>
      <rPr>
        <sz val="11"/>
        <color theme="1"/>
        <rFont val="Noto Sans CJK SC"/>
        <family val="2"/>
      </rPr>
      <t xml:space="preserve">後續（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以後）｜規劃</t>
    </r>
  </si>
  <si>
    <t xml:space="preserve">2026-02-19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</si>
  <si>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設計與 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採購支持的規劃容量，</t>
    </r>
    <r>
      <rPr>
        <sz val="11"/>
        <color theme="1"/>
        <rFont val="Calibri"/>
        <family val="2"/>
        <charset val="1"/>
      </rPr>
      <t xml:space="preserve">47−19=28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，公司未公布 </t>
    </r>
    <r>
      <rPr>
        <sz val="11"/>
        <color theme="1"/>
        <rFont val="Calibri"/>
        <family val="2"/>
        <charset val="1"/>
      </rPr>
      <t xml:space="preserve">28MW </t>
    </r>
    <r>
      <rPr>
        <sz val="11"/>
        <color theme="1"/>
        <rFont val="Noto Sans CJK SC"/>
        <family val="2"/>
      </rPr>
      <t xml:space="preserve">時程，與原文相符。</t>
    </r>
  </si>
  <si>
    <t xml:space="preserve">https://securitybrief.com.au/story/macquarie-boosts-loan-to-fund-sydney-ai-data-centre</t>
  </si>
  <si>
    <t xml:space="preserve">T#234</t>
  </si>
  <si>
    <t xml:space="preserve">Datagrid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</si>
  <si>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｜全園區｜規劃</t>
    </r>
  </si>
  <si>
    <t xml:space="preserve">2026-07-23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</si>
  <si>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、已獲 </t>
    </r>
    <r>
      <rPr>
        <sz val="11"/>
        <color theme="1"/>
        <rFont val="Calibri"/>
        <family val="2"/>
        <charset val="1"/>
      </rPr>
      <t xml:space="preserve">resource consent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FID </t>
    </r>
    <r>
      <rPr>
        <sz val="11"/>
        <color theme="1"/>
        <rFont val="Noto Sans CJK SC"/>
        <family val="2"/>
      </rPr>
      <t xml:space="preserve">預計今年稍後皆屬實。公告日為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上線不在本文，應來自他源。</t>
    </r>
  </si>
  <si>
    <t xml:space="preserve">https://www.nzx.com/announcements/476540</t>
  </si>
  <si>
    <t xml:space="preserve">T#235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</si>
  <si>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｜第一階段／初期設計（</t>
    </r>
    <r>
      <rPr>
        <sz val="11"/>
        <color theme="1"/>
        <rFont val="Calibri"/>
        <family val="2"/>
        <charset val="1"/>
      </rPr>
      <t xml:space="preserve">Datagrid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</si>
  <si>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動土、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目標與年底完工均屬實；但原文稱 </t>
    </r>
    <r>
      <rPr>
        <sz val="11"/>
        <color theme="1"/>
        <rFont val="Calibri"/>
        <family val="2"/>
        <charset val="1"/>
      </rPr>
      <t xml:space="preserve">280MW </t>
    </r>
    <r>
      <rPr>
        <sz val="11"/>
        <color theme="1"/>
        <rFont val="Noto Sans CJK SC"/>
        <family val="2"/>
      </rPr>
      <t xml:space="preserve">是電網負載設計值且最終負載未定，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不宜寫未說明。「融資尚未確認、租戶未公布」原文找不到。</t>
    </r>
  </si>
  <si>
    <t xml:space="preserve">https://datacentresnz.com/insights/datagrid-makarewa-construction-starts</t>
  </si>
  <si>
    <t xml:space="preserve">T#236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</si>
  <si>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Mercury </t>
    </r>
    <r>
      <rPr>
        <sz val="11"/>
        <color theme="1"/>
        <rFont val="Noto Sans CJK SC"/>
        <family val="2"/>
      </rPr>
      <t xml:space="preserve">電力選擇權（前半期供電）｜簽約</t>
    </r>
  </si>
  <si>
    <r>
      <rPr>
        <sz val="11"/>
        <color theme="1"/>
        <rFont val="Calibri"/>
        <family val="2"/>
        <charset val="1"/>
      </rPr>
      <t xml:space="preserve">140MW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月的購電選擇權屬實。但「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年」「前半期供電」在原文找不到。公告日為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。租戶說法不在本文。</t>
    </r>
  </si>
  <si>
    <t xml:space="preserve">T#237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</si>
  <si>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</t>
    </r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</si>
  <si>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｜既有智算中心（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年投產，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擴容前）｜上線</t>
    </r>
  </si>
  <si>
    <t xml:space="preserve">2024-05-02</t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</si>
  <si>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數字，與列中說明一致。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萬張卡、</t>
    </r>
    <r>
      <rPr>
        <sz val="11"/>
        <color theme="1"/>
        <rFont val="Calibri"/>
        <family val="2"/>
        <charset val="1"/>
      </rPr>
      <t xml:space="preserve">670 </t>
    </r>
    <r>
      <rPr>
        <sz val="11"/>
        <color theme="1"/>
        <rFont val="Noto Sans CJK SC"/>
        <family val="2"/>
      </rPr>
      <t xml:space="preserve">億億次＝</t>
    </r>
    <r>
      <rPr>
        <sz val="11"/>
        <color theme="1"/>
        <rFont val="Calibri"/>
        <family val="2"/>
        <charset val="1"/>
      </rPr>
      <t xml:space="preserve">6.7 EFLOPS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2024-05-02 </t>
    </r>
    <r>
      <rPr>
        <sz val="11"/>
        <color theme="1"/>
        <rFont val="Noto Sans CJK SC"/>
        <family val="2"/>
      </rPr>
      <t xml:space="preserve">皆相符。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欄（九天、昆侖等）及 </t>
    </r>
    <r>
      <rPr>
        <sz val="11"/>
        <color theme="1"/>
        <rFont val="Calibri"/>
        <family val="2"/>
        <charset val="1"/>
      </rPr>
      <t xml:space="preserve">2024-02 </t>
    </r>
    <r>
      <rPr>
        <sz val="11"/>
        <color theme="1"/>
        <rFont val="Noto Sans CJK SC"/>
        <family val="2"/>
      </rPr>
      <t xml:space="preserve">上線不在本文，由其他來源支撐。</t>
    </r>
  </si>
  <si>
    <t xml:space="preserve">http://nmg.news.cn/20240502/4a8b6add7c464aaea976e5d231dd7b88/c.html</t>
  </si>
  <si>
    <t xml:space="preserve">T#238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</si>
  <si>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｜擴容工程 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兩棟機房樓｜在建</t>
    </r>
  </si>
  <si>
    <r>
      <rPr>
        <sz val="11"/>
        <color theme="1"/>
        <rFont val="Noto Sans CJK SC"/>
        <family val="2"/>
      </rPr>
      <t xml:space="preserve">原文亂碼，但可辨 </t>
    </r>
    <r>
      <rPr>
        <sz val="11"/>
        <color theme="1"/>
        <rFont val="Calibri"/>
        <family val="2"/>
        <charset val="1"/>
      </rPr>
      <t xml:space="preserve">2026-10-12 B25/B27 </t>
    </r>
    <r>
      <rPr>
        <sz val="11"/>
        <color theme="1"/>
        <rFont val="Noto Sans CJK SC"/>
        <family val="2"/>
      </rPr>
      <t xml:space="preserve">竣工、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總功率一百二十（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一萬六千七百。</t>
    </r>
    <r>
      <rPr>
        <sz val="11"/>
        <color theme="1"/>
        <rFont val="Calibri"/>
        <family val="2"/>
        <charset val="1"/>
      </rPr>
      <t xml:space="preserve">20,100 </t>
    </r>
    <r>
      <rPr>
        <sz val="11"/>
        <color theme="1"/>
        <rFont val="Noto Sans CJK SC"/>
        <family val="2"/>
      </rPr>
      <t xml:space="preserve">總算力與「逾九成」較難確認，屬部分推斷。</t>
    </r>
  </si>
  <si>
    <t xml:space="preserve">https://dt.zol.com.cn/1259/12594772.html</t>
  </si>
  <si>
    <t xml:space="preserve">T#239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</si>
  <si>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</t>
    </r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</si>
  <si>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</si>
  <si>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241.8 MW</t>
  </si>
  <si>
    <r>
      <rPr>
        <sz val="11"/>
        <color theme="1"/>
        <rFont val="Noto Sans CJK SC"/>
        <family val="2"/>
      </rPr>
      <t xml:space="preserve">原文為營運中、設施功率</t>
    </r>
    <r>
      <rPr>
        <sz val="11"/>
        <color theme="1"/>
        <rFont val="Calibri"/>
        <family val="2"/>
        <charset val="1"/>
      </rPr>
      <t xml:space="preserve">212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</t>
    </r>
    <r>
      <rPr>
        <sz val="11"/>
        <color theme="1"/>
        <rFont val="Calibri"/>
        <family val="2"/>
        <charset val="1"/>
      </rPr>
      <t xml:space="preserve">184 MW</t>
    </r>
    <r>
      <rPr>
        <sz val="11"/>
        <color theme="1"/>
        <rFont val="Noto Sans CJK SC"/>
        <family val="2"/>
      </rPr>
      <t xml:space="preserve">；無</t>
    </r>
    <r>
      <rPr>
        <sz val="11"/>
        <color theme="1"/>
        <rFont val="Calibri"/>
        <family val="2"/>
        <charset val="1"/>
      </rPr>
      <t xml:space="preserve">241.8 MW</t>
    </r>
    <r>
      <rPr>
        <sz val="11"/>
        <color theme="1"/>
        <rFont val="Noto Sans CJK SC"/>
        <family val="2"/>
      </rPr>
      <t xml:space="preserve">、「在建」、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。說「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功率未記錄」與原文相反。</t>
    </r>
  </si>
  <si>
    <t xml:space="preserve">https://scrutica.com/facilities/fac-epoch-huawei-horinger</t>
  </si>
  <si>
    <t xml:space="preserve">T#240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</si>
  <si>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｜西區一期（第一批）｜上線</t>
    </r>
  </si>
  <si>
    <t xml:space="preserve">2025-07-13</t>
  </si>
  <si>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開服、發布 </t>
    </r>
    <r>
      <rPr>
        <sz val="11"/>
        <color theme="1"/>
        <rFont val="Calibri"/>
        <family val="2"/>
        <charset val="1"/>
      </rPr>
      <t xml:space="preserve">CloudMatrix384 </t>
    </r>
    <r>
      <rPr>
        <sz val="11"/>
        <color theme="1"/>
        <rFont val="Noto Sans CJK SC"/>
        <family val="2"/>
      </rPr>
      <t xml:space="preserve">及無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皆屬實，來源為華為自家稿，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合理。但「西區一期」原文未提，只說「北方首批超节点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智算中心」。</t>
    </r>
  </si>
  <si>
    <t xml:space="preserve">https://finance.sina.com.cn/roll/2025-07-13/doc-inffizmf7227975.shtml</t>
  </si>
  <si>
    <t xml:space="preserve">T#241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</si>
  <si>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｜西區一期（第二批，</t>
    </r>
    <r>
      <rPr>
        <sz val="11"/>
        <color theme="1"/>
        <rFont val="Calibri"/>
        <family val="2"/>
        <charset val="1"/>
      </rPr>
      <t xml:space="preserve">2#</t>
    </r>
    <r>
      <rPr>
        <sz val="11"/>
        <color theme="1"/>
        <rFont val="Noto Sans CJK SC"/>
        <family val="2"/>
      </rPr>
      <t xml:space="preserve">數據中心）｜在建</t>
    </r>
  </si>
  <si>
    <t xml:space="preserve">http://hlgena.huhhot.gov.cn/zwgk/tzgg/202509/t20260923_2039089.html</t>
  </si>
  <si>
    <t xml:space="preserve">T#242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</si>
  <si>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｜南區一期｜在建</t>
    </r>
  </si>
  <si>
    <r>
      <rPr>
        <sz val="11"/>
        <color theme="1"/>
        <rFont val="Noto Sans CJK SC"/>
        <family val="2"/>
      </rPr>
      <t xml:space="preserve">備案日期、</t>
    </r>
    <r>
      <rPr>
        <sz val="11"/>
        <color theme="1"/>
        <rFont val="Calibri"/>
        <family val="2"/>
        <charset val="1"/>
      </rPr>
      <t xml:space="preserve">9.3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萬㎡、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棟機房樓及無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皆屬實。但來源標題「記者推論」不合，原文是備案轉載。「在建」僅由</t>
    </r>
    <r>
      <rPr>
        <sz val="11"/>
        <color theme="1"/>
        <rFont val="Calibri"/>
        <family val="2"/>
        <charset val="1"/>
      </rPr>
      <t xml:space="preserve">2023/08–2027/09</t>
    </r>
    <r>
      <rPr>
        <sz val="11"/>
        <color theme="1"/>
        <rFont val="Noto Sans CJK SC"/>
        <family val="2"/>
      </rPr>
      <t xml:space="preserve">工期推得，原文未明說。</t>
    </r>
  </si>
  <si>
    <t xml:space="preserve">https://finance.sina.com.cn/wm/2026-03-24/doc-inhsarqt3437900.shtml</t>
  </si>
  <si>
    <t xml:space="preserve">T#243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</si>
  <si>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 </t>
    </r>
    <r>
      <rPr>
        <sz val="11"/>
        <color theme="1"/>
        <rFont val="Calibri"/>
        <family val="2"/>
        <charset val="1"/>
      </rPr>
      <t xml:space="preserve">B03 </t>
    </r>
    <r>
      <rPr>
        <sz val="11"/>
        <color theme="1"/>
        <rFont val="Noto Sans CJK SC"/>
        <family val="2"/>
      </rPr>
      <t xml:space="preserve">項目（一期內）｜在建</t>
    </r>
  </si>
  <si>
    <r>
      <rPr>
        <sz val="11"/>
        <color theme="1"/>
        <rFont val="Calibri"/>
        <family val="2"/>
        <charset val="1"/>
      </rPr>
      <t xml:space="preserve">B03</t>
    </r>
    <r>
      <rPr>
        <sz val="11"/>
        <color theme="1"/>
        <rFont val="Noto Sans CJK SC"/>
        <family val="2"/>
      </rPr>
      <t xml:space="preserve">機電施工、約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萬㎡、第一批交付節點、無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與投用日期皆屬實。但來源是承包商（中建四局）稿件，標「公司本人」與「一期內」原文未提；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與範圍稍偏。</t>
    </r>
  </si>
  <si>
    <t xml:space="preserve">https://field.10jqka.com.cn/20261019/c680820677.shtml</t>
  </si>
  <si>
    <t xml:space="preserve">T#244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</si>
  <si>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｜北區｜規劃</t>
    </r>
  </si>
  <si>
    <t xml:space="preserve">2023-10-08</t>
  </si>
  <si>
    <r>
      <rPr>
        <sz val="11"/>
        <color theme="1"/>
        <rFont val="Noto Sans CJK SC"/>
        <family val="2"/>
      </rPr>
      <t xml:space="preserve">西／南／北三區、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220kV </t>
    </r>
    <r>
      <rPr>
        <sz val="11"/>
        <color theme="1"/>
        <rFont val="Noto Sans CJK SC"/>
        <family val="2"/>
      </rPr>
      <t xml:space="preserve">變電站與原文一致，北區無單獨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亦屬實。但來源是人民網報導，不是公司本人發布，來源標示與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</si>
  <si>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https://view.inews.qq.com/a/20231008A0645Y00</t>
  </si>
  <si>
    <t xml:space="preserve">T#245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</si>
  <si>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</si>
  <si>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｜全園區（規劃總規模）｜規劃</t>
    </r>
  </si>
  <si>
    <r>
      <rPr>
        <sz val="11"/>
        <color theme="1"/>
        <rFont val="Calibri"/>
        <family val="2"/>
        <charset val="1"/>
      </rPr>
      <t xml:space="preserve">1.3GW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月動工與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月首批交付屬實；但「規劃」與 </t>
    </r>
    <r>
      <rPr>
        <sz val="11"/>
        <color theme="1"/>
        <rFont val="Calibri"/>
        <family val="2"/>
        <charset val="1"/>
      </rPr>
      <t xml:space="preserve">expected_online=2024-10 </t>
    </r>
    <r>
      <rPr>
        <sz val="11"/>
        <color theme="1"/>
        <rFont val="Noto Sans CJK SC"/>
        <family val="2"/>
      </rPr>
      <t xml:space="preserve">混淆（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月是首批已投產，非全園區上線）。「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財報前提及規劃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</si>
  <si>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https://www.news.cn/20261012/3a2dff722ecd4e3e9f9e3b38c51dfbc7/c.html</t>
  </si>
  <si>
    <t xml:space="preserve">T#246</t>
  </si>
  <si>
    <t xml:space="preserve">VNET Group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</si>
  <si>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｜全園區（目前已投運估計）｜上線</t>
    </r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</si>
  <si>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日屬實；但為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。原文無 </t>
    </r>
    <r>
      <rPr>
        <sz val="11"/>
        <color theme="1"/>
        <rFont val="Calibri"/>
        <family val="2"/>
        <charset val="1"/>
      </rPr>
      <t xml:space="preserve">expected_online 2024-10</t>
    </r>
    <r>
      <rPr>
        <sz val="11"/>
        <color theme="1"/>
        <rFont val="Noto Sans CJK SC"/>
        <family val="2"/>
      </rPr>
      <t xml:space="preserve">，僅有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動工。</t>
    </r>
  </si>
  <si>
    <t xml:space="preserve">T#247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</si>
  <si>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預測至</t>
    </r>
    <r>
      <rPr>
        <sz val="11"/>
        <color theme="1"/>
        <rFont val="Calibri"/>
        <family val="2"/>
        <charset val="1"/>
      </rPr>
      <t xml:space="preserve">2027 Q3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</si>
  <si>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屬實（時間線為 </t>
    </r>
    <r>
      <rPr>
        <sz val="11"/>
        <color theme="1"/>
        <rFont val="Calibri"/>
        <family val="2"/>
        <charset val="1"/>
      </rPr>
      <t xml:space="preserve">Sep 1, 2027</t>
    </r>
    <r>
      <rPr>
        <sz val="11"/>
        <color theme="1"/>
        <rFont val="Noto Sans CJK SC"/>
        <family val="2"/>
      </rPr>
      <t xml:space="preserve">），但為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datacenterindex </t>
    </r>
    <r>
      <rPr>
        <sz val="11"/>
        <color theme="1"/>
        <rFont val="Noto Sans CJK SC"/>
        <family val="2"/>
      </rPr>
      <t xml:space="preserve">說法原文無。</t>
    </r>
  </si>
  <si>
    <t xml:space="preserve">T#248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</si>
  <si>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｜首批已交付機房樓（約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萬㎡與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萬㎡兩棟）｜上線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</si>
  <si>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年啟動自建園區、兩棟已交付，沒有「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」這個月份。兩棟供</t>
    </r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與字節、面積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也屬實。日期其實在頁面上，不是取自網址。</t>
    </r>
  </si>
  <si>
    <t xml:space="preserve">https://www.hstong.com/news/detail/26041717150173950</t>
  </si>
  <si>
    <t xml:space="preserve">T#249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</si>
  <si>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號樓北區｜上線</t>
    </r>
  </si>
  <si>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Noto Sans CJK SC"/>
        <family val="2"/>
      </rPr>
      <t xml:space="preserve">天、零下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度、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。但原文稱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號樓是為阿里巴巴建設，「使用者未揭露、無使用者資訊」有誤。</t>
    </r>
  </si>
  <si>
    <t xml:space="preserve">T#250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</si>
  <si>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｜云計算中心北側園區兩棟機房樓｜在建</t>
    </r>
  </si>
  <si>
    <r>
      <rPr>
        <sz val="11"/>
        <color theme="1"/>
        <rFont val="Noto Sans CJK SC"/>
        <family val="2"/>
      </rPr>
      <t xml:space="preserve">兩棟封頂、機電吊裝與已建成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棟機房樓皆見於原文，原文無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與交付時點。「北側園區」屬實；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稍偏但不影響數值。</t>
    </r>
  </si>
  <si>
    <t xml:space="preserve">T#251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</si>
  <si>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分階段簽約（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叢集）｜簽約</t>
    </r>
  </si>
  <si>
    <t xml:space="preserve">https://datacenterlocations.com/ulanqab/</t>
  </si>
  <si>
    <t xml:space="preserve">T#252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</si>
  <si>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｜一期核准規模（源網荷儲項目）｜規劃</t>
    </r>
  </si>
  <si>
    <t xml:space="preserve">155 MW</t>
  </si>
  <si>
    <t xml:space="preserve">2025-06-25</t>
  </si>
  <si>
    <r>
      <rPr>
        <sz val="11"/>
        <color theme="1"/>
        <rFont val="Calibri"/>
        <family val="2"/>
        <charset val="1"/>
      </rPr>
      <t xml:space="preserve">155MW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62000</t>
    </r>
    <r>
      <rPr>
        <sz val="11"/>
        <color theme="1"/>
        <rFont val="Noto Sans CJK SC"/>
        <family val="2"/>
      </rPr>
      <t xml:space="preserve">機架、約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萬㎡均屬實，但原文是整個項目建成後的規模，並非「一期核准規模」。原文也未說明出處，不是利害關係人說法，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與範圍標示偏差。</t>
    </r>
  </si>
  <si>
    <t xml:space="preserve">https://finance.sina.com.cn/stock/stockzmt/2025-06-25/doc-infcftfx4913754.shtml?froms=ggmp</t>
  </si>
  <si>
    <t xml:space="preserve">T#253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</si>
  <si>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｜公司層級交付計畫（多數來自烏蘭察布）｜在建</t>
    </r>
  </si>
  <si>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252MW</t>
    </r>
    <r>
      <rPr>
        <sz val="11"/>
        <color theme="1"/>
        <rFont val="Noto Sans CJK SC"/>
        <family val="2"/>
      </rPr>
      <t xml:space="preserve">、多數來自烏蘭察布皆屬實；公司本人說法標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可接受。但原文為「未來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個月計畫交付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」，另有在建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；『園區單獨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未揭露』與『未見延遲報導』屬推論，原文未說明，且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為財報日。</t>
    </r>
  </si>
  <si>
    <t xml:space="preserve">https://stockanalysis.com/stocks/vnet/transcripts/651573-q2-2026/</t>
  </si>
  <si>
    <t xml:space="preserve">T#254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</si>
  <si>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</t>
    </r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</si>
  <si>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</si>
  <si>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402</t>
    </r>
    <r>
      <rPr>
        <sz val="11"/>
        <color theme="1"/>
        <rFont val="Noto Sans CJK SC"/>
        <family val="2"/>
      </rPr>
      <t xml:space="preserve">）</t>
    </r>
  </si>
  <si>
    <t xml:space="preserve">http://mp.cnfol.com/57779/article/1778605202-142418869.html</t>
  </si>
  <si>
    <t xml:space="preserve">T#255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</si>
  <si>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｜一期｜上線</t>
    </r>
  </si>
  <si>
    <t xml:space="preserve">2023-07-31</t>
  </si>
  <si>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投運、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萬台、可承載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萬台屬實；但原文無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數字，單位不符。來源是乌兰察布日报報導，非公司本人。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年底上線及延遲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個月在原文找不到，市長還說「如期建成」。</t>
    </r>
  </si>
  <si>
    <t xml:space="preserve">https://www.ne21.com/news/show-181750.html</t>
  </si>
  <si>
    <t xml:space="preserve">T#256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</si>
  <si>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｜二期（二階段）｜上線</t>
    </r>
  </si>
  <si>
    <t xml:space="preserve">T#257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</si>
  <si>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</si>
  <si>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上線、二期交付、</t>
    </r>
    <r>
      <rPr>
        <sz val="11"/>
        <color theme="1"/>
        <rFont val="Calibri"/>
        <family val="2"/>
        <charset val="1"/>
      </rPr>
      <t xml:space="preserve">PUE 1.2 </t>
    </r>
    <r>
      <rPr>
        <sz val="11"/>
        <color theme="1"/>
        <rFont val="Noto Sans CJK SC"/>
        <family val="2"/>
      </rPr>
      <t xml:space="preserve">皆與原文一致，口徑未說明也吻合。頁面無日期，以查詢日代，列中已註明。「另一頁面曾列規劃中」無法在本頁核對。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屬保守標註。</t>
    </r>
  </si>
  <si>
    <t xml:space="preserve">https://baxtel.com/data-center/kuaishou-unlanqab-4</t>
  </si>
  <si>
    <t xml:space="preserve">T#258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</si>
  <si>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</si>
  <si>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(Taihang Computing Center II)</t>
    </r>
    <r>
      <rPr>
        <sz val="11"/>
        <color theme="1"/>
        <rFont val="Noto Sans CJK SC"/>
        <family val="2"/>
      </rPr>
      <t xml:space="preserve">｜在建</t>
    </r>
  </si>
  <si>
    <t xml:space="preserve">2025-01-14</t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</si>
  <si>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510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月都屬實，也未給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。但原文只說用地規劃許可證獲批，並未說在建，也沒有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上線。</t>
    </r>
  </si>
  <si>
    <t xml:space="preserve">https://news.qq.com/rain/a/20250114A067JF00</t>
  </si>
  <si>
    <t xml:space="preserve">T#259</t>
  </si>
  <si>
    <t xml:space="preserve">187.2 MW</t>
  </si>
  <si>
    <r>
      <rPr>
        <sz val="11"/>
        <color theme="1"/>
        <rFont val="Noto Sans CJK SC"/>
        <family val="2"/>
      </rPr>
      <t xml:space="preserve">推算所用的</t>
    </r>
    <r>
      <rPr>
        <sz val="11"/>
        <color theme="1"/>
        <rFont val="Calibri"/>
        <family val="2"/>
        <charset val="1"/>
      </rPr>
      <t xml:space="preserve">12kW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台原文有；</t>
    </r>
    <r>
      <rPr>
        <sz val="11"/>
        <color theme="1"/>
        <rFont val="Calibri"/>
        <family val="2"/>
        <charset val="1"/>
      </rPr>
      <t xml:space="preserve">15604×12=187,248kW≈187.2MW</t>
    </r>
    <r>
      <rPr>
        <sz val="11"/>
        <color theme="1"/>
        <rFont val="Noto Sans CJK SC"/>
        <family val="2"/>
      </rPr>
      <t xml:space="preserve">，算式正確。搜狐的</t>
    </r>
    <r>
      <rPr>
        <sz val="11"/>
        <color theme="1"/>
        <rFont val="Calibri"/>
        <family val="2"/>
        <charset val="1"/>
      </rPr>
      <t xml:space="preserve">187MW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374MW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不在此原文，但不影響推算。</t>
    </r>
  </si>
  <si>
    <t xml:space="preserve">T#260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</si>
  <si>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522</t>
    </r>
    <r>
      <rPr>
        <sz val="11"/>
        <color theme="1"/>
        <rFont val="Noto Sans CJK SC"/>
        <family val="2"/>
      </rPr>
      <t xml:space="preserve">）</t>
    </r>
  </si>
  <si>
    <t xml:space="preserve">https://www.dtdata.cn/news/show/3166.html</t>
  </si>
  <si>
    <t xml:space="preserve">T#261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</si>
  <si>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｜一期 </t>
    </r>
    <r>
      <rPr>
        <sz val="11"/>
        <color theme="1"/>
        <rFont val="Calibri"/>
        <family val="2"/>
        <charset val="1"/>
      </rPr>
      <t xml:space="preserve">(Taihang Computing Center I)</t>
    </r>
    <r>
      <rPr>
        <sz val="11"/>
        <color theme="1"/>
        <rFont val="Noto Sans CJK SC"/>
        <family val="2"/>
      </rPr>
      <t xml:space="preserve">｜上線</t>
    </r>
  </si>
  <si>
    <t xml:space="preserve">https://zhuanlan.zhihu.com/p/18547742631</t>
  </si>
  <si>
    <t xml:space="preserve">T#262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</si>
  <si>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｜三期 </t>
    </r>
    <r>
      <rPr>
        <sz val="11"/>
        <color theme="1"/>
        <rFont val="Calibri"/>
        <family val="2"/>
        <charset val="1"/>
      </rPr>
      <t xml:space="preserve">(Phase III)</t>
    </r>
    <r>
      <rPr>
        <sz val="11"/>
        <color theme="1"/>
        <rFont val="Noto Sans CJK SC"/>
        <family val="2"/>
      </rPr>
      <t xml:space="preserve">｜規劃</t>
    </r>
  </si>
  <si>
    <t xml:space="preserve">T#263</t>
  </si>
  <si>
    <t xml:space="preserve">火山引擎／抖音集團（塞北紅城科技，字節跳動全資子公司）</t>
  </si>
  <si>
    <r>
      <rPr>
        <sz val="11"/>
        <color theme="1"/>
        <rFont val="Noto Sans CJK SC"/>
        <family val="2"/>
      </rPr>
      <t xml:space="preserve">火山引擎／抖音集團（塞北紅城科技，字節跳動全資子公司）｜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棟機房樓）｜在建</t>
    </r>
  </si>
  <si>
    <t xml:space="preserve">220 MW</t>
  </si>
  <si>
    <t xml:space="preserve">2025-03-18</t>
  </si>
  <si>
    <r>
      <rPr>
        <sz val="11"/>
        <color theme="1"/>
        <rFont val="Calibri"/>
        <family val="2"/>
        <charset val="1"/>
      </rPr>
      <t xml:space="preserve">220MW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85036</t>
    </r>
    <r>
      <rPr>
        <sz val="11"/>
        <color theme="1"/>
        <rFont val="Noto Sans CJK SC"/>
        <family val="2"/>
      </rPr>
      <t xml:space="preserve">台機架、服務華北抖音用戶皆屬實。但原文無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交付、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工期、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消防備案，也無「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」分區，這些應來自他處。</t>
    </r>
  </si>
  <si>
    <t xml:space="preserve">http://tjj.huhhot.gov.cn/mobile/zwgk/xxgk/202503/t20250318_1864135.html?zbb=true</t>
  </si>
  <si>
    <t xml:space="preserve">T#264</t>
  </si>
  <si>
    <t xml:space="preserve">火山引擎／抖音集團（塞北紅城科技）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</si>
  <si>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棟機房樓＋</t>
    </r>
    <r>
      <rPr>
        <sz val="11"/>
        <color theme="1"/>
        <rFont val="Calibri"/>
        <family val="2"/>
        <charset val="1"/>
      </rPr>
      <t xml:space="preserve">110kV</t>
    </r>
    <r>
      <rPr>
        <sz val="11"/>
        <color theme="1"/>
        <rFont val="Noto Sans CJK SC"/>
        <family val="2"/>
      </rPr>
      <t xml:space="preserve">變電站）｜在建</t>
    </r>
  </si>
  <si>
    <t xml:space="preserve">2024-11-05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</si>
  <si>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、日期與規劃審查屬實。但原文只說規劃方案通過審查，並未說已在建；原文稱「一期項目」，未分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。預計上線與消防驗收來自別處。</t>
    </r>
  </si>
  <si>
    <t xml:space="preserve">https://news.cri.cn/2024-11-05/4594bf2a-a9cc-c687-6195-bf886798a0a2.html</t>
  </si>
  <si>
    <t xml:space="preserve">T#265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</si>
  <si>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棟機房樓）｜規劃</t>
    </r>
  </si>
  <si>
    <t xml:space="preserve">2025-04-02</t>
  </si>
  <si>
    <r>
      <rPr>
        <sz val="11"/>
        <color theme="1"/>
        <rFont val="Noto Sans CJK SC"/>
        <family val="2"/>
      </rPr>
      <t xml:space="preserve">審批日期、總投資</t>
    </r>
    <r>
      <rPr>
        <sz val="11"/>
        <color theme="1"/>
        <rFont val="Calibri"/>
        <family val="2"/>
        <charset val="1"/>
      </rPr>
      <t xml:space="preserve">679000</t>
    </r>
    <r>
      <rPr>
        <sz val="11"/>
        <color theme="1"/>
        <rFont val="Noto Sans CJK SC"/>
        <family val="2"/>
      </rPr>
      <t xml:space="preserve">萬元、</t>
    </r>
    <r>
      <rPr>
        <sz val="11"/>
        <color theme="1"/>
        <rFont val="Calibri"/>
        <family val="2"/>
        <charset val="1"/>
      </rPr>
      <t xml:space="preserve">2025/06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2029/07 </t>
    </r>
    <r>
      <rPr>
        <sz val="11"/>
        <color theme="1"/>
        <rFont val="Noto Sans CJK SC"/>
        <family val="2"/>
      </rPr>
      <t xml:space="preserve">均屬實。但原文機房樓為 </t>
    </r>
    <r>
      <rPr>
        <sz val="11"/>
        <color theme="1"/>
        <rFont val="Calibri"/>
        <family val="2"/>
        <charset val="1"/>
      </rPr>
      <t xml:space="preserve">2+3=5 </t>
    </r>
    <r>
      <rPr>
        <sz val="11"/>
        <color theme="1"/>
        <rFont val="Noto Sans CJK SC"/>
        <family val="2"/>
      </rPr>
      <t xml:space="preserve">棟，另有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座綜合樓，「約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棟機房樓」有誤。原文無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</si>
  <si>
    <t xml:space="preserve">https://c.m.163.com/news/a/JS63I66C0511D6RL.html</t>
  </si>
  <si>
    <t xml:space="preserve">T#266</t>
  </si>
  <si>
    <t xml:space="preserve">火山引擎</t>
  </si>
  <si>
    <r>
      <rPr>
        <sz val="11"/>
        <color theme="1"/>
        <rFont val="Noto Sans CJK SC"/>
        <family val="2"/>
      </rPr>
      <t xml:space="preserve">火山引擎｜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</si>
  <si>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8/22</t>
    </r>
    <r>
      <rPr>
        <sz val="11"/>
        <color theme="1"/>
        <rFont val="Noto Sans CJK SC"/>
        <family val="2"/>
      </rPr>
      <t xml:space="preserve">呼和浩特簽約火山引擎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級園區，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換算，屬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可接受。但來源是中新社非人民財訊／新華財經，且原文未提和林格爾或</t>
    </r>
    <r>
      <rPr>
        <sz val="11"/>
        <color theme="1"/>
        <rFont val="Calibri"/>
        <family val="2"/>
        <charset val="1"/>
      </rPr>
      <t xml:space="preserve">Horinger</t>
    </r>
    <r>
      <rPr>
        <sz val="11"/>
        <color theme="1"/>
        <rFont val="Noto Sans CJK SC"/>
        <family val="2"/>
      </rPr>
      <t xml:space="preserve">，標題與地點抄寫有誤。</t>
    </r>
  </si>
  <si>
    <t xml:space="preserve">https://finance.eastmoney.com/a/202608223850179154.html</t>
  </si>
  <si>
    <t xml:space="preserve">T#267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</si>
  <si>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</si>
  <si>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算力中心）｜一期｜規劃</t>
    </r>
  </si>
  <si>
    <r>
      <rPr>
        <sz val="11"/>
        <color theme="1"/>
        <rFont val="Calibri"/>
        <family val="2"/>
        <charset val="1"/>
      </rPr>
      <t xml:space="preserve">400MW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億、框架協議及待核准條件屬實。但本文無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建設期、一期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畝（僅總占地約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亩）。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</si>
  <si>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https://paper.cnstock.com/html/2026-04/17/content_2200862.htm</t>
  </si>
  <si>
    <t xml:space="preserve">T#268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</si>
  <si>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算力中心）｜二期｜規劃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</si>
  <si>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 IT</t>
    </r>
    <r>
      <rPr>
        <sz val="11"/>
        <color theme="1"/>
        <rFont val="Noto Sans CJK SC"/>
        <family val="2"/>
      </rPr>
      <t xml:space="preserve">屬實。但本文無「回覆交易所稱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年底前建設期」與「尚無動工報導」。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</si>
  <si>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T#269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</si>
  <si>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算力中心）｜三期｜規劃</t>
    </r>
  </si>
  <si>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萬架屬實。但本文無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年底前建設期。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半年報晚於本文日期，亦不在本文中。</t>
    </r>
  </si>
  <si>
    <t xml:space="preserve">T#270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</si>
  <si>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</si>
  <si>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（臨港信息園區）｜全園區（二期整體）｜在建</t>
    </r>
  </si>
  <si>
    <t xml:space="preserve">2025-12-08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</si>
  <si>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日開工、未註明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Blackridge</t>
    </r>
    <r>
      <rPr>
        <sz val="11"/>
        <color theme="1"/>
        <rFont val="Noto Sans CJK SC"/>
        <family val="2"/>
      </rPr>
      <t xml:space="preserve">說法；只稱「分階段完工」。</t>
    </r>
  </si>
  <si>
    <t xml:space="preserve">https://en.lingang.gov.cn/html/website/lg/English/Investment/IndustrialParks/2007695159888793602.html</t>
  </si>
  <si>
    <t xml:space="preserve">T#271</t>
  </si>
  <si>
    <t xml:space="preserve">臨港算力（上海）科技有限公司（中國電信全資子公司）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</si>
  <si>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</si>
  <si>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Noto Sans CJK SC"/>
        <family val="2"/>
      </rPr>
      <t xml:space="preserve">開工、面積、投資額、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建成皆符。但「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已封頂、轉入機電安裝」原文無。原文為觀點網依公開資料整理，非公司本人，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與標題亦偏。</t>
    </r>
  </si>
  <si>
    <t xml:space="preserve">http://finance.sina.com.cn/stock/estate/integration/2025-12-09/doc-inhafezz1311819.shtml</t>
  </si>
  <si>
    <t xml:space="preserve">T#272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</si>
  <si>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期｜規劃</t>
    </r>
  </si>
  <si>
    <r>
      <rPr>
        <sz val="11"/>
        <color theme="1"/>
        <rFont val="Noto Sans CJK SC"/>
        <family val="2"/>
      </rPr>
      <t xml:space="preserve">建面 </t>
    </r>
    <r>
      <rPr>
        <sz val="11"/>
        <color theme="1"/>
        <rFont val="Calibri"/>
        <family val="2"/>
        <charset val="1"/>
      </rPr>
      <t xml:space="preserve">89124.74</t>
    </r>
    <r>
      <rPr>
        <sz val="11"/>
        <color theme="1"/>
        <rFont val="Noto Sans CJK SC"/>
        <family val="2"/>
      </rPr>
      <t xml:space="preserve">㎡、總投資 </t>
    </r>
    <r>
      <rPr>
        <sz val="11"/>
        <color theme="1"/>
        <rFont val="Calibri"/>
        <family val="2"/>
        <charset val="1"/>
      </rPr>
      <t xml:space="preserve">866112 </t>
    </r>
    <r>
      <rPr>
        <sz val="11"/>
        <color theme="1"/>
        <rFont val="Noto Sans CJK SC"/>
        <family val="2"/>
      </rPr>
      <t xml:space="preserve">萬元與原文相符。「工期</t>
    </r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天」在原文找不到；原文亦未提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與上線時點。原文為亂碼，比對依可辨識的數字。</t>
    </r>
  </si>
  <si>
    <t xml:space="preserve">https://www.c114.com.cn/news/117/a1318953.html</t>
  </si>
  <si>
    <t xml:space="preserve">T#273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</si>
  <si>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</si>
  <si>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｜一期：真武万卡集群（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卡）｜上線</t>
    </r>
  </si>
  <si>
    <t xml:space="preserve">2026-04-03</t>
  </si>
  <si>
    <r>
      <rPr>
        <sz val="11"/>
        <color theme="1"/>
        <rFont val="Noto Sans CJK SC"/>
        <family val="2"/>
      </rPr>
      <t xml:space="preserve">上線日 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、萬卡、韶關均屬實，原文也無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。但來源是環球網報導，並非「公司本人」；「廣東公司」「一期」「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」等細節原文未見。</t>
    </r>
  </si>
  <si>
    <t xml:space="preserve">https://finance.sina.com.cn/roll/2026-04-03/doc-inhtfkwx3751307.shtml</t>
  </si>
  <si>
    <t xml:space="preserve">T#274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</si>
  <si>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｜擴容：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萬卡（規劃）｜規劃</t>
    </r>
  </si>
  <si>
    <r>
      <rPr>
        <sz val="11"/>
        <color theme="1"/>
        <rFont val="Noto Sans CJK SC"/>
        <family val="2"/>
      </rPr>
      <t xml:space="preserve">十萬卡擴容、無時程與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、算力超市按卡按小時計費均屬實，日期也對。但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填「公司本人」，實為南方財經記者報導，且標題與原文不符。</t>
    </r>
  </si>
  <si>
    <t xml:space="preserve">https://m.21jingji.com/article/20260404/herald/9ba7ae988005eb90b042e0c8fda99d06.html</t>
  </si>
  <si>
    <t xml:space="preserve">T#275</t>
  </si>
  <si>
    <t xml:space="preserve">多家（中國電信、移動、聯通等）</t>
  </si>
  <si>
    <r>
      <rPr>
        <sz val="11"/>
        <color theme="1"/>
        <rFont val="Noto Sans CJK SC"/>
        <family val="2"/>
      </rPr>
      <t xml:space="preserve">多家（中國電信、移動、聯通等）｜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｜全園區（韶關數據中心集群，背景）｜簽約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</si>
  <si>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</si>
  <si>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3200MW </t>
    </r>
    <r>
      <rPr>
        <sz val="11"/>
        <color theme="1"/>
        <rFont val="Noto Sans CJK SC"/>
        <family val="2"/>
      </rPr>
      <t xml:space="preserve">屬實，但原文是全市在韶企業簽約訂單，並非單一專案；原文為南方日報（官媒）報導，不應標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。原文也未列中國電信、移動、聯通為簽約主體，且 </t>
    </r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的口徑（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或設施）未說明。</t>
    </r>
  </si>
  <si>
    <t xml:space="preserve">https://news.southcn.com/node_ac2b0b62a4/5488e908f0.shtml</t>
  </si>
  <si>
    <t xml:space="preserve">T#276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</si>
  <si>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</t>
    </r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</si>
  <si>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｜第一期｜在建</t>
    </r>
  </si>
  <si>
    <t xml:space="preserve">2025-12-12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</si>
  <si>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planned</t>
    </r>
    <r>
      <rPr>
        <sz val="11"/>
        <color theme="1"/>
        <rFont val="Noto Sans CJK SC"/>
        <family val="2"/>
      </rPr>
      <t xml:space="preserve">」，未說已在建，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「在建」口徑不符。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13.2 </t>
    </r>
    <r>
      <rPr>
        <sz val="11"/>
        <color theme="1"/>
        <rFont val="Noto Sans CJK SC"/>
        <family val="2"/>
      </rPr>
      <t xml:space="preserve">萬㎡ 屬實；「約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萬標準機架」原文找不到。</t>
    </r>
  </si>
  <si>
    <t xml:space="preserve">https://www.prnewswire.com/news-releases/chindata-and-hec-deepen-collaboration-with-ai-compute-projects-in-shaoguan-and-ulanqab-302640015.html</t>
  </si>
  <si>
    <t xml:space="preserve">T#277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</si>
  <si>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</si>
  <si>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級、長期多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、未給具體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皆屬實。但電極箔產線原文屬烏蘭察布；韶關僅稱上游電子材料基地。東陽光全資控股一事原文無。</t>
    </r>
  </si>
  <si>
    <t xml:space="preserve">T#278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</si>
  <si>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數據中心（首棟，樣板點）｜上線</t>
    </r>
  </si>
  <si>
    <r>
      <rPr>
        <sz val="11"/>
        <color theme="1"/>
        <rFont val="Calibri"/>
        <family val="2"/>
        <charset val="1"/>
      </rPr>
      <t xml:space="preserve">168MW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架構相對傳統架構的設計提升，原文未稱芜湖已上線 </t>
    </r>
    <r>
      <rPr>
        <sz val="11"/>
        <color theme="1"/>
        <rFont val="Calibri"/>
        <family val="2"/>
        <charset val="1"/>
      </rPr>
      <t xml:space="preserve">168MW</t>
    </r>
    <r>
      <rPr>
        <sz val="11"/>
        <color theme="1"/>
        <rFont val="Noto Sans CJK SC"/>
        <family val="2"/>
      </rPr>
      <t xml:space="preserve">，也沒說「單棟」。原文稱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月底已交付，與預計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上線不同。昇騰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與實地參訪屬實。</t>
    </r>
  </si>
  <si>
    <t xml:space="preserve">https://news.qq.com/rain/a/20260915A0C1HG00</t>
  </si>
  <si>
    <t xml:space="preserve">T#279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</si>
  <si>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2024-06 </t>
    </r>
    <r>
      <rPr>
        <sz val="11"/>
        <color theme="1"/>
        <rFont val="Noto Sans CJK SC"/>
        <family val="2"/>
      </rPr>
      <t xml:space="preserve">開服）｜上線</t>
    </r>
  </si>
  <si>
    <t xml:space="preserve">2024-06-14</t>
  </si>
  <si>
    <r>
      <rPr>
        <sz val="11"/>
        <color theme="1"/>
        <rFont val="Noto Sans CJK SC"/>
        <family val="2"/>
      </rPr>
      <t xml:space="preserve">開服日 </t>
    </r>
    <r>
      <rPr>
        <sz val="11"/>
        <color theme="1"/>
        <rFont val="Calibri"/>
        <family val="2"/>
        <charset val="1"/>
      </rPr>
      <t xml:space="preserve">2024-06-14 </t>
    </r>
    <r>
      <rPr>
        <sz val="11"/>
        <color theme="1"/>
        <rFont val="Noto Sans CJK SC"/>
        <family val="2"/>
      </rPr>
      <t xml:space="preserve">與未公布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皆屬實。但原文未提「一期」，只說「首個開服的項目」。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官員說法不在此文。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也不是原文標題。</t>
    </r>
  </si>
  <si>
    <t xml:space="preserve">https://news.qq.com/rain/a/20240614A05U0U00</t>
  </si>
  <si>
    <t xml:space="preserve">T#280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</si>
  <si>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</si>
  <si>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園區、</t>
    </r>
    <r>
      <rPr>
        <sz val="11"/>
        <color theme="1"/>
        <rFont val="Calibri"/>
        <family val="2"/>
        <charset val="1"/>
      </rPr>
      <t xml:space="preserve">6000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45000P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確未公開。但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不貼切（出自記者報導），標題「記者推論」不準，</t>
    </r>
    <r>
      <rPr>
        <sz val="11"/>
        <color theme="1"/>
        <rFont val="Calibri"/>
        <family val="2"/>
        <charset val="1"/>
      </rPr>
      <t xml:space="preserve">expected_online 2024-06 </t>
    </r>
    <r>
      <rPr>
        <sz val="11"/>
        <color theme="1"/>
        <rFont val="Noto Sans CJK SC"/>
        <family val="2"/>
      </rPr>
      <t xml:space="preserve">原文無，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亦不相符。</t>
    </r>
    <r>
      <rPr>
        <sz val="11"/>
        <color theme="1"/>
        <rFont val="Calibri"/>
        <family val="2"/>
        <charset val="1"/>
      </rPr>
      <t xml:space="preserve">45000P </t>
    </r>
    <r>
      <rPr>
        <sz val="11"/>
        <color theme="1"/>
        <rFont val="Noto Sans CJK SC"/>
        <family val="2"/>
      </rPr>
      <t xml:space="preserve">是芜湖全市規模，非華為雲專屬。</t>
    </r>
  </si>
  <si>
    <t xml:space="preserve">https://www.cls.cn/detail/2152712</t>
  </si>
  <si>
    <t xml:space="preserve">T#281</t>
  </si>
  <si>
    <t xml:space="preserve">Tencent</t>
  </si>
  <si>
    <r>
      <rPr>
        <sz val="11"/>
        <color theme="1"/>
        <rFont val="Calibri"/>
        <family val="2"/>
        <charset val="1"/>
      </rPr>
      <t xml:space="preserve">Tencent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Tencent Tianjin AI Data Center</t>
    </r>
    <r>
      <rPr>
        <sz val="11"/>
        <color theme="1"/>
        <rFont val="Noto Sans CJK SC"/>
        <family val="2"/>
      </rPr>
      <t xml:space="preserve">（騰訊天津高新雲數據中心）｜全園區｜上線</t>
    </r>
  </si>
  <si>
    <t xml:space="preserve">2022-08-27</t>
  </si>
  <si>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萬台伺服器屬實，原文無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數據，與「僅揭露」說法相符。報導為記者轉述，且稱</t>
    </r>
    <r>
      <rPr>
        <sz val="11"/>
        <color theme="1"/>
        <rFont val="Calibri"/>
        <family val="2"/>
        <charset val="1"/>
      </rPr>
      <t xml:space="preserve">8/26</t>
    </r>
    <r>
      <rPr>
        <sz val="11"/>
        <color theme="1"/>
        <rFont val="Noto Sans CJK SC"/>
        <family val="2"/>
      </rPr>
      <t xml:space="preserve">啟用，稿件日期</t>
    </r>
    <r>
      <rPr>
        <sz val="11"/>
        <color theme="1"/>
        <rFont val="Calibri"/>
        <family val="2"/>
        <charset val="1"/>
      </rPr>
      <t xml:space="preserve">8/27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165MVA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10.54MW</t>
    </r>
    <r>
      <rPr>
        <sz val="11"/>
        <color theme="1"/>
        <rFont val="Noto Sans CJK SC"/>
        <family val="2"/>
      </rPr>
      <t xml:space="preserve">不在此來源，不核對。</t>
    </r>
  </si>
  <si>
    <t xml:space="preserve">https://finance.sina.com.cn/jjxw/2022-08-27/doc-imizmscv7915765.shtml</t>
  </si>
  <si>
    <t xml:space="preserve">T#282</t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</si>
  <si>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</t>
    </r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</si>
  <si>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</si>
  <si>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原文有「近万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」推理集群且無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數字，與「未查到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」一致。「近萬卡」與人民網部分來自其他來源，本文未見。</t>
    </r>
  </si>
  <si>
    <t xml:space="preserve">http://static.cninfo.com.cn/finalpage/2026-10-21/1225613232.PDF</t>
  </si>
  <si>
    <t xml:space="preserve">T#283</t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</si>
  <si>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</t>
    </r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</si>
  <si>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｜中國移動慶陽數據中心園區（背景資料，非首都在線自有容量）｜規劃</t>
    </r>
  </si>
  <si>
    <t xml:space="preserve">2026-05-11</t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</si>
  <si>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屬實，來自中國移動甘肅公司規劃，未說明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／設施口徑，首都在線列為入駐夥伴亦符。但來源是國資委轉載報導（國資小新），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標註稍偏。</t>
    </r>
  </si>
  <si>
    <t xml:space="preserve">http://www.sasac.gov.cn/n4470048/n35313464/n35421504/n35421512/n35427687/c35426620/content.html</t>
  </si>
  <si>
    <t xml:space="preserve">T#284</t>
  </si>
  <si>
    <t xml:space="preserve">中國聯通</t>
  </si>
  <si>
    <r>
      <rPr>
        <sz val="11"/>
        <color theme="1"/>
        <rFont val="Noto Sans CJK SC"/>
        <family val="2"/>
      </rPr>
      <t xml:space="preserve">中國聯通｜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｜全園區（西寧；國產晶片智算中心）｜在建</t>
    </r>
  </si>
  <si>
    <t xml:space="preserve">https://www.investing.com/news/stock-market-news/china-spotlights-major-data-centre-project-using-domestic-chips-4241554</t>
  </si>
  <si>
    <t xml:space="preserve">T#285</t>
  </si>
  <si>
    <t xml:space="preserve">聯通（青海）綠電智算科技有限公司（中國聯通）</t>
  </si>
  <si>
    <r>
      <rPr>
        <sz val="11"/>
        <color theme="1"/>
        <rFont val="Noto Sans CJK SC"/>
        <family val="2"/>
      </rPr>
      <t xml:space="preserve">聯通（青海）綠電智算科技有限公司（中國聯通）｜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｜中國聯通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阿里雲萬卡綠色算力項目（兩期，共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卡）｜上線</t>
    </r>
  </si>
  <si>
    <r>
      <rPr>
        <sz val="11"/>
        <color theme="1"/>
        <rFont val="Noto Sans CJK SC"/>
        <family val="2"/>
      </rPr>
      <t xml:space="preserve">引述的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卡、一期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卡、年中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卡皆屬實。但原文只有卡數、沒有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無依據。原文稱項目已於</t>
    </r>
    <r>
      <rPr>
        <sz val="11"/>
        <color theme="1"/>
        <rFont val="Calibri"/>
        <family val="2"/>
        <charset val="1"/>
      </rPr>
      <t xml:space="preserve">2025-01-16</t>
    </r>
    <r>
      <rPr>
        <sz val="11"/>
        <color theme="1"/>
        <rFont val="Noto Sans CJK SC"/>
        <family val="2"/>
      </rPr>
      <t xml:space="preserve">點亮，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卡投產在年中，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口徑不一。</t>
    </r>
  </si>
  <si>
    <t xml:space="preserve">http://www.qinghai.gov.cn/zwgk/system/2025/01/21/030063655.shtml</t>
  </si>
  <si>
    <t xml:space="preserve">T#286</t>
  </si>
  <si>
    <t xml:space="preserve">中國聯通（青海）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</si>
  <si>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｜三江源綠電智算融合示範園 三期（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棟智算中心）｜在建</t>
    </r>
  </si>
  <si>
    <t xml:space="preserve">32 MW</t>
  </si>
  <si>
    <t xml:space="preserve">2025-03-10</t>
  </si>
  <si>
    <t xml:space="preserve">http://minzu.china.com.cn/2025-03/10/content_43047095.htm</t>
  </si>
  <si>
    <t xml:space="preserve">T#287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</si>
  <si>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｜全園區（三江源綠電智算融合示範園，最新狀態）｜上線</t>
    </r>
  </si>
  <si>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22,204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 </t>
    </r>
    <r>
      <rPr>
        <sz val="11"/>
        <color theme="1"/>
        <rFont val="Noto Sans CJK SC"/>
        <family val="2"/>
      </rPr>
      <t xml:space="preserve">皆與原文一致，原文未列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，與「未列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」相符。說法出自聯通青海副總經理，標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</si>
  <si>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https://www.news.cn/info/20260722/ce5e995d134145e5b4c06c3699527df0/c.html</t>
  </si>
  <si>
    <t xml:space="preserve">T#288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</si>
  <si>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</si>
  <si>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（中國電信雲計算內蒙古信息園）｜全園區｜規劃</t>
    </r>
  </si>
  <si>
    <t xml:space="preserve">2026-08-23</t>
  </si>
  <si>
    <r>
      <rPr>
        <sz val="11"/>
        <color theme="1"/>
        <rFont val="Noto Sans CJK SC"/>
        <family val="2"/>
      </rPr>
      <t xml:space="preserve">算力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萬／</t>
    </r>
    <r>
      <rPr>
        <sz val="11"/>
        <color theme="1"/>
        <rFont val="Calibri"/>
        <family val="2"/>
        <charset val="1"/>
      </rPr>
      <t xml:space="preserve">1.56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</t>
    </r>
    <r>
      <rPr>
        <sz val="11"/>
        <color theme="1"/>
        <rFont val="Noto Sans CJK SC"/>
        <family val="2"/>
      </rPr>
      <t xml:space="preserve">與原文一致，原文無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級是雙園區協同的說法。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不在原文，但列中已註明公司未證實。</t>
    </r>
  </si>
  <si>
    <t xml:space="preserve">https://www.nmg.chinanews.com.cn/news/20260823/55628.html</t>
  </si>
  <si>
    <t xml:space="preserve">T#289</t>
  </si>
  <si>
    <t xml:space="preserve">China Telecom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</si>
  <si>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（中國電信雲計算內蒙古信息園）｜已建成部分（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棟機房等）｜上線</t>
    </r>
  </si>
  <si>
    <t xml:space="preserve">2022-06-07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</si>
  <si>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412</t>
    </r>
    <r>
      <rPr>
        <sz val="11"/>
        <color theme="1"/>
        <rFont val="Noto Sans CJK SC"/>
        <family val="2"/>
      </rPr>
      <t xml:space="preserve">）</t>
    </r>
  </si>
  <si>
    <t xml:space="preserve">https://www.chinatelecom.com.cn/ct/news/yunjisuanjisuanli/154819.html</t>
  </si>
  <si>
    <t xml:space="preserve">T#290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</si>
  <si>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區數據中心｜在建</t>
    </r>
  </si>
  <si>
    <t xml:space="preserve">T#291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</si>
  <si>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（中國電信雲計算內蒙古信息園）｜烏蘭察布察右中旗新園區（姊妹園區）｜規劃</t>
    </r>
  </si>
  <si>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Noto Sans CJK SC"/>
        <family val="2"/>
      </rPr>
      <t xml:space="preserve">畝與綠電超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皆符合，並有和林格爾、烏蘭察布雙園區協同。原文亂碼，「徵地」與「察右中旗」無法確認。原文未給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與時程。</t>
    </r>
  </si>
  <si>
    <t xml:space="preserve">T#292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</si>
  <si>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</si>
  <si>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指用電量、投資逾 </t>
    </r>
    <r>
      <rPr>
        <sz val="11"/>
        <color theme="1"/>
        <rFont val="Calibri"/>
        <family val="2"/>
        <charset val="1"/>
      </rPr>
      <t xml:space="preserve">13B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年上線皆屬實。但原文未提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動工，也無「省府清單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」，「在建」狀態缺乏支持。另「發言人稱」實為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稱。</t>
    </r>
  </si>
  <si>
    <r>
      <rPr>
        <sz val="11"/>
        <color theme="1"/>
        <rFont val="Calibri"/>
        <family val="2"/>
        <charset val="1"/>
      </rPr>
      <t xml:space="preserve">cp_meta_sturg1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cp_meta_sturg2</t>
    </r>
  </si>
  <si>
    <t xml:space="preserve">https://www.theglobeandmail.com/business/article-meta-ai-data-centre-sturgeon-county-alberta/</t>
  </si>
  <si>
    <t xml:space="preserve">T#293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</si>
  <si>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｜第一期（電網供電 </t>
    </r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）｜簽約</t>
    </r>
  </si>
  <si>
    <t xml:space="preserve">970 MW</t>
  </si>
  <si>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、第一期、電網取電、</t>
    </r>
    <r>
      <rPr>
        <sz val="11"/>
        <color theme="1"/>
        <rFont val="Calibri"/>
        <family val="2"/>
        <charset val="1"/>
      </rPr>
      <t xml:space="preserve">Capital Power 250MW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下半年）與 </t>
    </r>
    <r>
      <rPr>
        <sz val="11"/>
        <color theme="1"/>
        <rFont val="Calibri"/>
        <family val="2"/>
        <charset val="1"/>
      </rPr>
      <t xml:space="preserve">Greenlight 932MW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下半年）皆與原文一致。但 </t>
    </r>
    <r>
      <rPr>
        <sz val="11"/>
        <color theme="1"/>
        <rFont val="Calibri"/>
        <family val="2"/>
        <charset val="1"/>
      </rPr>
      <t xml:space="preserve">970 MW </t>
    </r>
    <r>
      <rPr>
        <sz val="11"/>
        <color theme="1"/>
        <rFont val="Noto Sans CJK SC"/>
        <family val="2"/>
      </rPr>
      <t xml:space="preserve">只出自部長單方說法，標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偏高，宜改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</t>
    </r>
  </si>
  <si>
    <t xml:space="preserve">https://www.mromagazine.com/2026/07/10/meta-data-centre-in-alberta-to-start-up-ahead-of-adjacent-greenlight-power-plant/</t>
  </si>
  <si>
    <t xml:space="preserve">T#294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</si>
  <si>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｜許可上限／後續擴建｜規劃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</si>
  <si>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是許可載明的「需電量」，並非許可上限或後續擴建容量，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寫成規劃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上限口徑不同。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人上訴、</t>
    </r>
    <r>
      <rPr>
        <sz val="11"/>
        <color theme="1"/>
        <rFont val="Calibri"/>
        <family val="2"/>
        <charset val="1"/>
      </rPr>
      <t xml:space="preserve">10/13 </t>
    </r>
    <r>
      <rPr>
        <sz val="11"/>
        <color theme="1"/>
        <rFont val="Noto Sans CJK SC"/>
        <family val="2"/>
      </rPr>
      <t xml:space="preserve">聽證屬實。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1GW→1.8GW </t>
    </r>
    <r>
      <rPr>
        <sz val="11"/>
        <color theme="1"/>
        <rFont val="Noto Sans CJK SC"/>
        <family val="2"/>
      </rPr>
      <t xml:space="preserve">的說法在原文找不到。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尚可，但口徑有偏。</t>
    </r>
  </si>
  <si>
    <t xml:space="preserve">https://www.theenergymix.com/alberta-tribunal-to-decide-whether-challenge-to-meta-data-centre-can-proceed/</t>
  </si>
  <si>
    <t xml:space="preserve">T#295</t>
  </si>
  <si>
    <t xml:space="preserve">Bell AI Fabric (Bell Canada/BCE)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</si>
  <si>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（初期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</si>
  <si>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是整個園區總量，並非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初期，原文也沒有「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棟」。施工「預定春季開工」，不是在建。首階段上線為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上半年，並非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，且就是本新聞稿所述。「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預售」在原文找不到，只說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已確定為租戶。</t>
    </r>
  </si>
  <si>
    <t xml:space="preserve">https://www.bce.ca/news-and-media/newsroom?article=bell-ai-fabric-expands-national-network-with-300-mw-data-centre-in-saskatchewan</t>
  </si>
  <si>
    <t xml:space="preserve">T#296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</si>
  <si>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首兩棟資料機房｜在建</t>
    </r>
  </si>
  <si>
    <r>
      <rPr>
        <sz val="11"/>
        <color theme="1"/>
        <rFont val="Calibri"/>
        <family val="2"/>
        <charset val="1"/>
      </rPr>
      <t xml:space="preserve">Watson </t>
    </r>
    <r>
      <rPr>
        <sz val="11"/>
        <color theme="1"/>
        <rFont val="Noto Sans CJK SC"/>
        <family val="2"/>
      </rPr>
      <t xml:space="preserve">稱前兩棟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上半年上線屬實，但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寫成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偏窄。原文只說最大兩客戶為美國公司，未點名 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。原文是四棟成形、一棟已有外牆板，沒有「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棟鋼構完成」，也非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報導。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數字未列。</t>
    </r>
  </si>
  <si>
    <t xml:space="preserve">https://www.cjme.com/2026/10/01/photos-bell-calls-pace-of-construction-at-ai-data-centre-extraordinary/</t>
  </si>
  <si>
    <t xml:space="preserve">T#297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</si>
  <si>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｜擴建（至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，新增約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</si>
  <si>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原文只有全園區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900 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895 </t>
    </r>
    <r>
      <rPr>
        <sz val="11"/>
        <color theme="1"/>
        <rFont val="Noto Sans CJK SC"/>
        <family val="2"/>
      </rPr>
      <t xml:space="preserve">是英畝。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日宣布、無客戶、市議會要資料等說法也找不到。</t>
    </r>
  </si>
  <si>
    <t xml:space="preserve">https://www.cjme.com/2026/10/07/site-plan-for-bell-ai-data-centre-expansion-near-regina-revealed/</t>
  </si>
  <si>
    <t xml:space="preserve">T#298</t>
  </si>
  <si>
    <t xml:space="preserve">Synapse Data Center Inc.</t>
  </si>
  <si>
    <r>
      <rPr>
        <sz val="11"/>
        <color theme="1"/>
        <rFont val="Calibri"/>
        <family val="2"/>
        <charset val="1"/>
      </rPr>
      <t xml:space="preserve">Synapse Data Center Inc.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</si>
  <si>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</si>
  <si>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億、日期屬實。但原文無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年上線，也無</t>
    </r>
    <r>
      <rPr>
        <sz val="11"/>
        <color theme="1"/>
        <rFont val="Calibri"/>
        <family val="2"/>
        <charset val="1"/>
      </rPr>
      <t xml:space="preserve">AUC</t>
    </r>
    <r>
      <rPr>
        <sz val="11"/>
        <color theme="1"/>
        <rFont val="Noto Sans CJK SC"/>
        <family val="2"/>
      </rPr>
      <t xml:space="preserve">駁回等延遲內容；原文只說建設期約兩年。</t>
    </r>
  </si>
  <si>
    <t xml:space="preserve">https://investolds.ca/press-release-january-27-2026/</t>
  </si>
  <si>
    <t xml:space="preserve">T#299</t>
  </si>
  <si>
    <t xml:space="preserve">Synapse Real Estate Corp.</t>
  </si>
  <si>
    <r>
      <rPr>
        <sz val="11"/>
        <color theme="1"/>
        <rFont val="Calibri"/>
        <family val="2"/>
        <charset val="1"/>
      </rPr>
      <t xml:space="preserve">Synapse Real Estate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｜配套自備燃氣電廠（非資料中心分期）｜規劃</t>
    </r>
  </si>
  <si>
    <r>
      <rPr>
        <sz val="11"/>
        <color theme="1"/>
        <rFont val="Calibri"/>
        <family val="2"/>
        <charset val="1"/>
      </rPr>
      <t xml:space="preserve">1400MW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駁回、選址過近皆屬實。但原文只說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台柴油發電機，</t>
    </r>
    <r>
      <rPr>
        <sz val="11"/>
        <color theme="1"/>
        <rFont val="Calibri"/>
        <family val="2"/>
        <charset val="1"/>
      </rPr>
      <t xml:space="preserve">1,800MW</t>
    </r>
    <r>
      <rPr>
        <sz val="11"/>
        <color theme="1"/>
        <rFont val="Noto Sans CJK SC"/>
        <family val="2"/>
      </rPr>
      <t xml:space="preserve">是由</t>
    </r>
    <r>
      <rPr>
        <sz val="11"/>
        <color theme="1"/>
        <rFont val="Calibri"/>
        <family val="2"/>
        <charset val="1"/>
      </rPr>
      <t xml:space="preserve">3,200−1,400</t>
    </r>
    <r>
      <rPr>
        <sz val="11"/>
        <color theme="1"/>
        <rFont val="Noto Sans CJK SC"/>
        <family val="2"/>
      </rPr>
      <t xml:space="preserve">推算。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月結案、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重提、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上線、可換址皆原文找不到。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不是來源標題。</t>
    </r>
  </si>
  <si>
    <t xml:space="preserve">https://www.rmoutlook.com/beyond-local/breaking-alberta-regulator-rejects-massive-natural-gas-power-plant-proposed-for-ai-data-centre-near-olds-12675340</t>
  </si>
  <si>
    <t xml:space="preserve">T#300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</si>
  <si>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</si>
  <si>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</si>
  <si>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650 MW</t>
  </si>
  <si>
    <t xml:space="preserve">2026-03-04</t>
  </si>
  <si>
    <r>
      <rPr>
        <sz val="11"/>
        <color theme="1"/>
        <rFont val="Calibri"/>
        <family val="2"/>
        <charset val="1"/>
      </rPr>
      <t xml:space="preserve">650 MW </t>
    </r>
    <r>
      <rPr>
        <sz val="11"/>
        <color theme="1"/>
        <rFont val="Noto Sans CJK SC"/>
        <family val="2"/>
      </rPr>
      <t xml:space="preserve">是發電設施產能，日期 </t>
    </r>
    <r>
      <rPr>
        <sz val="11"/>
        <color theme="1"/>
        <rFont val="Calibri"/>
        <family val="2"/>
        <charset val="1"/>
      </rPr>
      <t xml:space="preserve">2026-03-04 </t>
    </r>
    <r>
      <rPr>
        <sz val="11"/>
        <color theme="1"/>
        <rFont val="Noto Sans CJK SC"/>
        <family val="2"/>
      </rPr>
      <t xml:space="preserve">與署方早期決定皆屬實，說明也正確。但原文只列 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Mihta Askiy LP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Sovereign Digital Infrastructure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上線，這些需另有來源。</t>
    </r>
  </si>
  <si>
    <t xml:space="preserve">https://iaac-aeic.gc.ca/050/evaluations/proj/90036?culture=en-CA</t>
  </si>
  <si>
    <t xml:space="preserve">T#301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</si>
  <si>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</si>
  <si>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簡單循環）｜規劃</t>
    </r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</si>
  <si>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出現，但為資料中心容量與約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發電兩者並存；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標未說明不精確。來源為 </t>
    </r>
    <r>
      <rPr>
        <sz val="11"/>
        <color theme="1"/>
        <rFont val="Calibri"/>
        <family val="2"/>
        <charset val="1"/>
      </rPr>
      <t xml:space="preserve">ADCW </t>
    </r>
    <r>
      <rPr>
        <sz val="11"/>
        <color theme="1"/>
        <rFont val="Noto Sans CJK SC"/>
        <family val="2"/>
      </rPr>
      <t xml:space="preserve">第三方追蹤站，頁面有日期（</t>
    </r>
    <r>
      <rPr>
        <sz val="11"/>
        <color theme="1"/>
        <rFont val="Calibri"/>
        <family val="2"/>
        <charset val="1"/>
      </rPr>
      <t xml:space="preserve">2026-08-23</t>
    </r>
    <r>
      <rPr>
        <sz val="11"/>
        <color theme="1"/>
        <rFont val="Noto Sans CJK SC"/>
        <family val="2"/>
      </rPr>
      <t xml:space="preserve">），並非「無日期」；「舊說法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年中」原文找不到。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僅寫 </t>
    </r>
    <r>
      <rPr>
        <sz val="11"/>
        <color theme="1"/>
        <rFont val="Calibri"/>
        <family val="2"/>
        <charset val="1"/>
      </rPr>
      <t xml:space="preserve">Late 2027</t>
    </r>
    <r>
      <rPr>
        <sz val="11"/>
        <color theme="1"/>
        <rFont val="Noto Sans CJK SC"/>
        <family val="2"/>
      </rPr>
      <t xml:space="preserve">。</t>
    </r>
  </si>
  <si>
    <t xml:space="preserve">https://albertadatacentrewatch.ca/projects/mihta-askiy-data-centre/</t>
  </si>
  <si>
    <t xml:space="preserve">T#302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</si>
  <si>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（擴至</t>
    </r>
    <r>
      <rPr>
        <sz val="11"/>
        <color theme="1"/>
        <rFont val="Calibri"/>
        <family val="2"/>
        <charset val="1"/>
      </rPr>
      <t xml:space="preserve">650MW </t>
    </r>
    <r>
      <rPr>
        <sz val="11"/>
        <color theme="1"/>
        <rFont val="Noto Sans CJK SC"/>
        <family val="2"/>
      </rPr>
      <t xml:space="preserve">聯合循環）｜規劃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</si>
  <si>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蒸汽輪機與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日，無「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天前」；找不到後續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AUC 30787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2×230MW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GEM</t>
    </r>
    <r>
      <rPr>
        <sz val="11"/>
        <color theme="1"/>
        <rFont val="Noto Sans CJK SC"/>
        <family val="2"/>
      </rPr>
      <t xml:space="preserve">屬第三方，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偏。</t>
    </r>
  </si>
  <si>
    <t xml:space="preserve">https://www.nextbigfuture.com/2026/10/canada-ai-data-center-projects-and-power-for-ai.html</t>
  </si>
  <si>
    <t xml:space="preserve">T#303</t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</si>
  <si>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</si>
  <si>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Beacon Foothills AI Hub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Beacon AI Centers Foothills Campus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</si>
  <si>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https://www.westernwheel.ca/local-news/residents-concerned-about-possible-data-centre-near-high-river-12927844</t>
  </si>
  <si>
    <t xml:space="preserve">T#304</t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</si>
  <si>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</si>
  <si>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BUZZ HPC Greater Toronto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</si>
  <si>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320 MW</t>
  </si>
  <si>
    <t xml:space="preserve">2026-05-18</t>
  </si>
  <si>
    <r>
      <rPr>
        <sz val="11"/>
        <color theme="1"/>
        <rFont val="Calibri"/>
        <family val="2"/>
        <charset val="1"/>
      </rPr>
      <t xml:space="preserve">320MW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utility capacity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未說明相符。日期 </t>
    </r>
    <r>
      <rPr>
        <sz val="11"/>
        <color theme="1"/>
        <rFont val="Calibri"/>
        <family val="2"/>
        <charset val="1"/>
      </rPr>
      <t xml:space="preserve">2026-05-18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下半年上線、</t>
    </r>
    <r>
      <rPr>
        <sz val="11"/>
        <color theme="1"/>
        <rFont val="Calibri"/>
        <family val="2"/>
        <charset val="1"/>
      </rPr>
      <t xml:space="preserve">CAD35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21+4≈25 </t>
    </r>
    <r>
      <rPr>
        <sz val="11"/>
        <color theme="1"/>
        <rFont val="Noto Sans CJK SC"/>
        <family val="2"/>
      </rPr>
      <t xml:space="preserve">英畝皆與原文一致。公司新聞稿標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恰當。「未見延遲或租戶報導」屬本人查證備註，原文未提租戶。</t>
    </r>
  </si>
  <si>
    <t xml:space="preserve">https://www.hivedigitaltechnologies.com/news/hives-buzz-hpc-announces-320-mw-sovereign-ai-infrastructure-in-greater-toronto-area/</t>
  </si>
  <si>
    <t xml:space="preserve">T#305</t>
  </si>
  <si>
    <t xml:space="preserve">QScale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</si>
  <si>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｜全園區｜在建</t>
    </r>
  </si>
  <si>
    <t xml:space="preserve">142 MW</t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</si>
  <si>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142MW</t>
    </r>
    <r>
      <rPr>
        <sz val="11"/>
        <color theme="1"/>
        <rFont val="Noto Sans CJK SC"/>
        <family val="2"/>
      </rPr>
      <t xml:space="preserve">是滿載建成後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容量，非「在建」；在建的是</t>
    </r>
    <r>
      <rPr>
        <sz val="11"/>
        <color theme="1"/>
        <rFont val="Calibri"/>
        <family val="2"/>
        <charset val="1"/>
      </rPr>
      <t xml:space="preserve">Building B 60MW</t>
    </r>
    <r>
      <rPr>
        <sz val="11"/>
        <color theme="1"/>
        <rFont val="Noto Sans CJK SC"/>
        <family val="2"/>
      </rPr>
      <t xml:space="preserve">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上線；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僅為第二期動工年。官網</t>
    </r>
    <r>
      <rPr>
        <sz val="11"/>
        <color theme="1"/>
        <rFont val="Calibri"/>
        <family val="2"/>
        <charset val="1"/>
      </rPr>
      <t xml:space="preserve">114MW</t>
    </r>
    <r>
      <rPr>
        <sz val="11"/>
        <color theme="1"/>
        <rFont val="Noto Sans CJK SC"/>
        <family val="2"/>
      </rPr>
      <t xml:space="preserve">等說法原文也沒有。</t>
    </r>
  </si>
  <si>
    <t xml:space="preserve">https://www.datacenterdynamics.com/en/news/canadas-qscale-breaks-ground-on-second-building-at-qu%C3%A9bec-campus/</t>
  </si>
  <si>
    <t xml:space="preserve">T#306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</si>
  <si>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</si>
  <si>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12 MW</t>
  </si>
  <si>
    <t xml:space="preserve">2022-09-21</t>
  </si>
  <si>
    <r>
      <rPr>
        <sz val="11"/>
        <color theme="1"/>
        <rFont val="Calibri"/>
        <family val="2"/>
        <charset val="1"/>
      </rPr>
      <t xml:space="preserve">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月交付皆屬實。但文章日期為</t>
    </r>
    <r>
      <rPr>
        <sz val="11"/>
        <color theme="1"/>
        <rFont val="Calibri"/>
        <family val="2"/>
        <charset val="1"/>
      </rPr>
      <t xml:space="preserve">2022-09-22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09-21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未顯示日期並不正確。原文未提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等客戶。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標記尚可。</t>
    </r>
  </si>
  <si>
    <t xml:space="preserve">https://www.datacenterdynamics.com/en/news/qscale-begins-construction-on-second-building-at-l%C3%A9vis-campus-in-quebec/</t>
  </si>
  <si>
    <t xml:space="preserve">T#307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</si>
  <si>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｜上線</t>
    </r>
  </si>
  <si>
    <t xml:space="preserve">2024-12-03</t>
  </si>
  <si>
    <t xml:space="preserve">https://www.lapresse.ca/affaires/entreprises/2024-12-03/qscale/des-clients-du-financement-mais-pas-d-electricite.php</t>
  </si>
  <si>
    <t xml:space="preserve">T#308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</si>
  <si>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3-4</t>
    </r>
    <r>
      <rPr>
        <sz val="11"/>
        <color theme="1"/>
        <rFont val="Noto Sans CJK SC"/>
        <family val="2"/>
      </rPr>
      <t xml:space="preserve">｜在建</t>
    </r>
  </si>
  <si>
    <t xml:space="preserve">T#309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</si>
  <si>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B</t>
    </r>
    <r>
      <rPr>
        <sz val="11"/>
        <color theme="1"/>
        <rFont val="Noto Sans CJK SC"/>
        <family val="2"/>
      </rPr>
      <t xml:space="preserve">（第二棟）｜在建</t>
    </r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</si>
  <si>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2026-06-04</t>
    </r>
    <r>
      <rPr>
        <sz val="11"/>
        <color theme="1"/>
        <rFont val="Noto Sans CJK SC"/>
        <family val="2"/>
      </rPr>
      <t xml:space="preserve">、已動工、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級、公司自述皆相符。原文未明寫加幣，也未提完工日與租戶。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月高盛收購為「</t>
    </r>
    <r>
      <rPr>
        <sz val="11"/>
        <color theme="1"/>
        <rFont val="Calibri"/>
        <family val="2"/>
        <charset val="1"/>
      </rPr>
      <t xml:space="preserve">to acquire</t>
    </r>
    <r>
      <rPr>
        <sz val="11"/>
        <color theme="1"/>
        <rFont val="Noto Sans CJK SC"/>
        <family val="2"/>
      </rPr>
      <t xml:space="preserve">」公告，屬次要細節。</t>
    </r>
  </si>
  <si>
    <t xml:space="preserve">https://www.qscale.com/news/q01-building-b-60mw-ai-ready-infrastructure</t>
  </si>
  <si>
    <t xml:space="preserve">T#310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</si>
  <si>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</t>
    </r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</si>
  <si>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</si>
  <si>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為目標容量，未說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或設施，屬實。頁面日期為</t>
    </r>
    <r>
      <rPr>
        <sz val="11"/>
        <color theme="1"/>
        <rFont val="Calibri"/>
        <family val="2"/>
        <charset val="1"/>
      </rPr>
      <t xml:space="preserve">9/26</t>
    </r>
    <r>
      <rPr>
        <sz val="11"/>
        <color theme="1"/>
        <rFont val="Noto Sans CJK SC"/>
        <family val="2"/>
      </rPr>
      <t xml:space="preserve">，表中記</t>
    </r>
    <r>
      <rPr>
        <sz val="11"/>
        <color theme="1"/>
        <rFont val="Calibri"/>
        <family val="2"/>
        <charset val="1"/>
      </rPr>
      <t xml:space="preserve">9/27</t>
    </r>
    <r>
      <rPr>
        <sz val="11"/>
        <color theme="1"/>
        <rFont val="Noto Sans CJK SC"/>
        <family val="2"/>
      </rPr>
      <t xml:space="preserve">（差一天）。原文未提</t>
    </r>
    <r>
      <rPr>
        <sz val="11"/>
        <color theme="1"/>
        <rFont val="Calibri"/>
        <family val="2"/>
        <charset val="1"/>
      </rPr>
      <t xml:space="preserve">Naver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營運方，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Tamesna</t>
    </r>
    <r>
      <rPr>
        <sz val="11"/>
        <color theme="1"/>
        <rFont val="Noto Sans CJK SC"/>
        <family val="2"/>
      </rPr>
      <t xml:space="preserve">也未出現。</t>
    </r>
  </si>
  <si>
    <t xml:space="preserve">https://iafrica.com/nvidia-confirms-morocco-in-two-african-ai-compute-projects-including-500mw-casablanca-factory/</t>
  </si>
  <si>
    <t xml:space="preserve">T#311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</si>
  <si>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</si>
  <si>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｜原第一期（</t>
    </r>
    <r>
      <rPr>
        <sz val="11"/>
        <color theme="1"/>
        <rFont val="Calibri"/>
        <family val="2"/>
        <charset val="1"/>
      </rPr>
      <t xml:space="preserve">40MW Blackwell GB200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年公告）｜規劃</t>
    </r>
  </si>
  <si>
    <t xml:space="preserve">2025-06-20</t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</si>
  <si>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動工、年底完成皆屬實。但原文發布日為</t>
    </r>
    <r>
      <rPr>
        <sz val="11"/>
        <color theme="1"/>
        <rFont val="Calibri"/>
        <family val="2"/>
        <charset val="1"/>
      </rPr>
      <t xml:space="preserve">2025-06-13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」原文僅寫</t>
    </r>
    <r>
      <rPr>
        <sz val="11"/>
        <color theme="1"/>
        <rFont val="Calibri"/>
        <family val="2"/>
        <charset val="1"/>
      </rPr>
      <t xml:space="preserve">Blackwell GPUs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Nexus 2026 Q1</t>
    </r>
    <r>
      <rPr>
        <sz val="11"/>
        <color theme="1"/>
        <rFont val="Noto Sans CJK SC"/>
        <family val="2"/>
      </rPr>
      <t xml:space="preserve">不在此文。</t>
    </r>
  </si>
  <si>
    <t xml:space="preserve">https://www.koreaherald.com/article/10508497</t>
  </si>
  <si>
    <t xml:space="preserve">T#312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</si>
  <si>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</si>
  <si>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16MW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屬實。但這是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規劃容量而非「簽約」；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是建設年而非上線；原文無「政府與企業」客群。</t>
    </r>
  </si>
  <si>
    <t xml:space="preserve">https://developingtelecoms.com/telecom-technology/data-centres-networks/20099-nexus-to-build-us-1-2-billion-ai-factory-in-morocco.html</t>
  </si>
  <si>
    <t xml:space="preserve">T#313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</si>
  <si>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｜第二期（摩洛哥北部）｜規劃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</si>
  <si>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MAD7 billion </t>
    </r>
    <r>
      <rPr>
        <sz val="11"/>
        <color theme="1"/>
        <rFont val="Noto Sans CJK SC"/>
        <family val="2"/>
      </rPr>
      <t xml:space="preserve">屬實。原文承接 </t>
    </r>
    <r>
      <rPr>
        <sz val="11"/>
        <color theme="1"/>
        <rFont val="Calibri"/>
        <family val="2"/>
        <charset val="1"/>
      </rPr>
      <t xml:space="preserve">IT load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可視為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。「逾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年底」不在本文，</t>
    </r>
    <r>
      <rPr>
        <sz val="11"/>
        <color theme="1"/>
        <rFont val="Calibri"/>
        <family val="2"/>
        <charset val="1"/>
      </rPr>
      <t xml:space="preserve">36MW </t>
    </r>
    <r>
      <rPr>
        <sz val="11"/>
        <color theme="1"/>
        <rFont val="Noto Sans CJK SC"/>
        <family val="2"/>
      </rPr>
      <t xml:space="preserve">為推算。</t>
    </r>
  </si>
  <si>
    <t xml:space="preserve">T#314</t>
  </si>
  <si>
    <t xml:space="preserve">未揭露（簽約方為公部門，尚未指定營運者）</t>
  </si>
  <si>
    <r>
      <rPr>
        <sz val="11"/>
        <color theme="1"/>
        <rFont val="Noto Sans CJK SC"/>
        <family val="2"/>
      </rPr>
      <t xml:space="preserve">未揭露（簽約方為公部門，尚未指定營運者）｜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</si>
  <si>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https://medias24.com/2026/04/17/dakhla-500-mw-green-data-center-megaproject-launched-to-bolster-moroccos-digital-sovereignty-1661807/</t>
  </si>
  <si>
    <t xml:space="preserve">T#315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</si>
  <si>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）｜全園區（早期公告：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簽署建設協議）｜簽約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</si>
  <si>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、專屬風光電場、</t>
    </r>
    <r>
      <rPr>
        <sz val="11"/>
        <color theme="1"/>
        <rFont val="Calibri"/>
        <family val="2"/>
        <charset val="1"/>
      </rPr>
      <t xml:space="preserve">D4SD </t>
    </r>
    <r>
      <rPr>
        <sz val="11"/>
        <color theme="1"/>
        <rFont val="Noto Sans CJK SC"/>
        <family val="2"/>
      </rPr>
      <t xml:space="preserve">皆與原文一致，原文未提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／設施口徑、時程與投資金額，與該列相符。文章日期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，簽約日原文寫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日，該列只寫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，無衝突。</t>
    </r>
  </si>
  <si>
    <t xml:space="preserve">https://www.wearetech.africa/en/fils-uk/news/tech/morocco-to-build-renewable-powered-data-center-and-ai-institute-in-dakhla</t>
  </si>
  <si>
    <t xml:space="preserve">T#316</t>
  </si>
  <si>
    <t xml:space="preserve">Kasi Cloud Datacenters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</si>
  <si>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</si>
  <si>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2026-05-21</t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</si>
  <si>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、公司自述、日期 </t>
    </r>
    <r>
      <rPr>
        <sz val="11"/>
        <color theme="1"/>
        <rFont val="Calibri"/>
        <family val="2"/>
        <charset val="1"/>
      </rPr>
      <t xml:space="preserve">2026-05-21 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公頃皆符。但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是完工後的遠期規模，無時程，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LOS1 </t>
    </r>
    <r>
      <rPr>
        <sz val="11"/>
        <color theme="1"/>
        <rFont val="Noto Sans CJK SC"/>
        <family val="2"/>
      </rPr>
      <t xml:space="preserve">啟用。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公頃本文未見。</t>
    </r>
  </si>
  <si>
    <t xml:space="preserve">https://datacenterpost.com/kasi-cloud-commissions-west-africas-first-hyperscale-ready-ai-capable-campus-in-lagos/</t>
  </si>
  <si>
    <t xml:space="preserve">T#317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</si>
  <si>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LOS1</t>
    </r>
    <r>
      <rPr>
        <sz val="11"/>
        <color theme="1"/>
        <rFont val="Noto Sans CJK SC"/>
        <family val="2"/>
      </rPr>
      <t xml:space="preserve">（第一棟）｜在建</t>
    </r>
  </si>
  <si>
    <t xml:space="preserve">5.5 MW</t>
  </si>
  <si>
    <t xml:space="preserve">2026-02-06</t>
  </si>
  <si>
    <r>
      <rPr>
        <sz val="11"/>
        <color theme="1"/>
        <rFont val="Calibri"/>
        <family val="2"/>
        <charset val="1"/>
      </rPr>
      <t xml:space="preserve">5.5MW</t>
    </r>
    <r>
      <rPr>
        <sz val="11"/>
        <color theme="1"/>
        <rFont val="Noto Sans CJK SC"/>
        <family val="2"/>
      </rPr>
      <t xml:space="preserve">初期、升至</t>
    </r>
    <r>
      <rPr>
        <sz val="11"/>
        <color theme="1"/>
        <rFont val="Calibri"/>
        <family val="2"/>
        <charset val="1"/>
      </rPr>
      <t xml:space="preserve">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商運均屬實；但原文日期為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02-06</t>
    </r>
    <r>
      <rPr>
        <sz val="11"/>
        <color theme="1"/>
        <rFont val="Noto Sans CJK SC"/>
        <family val="2"/>
      </rPr>
      <t xml:space="preserve">。來源為媒體轉述公司說法，標題寫「公司本人」略偏。</t>
    </r>
    <r>
      <rPr>
        <sz val="11"/>
        <color theme="1"/>
        <rFont val="Calibri"/>
        <family val="2"/>
        <charset val="1"/>
      </rPr>
      <t xml:space="preserve">5/19</t>
    </r>
    <r>
      <rPr>
        <sz val="11"/>
        <color theme="1"/>
        <rFont val="Noto Sans CJK SC"/>
        <family val="2"/>
      </rPr>
      <t xml:space="preserve">開幕與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說法不在此原文。</t>
    </r>
  </si>
  <si>
    <t xml:space="preserve">https://ranksafrica.com/kasi-cloud-unveils-42-hectare-ai-focused-data-centre-campus-in-lekki-targeting-100-mw-capacity-by-2026/</t>
  </si>
  <si>
    <t xml:space="preserve">T#318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</si>
  <si>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</si>
  <si>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</si>
  <si>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年公布、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年底初期分期、</t>
    </r>
    <r>
      <rPr>
        <sz val="11"/>
        <color theme="1"/>
        <rFont val="Calibri"/>
        <family val="2"/>
        <charset val="1"/>
      </rPr>
      <t xml:space="preserve">BG02 24MW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Mosquera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144MW </t>
    </r>
    <r>
      <rPr>
        <sz val="11"/>
        <color theme="1"/>
        <rFont val="Noto Sans CJK SC"/>
        <family val="2"/>
      </rPr>
      <t xml:space="preserve">均與原文一致。原文另指併網容量僅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，但與此列不衝突。</t>
    </r>
  </si>
  <si>
    <t xml:space="preserve">https://colombiaone.com/2026/10/01/colombia-data-center-tenjo-approval/</t>
  </si>
  <si>
    <t xml:space="preserve">T#319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</si>
  <si>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連接容量）｜在建</t>
    </r>
  </si>
  <si>
    <t xml:space="preserve">2026-09-26</t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</si>
  <si>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核配的連接容量，不是在建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容量。原文未稱 </t>
    </r>
    <r>
      <rPr>
        <sz val="11"/>
        <color theme="1"/>
        <rFont val="Calibri"/>
        <family val="2"/>
        <charset val="1"/>
      </rPr>
      <t xml:space="preserve">RAYA </t>
    </r>
    <r>
      <rPr>
        <sz val="11"/>
        <color theme="1"/>
        <rFont val="Noto Sans CJK SC"/>
        <family val="2"/>
      </rPr>
      <t xml:space="preserve">說首期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ANLA 2026-09-16 </t>
    </r>
    <r>
      <rPr>
        <sz val="11"/>
        <color theme="1"/>
        <rFont val="Noto Sans CJK SC"/>
        <family val="2"/>
      </rPr>
      <t xml:space="preserve">核發屬實。</t>
    </r>
  </si>
  <si>
    <t xml:space="preserve">https://portalnews.co/cundinamarca/centro-datos-tenjo-cundinamarca</t>
  </si>
  <si>
    <t xml:space="preserve">T#320</t>
  </si>
  <si>
    <t xml:space="preserve">Ascenty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</si>
  <si>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初期｜在建</t>
    </r>
  </si>
  <si>
    <t xml:space="preserve">https://ascenty.com/en/blog/news-ascenty-en/ascenty-ai-contracts/</t>
  </si>
  <si>
    <t xml:space="preserve">T#321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</si>
  <si>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擴建階段｜規劃</t>
    </r>
  </si>
  <si>
    <t xml:space="preserve">T#322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</si>
  <si>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已簽約容量｜簽約</t>
    </r>
  </si>
  <si>
    <t xml:space="preserve">2026-05-30</t>
  </si>
  <si>
    <t xml:space="preserve">https://mlq.ai/news/v2/ascenty-commits-12b-to-deploy-150mw-of-ai-data-center-capacity-across-brazil/</t>
  </si>
  <si>
    <t xml:space="preserve">T#323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</si>
  <si>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</si>
  <si>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</si>
  <si>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800MW IT</t>
    </r>
    <r>
      <rPr>
        <sz val="11"/>
        <color theme="1"/>
        <rFont val="Noto Sans CJK SC"/>
        <family val="2"/>
      </rPr>
      <t xml:space="preserve">、八棟、</t>
    </r>
    <r>
      <rPr>
        <sz val="11"/>
        <color theme="1"/>
        <rFont val="Calibri"/>
        <family val="2"/>
        <charset val="1"/>
      </rPr>
      <t xml:space="preserve">2025-10-15</t>
    </r>
    <r>
      <rPr>
        <sz val="11"/>
        <color theme="1"/>
        <rFont val="Noto Sans CJK SC"/>
        <family val="2"/>
      </rPr>
      <t xml:space="preserve">、引述 </t>
    </r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部落格皆屬實。但本文寫首棟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交付，非 </t>
    </r>
    <r>
      <rPr>
        <sz val="11"/>
        <color theme="1"/>
        <rFont val="Calibri"/>
        <family val="2"/>
        <charset val="1"/>
      </rPr>
      <t xml:space="preserve">2026 Q3</t>
    </r>
    <r>
      <rPr>
        <sz val="11"/>
        <color theme="1"/>
        <rFont val="Noto Sans CJK SC"/>
        <family val="2"/>
      </rPr>
      <t xml:space="preserve">；標題誤作「公司本人」；日期原文明載，非由「</t>
    </r>
    <r>
      <rPr>
        <sz val="11"/>
        <color theme="1"/>
        <rFont val="Calibri"/>
        <family val="2"/>
        <charset val="1"/>
      </rPr>
      <t xml:space="preserve">378 </t>
    </r>
    <r>
      <rPr>
        <sz val="11"/>
        <color theme="1"/>
        <rFont val="Noto Sans CJK SC"/>
        <family val="2"/>
      </rPr>
      <t xml:space="preserve">天前」推算；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與停工訴訟不在本文。</t>
    </r>
  </si>
  <si>
    <t xml:space="preserve">https://www.constructionequipmentguide.com/work-under-way-on-ai-data-center-in-sulphur-springs/69340</t>
  </si>
  <si>
    <t xml:space="preserve">T#324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</si>
  <si>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</si>
  <si>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</si>
  <si>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2025-06-13</t>
  </si>
  <si>
    <r>
      <rPr>
        <sz val="11"/>
        <color theme="1"/>
        <rFont val="Noto Sans CJK SC"/>
        <family val="2"/>
      </rPr>
      <t xml:space="preserve">新聞索引頁僅列標題，未見 </t>
    </r>
    <r>
      <rPr>
        <sz val="11"/>
        <color theme="1"/>
        <rFont val="Calibri"/>
        <family val="2"/>
        <charset val="1"/>
      </rPr>
      <t xml:space="preserve">3,000MW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1,749 </t>
    </r>
    <r>
      <rPr>
        <sz val="11"/>
        <color theme="1"/>
        <rFont val="Noto Sans CJK SC"/>
        <family val="2"/>
      </rPr>
      <t xml:space="preserve">英畝等數字，也無停工或市長相關內容；數字可能在內頁或新聞稿中。</t>
    </r>
  </si>
  <si>
    <t xml:space="preserve">https://msbglobalservices.com/news</t>
  </si>
  <si>
    <t xml:space="preserve">T#325</t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</si>
  <si>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</t>
    </r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</si>
  <si>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CyrusOne </t>
    </r>
    <r>
      <rPr>
        <sz val="11"/>
        <color theme="1"/>
        <rFont val="Noto Sans CJK SC"/>
        <family val="2"/>
      </rPr>
      <t xml:space="preserve">接手構想（前 </t>
    </r>
    <r>
      <rPr>
        <sz val="11"/>
        <color theme="1"/>
        <rFont val="Calibri"/>
        <family val="2"/>
        <charset val="1"/>
      </rPr>
      <t xml:space="preserve">Thermo </t>
    </r>
    <r>
      <rPr>
        <sz val="11"/>
        <color theme="1"/>
        <rFont val="Noto Sans CJK SC"/>
        <family val="2"/>
      </rPr>
      <t xml:space="preserve">礦場）｜規劃</t>
    </r>
  </si>
  <si>
    <r>
      <rPr>
        <sz val="11"/>
        <color theme="1"/>
        <rFont val="Noto Sans CJK SC"/>
        <family val="2"/>
      </rPr>
      <t xml:space="preserve">說明會日期、分多棟開發、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未公布皆有支持；</t>
    </r>
    <r>
      <rPr>
        <sz val="11"/>
        <color theme="1"/>
        <rFont val="Calibri"/>
        <family val="2"/>
        <charset val="1"/>
      </rPr>
      <t xml:space="preserve">$2.6B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本文，非 </t>
    </r>
    <r>
      <rPr>
        <sz val="11"/>
        <color theme="1"/>
        <rFont val="Calibri"/>
        <family val="2"/>
        <charset val="1"/>
      </rPr>
      <t xml:space="preserve">KTRE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50–100 </t>
    </r>
    <r>
      <rPr>
        <sz val="11"/>
        <color theme="1"/>
        <rFont val="Noto Sans CJK SC"/>
        <family val="2"/>
      </rPr>
      <t xml:space="preserve">億美元原文找不到。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報導。</t>
    </r>
  </si>
  <si>
    <t xml:space="preserve">https://www.kltv.com/2026/09/25/data-center-developer-holds-community-meeting-potential-sulphur-springs-project/</t>
  </si>
  <si>
    <t xml:space="preserve">T#326</t>
  </si>
  <si>
    <t xml:space="preserve">Tract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</si>
  <si>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Tract Buckeye Technology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</si>
  <si>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官網列 </t>
    </r>
    <r>
      <rPr>
        <sz val="11"/>
        <color theme="1"/>
        <rFont val="Calibri"/>
        <family val="2"/>
        <charset val="1"/>
      </rPr>
      <t xml:space="preserve">1800 MW Capacity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未說明正確；公司自述 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合理。原文稱 </t>
    </r>
    <r>
      <rPr>
        <sz val="11"/>
        <color theme="1"/>
        <rFont val="Calibri"/>
        <family val="2"/>
        <charset val="1"/>
      </rPr>
      <t xml:space="preserve">by-right </t>
    </r>
    <r>
      <rPr>
        <sz val="11"/>
        <color theme="1"/>
        <rFont val="Noto Sans CJK SC"/>
        <family val="2"/>
      </rPr>
      <t xml:space="preserve">用途，與已核准區劃大致相符；文件日期為估算，原文無日期。</t>
    </r>
  </si>
  <si>
    <t xml:space="preserve">https://www.tract.com/project/buckeye/</t>
  </si>
  <si>
    <t xml:space="preserve">T#327</t>
  </si>
  <si>
    <t xml:space="preserve">Joule Capital Partners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</si>
  <si>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</si>
  <si>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2025-08-07</t>
  </si>
  <si>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、日期、未說明口徑皆屬實。但原文稱「</t>
    </r>
    <r>
      <rPr>
        <sz val="11"/>
        <color theme="1"/>
        <rFont val="Calibri"/>
        <family val="2"/>
        <charset val="1"/>
      </rPr>
      <t xml:space="preserve">Central Utah</t>
    </r>
    <r>
      <rPr>
        <sz val="11"/>
        <color theme="1"/>
        <rFont val="Noto Sans CJK SC"/>
        <family val="2"/>
      </rPr>
      <t xml:space="preserve">」，未提 </t>
    </r>
    <r>
      <rPr>
        <sz val="11"/>
        <color theme="1"/>
        <rFont val="Calibri"/>
        <family val="2"/>
        <charset val="1"/>
      </rPr>
      <t xml:space="preserve">Millard County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Fillmore</t>
    </r>
    <r>
      <rPr>
        <sz val="11"/>
        <color theme="1"/>
        <rFont val="Noto Sans CJK SC"/>
        <family val="2"/>
      </rPr>
      <t xml:space="preserve">，該地名為外加。另外，「</t>
    </r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」指供電總能量，被當成園區規劃容量；原文也沒有更新數字的說明。</t>
    </r>
  </si>
  <si>
    <t xml:space="preserve">https://www.prnewswire.com/news-releases/joule-caterpillar-and-wheeler-announce-an-agreement-to-power-americas-growing-data-center-energy-needs-302524328.html</t>
  </si>
  <si>
    <t xml:space="preserve">T#328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</si>
  <si>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棟，自備燃氣電廠）｜在建</t>
    </r>
  </si>
  <si>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為第一期自備電廠發電容量，不是資料中心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容量，且屬規劃／分階段上線至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初。原文日期為 </t>
    </r>
    <r>
      <rPr>
        <sz val="11"/>
        <color theme="1"/>
        <rFont val="Calibri"/>
        <family val="2"/>
        <charset val="1"/>
      </rPr>
      <t xml:space="preserve">2026-02-27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。「今年稍後可接客戶」有出現。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僅指臨時結構，原文未稱電廠整體在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上線。</t>
    </r>
  </si>
  <si>
    <t xml:space="preserve">https://about.bnef.com/insights/data-centers/us-data-center-builder-goes-off-grid-to-speed-deployments/</t>
  </si>
  <si>
    <t xml:space="preserve">T#329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</si>
  <si>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Center Power Station 4</t>
    </r>
    <r>
      <rPr>
        <sz val="11"/>
        <color theme="1"/>
        <rFont val="Noto Sans CJK SC"/>
        <family val="2"/>
      </rPr>
      <t xml:space="preserve">，六座之一）｜規劃</t>
    </r>
  </si>
  <si>
    <t xml:space="preserve">175 MW</t>
  </si>
  <si>
    <t xml:space="preserve">https://oilandgaswatch.org/alert/59172f3f-e47f-479e-9608-4a6016cb25ca</t>
  </si>
  <si>
    <t xml:space="preserve">T#330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</si>
  <si>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（首座燃氣電廠與資料中心）｜在建</t>
    </r>
  </si>
  <si>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3,392 hp </t>
    </r>
    <r>
      <rPr>
        <sz val="11"/>
        <color theme="1"/>
        <rFont val="Noto Sans CJK SC"/>
        <family val="2"/>
      </rPr>
      <t xml:space="preserve">屬實。但原文載有每台 </t>
    </r>
    <r>
      <rPr>
        <sz val="11"/>
        <color theme="1"/>
        <rFont val="Calibri"/>
        <family val="2"/>
        <charset val="1"/>
      </rPr>
      <t xml:space="preserve">2,531 kW</t>
    </r>
    <r>
      <rPr>
        <sz val="11"/>
        <color theme="1"/>
        <rFont val="Noto Sans CJK SC"/>
        <family val="2"/>
      </rPr>
      <t xml:space="preserve">，並非「未載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」。「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報導稱春季動工」與「第一期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」原文找不到。核准令不等於在建。</t>
    </r>
  </si>
  <si>
    <t xml:space="preserve">https://daqpermitting.utah.gov/DocViewer?IntDocID=160548&amp;contentType=application%2Fpdf</t>
  </si>
  <si>
    <t xml:space="preserve">T#331</t>
  </si>
  <si>
    <t xml:space="preserve">Creekstone Energy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</si>
  <si>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</si>
  <si>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Creekstone</t>
    </r>
    <r>
      <rPr>
        <sz val="11"/>
        <color theme="1"/>
        <rFont val="Noto Sans CJK SC"/>
        <family val="2"/>
      </rPr>
      <t xml:space="preserve">、日期與公司說法（利害關係人）皆相符。但原文未提 </t>
    </r>
    <r>
      <rPr>
        <sz val="11"/>
        <color theme="1"/>
        <rFont val="Calibri"/>
        <family val="2"/>
        <charset val="1"/>
      </rPr>
      <t xml:space="preserve">BluSky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&gt;1GW IT</t>
    </r>
    <r>
      <rPr>
        <sz val="11"/>
        <color theme="1"/>
        <rFont val="Noto Sans CJK SC"/>
        <family val="2"/>
      </rPr>
      <t xml:space="preserve">」及第三方</t>
    </r>
    <r>
      <rPr>
        <sz val="11"/>
        <color theme="1"/>
        <rFont val="Calibri"/>
        <family val="2"/>
        <charset val="1"/>
      </rPr>
      <t xml:space="preserve">4.61GW</t>
    </r>
    <r>
      <rPr>
        <sz val="11"/>
        <color theme="1"/>
        <rFont val="Noto Sans CJK SC"/>
        <family val="2"/>
      </rPr>
      <t xml:space="preserve">，這些說法須由其他來源支持。</t>
    </r>
  </si>
  <si>
    <t xml:space="preserve">https://www.sltrib.com/news/2026/09/09/delta-gigasite-worlds-largest-data/</t>
  </si>
  <si>
    <t xml:space="preserve">T#332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</si>
  <si>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</si>
  <si>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2026-02-26</t>
  </si>
  <si>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供應逾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基載電力，與原文一致。但原文標示日期為 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，而非 </t>
    </r>
    <r>
      <rPr>
        <sz val="11"/>
        <color theme="1"/>
        <rFont val="Calibri"/>
        <family val="2"/>
        <charset val="1"/>
      </rPr>
      <t xml:space="preserve">02-26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246</t>
    </r>
    <r>
      <rPr>
        <sz val="11"/>
        <color theme="1"/>
        <rFont val="Noto Sans CJK SC"/>
        <family val="2"/>
      </rPr>
      <t xml:space="preserve">天前」。「在建」一詞偏離原文的「計畫交付」。延期說明屬跨來源比較，原文無從核對。</t>
    </r>
  </si>
  <si>
    <t xml:space="preserve">https://sustainabilitymag.com/news/zeo-creekstone-powering-the-worlds-largest-data-centre</t>
  </si>
  <si>
    <t xml:space="preserve">T#333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</si>
  <si>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｜首個發電區塊（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台燃氣引擎）｜在建</t>
    </r>
  </si>
  <si>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年、差異未說明皆屬實。但原文只說氣管連接在建，電廠仍是規劃，引擎交期為下單後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個月，未見已下單，「在建」過度。</t>
    </r>
  </si>
  <si>
    <t xml:space="preserve">https://www.compressortech2.com/news/creekstone-secures-gas-capacity-for-utah-data-center-power-project/8127663.article</t>
  </si>
  <si>
    <t xml:space="preserve">T#334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</si>
  <si>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BluSky AI </t>
    </r>
    <r>
      <rPr>
        <sz val="11"/>
        <color theme="1"/>
        <rFont val="Noto Sans CJK SC"/>
        <family val="2"/>
      </rPr>
      <t xml:space="preserve">租戶協議｜簽約</t>
    </r>
  </si>
  <si>
    <t xml:space="preserve">2025-08-01</t>
  </si>
  <si>
    <r>
      <rPr>
        <sz val="11"/>
        <color theme="1"/>
        <rFont val="Noto Sans CJK SC"/>
        <family val="2"/>
      </rPr>
      <t xml:space="preserve">原文是「最高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電力」的協議，並非明確簽約容量；列中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寫「簽約」、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略偏。其餘（日期、租戶、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英畝、利害關係人 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）皆一致。</t>
    </r>
  </si>
  <si>
    <t xml:space="preserve">https://www.utahbusiness.com/press-releases/2025/08/01/creekstone-energy-blusky-ai-50-mw-infrastructure-utah-delta-gigasite/</t>
  </si>
  <si>
    <t xml:space="preserve">T#335</t>
  </si>
  <si>
    <t xml:space="preserve">Sailfish Digital Ventures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</si>
  <si>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</si>
  <si>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九園區合計最多 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屬實，但是 </t>
    </r>
    <r>
      <rPr>
        <sz val="11"/>
        <color theme="1"/>
        <rFont val="Calibri"/>
        <family val="2"/>
        <charset val="1"/>
      </rPr>
      <t xml:space="preserve">Tribune </t>
    </r>
    <r>
      <rPr>
        <sz val="11"/>
        <color theme="1"/>
        <rFont val="Noto Sans CJK SC"/>
        <family val="2"/>
      </rPr>
      <t xml:space="preserve">記者轉述（居民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計畫），非公司本人說，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不符。原文無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否決、</t>
    </r>
    <r>
      <rPr>
        <sz val="11"/>
        <color theme="1"/>
        <rFont val="Calibri"/>
        <family val="2"/>
        <charset val="1"/>
      </rPr>
      <t xml:space="preserve">NRG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等內容。</t>
    </r>
  </si>
  <si>
    <t xml:space="preserve">https://www.texastribune.org/2026/02/10/texas-hood-county-rejects-data-center-development-pause-ai/</t>
  </si>
  <si>
    <t xml:space="preserve">T#336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</si>
  <si>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A–E</t>
    </r>
    <r>
      <rPr>
        <sz val="11"/>
        <color theme="1"/>
        <rFont val="Noto Sans CJK SC"/>
        <family val="2"/>
      </rPr>
      <t xml:space="preserve">）｜規劃</t>
    </r>
  </si>
  <si>
    <t xml:space="preserve">2025-01-22</t>
  </si>
  <si>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五個園區共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1,000MW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2,600MW </t>
    </r>
    <r>
      <rPr>
        <sz val="11"/>
        <color theme="1"/>
        <rFont val="Noto Sans CJK SC"/>
        <family val="2"/>
      </rPr>
      <t xml:space="preserve">最快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年，皆與原文一致。原文未說明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填「未說明」正確。</t>
    </r>
  </si>
  <si>
    <t xml:space="preserve">https://www.datacenterdynamics.com/en/news/sailfish-plans-multi-gigawatt-data-center-park-outside-dfw-texas/</t>
  </si>
  <si>
    <t xml:space="preserve">T#337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</si>
  <si>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behind-the-meter </t>
    </r>
    <r>
      <rPr>
        <sz val="11"/>
        <color theme="1"/>
        <rFont val="Noto Sans CJK SC"/>
        <family val="2"/>
      </rPr>
      <t xml:space="preserve">電力｜規劃</t>
    </r>
  </si>
  <si>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個月與 </t>
    </r>
    <r>
      <rPr>
        <sz val="11"/>
        <color theme="1"/>
        <rFont val="Calibri"/>
        <family val="2"/>
        <charset val="1"/>
      </rPr>
      <t xml:space="preserve">Hughes </t>
    </r>
    <r>
      <rPr>
        <sz val="11"/>
        <color theme="1"/>
        <rFont val="Noto Sans CJK SC"/>
        <family val="2"/>
      </rPr>
      <t xml:space="preserve">本人說法屬實，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為推算。但 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NRG </t>
    </r>
    <r>
      <rPr>
        <sz val="11"/>
        <color theme="1"/>
        <rFont val="Noto Sans CJK SC"/>
        <family val="2"/>
      </rPr>
      <t xml:space="preserve">撤回許可與郡府否決申訴，此文未載，須另有來源。數值不受影響。</t>
    </r>
  </si>
  <si>
    <t xml:space="preserve">T#338</t>
  </si>
  <si>
    <t xml:space="preserve">Energy Abundance Development Corporation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</si>
  <si>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｜全園區｜規劃</t>
    </r>
  </si>
  <si>
    <t xml:space="preserve">2025-03-21</t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</si>
  <si>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50,000 </t>
    </r>
    <r>
      <rPr>
        <sz val="11"/>
        <color theme="1"/>
        <rFont val="Noto Sans CJK SC"/>
        <family val="2"/>
      </rPr>
      <t xml:space="preserve">英畝、離網（</t>
    </r>
    <r>
      <rPr>
        <sz val="11"/>
        <color theme="1"/>
        <rFont val="Calibri"/>
        <family val="2"/>
        <charset val="1"/>
      </rPr>
      <t xml:space="preserve">islanded from ERCOT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完工、日期 </t>
    </r>
    <r>
      <rPr>
        <sz val="11"/>
        <color theme="1"/>
        <rFont val="Calibri"/>
        <family val="2"/>
        <charset val="1"/>
      </rPr>
      <t xml:space="preserve">2025-03-21</t>
    </r>
    <r>
      <rPr>
        <sz val="11"/>
        <color theme="1"/>
        <rFont val="Noto Sans CJK SC"/>
        <family val="2"/>
      </rPr>
      <t xml:space="preserve">、利害關係人皆屬實。但「第三方名錄」與「未見許可或使用者」不在此原文，屬他處或研究者判斷。另「公司本人」標示地點為 </t>
    </r>
    <r>
      <rPr>
        <sz val="11"/>
        <color theme="1"/>
        <rFont val="Calibri"/>
        <family val="2"/>
        <charset val="1"/>
      </rPr>
      <t xml:space="preserve">Houston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Laredo</t>
    </r>
    <r>
      <rPr>
        <sz val="11"/>
        <color theme="1"/>
        <rFont val="Noto Sans CJK SC"/>
        <family val="2"/>
      </rPr>
      <t xml:space="preserve">。</t>
    </r>
  </si>
  <si>
    <t xml:space="preserve">https://decarbonfuse.com/posts/energy-abundance-announces-data-city-texas-the-world-s-largest-behind-the-meter-data-center-hub-powered-by-100-24-7-green-energy</t>
  </si>
  <si>
    <t xml:space="preserve">T#339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</si>
  <si>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｜第一期｜規劃</t>
    </r>
  </si>
  <si>
    <t xml:space="preserve">https://www.h2-tech.com/news/2025/03-2025/energy-abundance-announces-behind-the-meter-data-center-hub-powered-by-100-24-7-green-energy/</t>
  </si>
  <si>
    <t xml:space="preserve">T#340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</si>
  <si>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</si>
  <si>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原文標題與內文為「</t>
    </r>
    <r>
      <rPr>
        <sz val="11"/>
        <color theme="1"/>
        <rFont val="Calibri"/>
        <family val="2"/>
        <charset val="1"/>
      </rPr>
      <t xml:space="preserve">up to 4GW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more than 4GW</t>
    </r>
    <r>
      <rPr>
        <sz val="11"/>
        <color theme="1"/>
        <rFont val="Noto Sans CJK SC"/>
        <family val="2"/>
      </rPr>
      <t xml:space="preserve">」，約 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英畝、無使用者與日期皆屬實。惟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以上」及預定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不在此頁，且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其實對應首期變電站而非全園區。</t>
    </r>
  </si>
  <si>
    <t xml:space="preserve">https://www.tract.com/news/tract-closes-on-two-incremental-acquisitions-adding-1458-acres-to-caldwell-valley-technology-park-in-caldwell-county-texas-bringing-total-campus-to-nearly-3000-acres/</t>
  </si>
  <si>
    <t xml:space="preserve">T#341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</si>
  <si>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Bluebonnet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LCRA </t>
    </r>
    <r>
      <rPr>
        <sz val="11"/>
        <color theme="1"/>
        <rFont val="Noto Sans CJK SC"/>
        <family val="2"/>
      </rPr>
      <t xml:space="preserve">變電站）｜簽約</t>
    </r>
  </si>
  <si>
    <r>
      <rPr>
        <sz val="11"/>
        <color theme="1"/>
        <rFont val="Noto Sans CJK SC"/>
        <family val="2"/>
      </rPr>
      <t xml:space="preserve">變電站可擴至 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、首批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已簽約、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均與原文一致。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的差異不在此頁，無法由本頁核對。</t>
    </r>
  </si>
  <si>
    <t xml:space="preserve">T#342</t>
  </si>
  <si>
    <t xml:space="preserve">PowerHouse Data Centers (American Real Estate Partners)</t>
  </si>
  <si>
    <r>
      <rPr>
        <sz val="11"/>
        <color theme="1"/>
        <rFont val="Calibri"/>
        <family val="2"/>
        <charset val="1"/>
      </rPr>
      <t xml:space="preserve">PowerHouse Data Centers (American Real Estate Partners)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PowerHouse </t>
    </r>
    <r>
      <rPr>
        <sz val="11"/>
        <color theme="1"/>
        <rFont val="Noto Sans CJK SC"/>
        <family val="2"/>
      </rPr>
      <t xml:space="preserve">用地（約 </t>
    </r>
    <r>
      <rPr>
        <sz val="11"/>
        <color theme="1"/>
        <rFont val="Calibri"/>
        <family val="2"/>
        <charset val="1"/>
      </rPr>
      <t xml:space="preserve">499 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</si>
  <si>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499</t>
    </r>
    <r>
      <rPr>
        <sz val="11"/>
        <color theme="1"/>
        <rFont val="Noto Sans CJK SC"/>
        <family val="2"/>
      </rPr>
      <t xml:space="preserve">英畝、未公開租戶、</t>
    </r>
    <r>
      <rPr>
        <sz val="11"/>
        <color theme="1"/>
        <rFont val="Calibri"/>
        <family val="2"/>
        <charset val="1"/>
      </rPr>
      <t xml:space="preserve">2026-04-15 </t>
    </r>
    <r>
      <rPr>
        <sz val="11"/>
        <color theme="1"/>
        <rFont val="Noto Sans CJK SC"/>
        <family val="2"/>
      </rPr>
      <t xml:space="preserve">倡議研究均屬實。但「已改由郡管轄」及「</t>
    </r>
    <r>
      <rPr>
        <sz val="11"/>
        <color theme="1"/>
        <rFont val="Calibri"/>
        <family val="2"/>
        <charset val="1"/>
      </rPr>
      <t xml:space="preserve">Caldwell Valley AI Campus</t>
    </r>
    <r>
      <rPr>
        <sz val="11"/>
        <color theme="1"/>
        <rFont val="Noto Sans CJK SC"/>
        <family val="2"/>
      </rPr>
      <t xml:space="preserve">」名稱在本頁找不到，不影響數值。</t>
    </r>
  </si>
  <si>
    <t xml:space="preserve">https://centexdatacenters.org/projects/powerhouse-data-center</t>
  </si>
  <si>
    <t xml:space="preserve">T#343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</si>
  <si>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</t>
    </r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</si>
  <si>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｜全園區｜規劃</t>
    </r>
  </si>
  <si>
    <t xml:space="preserve">490 MW</t>
  </si>
  <si>
    <r>
      <rPr>
        <sz val="11"/>
        <color theme="1"/>
        <rFont val="Calibri"/>
        <family val="2"/>
        <charset val="1"/>
      </rPr>
      <t xml:space="preserve">490MW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2,842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洽談租賃均屬實。但原文日期為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日；約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億美元與電廠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動工原文找不到，只有</t>
    </r>
    <r>
      <rPr>
        <sz val="11"/>
        <color theme="1"/>
        <rFont val="Calibri"/>
        <family val="2"/>
        <charset val="1"/>
      </rPr>
      <t xml:space="preserve">$366m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</si>
  <si>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https://www.datacenterdynamics.com/en/news/anthropic-linked-366m-data-center-project-filed-for-in-cedar-creek-texas/</t>
  </si>
  <si>
    <t xml:space="preserve">T#344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</si>
  <si>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</si>
  <si>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文章發布日是 </t>
    </r>
    <r>
      <rPr>
        <sz val="11"/>
        <color theme="1"/>
        <rFont val="Calibri"/>
        <family val="2"/>
        <charset val="1"/>
      </rPr>
      <t xml:space="preserve">10/8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nearly 500,000</t>
    </r>
    <r>
      <rPr>
        <sz val="11"/>
        <color theme="1"/>
        <rFont val="Noto Sans CJK SC"/>
        <family val="2"/>
      </rPr>
      <t xml:space="preserve">」平方呎，未見 </t>
    </r>
    <r>
      <rPr>
        <sz val="11"/>
        <color theme="1"/>
        <rFont val="Calibri"/>
        <family val="2"/>
        <charset val="1"/>
      </rPr>
      <t xml:space="preserve">498,165</t>
    </r>
    <r>
      <rPr>
        <sz val="11"/>
        <color theme="1"/>
        <rFont val="Noto Sans CJK SC"/>
        <family val="2"/>
      </rPr>
      <t xml:space="preserve">。造價 </t>
    </r>
    <r>
      <rPr>
        <sz val="11"/>
        <color theme="1"/>
        <rFont val="Calibri"/>
        <family val="2"/>
        <charset val="1"/>
      </rPr>
      <t xml:space="preserve">3.66 </t>
    </r>
    <r>
      <rPr>
        <sz val="11"/>
        <color theme="1"/>
        <rFont val="Noto Sans CJK SC"/>
        <family val="2"/>
      </rPr>
      <t xml:space="preserve">億美元、動工與完工日期、未揭露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Hoodline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Austinio </t>
    </r>
    <r>
      <rPr>
        <sz val="11"/>
        <color theme="1"/>
        <rFont val="Noto Sans CJK SC"/>
        <family val="2"/>
      </rPr>
      <t xml:space="preserve">的說法不在本文。</t>
    </r>
  </si>
  <si>
    <t xml:space="preserve">https://communityimpact.com/bastrop-cedar-creek/business/plans-filed-for-366m-pacifico-blackchamber-data-center/</t>
  </si>
  <si>
    <t xml:space="preserve">T#345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</si>
  <si>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及後續（場地圖預留兩棟）｜規劃</t>
    </r>
  </si>
  <si>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相近規模、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規劃年、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洽談、預留兩棟均屬實，且無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。但頁面最新新聞為 </t>
    </r>
    <r>
      <rPr>
        <sz val="11"/>
        <color theme="1"/>
        <rFont val="Calibri"/>
        <family val="2"/>
        <charset val="1"/>
      </rPr>
      <t xml:space="preserve">10/15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10/12 </t>
    </r>
    <r>
      <rPr>
        <sz val="11"/>
        <color theme="1"/>
        <rFont val="Noto Sans CJK SC"/>
        <family val="2"/>
      </rPr>
      <t xml:space="preserve">無法確認。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為第三方資料庫，標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</t>
    </r>
  </si>
  <si>
    <t xml:space="preserve">https://baxtel.com/data-center/blackchamber-project-longhorn-expansion</t>
  </si>
  <si>
    <t xml:space="preserve">T#346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</si>
  <si>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</si>
  <si>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Pacifico </t>
    </r>
    <r>
      <rPr>
        <sz val="11"/>
        <color theme="1"/>
        <rFont val="Noto Sans CJK SC"/>
        <family val="2"/>
      </rPr>
      <t xml:space="preserve">天然氣電廠（簡單循環渦輪）｜規劃</t>
    </r>
  </si>
  <si>
    <t xml:space="preserve">710 MW</t>
  </si>
  <si>
    <t xml:space="preserve">https://therealdeal.com/texas/2026/08/25/anthropic-eyes-bastrop-for-new-data-hub/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</si>
  <si>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</si>
  <si>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</si>
  <si>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</si>
  <si>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</si>
  <si>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</si>
  <si>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</si>
  <si>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</si>
  <si>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</si>
  <si>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</si>
  <si>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</si>
  <si>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</si>
  <si>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</si>
  <si>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</si>
  <si>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</si>
  <si>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</si>
  <si>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</si>
  <si>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</si>
  <si>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</si>
  <si>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</si>
  <si>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</si>
  <si>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</si>
  <si>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</si>
  <si>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</si>
  <si>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</si>
  <si>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</si>
  <si>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</si>
  <si>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</si>
  <si>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</si>
  <si>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</si>
  <si>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</si>
  <si>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</si>
  <si>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</si>
  <si>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</si>
  <si>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</si>
  <si>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</si>
  <si>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</si>
  <si>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</si>
  <si>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</si>
  <si>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</si>
  <si>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</si>
  <si>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</si>
  <si>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</si>
  <si>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</si>
  <si>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</si>
  <si>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</si>
  <si>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</si>
  <si>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</si>
  <si>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</si>
  <si>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</si>
  <si>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</si>
  <si>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</si>
  <si>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</si>
  <si>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</si>
  <si>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</si>
  <si>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</si>
  <si>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</si>
  <si>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</si>
  <si>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</si>
  <si>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</si>
  <si>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</si>
  <si>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</si>
  <si>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</si>
  <si>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</si>
  <si>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</si>
  <si>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</si>
  <si>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</si>
  <si>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</si>
  <si>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</si>
  <si>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</si>
  <si>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</si>
  <si>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</si>
  <si>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</si>
  <si>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</si>
  <si>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</si>
  <si>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t xml:space="preserve">wattonomics/evidence_raw/S_sites.csv</t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</si>
  <si>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段全球園區候選（</t>
    </r>
    <r>
      <rPr>
        <sz val="11"/>
        <color theme="1"/>
        <rFont val="Calibri"/>
        <family val="2"/>
        <charset val="1"/>
      </rPr>
      <t xml:space="preserve">site_pipeline 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409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S#n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回查判定附於 </t>
    </r>
    <r>
      <rPr>
        <sz val="11"/>
        <color theme="1"/>
        <rFont val="Calibri"/>
        <family val="2"/>
        <charset val="1"/>
      </rPr>
      <t xml:space="preserve">S_sites_audit.csv</t>
    </r>
    <r>
      <rPr>
        <sz val="11"/>
        <color theme="1"/>
        <rFont val="Noto Sans CJK SC"/>
        <family val="2"/>
      </rPr>
      <t xml:space="preserve">）</t>
    </r>
  </si>
  <si>
    <t xml:space="preserve">SRC_GL_207</t>
  </si>
  <si>
    <t xml:space="preserve">wattonomics/evidence_raw/I_review_sites.md</t>
  </si>
  <si>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段：園區合併前未參與代理開原文抽查（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項；判定以此為準）</t>
    </r>
  </si>
  <si>
    <t xml:space="preserve">wattonomics/evidence_raw/S2_sites_nonus.csv</t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</si>
  <si>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段美國以外園區候選（</t>
    </r>
    <r>
      <rPr>
        <sz val="11"/>
        <color theme="1"/>
        <rFont val="Calibri"/>
        <family val="2"/>
        <charset val="1"/>
      </rPr>
      <t xml:space="preserve">site_pipeline </t>
    </r>
    <r>
      <rPr>
        <sz val="11"/>
        <color theme="1"/>
        <rFont val="Noto Sans CJK SC"/>
        <family val="2"/>
      </rPr>
      <t xml:space="preserve">第二輪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T#n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回查附 </t>
    </r>
    <r>
      <rPr>
        <sz val="11"/>
        <color theme="1"/>
        <rFont val="Calibri"/>
        <family val="2"/>
        <charset val="1"/>
      </rPr>
      <t xml:space="preserve">S2_sites_nonus_audit.csv</t>
    </r>
    <r>
      <rPr>
        <sz val="11"/>
        <color theme="1"/>
        <rFont val="Noto Sans CJK SC"/>
        <family val="2"/>
      </rPr>
      <t xml:space="preserve">）</t>
    </r>
  </si>
  <si>
    <t xml:space="preserve">SRC_GL_209</t>
  </si>
  <si>
    <t xml:space="preserve">wattonomics/evidence_raw/I2_review_sites.md</t>
  </si>
  <si>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段：第二輪合併前未參與代理開原文抽查（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項）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</si>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</sst>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94.75" hidden="false" customHeight="false" outlineLevel="0" collapsed="false">
      <c r="A9" s="4" t="s">
        <v>8</v>
      </c>
    </row>
    <row r="10" customFormat="false" ht="57.45" hidden="false" customHeight="false" outlineLevel="0" collapsed="false">
      <c r="A10" s="4" t="s">
        <v>9</v>
      </c>
    </row>
    <row r="11" customFormat="false" ht="17.15" hidden="false" customHeight="false" outlineLevel="0" collapsed="false">
      <c r="A11" s="2" t="s">
        <v>10</v>
      </c>
    </row>
    <row r="12" customFormat="false" ht="17.15" hidden="false" customHeight="false" outlineLevel="0" collapsed="false">
      <c r="A12" s="3" t="s">
        <v>11</v>
      </c>
    </row>
    <row r="13" customFormat="false" ht="17.15" hidden="false" customHeight="false" outlineLevel="0" collapsed="false">
      <c r="A13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4" customFormat="false" ht="17.15" hidden="false" customHeight="false" outlineLevel="0" collapsed="false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6"/>
      <c r="S4" s="6" t="s">
        <v>32</v>
      </c>
    </row>
    <row r="5" customFormat="false" ht="17.15" hidden="false" customHeight="false" outlineLevel="0" collapsed="false">
      <c r="A5" s="8" t="s">
        <v>33</v>
      </c>
    </row>
    <row r="6" customFormat="false" ht="17.15" hidden="false" customHeight="false" outlineLevel="0" collapsed="false">
      <c r="A6" s="0" t="s">
        <v>34</v>
      </c>
      <c r="B6" s="5" t="s">
        <v>35</v>
      </c>
      <c r="C6" s="0" t="s">
        <v>36</v>
      </c>
      <c r="D6" s="0" t="s">
        <v>37</v>
      </c>
      <c r="E6" s="0" t="s">
        <v>38</v>
      </c>
      <c r="F6" s="0" t="s">
        <v>39</v>
      </c>
      <c r="G6" s="0" t="s">
        <v>40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36</v>
      </c>
      <c r="D7" s="0" t="s">
        <v>37</v>
      </c>
      <c r="E7" s="0" t="s">
        <v>43</v>
      </c>
      <c r="F7" s="0" t="s">
        <v>44</v>
      </c>
      <c r="G7" s="5" t="s">
        <v>45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46</v>
      </c>
      <c r="B8" s="5" t="s">
        <v>47</v>
      </c>
      <c r="C8" s="0" t="s">
        <v>36</v>
      </c>
      <c r="D8" s="5" t="s">
        <v>48</v>
      </c>
      <c r="E8" s="0" t="s">
        <v>38</v>
      </c>
      <c r="F8" s="0" t="s">
        <v>49</v>
      </c>
      <c r="G8" s="0" t="s">
        <v>50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51</v>
      </c>
      <c r="B9" s="5" t="s">
        <v>52</v>
      </c>
      <c r="C9" s="0" t="s">
        <v>36</v>
      </c>
      <c r="D9" s="0" t="s">
        <v>53</v>
      </c>
      <c r="E9" s="0" t="s">
        <v>54</v>
      </c>
      <c r="F9" s="0" t="s">
        <v>39</v>
      </c>
      <c r="G9" s="5" t="s">
        <v>55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56</v>
      </c>
      <c r="B10" s="5" t="s">
        <v>57</v>
      </c>
      <c r="C10" s="0" t="s">
        <v>36</v>
      </c>
      <c r="D10" s="5" t="s">
        <v>58</v>
      </c>
      <c r="E10" s="0" t="s">
        <v>54</v>
      </c>
      <c r="F10" s="0" t="s">
        <v>49</v>
      </c>
      <c r="G10" s="5" t="s">
        <v>59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60</v>
      </c>
      <c r="B11" s="5" t="s">
        <v>61</v>
      </c>
      <c r="C11" s="0" t="s">
        <v>36</v>
      </c>
      <c r="D11" s="0" t="s">
        <v>53</v>
      </c>
      <c r="E11" s="0" t="s">
        <v>54</v>
      </c>
      <c r="F11" s="0" t="s">
        <v>49</v>
      </c>
      <c r="G11" s="5" t="s">
        <v>62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63</v>
      </c>
    </row>
    <row r="13" customFormat="false" ht="17.15" hidden="false" customHeight="false" outlineLevel="0" collapsed="false">
      <c r="A13" s="0" t="s">
        <v>64</v>
      </c>
      <c r="B13" s="5" t="s">
        <v>65</v>
      </c>
      <c r="C13" s="0" t="s">
        <v>36</v>
      </c>
      <c r="D13" s="0" t="s">
        <v>53</v>
      </c>
      <c r="E13" s="0" t="s">
        <v>54</v>
      </c>
      <c r="F13" s="0" t="s">
        <v>49</v>
      </c>
      <c r="G13" s="0" t="s">
        <v>66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67</v>
      </c>
      <c r="B14" s="0" t="s">
        <v>68</v>
      </c>
      <c r="C14" s="0" t="s">
        <v>36</v>
      </c>
      <c r="D14" s="0" t="s">
        <v>53</v>
      </c>
      <c r="E14" s="0" t="s">
        <v>38</v>
      </c>
      <c r="F14" s="0" t="s">
        <v>69</v>
      </c>
      <c r="G14" s="0" t="s">
        <v>70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71</v>
      </c>
      <c r="B15" s="5" t="s">
        <v>72</v>
      </c>
      <c r="C15" s="0" t="s">
        <v>36</v>
      </c>
      <c r="D15" s="0" t="s">
        <v>53</v>
      </c>
      <c r="E15" s="0" t="s">
        <v>54</v>
      </c>
      <c r="F15" s="0" t="s">
        <v>49</v>
      </c>
      <c r="G15" s="5" t="s">
        <v>73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74</v>
      </c>
    </row>
    <row r="17" customFormat="false" ht="17.15" hidden="false" customHeight="false" outlineLevel="0" collapsed="false">
      <c r="A17" s="0" t="s">
        <v>75</v>
      </c>
      <c r="B17" s="5" t="s">
        <v>76</v>
      </c>
      <c r="C17" s="5" t="s">
        <v>77</v>
      </c>
      <c r="D17" s="0" t="s">
        <v>78</v>
      </c>
      <c r="E17" s="0" t="s">
        <v>43</v>
      </c>
      <c r="F17" s="0" t="s">
        <v>79</v>
      </c>
      <c r="G17" s="0" t="s">
        <v>80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81</v>
      </c>
      <c r="B18" s="5" t="s">
        <v>82</v>
      </c>
      <c r="C18" s="5" t="s">
        <v>77</v>
      </c>
      <c r="D18" s="0" t="s">
        <v>78</v>
      </c>
      <c r="E18" s="0" t="s">
        <v>43</v>
      </c>
      <c r="F18" s="0" t="s">
        <v>79</v>
      </c>
      <c r="G18" s="0" t="s">
        <v>83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84</v>
      </c>
      <c r="B19" s="5" t="s">
        <v>85</v>
      </c>
      <c r="C19" s="0" t="s">
        <v>36</v>
      </c>
      <c r="D19" s="0" t="s">
        <v>53</v>
      </c>
      <c r="E19" s="0" t="s">
        <v>43</v>
      </c>
      <c r="F19" s="0" t="s">
        <v>79</v>
      </c>
      <c r="G19" s="0" t="s">
        <v>80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86</v>
      </c>
      <c r="B20" s="5" t="s">
        <v>87</v>
      </c>
      <c r="C20" s="0" t="s">
        <v>36</v>
      </c>
      <c r="D20" s="0" t="s">
        <v>53</v>
      </c>
      <c r="E20" s="0" t="s">
        <v>43</v>
      </c>
      <c r="F20" s="0" t="s">
        <v>79</v>
      </c>
      <c r="G20" s="0" t="s">
        <v>88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36</v>
      </c>
      <c r="D22" s="0" t="s">
        <v>53</v>
      </c>
      <c r="E22" s="0" t="s">
        <v>38</v>
      </c>
      <c r="F22" s="0" t="s">
        <v>92</v>
      </c>
      <c r="G22" s="0" t="s">
        <v>93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94</v>
      </c>
      <c r="B23" s="0" t="s">
        <v>95</v>
      </c>
      <c r="C23" s="0" t="s">
        <v>36</v>
      </c>
      <c r="D23" s="5" t="s">
        <v>58</v>
      </c>
      <c r="E23" s="0" t="s">
        <v>38</v>
      </c>
      <c r="F23" s="0" t="s">
        <v>92</v>
      </c>
      <c r="G23" s="0" t="s">
        <v>96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36</v>
      </c>
      <c r="D24" s="0" t="s">
        <v>53</v>
      </c>
      <c r="E24" s="0" t="s">
        <v>38</v>
      </c>
      <c r="F24" s="0" t="s">
        <v>92</v>
      </c>
      <c r="G24" s="0" t="s">
        <v>99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36</v>
      </c>
      <c r="D25" s="5" t="s">
        <v>58</v>
      </c>
      <c r="E25" s="0" t="s">
        <v>38</v>
      </c>
      <c r="F25" s="0" t="s">
        <v>92</v>
      </c>
      <c r="G25" s="0" t="s">
        <v>102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103</v>
      </c>
      <c r="B26" s="0" t="s">
        <v>104</v>
      </c>
      <c r="C26" s="0" t="s">
        <v>36</v>
      </c>
      <c r="D26" s="5" t="s">
        <v>48</v>
      </c>
      <c r="E26" s="0" t="s">
        <v>38</v>
      </c>
      <c r="F26" s="0" t="s">
        <v>92</v>
      </c>
      <c r="G26" s="0" t="s">
        <v>105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106</v>
      </c>
      <c r="B27" s="0" t="s">
        <v>107</v>
      </c>
      <c r="C27" s="0" t="s">
        <v>36</v>
      </c>
      <c r="D27" s="5" t="s">
        <v>48</v>
      </c>
      <c r="E27" s="0" t="s">
        <v>38</v>
      </c>
      <c r="F27" s="0" t="s">
        <v>92</v>
      </c>
      <c r="G27" s="5" t="s">
        <v>108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109</v>
      </c>
    </row>
    <row r="29" customFormat="false" ht="17.15" hidden="false" customHeight="false" outlineLevel="0" collapsed="false">
      <c r="A29" s="0" t="s">
        <v>110</v>
      </c>
      <c r="B29" s="0" t="s">
        <v>111</v>
      </c>
      <c r="C29" s="0" t="s">
        <v>112</v>
      </c>
      <c r="D29" s="0" t="s">
        <v>113</v>
      </c>
      <c r="E29" s="0" t="s">
        <v>114</v>
      </c>
      <c r="F29" s="0" t="s">
        <v>115</v>
      </c>
      <c r="G29" s="0" t="s">
        <v>116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117</v>
      </c>
      <c r="B30" s="0" t="s">
        <v>118</v>
      </c>
      <c r="C30" s="0" t="s">
        <v>36</v>
      </c>
      <c r="D30" s="5" t="s">
        <v>48</v>
      </c>
      <c r="E30" s="0" t="s">
        <v>119</v>
      </c>
      <c r="F30" s="0" t="s">
        <v>115</v>
      </c>
      <c r="G30" s="0" t="s">
        <v>120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121</v>
      </c>
      <c r="B31" s="0" t="s">
        <v>122</v>
      </c>
      <c r="C31" s="5" t="s">
        <v>123</v>
      </c>
      <c r="D31" s="0" t="s">
        <v>113</v>
      </c>
      <c r="E31" s="0" t="s">
        <v>38</v>
      </c>
      <c r="F31" s="0" t="s">
        <v>124</v>
      </c>
      <c r="G31" s="0" t="s">
        <v>125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126</v>
      </c>
      <c r="B32" s="0" t="s">
        <v>127</v>
      </c>
      <c r="C32" s="0" t="s">
        <v>36</v>
      </c>
      <c r="D32" s="5" t="s">
        <v>48</v>
      </c>
      <c r="E32" s="0" t="s">
        <v>119</v>
      </c>
      <c r="F32" s="0" t="s">
        <v>124</v>
      </c>
      <c r="G32" s="0" t="s">
        <v>120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128</v>
      </c>
      <c r="B33" s="0" t="s">
        <v>129</v>
      </c>
      <c r="C33" s="0" t="s">
        <v>112</v>
      </c>
      <c r="D33" s="0" t="s">
        <v>113</v>
      </c>
      <c r="E33" s="0" t="s">
        <v>114</v>
      </c>
      <c r="F33" s="0" t="s">
        <v>69</v>
      </c>
      <c r="G33" s="0" t="s">
        <v>130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131</v>
      </c>
      <c r="B34" s="0" t="s">
        <v>132</v>
      </c>
      <c r="C34" s="0" t="s">
        <v>36</v>
      </c>
      <c r="D34" s="5" t="s">
        <v>48</v>
      </c>
      <c r="E34" s="0" t="s">
        <v>119</v>
      </c>
      <c r="F34" s="0" t="s">
        <v>69</v>
      </c>
      <c r="G34" s="0" t="s">
        <v>120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133</v>
      </c>
      <c r="B35" s="0" t="s">
        <v>134</v>
      </c>
      <c r="C35" s="0" t="s">
        <v>112</v>
      </c>
      <c r="D35" s="0" t="s">
        <v>113</v>
      </c>
      <c r="E35" s="0" t="s">
        <v>38</v>
      </c>
      <c r="F35" s="0" t="s">
        <v>135</v>
      </c>
      <c r="G35" s="0" t="s">
        <v>136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137</v>
      </c>
      <c r="B36" s="0" t="s">
        <v>138</v>
      </c>
      <c r="C36" s="0" t="s">
        <v>36</v>
      </c>
      <c r="D36" s="5" t="s">
        <v>48</v>
      </c>
      <c r="E36" s="0" t="s">
        <v>119</v>
      </c>
      <c r="F36" s="0" t="s">
        <v>135</v>
      </c>
      <c r="G36" s="0" t="s">
        <v>139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112</v>
      </c>
      <c r="D37" s="0" t="s">
        <v>113</v>
      </c>
      <c r="E37" s="0" t="s">
        <v>142</v>
      </c>
      <c r="F37" s="0" t="s">
        <v>143</v>
      </c>
      <c r="G37" s="0" t="s">
        <v>144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36</v>
      </c>
      <c r="D38" s="5" t="s">
        <v>48</v>
      </c>
      <c r="E38" s="0" t="s">
        <v>119</v>
      </c>
      <c r="F38" s="0" t="s">
        <v>143</v>
      </c>
      <c r="G38" s="0" t="s">
        <v>120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147</v>
      </c>
      <c r="B39" s="0" t="s">
        <v>148</v>
      </c>
      <c r="C39" s="5" t="s">
        <v>77</v>
      </c>
      <c r="D39" s="0" t="s">
        <v>113</v>
      </c>
      <c r="E39" s="0" t="s">
        <v>142</v>
      </c>
      <c r="F39" s="0" t="s">
        <v>79</v>
      </c>
      <c r="G39" s="0" t="s">
        <v>149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150</v>
      </c>
      <c r="B40" s="0" t="s">
        <v>151</v>
      </c>
      <c r="C40" s="0" t="s">
        <v>36</v>
      </c>
      <c r="D40" s="5" t="s">
        <v>48</v>
      </c>
      <c r="E40" s="0" t="s">
        <v>119</v>
      </c>
      <c r="F40" s="0" t="s">
        <v>79</v>
      </c>
      <c r="G40" s="0" t="s">
        <v>120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152</v>
      </c>
    </row>
    <row r="42" customFormat="false" ht="17.15" hidden="false" customHeight="false" outlineLevel="0" collapsed="false">
      <c r="A42" s="0" t="s">
        <v>153</v>
      </c>
      <c r="B42" s="0" t="s">
        <v>154</v>
      </c>
      <c r="C42" s="0" t="s">
        <v>112</v>
      </c>
      <c r="D42" s="0" t="s">
        <v>113</v>
      </c>
      <c r="E42" s="0" t="s">
        <v>38</v>
      </c>
      <c r="F42" s="0" t="s">
        <v>44</v>
      </c>
      <c r="G42" s="0" t="s">
        <v>155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156</v>
      </c>
      <c r="B43" s="0" t="s">
        <v>157</v>
      </c>
      <c r="C43" s="0" t="s">
        <v>112</v>
      </c>
      <c r="D43" s="0" t="s">
        <v>113</v>
      </c>
      <c r="E43" s="0" t="s">
        <v>38</v>
      </c>
      <c r="F43" s="0" t="s">
        <v>44</v>
      </c>
      <c r="G43" s="0" t="s">
        <v>158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5" t="s">
        <v>77</v>
      </c>
      <c r="D44" s="0" t="s">
        <v>113</v>
      </c>
      <c r="E44" s="0" t="s">
        <v>43</v>
      </c>
      <c r="F44" s="0" t="s">
        <v>44</v>
      </c>
      <c r="G44" s="0" t="s">
        <v>161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162</v>
      </c>
      <c r="B45" s="5" t="s">
        <v>163</v>
      </c>
      <c r="C45" s="0" t="s">
        <v>112</v>
      </c>
      <c r="D45" s="0" t="s">
        <v>113</v>
      </c>
      <c r="E45" s="0" t="s">
        <v>54</v>
      </c>
      <c r="F45" s="0" t="s">
        <v>164</v>
      </c>
      <c r="G45" s="0" t="s">
        <v>165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166</v>
      </c>
      <c r="B46" s="5" t="s">
        <v>167</v>
      </c>
      <c r="C46" s="5" t="s">
        <v>168</v>
      </c>
      <c r="D46" s="0" t="s">
        <v>113</v>
      </c>
      <c r="E46" s="0" t="s">
        <v>54</v>
      </c>
      <c r="F46" s="0" t="s">
        <v>44</v>
      </c>
      <c r="G46" s="0" t="s">
        <v>169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170</v>
      </c>
      <c r="B47" s="5" t="s">
        <v>171</v>
      </c>
      <c r="C47" s="5" t="s">
        <v>168</v>
      </c>
      <c r="D47" s="0" t="s">
        <v>113</v>
      </c>
      <c r="E47" s="0" t="s">
        <v>38</v>
      </c>
      <c r="F47" s="0" t="s">
        <v>79</v>
      </c>
      <c r="G47" s="0" t="s">
        <v>172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173</v>
      </c>
      <c r="B48" s="5" t="s">
        <v>174</v>
      </c>
      <c r="C48" s="0" t="s">
        <v>36</v>
      </c>
      <c r="D48" s="5" t="s">
        <v>175</v>
      </c>
      <c r="E48" s="0" t="s">
        <v>54</v>
      </c>
      <c r="F48" s="0" t="s">
        <v>44</v>
      </c>
      <c r="G48" s="0" t="s">
        <v>176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177</v>
      </c>
      <c r="B49" s="5" t="s">
        <v>178</v>
      </c>
      <c r="C49" s="0" t="s">
        <v>112</v>
      </c>
      <c r="D49" s="0" t="s">
        <v>113</v>
      </c>
      <c r="E49" s="0" t="s">
        <v>54</v>
      </c>
      <c r="F49" s="0" t="s">
        <v>44</v>
      </c>
      <c r="G49" s="0" t="s">
        <v>179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180</v>
      </c>
      <c r="B50" s="5" t="s">
        <v>181</v>
      </c>
      <c r="C50" s="0" t="s">
        <v>112</v>
      </c>
      <c r="D50" s="0" t="s">
        <v>113</v>
      </c>
      <c r="E50" s="0" t="s">
        <v>54</v>
      </c>
      <c r="F50" s="0" t="s">
        <v>44</v>
      </c>
      <c r="G50" s="0" t="s">
        <v>182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5" t="s">
        <v>77</v>
      </c>
      <c r="D52" s="0" t="s">
        <v>78</v>
      </c>
      <c r="E52" s="0" t="s">
        <v>142</v>
      </c>
      <c r="F52" s="0" t="s">
        <v>79</v>
      </c>
      <c r="G52" s="0" t="s">
        <v>186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5" t="s">
        <v>77</v>
      </c>
      <c r="D53" s="0" t="s">
        <v>78</v>
      </c>
      <c r="E53" s="0" t="s">
        <v>142</v>
      </c>
      <c r="F53" s="0" t="s">
        <v>189</v>
      </c>
      <c r="G53" s="0" t="s">
        <v>190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5" t="s">
        <v>77</v>
      </c>
      <c r="D54" s="0" t="s">
        <v>78</v>
      </c>
      <c r="E54" s="0" t="s">
        <v>142</v>
      </c>
      <c r="F54" s="0" t="s">
        <v>193</v>
      </c>
      <c r="G54" s="0" t="s">
        <v>194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5" t="s">
        <v>77</v>
      </c>
      <c r="D55" s="0" t="s">
        <v>78</v>
      </c>
      <c r="E55" s="0" t="s">
        <v>142</v>
      </c>
      <c r="F55" s="0" t="s">
        <v>189</v>
      </c>
      <c r="G55" s="0" t="s">
        <v>197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5" t="s">
        <v>77</v>
      </c>
      <c r="D56" s="0" t="s">
        <v>78</v>
      </c>
      <c r="E56" s="0" t="s">
        <v>142</v>
      </c>
      <c r="F56" s="0" t="s">
        <v>189</v>
      </c>
      <c r="G56" s="0" t="s">
        <v>200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5" t="s">
        <v>77</v>
      </c>
      <c r="D57" s="0" t="s">
        <v>78</v>
      </c>
      <c r="E57" s="0" t="s">
        <v>142</v>
      </c>
      <c r="F57" s="0" t="s">
        <v>189</v>
      </c>
      <c r="G57" s="0" t="s">
        <v>203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204</v>
      </c>
      <c r="B58" s="0" t="s">
        <v>205</v>
      </c>
      <c r="C58" s="5" t="s">
        <v>77</v>
      </c>
      <c r="D58" s="0" t="s">
        <v>78</v>
      </c>
      <c r="E58" s="0" t="s">
        <v>142</v>
      </c>
      <c r="F58" s="0" t="s">
        <v>189</v>
      </c>
      <c r="G58" s="0" t="s">
        <v>206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207</v>
      </c>
      <c r="B59" s="0" t="s">
        <v>208</v>
      </c>
      <c r="C59" s="5" t="s">
        <v>77</v>
      </c>
      <c r="D59" s="0" t="s">
        <v>78</v>
      </c>
      <c r="E59" s="0" t="s">
        <v>142</v>
      </c>
      <c r="F59" s="0" t="s">
        <v>79</v>
      </c>
      <c r="G59" s="0" t="s">
        <v>209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210</v>
      </c>
      <c r="B60" s="0" t="s">
        <v>211</v>
      </c>
      <c r="C60" s="5" t="s">
        <v>77</v>
      </c>
      <c r="D60" s="0" t="s">
        <v>78</v>
      </c>
      <c r="E60" s="0" t="s">
        <v>142</v>
      </c>
      <c r="F60" s="0" t="s">
        <v>189</v>
      </c>
      <c r="G60" s="0" t="s">
        <v>212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213</v>
      </c>
      <c r="B61" s="0" t="s">
        <v>214</v>
      </c>
      <c r="C61" s="0" t="s">
        <v>36</v>
      </c>
      <c r="D61" s="0" t="s">
        <v>215</v>
      </c>
      <c r="E61" s="0" t="s">
        <v>119</v>
      </c>
      <c r="F61" s="0" t="s">
        <v>115</v>
      </c>
      <c r="G61" s="0" t="s">
        <v>216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217</v>
      </c>
      <c r="B62" s="0" t="s">
        <v>218</v>
      </c>
      <c r="C62" s="0" t="s">
        <v>36</v>
      </c>
      <c r="D62" s="0" t="s">
        <v>215</v>
      </c>
      <c r="E62" s="0" t="s">
        <v>119</v>
      </c>
      <c r="F62" s="0" t="s">
        <v>124</v>
      </c>
      <c r="G62" s="0" t="s">
        <v>219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36</v>
      </c>
      <c r="D63" s="0" t="s">
        <v>215</v>
      </c>
      <c r="E63" s="0" t="s">
        <v>119</v>
      </c>
      <c r="F63" s="0" t="s">
        <v>69</v>
      </c>
      <c r="G63" s="0" t="s">
        <v>222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223</v>
      </c>
    </row>
    <row r="65" customFormat="false" ht="17.15" hidden="false" customHeight="false" outlineLevel="0" collapsed="false">
      <c r="A65" s="0" t="s">
        <v>224</v>
      </c>
      <c r="B65" s="5" t="s">
        <v>225</v>
      </c>
      <c r="C65" s="0" t="s">
        <v>36</v>
      </c>
      <c r="D65" s="0" t="s">
        <v>226</v>
      </c>
      <c r="E65" s="0" t="s">
        <v>38</v>
      </c>
      <c r="F65" s="0" t="s">
        <v>227</v>
      </c>
      <c r="G65" s="0" t="s">
        <v>228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229</v>
      </c>
      <c r="B66" s="5" t="s">
        <v>230</v>
      </c>
      <c r="C66" s="0" t="s">
        <v>36</v>
      </c>
      <c r="D66" s="0" t="s">
        <v>37</v>
      </c>
      <c r="E66" s="0" t="s">
        <v>54</v>
      </c>
      <c r="F66" s="0" t="s">
        <v>231</v>
      </c>
      <c r="G66" s="0" t="s">
        <v>232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233</v>
      </c>
      <c r="B67" s="5" t="s">
        <v>234</v>
      </c>
      <c r="C67" s="0" t="s">
        <v>36</v>
      </c>
      <c r="D67" s="0" t="s">
        <v>235</v>
      </c>
      <c r="E67" s="0" t="s">
        <v>236</v>
      </c>
      <c r="F67" s="0" t="s">
        <v>227</v>
      </c>
      <c r="G67" s="0" t="s">
        <v>237</v>
      </c>
      <c r="H67" s="9" t="n">
        <v>0.5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238</v>
      </c>
      <c r="B68" s="0" t="s">
        <v>239</v>
      </c>
      <c r="C68" s="0" t="s">
        <v>36</v>
      </c>
      <c r="D68" s="0" t="s">
        <v>226</v>
      </c>
      <c r="E68" s="0" t="s">
        <v>38</v>
      </c>
      <c r="F68" s="0" t="s">
        <v>227</v>
      </c>
      <c r="G68" s="5" t="s">
        <v>240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241</v>
      </c>
      <c r="B69" s="5" t="s">
        <v>242</v>
      </c>
      <c r="C69" s="0" t="s">
        <v>36</v>
      </c>
      <c r="D69" s="0" t="s">
        <v>226</v>
      </c>
      <c r="E69" s="0" t="s">
        <v>38</v>
      </c>
      <c r="F69" s="0" t="s">
        <v>227</v>
      </c>
      <c r="G69" s="0" t="s">
        <v>243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244</v>
      </c>
      <c r="B70" s="5" t="s">
        <v>245</v>
      </c>
      <c r="C70" s="0" t="s">
        <v>36</v>
      </c>
      <c r="D70" s="0" t="s">
        <v>226</v>
      </c>
      <c r="E70" s="0" t="s">
        <v>38</v>
      </c>
      <c r="F70" s="0" t="s">
        <v>227</v>
      </c>
      <c r="G70" s="0" t="s">
        <v>246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247</v>
      </c>
      <c r="B71" s="5" t="s">
        <v>248</v>
      </c>
      <c r="C71" s="0" t="s">
        <v>36</v>
      </c>
      <c r="D71" s="0" t="s">
        <v>226</v>
      </c>
      <c r="E71" s="0" t="s">
        <v>38</v>
      </c>
      <c r="F71" s="0" t="s">
        <v>227</v>
      </c>
      <c r="G71" s="0" t="s">
        <v>249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250</v>
      </c>
      <c r="B72" s="5" t="s">
        <v>251</v>
      </c>
      <c r="C72" s="0" t="s">
        <v>36</v>
      </c>
      <c r="D72" s="0" t="s">
        <v>226</v>
      </c>
      <c r="E72" s="0" t="s">
        <v>38</v>
      </c>
      <c r="F72" s="0" t="s">
        <v>227</v>
      </c>
      <c r="G72" s="0" t="s">
        <v>252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253</v>
      </c>
      <c r="B73" s="5" t="s">
        <v>254</v>
      </c>
      <c r="C73" s="0" t="s">
        <v>36</v>
      </c>
      <c r="D73" s="0" t="s">
        <v>226</v>
      </c>
      <c r="E73" s="0" t="s">
        <v>38</v>
      </c>
      <c r="F73" s="0" t="s">
        <v>227</v>
      </c>
      <c r="G73" s="0" t="s">
        <v>255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256</v>
      </c>
      <c r="B74" s="5" t="s">
        <v>257</v>
      </c>
      <c r="C74" s="0" t="s">
        <v>36</v>
      </c>
      <c r="D74" s="0" t="s">
        <v>226</v>
      </c>
      <c r="E74" s="0" t="s">
        <v>38</v>
      </c>
      <c r="F74" s="0" t="s">
        <v>227</v>
      </c>
      <c r="G74" s="0" t="s">
        <v>258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259</v>
      </c>
      <c r="B75" s="5" t="s">
        <v>260</v>
      </c>
      <c r="C75" s="0" t="s">
        <v>36</v>
      </c>
      <c r="D75" s="0" t="s">
        <v>226</v>
      </c>
      <c r="E75" s="0" t="s">
        <v>38</v>
      </c>
      <c r="F75" s="0" t="s">
        <v>227</v>
      </c>
      <c r="G75" s="0" t="s">
        <v>261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262</v>
      </c>
    </row>
    <row r="77" customFormat="false" ht="17.15" hidden="false" customHeight="false" outlineLevel="0" collapsed="false">
      <c r="A77" s="0" t="s">
        <v>263</v>
      </c>
      <c r="B77" s="5" t="s">
        <v>264</v>
      </c>
      <c r="C77" s="0" t="s">
        <v>36</v>
      </c>
      <c r="D77" s="0" t="s">
        <v>37</v>
      </c>
      <c r="E77" s="0" t="s">
        <v>54</v>
      </c>
      <c r="F77" s="0" t="s">
        <v>227</v>
      </c>
      <c r="G77" s="0" t="s">
        <v>265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266</v>
      </c>
      <c r="B78" s="5" t="s">
        <v>267</v>
      </c>
      <c r="C78" s="0" t="s">
        <v>36</v>
      </c>
      <c r="D78" s="0" t="s">
        <v>235</v>
      </c>
      <c r="E78" s="0" t="s">
        <v>43</v>
      </c>
      <c r="F78" s="0" t="s">
        <v>227</v>
      </c>
      <c r="G78" s="0" t="s">
        <v>268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269</v>
      </c>
      <c r="B79" s="5" t="s">
        <v>270</v>
      </c>
      <c r="C79" s="0" t="s">
        <v>36</v>
      </c>
      <c r="D79" s="0" t="s">
        <v>53</v>
      </c>
      <c r="E79" s="0" t="s">
        <v>54</v>
      </c>
      <c r="F79" s="0" t="s">
        <v>49</v>
      </c>
      <c r="G79" s="0" t="s">
        <v>271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272</v>
      </c>
      <c r="B80" s="5" t="s">
        <v>273</v>
      </c>
      <c r="C80" s="0" t="s">
        <v>36</v>
      </c>
      <c r="D80" s="0" t="s">
        <v>274</v>
      </c>
      <c r="E80" s="0" t="s">
        <v>38</v>
      </c>
      <c r="F80" s="0" t="s">
        <v>231</v>
      </c>
      <c r="G80" s="0" t="s">
        <v>275</v>
      </c>
      <c r="H80" s="9" t="n">
        <v>2.1</v>
      </c>
      <c r="I80" s="9" t="n">
        <v>2.67</v>
      </c>
      <c r="J80" s="9" t="n">
        <v>3.15</v>
      </c>
      <c r="S80" s="0" t="n">
        <v>1</v>
      </c>
    </row>
    <row r="81" customFormat="false" ht="17.15" hidden="false" customHeight="false" outlineLevel="0" collapsed="false">
      <c r="A81" s="0" t="s">
        <v>276</v>
      </c>
      <c r="B81" s="5" t="s">
        <v>277</v>
      </c>
      <c r="C81" s="0" t="s">
        <v>36</v>
      </c>
      <c r="D81" s="0" t="s">
        <v>78</v>
      </c>
      <c r="E81" s="0" t="s">
        <v>43</v>
      </c>
      <c r="F81" s="0" t="s">
        <v>227</v>
      </c>
      <c r="G81" s="0" t="s">
        <v>278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279</v>
      </c>
      <c r="B82" s="5" t="s">
        <v>280</v>
      </c>
      <c r="C82" s="0" t="s">
        <v>36</v>
      </c>
      <c r="D82" s="0" t="s">
        <v>78</v>
      </c>
      <c r="E82" s="0" t="s">
        <v>43</v>
      </c>
      <c r="F82" s="0" t="s">
        <v>227</v>
      </c>
      <c r="G82" s="0" t="s">
        <v>281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282</v>
      </c>
      <c r="B83" s="0" t="s">
        <v>283</v>
      </c>
      <c r="C83" s="0" t="s">
        <v>36</v>
      </c>
      <c r="D83" s="0" t="s">
        <v>37</v>
      </c>
      <c r="E83" s="0" t="s">
        <v>38</v>
      </c>
      <c r="F83" s="0" t="s">
        <v>284</v>
      </c>
      <c r="G83" s="0" t="s">
        <v>285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286</v>
      </c>
    </row>
    <row r="85" customFormat="false" ht="17.15" hidden="false" customHeight="false" outlineLevel="0" collapsed="false">
      <c r="A85" s="0" t="s">
        <v>287</v>
      </c>
      <c r="B85" s="0" t="s">
        <v>288</v>
      </c>
      <c r="C85" s="0" t="s">
        <v>36</v>
      </c>
      <c r="D85" s="0" t="s">
        <v>53</v>
      </c>
      <c r="E85" s="0" t="s">
        <v>38</v>
      </c>
      <c r="F85" s="0" t="s">
        <v>124</v>
      </c>
      <c r="G85" s="0" t="s">
        <v>289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36</v>
      </c>
      <c r="D86" s="0" t="s">
        <v>53</v>
      </c>
      <c r="E86" s="0" t="s">
        <v>38</v>
      </c>
      <c r="F86" s="0" t="s">
        <v>69</v>
      </c>
      <c r="G86" s="0" t="s">
        <v>292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293</v>
      </c>
      <c r="B87" s="0" t="s">
        <v>294</v>
      </c>
      <c r="C87" s="0" t="s">
        <v>36</v>
      </c>
      <c r="D87" s="0" t="s">
        <v>53</v>
      </c>
      <c r="E87" s="0" t="s">
        <v>38</v>
      </c>
      <c r="F87" s="0" t="s">
        <v>143</v>
      </c>
      <c r="G87" s="0" t="s">
        <v>295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296</v>
      </c>
      <c r="B88" s="0" t="s">
        <v>297</v>
      </c>
      <c r="C88" s="0" t="s">
        <v>36</v>
      </c>
      <c r="D88" s="0" t="s">
        <v>53</v>
      </c>
      <c r="E88" s="0" t="s">
        <v>38</v>
      </c>
      <c r="F88" s="0" t="s">
        <v>298</v>
      </c>
      <c r="G88" s="0" t="s">
        <v>295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299</v>
      </c>
      <c r="B89" s="0" t="s">
        <v>300</v>
      </c>
      <c r="C89" s="0" t="s">
        <v>36</v>
      </c>
      <c r="D89" s="0" t="s">
        <v>53</v>
      </c>
      <c r="E89" s="0" t="s">
        <v>38</v>
      </c>
      <c r="F89" s="0" t="s">
        <v>301</v>
      </c>
      <c r="G89" s="0" t="s">
        <v>295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302</v>
      </c>
      <c r="B90" s="0" t="s">
        <v>303</v>
      </c>
      <c r="C90" s="0" t="s">
        <v>36</v>
      </c>
      <c r="D90" s="0" t="s">
        <v>53</v>
      </c>
      <c r="E90" s="0" t="s">
        <v>38</v>
      </c>
      <c r="F90" s="0" t="s">
        <v>79</v>
      </c>
      <c r="G90" s="0" t="s">
        <v>304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305</v>
      </c>
    </row>
    <row r="92" customFormat="false" ht="17.15" hidden="false" customHeight="false" outlineLevel="0" collapsed="false">
      <c r="A92" s="0" t="s">
        <v>306</v>
      </c>
      <c r="B92" s="0" t="s">
        <v>307</v>
      </c>
      <c r="C92" s="0" t="s">
        <v>36</v>
      </c>
      <c r="D92" s="5" t="s">
        <v>58</v>
      </c>
      <c r="E92" s="0" t="s">
        <v>119</v>
      </c>
      <c r="F92" s="0" t="s">
        <v>115</v>
      </c>
      <c r="G92" s="0" t="s">
        <v>308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309</v>
      </c>
      <c r="B93" s="0" t="s">
        <v>310</v>
      </c>
      <c r="C93" s="0" t="s">
        <v>36</v>
      </c>
      <c r="D93" s="5" t="s">
        <v>58</v>
      </c>
      <c r="E93" s="0" t="s">
        <v>119</v>
      </c>
      <c r="F93" s="0" t="s">
        <v>124</v>
      </c>
      <c r="G93" s="0" t="s">
        <v>308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311</v>
      </c>
      <c r="B94" s="0" t="s">
        <v>312</v>
      </c>
      <c r="C94" s="0" t="s">
        <v>36</v>
      </c>
      <c r="D94" s="5" t="s">
        <v>58</v>
      </c>
      <c r="E94" s="0" t="s">
        <v>119</v>
      </c>
      <c r="F94" s="0" t="s">
        <v>69</v>
      </c>
      <c r="G94" s="0" t="s">
        <v>308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313</v>
      </c>
      <c r="B95" s="0" t="s">
        <v>314</v>
      </c>
      <c r="C95" s="0" t="s">
        <v>36</v>
      </c>
      <c r="D95" s="5" t="s">
        <v>58</v>
      </c>
      <c r="E95" s="0" t="s">
        <v>119</v>
      </c>
      <c r="F95" s="0" t="s">
        <v>135</v>
      </c>
      <c r="G95" s="0" t="s">
        <v>308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315</v>
      </c>
      <c r="B96" s="0" t="s">
        <v>316</v>
      </c>
      <c r="C96" s="0" t="s">
        <v>36</v>
      </c>
      <c r="D96" s="5" t="s">
        <v>58</v>
      </c>
      <c r="E96" s="0" t="s">
        <v>119</v>
      </c>
      <c r="F96" s="0" t="s">
        <v>143</v>
      </c>
      <c r="G96" s="0" t="s">
        <v>308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317</v>
      </c>
      <c r="B97" s="0" t="s">
        <v>318</v>
      </c>
      <c r="C97" s="0" t="s">
        <v>36</v>
      </c>
      <c r="D97" s="5" t="s">
        <v>58</v>
      </c>
      <c r="E97" s="0" t="s">
        <v>119</v>
      </c>
      <c r="F97" s="0" t="s">
        <v>298</v>
      </c>
      <c r="G97" s="0" t="s">
        <v>308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319</v>
      </c>
      <c r="B98" s="0" t="s">
        <v>320</v>
      </c>
      <c r="C98" s="0" t="s">
        <v>36</v>
      </c>
      <c r="D98" s="5" t="s">
        <v>58</v>
      </c>
      <c r="E98" s="0" t="s">
        <v>119</v>
      </c>
      <c r="F98" s="0" t="s">
        <v>301</v>
      </c>
      <c r="G98" s="0" t="s">
        <v>308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321</v>
      </c>
      <c r="B99" s="0" t="s">
        <v>322</v>
      </c>
      <c r="C99" s="0" t="s">
        <v>36</v>
      </c>
      <c r="D99" s="5" t="s">
        <v>58</v>
      </c>
      <c r="E99" s="0" t="s">
        <v>119</v>
      </c>
      <c r="F99" s="0" t="s">
        <v>189</v>
      </c>
      <c r="G99" s="0" t="s">
        <v>323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324</v>
      </c>
    </row>
    <row r="101" customFormat="false" ht="17.15" hidden="false" customHeight="false" outlineLevel="0" collapsed="false">
      <c r="A101" s="0" t="s">
        <v>325</v>
      </c>
      <c r="B101" s="0" t="s">
        <v>326</v>
      </c>
      <c r="C101" s="5" t="s">
        <v>123</v>
      </c>
      <c r="D101" s="0" t="s">
        <v>113</v>
      </c>
      <c r="E101" s="0" t="s">
        <v>43</v>
      </c>
      <c r="F101" s="0" t="s">
        <v>189</v>
      </c>
      <c r="G101" s="0" t="s">
        <v>327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328</v>
      </c>
      <c r="B102" s="0" t="s">
        <v>329</v>
      </c>
      <c r="C102" s="5" t="s">
        <v>123</v>
      </c>
      <c r="D102" s="0" t="s">
        <v>113</v>
      </c>
      <c r="E102" s="0" t="s">
        <v>43</v>
      </c>
      <c r="F102" s="0" t="s">
        <v>189</v>
      </c>
      <c r="G102" s="0" t="s">
        <v>330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331</v>
      </c>
      <c r="B103" s="0" t="s">
        <v>332</v>
      </c>
      <c r="C103" s="5" t="s">
        <v>123</v>
      </c>
      <c r="D103" s="0" t="s">
        <v>113</v>
      </c>
      <c r="E103" s="0" t="s">
        <v>43</v>
      </c>
      <c r="F103" s="0" t="s">
        <v>189</v>
      </c>
      <c r="G103" s="0" t="s">
        <v>333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334</v>
      </c>
      <c r="B104" s="0" t="s">
        <v>335</v>
      </c>
      <c r="C104" s="5" t="s">
        <v>123</v>
      </c>
      <c r="D104" s="0" t="s">
        <v>113</v>
      </c>
      <c r="E104" s="0" t="s">
        <v>43</v>
      </c>
      <c r="F104" s="0" t="s">
        <v>189</v>
      </c>
      <c r="G104" s="0" t="s">
        <v>336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337</v>
      </c>
      <c r="B105" s="0" t="s">
        <v>338</v>
      </c>
      <c r="C105" s="5" t="s">
        <v>123</v>
      </c>
      <c r="D105" s="0" t="s">
        <v>113</v>
      </c>
      <c r="E105" s="0" t="s">
        <v>43</v>
      </c>
      <c r="F105" s="0" t="s">
        <v>189</v>
      </c>
      <c r="G105" s="0" t="s">
        <v>339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340</v>
      </c>
      <c r="B106" s="0" t="s">
        <v>341</v>
      </c>
      <c r="C106" s="5" t="s">
        <v>123</v>
      </c>
      <c r="D106" s="0" t="s">
        <v>113</v>
      </c>
      <c r="E106" s="0" t="s">
        <v>43</v>
      </c>
      <c r="F106" s="0" t="s">
        <v>44</v>
      </c>
      <c r="G106" s="0" t="s">
        <v>342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343</v>
      </c>
    </row>
    <row r="108" customFormat="false" ht="17.15" hidden="false" customHeight="false" outlineLevel="0" collapsed="false">
      <c r="A108" s="0" t="s">
        <v>344</v>
      </c>
      <c r="B108" s="0" t="s">
        <v>345</v>
      </c>
      <c r="C108" s="0" t="s">
        <v>112</v>
      </c>
      <c r="D108" s="0" t="s">
        <v>113</v>
      </c>
      <c r="E108" s="0" t="s">
        <v>38</v>
      </c>
      <c r="F108" s="0" t="s">
        <v>44</v>
      </c>
      <c r="G108" s="5" t="s">
        <v>346</v>
      </c>
      <c r="S108" s="0" t="n">
        <v>2</v>
      </c>
    </row>
    <row r="109" customFormat="false" ht="17.15" hidden="false" customHeight="false" outlineLevel="0" collapsed="false">
      <c r="A109" s="0" t="s">
        <v>347</v>
      </c>
      <c r="B109" s="0" t="s">
        <v>348</v>
      </c>
      <c r="C109" s="0" t="s">
        <v>112</v>
      </c>
      <c r="D109" s="0" t="s">
        <v>113</v>
      </c>
      <c r="E109" s="0" t="s">
        <v>38</v>
      </c>
      <c r="F109" s="0" t="s">
        <v>44</v>
      </c>
      <c r="G109" s="5" t="s">
        <v>346</v>
      </c>
      <c r="S109" s="0" t="n">
        <v>2</v>
      </c>
    </row>
    <row r="110" customFormat="false" ht="17.15" hidden="false" customHeight="false" outlineLevel="0" collapsed="false">
      <c r="A110" s="0" t="s">
        <v>349</v>
      </c>
      <c r="B110" s="0" t="s">
        <v>350</v>
      </c>
      <c r="C110" s="0" t="s">
        <v>112</v>
      </c>
      <c r="D110" s="0" t="s">
        <v>113</v>
      </c>
      <c r="E110" s="0" t="s">
        <v>38</v>
      </c>
      <c r="F110" s="0" t="s">
        <v>44</v>
      </c>
      <c r="G110" s="5" t="s">
        <v>346</v>
      </c>
      <c r="S110" s="0" t="n">
        <v>2</v>
      </c>
    </row>
    <row r="111" customFormat="false" ht="17.15" hidden="false" customHeight="false" outlineLevel="0" collapsed="false">
      <c r="A111" s="0" t="s">
        <v>351</v>
      </c>
      <c r="B111" s="0" t="s">
        <v>352</v>
      </c>
      <c r="C111" s="0" t="s">
        <v>112</v>
      </c>
      <c r="D111" s="0" t="s">
        <v>113</v>
      </c>
      <c r="E111" s="0" t="s">
        <v>38</v>
      </c>
      <c r="F111" s="0" t="s">
        <v>44</v>
      </c>
      <c r="G111" s="5" t="s">
        <v>346</v>
      </c>
      <c r="S111" s="0" t="n">
        <v>2</v>
      </c>
    </row>
    <row r="112" customFormat="false" ht="17.15" hidden="false" customHeight="false" outlineLevel="0" collapsed="false">
      <c r="A112" s="0" t="s">
        <v>353</v>
      </c>
      <c r="B112" s="0" t="s">
        <v>354</v>
      </c>
      <c r="C112" s="0" t="s">
        <v>112</v>
      </c>
      <c r="D112" s="0" t="s">
        <v>113</v>
      </c>
      <c r="E112" s="0" t="s">
        <v>38</v>
      </c>
      <c r="F112" s="0" t="s">
        <v>44</v>
      </c>
      <c r="G112" s="5" t="s">
        <v>346</v>
      </c>
      <c r="S112" s="0" t="n">
        <v>2</v>
      </c>
    </row>
    <row r="113" customFormat="false" ht="17.15" hidden="false" customHeight="false" outlineLevel="0" collapsed="false">
      <c r="A113" s="0" t="s">
        <v>355</v>
      </c>
      <c r="B113" s="0" t="s">
        <v>356</v>
      </c>
      <c r="C113" s="0" t="s">
        <v>112</v>
      </c>
      <c r="D113" s="0" t="s">
        <v>113</v>
      </c>
      <c r="E113" s="0" t="s">
        <v>357</v>
      </c>
      <c r="F113" s="0" t="s">
        <v>189</v>
      </c>
      <c r="G113" s="0" t="s">
        <v>358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359</v>
      </c>
      <c r="B114" s="0" t="s">
        <v>360</v>
      </c>
      <c r="C114" s="5" t="s">
        <v>77</v>
      </c>
      <c r="D114" s="0" t="s">
        <v>113</v>
      </c>
      <c r="E114" s="0" t="s">
        <v>142</v>
      </c>
      <c r="F114" s="0" t="s">
        <v>298</v>
      </c>
      <c r="G114" s="0" t="s">
        <v>361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362</v>
      </c>
      <c r="B115" s="0" t="s">
        <v>363</v>
      </c>
      <c r="C115" s="0" t="s">
        <v>112</v>
      </c>
      <c r="D115" s="0" t="s">
        <v>113</v>
      </c>
      <c r="E115" s="0" t="s">
        <v>38</v>
      </c>
      <c r="F115" s="0" t="s">
        <v>301</v>
      </c>
      <c r="G115" s="0" t="s">
        <v>364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365</v>
      </c>
      <c r="B116" s="0" t="s">
        <v>366</v>
      </c>
      <c r="C116" s="5" t="s">
        <v>77</v>
      </c>
      <c r="D116" s="0" t="s">
        <v>113</v>
      </c>
      <c r="E116" s="0" t="s">
        <v>142</v>
      </c>
      <c r="F116" s="0" t="s">
        <v>79</v>
      </c>
      <c r="G116" s="0" t="s">
        <v>367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368</v>
      </c>
      <c r="B117" s="0" t="s">
        <v>369</v>
      </c>
      <c r="C117" s="0" t="s">
        <v>112</v>
      </c>
      <c r="D117" s="0" t="s">
        <v>113</v>
      </c>
      <c r="E117" s="0" t="s">
        <v>38</v>
      </c>
      <c r="F117" s="0" t="s">
        <v>79</v>
      </c>
      <c r="G117" s="0" t="s">
        <v>370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371</v>
      </c>
      <c r="B118" s="0" t="s">
        <v>372</v>
      </c>
      <c r="C118" s="0" t="s">
        <v>112</v>
      </c>
      <c r="D118" s="0" t="s">
        <v>113</v>
      </c>
      <c r="E118" s="0" t="s">
        <v>38</v>
      </c>
      <c r="F118" s="0" t="s">
        <v>373</v>
      </c>
      <c r="G118" s="0" t="s">
        <v>374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375</v>
      </c>
      <c r="B119" s="5" t="s">
        <v>376</v>
      </c>
      <c r="C119" s="0" t="s">
        <v>112</v>
      </c>
      <c r="D119" s="0" t="s">
        <v>113</v>
      </c>
      <c r="E119" s="0" t="s">
        <v>54</v>
      </c>
      <c r="F119" s="0" t="s">
        <v>164</v>
      </c>
      <c r="G119" s="0" t="s">
        <v>377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378</v>
      </c>
      <c r="B120" s="5" t="s">
        <v>379</v>
      </c>
      <c r="C120" s="5" t="s">
        <v>77</v>
      </c>
      <c r="D120" s="0" t="s">
        <v>113</v>
      </c>
      <c r="E120" s="0" t="s">
        <v>38</v>
      </c>
      <c r="F120" s="0" t="s">
        <v>79</v>
      </c>
      <c r="G120" s="0" t="s">
        <v>380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381</v>
      </c>
      <c r="B121" s="5" t="s">
        <v>382</v>
      </c>
      <c r="C121" s="5" t="s">
        <v>168</v>
      </c>
      <c r="D121" s="0" t="s">
        <v>113</v>
      </c>
      <c r="E121" s="0" t="s">
        <v>383</v>
      </c>
      <c r="F121" s="0" t="s">
        <v>44</v>
      </c>
      <c r="G121" s="0" t="s">
        <v>384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385</v>
      </c>
      <c r="B122" s="5" t="s">
        <v>386</v>
      </c>
      <c r="C122" s="0" t="s">
        <v>112</v>
      </c>
      <c r="D122" s="0" t="s">
        <v>113</v>
      </c>
      <c r="E122" s="0" t="s">
        <v>54</v>
      </c>
      <c r="F122" s="0" t="s">
        <v>44</v>
      </c>
      <c r="G122" s="0" t="s">
        <v>387</v>
      </c>
      <c r="S122" s="0" t="n">
        <v>2</v>
      </c>
    </row>
    <row r="123" customFormat="false" ht="17.15" hidden="false" customHeight="false" outlineLevel="0" collapsed="false">
      <c r="A123" s="8" t="s">
        <v>388</v>
      </c>
    </row>
    <row r="124" customFormat="false" ht="17.15" hidden="false" customHeight="false" outlineLevel="0" collapsed="false">
      <c r="A124" s="0" t="s">
        <v>389</v>
      </c>
      <c r="B124" s="0" t="s">
        <v>390</v>
      </c>
      <c r="C124" s="0" t="s">
        <v>36</v>
      </c>
      <c r="D124" s="0" t="s">
        <v>391</v>
      </c>
      <c r="E124" s="0" t="s">
        <v>142</v>
      </c>
      <c r="F124" s="0" t="s">
        <v>392</v>
      </c>
      <c r="G124" s="0" t="s">
        <v>393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394</v>
      </c>
      <c r="B125" s="0" t="s">
        <v>395</v>
      </c>
      <c r="C125" s="0" t="s">
        <v>36</v>
      </c>
      <c r="D125" s="0" t="s">
        <v>391</v>
      </c>
      <c r="E125" s="0" t="s">
        <v>142</v>
      </c>
      <c r="F125" s="0" t="s">
        <v>396</v>
      </c>
      <c r="G125" s="0" t="s">
        <v>397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398</v>
      </c>
      <c r="B126" s="0" t="s">
        <v>399</v>
      </c>
      <c r="C126" s="0" t="s">
        <v>36</v>
      </c>
      <c r="D126" s="0" t="s">
        <v>391</v>
      </c>
      <c r="E126" s="0" t="s">
        <v>142</v>
      </c>
      <c r="F126" s="0" t="s">
        <v>400</v>
      </c>
      <c r="G126" s="0" t="s">
        <v>401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402</v>
      </c>
      <c r="B127" s="0" t="s">
        <v>403</v>
      </c>
      <c r="C127" s="0" t="s">
        <v>36</v>
      </c>
      <c r="D127" s="0" t="s">
        <v>391</v>
      </c>
      <c r="E127" s="0" t="s">
        <v>142</v>
      </c>
      <c r="F127" s="0" t="s">
        <v>189</v>
      </c>
      <c r="G127" s="0" t="s">
        <v>404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405</v>
      </c>
      <c r="B128" s="0" t="s">
        <v>406</v>
      </c>
      <c r="C128" s="0" t="s">
        <v>36</v>
      </c>
      <c r="D128" s="0" t="s">
        <v>391</v>
      </c>
      <c r="E128" s="0" t="s">
        <v>142</v>
      </c>
      <c r="F128" s="0" t="s">
        <v>407</v>
      </c>
      <c r="G128" s="0" t="s">
        <v>408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409</v>
      </c>
      <c r="B129" s="0" t="s">
        <v>410</v>
      </c>
      <c r="C129" s="0" t="s">
        <v>36</v>
      </c>
      <c r="D129" s="0" t="s">
        <v>391</v>
      </c>
      <c r="E129" s="0" t="s">
        <v>142</v>
      </c>
      <c r="F129" s="0" t="s">
        <v>411</v>
      </c>
      <c r="G129" s="0" t="s">
        <v>412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413</v>
      </c>
      <c r="B130" s="0" t="s">
        <v>414</v>
      </c>
      <c r="C130" s="0" t="s">
        <v>36</v>
      </c>
      <c r="D130" s="0" t="s">
        <v>391</v>
      </c>
      <c r="E130" s="0" t="s">
        <v>142</v>
      </c>
      <c r="F130" s="0" t="s">
        <v>193</v>
      </c>
      <c r="G130" s="0" t="s">
        <v>415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416</v>
      </c>
      <c r="B131" s="12" t="s">
        <v>417</v>
      </c>
      <c r="C131" s="12" t="s">
        <v>36</v>
      </c>
      <c r="D131" s="12" t="s">
        <v>391</v>
      </c>
      <c r="E131" s="13" t="s">
        <v>418</v>
      </c>
      <c r="F131" s="12" t="s">
        <v>419</v>
      </c>
      <c r="G131" s="13" t="s">
        <v>420</v>
      </c>
      <c r="S131" s="0" t="n">
        <v>2</v>
      </c>
    </row>
    <row r="132" customFormat="false" ht="17.15" hidden="false" customHeight="false" outlineLevel="0" collapsed="false">
      <c r="A132" s="12" t="s">
        <v>421</v>
      </c>
      <c r="B132" s="12" t="s">
        <v>422</v>
      </c>
      <c r="C132" s="12" t="s">
        <v>36</v>
      </c>
      <c r="D132" s="12" t="s">
        <v>391</v>
      </c>
      <c r="E132" s="13" t="s">
        <v>418</v>
      </c>
      <c r="F132" s="12" t="s">
        <v>419</v>
      </c>
      <c r="G132" s="13" t="s">
        <v>423</v>
      </c>
      <c r="S132" s="0" t="n">
        <v>2</v>
      </c>
    </row>
    <row r="133" customFormat="false" ht="17.15" hidden="false" customHeight="false" outlineLevel="0" collapsed="false">
      <c r="A133" s="12" t="s">
        <v>424</v>
      </c>
      <c r="B133" s="12" t="s">
        <v>425</v>
      </c>
      <c r="C133" s="12" t="s">
        <v>36</v>
      </c>
      <c r="D133" s="12" t="s">
        <v>391</v>
      </c>
      <c r="E133" s="13" t="s">
        <v>418</v>
      </c>
      <c r="F133" s="12" t="s">
        <v>419</v>
      </c>
      <c r="G133" s="13" t="s">
        <v>423</v>
      </c>
      <c r="S133" s="0" t="n">
        <v>2</v>
      </c>
    </row>
    <row r="134" customFormat="false" ht="17.15" hidden="false" customHeight="false" outlineLevel="0" collapsed="false">
      <c r="A134" s="12" t="s">
        <v>426</v>
      </c>
      <c r="B134" s="12" t="s">
        <v>427</v>
      </c>
      <c r="C134" s="12" t="s">
        <v>36</v>
      </c>
      <c r="D134" s="12" t="s">
        <v>391</v>
      </c>
      <c r="E134" s="13" t="s">
        <v>418</v>
      </c>
      <c r="F134" s="12" t="s">
        <v>419</v>
      </c>
      <c r="G134" s="13" t="s">
        <v>423</v>
      </c>
      <c r="S134" s="0" t="n">
        <v>2</v>
      </c>
    </row>
    <row r="135" customFormat="false" ht="17.15" hidden="false" customHeight="false" outlineLevel="0" collapsed="false">
      <c r="A135" s="12" t="s">
        <v>428</v>
      </c>
      <c r="B135" s="13" t="s">
        <v>429</v>
      </c>
      <c r="C135" s="12" t="s">
        <v>36</v>
      </c>
      <c r="D135" s="12" t="s">
        <v>391</v>
      </c>
      <c r="E135" s="13" t="s">
        <v>418</v>
      </c>
      <c r="F135" s="12" t="s">
        <v>419</v>
      </c>
      <c r="G135" s="13" t="s">
        <v>423</v>
      </c>
      <c r="S135" s="0" t="n">
        <v>2</v>
      </c>
    </row>
    <row r="136" customFormat="false" ht="17.15" hidden="false" customHeight="false" outlineLevel="0" collapsed="false">
      <c r="A136" s="12" t="s">
        <v>430</v>
      </c>
      <c r="B136" s="13" t="s">
        <v>431</v>
      </c>
      <c r="C136" s="12" t="s">
        <v>36</v>
      </c>
      <c r="D136" s="12" t="s">
        <v>391</v>
      </c>
      <c r="E136" s="13" t="s">
        <v>418</v>
      </c>
      <c r="F136" s="12" t="s">
        <v>419</v>
      </c>
      <c r="G136" s="13" t="s">
        <v>423</v>
      </c>
      <c r="S136" s="0" t="n">
        <v>2</v>
      </c>
    </row>
    <row r="137" customFormat="false" ht="17.15" hidden="false" customHeight="false" outlineLevel="0" collapsed="false">
      <c r="A137" s="12" t="s">
        <v>432</v>
      </c>
      <c r="B137" s="13" t="s">
        <v>433</v>
      </c>
      <c r="C137" s="12" t="s">
        <v>36</v>
      </c>
      <c r="D137" s="12" t="s">
        <v>391</v>
      </c>
      <c r="E137" s="13" t="s">
        <v>418</v>
      </c>
      <c r="F137" s="12" t="s">
        <v>419</v>
      </c>
      <c r="G137" s="13" t="s">
        <v>423</v>
      </c>
      <c r="S137" s="0" t="n">
        <v>2</v>
      </c>
    </row>
    <row r="138" customFormat="false" ht="17.15" hidden="false" customHeight="false" outlineLevel="0" collapsed="false">
      <c r="A138" s="12" t="s">
        <v>434</v>
      </c>
      <c r="B138" s="13" t="s">
        <v>435</v>
      </c>
      <c r="C138" s="12" t="s">
        <v>36</v>
      </c>
      <c r="D138" s="12" t="s">
        <v>391</v>
      </c>
      <c r="E138" s="13" t="s">
        <v>418</v>
      </c>
      <c r="F138" s="12" t="s">
        <v>419</v>
      </c>
      <c r="G138" s="13" t="s">
        <v>423</v>
      </c>
      <c r="S138" s="0" t="n">
        <v>2</v>
      </c>
    </row>
    <row r="139" customFormat="false" ht="17.15" hidden="false" customHeight="false" outlineLevel="0" collapsed="false">
      <c r="A139" s="8" t="s">
        <v>436</v>
      </c>
    </row>
    <row r="140" customFormat="false" ht="17.15" hidden="false" customHeight="false" outlineLevel="0" collapsed="false">
      <c r="A140" s="12" t="s">
        <v>437</v>
      </c>
      <c r="B140" s="12" t="s">
        <v>438</v>
      </c>
      <c r="C140" s="12" t="s">
        <v>36</v>
      </c>
      <c r="D140" s="12" t="s">
        <v>391</v>
      </c>
      <c r="E140" s="13" t="s">
        <v>418</v>
      </c>
      <c r="F140" s="12" t="s">
        <v>419</v>
      </c>
      <c r="G140" s="13" t="s">
        <v>439</v>
      </c>
      <c r="S140" s="0" t="n">
        <v>2</v>
      </c>
    </row>
    <row r="141" customFormat="false" ht="17.15" hidden="false" customHeight="false" outlineLevel="0" collapsed="false">
      <c r="A141" s="12" t="s">
        <v>440</v>
      </c>
      <c r="B141" s="12" t="s">
        <v>441</v>
      </c>
      <c r="C141" s="12" t="s">
        <v>36</v>
      </c>
      <c r="D141" s="12" t="s">
        <v>391</v>
      </c>
      <c r="E141" s="13" t="s">
        <v>418</v>
      </c>
      <c r="F141" s="12" t="s">
        <v>419</v>
      </c>
      <c r="G141" s="13" t="s">
        <v>439</v>
      </c>
      <c r="S141" s="0" t="n">
        <v>2</v>
      </c>
    </row>
    <row r="142" customFormat="false" ht="17.15" hidden="false" customHeight="false" outlineLevel="0" collapsed="false">
      <c r="A142" s="12" t="s">
        <v>442</v>
      </c>
      <c r="B142" s="12" t="s">
        <v>443</v>
      </c>
      <c r="C142" s="12" t="s">
        <v>36</v>
      </c>
      <c r="D142" s="12" t="s">
        <v>391</v>
      </c>
      <c r="E142" s="13" t="s">
        <v>418</v>
      </c>
      <c r="F142" s="12" t="s">
        <v>419</v>
      </c>
      <c r="G142" s="13" t="s">
        <v>439</v>
      </c>
      <c r="S142" s="0" t="n">
        <v>2</v>
      </c>
    </row>
    <row r="143" customFormat="false" ht="17.15" hidden="false" customHeight="false" outlineLevel="0" collapsed="false">
      <c r="A143" s="12" t="s">
        <v>444</v>
      </c>
      <c r="B143" s="12" t="s">
        <v>445</v>
      </c>
      <c r="C143" s="12" t="s">
        <v>36</v>
      </c>
      <c r="D143" s="12" t="s">
        <v>391</v>
      </c>
      <c r="E143" s="13" t="s">
        <v>418</v>
      </c>
      <c r="F143" s="12" t="s">
        <v>419</v>
      </c>
      <c r="G143" s="13" t="s">
        <v>439</v>
      </c>
      <c r="S143" s="0" t="n">
        <v>2</v>
      </c>
    </row>
    <row r="144" customFormat="false" ht="17.15" hidden="false" customHeight="false" outlineLevel="0" collapsed="false">
      <c r="A144" s="12" t="s">
        <v>446</v>
      </c>
      <c r="B144" s="12" t="s">
        <v>447</v>
      </c>
      <c r="C144" s="12" t="s">
        <v>36</v>
      </c>
      <c r="D144" s="12" t="s">
        <v>391</v>
      </c>
      <c r="E144" s="13" t="s">
        <v>418</v>
      </c>
      <c r="F144" s="12" t="s">
        <v>419</v>
      </c>
      <c r="G144" s="13" t="s">
        <v>439</v>
      </c>
      <c r="S144" s="0" t="n">
        <v>2</v>
      </c>
    </row>
    <row r="145" customFormat="false" ht="17.15" hidden="false" customHeight="false" outlineLevel="0" collapsed="false">
      <c r="A145" s="12" t="s">
        <v>448</v>
      </c>
      <c r="B145" s="12" t="s">
        <v>449</v>
      </c>
      <c r="C145" s="12" t="s">
        <v>36</v>
      </c>
      <c r="D145" s="12" t="s">
        <v>391</v>
      </c>
      <c r="E145" s="13" t="s">
        <v>418</v>
      </c>
      <c r="F145" s="12" t="s">
        <v>419</v>
      </c>
      <c r="G145" s="13" t="s">
        <v>439</v>
      </c>
      <c r="S145" s="0" t="n">
        <v>2</v>
      </c>
    </row>
    <row r="146" customFormat="false" ht="17.15" hidden="false" customHeight="false" outlineLevel="0" collapsed="false">
      <c r="A146" s="12" t="s">
        <v>450</v>
      </c>
      <c r="B146" s="12" t="s">
        <v>451</v>
      </c>
      <c r="C146" s="12" t="s">
        <v>36</v>
      </c>
      <c r="D146" s="12" t="s">
        <v>391</v>
      </c>
      <c r="E146" s="13" t="s">
        <v>418</v>
      </c>
      <c r="F146" s="12" t="s">
        <v>419</v>
      </c>
      <c r="G146" s="13" t="s">
        <v>439</v>
      </c>
      <c r="S146" s="0" t="n">
        <v>2</v>
      </c>
    </row>
    <row r="147" customFormat="false" ht="17.15" hidden="false" customHeight="false" outlineLevel="0" collapsed="false">
      <c r="A147" s="12" t="s">
        <v>452</v>
      </c>
      <c r="B147" s="12" t="s">
        <v>453</v>
      </c>
      <c r="C147" s="12" t="s">
        <v>36</v>
      </c>
      <c r="D147" s="12" t="s">
        <v>391</v>
      </c>
      <c r="E147" s="13" t="s">
        <v>418</v>
      </c>
      <c r="F147" s="12" t="s">
        <v>419</v>
      </c>
      <c r="G147" s="13" t="s">
        <v>439</v>
      </c>
      <c r="S147" s="0" t="n">
        <v>2</v>
      </c>
    </row>
    <row r="148" customFormat="false" ht="17.15" hidden="false" customHeight="false" outlineLevel="0" collapsed="false">
      <c r="A148" s="12" t="s">
        <v>454</v>
      </c>
      <c r="B148" s="12" t="s">
        <v>455</v>
      </c>
      <c r="C148" s="12" t="s">
        <v>36</v>
      </c>
      <c r="D148" s="12" t="s">
        <v>391</v>
      </c>
      <c r="E148" s="13" t="s">
        <v>418</v>
      </c>
      <c r="F148" s="12" t="s">
        <v>419</v>
      </c>
      <c r="G148" s="13" t="s">
        <v>439</v>
      </c>
      <c r="S148" s="0" t="n">
        <v>2</v>
      </c>
    </row>
    <row r="149" customFormat="false" ht="17.15" hidden="false" customHeight="false" outlineLevel="0" collapsed="false">
      <c r="A149" s="12" t="s">
        <v>456</v>
      </c>
      <c r="B149" s="12" t="s">
        <v>457</v>
      </c>
      <c r="C149" s="12" t="s">
        <v>36</v>
      </c>
      <c r="D149" s="12" t="s">
        <v>391</v>
      </c>
      <c r="E149" s="13" t="s">
        <v>418</v>
      </c>
      <c r="F149" s="12" t="s">
        <v>419</v>
      </c>
      <c r="G149" s="13" t="s">
        <v>439</v>
      </c>
      <c r="S149" s="0" t="n">
        <v>2</v>
      </c>
    </row>
    <row r="150" customFormat="false" ht="17.15" hidden="false" customHeight="false" outlineLevel="0" collapsed="false">
      <c r="A150" s="12" t="s">
        <v>458</v>
      </c>
      <c r="B150" s="12" t="s">
        <v>459</v>
      </c>
      <c r="C150" s="12" t="s">
        <v>36</v>
      </c>
      <c r="D150" s="12" t="s">
        <v>391</v>
      </c>
      <c r="E150" s="13" t="s">
        <v>418</v>
      </c>
      <c r="F150" s="12" t="s">
        <v>419</v>
      </c>
      <c r="G150" s="13" t="s">
        <v>439</v>
      </c>
      <c r="S150" s="0" t="n">
        <v>2</v>
      </c>
    </row>
    <row r="151" customFormat="false" ht="17.15" hidden="false" customHeight="false" outlineLevel="0" collapsed="false">
      <c r="A151" s="12" t="s">
        <v>460</v>
      </c>
      <c r="B151" s="13" t="s">
        <v>461</v>
      </c>
      <c r="C151" s="12" t="s">
        <v>36</v>
      </c>
      <c r="D151" s="12" t="s">
        <v>391</v>
      </c>
      <c r="E151" s="13" t="s">
        <v>418</v>
      </c>
      <c r="F151" s="12" t="s">
        <v>419</v>
      </c>
      <c r="G151" s="13" t="s">
        <v>439</v>
      </c>
      <c r="S151" s="0" t="n">
        <v>2</v>
      </c>
    </row>
    <row r="152" customFormat="false" ht="17.15" hidden="false" customHeight="false" outlineLevel="0" collapsed="false">
      <c r="A152" s="12" t="s">
        <v>462</v>
      </c>
      <c r="B152" s="13" t="s">
        <v>463</v>
      </c>
      <c r="C152" s="12" t="s">
        <v>36</v>
      </c>
      <c r="D152" s="12" t="s">
        <v>391</v>
      </c>
      <c r="E152" s="13" t="s">
        <v>418</v>
      </c>
      <c r="F152" s="12" t="s">
        <v>419</v>
      </c>
      <c r="G152" s="13" t="s">
        <v>439</v>
      </c>
      <c r="S152" s="0" t="n">
        <v>2</v>
      </c>
    </row>
    <row r="153" customFormat="false" ht="17.15" hidden="false" customHeight="false" outlineLevel="0" collapsed="false">
      <c r="A153" s="12" t="s">
        <v>464</v>
      </c>
      <c r="B153" s="13" t="s">
        <v>465</v>
      </c>
      <c r="C153" s="12" t="s">
        <v>36</v>
      </c>
      <c r="D153" s="12" t="s">
        <v>391</v>
      </c>
      <c r="E153" s="13" t="s">
        <v>418</v>
      </c>
      <c r="F153" s="12" t="s">
        <v>419</v>
      </c>
      <c r="G153" s="13" t="s">
        <v>439</v>
      </c>
      <c r="S153" s="0" t="n">
        <v>2</v>
      </c>
    </row>
    <row r="154" customFormat="false" ht="17.15" hidden="false" customHeight="false" outlineLevel="0" collapsed="false">
      <c r="A154" s="12" t="s">
        <v>466</v>
      </c>
      <c r="B154" s="13" t="s">
        <v>467</v>
      </c>
      <c r="C154" s="12" t="s">
        <v>36</v>
      </c>
      <c r="D154" s="12" t="s">
        <v>391</v>
      </c>
      <c r="E154" s="13" t="s">
        <v>418</v>
      </c>
      <c r="F154" s="12" t="s">
        <v>419</v>
      </c>
      <c r="G154" s="13" t="s">
        <v>439</v>
      </c>
      <c r="S154" s="0" t="n">
        <v>2</v>
      </c>
    </row>
    <row r="155" customFormat="false" ht="17.15" hidden="false" customHeight="false" outlineLevel="0" collapsed="false">
      <c r="A155" s="8" t="s">
        <v>468</v>
      </c>
    </row>
    <row r="156" customFormat="false" ht="17.15" hidden="false" customHeight="false" outlineLevel="0" collapsed="false">
      <c r="A156" s="0" t="s">
        <v>469</v>
      </c>
      <c r="B156" s="0" t="s">
        <v>470</v>
      </c>
      <c r="C156" s="5" t="s">
        <v>77</v>
      </c>
      <c r="D156" s="0" t="s">
        <v>78</v>
      </c>
      <c r="E156" s="0" t="s">
        <v>142</v>
      </c>
      <c r="F156" s="0" t="s">
        <v>79</v>
      </c>
      <c r="G156" s="0" t="s">
        <v>471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472</v>
      </c>
      <c r="B157" s="0" t="s">
        <v>473</v>
      </c>
      <c r="C157" s="5" t="s">
        <v>77</v>
      </c>
      <c r="D157" s="0" t="s">
        <v>78</v>
      </c>
      <c r="E157" s="0" t="s">
        <v>142</v>
      </c>
      <c r="F157" s="0" t="s">
        <v>79</v>
      </c>
      <c r="G157" s="0" t="s">
        <v>474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475</v>
      </c>
    </row>
    <row r="159" customFormat="false" ht="17.15" hidden="false" customHeight="false" outlineLevel="0" collapsed="false">
      <c r="A159" s="0" t="s">
        <v>476</v>
      </c>
      <c r="B159" s="0" t="s">
        <v>477</v>
      </c>
      <c r="C159" s="5" t="s">
        <v>168</v>
      </c>
      <c r="D159" s="0" t="s">
        <v>78</v>
      </c>
      <c r="E159" s="0" t="s">
        <v>43</v>
      </c>
      <c r="F159" s="0" t="s">
        <v>79</v>
      </c>
      <c r="G159" s="0" t="s">
        <v>478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479</v>
      </c>
      <c r="B160" s="0" t="s">
        <v>480</v>
      </c>
      <c r="C160" s="5" t="s">
        <v>168</v>
      </c>
      <c r="D160" s="0" t="s">
        <v>78</v>
      </c>
      <c r="E160" s="0" t="s">
        <v>43</v>
      </c>
      <c r="F160" s="0" t="s">
        <v>79</v>
      </c>
      <c r="G160" s="0" t="s">
        <v>481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482</v>
      </c>
    </row>
    <row r="162" customFormat="false" ht="17.15" hidden="false" customHeight="false" outlineLevel="0" collapsed="false">
      <c r="A162" s="0" t="s">
        <v>483</v>
      </c>
      <c r="B162" s="5" t="s">
        <v>484</v>
      </c>
      <c r="C162" s="0" t="s">
        <v>36</v>
      </c>
      <c r="D162" s="0" t="s">
        <v>53</v>
      </c>
      <c r="E162" s="0" t="s">
        <v>485</v>
      </c>
      <c r="F162" s="0" t="s">
        <v>486</v>
      </c>
      <c r="G162" s="0" t="s">
        <v>487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488</v>
      </c>
      <c r="B163" s="5" t="s">
        <v>489</v>
      </c>
      <c r="C163" s="0" t="s">
        <v>36</v>
      </c>
      <c r="D163" s="0" t="s">
        <v>53</v>
      </c>
      <c r="E163" s="0" t="s">
        <v>485</v>
      </c>
      <c r="F163" s="0" t="s">
        <v>486</v>
      </c>
      <c r="G163" s="0" t="s">
        <v>487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490</v>
      </c>
      <c r="B164" s="5" t="s">
        <v>491</v>
      </c>
      <c r="C164" s="0" t="s">
        <v>36</v>
      </c>
      <c r="D164" s="0" t="s">
        <v>53</v>
      </c>
      <c r="E164" s="0" t="s">
        <v>485</v>
      </c>
      <c r="F164" s="0" t="s">
        <v>486</v>
      </c>
      <c r="G164" s="0" t="s">
        <v>487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492</v>
      </c>
      <c r="B165" s="5" t="s">
        <v>493</v>
      </c>
      <c r="C165" s="0" t="s">
        <v>36</v>
      </c>
      <c r="D165" s="0" t="s">
        <v>53</v>
      </c>
      <c r="E165" s="0" t="s">
        <v>485</v>
      </c>
      <c r="F165" s="0" t="s">
        <v>486</v>
      </c>
      <c r="G165" s="0" t="s">
        <v>487</v>
      </c>
      <c r="S165" s="0" t="n">
        <v>2</v>
      </c>
    </row>
    <row r="166" customFormat="false" ht="17.15" hidden="false" customHeight="false" outlineLevel="0" collapsed="false">
      <c r="A166" s="0" t="s">
        <v>494</v>
      </c>
      <c r="B166" s="5" t="s">
        <v>495</v>
      </c>
      <c r="C166" s="0" t="s">
        <v>36</v>
      </c>
      <c r="D166" s="0" t="s">
        <v>53</v>
      </c>
      <c r="E166" s="0" t="s">
        <v>485</v>
      </c>
      <c r="F166" s="0" t="s">
        <v>486</v>
      </c>
      <c r="G166" s="0" t="s">
        <v>487</v>
      </c>
      <c r="S166" s="0" t="n">
        <v>2</v>
      </c>
    </row>
    <row r="167" customFormat="false" ht="17.15" hidden="false" customHeight="false" outlineLevel="0" collapsed="false">
      <c r="A167" s="12" t="s">
        <v>496</v>
      </c>
      <c r="B167" s="13" t="s">
        <v>497</v>
      </c>
      <c r="C167" s="12" t="s">
        <v>36</v>
      </c>
      <c r="D167" s="12" t="s">
        <v>53</v>
      </c>
      <c r="E167" s="13" t="s">
        <v>418</v>
      </c>
      <c r="F167" s="12" t="s">
        <v>419</v>
      </c>
      <c r="G167" s="12" t="s">
        <v>498</v>
      </c>
      <c r="S167" s="0" t="n">
        <v>2</v>
      </c>
    </row>
    <row r="168" customFormat="false" ht="17.15" hidden="false" customHeight="false" outlineLevel="0" collapsed="false">
      <c r="A168" s="8" t="s">
        <v>499</v>
      </c>
    </row>
    <row r="169" customFormat="false" ht="17.15" hidden="false" customHeight="false" outlineLevel="0" collapsed="false">
      <c r="A169" s="6" t="s">
        <v>15</v>
      </c>
      <c r="B169" s="6" t="s">
        <v>16</v>
      </c>
      <c r="C169" s="6" t="s">
        <v>17</v>
      </c>
      <c r="D169" s="6" t="s">
        <v>18</v>
      </c>
      <c r="E169" s="6" t="s">
        <v>19</v>
      </c>
      <c r="F169" s="6" t="s">
        <v>20</v>
      </c>
      <c r="G169" s="6" t="s">
        <v>21</v>
      </c>
      <c r="H169" s="6" t="s">
        <v>500</v>
      </c>
      <c r="I169" s="6" t="s">
        <v>501</v>
      </c>
      <c r="J169" s="6" t="s">
        <v>502</v>
      </c>
      <c r="K169" s="7" t="s">
        <v>24</v>
      </c>
      <c r="L169" s="7" t="s">
        <v>25</v>
      </c>
      <c r="M169" s="7" t="s">
        <v>26</v>
      </c>
    </row>
    <row r="170" customFormat="false" ht="17.15" hidden="false" customHeight="false" outlineLevel="0" collapsed="false">
      <c r="A170" s="0" t="s">
        <v>503</v>
      </c>
      <c r="B170" s="0" t="s">
        <v>504</v>
      </c>
      <c r="C170" s="0" t="s">
        <v>112</v>
      </c>
      <c r="D170" s="5" t="s">
        <v>505</v>
      </c>
      <c r="E170" s="0" t="s">
        <v>54</v>
      </c>
      <c r="F170" s="0" t="s">
        <v>115</v>
      </c>
      <c r="G170" s="5" t="s">
        <v>506</v>
      </c>
      <c r="H170" s="9" t="s">
        <v>507</v>
      </c>
      <c r="I170" s="9" t="s">
        <v>508</v>
      </c>
      <c r="J170" s="16" t="s">
        <v>505</v>
      </c>
      <c r="K170" s="9" t="n">
        <v>0.4</v>
      </c>
      <c r="L170" s="9" t="n">
        <v>0.4</v>
      </c>
      <c r="M170" s="9" t="n">
        <v>0.4</v>
      </c>
      <c r="S170" s="0" t="n">
        <v>3</v>
      </c>
    </row>
    <row r="171" customFormat="false" ht="17.15" hidden="false" customHeight="false" outlineLevel="0" collapsed="false">
      <c r="A171" s="0" t="s">
        <v>509</v>
      </c>
      <c r="B171" s="0" t="s">
        <v>510</v>
      </c>
      <c r="C171" s="0" t="s">
        <v>112</v>
      </c>
      <c r="D171" s="5" t="s">
        <v>505</v>
      </c>
      <c r="E171" s="0" t="s">
        <v>54</v>
      </c>
      <c r="F171" s="0" t="s">
        <v>124</v>
      </c>
      <c r="G171" s="5" t="s">
        <v>511</v>
      </c>
      <c r="H171" s="9" t="s">
        <v>512</v>
      </c>
      <c r="I171" s="9" t="s">
        <v>508</v>
      </c>
      <c r="J171" s="16" t="s">
        <v>505</v>
      </c>
      <c r="K171" s="9" t="n">
        <v>0.7</v>
      </c>
      <c r="L171" s="9" t="n">
        <v>0.7</v>
      </c>
      <c r="M171" s="9" t="n">
        <v>0.7</v>
      </c>
      <c r="S171" s="0" t="n">
        <v>3</v>
      </c>
    </row>
    <row r="172" customFormat="false" ht="17.15" hidden="false" customHeight="false" outlineLevel="0" collapsed="false">
      <c r="A172" s="0" t="s">
        <v>513</v>
      </c>
      <c r="B172" s="0" t="s">
        <v>514</v>
      </c>
      <c r="C172" s="0" t="s">
        <v>112</v>
      </c>
      <c r="D172" s="0" t="s">
        <v>78</v>
      </c>
      <c r="E172" s="0" t="s">
        <v>142</v>
      </c>
      <c r="F172" s="0" t="s">
        <v>189</v>
      </c>
      <c r="G172" s="0" t="s">
        <v>515</v>
      </c>
      <c r="H172" s="9" t="s">
        <v>512</v>
      </c>
      <c r="I172" s="9" t="s">
        <v>516</v>
      </c>
      <c r="J172" s="9" t="s">
        <v>78</v>
      </c>
      <c r="L172" s="9" t="n">
        <v>1</v>
      </c>
      <c r="M172" s="9" t="n">
        <v>1</v>
      </c>
      <c r="S172" s="0" t="n">
        <v>3</v>
      </c>
    </row>
    <row r="173" customFormat="false" ht="17.15" hidden="false" customHeight="false" outlineLevel="0" collapsed="false">
      <c r="A173" s="0" t="s">
        <v>517</v>
      </c>
      <c r="B173" s="0" t="s">
        <v>518</v>
      </c>
      <c r="C173" s="0" t="s">
        <v>112</v>
      </c>
      <c r="D173" s="5" t="s">
        <v>505</v>
      </c>
      <c r="E173" s="0" t="s">
        <v>54</v>
      </c>
      <c r="F173" s="0" t="s">
        <v>69</v>
      </c>
      <c r="G173" s="5" t="s">
        <v>519</v>
      </c>
      <c r="H173" s="9" t="s">
        <v>520</v>
      </c>
      <c r="I173" s="9" t="s">
        <v>508</v>
      </c>
      <c r="J173" s="16" t="s">
        <v>505</v>
      </c>
      <c r="K173" s="9" t="n">
        <v>0.2</v>
      </c>
      <c r="L173" s="9" t="n">
        <v>0.2</v>
      </c>
      <c r="M173" s="9" t="n">
        <v>0.2</v>
      </c>
      <c r="S173" s="0" t="n">
        <v>3</v>
      </c>
    </row>
    <row r="174" customFormat="false" ht="17.15" hidden="false" customHeight="false" outlineLevel="0" collapsed="false">
      <c r="A174" s="0" t="s">
        <v>521</v>
      </c>
      <c r="B174" s="0" t="s">
        <v>522</v>
      </c>
      <c r="C174" s="0" t="s">
        <v>112</v>
      </c>
      <c r="D174" s="0" t="s">
        <v>78</v>
      </c>
      <c r="E174" s="0" t="s">
        <v>43</v>
      </c>
      <c r="F174" s="0" t="s">
        <v>189</v>
      </c>
      <c r="G174" s="0" t="s">
        <v>523</v>
      </c>
      <c r="H174" s="9" t="s">
        <v>520</v>
      </c>
      <c r="I174" s="9" t="s">
        <v>516</v>
      </c>
      <c r="J174" s="9" t="s">
        <v>78</v>
      </c>
      <c r="K174" s="9" t="n">
        <v>0.626</v>
      </c>
      <c r="L174" s="9" t="n">
        <v>1.037</v>
      </c>
      <c r="M174" s="9" t="n">
        <v>1.037</v>
      </c>
      <c r="S174" s="0" t="n">
        <v>3</v>
      </c>
    </row>
    <row r="175" customFormat="false" ht="17.15" hidden="false" customHeight="false" outlineLevel="0" collapsed="false">
      <c r="A175" s="0" t="s">
        <v>524</v>
      </c>
      <c r="B175" s="0" t="s">
        <v>525</v>
      </c>
      <c r="C175" s="0" t="s">
        <v>112</v>
      </c>
      <c r="D175" s="5" t="s">
        <v>505</v>
      </c>
      <c r="E175" s="0" t="s">
        <v>38</v>
      </c>
      <c r="F175" s="0" t="s">
        <v>49</v>
      </c>
      <c r="G175" s="5" t="s">
        <v>526</v>
      </c>
      <c r="H175" s="9" t="s">
        <v>527</v>
      </c>
      <c r="I175" s="9" t="s">
        <v>527</v>
      </c>
      <c r="J175" s="16" t="s">
        <v>505</v>
      </c>
      <c r="K175" s="9" t="n">
        <v>1</v>
      </c>
      <c r="L175" s="9" t="n">
        <v>1</v>
      </c>
      <c r="M175" s="9" t="n">
        <v>1</v>
      </c>
      <c r="S175" s="0" t="n">
        <v>3</v>
      </c>
    </row>
    <row r="176" customFormat="false" ht="17.15" hidden="false" customHeight="false" outlineLevel="0" collapsed="false">
      <c r="A176" s="0" t="s">
        <v>528</v>
      </c>
      <c r="B176" s="0" t="s">
        <v>529</v>
      </c>
      <c r="C176" s="0" t="s">
        <v>112</v>
      </c>
      <c r="D176" s="0" t="s">
        <v>78</v>
      </c>
      <c r="E176" s="0" t="s">
        <v>142</v>
      </c>
      <c r="F176" s="0" t="s">
        <v>189</v>
      </c>
      <c r="G176" s="0" t="s">
        <v>530</v>
      </c>
      <c r="H176" s="9" t="s">
        <v>531</v>
      </c>
      <c r="I176" s="9" t="s">
        <v>532</v>
      </c>
      <c r="J176" s="9" t="s">
        <v>78</v>
      </c>
      <c r="L176" s="9" t="n">
        <v>0.824</v>
      </c>
      <c r="M176" s="9" t="n">
        <v>0.991</v>
      </c>
      <c r="S176" s="0" t="n">
        <v>3</v>
      </c>
    </row>
    <row r="177" customFormat="false" ht="17.15" hidden="false" customHeight="false" outlineLevel="0" collapsed="false">
      <c r="A177" s="0" t="s">
        <v>533</v>
      </c>
      <c r="B177" s="0" t="s">
        <v>534</v>
      </c>
      <c r="C177" s="0" t="s">
        <v>112</v>
      </c>
      <c r="D177" s="0" t="s">
        <v>78</v>
      </c>
      <c r="E177" s="0" t="s">
        <v>38</v>
      </c>
      <c r="F177" s="0" t="s">
        <v>79</v>
      </c>
      <c r="G177" s="0" t="s">
        <v>535</v>
      </c>
      <c r="H177" s="9" t="s">
        <v>536</v>
      </c>
      <c r="I177" s="9" t="s">
        <v>512</v>
      </c>
      <c r="J177" s="9" t="s">
        <v>78</v>
      </c>
      <c r="L177" s="9" t="n">
        <v>0.19</v>
      </c>
      <c r="M177" s="9" t="n">
        <v>0.19</v>
      </c>
      <c r="S177" s="0" t="n">
        <v>3</v>
      </c>
    </row>
    <row r="178" customFormat="false" ht="17.15" hidden="false" customHeight="false" outlineLevel="0" collapsed="false">
      <c r="A178" s="0" t="s">
        <v>537</v>
      </c>
      <c r="B178" s="0" t="s">
        <v>538</v>
      </c>
      <c r="C178" s="0" t="s">
        <v>112</v>
      </c>
      <c r="D178" s="5" t="s">
        <v>505</v>
      </c>
      <c r="E178" s="0" t="s">
        <v>38</v>
      </c>
      <c r="F178" s="0" t="s">
        <v>79</v>
      </c>
      <c r="G178" s="0" t="s">
        <v>539</v>
      </c>
      <c r="H178" s="9" t="s">
        <v>532</v>
      </c>
      <c r="I178" s="9" t="s">
        <v>532</v>
      </c>
      <c r="J178" s="16" t="s">
        <v>505</v>
      </c>
      <c r="K178" s="9" t="n">
        <v>1</v>
      </c>
      <c r="L178" s="9" t="n">
        <v>1</v>
      </c>
      <c r="M178" s="9" t="n">
        <v>1</v>
      </c>
      <c r="S178" s="0" t="n">
        <v>3</v>
      </c>
    </row>
    <row r="179" customFormat="false" ht="17.15" hidden="false" customHeight="false" outlineLevel="0" collapsed="false">
      <c r="A179" s="0" t="s">
        <v>540</v>
      </c>
      <c r="B179" s="0" t="s">
        <v>541</v>
      </c>
      <c r="C179" s="0" t="s">
        <v>112</v>
      </c>
      <c r="D179" s="5" t="s">
        <v>505</v>
      </c>
      <c r="E179" s="0" t="s">
        <v>38</v>
      </c>
      <c r="F179" s="0" t="s">
        <v>49</v>
      </c>
      <c r="G179" s="5" t="s">
        <v>542</v>
      </c>
      <c r="H179" s="9" t="s">
        <v>516</v>
      </c>
      <c r="I179" s="9" t="s">
        <v>516</v>
      </c>
      <c r="J179" s="16" t="s">
        <v>505</v>
      </c>
      <c r="K179" s="9" t="n">
        <v>1</v>
      </c>
      <c r="L179" s="9" t="n">
        <v>1</v>
      </c>
      <c r="M179" s="9" t="n">
        <v>1</v>
      </c>
      <c r="S179" s="0" t="n">
        <v>3</v>
      </c>
    </row>
    <row r="180" customFormat="false" ht="17.15" hidden="false" customHeight="false" outlineLevel="0" collapsed="false">
      <c r="A180" s="0" t="s">
        <v>543</v>
      </c>
      <c r="B180" s="5" t="s">
        <v>544</v>
      </c>
      <c r="C180" s="0" t="s">
        <v>112</v>
      </c>
      <c r="D180" s="0" t="s">
        <v>78</v>
      </c>
      <c r="E180" s="0" t="s">
        <v>142</v>
      </c>
      <c r="F180" s="0" t="s">
        <v>189</v>
      </c>
      <c r="G180" s="0" t="s">
        <v>545</v>
      </c>
      <c r="H180" s="9" t="s">
        <v>546</v>
      </c>
      <c r="I180" s="9" t="s">
        <v>507</v>
      </c>
      <c r="J180" s="9" t="s">
        <v>78</v>
      </c>
      <c r="L180" s="9" t="n">
        <v>0.2</v>
      </c>
      <c r="M180" s="9" t="n">
        <v>0.2</v>
      </c>
      <c r="S180" s="0" t="n">
        <v>3</v>
      </c>
    </row>
    <row r="181" customFormat="false" ht="17.15" hidden="false" customHeight="false" outlineLevel="0" collapsed="false">
      <c r="A181" s="0" t="s">
        <v>547</v>
      </c>
      <c r="B181" s="5" t="s">
        <v>548</v>
      </c>
      <c r="C181" s="0" t="s">
        <v>112</v>
      </c>
      <c r="D181" s="0" t="s">
        <v>78</v>
      </c>
      <c r="E181" s="0" t="s">
        <v>142</v>
      </c>
      <c r="F181" s="0" t="s">
        <v>189</v>
      </c>
      <c r="G181" s="0" t="s">
        <v>549</v>
      </c>
      <c r="H181" s="9" t="s">
        <v>546</v>
      </c>
      <c r="I181" s="9" t="s">
        <v>516</v>
      </c>
      <c r="J181" s="9" t="s">
        <v>78</v>
      </c>
      <c r="M181" s="9" t="n">
        <v>0.2</v>
      </c>
      <c r="S181" s="0" t="n">
        <v>3</v>
      </c>
    </row>
    <row r="182" customFormat="false" ht="17.15" hidden="false" customHeight="false" outlineLevel="0" collapsed="false">
      <c r="A182" s="0" t="s">
        <v>550</v>
      </c>
      <c r="B182" s="5" t="s">
        <v>551</v>
      </c>
      <c r="C182" s="0" t="s">
        <v>112</v>
      </c>
      <c r="D182" s="5" t="s">
        <v>505</v>
      </c>
      <c r="E182" s="0" t="s">
        <v>38</v>
      </c>
      <c r="F182" s="0" t="s">
        <v>49</v>
      </c>
      <c r="G182" s="5" t="s">
        <v>552</v>
      </c>
      <c r="H182" s="9" t="s">
        <v>553</v>
      </c>
      <c r="I182" s="9" t="s">
        <v>508</v>
      </c>
      <c r="J182" s="16" t="s">
        <v>505</v>
      </c>
      <c r="K182" s="9" t="n">
        <v>1</v>
      </c>
      <c r="L182" s="9" t="n">
        <v>1</v>
      </c>
      <c r="M182" s="9" t="n">
        <v>1</v>
      </c>
      <c r="S182" s="0" t="n">
        <v>3</v>
      </c>
    </row>
    <row r="184" customFormat="false" ht="17.15" hidden="false" customHeight="false" outlineLevel="0" collapsed="false">
      <c r="A184" s="8" t="s">
        <v>554</v>
      </c>
    </row>
    <row r="185" customFormat="false" ht="17.15" hidden="false" customHeight="false" outlineLevel="0" collapsed="false">
      <c r="A185" s="6" t="s">
        <v>15</v>
      </c>
      <c r="B185" s="6" t="s">
        <v>555</v>
      </c>
      <c r="C185" s="6" t="s">
        <v>17</v>
      </c>
      <c r="D185" s="6" t="s">
        <v>18</v>
      </c>
      <c r="E185" s="6" t="s">
        <v>19</v>
      </c>
      <c r="F185" s="6" t="s">
        <v>20</v>
      </c>
      <c r="G185" s="6" t="s">
        <v>21</v>
      </c>
      <c r="H185" s="6" t="s">
        <v>500</v>
      </c>
      <c r="I185" s="6" t="s">
        <v>501</v>
      </c>
      <c r="J185" s="7" t="s">
        <v>113</v>
      </c>
      <c r="K185" s="6" t="s">
        <v>556</v>
      </c>
      <c r="L185" s="6" t="s">
        <v>557</v>
      </c>
      <c r="M185" s="6" t="s">
        <v>558</v>
      </c>
      <c r="N185" s="6" t="s">
        <v>559</v>
      </c>
      <c r="O185" s="6" t="s">
        <v>560</v>
      </c>
    </row>
    <row r="186" customFormat="false" ht="17.15" hidden="false" customHeight="false" outlineLevel="0" collapsed="false">
      <c r="A186" s="0" t="s">
        <v>561</v>
      </c>
      <c r="B186" s="0" t="s">
        <v>562</v>
      </c>
      <c r="C186" s="0" t="s">
        <v>112</v>
      </c>
      <c r="D186" s="0" t="s">
        <v>113</v>
      </c>
      <c r="E186" s="0" t="s">
        <v>43</v>
      </c>
      <c r="F186" s="0" t="s">
        <v>189</v>
      </c>
      <c r="G186" s="0" t="s">
        <v>563</v>
      </c>
      <c r="H186" s="9" t="s">
        <v>507</v>
      </c>
      <c r="J186" s="9" t="n">
        <v>321</v>
      </c>
      <c r="K186" s="9" t="n">
        <v>2025</v>
      </c>
      <c r="L186" s="9" t="n">
        <v>10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564</v>
      </c>
      <c r="B187" s="0" t="s">
        <v>565</v>
      </c>
      <c r="C187" s="0" t="s">
        <v>112</v>
      </c>
      <c r="D187" s="0" t="s">
        <v>113</v>
      </c>
      <c r="E187" s="0" t="s">
        <v>43</v>
      </c>
      <c r="F187" s="0" t="s">
        <v>189</v>
      </c>
      <c r="G187" s="0" t="s">
        <v>566</v>
      </c>
      <c r="H187" s="9" t="s">
        <v>507</v>
      </c>
      <c r="J187" s="9" t="n">
        <v>369</v>
      </c>
      <c r="K187" s="9" t="n">
        <v>2026</v>
      </c>
      <c r="L187" s="9" t="n">
        <v>4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567</v>
      </c>
      <c r="B188" s="0" t="s">
        <v>568</v>
      </c>
      <c r="C188" s="0" t="s">
        <v>112</v>
      </c>
      <c r="D188" s="0" t="s">
        <v>113</v>
      </c>
      <c r="E188" s="0" t="s">
        <v>43</v>
      </c>
      <c r="F188" s="0" t="s">
        <v>189</v>
      </c>
      <c r="G188" s="0" t="s">
        <v>569</v>
      </c>
      <c r="H188" s="9" t="s">
        <v>507</v>
      </c>
      <c r="J188" s="9" t="n">
        <v>1526</v>
      </c>
      <c r="K188" s="9" t="n">
        <v>2028</v>
      </c>
      <c r="L188" s="9" t="n">
        <v>5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570</v>
      </c>
      <c r="B189" s="0" t="s">
        <v>571</v>
      </c>
      <c r="C189" s="0" t="s">
        <v>112</v>
      </c>
      <c r="D189" s="0" t="s">
        <v>113</v>
      </c>
      <c r="E189" s="0" t="s">
        <v>142</v>
      </c>
      <c r="F189" s="0" t="s">
        <v>189</v>
      </c>
      <c r="G189" s="0" t="s">
        <v>572</v>
      </c>
      <c r="H189" s="9" t="s">
        <v>507</v>
      </c>
      <c r="I189" s="9" t="s">
        <v>508</v>
      </c>
      <c r="J189" s="9" t="n">
        <v>336</v>
      </c>
      <c r="K189" s="9" t="n">
        <v>2027</v>
      </c>
      <c r="L189" s="9" t="n">
        <v>6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573</v>
      </c>
      <c r="B190" s="0" t="s">
        <v>574</v>
      </c>
      <c r="C190" s="0" t="s">
        <v>112</v>
      </c>
      <c r="D190" s="0" t="s">
        <v>113</v>
      </c>
      <c r="E190" s="0" t="s">
        <v>43</v>
      </c>
      <c r="F190" s="0" t="s">
        <v>189</v>
      </c>
      <c r="G190" s="0" t="s">
        <v>575</v>
      </c>
      <c r="H190" s="9" t="s">
        <v>520</v>
      </c>
      <c r="I190" s="9" t="s">
        <v>516</v>
      </c>
      <c r="J190" s="9" t="n">
        <v>127</v>
      </c>
      <c r="K190" s="9" t="n">
        <v>2026</v>
      </c>
      <c r="L190" s="9" t="n">
        <v>10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576</v>
      </c>
      <c r="B191" s="0" t="s">
        <v>577</v>
      </c>
      <c r="C191" s="0" t="s">
        <v>112</v>
      </c>
      <c r="D191" s="0" t="s">
        <v>113</v>
      </c>
      <c r="E191" s="0" t="s">
        <v>43</v>
      </c>
      <c r="F191" s="0" t="s">
        <v>189</v>
      </c>
      <c r="G191" s="0" t="s">
        <v>578</v>
      </c>
      <c r="H191" s="9" t="s">
        <v>520</v>
      </c>
      <c r="I191" s="9" t="s">
        <v>516</v>
      </c>
      <c r="J191" s="9" t="n">
        <v>888</v>
      </c>
      <c r="K191" s="9" t="n">
        <v>2028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579</v>
      </c>
      <c r="B192" s="0" t="s">
        <v>580</v>
      </c>
      <c r="C192" s="0" t="s">
        <v>112</v>
      </c>
      <c r="D192" s="0" t="s">
        <v>113</v>
      </c>
      <c r="E192" s="0" t="s">
        <v>43</v>
      </c>
      <c r="F192" s="0" t="s">
        <v>189</v>
      </c>
      <c r="G192" s="0" t="s">
        <v>581</v>
      </c>
      <c r="H192" s="9" t="s">
        <v>527</v>
      </c>
      <c r="I192" s="9" t="s">
        <v>527</v>
      </c>
      <c r="J192" s="9" t="n">
        <v>471</v>
      </c>
      <c r="K192" s="9" t="n">
        <v>2026</v>
      </c>
      <c r="L192" s="9" t="n">
        <v>8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582</v>
      </c>
      <c r="B193" s="0" t="s">
        <v>583</v>
      </c>
      <c r="C193" s="0" t="s">
        <v>112</v>
      </c>
      <c r="D193" s="0" t="s">
        <v>113</v>
      </c>
      <c r="E193" s="0" t="s">
        <v>43</v>
      </c>
      <c r="F193" s="0" t="s">
        <v>189</v>
      </c>
      <c r="G193" s="0" t="s">
        <v>584</v>
      </c>
      <c r="H193" s="9" t="s">
        <v>527</v>
      </c>
      <c r="I193" s="9" t="s">
        <v>527</v>
      </c>
      <c r="J193" s="9" t="n">
        <v>205</v>
      </c>
      <c r="K193" s="9" t="n">
        <v>2026</v>
      </c>
      <c r="L193" s="9" t="n">
        <v>11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585</v>
      </c>
      <c r="B194" s="0" t="s">
        <v>586</v>
      </c>
      <c r="C194" s="0" t="s">
        <v>112</v>
      </c>
      <c r="D194" s="0" t="s">
        <v>113</v>
      </c>
      <c r="E194" s="0" t="s">
        <v>43</v>
      </c>
      <c r="F194" s="0" t="s">
        <v>189</v>
      </c>
      <c r="G194" s="0" t="s">
        <v>587</v>
      </c>
      <c r="H194" s="9" t="s">
        <v>527</v>
      </c>
      <c r="I194" s="9" t="s">
        <v>527</v>
      </c>
      <c r="J194" s="9" t="n">
        <v>192</v>
      </c>
      <c r="K194" s="9" t="n">
        <v>2027</v>
      </c>
      <c r="L194" s="9" t="n">
        <v>7</v>
      </c>
      <c r="N194" s="9" t="n">
        <v>1</v>
      </c>
      <c r="O194" s="9" t="n">
        <v>1</v>
      </c>
      <c r="S194" s="0" t="n">
        <v>4</v>
      </c>
    </row>
    <row r="195" customFormat="false" ht="17.15" hidden="false" customHeight="false" outlineLevel="0" collapsed="false">
      <c r="A195" s="0" t="s">
        <v>588</v>
      </c>
      <c r="B195" s="0" t="s">
        <v>589</v>
      </c>
      <c r="C195" s="0" t="s">
        <v>112</v>
      </c>
      <c r="D195" s="0" t="s">
        <v>113</v>
      </c>
      <c r="E195" s="0" t="s">
        <v>43</v>
      </c>
      <c r="F195" s="0" t="s">
        <v>189</v>
      </c>
      <c r="G195" s="0" t="s">
        <v>590</v>
      </c>
      <c r="H195" s="9" t="s">
        <v>527</v>
      </c>
      <c r="I195" s="9" t="s">
        <v>527</v>
      </c>
      <c r="J195" s="9" t="n">
        <v>154</v>
      </c>
      <c r="K195" s="9" t="n">
        <v>2028</v>
      </c>
      <c r="L195" s="9" t="n">
        <v>7</v>
      </c>
      <c r="N195" s="9" t="n">
        <v>1</v>
      </c>
      <c r="O195" s="9" t="n">
        <v>1</v>
      </c>
      <c r="S195" s="0" t="n">
        <v>4</v>
      </c>
    </row>
    <row r="196" customFormat="false" ht="17.15" hidden="false" customHeight="false" outlineLevel="0" collapsed="false">
      <c r="A196" s="0" t="s">
        <v>591</v>
      </c>
      <c r="B196" s="0" t="s">
        <v>592</v>
      </c>
      <c r="C196" s="0" t="s">
        <v>112</v>
      </c>
      <c r="D196" s="0" t="s">
        <v>113</v>
      </c>
      <c r="E196" s="0" t="s">
        <v>43</v>
      </c>
      <c r="F196" s="0" t="s">
        <v>189</v>
      </c>
      <c r="G196" s="0" t="s">
        <v>593</v>
      </c>
      <c r="H196" s="9" t="s">
        <v>527</v>
      </c>
      <c r="I196" s="9" t="s">
        <v>527</v>
      </c>
      <c r="J196" s="9" t="n">
        <v>1632</v>
      </c>
      <c r="K196" s="9" t="n">
        <v>2028</v>
      </c>
      <c r="L196" s="9" t="n">
        <v>1</v>
      </c>
      <c r="N196" s="9" t="n">
        <v>1</v>
      </c>
      <c r="O196" s="9" t="n">
        <v>1</v>
      </c>
      <c r="S196" s="0" t="n">
        <v>4</v>
      </c>
    </row>
    <row r="197" customFormat="false" ht="17.15" hidden="false" customHeight="false" outlineLevel="0" collapsed="false">
      <c r="A197" s="0" t="s">
        <v>594</v>
      </c>
      <c r="B197" s="0" t="s">
        <v>595</v>
      </c>
      <c r="C197" s="5" t="s">
        <v>77</v>
      </c>
      <c r="D197" s="0" t="s">
        <v>113</v>
      </c>
      <c r="E197" s="0" t="s">
        <v>142</v>
      </c>
      <c r="F197" s="0" t="s">
        <v>189</v>
      </c>
      <c r="G197" s="0" t="s">
        <v>596</v>
      </c>
      <c r="H197" s="9" t="s">
        <v>527</v>
      </c>
      <c r="I197" s="9" t="s">
        <v>527</v>
      </c>
      <c r="J197" s="9" t="n">
        <v>368</v>
      </c>
      <c r="K197" s="9" t="n">
        <v>2029</v>
      </c>
      <c r="L197" s="9" t="n">
        <v>12</v>
      </c>
      <c r="N197" s="9" t="n">
        <v>1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0" t="s">
        <v>597</v>
      </c>
      <c r="B198" s="0" t="s">
        <v>598</v>
      </c>
      <c r="C198" s="5" t="s">
        <v>77</v>
      </c>
      <c r="D198" s="0" t="s">
        <v>113</v>
      </c>
      <c r="E198" s="0" t="s">
        <v>142</v>
      </c>
      <c r="F198" s="0" t="s">
        <v>189</v>
      </c>
      <c r="G198" s="0" t="s">
        <v>599</v>
      </c>
      <c r="H198" s="9" t="s">
        <v>527</v>
      </c>
      <c r="I198" s="9" t="s">
        <v>527</v>
      </c>
      <c r="J198" s="9" t="n">
        <v>1000</v>
      </c>
      <c r="K198" s="9" t="n">
        <v>2028</v>
      </c>
      <c r="L198" s="9" t="n">
        <v>12</v>
      </c>
      <c r="N198" s="9" t="n">
        <v>1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0" t="s">
        <v>600</v>
      </c>
      <c r="B199" s="0" t="s">
        <v>601</v>
      </c>
      <c r="C199" s="5" t="s">
        <v>77</v>
      </c>
      <c r="D199" s="0" t="s">
        <v>113</v>
      </c>
      <c r="E199" s="0" t="s">
        <v>142</v>
      </c>
      <c r="F199" s="0" t="s">
        <v>189</v>
      </c>
      <c r="G199" s="0" t="s">
        <v>602</v>
      </c>
      <c r="H199" s="9" t="s">
        <v>531</v>
      </c>
      <c r="I199" s="9" t="s">
        <v>532</v>
      </c>
      <c r="J199" s="9" t="n">
        <v>206</v>
      </c>
      <c r="K199" s="9" t="n">
        <v>2026</v>
      </c>
      <c r="L199" s="9" t="n">
        <v>12</v>
      </c>
      <c r="N199" s="9" t="n">
        <v>1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0" t="s">
        <v>603</v>
      </c>
      <c r="B200" s="0" t="s">
        <v>604</v>
      </c>
      <c r="C200" s="5" t="s">
        <v>168</v>
      </c>
      <c r="D200" s="0" t="s">
        <v>113</v>
      </c>
      <c r="E200" s="0" t="s">
        <v>43</v>
      </c>
      <c r="F200" s="0" t="s">
        <v>189</v>
      </c>
      <c r="G200" s="0" t="s">
        <v>605</v>
      </c>
      <c r="H200" s="9" t="s">
        <v>531</v>
      </c>
      <c r="I200" s="9" t="s">
        <v>532</v>
      </c>
      <c r="J200" s="9" t="n">
        <v>200</v>
      </c>
      <c r="K200" s="9" t="n">
        <v>2027</v>
      </c>
      <c r="L200" s="9" t="n">
        <v>8</v>
      </c>
      <c r="N200" s="9" t="n">
        <v>1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0" t="s">
        <v>606</v>
      </c>
      <c r="B201" s="0" t="s">
        <v>607</v>
      </c>
      <c r="C201" s="5" t="s">
        <v>168</v>
      </c>
      <c r="D201" s="0" t="s">
        <v>113</v>
      </c>
      <c r="E201" s="0" t="s">
        <v>43</v>
      </c>
      <c r="F201" s="0" t="s">
        <v>189</v>
      </c>
      <c r="G201" s="0" t="s">
        <v>608</v>
      </c>
      <c r="H201" s="9" t="s">
        <v>531</v>
      </c>
      <c r="I201" s="9" t="s">
        <v>532</v>
      </c>
      <c r="J201" s="9" t="n">
        <v>1800</v>
      </c>
      <c r="K201" s="9" t="n">
        <v>2028</v>
      </c>
      <c r="L201" s="9" t="n">
        <v>11</v>
      </c>
      <c r="N201" s="9" t="n">
        <v>1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0" t="s">
        <v>609</v>
      </c>
      <c r="B202" s="0" t="s">
        <v>610</v>
      </c>
      <c r="C202" s="5" t="s">
        <v>168</v>
      </c>
      <c r="D202" s="0" t="s">
        <v>113</v>
      </c>
      <c r="E202" s="0" t="s">
        <v>43</v>
      </c>
      <c r="F202" s="0" t="s">
        <v>189</v>
      </c>
      <c r="G202" s="0" t="s">
        <v>611</v>
      </c>
      <c r="H202" s="9" t="s">
        <v>531</v>
      </c>
      <c r="I202" s="9" t="s">
        <v>532</v>
      </c>
      <c r="J202" s="9" t="n">
        <v>2200</v>
      </c>
      <c r="K202" s="9" t="n">
        <v>2028</v>
      </c>
      <c r="L202" s="9" t="n">
        <v>12</v>
      </c>
      <c r="N202" s="9" t="n">
        <v>1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0" t="s">
        <v>612</v>
      </c>
      <c r="B203" s="0" t="s">
        <v>613</v>
      </c>
      <c r="C203" s="5" t="s">
        <v>168</v>
      </c>
      <c r="D203" s="0" t="s">
        <v>113</v>
      </c>
      <c r="E203" s="0" t="s">
        <v>43</v>
      </c>
      <c r="F203" s="0" t="s">
        <v>189</v>
      </c>
      <c r="G203" s="0" t="s">
        <v>614</v>
      </c>
      <c r="H203" s="9" t="s">
        <v>531</v>
      </c>
      <c r="I203" s="9" t="s">
        <v>532</v>
      </c>
      <c r="J203" s="9" t="n">
        <v>1300</v>
      </c>
      <c r="K203" s="9" t="n">
        <v>2028</v>
      </c>
      <c r="L203" s="9" t="n">
        <v>12</v>
      </c>
      <c r="N203" s="9" t="n">
        <v>1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0" t="s">
        <v>615</v>
      </c>
      <c r="B204" s="0" t="s">
        <v>616</v>
      </c>
      <c r="C204" s="5" t="s">
        <v>168</v>
      </c>
      <c r="D204" s="0" t="s">
        <v>113</v>
      </c>
      <c r="E204" s="0" t="s">
        <v>43</v>
      </c>
      <c r="F204" s="0" t="s">
        <v>189</v>
      </c>
      <c r="G204" s="0" t="s">
        <v>617</v>
      </c>
      <c r="H204" s="9" t="s">
        <v>531</v>
      </c>
      <c r="I204" s="9" t="s">
        <v>532</v>
      </c>
      <c r="J204" s="9" t="n">
        <v>1383</v>
      </c>
      <c r="K204" s="9" t="n">
        <v>2028</v>
      </c>
      <c r="L204" s="9" t="n">
        <v>12</v>
      </c>
      <c r="N204" s="9" t="n">
        <v>1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0" t="s">
        <v>618</v>
      </c>
      <c r="B205" s="0" t="s">
        <v>619</v>
      </c>
      <c r="C205" s="0" t="s">
        <v>112</v>
      </c>
      <c r="D205" s="0" t="s">
        <v>113</v>
      </c>
      <c r="E205" s="0" t="s">
        <v>142</v>
      </c>
      <c r="F205" s="0" t="s">
        <v>189</v>
      </c>
      <c r="G205" s="0" t="s">
        <v>620</v>
      </c>
      <c r="H205" s="9" t="s">
        <v>621</v>
      </c>
      <c r="J205" s="9" t="n">
        <v>260</v>
      </c>
      <c r="K205" s="9" t="n">
        <v>2027</v>
      </c>
      <c r="L205" s="9" t="n">
        <v>6</v>
      </c>
      <c r="N205" s="9" t="n">
        <v>1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0" t="s">
        <v>622</v>
      </c>
      <c r="B206" s="0" t="s">
        <v>623</v>
      </c>
      <c r="C206" s="0" t="s">
        <v>112</v>
      </c>
      <c r="D206" s="0" t="s">
        <v>113</v>
      </c>
      <c r="E206" s="0" t="s">
        <v>142</v>
      </c>
      <c r="F206" s="0" t="s">
        <v>189</v>
      </c>
      <c r="G206" s="0" t="s">
        <v>624</v>
      </c>
      <c r="H206" s="9" t="s">
        <v>546</v>
      </c>
      <c r="I206" s="9" t="s">
        <v>507</v>
      </c>
      <c r="J206" s="9" t="n">
        <v>100</v>
      </c>
      <c r="K206" s="9" t="n">
        <v>2026</v>
      </c>
      <c r="L206" s="9" t="n">
        <v>12</v>
      </c>
      <c r="N206" s="9" t="n">
        <v>1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0" t="s">
        <v>625</v>
      </c>
      <c r="B207" s="0" t="s">
        <v>626</v>
      </c>
      <c r="C207" s="0" t="s">
        <v>112</v>
      </c>
      <c r="D207" s="0" t="s">
        <v>113</v>
      </c>
      <c r="E207" s="0" t="s">
        <v>142</v>
      </c>
      <c r="F207" s="0" t="s">
        <v>189</v>
      </c>
      <c r="G207" s="0" t="s">
        <v>627</v>
      </c>
      <c r="H207" s="9" t="s">
        <v>546</v>
      </c>
      <c r="J207" s="9" t="n">
        <v>500</v>
      </c>
      <c r="K207" s="9" t="n">
        <v>2027</v>
      </c>
      <c r="L207" s="9" t="n">
        <v>12</v>
      </c>
      <c r="N207" s="9" t="n">
        <v>1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0" t="s">
        <v>628</v>
      </c>
      <c r="B208" s="0" t="s">
        <v>629</v>
      </c>
      <c r="C208" s="0" t="s">
        <v>112</v>
      </c>
      <c r="D208" s="0" t="s">
        <v>113</v>
      </c>
      <c r="E208" s="0" t="s">
        <v>142</v>
      </c>
      <c r="F208" s="0" t="s">
        <v>189</v>
      </c>
      <c r="G208" s="0" t="s">
        <v>630</v>
      </c>
      <c r="H208" s="9" t="s">
        <v>546</v>
      </c>
      <c r="I208" s="9" t="s">
        <v>516</v>
      </c>
      <c r="J208" s="9" t="n">
        <v>200</v>
      </c>
      <c r="K208" s="9" t="n">
        <v>2027</v>
      </c>
      <c r="L208" s="9" t="n">
        <v>9</v>
      </c>
      <c r="N208" s="9" t="n">
        <v>1</v>
      </c>
      <c r="O208" s="9" t="n">
        <v>0</v>
      </c>
      <c r="S208" s="0" t="n">
        <v>4</v>
      </c>
    </row>
    <row r="209" customFormat="false" ht="17.15" hidden="false" customHeight="false" outlineLevel="0" collapsed="false">
      <c r="A209" s="0" t="s">
        <v>631</v>
      </c>
      <c r="B209" s="0" t="s">
        <v>632</v>
      </c>
      <c r="C209" s="0" t="s">
        <v>112</v>
      </c>
      <c r="D209" s="0" t="s">
        <v>113</v>
      </c>
      <c r="E209" s="0" t="s">
        <v>142</v>
      </c>
      <c r="F209" s="0" t="s">
        <v>189</v>
      </c>
      <c r="G209" s="5" t="s">
        <v>108</v>
      </c>
      <c r="H209" s="9" t="s">
        <v>546</v>
      </c>
      <c r="I209" s="9" t="s">
        <v>516</v>
      </c>
      <c r="J209" s="9" t="n">
        <v>201</v>
      </c>
      <c r="K209" s="9" t="n">
        <v>2028</v>
      </c>
      <c r="L209" s="9" t="n">
        <v>2</v>
      </c>
      <c r="N209" s="9" t="n">
        <v>1</v>
      </c>
      <c r="O209" s="9" t="n">
        <v>0</v>
      </c>
      <c r="S209" s="0" t="n">
        <v>4</v>
      </c>
    </row>
    <row r="210" customFormat="false" ht="17.15" hidden="false" customHeight="false" outlineLevel="0" collapsed="false">
      <c r="A210" s="0" t="s">
        <v>633</v>
      </c>
      <c r="B210" s="0" t="s">
        <v>634</v>
      </c>
      <c r="C210" s="0" t="s">
        <v>112</v>
      </c>
      <c r="D210" s="0" t="s">
        <v>113</v>
      </c>
      <c r="E210" s="0" t="s">
        <v>142</v>
      </c>
      <c r="F210" s="0" t="s">
        <v>79</v>
      </c>
      <c r="G210" s="0" t="s">
        <v>635</v>
      </c>
      <c r="H210" s="9" t="s">
        <v>532</v>
      </c>
      <c r="I210" s="9" t="s">
        <v>532</v>
      </c>
      <c r="J210" s="9" t="n">
        <v>800</v>
      </c>
      <c r="K210" s="9" t="n">
        <v>2028</v>
      </c>
      <c r="L210" s="9" t="n">
        <v>12</v>
      </c>
      <c r="N210" s="9" t="n">
        <v>1</v>
      </c>
      <c r="O210" s="9" t="n">
        <v>0</v>
      </c>
      <c r="S210" s="0" t="n">
        <v>4</v>
      </c>
    </row>
    <row r="211" customFormat="false" ht="17.15" hidden="false" customHeight="false" outlineLevel="0" collapsed="false">
      <c r="A211" s="0" t="s">
        <v>636</v>
      </c>
      <c r="B211" s="0" t="s">
        <v>637</v>
      </c>
      <c r="C211" s="0" t="s">
        <v>112</v>
      </c>
      <c r="D211" s="0" t="s">
        <v>113</v>
      </c>
      <c r="E211" s="0" t="s">
        <v>142</v>
      </c>
      <c r="F211" s="0" t="s">
        <v>79</v>
      </c>
      <c r="G211" s="5" t="s">
        <v>638</v>
      </c>
      <c r="H211" s="9" t="s">
        <v>532</v>
      </c>
      <c r="I211" s="9" t="s">
        <v>532</v>
      </c>
      <c r="J211" s="9" t="n">
        <v>1149</v>
      </c>
      <c r="K211" s="9" t="n">
        <v>2029</v>
      </c>
      <c r="L211" s="9" t="n">
        <v>12</v>
      </c>
      <c r="N211" s="9" t="n">
        <v>1</v>
      </c>
      <c r="O211" s="9" t="n">
        <v>0</v>
      </c>
      <c r="S211" s="0" t="n">
        <v>4</v>
      </c>
    </row>
    <row r="212" customFormat="false" ht="17.15" hidden="false" customHeight="false" outlineLevel="0" collapsed="false">
      <c r="A212" s="0" t="s">
        <v>639</v>
      </c>
      <c r="B212" s="0" t="s">
        <v>640</v>
      </c>
      <c r="C212" s="0" t="s">
        <v>112</v>
      </c>
      <c r="D212" s="0" t="s">
        <v>113</v>
      </c>
      <c r="E212" s="0" t="s">
        <v>142</v>
      </c>
      <c r="F212" s="0" t="s">
        <v>79</v>
      </c>
      <c r="G212" s="5" t="s">
        <v>641</v>
      </c>
      <c r="H212" s="9" t="s">
        <v>532</v>
      </c>
      <c r="I212" s="9" t="s">
        <v>532</v>
      </c>
      <c r="J212" s="9" t="n">
        <v>1149</v>
      </c>
      <c r="K212" s="9" t="n">
        <v>2030</v>
      </c>
      <c r="L212" s="9" t="n">
        <v>12</v>
      </c>
      <c r="N212" s="9" t="n">
        <v>1</v>
      </c>
      <c r="O212" s="9" t="n">
        <v>0</v>
      </c>
      <c r="S212" s="0" t="n">
        <v>4</v>
      </c>
    </row>
    <row r="213" customFormat="false" ht="17.15" hidden="false" customHeight="false" outlineLevel="0" collapsed="false">
      <c r="A213" s="0" t="s">
        <v>642</v>
      </c>
      <c r="B213" s="0" t="s">
        <v>643</v>
      </c>
      <c r="C213" s="5" t="s">
        <v>77</v>
      </c>
      <c r="D213" s="0" t="s">
        <v>113</v>
      </c>
      <c r="E213" s="0" t="s">
        <v>142</v>
      </c>
      <c r="F213" s="0" t="s">
        <v>79</v>
      </c>
      <c r="G213" s="0" t="s">
        <v>644</v>
      </c>
      <c r="H213" s="9" t="s">
        <v>645</v>
      </c>
      <c r="J213" s="9" t="n">
        <v>200</v>
      </c>
      <c r="K213" s="9" t="n">
        <v>2026</v>
      </c>
      <c r="L213" s="9" t="n">
        <v>12</v>
      </c>
      <c r="N213" s="9" t="n">
        <v>1</v>
      </c>
      <c r="O213" s="9" t="n">
        <v>0</v>
      </c>
      <c r="S213" s="0" t="n">
        <v>4</v>
      </c>
    </row>
    <row r="214" customFormat="false" ht="17.15" hidden="false" customHeight="false" outlineLevel="0" collapsed="false">
      <c r="A214" s="0" t="s">
        <v>646</v>
      </c>
      <c r="B214" s="0" t="s">
        <v>647</v>
      </c>
      <c r="C214" s="5" t="s">
        <v>77</v>
      </c>
      <c r="D214" s="0" t="s">
        <v>113</v>
      </c>
      <c r="E214" s="0" t="s">
        <v>142</v>
      </c>
      <c r="F214" s="0" t="s">
        <v>79</v>
      </c>
      <c r="G214" s="0" t="s">
        <v>648</v>
      </c>
      <c r="H214" s="9" t="s">
        <v>645</v>
      </c>
      <c r="J214" s="9" t="n">
        <v>1500</v>
      </c>
      <c r="K214" s="9" t="n">
        <v>2027</v>
      </c>
      <c r="L214" s="9" t="n">
        <v>12</v>
      </c>
      <c r="N214" s="9" t="n">
        <v>1</v>
      </c>
      <c r="O214" s="9" t="n">
        <v>0</v>
      </c>
      <c r="S214" s="0" t="n">
        <v>4</v>
      </c>
    </row>
    <row r="215" customFormat="false" ht="17.15" hidden="false" customHeight="false" outlineLevel="0" collapsed="false">
      <c r="A215" s="17" t="s">
        <v>649</v>
      </c>
      <c r="B215" s="17" t="s">
        <v>650</v>
      </c>
      <c r="C215" s="18" t="s">
        <v>77</v>
      </c>
      <c r="D215" s="17" t="s">
        <v>113</v>
      </c>
      <c r="E215" s="17" t="s">
        <v>142</v>
      </c>
      <c r="F215" s="17" t="s">
        <v>189</v>
      </c>
      <c r="G215" s="17" t="s">
        <v>651</v>
      </c>
      <c r="H215" s="9" t="s">
        <v>652</v>
      </c>
      <c r="J215" s="9" t="n">
        <v>310</v>
      </c>
      <c r="K215" s="9" t="n">
        <v>2027</v>
      </c>
      <c r="L215" s="9" t="n">
        <v>12</v>
      </c>
      <c r="N215" s="9" t="n">
        <v>0</v>
      </c>
      <c r="O215" s="9" t="n">
        <v>0</v>
      </c>
      <c r="S215" s="0" t="n">
        <v>4</v>
      </c>
    </row>
    <row r="216" customFormat="false" ht="17.15" hidden="false" customHeight="false" outlineLevel="0" collapsed="false">
      <c r="A216" s="17" t="s">
        <v>653</v>
      </c>
      <c r="B216" s="17" t="s">
        <v>654</v>
      </c>
      <c r="C216" s="18" t="s">
        <v>77</v>
      </c>
      <c r="D216" s="17" t="s">
        <v>113</v>
      </c>
      <c r="E216" s="17" t="s">
        <v>142</v>
      </c>
      <c r="F216" s="17" t="s">
        <v>189</v>
      </c>
      <c r="G216" s="17" t="s">
        <v>655</v>
      </c>
      <c r="H216" s="9" t="s">
        <v>652</v>
      </c>
      <c r="J216" s="9" t="n">
        <v>200</v>
      </c>
      <c r="K216" s="9" t="n">
        <v>2027</v>
      </c>
      <c r="L216" s="9" t="n">
        <v>12</v>
      </c>
      <c r="N216" s="9" t="n">
        <v>0</v>
      </c>
      <c r="O216" s="9" t="n">
        <v>0</v>
      </c>
      <c r="S216" s="0" t="n">
        <v>4</v>
      </c>
    </row>
    <row r="217" customFormat="false" ht="17.15" hidden="false" customHeight="false" outlineLevel="0" collapsed="false">
      <c r="A217" s="17" t="s">
        <v>656</v>
      </c>
      <c r="B217" s="17" t="s">
        <v>657</v>
      </c>
      <c r="C217" s="18" t="s">
        <v>77</v>
      </c>
      <c r="D217" s="17" t="s">
        <v>113</v>
      </c>
      <c r="E217" s="17" t="s">
        <v>142</v>
      </c>
      <c r="F217" s="17" t="s">
        <v>189</v>
      </c>
      <c r="G217" s="17" t="s">
        <v>658</v>
      </c>
      <c r="H217" s="9" t="s">
        <v>652</v>
      </c>
      <c r="J217" s="9" t="n">
        <v>1200</v>
      </c>
      <c r="K217" s="9" t="n">
        <v>2027</v>
      </c>
      <c r="L217" s="9" t="n">
        <v>12</v>
      </c>
      <c r="N217" s="9" t="n">
        <v>0</v>
      </c>
      <c r="O217" s="9" t="n">
        <v>0</v>
      </c>
      <c r="S217" s="0" t="n">
        <v>4</v>
      </c>
    </row>
    <row r="218" customFormat="false" ht="17.15" hidden="false" customHeight="false" outlineLevel="0" collapsed="false">
      <c r="A218" s="17" t="s">
        <v>659</v>
      </c>
      <c r="B218" s="17" t="s">
        <v>660</v>
      </c>
      <c r="C218" s="18" t="s">
        <v>77</v>
      </c>
      <c r="D218" s="17" t="s">
        <v>113</v>
      </c>
      <c r="E218" s="17" t="s">
        <v>142</v>
      </c>
      <c r="F218" s="17" t="s">
        <v>189</v>
      </c>
      <c r="G218" s="17" t="s">
        <v>661</v>
      </c>
      <c r="H218" s="9" t="s">
        <v>621</v>
      </c>
      <c r="J218" s="9" t="n">
        <v>100</v>
      </c>
      <c r="K218" s="9" t="n">
        <v>2027</v>
      </c>
      <c r="L218" s="9" t="n">
        <v>12</v>
      </c>
      <c r="N218" s="9" t="n">
        <v>0</v>
      </c>
      <c r="O218" s="9" t="n">
        <v>0</v>
      </c>
      <c r="S218" s="0" t="n">
        <v>4</v>
      </c>
    </row>
    <row r="219" customFormat="false" ht="17.15" hidden="false" customHeight="false" outlineLevel="0" collapsed="false">
      <c r="A219" s="17" t="s">
        <v>662</v>
      </c>
      <c r="B219" s="17" t="s">
        <v>663</v>
      </c>
      <c r="C219" s="17" t="s">
        <v>112</v>
      </c>
      <c r="D219" s="17" t="s">
        <v>113</v>
      </c>
      <c r="E219" s="17" t="s">
        <v>142</v>
      </c>
      <c r="F219" s="17" t="s">
        <v>189</v>
      </c>
      <c r="G219" s="17" t="s">
        <v>664</v>
      </c>
      <c r="H219" s="9" t="s">
        <v>520</v>
      </c>
      <c r="J219" s="9" t="n">
        <v>216</v>
      </c>
      <c r="K219" s="9" t="n">
        <v>2026</v>
      </c>
      <c r="L219" s="9" t="n">
        <v>10</v>
      </c>
      <c r="N219" s="9" t="n">
        <v>0</v>
      </c>
      <c r="O219" s="9" t="n">
        <v>0</v>
      </c>
      <c r="S219" s="0" t="n">
        <v>4</v>
      </c>
    </row>
    <row r="220" customFormat="false" ht="17.15" hidden="false" customHeight="false" outlineLevel="0" collapsed="false">
      <c r="A220" s="17" t="s">
        <v>665</v>
      </c>
      <c r="B220" s="17" t="s">
        <v>666</v>
      </c>
      <c r="C220" s="18" t="s">
        <v>77</v>
      </c>
      <c r="D220" s="17" t="s">
        <v>113</v>
      </c>
      <c r="E220" s="17" t="s">
        <v>142</v>
      </c>
      <c r="F220" s="17" t="s">
        <v>189</v>
      </c>
      <c r="G220" s="17" t="s">
        <v>667</v>
      </c>
      <c r="H220" s="9" t="s">
        <v>512</v>
      </c>
      <c r="J220" s="9" t="n">
        <v>500</v>
      </c>
      <c r="K220" s="9" t="n">
        <v>2027</v>
      </c>
      <c r="L220" s="9" t="n">
        <v>12</v>
      </c>
      <c r="N220" s="9" t="n">
        <v>0</v>
      </c>
      <c r="O220" s="9" t="n">
        <v>0</v>
      </c>
      <c r="S220" s="0" t="n">
        <v>4</v>
      </c>
    </row>
    <row r="221" customFormat="false" ht="17.15" hidden="false" customHeight="false" outlineLevel="0" collapsed="false">
      <c r="A221" s="0" t="s">
        <v>668</v>
      </c>
      <c r="B221" s="0" t="s">
        <v>669</v>
      </c>
      <c r="C221" s="0" t="s">
        <v>112</v>
      </c>
      <c r="D221" s="0" t="s">
        <v>113</v>
      </c>
      <c r="E221" s="0" t="s">
        <v>142</v>
      </c>
      <c r="F221" s="0" t="s">
        <v>79</v>
      </c>
      <c r="G221" s="0" t="s">
        <v>670</v>
      </c>
      <c r="H221" s="9" t="s">
        <v>532</v>
      </c>
      <c r="I221" s="9" t="s">
        <v>532</v>
      </c>
      <c r="J221" s="9" t="n">
        <v>308</v>
      </c>
      <c r="K221" s="9" t="n">
        <v>2027</v>
      </c>
      <c r="L221" s="9" t="n">
        <v>6</v>
      </c>
      <c r="N221" s="9" t="n">
        <v>1</v>
      </c>
      <c r="O221" s="9" t="n">
        <v>0</v>
      </c>
      <c r="S221" s="0" t="n">
        <v>4</v>
      </c>
    </row>
    <row r="222" customFormat="false" ht="17.15" hidden="false" customHeight="false" outlineLevel="0" collapsed="false">
      <c r="A222" s="17" t="s">
        <v>671</v>
      </c>
      <c r="B222" s="17" t="s">
        <v>672</v>
      </c>
      <c r="C222" s="17" t="s">
        <v>112</v>
      </c>
      <c r="D222" s="17" t="s">
        <v>113</v>
      </c>
      <c r="E222" s="17" t="s">
        <v>142</v>
      </c>
      <c r="F222" s="17" t="s">
        <v>79</v>
      </c>
      <c r="G222" s="17" t="s">
        <v>673</v>
      </c>
      <c r="H222" s="9" t="s">
        <v>532</v>
      </c>
      <c r="I222" s="9" t="s">
        <v>532</v>
      </c>
      <c r="J222" s="9" t="n">
        <v>214</v>
      </c>
      <c r="K222" s="9" t="n">
        <v>2027</v>
      </c>
      <c r="L222" s="9" t="n">
        <v>3</v>
      </c>
      <c r="N222" s="9" t="n">
        <v>0</v>
      </c>
      <c r="O222" s="9" t="n">
        <v>0</v>
      </c>
      <c r="S222" s="0" t="n">
        <v>4</v>
      </c>
    </row>
    <row r="223" customFormat="false" ht="17.15" hidden="false" customHeight="false" outlineLevel="0" collapsed="false">
      <c r="A223" s="17" t="s">
        <v>674</v>
      </c>
      <c r="B223" s="17" t="s">
        <v>675</v>
      </c>
      <c r="C223" s="17" t="s">
        <v>112</v>
      </c>
      <c r="D223" s="17" t="s">
        <v>113</v>
      </c>
      <c r="E223" s="17" t="s">
        <v>142</v>
      </c>
      <c r="F223" s="17" t="s">
        <v>79</v>
      </c>
      <c r="G223" s="17" t="s">
        <v>676</v>
      </c>
      <c r="H223" s="9" t="s">
        <v>546</v>
      </c>
      <c r="I223" s="9" t="s">
        <v>532</v>
      </c>
      <c r="J223" s="9" t="n">
        <v>750</v>
      </c>
      <c r="K223" s="9" t="n">
        <v>2028</v>
      </c>
      <c r="L223" s="9" t="n">
        <v>12</v>
      </c>
      <c r="N223" s="9" t="n">
        <v>0</v>
      </c>
      <c r="O223" s="9" t="n">
        <v>0</v>
      </c>
      <c r="S223" s="0" t="n">
        <v>4</v>
      </c>
    </row>
    <row r="224" customFormat="false" ht="17.15" hidden="false" customHeight="false" outlineLevel="0" collapsed="false">
      <c r="A224" s="0" t="s">
        <v>677</v>
      </c>
      <c r="B224" s="0" t="s">
        <v>678</v>
      </c>
      <c r="C224" s="5" t="s">
        <v>77</v>
      </c>
      <c r="D224" s="0" t="s">
        <v>113</v>
      </c>
      <c r="E224" s="0" t="s">
        <v>142</v>
      </c>
      <c r="F224" s="0" t="s">
        <v>79</v>
      </c>
      <c r="G224" s="0" t="s">
        <v>679</v>
      </c>
      <c r="H224" s="9" t="s">
        <v>645</v>
      </c>
      <c r="I224" s="9" t="s">
        <v>532</v>
      </c>
      <c r="J224" s="9" t="n">
        <v>200</v>
      </c>
      <c r="K224" s="9" t="n">
        <v>2026</v>
      </c>
      <c r="L224" s="9" t="n">
        <v>12</v>
      </c>
      <c r="N224" s="9" t="n">
        <v>1</v>
      </c>
      <c r="O224" s="9" t="n">
        <v>0</v>
      </c>
      <c r="S224" s="0" t="n">
        <v>4</v>
      </c>
    </row>
    <row r="225" customFormat="false" ht="17.15" hidden="false" customHeight="false" outlineLevel="0" collapsed="false">
      <c r="A225" s="0" t="s">
        <v>680</v>
      </c>
      <c r="B225" s="0" t="s">
        <v>681</v>
      </c>
      <c r="C225" s="5" t="s">
        <v>77</v>
      </c>
      <c r="D225" s="0" t="s">
        <v>113</v>
      </c>
      <c r="E225" s="0" t="s">
        <v>142</v>
      </c>
      <c r="F225" s="0" t="s">
        <v>79</v>
      </c>
      <c r="G225" s="0" t="s">
        <v>682</v>
      </c>
      <c r="H225" s="9" t="s">
        <v>645</v>
      </c>
      <c r="J225" s="9" t="n">
        <v>96</v>
      </c>
      <c r="K225" s="9" t="n">
        <v>2028</v>
      </c>
      <c r="L225" s="9" t="n">
        <v>3</v>
      </c>
      <c r="N225" s="9" t="n">
        <v>1</v>
      </c>
      <c r="O225" s="9" t="n">
        <v>0</v>
      </c>
      <c r="S225" s="0" t="n">
        <v>4</v>
      </c>
    </row>
    <row r="226" customFormat="false" ht="17.15" hidden="false" customHeight="false" outlineLevel="0" collapsed="false">
      <c r="A226" s="17" t="s">
        <v>683</v>
      </c>
      <c r="B226" s="17" t="s">
        <v>684</v>
      </c>
      <c r="C226" s="18" t="s">
        <v>77</v>
      </c>
      <c r="D226" s="17" t="s">
        <v>113</v>
      </c>
      <c r="E226" s="17" t="s">
        <v>142</v>
      </c>
      <c r="F226" s="17" t="s">
        <v>79</v>
      </c>
      <c r="G226" s="17" t="s">
        <v>685</v>
      </c>
      <c r="H226" s="9" t="s">
        <v>546</v>
      </c>
      <c r="I226" s="9" t="s">
        <v>516</v>
      </c>
      <c r="J226" s="9" t="n">
        <v>500</v>
      </c>
      <c r="K226" s="9" t="n">
        <v>2026</v>
      </c>
      <c r="L226" s="9" t="n">
        <v>12</v>
      </c>
      <c r="N226" s="9" t="n">
        <v>0</v>
      </c>
      <c r="O226" s="9" t="n">
        <v>0</v>
      </c>
      <c r="S226" s="0" t="n">
        <v>4</v>
      </c>
    </row>
    <row r="227" customFormat="false" ht="17.15" hidden="false" customHeight="false" outlineLevel="0" collapsed="false">
      <c r="A227" s="17" t="s">
        <v>686</v>
      </c>
      <c r="B227" s="17" t="s">
        <v>687</v>
      </c>
      <c r="C227" s="18" t="s">
        <v>77</v>
      </c>
      <c r="D227" s="17" t="s">
        <v>113</v>
      </c>
      <c r="E227" s="17" t="s">
        <v>142</v>
      </c>
      <c r="F227" s="17" t="s">
        <v>79</v>
      </c>
      <c r="G227" s="17" t="s">
        <v>688</v>
      </c>
      <c r="H227" s="9" t="s">
        <v>546</v>
      </c>
      <c r="I227" s="9" t="s">
        <v>516</v>
      </c>
      <c r="J227" s="9" t="n">
        <v>245</v>
      </c>
      <c r="K227" s="9" t="n">
        <v>2027</v>
      </c>
      <c r="L227" s="9" t="n">
        <v>6</v>
      </c>
      <c r="N227" s="9" t="n">
        <v>0</v>
      </c>
      <c r="O227" s="9" t="n">
        <v>0</v>
      </c>
      <c r="S227" s="0" t="n">
        <v>4</v>
      </c>
    </row>
    <row r="228" customFormat="false" ht="17.15" hidden="false" customHeight="false" outlineLevel="0" collapsed="false">
      <c r="A228" s="0" t="s">
        <v>689</v>
      </c>
      <c r="B228" s="0" t="s">
        <v>690</v>
      </c>
      <c r="C228" s="0" t="s">
        <v>112</v>
      </c>
      <c r="D228" s="0" t="s">
        <v>113</v>
      </c>
      <c r="E228" s="0" t="s">
        <v>43</v>
      </c>
      <c r="F228" s="0" t="s">
        <v>79</v>
      </c>
      <c r="G228" s="0" t="s">
        <v>691</v>
      </c>
      <c r="H228" s="9" t="s">
        <v>536</v>
      </c>
      <c r="J228" s="9" t="n">
        <v>585</v>
      </c>
      <c r="K228" s="9" t="n">
        <v>2027</v>
      </c>
      <c r="L228" s="9" t="n">
        <v>3</v>
      </c>
      <c r="N228" s="9" t="n">
        <v>1</v>
      </c>
      <c r="O228" s="9" t="n">
        <v>0</v>
      </c>
      <c r="S228" s="0" t="n">
        <v>4</v>
      </c>
    </row>
    <row r="229" customFormat="false" ht="17.15" hidden="false" customHeight="false" outlineLevel="0" collapsed="false">
      <c r="A229" s="0" t="s">
        <v>692</v>
      </c>
      <c r="B229" s="0" t="s">
        <v>693</v>
      </c>
      <c r="C229" s="0" t="s">
        <v>112</v>
      </c>
      <c r="D229" s="0" t="s">
        <v>113</v>
      </c>
      <c r="E229" s="0" t="s">
        <v>43</v>
      </c>
      <c r="F229" s="0" t="s">
        <v>694</v>
      </c>
      <c r="G229" s="0" t="s">
        <v>695</v>
      </c>
      <c r="H229" s="9" t="s">
        <v>507</v>
      </c>
      <c r="J229" s="9" t="n">
        <v>315</v>
      </c>
      <c r="K229" s="9" t="n">
        <v>2026</v>
      </c>
      <c r="L229" s="9" t="n">
        <v>6</v>
      </c>
      <c r="N229" s="9" t="n">
        <v>1</v>
      </c>
      <c r="O229" s="9" t="n">
        <v>0</v>
      </c>
      <c r="S229" s="0" t="n">
        <v>4</v>
      </c>
    </row>
    <row r="230" customFormat="false" ht="17.15" hidden="false" customHeight="false" outlineLevel="0" collapsed="false">
      <c r="A230" s="0" t="s">
        <v>696</v>
      </c>
      <c r="B230" s="0" t="s">
        <v>697</v>
      </c>
      <c r="C230" s="0" t="s">
        <v>112</v>
      </c>
      <c r="D230" s="0" t="s">
        <v>113</v>
      </c>
      <c r="E230" s="0" t="s">
        <v>43</v>
      </c>
      <c r="F230" s="0" t="s">
        <v>694</v>
      </c>
      <c r="G230" s="0" t="s">
        <v>698</v>
      </c>
      <c r="H230" s="9" t="s">
        <v>507</v>
      </c>
      <c r="J230" s="9" t="n">
        <v>368</v>
      </c>
      <c r="K230" s="9" t="n">
        <v>2027</v>
      </c>
      <c r="L230" s="9" t="n">
        <v>2</v>
      </c>
      <c r="N230" s="9" t="n">
        <v>1</v>
      </c>
      <c r="O230" s="9" t="n">
        <v>0</v>
      </c>
      <c r="S230" s="0" t="n">
        <v>4</v>
      </c>
    </row>
    <row r="231" customFormat="false" ht="17.15" hidden="false" customHeight="false" outlineLevel="0" collapsed="false">
      <c r="A231" s="0" t="s">
        <v>699</v>
      </c>
      <c r="B231" s="0" t="s">
        <v>700</v>
      </c>
      <c r="C231" s="0" t="s">
        <v>112</v>
      </c>
      <c r="D231" s="0" t="s">
        <v>113</v>
      </c>
      <c r="E231" s="0" t="s">
        <v>142</v>
      </c>
      <c r="F231" s="0" t="s">
        <v>694</v>
      </c>
      <c r="G231" s="0" t="s">
        <v>701</v>
      </c>
      <c r="H231" s="9" t="s">
        <v>507</v>
      </c>
      <c r="I231" s="9" t="s">
        <v>508</v>
      </c>
      <c r="J231" s="9" t="n">
        <v>336</v>
      </c>
      <c r="K231" s="9" t="n">
        <v>2027</v>
      </c>
      <c r="L231" s="9" t="n">
        <v>12</v>
      </c>
      <c r="N231" s="9" t="n">
        <v>1</v>
      </c>
      <c r="O231" s="9" t="n">
        <v>0</v>
      </c>
      <c r="S231" s="0" t="n">
        <v>4</v>
      </c>
    </row>
    <row r="232" customFormat="false" ht="17.15" hidden="false" customHeight="false" outlineLevel="0" collapsed="false">
      <c r="A232" s="0" t="s">
        <v>702</v>
      </c>
      <c r="B232" s="0" t="s">
        <v>703</v>
      </c>
      <c r="C232" s="0" t="s">
        <v>112</v>
      </c>
      <c r="D232" s="0" t="s">
        <v>113</v>
      </c>
      <c r="E232" s="0" t="s">
        <v>142</v>
      </c>
      <c r="F232" s="0" t="s">
        <v>694</v>
      </c>
      <c r="G232" s="0" t="s">
        <v>704</v>
      </c>
      <c r="H232" s="9" t="s">
        <v>532</v>
      </c>
      <c r="I232" s="9" t="s">
        <v>532</v>
      </c>
      <c r="J232" s="9" t="n">
        <v>1150</v>
      </c>
      <c r="K232" s="9" t="n">
        <v>2031</v>
      </c>
      <c r="L232" s="9" t="n">
        <v>12</v>
      </c>
      <c r="N232" s="9" t="n">
        <v>1</v>
      </c>
      <c r="O232" s="9" t="n">
        <v>0</v>
      </c>
      <c r="S232" s="0" t="n">
        <v>4</v>
      </c>
    </row>
    <row r="233" customFormat="false" ht="17.15" hidden="false" customHeight="false" outlineLevel="0" collapsed="false">
      <c r="A233" s="0" t="s">
        <v>705</v>
      </c>
      <c r="B233" s="0" t="s">
        <v>706</v>
      </c>
      <c r="C233" s="0" t="s">
        <v>112</v>
      </c>
      <c r="D233" s="0" t="s">
        <v>113</v>
      </c>
      <c r="E233" s="0" t="s">
        <v>142</v>
      </c>
      <c r="F233" s="0" t="s">
        <v>694</v>
      </c>
      <c r="G233" s="0" t="s">
        <v>707</v>
      </c>
      <c r="H233" s="9" t="s">
        <v>532</v>
      </c>
      <c r="I233" s="9" t="s">
        <v>532</v>
      </c>
      <c r="J233" s="9" t="n">
        <v>445</v>
      </c>
      <c r="K233" s="9" t="n">
        <v>2028</v>
      </c>
      <c r="L233" s="9" t="n">
        <v>12</v>
      </c>
      <c r="N233" s="9" t="n">
        <v>1</v>
      </c>
      <c r="O233" s="9" t="n">
        <v>0</v>
      </c>
      <c r="S233" s="0" t="n">
        <v>4</v>
      </c>
    </row>
    <row r="234" customFormat="false" ht="17.15" hidden="false" customHeight="false" outlineLevel="0" collapsed="false">
      <c r="A234" s="0" t="s">
        <v>708</v>
      </c>
      <c r="B234" s="0" t="s">
        <v>709</v>
      </c>
      <c r="C234" s="5" t="s">
        <v>77</v>
      </c>
      <c r="D234" s="0" t="s">
        <v>113</v>
      </c>
      <c r="E234" s="0" t="s">
        <v>142</v>
      </c>
      <c r="F234" s="0" t="s">
        <v>79</v>
      </c>
      <c r="G234" s="0" t="s">
        <v>710</v>
      </c>
      <c r="H234" s="9" t="s">
        <v>645</v>
      </c>
      <c r="J234" s="9" t="n">
        <v>200</v>
      </c>
      <c r="K234" s="9" t="n">
        <v>2030</v>
      </c>
      <c r="L234" s="9" t="n">
        <v>12</v>
      </c>
      <c r="N234" s="9" t="n">
        <v>1</v>
      </c>
      <c r="O234" s="9" t="n">
        <v>0</v>
      </c>
      <c r="S234" s="0" t="n">
        <v>4</v>
      </c>
    </row>
    <row r="235" customFormat="false" ht="17.15" hidden="false" customHeight="false" outlineLevel="0" collapsed="false">
      <c r="A235" s="0" t="s">
        <v>711</v>
      </c>
      <c r="B235" s="0" t="s">
        <v>712</v>
      </c>
      <c r="C235" s="0" t="s">
        <v>112</v>
      </c>
      <c r="D235" s="0" t="s">
        <v>113</v>
      </c>
      <c r="E235" s="0" t="s">
        <v>43</v>
      </c>
      <c r="F235" s="0" t="s">
        <v>694</v>
      </c>
      <c r="G235" s="0" t="s">
        <v>713</v>
      </c>
      <c r="H235" s="9" t="s">
        <v>520</v>
      </c>
      <c r="J235" s="9" t="n">
        <v>556</v>
      </c>
      <c r="K235" s="9" t="n">
        <v>2028</v>
      </c>
      <c r="L235" s="9" t="n">
        <v>9</v>
      </c>
      <c r="N235" s="9" t="n">
        <v>1</v>
      </c>
      <c r="O235" s="9" t="n">
        <v>0</v>
      </c>
      <c r="S235" s="0" t="n">
        <v>4</v>
      </c>
    </row>
    <row r="236" customFormat="false" ht="17.15" hidden="false" customHeight="false" outlineLevel="0" collapsed="false">
      <c r="A236" s="0" t="s">
        <v>714</v>
      </c>
      <c r="B236" s="0" t="s">
        <v>715</v>
      </c>
      <c r="C236" s="5" t="s">
        <v>77</v>
      </c>
      <c r="D236" s="0" t="s">
        <v>113</v>
      </c>
      <c r="E236" s="0" t="s">
        <v>142</v>
      </c>
      <c r="F236" s="0" t="s">
        <v>694</v>
      </c>
      <c r="G236" s="0" t="s">
        <v>716</v>
      </c>
      <c r="H236" s="9" t="s">
        <v>520</v>
      </c>
      <c r="J236" s="9" t="n">
        <v>41</v>
      </c>
      <c r="K236" s="9" t="n">
        <v>2027</v>
      </c>
      <c r="L236" s="9" t="n">
        <v>11</v>
      </c>
      <c r="N236" s="9" t="n">
        <v>1</v>
      </c>
      <c r="O236" s="9" t="n">
        <v>0</v>
      </c>
      <c r="S236" s="0" t="n">
        <v>4</v>
      </c>
    </row>
    <row r="237" customFormat="false" ht="17.15" hidden="false" customHeight="false" outlineLevel="0" collapsed="false">
      <c r="A237" s="0" t="s">
        <v>717</v>
      </c>
      <c r="B237" s="0" t="s">
        <v>718</v>
      </c>
      <c r="C237" s="5" t="s">
        <v>77</v>
      </c>
      <c r="D237" s="0" t="s">
        <v>113</v>
      </c>
      <c r="E237" s="0" t="s">
        <v>38</v>
      </c>
      <c r="F237" s="0" t="s">
        <v>694</v>
      </c>
      <c r="G237" s="0" t="s">
        <v>719</v>
      </c>
      <c r="H237" s="9" t="s">
        <v>520</v>
      </c>
      <c r="J237" s="9" t="n">
        <v>62</v>
      </c>
      <c r="K237" s="9" t="n">
        <v>2029</v>
      </c>
      <c r="L237" s="9" t="n">
        <v>2</v>
      </c>
      <c r="N237" s="9" t="n">
        <v>1</v>
      </c>
      <c r="O237" s="9" t="n">
        <v>0</v>
      </c>
      <c r="S237" s="0" t="n">
        <v>4</v>
      </c>
    </row>
    <row r="238" customFormat="false" ht="17.15" hidden="false" customHeight="false" outlineLevel="0" collapsed="false">
      <c r="A238" s="0" t="s">
        <v>720</v>
      </c>
      <c r="B238" s="0" t="s">
        <v>721</v>
      </c>
      <c r="C238" s="0" t="s">
        <v>112</v>
      </c>
      <c r="D238" s="0" t="s">
        <v>113</v>
      </c>
      <c r="E238" s="0" t="s">
        <v>142</v>
      </c>
      <c r="F238" s="0" t="s">
        <v>694</v>
      </c>
      <c r="G238" s="0" t="s">
        <v>722</v>
      </c>
      <c r="H238" s="9" t="s">
        <v>546</v>
      </c>
      <c r="J238" s="9" t="n">
        <v>207</v>
      </c>
      <c r="K238" s="9" t="n">
        <v>2027</v>
      </c>
      <c r="L238" s="9" t="n">
        <v>3</v>
      </c>
      <c r="N238" s="9" t="n">
        <v>1</v>
      </c>
      <c r="O238" s="9" t="n">
        <v>0</v>
      </c>
      <c r="S238" s="0" t="n">
        <v>4</v>
      </c>
    </row>
    <row r="239" customFormat="false" ht="17.15" hidden="false" customHeight="false" outlineLevel="0" collapsed="false">
      <c r="A239" s="0" t="s">
        <v>723</v>
      </c>
      <c r="B239" s="0" t="s">
        <v>724</v>
      </c>
      <c r="C239" s="0" t="s">
        <v>112</v>
      </c>
      <c r="D239" s="0" t="s">
        <v>113</v>
      </c>
      <c r="E239" s="0" t="s">
        <v>142</v>
      </c>
      <c r="F239" s="0" t="s">
        <v>694</v>
      </c>
      <c r="G239" s="0" t="s">
        <v>725</v>
      </c>
      <c r="H239" s="9" t="s">
        <v>546</v>
      </c>
      <c r="J239" s="9" t="n">
        <v>200</v>
      </c>
      <c r="K239" s="9" t="n">
        <v>2027</v>
      </c>
      <c r="L239" s="9" t="n">
        <v>12</v>
      </c>
      <c r="N239" s="9" t="n">
        <v>1</v>
      </c>
      <c r="O239" s="9" t="n">
        <v>0</v>
      </c>
      <c r="S239" s="0" t="n">
        <v>4</v>
      </c>
    </row>
    <row r="240" customFormat="false" ht="17.15" hidden="false" customHeight="false" outlineLevel="0" collapsed="false">
      <c r="A240" s="0" t="s">
        <v>726</v>
      </c>
      <c r="B240" s="0" t="s">
        <v>727</v>
      </c>
      <c r="C240" s="5" t="s">
        <v>77</v>
      </c>
      <c r="D240" s="0" t="s">
        <v>113</v>
      </c>
      <c r="E240" s="0" t="s">
        <v>142</v>
      </c>
      <c r="F240" s="0" t="s">
        <v>694</v>
      </c>
      <c r="G240" s="0" t="s">
        <v>728</v>
      </c>
      <c r="H240" s="9" t="s">
        <v>546</v>
      </c>
      <c r="J240" s="9" t="n">
        <v>1350</v>
      </c>
      <c r="K240" s="9" t="n">
        <v>2028</v>
      </c>
      <c r="L240" s="9" t="n">
        <v>3</v>
      </c>
      <c r="N240" s="9" t="n">
        <v>1</v>
      </c>
      <c r="O240" s="9" t="n">
        <v>0</v>
      </c>
      <c r="S240" s="0" t="n">
        <v>4</v>
      </c>
    </row>
    <row r="241" customFormat="false" ht="17.15" hidden="false" customHeight="false" outlineLevel="0" collapsed="false">
      <c r="A241" s="0" t="s">
        <v>729</v>
      </c>
      <c r="B241" s="0" t="s">
        <v>730</v>
      </c>
      <c r="C241" s="0" t="s">
        <v>112</v>
      </c>
      <c r="D241" s="0" t="s">
        <v>113</v>
      </c>
      <c r="E241" s="0" t="s">
        <v>142</v>
      </c>
      <c r="F241" s="0" t="s">
        <v>694</v>
      </c>
      <c r="G241" s="0" t="s">
        <v>731</v>
      </c>
      <c r="H241" s="9" t="s">
        <v>546</v>
      </c>
      <c r="J241" s="9" t="n">
        <v>352</v>
      </c>
      <c r="K241" s="9" t="n">
        <v>2028</v>
      </c>
      <c r="L241" s="9" t="n">
        <v>3</v>
      </c>
      <c r="N241" s="9" t="n">
        <v>1</v>
      </c>
      <c r="O241" s="9" t="n">
        <v>0</v>
      </c>
      <c r="S241" s="0" t="n">
        <v>4</v>
      </c>
    </row>
    <row r="242" customFormat="false" ht="17.15" hidden="false" customHeight="false" outlineLevel="0" collapsed="false">
      <c r="A242" s="17" t="s">
        <v>732</v>
      </c>
      <c r="B242" s="17" t="s">
        <v>733</v>
      </c>
      <c r="C242" s="18" t="s">
        <v>77</v>
      </c>
      <c r="D242" s="17" t="s">
        <v>113</v>
      </c>
      <c r="E242" s="17" t="s">
        <v>54</v>
      </c>
      <c r="F242" s="17" t="s">
        <v>694</v>
      </c>
      <c r="G242" s="17" t="s">
        <v>734</v>
      </c>
      <c r="H242" s="9" t="s">
        <v>527</v>
      </c>
      <c r="I242" s="9" t="s">
        <v>527</v>
      </c>
      <c r="J242" s="9" t="n">
        <v>3000</v>
      </c>
      <c r="K242" s="9" t="n">
        <v>2032</v>
      </c>
      <c r="L242" s="9" t="n">
        <v>12</v>
      </c>
      <c r="N242" s="9" t="n">
        <v>0</v>
      </c>
      <c r="O242" s="9" t="n">
        <v>0</v>
      </c>
      <c r="S242" s="0" t="n">
        <v>4</v>
      </c>
    </row>
    <row r="243" customFormat="false" ht="17.15" hidden="false" customHeight="false" outlineLevel="0" collapsed="false">
      <c r="A243" s="17" t="s">
        <v>735</v>
      </c>
      <c r="B243" s="17" t="s">
        <v>736</v>
      </c>
      <c r="C243" s="18" t="s">
        <v>168</v>
      </c>
      <c r="D243" s="17" t="s">
        <v>113</v>
      </c>
      <c r="E243" s="17" t="s">
        <v>142</v>
      </c>
      <c r="F243" s="17" t="s">
        <v>694</v>
      </c>
      <c r="G243" s="17" t="s">
        <v>737</v>
      </c>
      <c r="H243" s="9" t="s">
        <v>738</v>
      </c>
      <c r="J243" s="9" t="n">
        <v>50</v>
      </c>
      <c r="K243" s="9" t="n">
        <v>2027</v>
      </c>
      <c r="L243" s="9" t="n">
        <v>3</v>
      </c>
      <c r="N243" s="9" t="n">
        <v>0</v>
      </c>
      <c r="O243" s="9" t="n">
        <v>0</v>
      </c>
      <c r="S243" s="0" t="n">
        <v>4</v>
      </c>
    </row>
    <row r="244" customFormat="false" ht="17.15" hidden="false" customHeight="false" outlineLevel="0" collapsed="false">
      <c r="A244" s="17" t="s">
        <v>739</v>
      </c>
      <c r="B244" s="17" t="s">
        <v>740</v>
      </c>
      <c r="C244" s="18" t="s">
        <v>77</v>
      </c>
      <c r="D244" s="17" t="s">
        <v>113</v>
      </c>
      <c r="E244" s="17" t="s">
        <v>54</v>
      </c>
      <c r="F244" s="17" t="s">
        <v>694</v>
      </c>
      <c r="G244" s="17" t="s">
        <v>741</v>
      </c>
      <c r="H244" s="9" t="s">
        <v>652</v>
      </c>
      <c r="J244" s="9" t="n">
        <v>50</v>
      </c>
      <c r="K244" s="9" t="n">
        <v>2028</v>
      </c>
      <c r="L244" s="9" t="n">
        <v>12</v>
      </c>
      <c r="N244" s="9" t="n">
        <v>0</v>
      </c>
      <c r="O244" s="9" t="n">
        <v>0</v>
      </c>
      <c r="S244" s="0" t="n">
        <v>4</v>
      </c>
    </row>
    <row r="245" customFormat="false" ht="17.15" hidden="false" customHeight="false" outlineLevel="0" collapsed="false">
      <c r="A245" s="17" t="s">
        <v>742</v>
      </c>
      <c r="B245" s="17" t="s">
        <v>743</v>
      </c>
      <c r="C245" s="17" t="s">
        <v>112</v>
      </c>
      <c r="D245" s="17" t="s">
        <v>113</v>
      </c>
      <c r="E245" s="17" t="s">
        <v>43</v>
      </c>
      <c r="F245" s="17" t="s">
        <v>694</v>
      </c>
      <c r="G245" s="17" t="s">
        <v>744</v>
      </c>
      <c r="H245" s="9" t="s">
        <v>645</v>
      </c>
      <c r="J245" s="9" t="n">
        <v>30</v>
      </c>
      <c r="K245" s="9" t="n">
        <v>2026</v>
      </c>
      <c r="L245" s="9" t="n">
        <v>12</v>
      </c>
      <c r="N245" s="9" t="n">
        <v>0</v>
      </c>
      <c r="O245" s="9" t="n">
        <v>0</v>
      </c>
      <c r="S245" s="0" t="n">
        <v>4</v>
      </c>
    </row>
    <row r="246" customFormat="false" ht="17.15" hidden="false" customHeight="false" outlineLevel="0" collapsed="false">
      <c r="A246" s="0" t="s">
        <v>745</v>
      </c>
      <c r="B246" s="0" t="s">
        <v>746</v>
      </c>
      <c r="C246" s="5" t="s">
        <v>77</v>
      </c>
      <c r="D246" s="0" t="s">
        <v>113</v>
      </c>
      <c r="E246" s="0" t="s">
        <v>142</v>
      </c>
      <c r="F246" s="0" t="s">
        <v>747</v>
      </c>
      <c r="G246" s="0" t="s">
        <v>748</v>
      </c>
      <c r="H246" s="9" t="s">
        <v>652</v>
      </c>
      <c r="J246" s="9" t="n">
        <v>58</v>
      </c>
      <c r="K246" s="9" t="n">
        <v>2027</v>
      </c>
      <c r="L246" s="9" t="n">
        <v>3</v>
      </c>
      <c r="N246" s="9" t="n">
        <v>1</v>
      </c>
      <c r="O246" s="9" t="n">
        <v>0</v>
      </c>
      <c r="S246" s="0" t="n">
        <v>4</v>
      </c>
    </row>
    <row r="247" customFormat="false" ht="17.15" hidden="false" customHeight="false" outlineLevel="0" collapsed="false">
      <c r="A247" s="0" t="s">
        <v>749</v>
      </c>
      <c r="B247" s="0" t="s">
        <v>750</v>
      </c>
      <c r="C247" s="5" t="s">
        <v>168</v>
      </c>
      <c r="D247" s="0" t="s">
        <v>113</v>
      </c>
      <c r="E247" s="0" t="s">
        <v>142</v>
      </c>
      <c r="F247" s="0" t="s">
        <v>747</v>
      </c>
      <c r="G247" s="0" t="s">
        <v>751</v>
      </c>
      <c r="H247" s="9" t="s">
        <v>512</v>
      </c>
      <c r="I247" s="9" t="s">
        <v>508</v>
      </c>
      <c r="J247" s="9" t="n">
        <v>150</v>
      </c>
      <c r="K247" s="9" t="n">
        <v>2027</v>
      </c>
      <c r="L247" s="9" t="n">
        <v>12</v>
      </c>
      <c r="N247" s="9" t="n">
        <v>1</v>
      </c>
      <c r="O247" s="9" t="n">
        <v>0</v>
      </c>
      <c r="S247" s="0" t="n">
        <v>4</v>
      </c>
    </row>
    <row r="248" customFormat="false" ht="17.15" hidden="false" customHeight="false" outlineLevel="0" collapsed="false">
      <c r="A248" s="0" t="s">
        <v>752</v>
      </c>
      <c r="B248" s="0" t="s">
        <v>753</v>
      </c>
      <c r="C248" s="0" t="s">
        <v>112</v>
      </c>
      <c r="D248" s="0" t="s">
        <v>113</v>
      </c>
      <c r="E248" s="0" t="s">
        <v>38</v>
      </c>
      <c r="F248" s="0" t="s">
        <v>747</v>
      </c>
      <c r="G248" s="0" t="s">
        <v>754</v>
      </c>
      <c r="H248" s="9" t="s">
        <v>621</v>
      </c>
      <c r="J248" s="9" t="n">
        <v>16</v>
      </c>
      <c r="K248" s="9" t="n">
        <v>2026</v>
      </c>
      <c r="L248" s="9" t="n">
        <v>12</v>
      </c>
      <c r="N248" s="9" t="n">
        <v>1</v>
      </c>
      <c r="O248" s="9" t="n">
        <v>0</v>
      </c>
      <c r="S248" s="0" t="n">
        <v>4</v>
      </c>
    </row>
    <row r="249" customFormat="false" ht="17.15" hidden="false" customHeight="false" outlineLevel="0" collapsed="false">
      <c r="A249" s="0" t="s">
        <v>755</v>
      </c>
      <c r="B249" s="0" t="s">
        <v>756</v>
      </c>
      <c r="C249" s="5" t="s">
        <v>168</v>
      </c>
      <c r="D249" s="0" t="s">
        <v>113</v>
      </c>
      <c r="E249" s="0" t="s">
        <v>38</v>
      </c>
      <c r="F249" s="0" t="s">
        <v>747</v>
      </c>
      <c r="G249" s="0" t="s">
        <v>757</v>
      </c>
      <c r="H249" s="9" t="s">
        <v>527</v>
      </c>
      <c r="I249" s="9" t="s">
        <v>527</v>
      </c>
      <c r="J249" s="9" t="n">
        <v>250</v>
      </c>
      <c r="K249" s="9" t="n">
        <v>2028</v>
      </c>
      <c r="L249" s="9" t="n">
        <v>12</v>
      </c>
      <c r="N249" s="9" t="n">
        <v>1</v>
      </c>
      <c r="O249" s="9" t="n">
        <v>0</v>
      </c>
      <c r="S249" s="0" t="n">
        <v>4</v>
      </c>
    </row>
    <row r="250" customFormat="false" ht="17.15" hidden="false" customHeight="false" outlineLevel="0" collapsed="false">
      <c r="A250" s="0" t="s">
        <v>758</v>
      </c>
      <c r="B250" s="0" t="s">
        <v>759</v>
      </c>
      <c r="C250" s="5" t="s">
        <v>168</v>
      </c>
      <c r="D250" s="0" t="s">
        <v>113</v>
      </c>
      <c r="E250" s="0" t="s">
        <v>38</v>
      </c>
      <c r="F250" s="0" t="s">
        <v>747</v>
      </c>
      <c r="G250" s="0" t="s">
        <v>760</v>
      </c>
      <c r="H250" s="9" t="s">
        <v>527</v>
      </c>
      <c r="I250" s="9" t="s">
        <v>527</v>
      </c>
      <c r="J250" s="9" t="n">
        <v>720</v>
      </c>
      <c r="K250" s="9" t="n">
        <v>2029</v>
      </c>
      <c r="L250" s="9" t="n">
        <v>7</v>
      </c>
      <c r="N250" s="9" t="n">
        <v>1</v>
      </c>
      <c r="O250" s="9" t="n">
        <v>0</v>
      </c>
      <c r="S250" s="0" t="n">
        <v>4</v>
      </c>
    </row>
    <row r="251" customFormat="false" ht="17.15" hidden="false" customHeight="false" outlineLevel="0" collapsed="false">
      <c r="A251" s="17" t="s">
        <v>761</v>
      </c>
      <c r="B251" s="17" t="s">
        <v>762</v>
      </c>
      <c r="C251" s="18" t="s">
        <v>77</v>
      </c>
      <c r="D251" s="17" t="s">
        <v>113</v>
      </c>
      <c r="E251" s="17" t="s">
        <v>142</v>
      </c>
      <c r="F251" s="17" t="s">
        <v>747</v>
      </c>
      <c r="G251" s="17" t="s">
        <v>763</v>
      </c>
      <c r="H251" s="9" t="s">
        <v>621</v>
      </c>
      <c r="J251" s="9" t="n">
        <v>40</v>
      </c>
      <c r="K251" s="9" t="n">
        <v>2027</v>
      </c>
      <c r="L251" s="9" t="n">
        <v>9</v>
      </c>
      <c r="N251" s="9" t="n">
        <v>0</v>
      </c>
      <c r="O251" s="9" t="n">
        <v>0</v>
      </c>
      <c r="S251" s="0" t="n">
        <v>4</v>
      </c>
    </row>
    <row r="252" customFormat="false" ht="17.15" hidden="false" customHeight="false" outlineLevel="0" collapsed="false">
      <c r="A252" s="17" t="s">
        <v>764</v>
      </c>
      <c r="B252" s="17" t="s">
        <v>765</v>
      </c>
      <c r="C252" s="18" t="s">
        <v>77</v>
      </c>
      <c r="D252" s="17" t="s">
        <v>113</v>
      </c>
      <c r="E252" s="17" t="s">
        <v>142</v>
      </c>
      <c r="F252" s="17" t="s">
        <v>747</v>
      </c>
      <c r="G252" s="17" t="s">
        <v>766</v>
      </c>
      <c r="H252" s="9" t="s">
        <v>546</v>
      </c>
      <c r="J252" s="9" t="n">
        <v>15</v>
      </c>
      <c r="K252" s="9" t="n">
        <v>2026</v>
      </c>
      <c r="L252" s="9" t="n">
        <v>10</v>
      </c>
      <c r="N252" s="9" t="n">
        <v>0</v>
      </c>
      <c r="O252" s="9" t="n">
        <v>0</v>
      </c>
      <c r="S252" s="0" t="n">
        <v>4</v>
      </c>
    </row>
    <row r="253" customFormat="false" ht="17.15" hidden="false" customHeight="false" outlineLevel="0" collapsed="false">
      <c r="A253" s="17" t="s">
        <v>767</v>
      </c>
      <c r="B253" s="17" t="s">
        <v>768</v>
      </c>
      <c r="C253" s="18" t="s">
        <v>77</v>
      </c>
      <c r="D253" s="17" t="s">
        <v>113</v>
      </c>
      <c r="E253" s="17" t="s">
        <v>142</v>
      </c>
      <c r="F253" s="17" t="s">
        <v>747</v>
      </c>
      <c r="G253" s="17" t="s">
        <v>769</v>
      </c>
      <c r="H253" s="9" t="s">
        <v>621</v>
      </c>
      <c r="J253" s="9" t="n">
        <v>240</v>
      </c>
      <c r="K253" s="9" t="n">
        <v>2028</v>
      </c>
      <c r="L253" s="9" t="n">
        <v>12</v>
      </c>
      <c r="N253" s="9" t="n">
        <v>0</v>
      </c>
      <c r="O253" s="9" t="n">
        <v>0</v>
      </c>
      <c r="S253" s="0" t="n">
        <v>4</v>
      </c>
    </row>
    <row r="254" customFormat="false" ht="17.15" hidden="false" customHeight="false" outlineLevel="0" collapsed="false">
      <c r="A254" s="17" t="s">
        <v>770</v>
      </c>
      <c r="B254" s="17" t="s">
        <v>771</v>
      </c>
      <c r="C254" s="18" t="s">
        <v>77</v>
      </c>
      <c r="D254" s="17" t="s">
        <v>113</v>
      </c>
      <c r="E254" s="17" t="s">
        <v>142</v>
      </c>
      <c r="F254" s="17" t="s">
        <v>747</v>
      </c>
      <c r="G254" s="17" t="s">
        <v>772</v>
      </c>
      <c r="H254" s="9" t="s">
        <v>738</v>
      </c>
      <c r="I254" s="9" t="s">
        <v>507</v>
      </c>
      <c r="J254" s="9" t="n">
        <v>250</v>
      </c>
      <c r="K254" s="9" t="n">
        <v>2027</v>
      </c>
      <c r="L254" s="9" t="n">
        <v>12</v>
      </c>
      <c r="N254" s="9" t="n">
        <v>0</v>
      </c>
      <c r="O254" s="9" t="n">
        <v>0</v>
      </c>
      <c r="S254" s="0" t="n">
        <v>4</v>
      </c>
    </row>
    <row r="255" customFormat="false" ht="17.15" hidden="false" customHeight="false" outlineLevel="0" collapsed="false">
      <c r="A255" s="17" t="s">
        <v>773</v>
      </c>
      <c r="B255" s="18" t="s">
        <v>774</v>
      </c>
      <c r="C255" s="18" t="s">
        <v>168</v>
      </c>
      <c r="D255" s="17" t="s">
        <v>113</v>
      </c>
      <c r="E255" s="17" t="s">
        <v>142</v>
      </c>
      <c r="F255" s="17" t="s">
        <v>747</v>
      </c>
      <c r="G255" s="17" t="s">
        <v>775</v>
      </c>
      <c r="H255" s="9" t="s">
        <v>645</v>
      </c>
      <c r="J255" s="9" t="n">
        <v>55</v>
      </c>
      <c r="K255" s="9" t="n">
        <v>2028</v>
      </c>
      <c r="L255" s="9" t="n">
        <v>12</v>
      </c>
      <c r="N255" s="9" t="n">
        <v>0</v>
      </c>
      <c r="O255" s="9" t="n">
        <v>0</v>
      </c>
      <c r="S25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776</v>
      </c>
    </row>
    <row r="2" customFormat="false" ht="17.15" hidden="false" customHeight="false" outlineLevel="0" collapsed="false">
      <c r="A2" s="5" t="s">
        <v>777</v>
      </c>
    </row>
    <row r="4" customFormat="false" ht="17.15" hidden="false" customHeight="false" outlineLevel="0" collapsed="false">
      <c r="A4" s="6" t="s">
        <v>778</v>
      </c>
      <c r="B4" s="6" t="s">
        <v>779</v>
      </c>
      <c r="C4" s="6" t="s">
        <v>780</v>
      </c>
      <c r="D4" s="6" t="s">
        <v>781</v>
      </c>
      <c r="E4" s="6" t="s">
        <v>782</v>
      </c>
      <c r="F4" s="6" t="s">
        <v>783</v>
      </c>
      <c r="G4" s="6" t="s">
        <v>18</v>
      </c>
      <c r="H4" s="7" t="s">
        <v>784</v>
      </c>
    </row>
    <row r="5" customFormat="false" ht="15" hidden="false" customHeight="false" outlineLevel="0" collapsed="false">
      <c r="A5" s="0" t="s">
        <v>785</v>
      </c>
      <c r="B5" s="0" t="s">
        <v>786</v>
      </c>
      <c r="C5" s="0" t="s">
        <v>787</v>
      </c>
      <c r="D5" s="19" t="n">
        <v>22439</v>
      </c>
      <c r="E5" s="19" t="n">
        <v>22439</v>
      </c>
      <c r="F5" s="19" t="n">
        <v>22439</v>
      </c>
      <c r="G5" s="5" t="s">
        <v>788</v>
      </c>
      <c r="H5" s="20" t="s">
        <v>789</v>
      </c>
    </row>
    <row r="6" customFormat="false" ht="15" hidden="false" customHeight="false" outlineLevel="0" collapsed="false">
      <c r="A6" s="0" t="s">
        <v>785</v>
      </c>
      <c r="B6" s="0" t="s">
        <v>790</v>
      </c>
      <c r="C6" s="0" t="s">
        <v>791</v>
      </c>
      <c r="D6" s="19" t="n">
        <v>6969</v>
      </c>
      <c r="E6" s="19" t="n">
        <v>6969</v>
      </c>
      <c r="F6" s="19" t="n">
        <v>6969</v>
      </c>
      <c r="G6" s="5" t="s">
        <v>788</v>
      </c>
      <c r="H6" s="20" t="s">
        <v>789</v>
      </c>
    </row>
    <row r="7" customFormat="false" ht="15" hidden="false" customHeight="false" outlineLevel="0" collapsed="false">
      <c r="A7" s="0" t="s">
        <v>785</v>
      </c>
      <c r="B7" s="0" t="s">
        <v>792</v>
      </c>
      <c r="C7" s="0" t="s">
        <v>793</v>
      </c>
      <c r="D7" s="19" t="n">
        <v>6764</v>
      </c>
      <c r="E7" s="19" t="n">
        <v>6764</v>
      </c>
      <c r="F7" s="19" t="n">
        <v>6764</v>
      </c>
      <c r="G7" s="5" t="s">
        <v>788</v>
      </c>
      <c r="H7" s="20" t="s">
        <v>789</v>
      </c>
    </row>
    <row r="8" customFormat="false" ht="15" hidden="false" customHeight="false" outlineLevel="0" collapsed="false">
      <c r="A8" s="0" t="s">
        <v>785</v>
      </c>
      <c r="B8" s="0" t="s">
        <v>794</v>
      </c>
      <c r="C8" s="0" t="s">
        <v>795</v>
      </c>
      <c r="D8" s="19" t="n">
        <v>4052</v>
      </c>
      <c r="E8" s="19" t="n">
        <v>4052</v>
      </c>
      <c r="F8" s="19" t="n">
        <v>4052</v>
      </c>
      <c r="G8" s="5" t="s">
        <v>788</v>
      </c>
      <c r="H8" s="20" t="s">
        <v>789</v>
      </c>
    </row>
    <row r="9" customFormat="false" ht="17.15" hidden="false" customHeight="false" outlineLevel="0" collapsed="false">
      <c r="A9" s="0" t="s">
        <v>785</v>
      </c>
      <c r="B9" s="0" t="s">
        <v>796</v>
      </c>
      <c r="C9" s="0" t="s">
        <v>797</v>
      </c>
      <c r="D9" s="19" t="n">
        <v>2705</v>
      </c>
      <c r="E9" s="19" t="n">
        <v>2705</v>
      </c>
      <c r="F9" s="19" t="n">
        <v>2705</v>
      </c>
      <c r="G9" s="5" t="s">
        <v>788</v>
      </c>
      <c r="H9" s="20" t="s">
        <v>789</v>
      </c>
    </row>
    <row r="10" customFormat="false" ht="15" hidden="false" customHeight="false" outlineLevel="0" collapsed="false">
      <c r="A10" s="0" t="s">
        <v>798</v>
      </c>
      <c r="B10" s="0" t="s">
        <v>786</v>
      </c>
      <c r="C10" s="0" t="s">
        <v>799</v>
      </c>
      <c r="D10" s="19" t="n">
        <v>718048</v>
      </c>
      <c r="E10" s="19" t="n">
        <v>718048</v>
      </c>
      <c r="F10" s="19" t="n">
        <v>718048</v>
      </c>
      <c r="G10" s="5" t="s">
        <v>800</v>
      </c>
      <c r="H10" s="20" t="s">
        <v>801</v>
      </c>
    </row>
    <row r="11" customFormat="false" ht="15" hidden="false" customHeight="false" outlineLevel="0" collapsed="false">
      <c r="A11" s="0" t="s">
        <v>798</v>
      </c>
      <c r="B11" s="0" t="s">
        <v>790</v>
      </c>
      <c r="C11" s="0" t="s">
        <v>802</v>
      </c>
      <c r="D11" s="19" t="n">
        <v>501768</v>
      </c>
      <c r="E11" s="19" t="n">
        <v>501768</v>
      </c>
      <c r="F11" s="19" t="n">
        <v>501768</v>
      </c>
      <c r="G11" s="5" t="s">
        <v>800</v>
      </c>
      <c r="H11" s="20" t="s">
        <v>801</v>
      </c>
    </row>
    <row r="12" customFormat="false" ht="15" hidden="false" customHeight="false" outlineLevel="0" collapsed="false">
      <c r="A12" s="0" t="s">
        <v>798</v>
      </c>
      <c r="B12" s="0" t="s">
        <v>792</v>
      </c>
      <c r="C12" s="0" t="s">
        <v>803</v>
      </c>
      <c r="D12" s="19" t="n">
        <v>487008</v>
      </c>
      <c r="E12" s="19" t="n">
        <v>487008</v>
      </c>
      <c r="F12" s="19" t="n">
        <v>487008</v>
      </c>
      <c r="G12" s="5" t="s">
        <v>800</v>
      </c>
      <c r="H12" s="20" t="s">
        <v>801</v>
      </c>
    </row>
    <row r="13" customFormat="false" ht="15" hidden="false" customHeight="false" outlineLevel="0" collapsed="false">
      <c r="A13" s="0" t="s">
        <v>798</v>
      </c>
      <c r="B13" s="0" t="s">
        <v>794</v>
      </c>
      <c r="C13" s="0" t="s">
        <v>804</v>
      </c>
      <c r="D13" s="19" t="n">
        <v>291744</v>
      </c>
      <c r="E13" s="19" t="n">
        <v>291744</v>
      </c>
      <c r="F13" s="19" t="n">
        <v>291744</v>
      </c>
      <c r="G13" s="5" t="s">
        <v>800</v>
      </c>
      <c r="H13" s="20" t="s">
        <v>801</v>
      </c>
    </row>
    <row r="14" customFormat="false" ht="17.15" hidden="false" customHeight="false" outlineLevel="0" collapsed="false">
      <c r="A14" s="0" t="s">
        <v>798</v>
      </c>
      <c r="B14" s="0" t="s">
        <v>796</v>
      </c>
      <c r="C14" s="0" t="s">
        <v>805</v>
      </c>
      <c r="D14" s="19" t="n">
        <v>194760</v>
      </c>
      <c r="E14" s="19" t="n">
        <v>194760</v>
      </c>
      <c r="F14" s="19" t="n">
        <v>194760</v>
      </c>
      <c r="G14" s="5" t="s">
        <v>800</v>
      </c>
      <c r="H14" s="20" t="s">
        <v>801</v>
      </c>
    </row>
    <row r="15" customFormat="false" ht="15" hidden="false" customHeight="false" outlineLevel="0" collapsed="false">
      <c r="A15" s="0" t="s">
        <v>806</v>
      </c>
      <c r="B15" s="0" t="s">
        <v>786</v>
      </c>
      <c r="C15" s="0" t="s">
        <v>807</v>
      </c>
      <c r="D15" s="19" t="n">
        <v>21.4202694</v>
      </c>
      <c r="E15" s="19" t="n">
        <v>27.510214</v>
      </c>
      <c r="F15" s="19" t="n">
        <v>34.1207434</v>
      </c>
      <c r="G15" s="20" t="s">
        <v>215</v>
      </c>
      <c r="H15" s="20" t="s">
        <v>808</v>
      </c>
    </row>
    <row r="16" customFormat="false" ht="15" hidden="false" customHeight="false" outlineLevel="0" collapsed="false">
      <c r="A16" s="0" t="s">
        <v>806</v>
      </c>
      <c r="B16" s="0" t="s">
        <v>790</v>
      </c>
      <c r="C16" s="0" t="s">
        <v>809</v>
      </c>
      <c r="D16" s="19" t="n">
        <v>20.6393904</v>
      </c>
      <c r="E16" s="19" t="n">
        <v>24.015174</v>
      </c>
      <c r="F16" s="19" t="n">
        <v>27.6502044</v>
      </c>
      <c r="G16" s="20" t="s">
        <v>215</v>
      </c>
      <c r="H16" s="20" t="s">
        <v>808</v>
      </c>
    </row>
    <row r="17" customFormat="false" ht="15" hidden="false" customHeight="false" outlineLevel="0" collapsed="false">
      <c r="A17" s="0" t="s">
        <v>806</v>
      </c>
      <c r="B17" s="0" t="s">
        <v>792</v>
      </c>
      <c r="C17" s="0" t="s">
        <v>810</v>
      </c>
      <c r="D17" s="19" t="n">
        <v>28.5549024</v>
      </c>
      <c r="E17" s="19" t="n">
        <v>32.237224</v>
      </c>
      <c r="F17" s="19" t="n">
        <v>39.2826064</v>
      </c>
      <c r="G17" s="20" t="s">
        <v>215</v>
      </c>
      <c r="H17" s="20" t="s">
        <v>808</v>
      </c>
    </row>
    <row r="18" customFormat="false" ht="15" hidden="false" customHeight="false" outlineLevel="0" collapsed="false">
      <c r="A18" s="0" t="s">
        <v>806</v>
      </c>
      <c r="B18" s="0" t="s">
        <v>794</v>
      </c>
      <c r="C18" s="0" t="s">
        <v>811</v>
      </c>
      <c r="D18" s="19" t="n">
        <v>31.9970232</v>
      </c>
      <c r="E18" s="19" t="n">
        <v>37.586352</v>
      </c>
      <c r="F18" s="19" t="n">
        <v>42.6375752</v>
      </c>
      <c r="G18" s="20" t="s">
        <v>215</v>
      </c>
      <c r="H18" s="20" t="s">
        <v>808</v>
      </c>
    </row>
    <row r="19" customFormat="false" ht="17.15" hidden="false" customHeight="false" outlineLevel="0" collapsed="false">
      <c r="A19" s="0" t="s">
        <v>806</v>
      </c>
      <c r="B19" s="0" t="s">
        <v>796</v>
      </c>
      <c r="C19" s="0" t="s">
        <v>812</v>
      </c>
      <c r="D19" s="19" t="n">
        <v>35.845578</v>
      </c>
      <c r="E19" s="19" t="n">
        <v>50.08578</v>
      </c>
      <c r="F19" s="19" t="n">
        <v>65.481558</v>
      </c>
      <c r="G19" s="20" t="s">
        <v>215</v>
      </c>
      <c r="H19" s="20" t="s">
        <v>808</v>
      </c>
    </row>
    <row r="20" customFormat="false" ht="15" hidden="false" customHeight="false" outlineLevel="0" collapsed="false">
      <c r="A20" s="0" t="s">
        <v>813</v>
      </c>
      <c r="B20" s="0" t="s">
        <v>786</v>
      </c>
      <c r="C20" s="0" t="s">
        <v>814</v>
      </c>
      <c r="D20" s="19" t="n">
        <v>10.212</v>
      </c>
      <c r="E20" s="19" t="n">
        <v>12.67</v>
      </c>
      <c r="F20" s="19" t="n">
        <v>16.186</v>
      </c>
      <c r="G20" s="20" t="s">
        <v>215</v>
      </c>
      <c r="H20" s="20" t="s">
        <v>815</v>
      </c>
    </row>
    <row r="21" customFormat="false" ht="15" hidden="false" customHeight="false" outlineLevel="0" collapsed="false">
      <c r="A21" s="0" t="s">
        <v>813</v>
      </c>
      <c r="B21" s="0" t="s">
        <v>790</v>
      </c>
      <c r="C21" s="0" t="s">
        <v>816</v>
      </c>
      <c r="D21" s="19" t="n">
        <v>10.212</v>
      </c>
      <c r="E21" s="19" t="n">
        <v>12.67</v>
      </c>
      <c r="F21" s="19" t="n">
        <v>16.186</v>
      </c>
      <c r="G21" s="20" t="s">
        <v>215</v>
      </c>
      <c r="H21" s="20" t="s">
        <v>815</v>
      </c>
    </row>
    <row r="22" customFormat="false" ht="15" hidden="false" customHeight="false" outlineLevel="0" collapsed="false">
      <c r="A22" s="0" t="s">
        <v>813</v>
      </c>
      <c r="B22" s="0" t="s">
        <v>792</v>
      </c>
      <c r="C22" s="0" t="s">
        <v>817</v>
      </c>
      <c r="D22" s="19" t="n">
        <v>10.212</v>
      </c>
      <c r="E22" s="19" t="n">
        <v>12.67</v>
      </c>
      <c r="F22" s="19" t="n">
        <v>16.186</v>
      </c>
      <c r="G22" s="20" t="s">
        <v>215</v>
      </c>
      <c r="H22" s="20" t="s">
        <v>815</v>
      </c>
    </row>
    <row r="23" customFormat="false" ht="15" hidden="false" customHeight="false" outlineLevel="0" collapsed="false">
      <c r="A23" s="0" t="s">
        <v>813</v>
      </c>
      <c r="B23" s="0" t="s">
        <v>794</v>
      </c>
      <c r="C23" s="0" t="s">
        <v>818</v>
      </c>
      <c r="D23" s="19" t="n">
        <v>10.212</v>
      </c>
      <c r="E23" s="19" t="n">
        <v>12.67</v>
      </c>
      <c r="F23" s="19" t="n">
        <v>16.186</v>
      </c>
      <c r="G23" s="20" t="s">
        <v>215</v>
      </c>
      <c r="H23" s="20" t="s">
        <v>815</v>
      </c>
    </row>
    <row r="24" customFormat="false" ht="17.15" hidden="false" customHeight="false" outlineLevel="0" collapsed="false">
      <c r="A24" s="0" t="s">
        <v>813</v>
      </c>
      <c r="B24" s="0" t="s">
        <v>796</v>
      </c>
      <c r="C24" s="0" t="s">
        <v>819</v>
      </c>
      <c r="D24" s="19" t="n">
        <v>10.212</v>
      </c>
      <c r="E24" s="19" t="n">
        <v>12.67</v>
      </c>
      <c r="F24" s="19" t="n">
        <v>16.186</v>
      </c>
      <c r="G24" s="20" t="s">
        <v>215</v>
      </c>
      <c r="H24" s="20" t="s">
        <v>815</v>
      </c>
    </row>
    <row r="25" customFormat="false" ht="15" hidden="false" customHeight="false" outlineLevel="0" collapsed="false">
      <c r="A25" s="0" t="s">
        <v>820</v>
      </c>
      <c r="B25" s="0" t="s">
        <v>786</v>
      </c>
      <c r="C25" s="0" t="s">
        <v>821</v>
      </c>
      <c r="D25" s="19" t="n">
        <v>31.6322694</v>
      </c>
      <c r="E25" s="19" t="n">
        <v>40.180214</v>
      </c>
      <c r="F25" s="19" t="n">
        <v>50.3067434</v>
      </c>
      <c r="G25" s="20" t="s">
        <v>215</v>
      </c>
      <c r="H25" s="20" t="s">
        <v>822</v>
      </c>
    </row>
    <row r="26" customFormat="false" ht="15" hidden="false" customHeight="false" outlineLevel="0" collapsed="false">
      <c r="A26" s="0" t="s">
        <v>820</v>
      </c>
      <c r="B26" s="0" t="s">
        <v>790</v>
      </c>
      <c r="C26" s="0" t="s">
        <v>823</v>
      </c>
      <c r="D26" s="19" t="n">
        <v>30.8513904</v>
      </c>
      <c r="E26" s="19" t="n">
        <v>36.685174</v>
      </c>
      <c r="F26" s="19" t="n">
        <v>43.8362044</v>
      </c>
      <c r="G26" s="20" t="s">
        <v>215</v>
      </c>
      <c r="H26" s="20" t="s">
        <v>822</v>
      </c>
    </row>
    <row r="27" customFormat="false" ht="15" hidden="false" customHeight="false" outlineLevel="0" collapsed="false">
      <c r="A27" s="0" t="s">
        <v>820</v>
      </c>
      <c r="B27" s="0" t="s">
        <v>792</v>
      </c>
      <c r="C27" s="0" t="s">
        <v>824</v>
      </c>
      <c r="D27" s="19" t="n">
        <v>38.7669024</v>
      </c>
      <c r="E27" s="19" t="n">
        <v>44.907224</v>
      </c>
      <c r="F27" s="19" t="n">
        <v>55.4686064</v>
      </c>
      <c r="G27" s="20" t="s">
        <v>215</v>
      </c>
      <c r="H27" s="20" t="s">
        <v>822</v>
      </c>
    </row>
    <row r="28" customFormat="false" ht="15" hidden="false" customHeight="false" outlineLevel="0" collapsed="false">
      <c r="A28" s="0" t="s">
        <v>820</v>
      </c>
      <c r="B28" s="0" t="s">
        <v>794</v>
      </c>
      <c r="C28" s="0" t="s">
        <v>825</v>
      </c>
      <c r="D28" s="19" t="n">
        <v>42.2090232</v>
      </c>
      <c r="E28" s="19" t="n">
        <v>50.256352</v>
      </c>
      <c r="F28" s="19" t="n">
        <v>58.8235752</v>
      </c>
      <c r="G28" s="20" t="s">
        <v>215</v>
      </c>
      <c r="H28" s="20" t="s">
        <v>822</v>
      </c>
    </row>
    <row r="29" customFormat="false" ht="17.15" hidden="false" customHeight="false" outlineLevel="0" collapsed="false">
      <c r="A29" s="0" t="s">
        <v>820</v>
      </c>
      <c r="B29" s="0" t="s">
        <v>796</v>
      </c>
      <c r="C29" s="0" t="s">
        <v>826</v>
      </c>
      <c r="D29" s="19" t="n">
        <v>46.057578</v>
      </c>
      <c r="E29" s="19" t="n">
        <v>62.75578</v>
      </c>
      <c r="F29" s="19" t="n">
        <v>81.667558</v>
      </c>
      <c r="G29" s="20" t="s">
        <v>215</v>
      </c>
      <c r="H29" s="20" t="s">
        <v>822</v>
      </c>
    </row>
    <row r="30" customFormat="false" ht="17.15" hidden="false" customHeight="false" outlineLevel="0" collapsed="false">
      <c r="A30" s="0" t="s">
        <v>827</v>
      </c>
      <c r="B30" s="0" t="s">
        <v>786</v>
      </c>
      <c r="C30" s="0" t="s">
        <v>828</v>
      </c>
      <c r="D30" s="19" t="n">
        <v>0.9</v>
      </c>
      <c r="E30" s="19" t="n">
        <v>1.1</v>
      </c>
      <c r="F30" s="19" t="n">
        <v>1.3</v>
      </c>
      <c r="G30" s="20" t="s">
        <v>829</v>
      </c>
      <c r="H30" s="20" t="s">
        <v>830</v>
      </c>
    </row>
    <row r="31" customFormat="false" ht="17.15" hidden="false" customHeight="false" outlineLevel="0" collapsed="false">
      <c r="A31" s="0" t="s">
        <v>827</v>
      </c>
      <c r="B31" s="0" t="s">
        <v>790</v>
      </c>
      <c r="C31" s="0" t="s">
        <v>831</v>
      </c>
      <c r="D31" s="19" t="n">
        <v>2.8</v>
      </c>
      <c r="E31" s="19" t="n">
        <v>3.1</v>
      </c>
      <c r="F31" s="19" t="n">
        <v>3.4</v>
      </c>
      <c r="G31" s="20" t="s">
        <v>829</v>
      </c>
      <c r="H31" s="20" t="s">
        <v>830</v>
      </c>
    </row>
    <row r="32" customFormat="false" ht="17.15" hidden="false" customHeight="false" outlineLevel="0" collapsed="false">
      <c r="A32" s="0" t="s">
        <v>827</v>
      </c>
      <c r="B32" s="0" t="s">
        <v>792</v>
      </c>
      <c r="C32" s="0" t="s">
        <v>832</v>
      </c>
      <c r="D32" s="19" t="n">
        <v>4</v>
      </c>
      <c r="E32" s="19" t="n">
        <v>4.3</v>
      </c>
      <c r="F32" s="19" t="n">
        <v>5</v>
      </c>
      <c r="G32" s="20" t="s">
        <v>829</v>
      </c>
      <c r="H32" s="20" t="s">
        <v>830</v>
      </c>
    </row>
    <row r="33" customFormat="false" ht="17.15" hidden="false" customHeight="false" outlineLevel="0" collapsed="false">
      <c r="A33" s="0" t="s">
        <v>827</v>
      </c>
      <c r="B33" s="0" t="s">
        <v>794</v>
      </c>
      <c r="C33" s="0" t="s">
        <v>833</v>
      </c>
      <c r="D33" s="19" t="n">
        <v>7.5</v>
      </c>
      <c r="E33" s="19" t="n">
        <v>8.4</v>
      </c>
      <c r="F33" s="19" t="n">
        <v>9.1</v>
      </c>
      <c r="G33" s="20" t="s">
        <v>829</v>
      </c>
      <c r="H33" s="20" t="s">
        <v>830</v>
      </c>
    </row>
    <row r="34" customFormat="false" ht="17.15" hidden="false" customHeight="false" outlineLevel="0" collapsed="false">
      <c r="A34" s="0" t="s">
        <v>827</v>
      </c>
      <c r="B34" s="0" t="s">
        <v>796</v>
      </c>
      <c r="C34" s="0" t="s">
        <v>834</v>
      </c>
      <c r="D34" s="19" t="n">
        <v>12.6</v>
      </c>
      <c r="E34" s="19" t="n">
        <v>16.8</v>
      </c>
      <c r="F34" s="19" t="n">
        <v>21</v>
      </c>
      <c r="G34" s="20" t="s">
        <v>829</v>
      </c>
      <c r="H34" s="20" t="s">
        <v>830</v>
      </c>
    </row>
    <row r="35" customFormat="false" ht="17.15" hidden="false" customHeight="false" outlineLevel="0" collapsed="false">
      <c r="A35" s="0" t="s">
        <v>835</v>
      </c>
      <c r="B35" s="0" t="s">
        <v>786</v>
      </c>
      <c r="C35" s="0" t="s">
        <v>836</v>
      </c>
      <c r="D35" s="19" t="n">
        <v>0.05</v>
      </c>
      <c r="E35" s="19" t="n">
        <v>0.1</v>
      </c>
      <c r="F35" s="19" t="n">
        <v>0.15</v>
      </c>
      <c r="G35" s="5" t="s">
        <v>837</v>
      </c>
      <c r="H35" s="20" t="s">
        <v>838</v>
      </c>
    </row>
    <row r="36" customFormat="false" ht="17.15" hidden="false" customHeight="false" outlineLevel="0" collapsed="false">
      <c r="A36" s="0" t="s">
        <v>835</v>
      </c>
      <c r="B36" s="0" t="s">
        <v>790</v>
      </c>
      <c r="C36" s="0" t="s">
        <v>839</v>
      </c>
      <c r="D36" s="19" t="n">
        <v>0.05</v>
      </c>
      <c r="E36" s="19" t="n">
        <v>0.1</v>
      </c>
      <c r="F36" s="19" t="n">
        <v>0.15</v>
      </c>
      <c r="G36" s="5" t="s">
        <v>837</v>
      </c>
      <c r="H36" s="20" t="s">
        <v>838</v>
      </c>
    </row>
    <row r="37" customFormat="false" ht="17.15" hidden="false" customHeight="false" outlineLevel="0" collapsed="false">
      <c r="A37" s="0" t="s">
        <v>835</v>
      </c>
      <c r="B37" s="0" t="s">
        <v>792</v>
      </c>
      <c r="C37" s="0" t="s">
        <v>840</v>
      </c>
      <c r="D37" s="19" t="n">
        <v>0.05</v>
      </c>
      <c r="E37" s="19" t="n">
        <v>0.1</v>
      </c>
      <c r="F37" s="19" t="n">
        <v>0.15</v>
      </c>
      <c r="G37" s="5" t="s">
        <v>837</v>
      </c>
      <c r="H37" s="20" t="s">
        <v>838</v>
      </c>
    </row>
    <row r="38" customFormat="false" ht="17.15" hidden="false" customHeight="false" outlineLevel="0" collapsed="false">
      <c r="A38" s="0" t="s">
        <v>835</v>
      </c>
      <c r="B38" s="0" t="s">
        <v>794</v>
      </c>
      <c r="C38" s="0" t="s">
        <v>841</v>
      </c>
      <c r="D38" s="19" t="n">
        <v>0.05</v>
      </c>
      <c r="E38" s="19" t="n">
        <v>0.1</v>
      </c>
      <c r="F38" s="19" t="n">
        <v>0.15</v>
      </c>
      <c r="G38" s="5" t="s">
        <v>837</v>
      </c>
      <c r="H38" s="20" t="s">
        <v>838</v>
      </c>
    </row>
    <row r="39" customFormat="false" ht="17.15" hidden="false" customHeight="false" outlineLevel="0" collapsed="false">
      <c r="A39" s="0" t="s">
        <v>835</v>
      </c>
      <c r="B39" s="0" t="s">
        <v>796</v>
      </c>
      <c r="C39" s="0" t="s">
        <v>842</v>
      </c>
      <c r="D39" s="19" t="n">
        <v>0.05</v>
      </c>
      <c r="E39" s="19" t="n">
        <v>0.1</v>
      </c>
      <c r="F39" s="19" t="n">
        <v>0.15</v>
      </c>
      <c r="G39" s="5" t="s">
        <v>837</v>
      </c>
      <c r="H39" s="20" t="s">
        <v>838</v>
      </c>
    </row>
    <row r="40" customFormat="false" ht="15" hidden="false" customHeight="false" outlineLevel="0" collapsed="false">
      <c r="A40" s="0" t="s">
        <v>843</v>
      </c>
      <c r="B40" s="0" t="s">
        <v>786</v>
      </c>
      <c r="C40" s="0" t="s">
        <v>844</v>
      </c>
      <c r="D40" s="19" t="n">
        <v>300</v>
      </c>
      <c r="E40" s="19" t="n">
        <v>500</v>
      </c>
      <c r="F40" s="19" t="n">
        <v>800</v>
      </c>
      <c r="G40" s="20" t="s">
        <v>845</v>
      </c>
      <c r="H40" s="20" t="s">
        <v>846</v>
      </c>
    </row>
    <row r="41" customFormat="false" ht="15" hidden="false" customHeight="false" outlineLevel="0" collapsed="false">
      <c r="A41" s="0" t="s">
        <v>843</v>
      </c>
      <c r="B41" s="0" t="s">
        <v>790</v>
      </c>
      <c r="C41" s="0" t="s">
        <v>847</v>
      </c>
      <c r="D41" s="19" t="n">
        <v>300</v>
      </c>
      <c r="E41" s="19" t="n">
        <v>500</v>
      </c>
      <c r="F41" s="19" t="n">
        <v>800</v>
      </c>
      <c r="G41" s="20" t="s">
        <v>845</v>
      </c>
      <c r="H41" s="20" t="s">
        <v>846</v>
      </c>
    </row>
    <row r="42" customFormat="false" ht="15" hidden="false" customHeight="false" outlineLevel="0" collapsed="false">
      <c r="A42" s="0" t="s">
        <v>843</v>
      </c>
      <c r="B42" s="0" t="s">
        <v>792</v>
      </c>
      <c r="C42" s="0" t="s">
        <v>848</v>
      </c>
      <c r="D42" s="19" t="n">
        <v>300</v>
      </c>
      <c r="E42" s="19" t="n">
        <v>500</v>
      </c>
      <c r="F42" s="19" t="n">
        <v>800</v>
      </c>
      <c r="G42" s="20" t="s">
        <v>845</v>
      </c>
      <c r="H42" s="20" t="s">
        <v>846</v>
      </c>
    </row>
    <row r="43" customFormat="false" ht="15" hidden="false" customHeight="false" outlineLevel="0" collapsed="false">
      <c r="A43" s="0" t="s">
        <v>843</v>
      </c>
      <c r="B43" s="0" t="s">
        <v>794</v>
      </c>
      <c r="C43" s="0" t="s">
        <v>849</v>
      </c>
      <c r="D43" s="19" t="n">
        <v>300</v>
      </c>
      <c r="E43" s="19" t="n">
        <v>500</v>
      </c>
      <c r="F43" s="19" t="n">
        <v>800</v>
      </c>
      <c r="G43" s="20" t="s">
        <v>845</v>
      </c>
      <c r="H43" s="20" t="s">
        <v>846</v>
      </c>
    </row>
    <row r="44" customFormat="false" ht="17.15" hidden="false" customHeight="false" outlineLevel="0" collapsed="false">
      <c r="A44" s="0" t="s">
        <v>843</v>
      </c>
      <c r="B44" s="0" t="s">
        <v>796</v>
      </c>
      <c r="C44" s="0" t="s">
        <v>850</v>
      </c>
      <c r="D44" s="19" t="n">
        <v>300</v>
      </c>
      <c r="E44" s="19" t="n">
        <v>500</v>
      </c>
      <c r="F44" s="19" t="n">
        <v>800</v>
      </c>
      <c r="G44" s="20" t="s">
        <v>845</v>
      </c>
      <c r="H44" s="20" t="s">
        <v>846</v>
      </c>
    </row>
    <row r="45" customFormat="false" ht="17.15" hidden="false" customHeight="false" outlineLevel="0" collapsed="false">
      <c r="A45" s="0" t="s">
        <v>851</v>
      </c>
      <c r="B45" s="0" t="s">
        <v>852</v>
      </c>
      <c r="C45" s="0" t="s">
        <v>853</v>
      </c>
      <c r="D45" s="19" t="n">
        <v>0.7</v>
      </c>
      <c r="E45" s="19" t="n">
        <v>0.8</v>
      </c>
      <c r="F45" s="19" t="n">
        <v>1.15</v>
      </c>
      <c r="G45" s="5" t="s">
        <v>854</v>
      </c>
      <c r="H45" s="20" t="s">
        <v>855</v>
      </c>
    </row>
    <row r="46" customFormat="false" ht="17.15" hidden="false" customHeight="false" outlineLevel="0" collapsed="false">
      <c r="A46" s="0" t="s">
        <v>856</v>
      </c>
      <c r="B46" s="0" t="s">
        <v>857</v>
      </c>
      <c r="C46" s="0" t="s">
        <v>858</v>
      </c>
      <c r="D46" s="19" t="n">
        <v>0.6</v>
      </c>
      <c r="E46" s="19" t="n">
        <v>0.8</v>
      </c>
      <c r="F46" s="19" t="n">
        <v>1.1</v>
      </c>
      <c r="G46" s="5" t="s">
        <v>854</v>
      </c>
      <c r="H46" s="20" t="s">
        <v>859</v>
      </c>
    </row>
    <row r="47" customFormat="false" ht="17.15" hidden="false" customHeight="false" outlineLevel="0" collapsed="false">
      <c r="A47" s="0" t="s">
        <v>860</v>
      </c>
      <c r="B47" s="0" t="s">
        <v>861</v>
      </c>
      <c r="C47" s="0" t="s">
        <v>862</v>
      </c>
      <c r="D47" s="19" t="n">
        <v>0.3</v>
      </c>
      <c r="E47" s="19" t="n">
        <v>0.5</v>
      </c>
      <c r="F47" s="19" t="n">
        <v>0.8</v>
      </c>
      <c r="G47" s="5" t="s">
        <v>854</v>
      </c>
      <c r="H47" s="20" t="s">
        <v>863</v>
      </c>
    </row>
    <row r="48" customFormat="false" ht="17.15" hidden="false" customHeight="false" outlineLevel="0" collapsed="false">
      <c r="A48" s="0" t="s">
        <v>864</v>
      </c>
      <c r="B48" s="0" t="s">
        <v>865</v>
      </c>
      <c r="C48" s="0" t="s">
        <v>866</v>
      </c>
      <c r="D48" s="19" t="n">
        <v>0.2</v>
      </c>
      <c r="E48" s="19" t="n">
        <v>0.4</v>
      </c>
      <c r="F48" s="19" t="n">
        <v>0.8</v>
      </c>
      <c r="G48" s="5" t="s">
        <v>854</v>
      </c>
      <c r="H48" s="20" t="s">
        <v>867</v>
      </c>
    </row>
    <row r="49" customFormat="false" ht="17.15" hidden="false" customHeight="false" outlineLevel="0" collapsed="false">
      <c r="A49" s="0" t="s">
        <v>868</v>
      </c>
      <c r="B49" s="0" t="s">
        <v>869</v>
      </c>
      <c r="C49" s="0" t="s">
        <v>870</v>
      </c>
      <c r="D49" s="19" t="n">
        <v>0.4</v>
      </c>
      <c r="E49" s="19" t="n">
        <v>0.6</v>
      </c>
      <c r="F49" s="19" t="n">
        <v>0.9</v>
      </c>
      <c r="G49" s="5" t="s">
        <v>854</v>
      </c>
      <c r="H49" s="20" t="s">
        <v>871</v>
      </c>
    </row>
    <row r="50" customFormat="false" ht="17.15" hidden="false" customHeight="false" outlineLevel="0" collapsed="false">
      <c r="A50" s="0" t="s">
        <v>872</v>
      </c>
      <c r="B50" s="5" t="s">
        <v>873</v>
      </c>
      <c r="C50" s="0" t="s">
        <v>874</v>
      </c>
      <c r="D50" s="19" t="n">
        <v>0.05</v>
      </c>
      <c r="E50" s="19" t="n">
        <v>0.08</v>
      </c>
      <c r="F50" s="19" t="n">
        <v>0.15</v>
      </c>
      <c r="G50" s="5" t="s">
        <v>854</v>
      </c>
      <c r="H50" s="20" t="s">
        <v>875</v>
      </c>
    </row>
    <row r="51" customFormat="false" ht="17.15" hidden="false" customHeight="false" outlineLevel="0" collapsed="false">
      <c r="A51" s="0" t="s">
        <v>876</v>
      </c>
      <c r="B51" s="0" t="s">
        <v>877</v>
      </c>
      <c r="C51" s="0" t="s">
        <v>878</v>
      </c>
      <c r="D51" s="19" t="n">
        <v>0.25</v>
      </c>
      <c r="E51" s="19" t="n">
        <v>0.55</v>
      </c>
      <c r="F51" s="19" t="n">
        <v>0.75</v>
      </c>
      <c r="G51" s="5" t="s">
        <v>854</v>
      </c>
      <c r="H51" s="20" t="s">
        <v>879</v>
      </c>
    </row>
    <row r="52" customFormat="false" ht="17.15" hidden="false" customHeight="false" outlineLevel="0" collapsed="false">
      <c r="A52" s="0" t="s">
        <v>880</v>
      </c>
      <c r="B52" s="0" t="s">
        <v>881</v>
      </c>
      <c r="C52" s="0" t="s">
        <v>882</v>
      </c>
      <c r="D52" s="19" t="n">
        <v>0.67</v>
      </c>
      <c r="E52" s="19" t="n">
        <v>0.85</v>
      </c>
      <c r="F52" s="19" t="n">
        <v>1.12</v>
      </c>
      <c r="G52" s="5" t="s">
        <v>854</v>
      </c>
      <c r="H52" s="20" t="s">
        <v>883</v>
      </c>
    </row>
    <row r="53" customFormat="false" ht="17.15" hidden="false" customHeight="false" outlineLevel="0" collapsed="false">
      <c r="A53" s="0" t="s">
        <v>884</v>
      </c>
      <c r="B53" s="0" t="s">
        <v>885</v>
      </c>
      <c r="C53" s="0" t="s">
        <v>886</v>
      </c>
      <c r="D53" s="19" t="n">
        <v>0.65</v>
      </c>
      <c r="E53" s="19" t="n">
        <v>0.7</v>
      </c>
      <c r="F53" s="19" t="n">
        <v>0.9</v>
      </c>
      <c r="G53" s="5" t="s">
        <v>854</v>
      </c>
      <c r="H53" s="20" t="s">
        <v>887</v>
      </c>
    </row>
    <row r="54" customFormat="false" ht="17.15" hidden="false" customHeight="false" outlineLevel="0" collapsed="false">
      <c r="A54" s="0" t="s">
        <v>888</v>
      </c>
      <c r="B54" s="0" t="s">
        <v>889</v>
      </c>
      <c r="C54" s="0" t="s">
        <v>890</v>
      </c>
      <c r="D54" s="19" t="n">
        <v>0.45</v>
      </c>
      <c r="E54" s="19" t="n">
        <v>0.61</v>
      </c>
      <c r="F54" s="19" t="n">
        <v>0.7</v>
      </c>
      <c r="G54" s="5" t="s">
        <v>854</v>
      </c>
      <c r="H54" s="20" t="s">
        <v>891</v>
      </c>
    </row>
    <row r="55" customFormat="false" ht="17.15" hidden="false" customHeight="false" outlineLevel="0" collapsed="false">
      <c r="A55" s="0" t="s">
        <v>892</v>
      </c>
      <c r="B55" s="0" t="s">
        <v>893</v>
      </c>
      <c r="C55" s="0" t="s">
        <v>894</v>
      </c>
      <c r="D55" s="19" t="n">
        <v>0.8</v>
      </c>
      <c r="E55" s="19" t="n">
        <v>1</v>
      </c>
      <c r="F55" s="19" t="n">
        <v>1.2</v>
      </c>
      <c r="G55" s="5" t="s">
        <v>854</v>
      </c>
      <c r="H55" s="20" t="s">
        <v>895</v>
      </c>
    </row>
    <row r="56" customFormat="false" ht="17.15" hidden="false" customHeight="false" outlineLevel="0" collapsed="false">
      <c r="A56" s="0" t="s">
        <v>896</v>
      </c>
      <c r="B56" s="0" t="s">
        <v>897</v>
      </c>
      <c r="C56" s="0" t="s">
        <v>898</v>
      </c>
      <c r="D56" s="19" t="n">
        <v>0.7</v>
      </c>
      <c r="E56" s="19" t="n">
        <v>0.8</v>
      </c>
      <c r="F56" s="19" t="n">
        <v>1</v>
      </c>
      <c r="G56" s="5" t="s">
        <v>854</v>
      </c>
      <c r="H56" s="20" t="s">
        <v>899</v>
      </c>
    </row>
    <row r="57" customFormat="false" ht="17.15" hidden="false" customHeight="false" outlineLevel="0" collapsed="false">
      <c r="A57" s="0" t="s">
        <v>900</v>
      </c>
      <c r="B57" s="5" t="s">
        <v>901</v>
      </c>
      <c r="C57" s="0" t="s">
        <v>902</v>
      </c>
      <c r="D57" s="19" t="n">
        <v>0.45</v>
      </c>
      <c r="E57" s="19" t="n">
        <v>0.55</v>
      </c>
      <c r="F57" s="19" t="n">
        <v>0.7</v>
      </c>
      <c r="G57" s="5" t="s">
        <v>854</v>
      </c>
      <c r="H57" s="20" t="s">
        <v>903</v>
      </c>
    </row>
    <row r="58" customFormat="false" ht="17.15" hidden="false" customHeight="false" outlineLevel="0" collapsed="false">
      <c r="A58" s="0" t="s">
        <v>904</v>
      </c>
      <c r="B58" s="0" t="s">
        <v>905</v>
      </c>
      <c r="C58" s="0" t="s">
        <v>906</v>
      </c>
      <c r="D58" s="19" t="n">
        <v>0.4</v>
      </c>
      <c r="E58" s="19" t="n">
        <v>0.5</v>
      </c>
      <c r="F58" s="19" t="n">
        <v>0.6</v>
      </c>
      <c r="G58" s="5" t="s">
        <v>854</v>
      </c>
      <c r="H58" s="20" t="s">
        <v>907</v>
      </c>
    </row>
    <row r="59" customFormat="false" ht="17.15" hidden="false" customHeight="false" outlineLevel="0" collapsed="false">
      <c r="A59" s="0" t="s">
        <v>908</v>
      </c>
      <c r="B59" s="0" t="s">
        <v>786</v>
      </c>
      <c r="C59" s="0" t="s">
        <v>909</v>
      </c>
      <c r="D59" s="19" t="n">
        <v>1.1</v>
      </c>
      <c r="E59" s="19" t="n">
        <v>1.2</v>
      </c>
      <c r="F59" s="19" t="n">
        <v>1.3</v>
      </c>
      <c r="G59" s="20" t="s">
        <v>78</v>
      </c>
      <c r="H59" s="20" t="s">
        <v>910</v>
      </c>
    </row>
    <row r="60" customFormat="false" ht="17.15" hidden="false" customHeight="false" outlineLevel="0" collapsed="false">
      <c r="A60" s="0" t="s">
        <v>908</v>
      </c>
      <c r="B60" s="0" t="s">
        <v>790</v>
      </c>
      <c r="C60" s="0" t="s">
        <v>911</v>
      </c>
      <c r="D60" s="19" t="n">
        <v>1.1</v>
      </c>
      <c r="E60" s="19" t="n">
        <v>1.2</v>
      </c>
      <c r="F60" s="19" t="n">
        <v>1.3</v>
      </c>
      <c r="G60" s="20" t="s">
        <v>78</v>
      </c>
      <c r="H60" s="20" t="s">
        <v>910</v>
      </c>
    </row>
    <row r="61" customFormat="false" ht="17.15" hidden="false" customHeight="false" outlineLevel="0" collapsed="false">
      <c r="A61" s="0" t="s">
        <v>908</v>
      </c>
      <c r="B61" s="0" t="s">
        <v>792</v>
      </c>
      <c r="C61" s="0" t="s">
        <v>912</v>
      </c>
      <c r="D61" s="19" t="n">
        <v>1.1</v>
      </c>
      <c r="E61" s="19" t="n">
        <v>1.2</v>
      </c>
      <c r="F61" s="19" t="n">
        <v>1.3</v>
      </c>
      <c r="G61" s="20" t="s">
        <v>78</v>
      </c>
      <c r="H61" s="20" t="s">
        <v>910</v>
      </c>
    </row>
    <row r="62" customFormat="false" ht="17.15" hidden="false" customHeight="false" outlineLevel="0" collapsed="false">
      <c r="A62" s="0" t="s">
        <v>908</v>
      </c>
      <c r="B62" s="0" t="s">
        <v>794</v>
      </c>
      <c r="C62" s="0" t="s">
        <v>913</v>
      </c>
      <c r="D62" s="19" t="n">
        <v>1.1</v>
      </c>
      <c r="E62" s="19" t="n">
        <v>1.2</v>
      </c>
      <c r="F62" s="19" t="n">
        <v>1.3</v>
      </c>
      <c r="G62" s="20" t="s">
        <v>78</v>
      </c>
      <c r="H62" s="20" t="s">
        <v>910</v>
      </c>
    </row>
    <row r="63" customFormat="false" ht="17.15" hidden="false" customHeight="false" outlineLevel="0" collapsed="false">
      <c r="A63" s="0" t="s">
        <v>908</v>
      </c>
      <c r="B63" s="0" t="s">
        <v>796</v>
      </c>
      <c r="C63" s="0" t="s">
        <v>914</v>
      </c>
      <c r="D63" s="19" t="n">
        <v>1.1</v>
      </c>
      <c r="E63" s="19" t="n">
        <v>1.2</v>
      </c>
      <c r="F63" s="19" t="n">
        <v>1.3</v>
      </c>
      <c r="G63" s="20" t="s">
        <v>78</v>
      </c>
      <c r="H63" s="20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915</v>
      </c>
    </row>
    <row r="3" customFormat="false" ht="17.15" hidden="false" customHeight="false" outlineLevel="0" collapsed="false">
      <c r="A3" s="6" t="s">
        <v>916</v>
      </c>
      <c r="B3" s="6" t="s">
        <v>780</v>
      </c>
      <c r="C3" s="6" t="s">
        <v>18</v>
      </c>
      <c r="D3" s="6" t="s">
        <v>917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</row>
    <row r="4" customFormat="false" ht="17.15" hidden="false" customHeight="false" outlineLevel="0" collapsed="false">
      <c r="A4" s="8" t="s">
        <v>918</v>
      </c>
    </row>
    <row r="5" customFormat="false" ht="15" hidden="false" customHeight="false" outlineLevel="0" collapsed="false">
      <c r="A5" s="0" t="s">
        <v>919</v>
      </c>
      <c r="B5" s="0" t="s">
        <v>920</v>
      </c>
      <c r="C5" s="0" t="s">
        <v>37</v>
      </c>
      <c r="D5" s="19" t="n">
        <v>0.22</v>
      </c>
    </row>
    <row r="6" customFormat="false" ht="15" hidden="false" customHeight="false" outlineLevel="0" collapsed="false">
      <c r="A6" s="0" t="s">
        <v>921</v>
      </c>
      <c r="B6" s="0" t="s">
        <v>922</v>
      </c>
      <c r="C6" s="0" t="s">
        <v>37</v>
      </c>
      <c r="D6" s="19" t="n">
        <v>0.15</v>
      </c>
    </row>
    <row r="7" customFormat="false" ht="15" hidden="false" customHeight="false" outlineLevel="0" collapsed="false">
      <c r="A7" s="0" t="s">
        <v>923</v>
      </c>
      <c r="B7" s="0" t="s">
        <v>924</v>
      </c>
      <c r="C7" s="0" t="s">
        <v>37</v>
      </c>
      <c r="D7" s="19" t="n">
        <v>0.3</v>
      </c>
    </row>
    <row r="8" customFormat="false" ht="17.15" hidden="false" customHeight="false" outlineLevel="0" collapsed="false">
      <c r="A8" s="0" t="s">
        <v>925</v>
      </c>
      <c r="B8" s="0" t="s">
        <v>926</v>
      </c>
      <c r="C8" s="0" t="s">
        <v>927</v>
      </c>
      <c r="D8" s="19" t="n">
        <v>66.1944444444444</v>
      </c>
    </row>
    <row r="9" customFormat="false" ht="17.15" hidden="false" customHeight="false" outlineLevel="0" collapsed="false">
      <c r="A9" s="0" t="s">
        <v>928</v>
      </c>
      <c r="B9" s="0" t="s">
        <v>929</v>
      </c>
      <c r="C9" s="0" t="s">
        <v>927</v>
      </c>
      <c r="D9" s="19" t="n">
        <v>128.833333333333</v>
      </c>
    </row>
    <row r="10" customFormat="false" ht="17.15" hidden="false" customHeight="false" outlineLevel="0" collapsed="false">
      <c r="A10" s="0" t="s">
        <v>930</v>
      </c>
      <c r="B10" s="0" t="s">
        <v>931</v>
      </c>
      <c r="C10" s="0" t="s">
        <v>927</v>
      </c>
      <c r="D10" s="19" t="n">
        <v>257.166666666667</v>
      </c>
    </row>
    <row r="11" customFormat="false" ht="17.15" hidden="false" customHeight="false" outlineLevel="0" collapsed="false">
      <c r="A11" s="0" t="s">
        <v>932</v>
      </c>
      <c r="B11" s="0" t="s">
        <v>933</v>
      </c>
      <c r="C11" s="0" t="s">
        <v>927</v>
      </c>
      <c r="D11" s="19" t="n">
        <v>38.3125</v>
      </c>
    </row>
    <row r="12" customFormat="false" ht="17.15" hidden="false" customHeight="false" outlineLevel="0" collapsed="false">
      <c r="A12" s="0" t="s">
        <v>934</v>
      </c>
      <c r="B12" s="0" t="s">
        <v>935</v>
      </c>
      <c r="C12" s="0" t="s">
        <v>927</v>
      </c>
      <c r="D12" s="19" t="n">
        <v>40</v>
      </c>
    </row>
    <row r="13" customFormat="false" ht="17.15" hidden="false" customHeight="false" outlineLevel="0" collapsed="false">
      <c r="A13" s="0" t="s">
        <v>936</v>
      </c>
      <c r="B13" s="0" t="s">
        <v>937</v>
      </c>
      <c r="C13" s="0" t="s">
        <v>927</v>
      </c>
      <c r="D13" s="19" t="n">
        <v>100</v>
      </c>
    </row>
    <row r="14" customFormat="false" ht="17.15" hidden="false" customHeight="false" outlineLevel="0" collapsed="false">
      <c r="A14" s="0" t="s">
        <v>938</v>
      </c>
      <c r="B14" s="0" t="s">
        <v>939</v>
      </c>
      <c r="C14" s="0" t="s">
        <v>927</v>
      </c>
      <c r="D14" s="19" t="n">
        <v>25</v>
      </c>
    </row>
    <row r="15" customFormat="false" ht="17.15" hidden="false" customHeight="false" outlineLevel="0" collapsed="false">
      <c r="A15" s="0" t="s">
        <v>940</v>
      </c>
      <c r="B15" s="0" t="s">
        <v>941</v>
      </c>
      <c r="C15" s="0" t="s">
        <v>927</v>
      </c>
      <c r="D15" s="19" t="n">
        <v>20</v>
      </c>
    </row>
    <row r="16" customFormat="false" ht="17.15" hidden="false" customHeight="false" outlineLevel="0" collapsed="false">
      <c r="A16" s="0" t="s">
        <v>942</v>
      </c>
      <c r="B16" s="0" t="s">
        <v>943</v>
      </c>
      <c r="C16" s="0" t="s">
        <v>927</v>
      </c>
      <c r="D16" s="19" t="n">
        <v>20</v>
      </c>
    </row>
    <row r="18" customFormat="false" ht="17.15" hidden="false" customHeight="false" outlineLevel="0" collapsed="false">
      <c r="A18" s="8" t="s">
        <v>944</v>
      </c>
    </row>
    <row r="19" customFormat="false" ht="15" hidden="false" customHeight="false" outlineLevel="0" collapsed="false">
      <c r="A19" s="0" t="s">
        <v>945</v>
      </c>
      <c r="C19" s="5" t="s">
        <v>946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947</v>
      </c>
      <c r="C20" s="5" t="s">
        <v>946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948</v>
      </c>
      <c r="C21" s="5" t="s">
        <v>946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949</v>
      </c>
      <c r="C22" s="5" t="s">
        <v>946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950</v>
      </c>
      <c r="C23" s="5" t="s">
        <v>946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951</v>
      </c>
      <c r="C24" s="5" t="s">
        <v>946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952</v>
      </c>
      <c r="C25" s="5" t="s">
        <v>946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953</v>
      </c>
      <c r="C26" s="5" t="s">
        <v>946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954</v>
      </c>
      <c r="C27" s="0" t="s">
        <v>37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955</v>
      </c>
      <c r="C28" s="0" t="s">
        <v>37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956</v>
      </c>
      <c r="C29" s="0" t="s">
        <v>37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957</v>
      </c>
      <c r="C30" s="0" t="s">
        <v>958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959</v>
      </c>
      <c r="C31" s="0" t="s">
        <v>958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960</v>
      </c>
      <c r="C32" s="0" t="s">
        <v>958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961</v>
      </c>
      <c r="C33" s="0" t="s">
        <v>391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962</v>
      </c>
      <c r="C34" s="0" t="s">
        <v>391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963</v>
      </c>
      <c r="C35" s="0" t="s">
        <v>391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964</v>
      </c>
      <c r="C36" s="0" t="s">
        <v>965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966</v>
      </c>
    </row>
    <row r="2" customFormat="false" ht="17.15" hidden="false" customHeight="false" outlineLevel="0" collapsed="false">
      <c r="A2" s="5" t="s">
        <v>967</v>
      </c>
    </row>
    <row r="3" customFormat="false" ht="15" hidden="false" customHeight="false" outlineLevel="0" collapsed="false">
      <c r="A3" s="6" t="s">
        <v>16</v>
      </c>
      <c r="B3" s="6" t="s">
        <v>15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21" t="s">
        <v>968</v>
      </c>
    </row>
    <row r="5" customFormat="false" ht="17.15" hidden="false" customHeight="false" outlineLevel="0" collapsed="false">
      <c r="A5" s="5" t="s">
        <v>969</v>
      </c>
      <c r="B5" s="0" t="s">
        <v>483</v>
      </c>
      <c r="C5" s="0" t="s">
        <v>53</v>
      </c>
      <c r="D5" s="22" t="n">
        <f aca="false">IF(In!$H$162&lt;&gt;"",In!$H$162,0)</f>
        <v>1</v>
      </c>
      <c r="E5" s="22" t="n">
        <f aca="false">IF(In!$I$162&lt;&gt;"",In!$I$162,0)</f>
        <v>1</v>
      </c>
      <c r="F5" s="22" t="n">
        <f aca="false">IF(In!$J$162&lt;&gt;"",In!$J$162,0)</f>
        <v>0.1</v>
      </c>
      <c r="G5" s="22" t="n">
        <f aca="false">IF(In!$K$162&lt;&gt;"",In!$K$162,0)</f>
        <v>0</v>
      </c>
      <c r="H5" s="22" t="n">
        <f aca="false">IF(In!$L$162&lt;&gt;"",In!$L$162,0)</f>
        <v>0</v>
      </c>
      <c r="I5" s="22" t="n">
        <f aca="false">IF(In!$M$162&lt;&gt;"",In!$M$162,0)</f>
        <v>0</v>
      </c>
      <c r="J5" s="22" t="n">
        <f aca="false">IF(In!$N$162&lt;&gt;"",In!$N$162,0)</f>
        <v>0</v>
      </c>
      <c r="K5" s="22" t="n">
        <f aca="false">IF(In!$O$162&lt;&gt;"",In!$O$162,J5)</f>
        <v>0</v>
      </c>
      <c r="L5" s="22" t="n">
        <f aca="false">IF(In!$P$162&lt;&gt;"",In!$P$162,J5)</f>
        <v>0</v>
      </c>
      <c r="M5" s="22" t="n">
        <f aca="false">IF(In!$Q$162&lt;&gt;"",In!$Q$162,J5)</f>
        <v>0</v>
      </c>
    </row>
    <row r="6" customFormat="false" ht="17.15" hidden="false" customHeight="false" outlineLevel="0" collapsed="false">
      <c r="A6" s="5" t="s">
        <v>970</v>
      </c>
      <c r="B6" s="0" t="s">
        <v>488</v>
      </c>
      <c r="C6" s="0" t="s">
        <v>53</v>
      </c>
      <c r="D6" s="22" t="n">
        <f aca="false">IF(In!$H$163&lt;&gt;"",In!$H$163,0)</f>
        <v>0</v>
      </c>
      <c r="E6" s="22" t="n">
        <f aca="false">IF(In!$I$163&lt;&gt;"",In!$I$163,0)</f>
        <v>0</v>
      </c>
      <c r="F6" s="22" t="n">
        <f aca="false">IF(In!$J$163&lt;&gt;"",In!$J$163,0)</f>
        <v>0.7</v>
      </c>
      <c r="G6" s="22" t="n">
        <f aca="false">IF(In!$K$163&lt;&gt;"",In!$K$163,0)</f>
        <v>0</v>
      </c>
      <c r="H6" s="22" t="n">
        <f aca="false">IF(In!$L$163&lt;&gt;"",In!$L$163,0)</f>
        <v>0</v>
      </c>
      <c r="I6" s="22" t="n">
        <f aca="false">IF(In!$M$163&lt;&gt;"",In!$M$163,0)</f>
        <v>0</v>
      </c>
      <c r="J6" s="22" t="n">
        <f aca="false">IF(In!$N$163&lt;&gt;"",In!$N$163,0)</f>
        <v>0</v>
      </c>
      <c r="K6" s="22" t="n">
        <f aca="false">IF(In!$O$163&lt;&gt;"",In!$O$163,J6)</f>
        <v>0</v>
      </c>
      <c r="L6" s="22" t="n">
        <f aca="false">IF(In!$P$163&lt;&gt;"",In!$P$163,J6)</f>
        <v>0</v>
      </c>
      <c r="M6" s="22" t="n">
        <f aca="false">IF(In!$Q$163&lt;&gt;"",In!$Q$163,J6)</f>
        <v>0</v>
      </c>
    </row>
    <row r="7" customFormat="false" ht="17.15" hidden="false" customHeight="false" outlineLevel="0" collapsed="false">
      <c r="A7" s="5" t="s">
        <v>971</v>
      </c>
      <c r="B7" s="0" t="s">
        <v>490</v>
      </c>
      <c r="C7" s="0" t="s">
        <v>53</v>
      </c>
      <c r="D7" s="22" t="n">
        <f aca="false">IF(In!$H$164&lt;&gt;"",In!$H$164,0)</f>
        <v>0</v>
      </c>
      <c r="E7" s="22" t="n">
        <f aca="false">IF(In!$I$164&lt;&gt;"",In!$I$164,0)</f>
        <v>0</v>
      </c>
      <c r="F7" s="22" t="n">
        <f aca="false">IF(In!$J$164&lt;&gt;"",In!$J$164,0)</f>
        <v>0.2</v>
      </c>
      <c r="G7" s="22" t="n">
        <f aca="false">IF(In!$K$164&lt;&gt;"",In!$K$164,(1-SIL_vr26))</f>
        <v>0.78</v>
      </c>
      <c r="H7" s="22" t="n">
        <f aca="false">IF(In!$L$164&lt;&gt;"",In!$L$164,0)</f>
        <v>0</v>
      </c>
      <c r="I7" s="22" t="n">
        <f aca="false">IF(In!$M$164&lt;&gt;"",In!$M$164,0)</f>
        <v>0</v>
      </c>
      <c r="J7" s="22" t="n">
        <f aca="false">IF(In!$N$164&lt;&gt;"",In!$N$164,0)</f>
        <v>0</v>
      </c>
      <c r="K7" s="22" t="n">
        <f aca="false">IF(In!$O$164&lt;&gt;"",In!$O$164,J7)</f>
        <v>0</v>
      </c>
      <c r="L7" s="22" t="n">
        <f aca="false">IF(In!$P$164&lt;&gt;"",In!$P$164,J7)</f>
        <v>0</v>
      </c>
      <c r="M7" s="22" t="n">
        <f aca="false">IF(In!$Q$164&lt;&gt;"",In!$Q$164,J7)</f>
        <v>0</v>
      </c>
    </row>
    <row r="8" customFormat="false" ht="17.15" hidden="false" customHeight="false" outlineLevel="0" collapsed="false">
      <c r="A8" s="5" t="s">
        <v>972</v>
      </c>
      <c r="B8" s="0" t="s">
        <v>492</v>
      </c>
      <c r="C8" s="0" t="s">
        <v>53</v>
      </c>
      <c r="D8" s="22" t="n">
        <f aca="false">IF(In!$H$165&lt;&gt;"",In!$H$165,0)</f>
        <v>0</v>
      </c>
      <c r="E8" s="22" t="n">
        <f aca="false">IF(In!$I$165&lt;&gt;"",In!$I$165,0)</f>
        <v>0</v>
      </c>
      <c r="F8" s="22" t="n">
        <f aca="false">IF(In!$J$165&lt;&gt;"",In!$J$165,0)</f>
        <v>0</v>
      </c>
      <c r="G8" s="22" t="n">
        <f aca="false">IF(In!$K$165&lt;&gt;"",In!$K$165,SIL_vr26)</f>
        <v>0.22</v>
      </c>
      <c r="H8" s="22" t="n">
        <f aca="false">IF(In!$L$165&lt;&gt;"",In!$L$165,(1-H$11))</f>
        <v>0.939674252875845</v>
      </c>
      <c r="I8" s="22" t="n">
        <f aca="false">IF(In!$M$165&lt;&gt;"",In!$M$165,(1-I$11))</f>
        <v>0.700284773845187</v>
      </c>
      <c r="J8" s="22" t="n">
        <f aca="false">IF(In!$N$165&lt;&gt;"",In!$N$165,(1-J$11))</f>
        <v>0.700284773845187</v>
      </c>
      <c r="K8" s="22" t="n">
        <f aca="false">IF(In!$O$165&lt;&gt;"",In!$O$165,J8)</f>
        <v>0.700284773845187</v>
      </c>
      <c r="L8" s="22" t="n">
        <f aca="false">IF(In!$P$165&lt;&gt;"",In!$P$165,J8)</f>
        <v>0.700284773845187</v>
      </c>
      <c r="M8" s="22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973</v>
      </c>
      <c r="B9" s="0" t="s">
        <v>494</v>
      </c>
      <c r="C9" s="0" t="s">
        <v>53</v>
      </c>
      <c r="D9" s="22" t="n">
        <f aca="false">IF(In!$H$166&lt;&gt;"",In!$H$166,0)</f>
        <v>0</v>
      </c>
      <c r="E9" s="22" t="n">
        <f aca="false">IF(In!$I$166&lt;&gt;"",In!$I$166,0)</f>
        <v>0</v>
      </c>
      <c r="F9" s="22" t="n">
        <f aca="false">IF(In!$J$166&lt;&gt;"",In!$J$166,0)</f>
        <v>0</v>
      </c>
      <c r="G9" s="22" t="n">
        <f aca="false">IF(In!$K$166&lt;&gt;"",In!$K$166,0)</f>
        <v>0</v>
      </c>
      <c r="H9" s="22" t="n">
        <f aca="false">IF(In!$L$166&lt;&gt;"",In!$L$166,H$11)</f>
        <v>0.0603257471241551</v>
      </c>
      <c r="I9" s="22" t="n">
        <f aca="false">IF(In!$M$166&lt;&gt;"",In!$M$166,I$11)</f>
        <v>0.299715226154813</v>
      </c>
      <c r="J9" s="22" t="n">
        <f aca="false">IF(In!$N$166&lt;&gt;"",In!$N$166,J$11)</f>
        <v>0.299715226154813</v>
      </c>
      <c r="K9" s="22" t="n">
        <f aca="false">IF(In!$O$166&lt;&gt;"",In!$O$166,J9)</f>
        <v>0.299715226154813</v>
      </c>
      <c r="L9" s="22" t="n">
        <f aca="false">IF(In!$P$166&lt;&gt;"",In!$P$166,J9)</f>
        <v>0.299715226154813</v>
      </c>
      <c r="M9" s="22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974</v>
      </c>
      <c r="C10" s="0" t="s">
        <v>53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975</v>
      </c>
      <c r="C11" s="0" t="s">
        <v>53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976</v>
      </c>
    </row>
    <row r="12" customFormat="false" ht="17.15" hidden="false" customHeight="false" outlineLevel="0" collapsed="false">
      <c r="A12" s="5" t="s">
        <v>977</v>
      </c>
      <c r="B12" s="0" t="s">
        <v>496</v>
      </c>
      <c r="C12" s="0" t="s">
        <v>53</v>
      </c>
      <c r="D12" s="23" t="n">
        <f aca="false">IF(In!$H$167&lt;&gt;"",In!$H$167,G12)</f>
        <v>0.238210067173108</v>
      </c>
      <c r="E12" s="23" t="n">
        <f aca="false">IF(In!$I$167&lt;&gt;"",In!$I$167,G12)</f>
        <v>0.238210067173108</v>
      </c>
      <c r="F12" s="23" t="n">
        <f aca="false">IF(In!$J$167&lt;&gt;"",In!$J$167,G12)</f>
        <v>0.238210067173108</v>
      </c>
      <c r="G12" s="23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IF(In!$O$167&lt;&gt;"",In!$O$167,J12)</f>
        <v>0.272187509408712</v>
      </c>
      <c r="L12" s="23" t="n">
        <f aca="false">IF(In!$P$167&lt;&gt;"",In!$P$167,J12)</f>
        <v>0.272187509408712</v>
      </c>
      <c r="M12" s="23" t="n">
        <f aca="false">IF(In!$Q$167&lt;&gt;"",In!$Q$167,J12)</f>
        <v>0.272187509408712</v>
      </c>
      <c r="N12" s="20" t="s">
        <v>978</v>
      </c>
    </row>
    <row r="13" customFormat="false" ht="17.15" hidden="false" customHeight="false" outlineLevel="0" collapsed="false">
      <c r="A13" s="5" t="s">
        <v>979</v>
      </c>
      <c r="C13" s="0" t="s">
        <v>37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980</v>
      </c>
    </row>
    <row r="14" customFormat="false" ht="17.15" hidden="false" customHeight="false" outlineLevel="0" collapsed="false">
      <c r="A14" s="5" t="s">
        <v>981</v>
      </c>
      <c r="B14" s="0" t="s">
        <v>982</v>
      </c>
      <c r="C14" s="0" t="s">
        <v>37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983</v>
      </c>
    </row>
    <row r="15" customFormat="false" ht="17.15" hidden="false" customHeight="false" outlineLevel="0" collapsed="false">
      <c r="A15" s="5" t="s">
        <v>984</v>
      </c>
      <c r="B15" s="0" t="s">
        <v>985</v>
      </c>
      <c r="C15" s="0" t="s">
        <v>37</v>
      </c>
      <c r="D15" s="24" t="n">
        <f aca="false">ovr25_googl/In!$J$102</f>
        <v>1.45604767709603</v>
      </c>
      <c r="E15" s="24" t="n">
        <f aca="false">ovr25_googl_lo/In!$J$102</f>
        <v>1.32060138155221</v>
      </c>
      <c r="F15" s="24" t="n">
        <f aca="false">ovr25_googl_hi/In!$J$102</f>
        <v>1.65921712041176</v>
      </c>
      <c r="N15" s="20" t="s">
        <v>986</v>
      </c>
    </row>
    <row r="16" customFormat="false" ht="17.15" hidden="false" customHeight="false" outlineLevel="0" collapsed="false">
      <c r="A16" s="5" t="s">
        <v>987</v>
      </c>
      <c r="B16" s="0" t="s">
        <v>988</v>
      </c>
      <c r="C16" s="0" t="s">
        <v>37</v>
      </c>
      <c r="D16" s="24" t="n">
        <f aca="false">ovr25_amzn/In!$J$103</f>
        <v>1.31539611360239</v>
      </c>
      <c r="E16" s="24" t="n">
        <f aca="false">ovr25_amzn_lo/In!$J$103</f>
        <v>1.13602391629297</v>
      </c>
      <c r="F16" s="24" t="n">
        <f aca="false">ovr25_amzn_hi/In!$J$103</f>
        <v>1.55455904334828</v>
      </c>
      <c r="N16" s="20" t="s">
        <v>989</v>
      </c>
    </row>
    <row r="17" customFormat="false" ht="17.15" hidden="false" customHeight="false" outlineLevel="0" collapsed="false">
      <c r="A17" s="5" t="s">
        <v>990</v>
      </c>
      <c r="B17" s="0" t="s">
        <v>991</v>
      </c>
      <c r="C17" s="0" t="s">
        <v>37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983</v>
      </c>
    </row>
    <row r="18" customFormat="false" ht="17.15" hidden="false" customHeight="false" outlineLevel="0" collapsed="false">
      <c r="A18" s="5" t="s">
        <v>992</v>
      </c>
      <c r="B18" s="0" t="s">
        <v>993</v>
      </c>
      <c r="C18" s="0" t="s">
        <v>37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983</v>
      </c>
    </row>
    <row r="19" customFormat="false" ht="17.15" hidden="false" customHeight="false" outlineLevel="0" collapsed="false">
      <c r="A19" s="5" t="s">
        <v>994</v>
      </c>
      <c r="B19" s="0" t="s">
        <v>995</v>
      </c>
      <c r="C19" s="0" t="s">
        <v>37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983</v>
      </c>
    </row>
    <row r="21" customFormat="false" ht="17.15" hidden="false" customHeight="false" outlineLevel="0" collapsed="false">
      <c r="A21" s="8" t="s">
        <v>996</v>
      </c>
      <c r="B21" s="20" t="s">
        <v>507</v>
      </c>
      <c r="N21" s="20" t="s">
        <v>997</v>
      </c>
    </row>
    <row r="22" customFormat="false" ht="17.15" hidden="false" customHeight="false" outlineLevel="0" collapsed="false">
      <c r="A22" s="5" t="s">
        <v>998</v>
      </c>
      <c r="B22" s="0" t="s">
        <v>999</v>
      </c>
      <c r="C22" s="0" t="s">
        <v>78</v>
      </c>
      <c r="D22" s="24" t="str">
        <f aca="false">IF(In!$H$108="","",IF(In!$C$108="設施",In!$H$108/1000/D$13,In!$H$108/1000))</f>
        <v/>
      </c>
      <c r="E22" s="24" t="str">
        <f aca="false">IF(In!$I$108="","",IF(In!$C$108="設施",In!$I$108/1000/E$13,In!$I$108/1000))</f>
        <v/>
      </c>
      <c r="F22" s="24" t="str">
        <f aca="false">IF(In!$J$108="","",IF(In!$C$108="設施",In!$J$108/1000/F$13,In!$J$108/1000))</f>
        <v/>
      </c>
      <c r="G22" s="24" t="str">
        <f aca="false">IF(In!$K$108="","",IF(In!$C$108="設施",In!$K$108/1000/G$13,In!$K$108/1000))</f>
        <v/>
      </c>
      <c r="H22" s="24" t="str">
        <f aca="false">IF(In!$L$108="","",IF(In!$C$108="設施",In!$L$108/1000/H$13,In!$L$108/1000))</f>
        <v/>
      </c>
      <c r="I22" s="24" t="str">
        <f aca="false">IF(In!$M$108="","",IF(In!$C$108="設施",In!$M$108/1000/I$13,In!$M$108/1000))</f>
        <v/>
      </c>
      <c r="J22" s="24" t="str">
        <f aca="false">IF(In!$N$108="","",IF(In!$C$108="設施",In!$N$108/1000/J$13,In!$N$108/1000))</f>
        <v/>
      </c>
      <c r="K22" s="24" t="str">
        <f aca="false">IF(In!$O$108="","",IF(In!$C$108="設施",In!$O$108/1000/K$13,In!$O$108/1000))</f>
        <v/>
      </c>
      <c r="L22" s="24" t="str">
        <f aca="false">IF(In!$P$108="","",IF(In!$C$108="設施",In!$P$108/1000/L$13,In!$P$108/1000))</f>
        <v/>
      </c>
      <c r="M22" s="24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1000</v>
      </c>
      <c r="B23" s="0" t="s">
        <v>1001</v>
      </c>
      <c r="C23" s="0" t="s">
        <v>78</v>
      </c>
      <c r="D23" s="24" t="str">
        <f aca="false">IF(In!$H$101="","",In!$H$101*Players!$D$14/1000)</f>
        <v/>
      </c>
      <c r="E23" s="24" t="n">
        <f aca="false">IF(In!$I$101="","",In!$I$101*Players!$D$14/1000)</f>
        <v>1.593775</v>
      </c>
      <c r="F23" s="24" t="n">
        <f aca="false">IF(In!$J$101="","",In!$J$101*Players!$D$14/1000)</f>
        <v>3.729045</v>
      </c>
      <c r="G23" s="24" t="str">
        <f aca="false">IF(In!$K$101="","",In!$K$101*Players!$D$14/1000)</f>
        <v/>
      </c>
      <c r="H23" s="24" t="str">
        <f aca="false">IF(In!$L$101="","",In!$L$101*Players!$D$14/1000)</f>
        <v/>
      </c>
      <c r="I23" s="24" t="str">
        <f aca="false">IF(In!$M$101="","",In!$M$101*Players!$D$14/1000)</f>
        <v/>
      </c>
      <c r="J23" s="24" t="str">
        <f aca="false">IF(In!$N$101="","",In!$N$101*Players!$D$14/1000)</f>
        <v/>
      </c>
      <c r="K23" s="24" t="str">
        <f aca="false">IF(In!$O$101="","",In!$O$101*Players!$D$14/1000)</f>
        <v/>
      </c>
      <c r="L23" s="24" t="str">
        <f aca="false">IF(In!$P$101="","",In!$P$101*Players!$D$14/1000)</f>
        <v/>
      </c>
      <c r="M23" s="24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1002</v>
      </c>
      <c r="B24" s="0" t="s">
        <v>1003</v>
      </c>
      <c r="C24" s="0" t="s">
        <v>78</v>
      </c>
      <c r="D24" s="24" t="str">
        <f aca="false">IF(D22&lt;&gt;"",D22,IF(D23&lt;&gt;"",D23,IF(INT(obsd_msft)=2023,obs_msft/1000+SUMIFS(Pipeline!$L$5:$L$74,Pipeline!$C$5:$C$74,"msft",Pipeline!$Q$5:$Q$74,1,Pipeline!$K$5:$K$74,"&gt;"&amp;obsd_msft,Pipeline!$K$5:$K$74,"&lt;="&amp;2024),"")))</f>
        <v/>
      </c>
      <c r="E24" s="24" t="n">
        <f aca="false">IF(E22&lt;&gt;"",E22,IF(E23&lt;&gt;"",E23,IF(INT(obsd_msft)=2024,obs_msft/1000+SUMIFS(Pipeline!$L$5:$L$74,Pipeline!$C$5:$C$74,"msft",Pipeline!$Q$5:$Q$74,1,Pipeline!$K$5:$K$74,"&gt;"&amp;obsd_msft,Pipeline!$K$5:$K$74,"&lt;="&amp;2025),"")))</f>
        <v>1.593775</v>
      </c>
      <c r="F24" s="24" t="n">
        <f aca="false">IF(F22&lt;&gt;"",F22,IF(F23&lt;&gt;"",F23,IF(INT(obsd_msft)=2025,obs_msft/1000+SUMIFS(Pipeline!$L$5:$L$74,Pipeline!$C$5:$C$74,"msft",Pipeline!$Q$5:$Q$74,1,Pipeline!$K$5:$K$74,"&gt;"&amp;obsd_msft,Pipeline!$K$5:$K$74,"&lt;="&amp;2026),"")))</f>
        <v>3.729045</v>
      </c>
      <c r="G24" s="24" t="n">
        <f aca="false">IF(G22&lt;&gt;"",G22,IF(G23&lt;&gt;"",G23,IF(INT(obsd_msft)=2026,obs_msft/1000+SUMIFS(Pipeline!$L$5:$L$74,Pipeline!$C$5:$C$74,"msft",Pipeline!$Q$5:$Q$74,1,Pipeline!$K$5:$K$74,"&gt;"&amp;obsd_msft,Pipeline!$K$5:$K$74,"&lt;="&amp;2027),"")))</f>
        <v>4.5</v>
      </c>
      <c r="H24" s="24" t="str">
        <f aca="false">IF(H22&lt;&gt;"",H22,IF(H23&lt;&gt;"",H23,IF(INT(obsd_msft)=2027,obs_msft/1000+SUMIFS(Pipeline!$L$5:$L$74,Pipeline!$C$5:$C$74,"msft",Pipeline!$Q$5:$Q$74,1,Pipeline!$K$5:$K$74,"&gt;"&amp;obsd_msft,Pipeline!$K$5:$K$74,"&lt;="&amp;2028),"")))</f>
        <v/>
      </c>
      <c r="I24" s="24" t="str">
        <f aca="false">IF(I22&lt;&gt;"",I22,IF(I23&lt;&gt;"",I23,IF(INT(obsd_msft)=2028,obs_msft/1000+SUMIFS(Pipeline!$L$5:$L$74,Pipeline!$C$5:$C$74,"msft",Pipeline!$Q$5:$Q$74,1,Pipeline!$K$5:$K$74,"&gt;"&amp;obsd_msft,Pipeline!$K$5:$K$74,"&lt;="&amp;2029),"")))</f>
        <v/>
      </c>
      <c r="J24" s="24" t="str">
        <f aca="false">IF(J22&lt;&gt;"",J22,IF(J23&lt;&gt;"",J23,IF(INT(obsd_msft)=2029,obs_msft/1000+SUMIFS(Pipeline!$L$5:$L$74,Pipeline!$C$5:$C$74,"msft",Pipeline!$Q$5:$Q$74,1,Pipeline!$K$5:$K$74,"&gt;"&amp;obsd_msft,Pipeline!$K$5:$K$74,"&lt;="&amp;2030),"")))</f>
        <v/>
      </c>
      <c r="K24" s="24" t="str">
        <f aca="false">IF(K22&lt;&gt;"",K22,IF(K23&lt;&gt;"",K23,IF(INT(obsd_msft)=2030,obs_msft/1000+SUMIFS(Pipeline!$L$5:$L$74,Pipeline!$C$5:$C$74,"msft",Pipeline!$Q$5:$Q$74,1,Pipeline!$K$5:$K$74,"&gt;"&amp;obsd_msft,Pipeline!$K$5:$K$74,"&lt;="&amp;2031),"")))</f>
        <v/>
      </c>
      <c r="L24" s="24" t="str">
        <f aca="false">IF(L22&lt;&gt;"",L22,IF(L23&lt;&gt;"",L23,IF(INT(obsd_msft)=2031,obs_msft/1000+SUMIFS(Pipeline!$L$5:$L$74,Pipeline!$C$5:$C$74,"msft",Pipeline!$Q$5:$Q$74,1,Pipeline!$K$5:$K$74,"&gt;"&amp;obsd_msft,Pipeline!$K$5:$K$74,"&lt;="&amp;2032),"")))</f>
        <v/>
      </c>
      <c r="M24" s="24" t="str">
        <f aca="false">IF(M22&lt;&gt;"",M22,IF(M23&lt;&gt;"",M23,IF(INT(obsd_msft)=2032,obs_msft/1000+SUMIFS(Pipeline!$L$5:$L$74,Pipeline!$C$5:$C$74,"msft",Pipeline!$Q$5:$Q$74,1,Pipeline!$K$5:$K$74,"&gt;"&amp;obsd_msft,Pipeline!$K$5:$K$74,"&lt;="&amp;2033),"")))</f>
        <v/>
      </c>
    </row>
    <row r="25" customFormat="false" ht="15" hidden="false" customHeight="false" outlineLevel="0" collapsed="false">
      <c r="A25" s="5" t="s">
        <v>1004</v>
      </c>
      <c r="B25" s="0" t="s">
        <v>1005</v>
      </c>
      <c r="C25" s="0" t="s">
        <v>78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1006</v>
      </c>
      <c r="B26" s="0" t="s">
        <v>1007</v>
      </c>
      <c r="C26" s="5" t="s">
        <v>48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1008</v>
      </c>
      <c r="B27" s="0" t="s">
        <v>1009</v>
      </c>
      <c r="C27" s="0" t="s">
        <v>78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1010</v>
      </c>
      <c r="B28" s="0" t="s">
        <v>1011</v>
      </c>
      <c r="C28" s="5" t="s">
        <v>48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1012</v>
      </c>
      <c r="B29" s="0" t="s">
        <v>1013</v>
      </c>
      <c r="C29" s="0" t="s">
        <v>78</v>
      </c>
      <c r="D29" s="24" t="n">
        <f aca="false">SUMIFS(Pipeline!$L$5:$L$74,Pipeline!$C$5:$C$74,"msft",Pipeline!$Q$5:$Q$74,1,Pipeline!$P$5:$P$74,2023)</f>
        <v>0</v>
      </c>
      <c r="E29" s="24" t="n">
        <f aca="false">SUMIFS(Pipeline!$L$5:$L$74,Pipeline!$C$5:$C$74,"msft",Pipeline!$Q$5:$Q$74,1,Pipeline!$P$5:$P$74,2024)</f>
        <v>0</v>
      </c>
      <c r="F29" s="24" t="n">
        <f aca="false">SUMIFS(Pipeline!$L$5:$L$74,Pipeline!$C$5:$C$74,"msft",Pipeline!$Q$5:$Q$74,1,Pipeline!$P$5:$P$74,2025)</f>
        <v>0.321</v>
      </c>
      <c r="G29" s="24" t="n">
        <f aca="false">SUMIFS(Pipeline!$L$5:$L$74,Pipeline!$C$5:$C$74,"msft",Pipeline!$Q$5:$Q$74,1,Pipeline!$P$5:$P$74,2026)</f>
        <v>0.684</v>
      </c>
      <c r="H29" s="24" t="n">
        <f aca="false">SUMIFS(Pipeline!$L$5:$L$74,Pipeline!$C$5:$C$74,"msft",Pipeline!$Q$5:$Q$74,1,Pipeline!$P$5:$P$74,2027)</f>
        <v>1.04</v>
      </c>
      <c r="I29" s="24" t="n">
        <f aca="false">SUMIFS(Pipeline!$L$5:$L$74,Pipeline!$C$5:$C$74,"msft",Pipeline!$Q$5:$Q$74,1,Pipeline!$P$5:$P$74,2028)</f>
        <v>1.526</v>
      </c>
      <c r="J29" s="24" t="n">
        <f aca="false">SUMIFS(Pipeline!$L$5:$L$74,Pipeline!$C$5:$C$74,"msft",Pipeline!$Q$5:$Q$74,1,Pipeline!$P$5:$P$74,2029)</f>
        <v>0</v>
      </c>
      <c r="K29" s="24" t="n">
        <f aca="false">SUMIFS(Pipeline!$L$5:$L$74,Pipeline!$C$5:$C$74,"msft",Pipeline!$Q$5:$Q$74,1,Pipeline!$P$5:$P$74,2030)</f>
        <v>0</v>
      </c>
      <c r="L29" s="24" t="n">
        <f aca="false">SUMIFS(Pipeline!$L$5:$L$74,Pipeline!$C$5:$C$74,"msft",Pipeline!$Q$5:$Q$74,1,Pipeline!$P$5:$P$74,2031)</f>
        <v>0</v>
      </c>
      <c r="M29" s="24" t="n">
        <f aca="false">SUMIFS(Pipeline!$L$5:$L$74,Pipeline!$C$5:$C$74,"msft",Pipeline!$Q$5:$Q$74,1,Pipeline!$P$5:$P$74,2032)</f>
        <v>0</v>
      </c>
    </row>
    <row r="30" customFormat="false" ht="17.15" hidden="false" customHeight="false" outlineLevel="0" collapsed="false">
      <c r="A30" s="5" t="s">
        <v>1014</v>
      </c>
      <c r="B30" s="0" t="s">
        <v>1015</v>
      </c>
      <c r="C30" s="0" t="s">
        <v>78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5.54</v>
      </c>
      <c r="I30" s="25" t="n">
        <f aca="false">IF(I24&lt;&gt;"",I24,IF(AND(I25&lt;&gt;"",I27&lt;&gt;""),I25+(I27-I25)*(2028-I26)/(I28-I26),IF(H30&lt;&gt;"",H30+I29,"")))</f>
        <v>7.066</v>
      </c>
      <c r="J30" s="25" t="n">
        <f aca="false">IF(J24&lt;&gt;"",J24,IF(AND(J25&lt;&gt;"",J27&lt;&gt;""),J25+(J27-J25)*(2029-J26)/(J28-J26),IF(I30&lt;&gt;"",I30+J29,"")))</f>
        <v>7.066</v>
      </c>
      <c r="K30" s="25" t="n">
        <f aca="false">IF(K24&lt;&gt;"",K24,IF(AND(K25&lt;&gt;"",K27&lt;&gt;""),K25+(K27-K25)*(2030-K26)/(K28-K26),IF(J30&lt;&gt;"",J30+K29,"")))</f>
        <v>7.066</v>
      </c>
      <c r="L30" s="25" t="n">
        <f aca="false">IF(L24&lt;&gt;"",L24,IF(AND(L25&lt;&gt;"",L27&lt;&gt;""),L25+(L27-L25)*(2031-L26)/(L28-L26),IF(K30&lt;&gt;"",K30+L29,"")))</f>
        <v>7.066</v>
      </c>
      <c r="M30" s="25" t="n">
        <f aca="false">IF(M24&lt;&gt;"",M24,IF(AND(M25&lt;&gt;"",M27&lt;&gt;""),M25+(M27-M25)*(2032-M26)/(M28-M26),IF(L30&lt;&gt;"",L30+M29,"")))</f>
        <v>7.066</v>
      </c>
    </row>
    <row r="31" customFormat="false" ht="15" hidden="false" customHeight="false" outlineLevel="0" collapsed="false">
      <c r="A31" s="5" t="s">
        <v>1016</v>
      </c>
      <c r="B31" s="0" t="s">
        <v>1017</v>
      </c>
      <c r="C31" s="0" t="s">
        <v>36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1018</v>
      </c>
      <c r="B32" s="0" t="s">
        <v>1019</v>
      </c>
      <c r="C32" s="0" t="s">
        <v>78</v>
      </c>
      <c r="D32" s="24" t="str">
        <f aca="false">IF(D30="","",IF(D31=2,D30-(obs_msft-obs_msft_lo)/1000,IF(AND(D31=5,In!$H$101&lt;&gt;""),In!$H$101*Players!$E$14/1000,D30)))</f>
        <v/>
      </c>
      <c r="E32" s="24" t="n">
        <f aca="false">IF(E30="","",IF(E31=2,E30-(obs_msft-obs_msft_lo)/1000,IF(AND(E31=5,In!$I$101&lt;&gt;""),In!$I$101*Players!$E$14/1000,E30)))</f>
        <v>1.421475</v>
      </c>
      <c r="F32" s="24" t="n">
        <f aca="false">IF(F30="","",IF(F31=2,F30-(obs_msft-obs_msft_lo)/1000,MIN(IF(AND(F31=5,In!$J$101&lt;&gt;""),In!$J$101*Players!$E$14/1000,F30),msft_guardian_lo/1000)))</f>
        <v>1</v>
      </c>
      <c r="G32" s="24" t="n">
        <f aca="false">IF(G30="","",IF(G31=2,G30-(obs_msft-obs_msft_lo)/1000,IF(AND(G31=5,In!$K$101&lt;&gt;""),In!$K$101*Players!$E$14/1000,G30)))</f>
        <v>3.5</v>
      </c>
      <c r="H32" s="24" t="n">
        <f aca="false">IF(H30="","",IF(H31=2,H30-(obs_msft-obs_msft_lo)/1000,IF(AND(H31=5,In!$L$101&lt;&gt;""),In!$L$101*Players!$E$14/1000,H30)))</f>
        <v>5.54</v>
      </c>
      <c r="I32" s="24" t="n">
        <f aca="false">IF(I30="","",IF(I31=2,I30-(obs_msft-obs_msft_lo)/1000,IF(AND(I31=5,In!$M$101&lt;&gt;""),In!$M$101*Players!$E$14/1000,I30)))</f>
        <v>7.066</v>
      </c>
      <c r="J32" s="24" t="n">
        <f aca="false">IF(J30="","",IF(J31=2,J30-(obs_msft-obs_msft_lo)/1000,IF(AND(J31=5,In!$N$101&lt;&gt;""),In!$N$101*Players!$E$14/1000,J30)))</f>
        <v>7.066</v>
      </c>
      <c r="K32" s="24" t="n">
        <f aca="false">IF(K30="","",IF(K31=2,K30-(obs_msft-obs_msft_lo)/1000,IF(AND(K31=5,In!$O$101&lt;&gt;""),In!$O$101*Players!$E$14/1000,K30)))</f>
        <v>7.066</v>
      </c>
      <c r="L32" s="24" t="n">
        <f aca="false">IF(L30="","",IF(L31=2,L30-(obs_msft-obs_msft_lo)/1000,IF(AND(L31=5,In!$P$101&lt;&gt;""),In!$P$101*Players!$E$14/1000,L30)))</f>
        <v>7.066</v>
      </c>
      <c r="M32" s="24" t="n">
        <f aca="false">IF(M30="","",IF(M31=2,M30-(obs_msft-obs_msft_lo)/1000,IF(AND(M31=5,In!$Q$101&lt;&gt;""),In!$Q$101*Players!$E$14/1000,M30)))</f>
        <v>7.066</v>
      </c>
    </row>
    <row r="33" customFormat="false" ht="17.15" hidden="false" customHeight="false" outlineLevel="0" collapsed="false">
      <c r="A33" s="5" t="s">
        <v>1020</v>
      </c>
      <c r="B33" s="0" t="s">
        <v>1021</v>
      </c>
      <c r="C33" s="0" t="s">
        <v>78</v>
      </c>
      <c r="D33" s="24" t="str">
        <f aca="false">IF(D30="","",IF(D31=2,D30+(obs_msft_hi-obs_msft)/1000,IF(AND(D31=5,In!$H$101&lt;&gt;""),In!$H$101*Players!$F$14/1000,D30)))</f>
        <v/>
      </c>
      <c r="E33" s="24" t="n">
        <f aca="false">IF(E30="","",IF(E31=2,E30+(obs_msft_hi-obs_msft)/1000,IF(AND(E31=5,In!$I$101&lt;&gt;""),In!$I$101*Players!$F$14/1000,E30)))</f>
        <v>1.79192</v>
      </c>
      <c r="F33" s="24" t="n">
        <f aca="false">IF(F30="","",IF(F31=2,F30+(obs_msft_hi-obs_msft)/1000,IF(AND(F31=5,In!$J$101&lt;&gt;""),In!$J$101*Players!$F$14/1000,F30)))</f>
        <v>4.192656</v>
      </c>
      <c r="G33" s="24" t="n">
        <f aca="false">IF(G30="","",IF(G31=2,G30+(obs_msft_hi-obs_msft)/1000,IF(AND(G31=5,In!$K$101&lt;&gt;""),In!$K$101*Players!$F$14/1000,G30)))</f>
        <v>5.5</v>
      </c>
      <c r="H33" s="24" t="n">
        <f aca="false">IF(H30="","",IF(H31=2,H30+(obs_msft_hi-obs_msft)/1000,IF(AND(H31=5,In!$L$101&lt;&gt;""),In!$L$101*Players!$F$14/1000,H30)))</f>
        <v>5.54</v>
      </c>
      <c r="I33" s="24" t="n">
        <f aca="false">IF(I30="","",IF(I31=2,I30+(obs_msft_hi-obs_msft)/1000,IF(AND(I31=5,In!$M$101&lt;&gt;""),In!$M$101*Players!$F$14/1000,I30)))</f>
        <v>7.066</v>
      </c>
      <c r="J33" s="24" t="n">
        <f aca="false">IF(J30="","",IF(J31=2,J30+(obs_msft_hi-obs_msft)/1000,IF(AND(J31=5,In!$N$101&lt;&gt;""),In!$N$101*Players!$F$14/1000,J30)))</f>
        <v>7.066</v>
      </c>
      <c r="K33" s="24" t="n">
        <f aca="false">IF(K30="","",IF(K31=2,K30+(obs_msft_hi-obs_msft)/1000,IF(AND(K31=5,In!$O$101&lt;&gt;""),In!$O$101*Players!$F$14/1000,K30)))</f>
        <v>7.066</v>
      </c>
      <c r="L33" s="24" t="n">
        <f aca="false">IF(L30="","",IF(L31=2,L30+(obs_msft_hi-obs_msft)/1000,IF(AND(L31=5,In!$P$101&lt;&gt;""),In!$P$101*Players!$F$14/1000,L30)))</f>
        <v>7.066</v>
      </c>
      <c r="M33" s="24" t="n">
        <f aca="false">IF(M30="","",IF(M31=2,M30+(obs_msft_hi-obs_msft)/1000,IF(AND(M31=5,In!$Q$101&lt;&gt;""),In!$Q$101*Players!$F$14/1000,M30)))</f>
        <v>7.066</v>
      </c>
    </row>
    <row r="34" customFormat="false" ht="17.15" hidden="false" customHeight="false" outlineLevel="0" collapsed="false">
      <c r="A34" s="5" t="s">
        <v>1022</v>
      </c>
      <c r="B34" s="0" t="s">
        <v>1023</v>
      </c>
      <c r="C34" s="0" t="s">
        <v>78</v>
      </c>
      <c r="D34" s="24" t="str">
        <f aca="false">IF(D30="","",IF(In!$C$108="未說明",D30/D$13,D30))</f>
        <v/>
      </c>
      <c r="E34" s="24" t="n">
        <f aca="false">IF(E30="","",IF(In!$C$108="未說明",E30/E$13,E30))</f>
        <v>1.593775</v>
      </c>
      <c r="F34" s="24" t="n">
        <f aca="false">IF(F30="","",IF(In!$C$108="未說明",F30/F$13,F30))</f>
        <v>3.729045</v>
      </c>
      <c r="G34" s="24" t="n">
        <f aca="false">IF(G30="","",IF(In!$C$108="未說明",G30/G$13,G30))</f>
        <v>4.5</v>
      </c>
      <c r="H34" s="24" t="n">
        <f aca="false">IF(H30="","",IF(In!$C$108="未說明",H30/H$13,H30))</f>
        <v>5.54</v>
      </c>
      <c r="I34" s="24" t="n">
        <f aca="false">IF(I30="","",IF(In!$C$108="未說明",I30/I$13,I30))</f>
        <v>7.066</v>
      </c>
      <c r="J34" s="24" t="n">
        <f aca="false">IF(J30="","",IF(In!$C$108="未說明",J30/J$13,J30))</f>
        <v>7.066</v>
      </c>
      <c r="K34" s="24" t="n">
        <f aca="false">IF(K30="","",IF(In!$C$108="未說明",K30/K$13,K30))</f>
        <v>7.066</v>
      </c>
      <c r="L34" s="24" t="n">
        <f aca="false">IF(L30="","",IF(In!$C$108="未說明",L30/L$13,L30))</f>
        <v>7.066</v>
      </c>
      <c r="M34" s="24" t="n">
        <f aca="false">IF(M30="","",IF(In!$C$108="未說明",M30/M$13,M30))</f>
        <v>7.066</v>
      </c>
    </row>
    <row r="35" customFormat="false" ht="17.15" hidden="false" customHeight="false" outlineLevel="0" collapsed="false">
      <c r="A35" s="5" t="s">
        <v>1024</v>
      </c>
      <c r="B35" s="0" t="s">
        <v>1025</v>
      </c>
      <c r="C35" s="0" t="s">
        <v>78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5.02</v>
      </c>
      <c r="I35" s="24" t="n">
        <f aca="false">IF(AND(H30&lt;&gt;"",I30&lt;&gt;""),(H30+I30)/2,"")</f>
        <v>6.303</v>
      </c>
      <c r="J35" s="24" t="n">
        <f aca="false">IF(AND(I30&lt;&gt;"",J30&lt;&gt;""),(I30+J30)/2,"")</f>
        <v>7.066</v>
      </c>
      <c r="K35" s="24" t="n">
        <f aca="false">IF(AND(J30&lt;&gt;"",K30&lt;&gt;""),(J30+K30)/2,"")</f>
        <v>7.066</v>
      </c>
      <c r="L35" s="24" t="n">
        <f aca="false">IF(AND(K30&lt;&gt;"",L30&lt;&gt;""),(K30+L30)/2,"")</f>
        <v>7.066</v>
      </c>
      <c r="M35" s="24" t="n">
        <f aca="false">IF(AND(L30&lt;&gt;"",M30&lt;&gt;""),(L30+M30)/2,"")</f>
        <v>7.066</v>
      </c>
    </row>
    <row r="36" customFormat="false" ht="17.15" hidden="false" customHeight="false" outlineLevel="0" collapsed="false">
      <c r="A36" s="5" t="s">
        <v>1026</v>
      </c>
      <c r="B36" s="0" t="s">
        <v>1027</v>
      </c>
      <c r="C36" s="0" t="s">
        <v>78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1.04</v>
      </c>
      <c r="I36" s="24" t="n">
        <f aca="false">IF(AND(H30&lt;&gt;"",I30&lt;&gt;""),I30-H30,0)</f>
        <v>1.526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1028</v>
      </c>
      <c r="B37" s="0" t="s">
        <v>1029</v>
      </c>
      <c r="C37" s="0" t="s">
        <v>78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1030</v>
      </c>
      <c r="B38" s="0" t="s">
        <v>1031</v>
      </c>
      <c r="C38" s="0" t="s">
        <v>53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1032</v>
      </c>
      <c r="B40" s="20" t="s">
        <v>512</v>
      </c>
      <c r="N40" s="20" t="s">
        <v>1033</v>
      </c>
    </row>
    <row r="41" customFormat="false" ht="17.15" hidden="false" customHeight="false" outlineLevel="0" collapsed="false">
      <c r="A41" s="5" t="s">
        <v>998</v>
      </c>
      <c r="B41" s="0" t="s">
        <v>1034</v>
      </c>
      <c r="C41" s="0" t="s">
        <v>78</v>
      </c>
      <c r="D41" s="24" t="str">
        <f aca="false">IF(In!$H$109="","",IF(In!$C$109="設施",In!$H$109/1000/D$13,In!$H$109/1000))</f>
        <v/>
      </c>
      <c r="E41" s="24" t="str">
        <f aca="false">IF(In!$I$109="","",IF(In!$C$109="設施",In!$I$109/1000/E$13,In!$I$109/1000))</f>
        <v/>
      </c>
      <c r="F41" s="24" t="str">
        <f aca="false">IF(In!$J$109="","",IF(In!$C$109="設施",In!$J$109/1000/F$13,In!$J$109/1000))</f>
        <v/>
      </c>
      <c r="G41" s="24" t="str">
        <f aca="false">IF(In!$K$109="","",IF(In!$C$109="設施",In!$K$109/1000/G$13,In!$K$109/1000))</f>
        <v/>
      </c>
      <c r="H41" s="24" t="str">
        <f aca="false">IF(In!$L$109="","",IF(In!$C$109="設施",In!$L$109/1000/H$13,In!$L$109/1000))</f>
        <v/>
      </c>
      <c r="I41" s="24" t="str">
        <f aca="false">IF(In!$M$109="","",IF(In!$C$109="設施",In!$M$109/1000/I$13,In!$M$109/1000))</f>
        <v/>
      </c>
      <c r="J41" s="24" t="str">
        <f aca="false">IF(In!$N$109="","",IF(In!$C$109="設施",In!$N$109/1000/J$13,In!$N$109/1000))</f>
        <v/>
      </c>
      <c r="K41" s="24" t="str">
        <f aca="false">IF(In!$O$109="","",IF(In!$C$109="設施",In!$O$109/1000/K$13,In!$O$109/1000))</f>
        <v/>
      </c>
      <c r="L41" s="24" t="str">
        <f aca="false">IF(In!$P$109="","",IF(In!$C$109="設施",In!$P$109/1000/L$13,In!$P$109/1000))</f>
        <v/>
      </c>
      <c r="M41" s="24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1000</v>
      </c>
      <c r="B42" s="0" t="s">
        <v>1035</v>
      </c>
      <c r="C42" s="0" t="s">
        <v>78</v>
      </c>
      <c r="D42" s="24" t="n">
        <f aca="false">IF(In!$H$102="","",In!$H$102*Players!$D$15/1000)</f>
        <v>0.560578355681972</v>
      </c>
      <c r="E42" s="24" t="n">
        <f aca="false">IF(In!$I$102="","",In!$I$102*Players!$D$15/1000)</f>
        <v>1.89038669917378</v>
      </c>
      <c r="F42" s="24" t="n">
        <f aca="false">IF(In!$J$102="","",In!$J$102*Players!$D$15/1000)</f>
        <v>4.3</v>
      </c>
      <c r="G42" s="24" t="str">
        <f aca="false">IF(In!$K$102="","",In!$K$102*Players!$D$15/1000)</f>
        <v/>
      </c>
      <c r="H42" s="24" t="str">
        <f aca="false">IF(In!$L$102="","",In!$L$102*Players!$D$15/1000)</f>
        <v/>
      </c>
      <c r="I42" s="24" t="str">
        <f aca="false">IF(In!$M$102="","",In!$M$102*Players!$D$15/1000)</f>
        <v/>
      </c>
      <c r="J42" s="24" t="str">
        <f aca="false">IF(In!$N$102="","",In!$N$102*Players!$D$15/1000)</f>
        <v/>
      </c>
      <c r="K42" s="24" t="str">
        <f aca="false">IF(In!$O$102="","",In!$O$102*Players!$D$15/1000)</f>
        <v/>
      </c>
      <c r="L42" s="24" t="str">
        <f aca="false">IF(In!$P$102="","",In!$P$102*Players!$D$15/1000)</f>
        <v/>
      </c>
      <c r="M42" s="24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1002</v>
      </c>
      <c r="B43" s="0" t="s">
        <v>1036</v>
      </c>
      <c r="C43" s="0" t="s">
        <v>78</v>
      </c>
      <c r="D43" s="24" t="n">
        <f aca="false">IF(D41&lt;&gt;"",D41,IF(D42&lt;&gt;"",D42,IF(INT(obsd_googl)=2023,obschip_googl*Players!$D$15/1000+SUMIFS(Pipeline!$L$5:$L$74,Pipeline!$C$5:$C$74,"googl",Pipeline!$Q$5:$Q$74,1,Pipeline!$K$5:$K$74,"&gt;"&amp;obsd_googl,Pipeline!$K$5:$K$74,"&lt;="&amp;2024),"")))</f>
        <v>0.560578355681972</v>
      </c>
      <c r="E43" s="24" t="n">
        <f aca="false">IF(E41&lt;&gt;"",E41,IF(E42&lt;&gt;"",E42,IF(INT(obsd_googl)=2024,obschip_googl*Players!$D$15/1000+SUMIFS(Pipeline!$L$5:$L$74,Pipeline!$C$5:$C$74,"googl",Pipeline!$Q$5:$Q$74,1,Pipeline!$K$5:$K$74,"&gt;"&amp;obsd_googl,Pipeline!$K$5:$K$74,"&lt;="&amp;2025),"")))</f>
        <v>1.89038669917378</v>
      </c>
      <c r="F43" s="24" t="n">
        <f aca="false">IF(F41&lt;&gt;"",F41,IF(F42&lt;&gt;"",F42,IF(INT(obsd_googl)=2025,obschip_googl*Players!$D$15/1000+SUMIFS(Pipeline!$L$5:$L$74,Pipeline!$C$5:$C$74,"googl",Pipeline!$Q$5:$Q$74,1,Pipeline!$K$5:$K$74,"&gt;"&amp;obsd_googl,Pipeline!$K$5:$K$74,"&lt;="&amp;2026),"")))</f>
        <v>4.3</v>
      </c>
      <c r="G43" s="24" t="n">
        <f aca="false">IF(G41&lt;&gt;"",G41,IF(G42&lt;&gt;"",G42,IF(INT(obsd_googl)=2026,obschip_googl*Players!$D$15/1000+SUMIFS(Pipeline!$L$5:$L$74,Pipeline!$C$5:$C$74,"googl",Pipeline!$Q$5:$Q$74,1,Pipeline!$K$5:$K$74,"&gt;"&amp;obsd_googl,Pipeline!$K$5:$K$74,"&lt;="&amp;2027),"")))</f>
        <v>5.59267912772586</v>
      </c>
      <c r="H43" s="24" t="str">
        <f aca="false">IF(H41&lt;&gt;"",H41,IF(H42&lt;&gt;"",H42,IF(INT(obsd_googl)=2027,obschip_googl*Players!$D$15/1000+SUMIFS(Pipeline!$L$5:$L$74,Pipeline!$C$5:$C$74,"googl",Pipeline!$Q$5:$Q$74,1,Pipeline!$K$5:$K$74,"&gt;"&amp;obsd_googl,Pipeline!$K$5:$K$74,"&lt;="&amp;2028),"")))</f>
        <v/>
      </c>
      <c r="I43" s="24" t="str">
        <f aca="false">IF(I41&lt;&gt;"",I41,IF(I42&lt;&gt;"",I42,IF(INT(obsd_googl)=2028,obschip_googl*Players!$D$15/1000+SUMIFS(Pipeline!$L$5:$L$74,Pipeline!$C$5:$C$74,"googl",Pipeline!$Q$5:$Q$74,1,Pipeline!$K$5:$K$74,"&gt;"&amp;obsd_googl,Pipeline!$K$5:$K$74,"&lt;="&amp;2029),"")))</f>
        <v/>
      </c>
      <c r="J43" s="24" t="str">
        <f aca="false">IF(J41&lt;&gt;"",J41,IF(J42&lt;&gt;"",J42,IF(INT(obsd_googl)=2029,obschip_googl*Players!$D$15/1000+SUMIFS(Pipeline!$L$5:$L$74,Pipeline!$C$5:$C$74,"googl",Pipeline!$Q$5:$Q$74,1,Pipeline!$K$5:$K$74,"&gt;"&amp;obsd_googl,Pipeline!$K$5:$K$74,"&lt;="&amp;2030),"")))</f>
        <v/>
      </c>
      <c r="K43" s="24" t="str">
        <f aca="false">IF(K41&lt;&gt;"",K41,IF(K42&lt;&gt;"",K42,IF(INT(obsd_googl)=2030,obschip_googl*Players!$D$15/1000+SUMIFS(Pipeline!$L$5:$L$74,Pipeline!$C$5:$C$74,"googl",Pipeline!$Q$5:$Q$74,1,Pipeline!$K$5:$K$74,"&gt;"&amp;obsd_googl,Pipeline!$K$5:$K$74,"&lt;="&amp;2031),"")))</f>
        <v/>
      </c>
      <c r="L43" s="24" t="str">
        <f aca="false">IF(L41&lt;&gt;"",L41,IF(L42&lt;&gt;"",L42,IF(INT(obsd_googl)=2031,obschip_googl*Players!$D$15/1000+SUMIFS(Pipeline!$L$5:$L$74,Pipeline!$C$5:$C$74,"googl",Pipeline!$Q$5:$Q$74,1,Pipeline!$K$5:$K$74,"&gt;"&amp;obsd_googl,Pipeline!$K$5:$K$74,"&lt;="&amp;2032),"")))</f>
        <v/>
      </c>
      <c r="M43" s="24" t="str">
        <f aca="false">IF(M41&lt;&gt;"",M41,IF(M42&lt;&gt;"",M42,IF(INT(obsd_googl)=2032,obschip_googl*Players!$D$15/1000+SUMIFS(Pipeline!$L$5:$L$74,Pipeline!$C$5:$C$74,"googl",Pipeline!$Q$5:$Q$74,1,Pipeline!$K$5:$K$74,"&gt;"&amp;obsd_googl,Pipeline!$K$5:$K$74,"&lt;="&amp;2033),"")))</f>
        <v/>
      </c>
    </row>
    <row r="44" customFormat="false" ht="15" hidden="false" customHeight="false" outlineLevel="0" collapsed="false">
      <c r="A44" s="5" t="s">
        <v>1004</v>
      </c>
      <c r="B44" s="0" t="s">
        <v>1037</v>
      </c>
      <c r="C44" s="0" t="s">
        <v>78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1006</v>
      </c>
      <c r="B45" s="0" t="s">
        <v>1038</v>
      </c>
      <c r="C45" s="5" t="s">
        <v>48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1008</v>
      </c>
      <c r="B46" s="0" t="s">
        <v>1039</v>
      </c>
      <c r="C46" s="0" t="s">
        <v>78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1010</v>
      </c>
      <c r="B47" s="0" t="s">
        <v>1040</v>
      </c>
      <c r="C47" s="5" t="s">
        <v>48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1012</v>
      </c>
      <c r="B48" s="0" t="s">
        <v>1041</v>
      </c>
      <c r="C48" s="0" t="s">
        <v>78</v>
      </c>
      <c r="D48" s="24" t="n">
        <f aca="false">SUMIFS(Pipeline!$L$5:$L$74,Pipeline!$C$5:$C$74,"googl",Pipeline!$Q$5:$Q$74,1,Pipeline!$P$5:$P$74,2023)</f>
        <v>0</v>
      </c>
      <c r="E48" s="24" t="n">
        <f aca="false">SUMIFS(Pipeline!$L$5:$L$74,Pipeline!$C$5:$C$74,"googl",Pipeline!$Q$5:$Q$74,1,Pipeline!$P$5:$P$74,2024)</f>
        <v>0</v>
      </c>
      <c r="F48" s="24" t="n">
        <f aca="false">SUMIFS(Pipeline!$L$5:$L$74,Pipeline!$C$5:$C$74,"googl",Pipeline!$Q$5:$Q$74,1,Pipeline!$P$5:$P$74,2025)</f>
        <v>0</v>
      </c>
      <c r="G48" s="24" t="n">
        <f aca="false">SUMIFS(Pipeline!$L$5:$L$74,Pipeline!$C$5:$C$74,"googl",Pipeline!$Q$5:$Q$74,1,Pipeline!$P$5:$P$74,2026)</f>
        <v>0</v>
      </c>
      <c r="H48" s="24" t="n">
        <f aca="false">SUMIFS(Pipeline!$L$5:$L$74,Pipeline!$C$5:$C$74,"googl",Pipeline!$Q$5:$Q$74,1,Pipeline!$P$5:$P$74,2027)</f>
        <v>0.125</v>
      </c>
      <c r="I48" s="24" t="n">
        <f aca="false">SUMIFS(Pipeline!$L$5:$L$74,Pipeline!$C$5:$C$74,"googl",Pipeline!$Q$5:$Q$74,1,Pipeline!$P$5:$P$74,2028)</f>
        <v>0</v>
      </c>
      <c r="J48" s="24" t="n">
        <f aca="false">SUMIFS(Pipeline!$L$5:$L$74,Pipeline!$C$5:$C$74,"googl",Pipeline!$Q$5:$Q$74,1,Pipeline!$P$5:$P$74,2029)</f>
        <v>0</v>
      </c>
      <c r="K48" s="24" t="n">
        <f aca="false">SUMIFS(Pipeline!$L$5:$L$74,Pipeline!$C$5:$C$74,"googl",Pipeline!$Q$5:$Q$74,1,Pipeline!$P$5:$P$74,2030)</f>
        <v>0</v>
      </c>
      <c r="L48" s="24" t="n">
        <f aca="false">SUMIFS(Pipeline!$L$5:$L$74,Pipeline!$C$5:$C$74,"googl",Pipeline!$Q$5:$Q$74,1,Pipeline!$P$5:$P$74,2031)</f>
        <v>0</v>
      </c>
      <c r="M48" s="24" t="n">
        <f aca="false">SUMIFS(Pipeline!$L$5:$L$74,Pipeline!$C$5:$C$74,"googl",Pipeline!$Q$5:$Q$74,1,Pipeline!$P$5:$P$74,2032)</f>
        <v>0</v>
      </c>
    </row>
    <row r="49" customFormat="false" ht="17.15" hidden="false" customHeight="false" outlineLevel="0" collapsed="false">
      <c r="A49" s="5" t="s">
        <v>1014</v>
      </c>
      <c r="B49" s="0" t="s">
        <v>1042</v>
      </c>
      <c r="C49" s="0" t="s">
        <v>78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5.71767912772586</v>
      </c>
      <c r="I49" s="25" t="n">
        <f aca="false">IF(I43&lt;&gt;"",I43,IF(AND(I44&lt;&gt;"",I46&lt;&gt;""),I44+(I46-I44)*(2028-I45)/(I47-I45),IF(H49&lt;&gt;"",H49+I48,"")))</f>
        <v>5.71767912772586</v>
      </c>
      <c r="J49" s="25" t="n">
        <f aca="false">IF(J43&lt;&gt;"",J43,IF(AND(J44&lt;&gt;"",J46&lt;&gt;""),J44+(J46-J44)*(2029-J45)/(J47-J45),IF(I49&lt;&gt;"",I49+J48,"")))</f>
        <v>5.71767912772586</v>
      </c>
      <c r="K49" s="25" t="n">
        <f aca="false">IF(K43&lt;&gt;"",K43,IF(AND(K44&lt;&gt;"",K46&lt;&gt;""),K44+(K46-K44)*(2030-K45)/(K47-K45),IF(J49&lt;&gt;"",J49+K48,"")))</f>
        <v>5.71767912772586</v>
      </c>
      <c r="L49" s="25" t="n">
        <f aca="false">IF(L43&lt;&gt;"",L43,IF(AND(L44&lt;&gt;"",L46&lt;&gt;""),L44+(L46-L44)*(2031-L45)/(L47-L45),IF(K49&lt;&gt;"",K49+L48,"")))</f>
        <v>5.71767912772586</v>
      </c>
      <c r="M49" s="25" t="n">
        <f aca="false">IF(M43&lt;&gt;"",M43,IF(AND(M44&lt;&gt;"",M46&lt;&gt;""),M44+(M46-M44)*(2032-M45)/(M47-M45),IF(L49&lt;&gt;"",L49+M48,"")))</f>
        <v>5.71767912772586</v>
      </c>
    </row>
    <row r="50" customFormat="false" ht="15" hidden="false" customHeight="false" outlineLevel="0" collapsed="false">
      <c r="A50" s="5" t="s">
        <v>1016</v>
      </c>
      <c r="B50" s="0" t="s">
        <v>1043</v>
      </c>
      <c r="C50" s="0" t="s">
        <v>36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1018</v>
      </c>
      <c r="B51" s="0" t="s">
        <v>1044</v>
      </c>
      <c r="C51" s="0" t="s">
        <v>78</v>
      </c>
      <c r="D51" s="24" t="n">
        <f aca="false">IF(D49="","",IF(AND(D50=5,In!$H$102&lt;&gt;""),In!$H$102*Players!$E$15/1000,D49))</f>
        <v>0.508431531897603</v>
      </c>
      <c r="E51" s="24" t="n">
        <f aca="false">IF(E49="","",IF(AND(E50=5,In!$I$102&lt;&gt;""),In!$I$102*Players!$E$15/1000,E49))</f>
        <v>1.71453677366924</v>
      </c>
      <c r="F51" s="24" t="n">
        <f aca="false">IF(F49="","",IF(AND(F50=5,In!$J$102&lt;&gt;""),In!$J$102*Players!$E$15/1000,F49))</f>
        <v>3.9</v>
      </c>
      <c r="G51" s="24" t="n">
        <f aca="false">IF(G49="","",IF(AND(G50=5,In!$K$102&lt;&gt;""),In!$K$102*Players!$E$15/1000,G49))</f>
        <v>5.59267912772586</v>
      </c>
      <c r="H51" s="24" t="n">
        <f aca="false">IF(H49="","",IF(AND(H50=5,In!$L$102&lt;&gt;""),In!$L$102*Players!$E$15/1000,H49))</f>
        <v>5.71767912772586</v>
      </c>
      <c r="I51" s="24" t="n">
        <f aca="false">IF(I49="","",IF(AND(I50=5,In!$M$102&lt;&gt;""),In!$M$102*Players!$E$15/1000,I49))</f>
        <v>5.71767912772586</v>
      </c>
      <c r="J51" s="24" t="n">
        <f aca="false">IF(J49="","",IF(AND(J50=5,In!$N$102&lt;&gt;""),In!$N$102*Players!$E$15/1000,J49))</f>
        <v>5.71767912772586</v>
      </c>
      <c r="K51" s="24" t="n">
        <f aca="false">IF(K49="","",IF(AND(K50=5,In!$O$102&lt;&gt;""),In!$O$102*Players!$E$15/1000,K49))</f>
        <v>5.71767912772586</v>
      </c>
      <c r="L51" s="24" t="n">
        <f aca="false">IF(L49="","",IF(AND(L50=5,In!$P$102&lt;&gt;""),In!$P$102*Players!$E$15/1000,L49))</f>
        <v>5.71767912772586</v>
      </c>
      <c r="M51" s="24" t="n">
        <f aca="false">IF(M49="","",IF(AND(M50=5,In!$Q$102&lt;&gt;""),In!$Q$102*Players!$E$15/1000,M49))</f>
        <v>5.71767912772586</v>
      </c>
    </row>
    <row r="52" customFormat="false" ht="17.15" hidden="false" customHeight="false" outlineLevel="0" collapsed="false">
      <c r="A52" s="5" t="s">
        <v>1020</v>
      </c>
      <c r="B52" s="0" t="s">
        <v>1045</v>
      </c>
      <c r="C52" s="0" t="s">
        <v>78</v>
      </c>
      <c r="D52" s="24" t="n">
        <f aca="false">IF(D49="","",IF(AND(D50=5,In!$H$102&lt;&gt;""),In!$H$102*Players!$F$15/1000,D49))</f>
        <v>0.638798591358527</v>
      </c>
      <c r="E52" s="24" t="n">
        <f aca="false">IF(E49="","",IF(AND(E50=5,In!$I$102&lt;&gt;""),In!$I$102*Players!$F$15/1000,E49))</f>
        <v>2.15416158743058</v>
      </c>
      <c r="F52" s="24" t="n">
        <f aca="false">IF(F49="","",IF(AND(F50=5,In!$J$102&lt;&gt;""),In!$J$102*Players!$F$15/1000,F49))</f>
        <v>4.9</v>
      </c>
      <c r="G52" s="24" t="n">
        <f aca="false">IF(G49="","",IF(AND(G50=5,In!$K$102&lt;&gt;""),In!$K$102*Players!$F$15/1000,G49))</f>
        <v>5.59267912772586</v>
      </c>
      <c r="H52" s="24" t="n">
        <f aca="false">IF(H49="","",IF(AND(H50=5,In!$L$102&lt;&gt;""),In!$L$102*Players!$F$15/1000,H49))</f>
        <v>5.71767912772586</v>
      </c>
      <c r="I52" s="24" t="n">
        <f aca="false">IF(I49="","",IF(AND(I50=5,In!$M$102&lt;&gt;""),In!$M$102*Players!$F$15/1000,I49))</f>
        <v>5.71767912772586</v>
      </c>
      <c r="J52" s="24" t="n">
        <f aca="false">IF(J49="","",IF(AND(J50=5,In!$N$102&lt;&gt;""),In!$N$102*Players!$F$15/1000,J49))</f>
        <v>5.71767912772586</v>
      </c>
      <c r="K52" s="24" t="n">
        <f aca="false">IF(K49="","",IF(AND(K50=5,In!$O$102&lt;&gt;""),In!$O$102*Players!$F$15/1000,K49))</f>
        <v>5.71767912772586</v>
      </c>
      <c r="L52" s="24" t="n">
        <f aca="false">IF(L49="","",IF(AND(L50=5,In!$P$102&lt;&gt;""),In!$P$102*Players!$F$15/1000,L49))</f>
        <v>5.71767912772586</v>
      </c>
      <c r="M52" s="24" t="n">
        <f aca="false">IF(M49="","",IF(AND(M50=5,In!$Q$102&lt;&gt;""),In!$Q$102*Players!$F$15/1000,M49))</f>
        <v>5.71767912772586</v>
      </c>
    </row>
    <row r="53" customFormat="false" ht="17.15" hidden="false" customHeight="false" outlineLevel="0" collapsed="false">
      <c r="A53" s="5" t="s">
        <v>1022</v>
      </c>
      <c r="B53" s="0" t="s">
        <v>1046</v>
      </c>
      <c r="C53" s="0" t="s">
        <v>78</v>
      </c>
      <c r="D53" s="24" t="n">
        <f aca="false">IF(D49="","",IF(In!$C$109="未說明",D49/D$13,D49))</f>
        <v>0.560578355681972</v>
      </c>
      <c r="E53" s="24" t="n">
        <f aca="false">IF(E49="","",IF(In!$C$109="未說明",E49/E$13,E49))</f>
        <v>1.89038669917378</v>
      </c>
      <c r="F53" s="24" t="n">
        <f aca="false">IF(F49="","",IF(In!$C$109="未說明",F49/F$13,F49))</f>
        <v>4.3</v>
      </c>
      <c r="G53" s="24" t="n">
        <f aca="false">IF(G49="","",IF(In!$C$109="未說明",G49/G$13,G49))</f>
        <v>5.59267912772586</v>
      </c>
      <c r="H53" s="24" t="n">
        <f aca="false">IF(H49="","",IF(In!$C$109="未說明",H49/H$13,H49))</f>
        <v>5.71767912772586</v>
      </c>
      <c r="I53" s="24" t="n">
        <f aca="false">IF(I49="","",IF(In!$C$109="未說明",I49/I$13,I49))</f>
        <v>5.71767912772586</v>
      </c>
      <c r="J53" s="24" t="n">
        <f aca="false">IF(J49="","",IF(In!$C$109="未說明",J49/J$13,J49))</f>
        <v>5.71767912772586</v>
      </c>
      <c r="K53" s="24" t="n">
        <f aca="false">IF(K49="","",IF(In!$C$109="未說明",K49/K$13,K49))</f>
        <v>5.71767912772586</v>
      </c>
      <c r="L53" s="24" t="n">
        <f aca="false">IF(L49="","",IF(In!$C$109="未說明",L49/L$13,L49))</f>
        <v>5.71767912772586</v>
      </c>
      <c r="M53" s="24" t="n">
        <f aca="false">IF(M49="","",IF(In!$C$109="未說明",M49/M$13,M49))</f>
        <v>5.71767912772586</v>
      </c>
    </row>
    <row r="54" customFormat="false" ht="17.15" hidden="false" customHeight="false" outlineLevel="0" collapsed="false">
      <c r="A54" s="5" t="s">
        <v>1024</v>
      </c>
      <c r="B54" s="0" t="s">
        <v>1047</v>
      </c>
      <c r="C54" s="0" t="s">
        <v>78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5.65517912772586</v>
      </c>
      <c r="I54" s="24" t="n">
        <f aca="false">IF(AND(H49&lt;&gt;"",I49&lt;&gt;""),(H49+I49)/2,"")</f>
        <v>5.71767912772586</v>
      </c>
      <c r="J54" s="24" t="n">
        <f aca="false">IF(AND(I49&lt;&gt;"",J49&lt;&gt;""),(I49+J49)/2,"")</f>
        <v>5.71767912772586</v>
      </c>
      <c r="K54" s="24" t="n">
        <f aca="false">IF(AND(J49&lt;&gt;"",K49&lt;&gt;""),(J49+K49)/2,"")</f>
        <v>5.71767912772586</v>
      </c>
      <c r="L54" s="24" t="n">
        <f aca="false">IF(AND(K49&lt;&gt;"",L49&lt;&gt;""),(K49+L49)/2,"")</f>
        <v>5.71767912772586</v>
      </c>
      <c r="M54" s="24" t="n">
        <f aca="false">IF(AND(L49&lt;&gt;"",M49&lt;&gt;""),(L49+M49)/2,"")</f>
        <v>5.71767912772586</v>
      </c>
    </row>
    <row r="55" customFormat="false" ht="17.15" hidden="false" customHeight="false" outlineLevel="0" collapsed="false">
      <c r="A55" s="5" t="s">
        <v>1026</v>
      </c>
      <c r="B55" s="0" t="s">
        <v>1048</v>
      </c>
      <c r="C55" s="0" t="s">
        <v>78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0.125</v>
      </c>
      <c r="I55" s="24" t="n">
        <f aca="false">IF(AND(H49&lt;&gt;"",I49&lt;&gt;""),I49-H49,0)</f>
        <v>0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1028</v>
      </c>
      <c r="B56" s="0" t="s">
        <v>1049</v>
      </c>
      <c r="C56" s="0" t="s">
        <v>78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1030</v>
      </c>
      <c r="B57" s="0" t="s">
        <v>1050</v>
      </c>
      <c r="C57" s="0" t="s">
        <v>53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1051</v>
      </c>
      <c r="B59" s="20" t="s">
        <v>520</v>
      </c>
      <c r="N59" s="20" t="s">
        <v>1052</v>
      </c>
    </row>
    <row r="60" customFormat="false" ht="17.15" hidden="false" customHeight="false" outlineLevel="0" collapsed="false">
      <c r="A60" s="5" t="s">
        <v>998</v>
      </c>
      <c r="B60" s="0" t="s">
        <v>1053</v>
      </c>
      <c r="C60" s="0" t="s">
        <v>78</v>
      </c>
      <c r="D60" s="24" t="str">
        <f aca="false">IF(In!$H$110="","",IF(In!$C$110="設施",In!$H$110/1000/D$13,In!$H$110/1000))</f>
        <v/>
      </c>
      <c r="E60" s="24" t="str">
        <f aca="false">IF(In!$I$110="","",IF(In!$C$110="設施",In!$I$110/1000/E$13,In!$I$110/1000))</f>
        <v/>
      </c>
      <c r="F60" s="24" t="str">
        <f aca="false">IF(In!$J$110="","",IF(In!$C$110="設施",In!$J$110/1000/F$13,In!$J$110/1000))</f>
        <v/>
      </c>
      <c r="G60" s="24" t="str">
        <f aca="false">IF(In!$K$110="","",IF(In!$C$110="設施",In!$K$110/1000/G$13,In!$K$110/1000))</f>
        <v/>
      </c>
      <c r="H60" s="24" t="str">
        <f aca="false">IF(In!$L$110="","",IF(In!$C$110="設施",In!$L$110/1000/H$13,In!$L$110/1000))</f>
        <v/>
      </c>
      <c r="I60" s="24" t="str">
        <f aca="false">IF(In!$M$110="","",IF(In!$C$110="設施",In!$M$110/1000/I$13,In!$M$110/1000))</f>
        <v/>
      </c>
      <c r="J60" s="24" t="str">
        <f aca="false">IF(In!$N$110="","",IF(In!$C$110="設施",In!$N$110/1000/J$13,In!$N$110/1000))</f>
        <v/>
      </c>
      <c r="K60" s="24" t="str">
        <f aca="false">IF(In!$O$110="","",IF(In!$C$110="設施",In!$O$110/1000/K$13,In!$O$110/1000))</f>
        <v/>
      </c>
      <c r="L60" s="24" t="str">
        <f aca="false">IF(In!$P$110="","",IF(In!$C$110="設施",In!$P$110/1000/L$13,In!$P$110/1000))</f>
        <v/>
      </c>
      <c r="M60" s="24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1000</v>
      </c>
      <c r="B61" s="0" t="s">
        <v>1054</v>
      </c>
      <c r="C61" s="0" t="s">
        <v>78</v>
      </c>
      <c r="D61" s="24" t="str">
        <f aca="false">IF(In!$H$103="","",In!$H$103*Players!$D$16/1000)</f>
        <v/>
      </c>
      <c r="E61" s="24" t="n">
        <f aca="false">IF(In!$I$103="","",In!$I$103*Players!$D$16/1000)</f>
        <v>0.810284005979073</v>
      </c>
      <c r="F61" s="24" t="n">
        <f aca="false">IF(In!$J$103="","",In!$J$103*Players!$D$16/1000)</f>
        <v>2.2</v>
      </c>
      <c r="G61" s="24" t="str">
        <f aca="false">IF(In!$K$103="","",In!$K$103*Players!$D$16/1000)</f>
        <v/>
      </c>
      <c r="H61" s="24" t="str">
        <f aca="false">IF(In!$L$103="","",In!$L$103*Players!$D$16/1000)</f>
        <v/>
      </c>
      <c r="I61" s="24" t="str">
        <f aca="false">IF(In!$M$103="","",In!$M$103*Players!$D$16/1000)</f>
        <v/>
      </c>
      <c r="J61" s="24" t="str">
        <f aca="false">IF(In!$N$103="","",In!$N$103*Players!$D$16/1000)</f>
        <v/>
      </c>
      <c r="K61" s="24" t="str">
        <f aca="false">IF(In!$O$103="","",In!$O$103*Players!$D$16/1000)</f>
        <v/>
      </c>
      <c r="L61" s="24" t="str">
        <f aca="false">IF(In!$P$103="","",In!$P$103*Players!$D$16/1000)</f>
        <v/>
      </c>
      <c r="M61" s="24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1002</v>
      </c>
      <c r="B62" s="0" t="s">
        <v>1055</v>
      </c>
      <c r="C62" s="0" t="s">
        <v>78</v>
      </c>
      <c r="D62" s="24" t="str">
        <f aca="false">IF(D60&lt;&gt;"",D60,IF(D61&lt;&gt;"",D61,IF(INT(obsd_amzn)=2023,obs_amzn/1000+SUMIFS(Pipeline!$L$5:$L$74,Pipeline!$C$5:$C$74,"amzn",Pipeline!$Q$5:$Q$74,1,Pipeline!$K$5:$K$74,"&gt;"&amp;obsd_amzn,Pipeline!$K$5:$K$74,"&lt;="&amp;2024),"")))</f>
        <v/>
      </c>
      <c r="E62" s="24" t="n">
        <f aca="false">IF(E60&lt;&gt;"",E60,IF(E61&lt;&gt;"",E61,IF(INT(obsd_amzn)=2024,obs_amzn/1000+SUMIFS(Pipeline!$L$5:$L$74,Pipeline!$C$5:$C$74,"amzn",Pipeline!$Q$5:$Q$74,1,Pipeline!$K$5:$K$74,"&gt;"&amp;obsd_amzn,Pipeline!$K$5:$K$74,"&lt;="&amp;2025),"")))</f>
        <v>0.810284005979073</v>
      </c>
      <c r="F62" s="24" t="n">
        <f aca="false">IF(F60&lt;&gt;"",F60,IF(F61&lt;&gt;"",F61,IF(INT(obsd_amzn)=2025,obs_amzn/1000+SUMIFS(Pipeline!$L$5:$L$74,Pipeline!$C$5:$C$74,"amzn",Pipeline!$Q$5:$Q$74,1,Pipeline!$K$5:$K$74,"&gt;"&amp;obsd_amzn,Pipeline!$K$5:$K$74,"&lt;="&amp;2026),"")))</f>
        <v>2.2</v>
      </c>
      <c r="G62" s="24" t="n">
        <f aca="false">IF(G60&lt;&gt;"",G60,IF(G61&lt;&gt;"",G61,IF(INT(obsd_amzn)=2026,obs_amzn/1000+SUMIFS(Pipeline!$L$5:$L$74,Pipeline!$C$5:$C$74,"amzn",Pipeline!$Q$5:$Q$74,1,Pipeline!$K$5:$K$74,"&gt;"&amp;obsd_amzn,Pipeline!$K$5:$K$74,"&lt;="&amp;2027),"")))</f>
        <v>2.727</v>
      </c>
      <c r="H62" s="24" t="str">
        <f aca="false">IF(H60&lt;&gt;"",H60,IF(H61&lt;&gt;"",H61,IF(INT(obsd_amzn)=2027,obs_amzn/1000+SUMIFS(Pipeline!$L$5:$L$74,Pipeline!$C$5:$C$74,"amzn",Pipeline!$Q$5:$Q$74,1,Pipeline!$K$5:$K$74,"&gt;"&amp;obsd_amzn,Pipeline!$K$5:$K$74,"&lt;="&amp;2028),"")))</f>
        <v/>
      </c>
      <c r="I62" s="24" t="str">
        <f aca="false">IF(I60&lt;&gt;"",I60,IF(I61&lt;&gt;"",I61,IF(INT(obsd_amzn)=2028,obs_amzn/1000+SUMIFS(Pipeline!$L$5:$L$74,Pipeline!$C$5:$C$74,"amzn",Pipeline!$Q$5:$Q$74,1,Pipeline!$K$5:$K$74,"&gt;"&amp;obsd_amzn,Pipeline!$K$5:$K$74,"&lt;="&amp;2029),"")))</f>
        <v/>
      </c>
      <c r="J62" s="24" t="str">
        <f aca="false">IF(J60&lt;&gt;"",J60,IF(J61&lt;&gt;"",J61,IF(INT(obsd_amzn)=2029,obs_amzn/1000+SUMIFS(Pipeline!$L$5:$L$74,Pipeline!$C$5:$C$74,"amzn",Pipeline!$Q$5:$Q$74,1,Pipeline!$K$5:$K$74,"&gt;"&amp;obsd_amzn,Pipeline!$K$5:$K$74,"&lt;="&amp;2030),"")))</f>
        <v/>
      </c>
      <c r="K62" s="24" t="str">
        <f aca="false">IF(K60&lt;&gt;"",K60,IF(K61&lt;&gt;"",K61,IF(INT(obsd_amzn)=2030,obs_amzn/1000+SUMIFS(Pipeline!$L$5:$L$74,Pipeline!$C$5:$C$74,"amzn",Pipeline!$Q$5:$Q$74,1,Pipeline!$K$5:$K$74,"&gt;"&amp;obsd_amzn,Pipeline!$K$5:$K$74,"&lt;="&amp;2031),"")))</f>
        <v/>
      </c>
      <c r="L62" s="24" t="str">
        <f aca="false">IF(L60&lt;&gt;"",L60,IF(L61&lt;&gt;"",L61,IF(INT(obsd_amzn)=2031,obs_amzn/1000+SUMIFS(Pipeline!$L$5:$L$74,Pipeline!$C$5:$C$74,"amzn",Pipeline!$Q$5:$Q$74,1,Pipeline!$K$5:$K$74,"&gt;"&amp;obsd_amzn,Pipeline!$K$5:$K$74,"&lt;="&amp;2032),"")))</f>
        <v/>
      </c>
      <c r="M62" s="24" t="str">
        <f aca="false">IF(M60&lt;&gt;"",M60,IF(M61&lt;&gt;"",M61,IF(INT(obsd_amzn)=2032,obs_amzn/1000+SUMIFS(Pipeline!$L$5:$L$74,Pipeline!$C$5:$C$74,"amzn",Pipeline!$Q$5:$Q$74,1,Pipeline!$K$5:$K$74,"&gt;"&amp;obsd_amzn,Pipeline!$K$5:$K$74,"&lt;="&amp;2033),"")))</f>
        <v/>
      </c>
    </row>
    <row r="63" customFormat="false" ht="15" hidden="false" customHeight="false" outlineLevel="0" collapsed="false">
      <c r="A63" s="5" t="s">
        <v>1004</v>
      </c>
      <c r="B63" s="0" t="s">
        <v>1056</v>
      </c>
      <c r="C63" s="0" t="s">
        <v>78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1006</v>
      </c>
      <c r="B64" s="0" t="s">
        <v>1057</v>
      </c>
      <c r="C64" s="5" t="s">
        <v>48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1008</v>
      </c>
      <c r="B65" s="0" t="s">
        <v>1058</v>
      </c>
      <c r="C65" s="0" t="s">
        <v>78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1010</v>
      </c>
      <c r="B66" s="0" t="s">
        <v>1059</v>
      </c>
      <c r="C66" s="5" t="s">
        <v>48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1012</v>
      </c>
      <c r="B67" s="0" t="s">
        <v>1060</v>
      </c>
      <c r="C67" s="0" t="s">
        <v>78</v>
      </c>
      <c r="D67" s="24" t="n">
        <f aca="false">SUMIFS(Pipeline!$L$5:$L$74,Pipeline!$C$5:$C$74,"amzn",Pipeline!$Q$5:$Q$74,1,Pipeline!$P$5:$P$74,2023)</f>
        <v>0</v>
      </c>
      <c r="E67" s="24" t="n">
        <f aca="false">SUMIFS(Pipeline!$L$5:$L$74,Pipeline!$C$5:$C$74,"amzn",Pipeline!$Q$5:$Q$74,1,Pipeline!$P$5:$P$74,2024)</f>
        <v>0</v>
      </c>
      <c r="F67" s="24" t="n">
        <f aca="false">SUMIFS(Pipeline!$L$5:$L$74,Pipeline!$C$5:$C$74,"amzn",Pipeline!$Q$5:$Q$74,1,Pipeline!$P$5:$P$74,2025)</f>
        <v>0</v>
      </c>
      <c r="G67" s="24" t="n">
        <f aca="false">SUMIFS(Pipeline!$L$5:$L$74,Pipeline!$C$5:$C$74,"amzn",Pipeline!$Q$5:$Q$74,1,Pipeline!$P$5:$P$74,2026)</f>
        <v>0.127</v>
      </c>
      <c r="H67" s="24" t="n">
        <f aca="false">SUMIFS(Pipeline!$L$5:$L$74,Pipeline!$C$5:$C$74,"amzn",Pipeline!$Q$5:$Q$74,1,Pipeline!$P$5:$P$74,2027)</f>
        <v>0.041</v>
      </c>
      <c r="I67" s="24" t="n">
        <f aca="false">SUMIFS(Pipeline!$L$5:$L$74,Pipeline!$C$5:$C$74,"amzn",Pipeline!$Q$5:$Q$74,1,Pipeline!$P$5:$P$74,2028)</f>
        <v>1.444</v>
      </c>
      <c r="J67" s="24" t="n">
        <f aca="false">SUMIFS(Pipeline!$L$5:$L$74,Pipeline!$C$5:$C$74,"amzn",Pipeline!$Q$5:$Q$74,1,Pipeline!$P$5:$P$74,2029)</f>
        <v>0.062</v>
      </c>
      <c r="K67" s="24" t="n">
        <f aca="false">SUMIFS(Pipeline!$L$5:$L$74,Pipeline!$C$5:$C$74,"amzn",Pipeline!$Q$5:$Q$74,1,Pipeline!$P$5:$P$74,2030)</f>
        <v>0</v>
      </c>
      <c r="L67" s="24" t="n">
        <f aca="false">SUMIFS(Pipeline!$L$5:$L$74,Pipeline!$C$5:$C$74,"amzn",Pipeline!$Q$5:$Q$74,1,Pipeline!$P$5:$P$74,2031)</f>
        <v>0</v>
      </c>
      <c r="M67" s="24" t="n">
        <f aca="false">SUMIFS(Pipeline!$L$5:$L$74,Pipeline!$C$5:$C$74,"amzn",Pipeline!$Q$5:$Q$74,1,Pipeline!$P$5:$P$74,2032)</f>
        <v>0</v>
      </c>
    </row>
    <row r="68" customFormat="false" ht="17.15" hidden="false" customHeight="false" outlineLevel="0" collapsed="false">
      <c r="A68" s="5" t="s">
        <v>1014</v>
      </c>
      <c r="B68" s="0" t="s">
        <v>1061</v>
      </c>
      <c r="C68" s="0" t="s">
        <v>78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2.768</v>
      </c>
      <c r="I68" s="25" t="n">
        <f aca="false">IF(I62&lt;&gt;"",I62,IF(AND(I63&lt;&gt;"",I65&lt;&gt;""),I63+(I65-I63)*(2028-I64)/(I66-I64),IF(H68&lt;&gt;"",H68+I67,"")))</f>
        <v>4.212</v>
      </c>
      <c r="J68" s="25" t="n">
        <f aca="false">IF(J62&lt;&gt;"",J62,IF(AND(J63&lt;&gt;"",J65&lt;&gt;""),J63+(J65-J63)*(2029-J64)/(J66-J64),IF(I68&lt;&gt;"",I68+J67,"")))</f>
        <v>4.274</v>
      </c>
      <c r="K68" s="25" t="n">
        <f aca="false">IF(K62&lt;&gt;"",K62,IF(AND(K63&lt;&gt;"",K65&lt;&gt;""),K63+(K65-K63)*(2030-K64)/(K66-K64),IF(J68&lt;&gt;"",J68+K67,"")))</f>
        <v>4.274</v>
      </c>
      <c r="L68" s="25" t="n">
        <f aca="false">IF(L62&lt;&gt;"",L62,IF(AND(L63&lt;&gt;"",L65&lt;&gt;""),L63+(L65-L63)*(2031-L64)/(L66-L64),IF(K68&lt;&gt;"",K68+L67,"")))</f>
        <v>4.274</v>
      </c>
      <c r="M68" s="25" t="n">
        <f aca="false">IF(M62&lt;&gt;"",M62,IF(AND(M63&lt;&gt;"",M65&lt;&gt;""),M63+(M65-M63)*(2032-M64)/(M66-M64),IF(L68&lt;&gt;"",L68+M67,"")))</f>
        <v>4.274</v>
      </c>
    </row>
    <row r="69" customFormat="false" ht="15" hidden="false" customHeight="false" outlineLevel="0" collapsed="false">
      <c r="A69" s="5" t="s">
        <v>1016</v>
      </c>
      <c r="B69" s="0" t="s">
        <v>1062</v>
      </c>
      <c r="C69" s="0" t="s">
        <v>36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1018</v>
      </c>
      <c r="B70" s="0" t="s">
        <v>1063</v>
      </c>
      <c r="C70" s="0" t="s">
        <v>78</v>
      </c>
      <c r="D70" s="24" t="str">
        <f aca="false">IF(D68="","",IF(D69=2,D68-(obs_amzn-obs_amzn_lo)/1000,IF(AND(D69=5,In!$H$103&lt;&gt;""),In!$H$103*Players!$E$16/1000,D68)))</f>
        <v/>
      </c>
      <c r="E70" s="24" t="n">
        <f aca="false">IF(E68="","",IF(E69=2,E68-(obs_amzn-obs_amzn_lo)/1000,IF(AND(E69=5,In!$I$103&lt;&gt;""),In!$I$103*Players!$E$16/1000,E68)))</f>
        <v>0.699790732436472</v>
      </c>
      <c r="F70" s="24" t="n">
        <f aca="false">IF(F68="","",IF(F69=2,F68-(obs_amzn-obs_amzn_lo)/1000,IF(AND(F69=5,In!$J$103&lt;&gt;""),In!$J$103*Players!$E$16/1000,F68)))</f>
        <v>1.9</v>
      </c>
      <c r="G70" s="24" t="n">
        <f aca="false">IF(G68="","",IF(G69=2,G68-(obs_amzn-obs_amzn_lo)/1000,IF(AND(G69=5,In!$K$103&lt;&gt;""),In!$K$103*Players!$E$16/1000,G68)))</f>
        <v>2.127</v>
      </c>
      <c r="H70" s="24" t="n">
        <f aca="false">IF(H68="","",IF(H69=2,H68-(obs_amzn-obs_amzn_lo)/1000,IF(AND(H69=5,In!$L$103&lt;&gt;""),In!$L$103*Players!$E$16/1000,H68)))</f>
        <v>2.768</v>
      </c>
      <c r="I70" s="24" t="n">
        <f aca="false">IF(I68="","",IF(I69=2,I68-(obs_amzn-obs_amzn_lo)/1000,IF(AND(I69=5,In!$M$103&lt;&gt;""),In!$M$103*Players!$E$16/1000,I68)))</f>
        <v>4.212</v>
      </c>
      <c r="J70" s="24" t="n">
        <f aca="false">IF(J68="","",IF(J69=2,J68-(obs_amzn-obs_amzn_lo)/1000,IF(AND(J69=5,In!$N$103&lt;&gt;""),In!$N$103*Players!$E$16/1000,J68)))</f>
        <v>4.274</v>
      </c>
      <c r="K70" s="24" t="n">
        <f aca="false">IF(K68="","",IF(K69=2,K68-(obs_amzn-obs_amzn_lo)/1000,IF(AND(K69=5,In!$O$103&lt;&gt;""),In!$O$103*Players!$E$16/1000,K68)))</f>
        <v>4.274</v>
      </c>
      <c r="L70" s="24" t="n">
        <f aca="false">IF(L68="","",IF(L69=2,L68-(obs_amzn-obs_amzn_lo)/1000,IF(AND(L69=5,In!$P$103&lt;&gt;""),In!$P$103*Players!$E$16/1000,L68)))</f>
        <v>4.274</v>
      </c>
      <c r="M70" s="24" t="n">
        <f aca="false">IF(M68="","",IF(M69=2,M68-(obs_amzn-obs_amzn_lo)/1000,IF(AND(M69=5,In!$Q$103&lt;&gt;""),In!$Q$103*Players!$E$16/1000,M68)))</f>
        <v>4.274</v>
      </c>
    </row>
    <row r="71" customFormat="false" ht="17.15" hidden="false" customHeight="false" outlineLevel="0" collapsed="false">
      <c r="A71" s="5" t="s">
        <v>1020</v>
      </c>
      <c r="B71" s="0" t="s">
        <v>1064</v>
      </c>
      <c r="C71" s="0" t="s">
        <v>78</v>
      </c>
      <c r="D71" s="24" t="str">
        <f aca="false">IF(D68="","",IF(D69=2,D68+(obs_amzn_hi-obs_amzn)/1000,IF(AND(D69=5,In!$H$103&lt;&gt;""),In!$H$103*Players!$F$16/1000,D68)))</f>
        <v/>
      </c>
      <c r="E71" s="24" t="n">
        <f aca="false">IF(E68="","",IF(E69=2,E68+(obs_amzn_hi-obs_amzn)/1000,IF(AND(E69=5,In!$I$103&lt;&gt;""),In!$I$103*Players!$F$16/1000,E68)))</f>
        <v>0.957608370702541</v>
      </c>
      <c r="F71" s="24" t="n">
        <f aca="false">IF(F68="","",IF(F69=2,F68+(obs_amzn_hi-obs_amzn)/1000,IF(AND(F69=5,In!$J$103&lt;&gt;""),In!$J$103*Players!$F$16/1000,F68)))</f>
        <v>2.6</v>
      </c>
      <c r="G71" s="24" t="n">
        <f aca="false">IF(G68="","",IF(G69=2,G68+(obs_amzn_hi-obs_amzn)/1000,IF(AND(G69=5,In!$K$103&lt;&gt;""),In!$K$103*Players!$F$16/1000,G68)))</f>
        <v>3.427</v>
      </c>
      <c r="H71" s="24" t="n">
        <f aca="false">IF(H68="","",IF(H69=2,H68+(obs_amzn_hi-obs_amzn)/1000,IF(AND(H69=5,In!$L$103&lt;&gt;""),In!$L$103*Players!$F$16/1000,H68)))</f>
        <v>2.768</v>
      </c>
      <c r="I71" s="24" t="n">
        <f aca="false">IF(I68="","",IF(I69=2,I68+(obs_amzn_hi-obs_amzn)/1000,IF(AND(I69=5,In!$M$103&lt;&gt;""),In!$M$103*Players!$F$16/1000,I68)))</f>
        <v>4.212</v>
      </c>
      <c r="J71" s="24" t="n">
        <f aca="false">IF(J68="","",IF(J69=2,J68+(obs_amzn_hi-obs_amzn)/1000,IF(AND(J69=5,In!$N$103&lt;&gt;""),In!$N$103*Players!$F$16/1000,J68)))</f>
        <v>4.274</v>
      </c>
      <c r="K71" s="24" t="n">
        <f aca="false">IF(K68="","",IF(K69=2,K68+(obs_amzn_hi-obs_amzn)/1000,IF(AND(K69=5,In!$O$103&lt;&gt;""),In!$O$103*Players!$F$16/1000,K68)))</f>
        <v>4.274</v>
      </c>
      <c r="L71" s="24" t="n">
        <f aca="false">IF(L68="","",IF(L69=2,L68+(obs_amzn_hi-obs_amzn)/1000,IF(AND(L69=5,In!$P$103&lt;&gt;""),In!$P$103*Players!$F$16/1000,L68)))</f>
        <v>4.274</v>
      </c>
      <c r="M71" s="24" t="n">
        <f aca="false">IF(M68="","",IF(M69=2,M68+(obs_amzn_hi-obs_amzn)/1000,IF(AND(M69=5,In!$Q$103&lt;&gt;""),In!$Q$103*Players!$F$16/1000,M68)))</f>
        <v>4.274</v>
      </c>
    </row>
    <row r="72" customFormat="false" ht="17.15" hidden="false" customHeight="false" outlineLevel="0" collapsed="false">
      <c r="A72" s="5" t="s">
        <v>1022</v>
      </c>
      <c r="B72" s="0" t="s">
        <v>1065</v>
      </c>
      <c r="C72" s="0" t="s">
        <v>78</v>
      </c>
      <c r="D72" s="24" t="str">
        <f aca="false">IF(D68="","",IF(In!$C$110="未說明",D68/D$13,D68))</f>
        <v/>
      </c>
      <c r="E72" s="24" t="n">
        <f aca="false">IF(E68="","",IF(In!$C$110="未說明",E68/E$13,E68))</f>
        <v>0.810284005979073</v>
      </c>
      <c r="F72" s="24" t="n">
        <f aca="false">IF(F68="","",IF(In!$C$110="未說明",F68/F$13,F68))</f>
        <v>2.2</v>
      </c>
      <c r="G72" s="24" t="n">
        <f aca="false">IF(G68="","",IF(In!$C$110="未說明",G68/G$13,G68))</f>
        <v>2.727</v>
      </c>
      <c r="H72" s="24" t="n">
        <f aca="false">IF(H68="","",IF(In!$C$110="未說明",H68/H$13,H68))</f>
        <v>2.768</v>
      </c>
      <c r="I72" s="24" t="n">
        <f aca="false">IF(I68="","",IF(In!$C$110="未說明",I68/I$13,I68))</f>
        <v>4.212</v>
      </c>
      <c r="J72" s="24" t="n">
        <f aca="false">IF(J68="","",IF(In!$C$110="未說明",J68/J$13,J68))</f>
        <v>4.274</v>
      </c>
      <c r="K72" s="24" t="n">
        <f aca="false">IF(K68="","",IF(In!$C$110="未說明",K68/K$13,K68))</f>
        <v>4.274</v>
      </c>
      <c r="L72" s="24" t="n">
        <f aca="false">IF(L68="","",IF(In!$C$110="未說明",L68/L$13,L68))</f>
        <v>4.274</v>
      </c>
      <c r="M72" s="24" t="n">
        <f aca="false">IF(M68="","",IF(In!$C$110="未說明",M68/M$13,M68))</f>
        <v>4.274</v>
      </c>
    </row>
    <row r="73" customFormat="false" ht="17.15" hidden="false" customHeight="false" outlineLevel="0" collapsed="false">
      <c r="A73" s="5" t="s">
        <v>1024</v>
      </c>
      <c r="B73" s="0" t="s">
        <v>1066</v>
      </c>
      <c r="C73" s="0" t="s">
        <v>78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2.7475</v>
      </c>
      <c r="I73" s="24" t="n">
        <f aca="false">IF(AND(H68&lt;&gt;"",I68&lt;&gt;""),(H68+I68)/2,"")</f>
        <v>3.49</v>
      </c>
      <c r="J73" s="24" t="n">
        <f aca="false">IF(AND(I68&lt;&gt;"",J68&lt;&gt;""),(I68+J68)/2,"")</f>
        <v>4.243</v>
      </c>
      <c r="K73" s="24" t="n">
        <f aca="false">IF(AND(J68&lt;&gt;"",K68&lt;&gt;""),(J68+K68)/2,"")</f>
        <v>4.274</v>
      </c>
      <c r="L73" s="24" t="n">
        <f aca="false">IF(AND(K68&lt;&gt;"",L68&lt;&gt;""),(K68+L68)/2,"")</f>
        <v>4.274</v>
      </c>
      <c r="M73" s="24" t="n">
        <f aca="false">IF(AND(L68&lt;&gt;"",M68&lt;&gt;""),(L68+M68)/2,"")</f>
        <v>4.274</v>
      </c>
    </row>
    <row r="74" customFormat="false" ht="17.15" hidden="false" customHeight="false" outlineLevel="0" collapsed="false">
      <c r="A74" s="5" t="s">
        <v>1026</v>
      </c>
      <c r="B74" s="0" t="s">
        <v>1067</v>
      </c>
      <c r="C74" s="0" t="s">
        <v>78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0.0409999999999999</v>
      </c>
      <c r="I74" s="24" t="n">
        <f aca="false">IF(AND(H68&lt;&gt;"",I68&lt;&gt;""),I68-H68,0)</f>
        <v>1.444</v>
      </c>
      <c r="J74" s="24" t="n">
        <f aca="false">IF(AND(I68&lt;&gt;"",J68&lt;&gt;""),J68-I68,0)</f>
        <v>0.0620000000000003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1028</v>
      </c>
      <c r="B75" s="0" t="s">
        <v>1068</v>
      </c>
      <c r="C75" s="0" t="s">
        <v>78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1030</v>
      </c>
      <c r="B76" s="0" t="s">
        <v>1069</v>
      </c>
      <c r="C76" s="0" t="s">
        <v>53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1070</v>
      </c>
      <c r="B78" s="20" t="s">
        <v>527</v>
      </c>
      <c r="N78" s="20" t="s">
        <v>1071</v>
      </c>
    </row>
    <row r="79" customFormat="false" ht="17.15" hidden="false" customHeight="false" outlineLevel="0" collapsed="false">
      <c r="A79" s="5" t="s">
        <v>998</v>
      </c>
      <c r="B79" s="0" t="s">
        <v>1072</v>
      </c>
      <c r="C79" s="0" t="s">
        <v>78</v>
      </c>
      <c r="D79" s="24" t="str">
        <f aca="false">IF(In!$H$111="","",IF(In!$C$111="設施",In!$H$111/1000/D$13,In!$H$111/1000))</f>
        <v/>
      </c>
      <c r="E79" s="24" t="str">
        <f aca="false">IF(In!$I$111="","",IF(In!$C$111="設施",In!$I$111/1000/E$13,In!$I$111/1000))</f>
        <v/>
      </c>
      <c r="F79" s="24" t="str">
        <f aca="false">IF(In!$J$111="","",IF(In!$C$111="設施",In!$J$111/1000/F$13,In!$J$111/1000))</f>
        <v/>
      </c>
      <c r="G79" s="24" t="str">
        <f aca="false">IF(In!$K$111="","",IF(In!$C$111="設施",In!$K$111/1000/G$13,In!$K$111/1000))</f>
        <v/>
      </c>
      <c r="H79" s="24" t="str">
        <f aca="false">IF(In!$L$111="","",IF(In!$C$111="設施",In!$L$111/1000/H$13,In!$L$111/1000))</f>
        <v/>
      </c>
      <c r="I79" s="24" t="str">
        <f aca="false">IF(In!$M$111="","",IF(In!$C$111="設施",In!$M$111/1000/I$13,In!$M$111/1000))</f>
        <v/>
      </c>
      <c r="J79" s="24" t="str">
        <f aca="false">IF(In!$N$111="","",IF(In!$C$111="設施",In!$N$111/1000/J$13,In!$N$111/1000))</f>
        <v/>
      </c>
      <c r="K79" s="24" t="str">
        <f aca="false">IF(In!$O$111="","",IF(In!$C$111="設施",In!$O$111/1000/K$13,In!$O$111/1000))</f>
        <v/>
      </c>
      <c r="L79" s="24" t="str">
        <f aca="false">IF(In!$P$111="","",IF(In!$C$111="設施",In!$P$111/1000/L$13,In!$P$111/1000))</f>
        <v/>
      </c>
      <c r="M79" s="24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1000</v>
      </c>
      <c r="B80" s="0" t="s">
        <v>1073</v>
      </c>
      <c r="C80" s="0" t="s">
        <v>78</v>
      </c>
      <c r="D80" s="24" t="str">
        <f aca="false">IF(In!$H$104="","",In!$H$104*Players!$D$17/1000)</f>
        <v/>
      </c>
      <c r="E80" s="24" t="n">
        <f aca="false">IF(In!$I$104="","",In!$I$104*Players!$D$17/1000)</f>
        <v>0.968475</v>
      </c>
      <c r="F80" s="24" t="n">
        <f aca="false">IF(In!$J$104="","",In!$J$104*Players!$D$17/1000)</f>
        <v>2.476595</v>
      </c>
      <c r="G80" s="24" t="str">
        <f aca="false">IF(In!$K$104="","",In!$K$104*Players!$D$17/1000)</f>
        <v/>
      </c>
      <c r="H80" s="24" t="str">
        <f aca="false">IF(In!$L$104="","",In!$L$104*Players!$D$17/1000)</f>
        <v/>
      </c>
      <c r="I80" s="24" t="str">
        <f aca="false">IF(In!$M$104="","",In!$M$104*Players!$D$17/1000)</f>
        <v/>
      </c>
      <c r="J80" s="24" t="str">
        <f aca="false">IF(In!$N$104="","",In!$N$104*Players!$D$17/1000)</f>
        <v/>
      </c>
      <c r="K80" s="24" t="str">
        <f aca="false">IF(In!$O$104="","",In!$O$104*Players!$D$17/1000)</f>
        <v/>
      </c>
      <c r="L80" s="24" t="str">
        <f aca="false">IF(In!$P$104="","",In!$P$104*Players!$D$17/1000)</f>
        <v/>
      </c>
      <c r="M80" s="24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1002</v>
      </c>
      <c r="B81" s="0" t="s">
        <v>1074</v>
      </c>
      <c r="C81" s="0" t="s">
        <v>78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1004</v>
      </c>
      <c r="B82" s="0" t="s">
        <v>1075</v>
      </c>
      <c r="C82" s="0" t="s">
        <v>78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1006</v>
      </c>
      <c r="B83" s="0" t="s">
        <v>1076</v>
      </c>
      <c r="C83" s="5" t="s">
        <v>48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1008</v>
      </c>
      <c r="B84" s="0" t="s">
        <v>1077</v>
      </c>
      <c r="C84" s="0" t="s">
        <v>78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1010</v>
      </c>
      <c r="B85" s="0" t="s">
        <v>1078</v>
      </c>
      <c r="C85" s="5" t="s">
        <v>48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1012</v>
      </c>
      <c r="B86" s="0" t="s">
        <v>1079</v>
      </c>
      <c r="C86" s="0" t="s">
        <v>78</v>
      </c>
      <c r="D86" s="24" t="n">
        <f aca="false">SUMIFS(Pipeline!$L$5:$L$74,Pipeline!$C$5:$C$74,"meta",Pipeline!$Q$5:$Q$74,1,Pipeline!$P$5:$P$74,2023)</f>
        <v>0</v>
      </c>
      <c r="E86" s="24" t="n">
        <f aca="false">SUMIFS(Pipeline!$L$5:$L$74,Pipeline!$C$5:$C$74,"meta",Pipeline!$Q$5:$Q$74,1,Pipeline!$P$5:$P$74,2024)</f>
        <v>0</v>
      </c>
      <c r="F86" s="24" t="n">
        <f aca="false">SUMIFS(Pipeline!$L$5:$L$74,Pipeline!$C$5:$C$74,"meta",Pipeline!$Q$5:$Q$74,1,Pipeline!$P$5:$P$74,2025)</f>
        <v>0</v>
      </c>
      <c r="G86" s="24" t="n">
        <f aca="false">SUMIFS(Pipeline!$L$5:$L$74,Pipeline!$C$5:$C$74,"meta",Pipeline!$Q$5:$Q$74,1,Pipeline!$P$5:$P$74,2026)</f>
        <v>0.676</v>
      </c>
      <c r="H86" s="24" t="n">
        <f aca="false">SUMIFS(Pipeline!$L$5:$L$74,Pipeline!$C$5:$C$74,"meta",Pipeline!$Q$5:$Q$74,1,Pipeline!$P$5:$P$74,2027)</f>
        <v>0.192</v>
      </c>
      <c r="I86" s="24" t="n">
        <f aca="false">SUMIFS(Pipeline!$L$5:$L$74,Pipeline!$C$5:$C$74,"meta",Pipeline!$Q$5:$Q$74,1,Pipeline!$P$5:$P$74,2028)</f>
        <v>2.99433333333333</v>
      </c>
      <c r="J86" s="24" t="n">
        <f aca="false">SUMIFS(Pipeline!$L$5:$L$74,Pipeline!$C$5:$C$74,"meta",Pipeline!$Q$5:$Q$74,1,Pipeline!$P$5:$P$74,2029)</f>
        <v>0.968</v>
      </c>
      <c r="K86" s="24" t="n">
        <f aca="false">SUMIFS(Pipeline!$L$5:$L$74,Pipeline!$C$5:$C$74,"meta",Pipeline!$Q$5:$Q$74,1,Pipeline!$P$5:$P$74,2030)</f>
        <v>0</v>
      </c>
      <c r="L86" s="24" t="n">
        <f aca="false">SUMIFS(Pipeline!$L$5:$L$74,Pipeline!$C$5:$C$74,"meta",Pipeline!$Q$5:$Q$74,1,Pipeline!$P$5:$P$74,2031)</f>
        <v>0</v>
      </c>
      <c r="M86" s="24" t="n">
        <f aca="false">SUMIFS(Pipeline!$L$5:$L$74,Pipeline!$C$5:$C$74,"meta",Pipeline!$Q$5:$Q$74,1,Pipeline!$P$5:$P$74,2032)</f>
        <v>0</v>
      </c>
    </row>
    <row r="87" customFormat="false" ht="17.15" hidden="false" customHeight="false" outlineLevel="0" collapsed="false">
      <c r="A87" s="5" t="s">
        <v>1014</v>
      </c>
      <c r="B87" s="0" t="s">
        <v>1080</v>
      </c>
      <c r="C87" s="0" t="s">
        <v>78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3.344595</v>
      </c>
      <c r="I87" s="25" t="n">
        <f aca="false">IF(I81&lt;&gt;"",I81,IF(AND(I82&lt;&gt;"",I84&lt;&gt;""),I82+(I84-I82)*(2028-I83)/(I85-I83),IF(H87&lt;&gt;"",H87+I86,"")))</f>
        <v>6.33892833333333</v>
      </c>
      <c r="J87" s="25" t="n">
        <f aca="false">IF(J81&lt;&gt;"",J81,IF(AND(J82&lt;&gt;"",J84&lt;&gt;""),J82+(J84-J82)*(2029-J83)/(J85-J83),IF(I87&lt;&gt;"",I87+J86,"")))</f>
        <v>7.30692833333333</v>
      </c>
      <c r="K87" s="25" t="n">
        <f aca="false">IF(K81&lt;&gt;"",K81,IF(AND(K82&lt;&gt;"",K84&lt;&gt;""),K82+(K84-K82)*(2030-K83)/(K85-K83),IF(J87&lt;&gt;"",J87+K86,"")))</f>
        <v>7.30692833333333</v>
      </c>
      <c r="L87" s="25" t="n">
        <f aca="false">IF(L81&lt;&gt;"",L81,IF(AND(L82&lt;&gt;"",L84&lt;&gt;""),L82+(L84-L82)*(2031-L83)/(L85-L83),IF(K87&lt;&gt;"",K87+L86,"")))</f>
        <v>7.30692833333333</v>
      </c>
      <c r="M87" s="25" t="n">
        <f aca="false">IF(M81&lt;&gt;"",M81,IF(AND(M82&lt;&gt;"",M84&lt;&gt;""),M82+(M84-M82)*(2032-M83)/(M85-M83),IF(L87&lt;&gt;"",L87+M86,"")))</f>
        <v>7.30692833333333</v>
      </c>
    </row>
    <row r="88" customFormat="false" ht="15" hidden="false" customHeight="false" outlineLevel="0" collapsed="false">
      <c r="A88" s="5" t="s">
        <v>1016</v>
      </c>
      <c r="B88" s="0" t="s">
        <v>1081</v>
      </c>
      <c r="C88" s="0" t="s">
        <v>36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1018</v>
      </c>
      <c r="B89" s="0" t="s">
        <v>1082</v>
      </c>
      <c r="C89" s="0" t="s">
        <v>78</v>
      </c>
      <c r="D89" s="24" t="str">
        <f aca="false">IF(D87="","",IF(AND(D88=5,In!$H$104&lt;&gt;""),In!$H$104*Players!$E$17/1000,D87))</f>
        <v/>
      </c>
      <c r="E89" s="24" t="n">
        <f aca="false">IF(E87="","",IF(AND(E88=5,In!$I$104&lt;&gt;""),In!$I$104*Players!$E$17/1000,E87))</f>
        <v>0.863775</v>
      </c>
      <c r="F89" s="24" t="n">
        <f aca="false">IF(F87="","",IF(AND(F88=5,In!$J$104&lt;&gt;""),In!$J$104*Players!$E$17/1000,F87))</f>
        <v>2.208855</v>
      </c>
      <c r="G89" s="24" t="n">
        <f aca="false">IF(G87="","",IF(AND(G88=5,In!$K$104&lt;&gt;""),In!$K$104*Players!$E$17/1000,G87))</f>
        <v>3.152595</v>
      </c>
      <c r="H89" s="24" t="n">
        <f aca="false">IF(H87="","",IF(AND(H88=5,In!$L$104&lt;&gt;""),In!$L$104*Players!$E$17/1000,H87))</f>
        <v>3.344595</v>
      </c>
      <c r="I89" s="24" t="n">
        <f aca="false">IF(I87="","",IF(AND(I88=5,In!$M$104&lt;&gt;""),In!$M$104*Players!$E$17/1000,I87))</f>
        <v>6.33892833333333</v>
      </c>
      <c r="J89" s="24" t="n">
        <f aca="false">IF(J87="","",IF(AND(J88=5,In!$N$104&lt;&gt;""),In!$N$104*Players!$E$17/1000,J87))</f>
        <v>7.30692833333333</v>
      </c>
      <c r="K89" s="24" t="n">
        <f aca="false">IF(K87="","",IF(AND(K88=5,In!$O$104&lt;&gt;""),In!$O$104*Players!$E$17/1000,K87))</f>
        <v>7.30692833333333</v>
      </c>
      <c r="L89" s="24" t="n">
        <f aca="false">IF(L87="","",IF(AND(L88=5,In!$P$104&lt;&gt;""),In!$P$104*Players!$E$17/1000,L87))</f>
        <v>7.30692833333333</v>
      </c>
      <c r="M89" s="24" t="n">
        <f aca="false">IF(M87="","",IF(AND(M88=5,In!$Q$104&lt;&gt;""),In!$Q$104*Players!$E$17/1000,M87))</f>
        <v>7.30692833333333</v>
      </c>
    </row>
    <row r="90" customFormat="false" ht="17.15" hidden="false" customHeight="false" outlineLevel="0" collapsed="false">
      <c r="A90" s="5" t="s">
        <v>1020</v>
      </c>
      <c r="B90" s="0" t="s">
        <v>1083</v>
      </c>
      <c r="C90" s="0" t="s">
        <v>78</v>
      </c>
      <c r="D90" s="24" t="str">
        <f aca="false">IF(D87="","",IF(AND(D88=5,In!$H$104&lt;&gt;""),In!$H$104*Players!$F$17/1000,D87))</f>
        <v/>
      </c>
      <c r="E90" s="24" t="n">
        <f aca="false">IF(E87="","",IF(AND(E88=5,In!$I$104&lt;&gt;""),In!$I$104*Players!$F$17/1000,E87))</f>
        <v>1.08888</v>
      </c>
      <c r="F90" s="24" t="n">
        <f aca="false">IF(F87="","",IF(AND(F88=5,In!$J$104&lt;&gt;""),In!$J$104*Players!$F$17/1000,F87))</f>
        <v>2.784496</v>
      </c>
      <c r="G90" s="24" t="n">
        <f aca="false">IF(G87="","",IF(AND(G88=5,In!$K$104&lt;&gt;""),In!$K$104*Players!$F$17/1000,G87))</f>
        <v>3.152595</v>
      </c>
      <c r="H90" s="24" t="n">
        <f aca="false">IF(H87="","",IF(AND(H88=5,In!$L$104&lt;&gt;""),In!$L$104*Players!$F$17/1000,H87))</f>
        <v>3.344595</v>
      </c>
      <c r="I90" s="24" t="n">
        <f aca="false">IF(I87="","",IF(AND(I88=5,In!$M$104&lt;&gt;""),In!$M$104*Players!$F$17/1000,I87))</f>
        <v>6.33892833333333</v>
      </c>
      <c r="J90" s="24" t="n">
        <f aca="false">IF(J87="","",IF(AND(J88=5,In!$N$104&lt;&gt;""),In!$N$104*Players!$F$17/1000,J87))</f>
        <v>7.30692833333333</v>
      </c>
      <c r="K90" s="24" t="n">
        <f aca="false">IF(K87="","",IF(AND(K88=5,In!$O$104&lt;&gt;""),In!$O$104*Players!$F$17/1000,K87))</f>
        <v>7.30692833333333</v>
      </c>
      <c r="L90" s="24" t="n">
        <f aca="false">IF(L87="","",IF(AND(L88=5,In!$P$104&lt;&gt;""),In!$P$104*Players!$F$17/1000,L87))</f>
        <v>7.30692833333333</v>
      </c>
      <c r="M90" s="24" t="n">
        <f aca="false">IF(M87="","",IF(AND(M88=5,In!$Q$104&lt;&gt;""),In!$Q$104*Players!$F$17/1000,M87))</f>
        <v>7.30692833333333</v>
      </c>
    </row>
    <row r="91" customFormat="false" ht="17.15" hidden="false" customHeight="false" outlineLevel="0" collapsed="false">
      <c r="A91" s="5" t="s">
        <v>1022</v>
      </c>
      <c r="B91" s="0" t="s">
        <v>1084</v>
      </c>
      <c r="C91" s="0" t="s">
        <v>78</v>
      </c>
      <c r="D91" s="24" t="str">
        <f aca="false">IF(D87="","",IF(In!$C$111="未說明",D87/D$13,D87))</f>
        <v/>
      </c>
      <c r="E91" s="24" t="n">
        <f aca="false">IF(E87="","",IF(In!$C$111="未說明",E87/E$13,E87))</f>
        <v>0.968475</v>
      </c>
      <c r="F91" s="24" t="n">
        <f aca="false">IF(F87="","",IF(In!$C$111="未說明",F87/F$13,F87))</f>
        <v>2.476595</v>
      </c>
      <c r="G91" s="24" t="n">
        <f aca="false">IF(G87="","",IF(In!$C$111="未說明",G87/G$13,G87))</f>
        <v>3.152595</v>
      </c>
      <c r="H91" s="24" t="n">
        <f aca="false">IF(H87="","",IF(In!$C$111="未說明",H87/H$13,H87))</f>
        <v>3.344595</v>
      </c>
      <c r="I91" s="24" t="n">
        <f aca="false">IF(I87="","",IF(In!$C$111="未說明",I87/I$13,I87))</f>
        <v>6.33892833333333</v>
      </c>
      <c r="J91" s="24" t="n">
        <f aca="false">IF(J87="","",IF(In!$C$111="未說明",J87/J$13,J87))</f>
        <v>7.30692833333333</v>
      </c>
      <c r="K91" s="24" t="n">
        <f aca="false">IF(K87="","",IF(In!$C$111="未說明",K87/K$13,K87))</f>
        <v>7.30692833333333</v>
      </c>
      <c r="L91" s="24" t="n">
        <f aca="false">IF(L87="","",IF(In!$C$111="未說明",L87/L$13,L87))</f>
        <v>7.30692833333333</v>
      </c>
      <c r="M91" s="24" t="n">
        <f aca="false">IF(M87="","",IF(In!$C$111="未說明",M87/M$13,M87))</f>
        <v>7.30692833333333</v>
      </c>
    </row>
    <row r="92" customFormat="false" ht="17.15" hidden="false" customHeight="false" outlineLevel="0" collapsed="false">
      <c r="A92" s="5" t="s">
        <v>1024</v>
      </c>
      <c r="B92" s="0" t="s">
        <v>1085</v>
      </c>
      <c r="C92" s="0" t="s">
        <v>78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3.248595</v>
      </c>
      <c r="I92" s="24" t="n">
        <f aca="false">IF(AND(H87&lt;&gt;"",I87&lt;&gt;""),(H87+I87)/2,"")</f>
        <v>4.84176166666667</v>
      </c>
      <c r="J92" s="24" t="n">
        <f aca="false">IF(AND(I87&lt;&gt;"",J87&lt;&gt;""),(I87+J87)/2,"")</f>
        <v>6.82292833333333</v>
      </c>
      <c r="K92" s="24" t="n">
        <f aca="false">IF(AND(J87&lt;&gt;"",K87&lt;&gt;""),(J87+K87)/2,"")</f>
        <v>7.30692833333333</v>
      </c>
      <c r="L92" s="24" t="n">
        <f aca="false">IF(AND(K87&lt;&gt;"",L87&lt;&gt;""),(K87+L87)/2,"")</f>
        <v>7.30692833333333</v>
      </c>
      <c r="M92" s="24" t="n">
        <f aca="false">IF(AND(L87&lt;&gt;"",M87&lt;&gt;""),(L87+M87)/2,"")</f>
        <v>7.30692833333333</v>
      </c>
    </row>
    <row r="93" customFormat="false" ht="17.15" hidden="false" customHeight="false" outlineLevel="0" collapsed="false">
      <c r="A93" s="5" t="s">
        <v>1026</v>
      </c>
      <c r="B93" s="0" t="s">
        <v>1086</v>
      </c>
      <c r="C93" s="0" t="s">
        <v>78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0.192</v>
      </c>
      <c r="I93" s="24" t="n">
        <f aca="false">IF(AND(H87&lt;&gt;"",I87&lt;&gt;""),I87-H87,0)</f>
        <v>2.99433333333333</v>
      </c>
      <c r="J93" s="24" t="n">
        <f aca="false">IF(AND(I87&lt;&gt;"",J87&lt;&gt;""),J87-I87,0)</f>
        <v>0.968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1028</v>
      </c>
      <c r="B94" s="0" t="s">
        <v>1087</v>
      </c>
      <c r="C94" s="0" t="s">
        <v>78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1030</v>
      </c>
      <c r="B95" s="0" t="s">
        <v>1088</v>
      </c>
      <c r="C95" s="0" t="s">
        <v>53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1089</v>
      </c>
      <c r="B97" s="20" t="s">
        <v>531</v>
      </c>
      <c r="N97" s="20" t="s">
        <v>1090</v>
      </c>
    </row>
    <row r="98" customFormat="false" ht="17.15" hidden="false" customHeight="false" outlineLevel="0" collapsed="false">
      <c r="A98" s="5" t="s">
        <v>998</v>
      </c>
      <c r="B98" s="0" t="s">
        <v>1091</v>
      </c>
      <c r="C98" s="0" t="s">
        <v>78</v>
      </c>
      <c r="D98" s="24" t="str">
        <f aca="false">IF(In!$H$112="","",IF(In!$C$112="設施",In!$H$112/1000/D$13,In!$H$112/1000))</f>
        <v/>
      </c>
      <c r="E98" s="24" t="str">
        <f aca="false">IF(In!$I$112="","",IF(In!$C$112="設施",In!$I$112/1000/E$13,In!$I$112/1000))</f>
        <v/>
      </c>
      <c r="F98" s="24" t="str">
        <f aca="false">IF(In!$J$112="","",IF(In!$C$112="設施",In!$J$112/1000/F$13,In!$J$112/1000))</f>
        <v/>
      </c>
      <c r="G98" s="24" t="str">
        <f aca="false">IF(In!$K$112="","",IF(In!$C$112="設施",In!$K$112/1000/G$13,In!$K$112/1000))</f>
        <v/>
      </c>
      <c r="H98" s="24" t="str">
        <f aca="false">IF(In!$L$112="","",IF(In!$C$112="設施",In!$L$112/1000/H$13,In!$L$112/1000))</f>
        <v/>
      </c>
      <c r="I98" s="24" t="str">
        <f aca="false">IF(In!$M$112="","",IF(In!$C$112="設施",In!$M$112/1000/I$13,In!$M$112/1000))</f>
        <v/>
      </c>
      <c r="J98" s="24" t="str">
        <f aca="false">IF(In!$N$112="","",IF(In!$C$112="設施",In!$N$112/1000/J$13,In!$N$112/1000))</f>
        <v/>
      </c>
      <c r="K98" s="24" t="str">
        <f aca="false">IF(In!$O$112="","",IF(In!$C$112="設施",In!$O$112/1000/K$13,In!$O$112/1000))</f>
        <v/>
      </c>
      <c r="L98" s="24" t="str">
        <f aca="false">IF(In!$P$112="","",IF(In!$C$112="設施",In!$P$112/1000/L$13,In!$P$112/1000))</f>
        <v/>
      </c>
      <c r="M98" s="24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1000</v>
      </c>
      <c r="B99" s="0" t="s">
        <v>1092</v>
      </c>
      <c r="C99" s="0" t="s">
        <v>78</v>
      </c>
      <c r="D99" s="24" t="str">
        <f aca="false">IF(In!$H$105="","",In!$H$105*Players!$D$18/1000)</f>
        <v/>
      </c>
      <c r="E99" s="24" t="n">
        <f aca="false">IF(In!$I$105="","",In!$I$105*Players!$D$18/1000)</f>
        <v>0.386465</v>
      </c>
      <c r="F99" s="24" t="n">
        <f aca="false">IF(In!$J$105="","",In!$J$105*Players!$D$18/1000)</f>
        <v>1.20287</v>
      </c>
      <c r="G99" s="24" t="str">
        <f aca="false">IF(In!$K$105="","",In!$K$105*Players!$D$18/1000)</f>
        <v/>
      </c>
      <c r="H99" s="24" t="str">
        <f aca="false">IF(In!$L$105="","",In!$L$105*Players!$D$18/1000)</f>
        <v/>
      </c>
      <c r="I99" s="24" t="str">
        <f aca="false">IF(In!$M$105="","",In!$M$105*Players!$D$18/1000)</f>
        <v/>
      </c>
      <c r="J99" s="24" t="str">
        <f aca="false">IF(In!$N$105="","",In!$N$105*Players!$D$18/1000)</f>
        <v/>
      </c>
      <c r="K99" s="24" t="str">
        <f aca="false">IF(In!$O$105="","",In!$O$105*Players!$D$18/1000)</f>
        <v/>
      </c>
      <c r="L99" s="24" t="str">
        <f aca="false">IF(In!$P$105="","",In!$P$105*Players!$D$18/1000)</f>
        <v/>
      </c>
      <c r="M99" s="24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1002</v>
      </c>
      <c r="B100" s="0" t="s">
        <v>1093</v>
      </c>
      <c r="C100" s="0" t="s">
        <v>78</v>
      </c>
      <c r="D100" s="24" t="str">
        <f aca="false">IF(D98&lt;&gt;"",D98,IF(D99&lt;&gt;"",D99,IF(INT(obsd_orcl)=2023,obs_orcl/1000+SUMIFS(Pipeline!$L$5:$L$74,Pipeline!$C$5:$C$74,"orcl",Pipeline!$Q$5:$Q$74,1,Pipeline!$K$5:$K$74,"&gt;"&amp;obsd_orcl,Pipeline!$K$5:$K$74,"&lt;="&amp;2024),"")))</f>
        <v/>
      </c>
      <c r="E100" s="24" t="n">
        <f aca="false">IF(E98&lt;&gt;"",E98,IF(E99&lt;&gt;"",E99,IF(INT(obsd_orcl)=2024,obs_orcl/1000+SUMIFS(Pipeline!$L$5:$L$74,Pipeline!$C$5:$C$74,"orcl",Pipeline!$Q$5:$Q$74,1,Pipeline!$K$5:$K$74,"&gt;"&amp;obsd_orcl,Pipeline!$K$5:$K$74,"&lt;="&amp;2025),"")))</f>
        <v>0.386465</v>
      </c>
      <c r="F100" s="24" t="n">
        <f aca="false">IF(F98&lt;&gt;"",F98,IF(F99&lt;&gt;"",F99,IF(INT(obsd_orcl)=2025,obs_orcl/1000+SUMIFS(Pipeline!$L$5:$L$74,Pipeline!$C$5:$C$74,"orcl",Pipeline!$Q$5:$Q$74,1,Pipeline!$K$5:$K$74,"&gt;"&amp;obsd_orcl,Pipeline!$K$5:$K$74,"&lt;="&amp;2026),"")))</f>
        <v>1.20287</v>
      </c>
      <c r="G100" s="24" t="n">
        <f aca="false">IF(G98&lt;&gt;"",G98,IF(G99&lt;&gt;"",G99,IF(INT(obsd_orcl)=2026,obs_orcl/1000+SUMIFS(Pipeline!$L$5:$L$74,Pipeline!$C$5:$C$74,"orcl",Pipeline!$Q$5:$Q$74,1,Pipeline!$K$5:$K$74,"&gt;"&amp;obsd_orcl,Pipeline!$K$5:$K$74,"&lt;="&amp;2027),"")))</f>
        <v>2.749</v>
      </c>
      <c r="H100" s="24" t="str">
        <f aca="false">IF(H98&lt;&gt;"",H98,IF(H99&lt;&gt;"",H99,IF(INT(obsd_orcl)=2027,obs_orcl/1000+SUMIFS(Pipeline!$L$5:$L$74,Pipeline!$C$5:$C$74,"orcl",Pipeline!$Q$5:$Q$74,1,Pipeline!$K$5:$K$74,"&gt;"&amp;obsd_orcl,Pipeline!$K$5:$K$74,"&lt;="&amp;2028),"")))</f>
        <v/>
      </c>
      <c r="I100" s="24" t="str">
        <f aca="false">IF(I98&lt;&gt;"",I98,IF(I99&lt;&gt;"",I99,IF(INT(obsd_orcl)=2028,obs_orcl/1000+SUMIFS(Pipeline!$L$5:$L$74,Pipeline!$C$5:$C$74,"orcl",Pipeline!$Q$5:$Q$74,1,Pipeline!$K$5:$K$74,"&gt;"&amp;obsd_orcl,Pipeline!$K$5:$K$74,"&lt;="&amp;2029),"")))</f>
        <v/>
      </c>
      <c r="J100" s="24" t="str">
        <f aca="false">IF(J98&lt;&gt;"",J98,IF(J99&lt;&gt;"",J99,IF(INT(obsd_orcl)=2029,obs_orcl/1000+SUMIFS(Pipeline!$L$5:$L$74,Pipeline!$C$5:$C$74,"orcl",Pipeline!$Q$5:$Q$74,1,Pipeline!$K$5:$K$74,"&gt;"&amp;obsd_orcl,Pipeline!$K$5:$K$74,"&lt;="&amp;2030),"")))</f>
        <v/>
      </c>
      <c r="K100" s="24" t="str">
        <f aca="false">IF(K98&lt;&gt;"",K98,IF(K99&lt;&gt;"",K99,IF(INT(obsd_orcl)=2030,obs_orcl/1000+SUMIFS(Pipeline!$L$5:$L$74,Pipeline!$C$5:$C$74,"orcl",Pipeline!$Q$5:$Q$74,1,Pipeline!$K$5:$K$74,"&gt;"&amp;obsd_orcl,Pipeline!$K$5:$K$74,"&lt;="&amp;2031),"")))</f>
        <v/>
      </c>
      <c r="L100" s="24" t="str">
        <f aca="false">IF(L98&lt;&gt;"",L98,IF(L99&lt;&gt;"",L99,IF(INT(obsd_orcl)=2031,obs_orcl/1000+SUMIFS(Pipeline!$L$5:$L$74,Pipeline!$C$5:$C$74,"orcl",Pipeline!$Q$5:$Q$74,1,Pipeline!$K$5:$K$74,"&gt;"&amp;obsd_orcl,Pipeline!$K$5:$K$74,"&lt;="&amp;2032),"")))</f>
        <v/>
      </c>
      <c r="M100" s="24" t="str">
        <f aca="false">IF(M98&lt;&gt;"",M98,IF(M99&lt;&gt;"",M99,IF(INT(obsd_orcl)=2032,obs_orcl/1000+SUMIFS(Pipeline!$L$5:$L$74,Pipeline!$C$5:$C$74,"orcl",Pipeline!$Q$5:$Q$74,1,Pipeline!$K$5:$K$74,"&gt;"&amp;obsd_orcl,Pipeline!$K$5:$K$74,"&lt;="&amp;2033),"")))</f>
        <v/>
      </c>
    </row>
    <row r="101" customFormat="false" ht="15" hidden="false" customHeight="false" outlineLevel="0" collapsed="false">
      <c r="A101" s="5" t="s">
        <v>1004</v>
      </c>
      <c r="B101" s="0" t="s">
        <v>1094</v>
      </c>
      <c r="C101" s="0" t="s">
        <v>78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1006</v>
      </c>
      <c r="B102" s="0" t="s">
        <v>1095</v>
      </c>
      <c r="C102" s="5" t="s">
        <v>48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1008</v>
      </c>
      <c r="B103" s="0" t="s">
        <v>1096</v>
      </c>
      <c r="C103" s="0" t="s">
        <v>78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1010</v>
      </c>
      <c r="B104" s="0" t="s">
        <v>1097</v>
      </c>
      <c r="C104" s="5" t="s">
        <v>48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1012</v>
      </c>
      <c r="B105" s="0" t="s">
        <v>1098</v>
      </c>
      <c r="C105" s="0" t="s">
        <v>78</v>
      </c>
      <c r="D105" s="24" t="n">
        <f aca="false">SUMIFS(Pipeline!$L$5:$L$74,Pipeline!$C$5:$C$74,"orcl",Pipeline!$Q$5:$Q$74,1,Pipeline!$P$5:$P$74,2023)</f>
        <v>0</v>
      </c>
      <c r="E105" s="24" t="n">
        <f aca="false">SUMIFS(Pipeline!$L$5:$L$74,Pipeline!$C$5:$C$74,"orcl",Pipeline!$Q$5:$Q$74,1,Pipeline!$P$5:$P$74,2024)</f>
        <v>0</v>
      </c>
      <c r="F105" s="24" t="n">
        <f aca="false">SUMIFS(Pipeline!$L$5:$L$74,Pipeline!$C$5:$C$74,"orcl",Pipeline!$Q$5:$Q$74,1,Pipeline!$P$5:$P$74,2025)</f>
        <v>0</v>
      </c>
      <c r="G105" s="24" t="n">
        <f aca="false">SUMIFS(Pipeline!$L$5:$L$74,Pipeline!$C$5:$C$74,"orcl",Pipeline!$Q$5:$Q$74,1,Pipeline!$P$5:$P$74,2026)</f>
        <v>0.206</v>
      </c>
      <c r="H105" s="24" t="n">
        <f aca="false">SUMIFS(Pipeline!$L$5:$L$74,Pipeline!$C$5:$C$74,"orcl",Pipeline!$Q$5:$Q$74,1,Pipeline!$P$5:$P$74,2027)</f>
        <v>0.166666666666667</v>
      </c>
      <c r="I105" s="24" t="n">
        <f aca="false">SUMIFS(Pipeline!$L$5:$L$74,Pipeline!$C$5:$C$74,"orcl",Pipeline!$Q$5:$Q$74,1,Pipeline!$P$5:$P$74,2028)</f>
        <v>5.56916666666667</v>
      </c>
      <c r="J105" s="24" t="n">
        <f aca="false">SUMIFS(Pipeline!$L$5:$L$74,Pipeline!$C$5:$C$74,"orcl",Pipeline!$Q$5:$Q$74,1,Pipeline!$P$5:$P$74,2029)</f>
        <v>0</v>
      </c>
      <c r="K105" s="24" t="n">
        <f aca="false">SUMIFS(Pipeline!$L$5:$L$74,Pipeline!$C$5:$C$74,"orcl",Pipeline!$Q$5:$Q$74,1,Pipeline!$P$5:$P$74,2030)</f>
        <v>0</v>
      </c>
      <c r="L105" s="24" t="n">
        <f aca="false">SUMIFS(Pipeline!$L$5:$L$74,Pipeline!$C$5:$C$74,"orcl",Pipeline!$Q$5:$Q$74,1,Pipeline!$P$5:$P$74,2031)</f>
        <v>0</v>
      </c>
      <c r="M105" s="24" t="n">
        <f aca="false">SUMIFS(Pipeline!$L$5:$L$74,Pipeline!$C$5:$C$74,"orcl",Pipeline!$Q$5:$Q$74,1,Pipeline!$P$5:$P$74,2032)</f>
        <v>0</v>
      </c>
    </row>
    <row r="106" customFormat="false" ht="17.15" hidden="false" customHeight="false" outlineLevel="0" collapsed="false">
      <c r="A106" s="5" t="s">
        <v>1014</v>
      </c>
      <c r="B106" s="0" t="s">
        <v>1099</v>
      </c>
      <c r="C106" s="0" t="s">
        <v>78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2.91566666666667</v>
      </c>
      <c r="I106" s="25" t="n">
        <f aca="false">IF(I100&lt;&gt;"",I100,IF(AND(I101&lt;&gt;"",I103&lt;&gt;""),I101+(I103-I101)*(2028-I102)/(I104-I102),IF(H106&lt;&gt;"",H106+I105,"")))</f>
        <v>8.48483333333333</v>
      </c>
      <c r="J106" s="25" t="n">
        <f aca="false">IF(J100&lt;&gt;"",J100,IF(AND(J101&lt;&gt;"",J103&lt;&gt;""),J101+(J103-J101)*(2029-J102)/(J104-J102),IF(I106&lt;&gt;"",I106+J105,"")))</f>
        <v>8.48483333333333</v>
      </c>
      <c r="K106" s="25" t="n">
        <f aca="false">IF(K100&lt;&gt;"",K100,IF(AND(K101&lt;&gt;"",K103&lt;&gt;""),K101+(K103-K101)*(2030-K102)/(K104-K102),IF(J106&lt;&gt;"",J106+K105,"")))</f>
        <v>8.48483333333333</v>
      </c>
      <c r="L106" s="25" t="n">
        <f aca="false">IF(L100&lt;&gt;"",L100,IF(AND(L101&lt;&gt;"",L103&lt;&gt;""),L101+(L103-L101)*(2031-L102)/(L104-L102),IF(K106&lt;&gt;"",K106+L105,"")))</f>
        <v>8.48483333333333</v>
      </c>
      <c r="M106" s="25" t="n">
        <f aca="false">IF(M100&lt;&gt;"",M100,IF(AND(M101&lt;&gt;"",M103&lt;&gt;""),M101+(M103-M101)*(2032-M102)/(M104-M102),IF(L106&lt;&gt;"",L106+M105,"")))</f>
        <v>8.48483333333333</v>
      </c>
    </row>
    <row r="107" customFormat="false" ht="15" hidden="false" customHeight="false" outlineLevel="0" collapsed="false">
      <c r="A107" s="5" t="s">
        <v>1016</v>
      </c>
      <c r="B107" s="0" t="s">
        <v>1100</v>
      </c>
      <c r="C107" s="0" t="s">
        <v>36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1018</v>
      </c>
      <c r="B108" s="0" t="s">
        <v>1101</v>
      </c>
      <c r="C108" s="0" t="s">
        <v>78</v>
      </c>
      <c r="D108" s="24" t="str">
        <f aca="false">IF(D106="","",IF(AND(D107=5,In!$H$105&lt;&gt;""),In!$H$105*Players!$E$18/1000,D106))</f>
        <v/>
      </c>
      <c r="E108" s="24" t="n">
        <f aca="false">IF(E106="","",IF(AND(E107=5,In!$I$105&lt;&gt;""),In!$I$105*Players!$E$18/1000,E106))</f>
        <v>0.344685</v>
      </c>
      <c r="F108" s="24" t="n">
        <f aca="false">IF(F106="","",IF(AND(F107=5,In!$J$105&lt;&gt;""),In!$J$105*Players!$E$18/1000,F106))</f>
        <v>1.07283</v>
      </c>
      <c r="G108" s="24" t="n">
        <f aca="false">IF(G106="","",IF(AND(G107=5,In!$K$105&lt;&gt;""),In!$K$105*Players!$E$18/1000,G106))</f>
        <v>2.749</v>
      </c>
      <c r="H108" s="24" t="n">
        <f aca="false">IF(H106="","",IF(AND(H107=5,In!$L$105&lt;&gt;""),In!$L$105*Players!$E$18/1000,H106))</f>
        <v>2.91566666666667</v>
      </c>
      <c r="I108" s="24" t="n">
        <f aca="false">IF(I106="","",IF(AND(I107=5,In!$M$105&lt;&gt;""),In!$M$105*Players!$E$18/1000,I106))</f>
        <v>8.48483333333333</v>
      </c>
      <c r="J108" s="24" t="n">
        <f aca="false">IF(J106="","",IF(AND(J107=5,In!$N$105&lt;&gt;""),In!$N$105*Players!$E$18/1000,J106))</f>
        <v>8.48483333333333</v>
      </c>
      <c r="K108" s="24" t="n">
        <f aca="false">IF(K106="","",IF(AND(K107=5,In!$O$105&lt;&gt;""),In!$O$105*Players!$E$18/1000,K106))</f>
        <v>8.48483333333333</v>
      </c>
      <c r="L108" s="24" t="n">
        <f aca="false">IF(L106="","",IF(AND(L107=5,In!$P$105&lt;&gt;""),In!$P$105*Players!$E$18/1000,L106))</f>
        <v>8.48483333333333</v>
      </c>
      <c r="M108" s="24" t="n">
        <f aca="false">IF(M106="","",IF(AND(M107=5,In!$Q$105&lt;&gt;""),In!$Q$105*Players!$E$18/1000,M106))</f>
        <v>8.48483333333333</v>
      </c>
    </row>
    <row r="109" customFormat="false" ht="17.15" hidden="false" customHeight="false" outlineLevel="0" collapsed="false">
      <c r="A109" s="5" t="s">
        <v>1020</v>
      </c>
      <c r="B109" s="0" t="s">
        <v>1102</v>
      </c>
      <c r="C109" s="0" t="s">
        <v>78</v>
      </c>
      <c r="D109" s="24" t="str">
        <f aca="false">IF(D106="","",IF(AND(D107=5,In!$H$105&lt;&gt;""),In!$H$105*Players!$F$18/1000,D106))</f>
        <v/>
      </c>
      <c r="E109" s="24" t="n">
        <f aca="false">IF(E106="","",IF(AND(E107=5,In!$I$105&lt;&gt;""),In!$I$105*Players!$F$18/1000,E106))</f>
        <v>0.434512</v>
      </c>
      <c r="F109" s="24" t="n">
        <f aca="false">IF(F106="","",IF(AND(F107=5,In!$J$105&lt;&gt;""),In!$J$105*Players!$F$18/1000,F106))</f>
        <v>1.352416</v>
      </c>
      <c r="G109" s="24" t="n">
        <f aca="false">IF(G106="","",IF(AND(G107=5,In!$K$105&lt;&gt;""),In!$K$105*Players!$F$18/1000,G106))</f>
        <v>2.749</v>
      </c>
      <c r="H109" s="24" t="n">
        <f aca="false">IF(H106="","",IF(AND(H107=5,In!$L$105&lt;&gt;""),In!$L$105*Players!$F$18/1000,H106))</f>
        <v>2.91566666666667</v>
      </c>
      <c r="I109" s="24" t="n">
        <f aca="false">IF(I106="","",IF(AND(I107=5,In!$M$105&lt;&gt;""),In!$M$105*Players!$F$18/1000,I106))</f>
        <v>8.48483333333333</v>
      </c>
      <c r="J109" s="24" t="n">
        <f aca="false">IF(J106="","",IF(AND(J107=5,In!$N$105&lt;&gt;""),In!$N$105*Players!$F$18/1000,J106))</f>
        <v>8.48483333333333</v>
      </c>
      <c r="K109" s="24" t="n">
        <f aca="false">IF(K106="","",IF(AND(K107=5,In!$O$105&lt;&gt;""),In!$O$105*Players!$F$18/1000,K106))</f>
        <v>8.48483333333333</v>
      </c>
      <c r="L109" s="24" t="n">
        <f aca="false">IF(L106="","",IF(AND(L107=5,In!$P$105&lt;&gt;""),In!$P$105*Players!$F$18/1000,L106))</f>
        <v>8.48483333333333</v>
      </c>
      <c r="M109" s="24" t="n">
        <f aca="false">IF(M106="","",IF(AND(M107=5,In!$Q$105&lt;&gt;""),In!$Q$105*Players!$F$18/1000,M106))</f>
        <v>8.48483333333333</v>
      </c>
    </row>
    <row r="110" customFormat="false" ht="17.15" hidden="false" customHeight="false" outlineLevel="0" collapsed="false">
      <c r="A110" s="5" t="s">
        <v>1022</v>
      </c>
      <c r="B110" s="0" t="s">
        <v>1103</v>
      </c>
      <c r="C110" s="0" t="s">
        <v>78</v>
      </c>
      <c r="D110" s="24" t="str">
        <f aca="false">IF(D106="","",IF(In!$C$112="未說明",D106/D$13,D106))</f>
        <v/>
      </c>
      <c r="E110" s="24" t="n">
        <f aca="false">IF(E106="","",IF(In!$C$112="未說明",E106/E$13,E106))</f>
        <v>0.386465</v>
      </c>
      <c r="F110" s="24" t="n">
        <f aca="false">IF(F106="","",IF(In!$C$112="未說明",F106/F$13,F106))</f>
        <v>1.20287</v>
      </c>
      <c r="G110" s="24" t="n">
        <f aca="false">IF(G106="","",IF(In!$C$112="未說明",G106/G$13,G106))</f>
        <v>2.749</v>
      </c>
      <c r="H110" s="24" t="n">
        <f aca="false">IF(H106="","",IF(In!$C$112="未說明",H106/H$13,H106))</f>
        <v>2.91566666666667</v>
      </c>
      <c r="I110" s="24" t="n">
        <f aca="false">IF(I106="","",IF(In!$C$112="未說明",I106/I$13,I106))</f>
        <v>8.48483333333333</v>
      </c>
      <c r="J110" s="24" t="n">
        <f aca="false">IF(J106="","",IF(In!$C$112="未說明",J106/J$13,J106))</f>
        <v>8.48483333333333</v>
      </c>
      <c r="K110" s="24" t="n">
        <f aca="false">IF(K106="","",IF(In!$C$112="未說明",K106/K$13,K106))</f>
        <v>8.48483333333333</v>
      </c>
      <c r="L110" s="24" t="n">
        <f aca="false">IF(L106="","",IF(In!$C$112="未說明",L106/L$13,L106))</f>
        <v>8.48483333333333</v>
      </c>
      <c r="M110" s="24" t="n">
        <f aca="false">IF(M106="","",IF(In!$C$112="未說明",M106/M$13,M106))</f>
        <v>8.48483333333333</v>
      </c>
    </row>
    <row r="111" customFormat="false" ht="17.15" hidden="false" customHeight="false" outlineLevel="0" collapsed="false">
      <c r="A111" s="5" t="s">
        <v>1024</v>
      </c>
      <c r="B111" s="0" t="s">
        <v>1104</v>
      </c>
      <c r="C111" s="0" t="s">
        <v>78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2.83233333333333</v>
      </c>
      <c r="I111" s="24" t="n">
        <f aca="false">IF(AND(H106&lt;&gt;"",I106&lt;&gt;""),(H106+I106)/2,"")</f>
        <v>5.70025</v>
      </c>
      <c r="J111" s="24" t="n">
        <f aca="false">IF(AND(I106&lt;&gt;"",J106&lt;&gt;""),(I106+J106)/2,"")</f>
        <v>8.48483333333333</v>
      </c>
      <c r="K111" s="24" t="n">
        <f aca="false">IF(AND(J106&lt;&gt;"",K106&lt;&gt;""),(J106+K106)/2,"")</f>
        <v>8.48483333333333</v>
      </c>
      <c r="L111" s="24" t="n">
        <f aca="false">IF(AND(K106&lt;&gt;"",L106&lt;&gt;""),(K106+L106)/2,"")</f>
        <v>8.48483333333333</v>
      </c>
      <c r="M111" s="24" t="n">
        <f aca="false">IF(AND(L106&lt;&gt;"",M106&lt;&gt;""),(L106+M106)/2,"")</f>
        <v>8.48483333333333</v>
      </c>
    </row>
    <row r="112" customFormat="false" ht="17.15" hidden="false" customHeight="false" outlineLevel="0" collapsed="false">
      <c r="A112" s="5" t="s">
        <v>1026</v>
      </c>
      <c r="B112" s="0" t="s">
        <v>1105</v>
      </c>
      <c r="C112" s="0" t="s">
        <v>78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0.166666666666667</v>
      </c>
      <c r="I112" s="24" t="n">
        <f aca="false">IF(AND(H106&lt;&gt;"",I106&lt;&gt;""),I106-H106,0)</f>
        <v>5.56916666666667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1028</v>
      </c>
      <c r="B113" s="0" t="s">
        <v>1106</v>
      </c>
      <c r="C113" s="0" t="s">
        <v>78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1030</v>
      </c>
      <c r="B114" s="0" t="s">
        <v>1107</v>
      </c>
      <c r="C114" s="0" t="s">
        <v>53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1108</v>
      </c>
      <c r="B116" s="20" t="s">
        <v>621</v>
      </c>
      <c r="N116" s="20" t="s">
        <v>1109</v>
      </c>
    </row>
    <row r="117" customFormat="false" ht="17.15" hidden="false" customHeight="false" outlineLevel="0" collapsed="false">
      <c r="A117" s="5" t="s">
        <v>998</v>
      </c>
      <c r="B117" s="0" t="s">
        <v>1110</v>
      </c>
      <c r="C117" s="0" t="s">
        <v>78</v>
      </c>
      <c r="D117" s="24" t="n">
        <f aca="false">IF(In!$H$113="","",IF(In!$C$113="設施",In!$H$113/1000/D$13,In!$H$113/1000))</f>
        <v>0.07</v>
      </c>
      <c r="E117" s="24" t="n">
        <f aca="false">IF(In!$I$113="","",IF(In!$C$113="設施",In!$I$113/1000/E$13,In!$I$113/1000))</f>
        <v>0.36</v>
      </c>
      <c r="F117" s="24" t="n">
        <f aca="false">IF(In!$J$113="","",IF(In!$C$113="設施",In!$J$113/1000/F$13,In!$J$113/1000))</f>
        <v>0.85</v>
      </c>
      <c r="G117" s="24" t="n">
        <f aca="false">IF(In!$K$113="","",IF(In!$C$113="設施",In!$K$113/1000/G$13,In!$K$113/1000))</f>
        <v>1.85</v>
      </c>
      <c r="H117" s="24" t="str">
        <f aca="false">IF(In!$L$113="","",IF(In!$C$113="設施",In!$L$113/1000/H$13,In!$L$113/1000))</f>
        <v/>
      </c>
      <c r="I117" s="24" t="str">
        <f aca="false">IF(In!$M$113="","",IF(In!$C$113="設施",In!$M$113/1000/I$13,In!$M$113/1000))</f>
        <v/>
      </c>
      <c r="J117" s="24" t="str">
        <f aca="false">IF(In!$N$113="","",IF(In!$C$113="設施",In!$N$113/1000/J$13,In!$N$113/1000))</f>
        <v/>
      </c>
      <c r="K117" s="24" t="n">
        <f aca="false">IF(In!$O$113="","",IF(In!$C$113="設施",In!$O$113/1000/K$13,In!$O$113/1000))</f>
        <v>8</v>
      </c>
      <c r="L117" s="24" t="str">
        <f aca="false">IF(In!$P$113="","",IF(In!$C$113="設施",In!$P$113/1000/L$13,In!$P$113/1000))</f>
        <v/>
      </c>
      <c r="M117" s="24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1000</v>
      </c>
      <c r="B118" s="0" t="s">
        <v>1111</v>
      </c>
      <c r="C118" s="0" t="s">
        <v>78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1002</v>
      </c>
      <c r="B119" s="0" t="s">
        <v>1112</v>
      </c>
      <c r="C119" s="0" t="s">
        <v>78</v>
      </c>
      <c r="D119" s="24" t="n">
        <f aca="false">IF(D117&lt;&gt;"",D117,IF(D118&lt;&gt;"",D118,IF(INT(obsd_crwv)=2023,obs_crwv/1000+SUMIFS(Pipeline!$L$5:$L$74,Pipeline!$C$5:$C$74,"crwv",Pipeline!$Q$5:$Q$74,1,Pipeline!$K$5:$K$74,"&gt;"&amp;obsd_crwv,Pipeline!$K$5:$K$74,"&lt;="&amp;2024),"")))</f>
        <v>0.07</v>
      </c>
      <c r="E119" s="24" t="n">
        <f aca="false">IF(E117&lt;&gt;"",E117,IF(E118&lt;&gt;"",E118,IF(INT(obsd_crwv)=2024,obs_crwv/1000+SUMIFS(Pipeline!$L$5:$L$74,Pipeline!$C$5:$C$74,"crwv",Pipeline!$Q$5:$Q$74,1,Pipeline!$K$5:$K$74,"&gt;"&amp;obsd_crwv,Pipeline!$K$5:$K$74,"&lt;="&amp;2025),"")))</f>
        <v>0.36</v>
      </c>
      <c r="F119" s="24" t="n">
        <f aca="false">IF(F117&lt;&gt;"",F117,IF(F118&lt;&gt;"",F118,IF(INT(obsd_crwv)=2025,obs_crwv/1000+SUMIFS(Pipeline!$L$5:$L$74,Pipeline!$C$5:$C$74,"crwv",Pipeline!$Q$5:$Q$74,1,Pipeline!$K$5:$K$74,"&gt;"&amp;obsd_crwv,Pipeline!$K$5:$K$74,"&lt;="&amp;2026),"")))</f>
        <v>0.85</v>
      </c>
      <c r="G119" s="24" t="n">
        <f aca="false">IF(G117&lt;&gt;"",G117,IF(G118&lt;&gt;"",G118,IF(INT(obsd_crwv)=2026,obs_crwv/1000+SUMIFS(Pipeline!$L$5:$L$74,Pipeline!$C$5:$C$74,"crwv",Pipeline!$Q$5:$Q$74,1,Pipeline!$K$5:$K$74,"&gt;"&amp;obsd_crwv,Pipeline!$K$5:$K$74,"&lt;="&amp;2027),"")))</f>
        <v>1.85</v>
      </c>
      <c r="H119" s="24" t="str">
        <f aca="false">IF(H117&lt;&gt;"",H117,IF(H118&lt;&gt;"",H118,IF(INT(obsd_crwv)=2027,obs_crwv/1000+SUMIFS(Pipeline!$L$5:$L$74,Pipeline!$C$5:$C$74,"crwv",Pipeline!$Q$5:$Q$74,1,Pipeline!$K$5:$K$74,"&gt;"&amp;obsd_crwv,Pipeline!$K$5:$K$74,"&lt;="&amp;2028),"")))</f>
        <v/>
      </c>
      <c r="I119" s="24" t="str">
        <f aca="false">IF(I117&lt;&gt;"",I117,IF(I118&lt;&gt;"",I118,IF(INT(obsd_crwv)=2028,obs_crwv/1000+SUMIFS(Pipeline!$L$5:$L$74,Pipeline!$C$5:$C$74,"crwv",Pipeline!$Q$5:$Q$74,1,Pipeline!$K$5:$K$74,"&gt;"&amp;obsd_crwv,Pipeline!$K$5:$K$74,"&lt;="&amp;2029),"")))</f>
        <v/>
      </c>
      <c r="J119" s="24" t="str">
        <f aca="false">IF(J117&lt;&gt;"",J117,IF(J118&lt;&gt;"",J118,IF(INT(obsd_crwv)=2029,obs_crwv/1000+SUMIFS(Pipeline!$L$5:$L$74,Pipeline!$C$5:$C$74,"crwv",Pipeline!$Q$5:$Q$74,1,Pipeline!$K$5:$K$74,"&gt;"&amp;obsd_crwv,Pipeline!$K$5:$K$74,"&lt;="&amp;2030),"")))</f>
        <v/>
      </c>
      <c r="K119" s="24" t="n">
        <f aca="false">IF(K117&lt;&gt;"",K117,IF(K118&lt;&gt;"",K118,IF(INT(obsd_crwv)=2030,obs_crwv/1000+SUMIFS(Pipeline!$L$5:$L$74,Pipeline!$C$5:$C$74,"crwv",Pipeline!$Q$5:$Q$74,1,Pipeline!$K$5:$K$74,"&gt;"&amp;obsd_crwv,Pipeline!$K$5:$K$74,"&lt;="&amp;2031),"")))</f>
        <v>8</v>
      </c>
      <c r="L119" s="24" t="str">
        <f aca="false">IF(L117&lt;&gt;"",L117,IF(L118&lt;&gt;"",L118,IF(INT(obsd_crwv)=2031,obs_crwv/1000+SUMIFS(Pipeline!$L$5:$L$74,Pipeline!$C$5:$C$74,"crwv",Pipeline!$Q$5:$Q$74,1,Pipeline!$K$5:$K$74,"&gt;"&amp;obsd_crwv,Pipeline!$K$5:$K$74,"&lt;="&amp;2032),"")))</f>
        <v/>
      </c>
      <c r="M119" s="24" t="str">
        <f aca="false">IF(M117&lt;&gt;"",M117,IF(M118&lt;&gt;"",M118,IF(INT(obsd_crwv)=2032,obs_crwv/1000+SUMIFS(Pipeline!$L$5:$L$74,Pipeline!$C$5:$C$74,"crwv",Pipeline!$Q$5:$Q$74,1,Pipeline!$K$5:$K$74,"&gt;"&amp;obsd_crwv,Pipeline!$K$5:$K$74,"&lt;="&amp;2033),"")))</f>
        <v/>
      </c>
    </row>
    <row r="120" customFormat="false" ht="15" hidden="false" customHeight="false" outlineLevel="0" collapsed="false">
      <c r="A120" s="5" t="s">
        <v>1004</v>
      </c>
      <c r="B120" s="0" t="s">
        <v>1113</v>
      </c>
      <c r="C120" s="0" t="s">
        <v>78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1006</v>
      </c>
      <c r="B121" s="0" t="s">
        <v>1114</v>
      </c>
      <c r="C121" s="5" t="s">
        <v>48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1008</v>
      </c>
      <c r="B122" s="0" t="s">
        <v>1115</v>
      </c>
      <c r="C122" s="0" t="s">
        <v>78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1010</v>
      </c>
      <c r="B123" s="0" t="s">
        <v>1116</v>
      </c>
      <c r="C123" s="5" t="s">
        <v>48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1012</v>
      </c>
      <c r="B124" s="0" t="s">
        <v>1117</v>
      </c>
      <c r="C124" s="0" t="s">
        <v>78</v>
      </c>
      <c r="D124" s="24" t="n">
        <f aca="false">SUMIFS(Pipeline!$L$5:$L$74,Pipeline!$C$5:$C$74,"crwv",Pipeline!$Q$5:$Q$74,1,Pipeline!$P$5:$P$74,2023)</f>
        <v>0</v>
      </c>
      <c r="E124" s="24" t="n">
        <f aca="false">SUMIFS(Pipeline!$L$5:$L$74,Pipeline!$C$5:$C$74,"crwv",Pipeline!$Q$5:$Q$74,1,Pipeline!$P$5:$P$74,2024)</f>
        <v>0</v>
      </c>
      <c r="F124" s="24" t="n">
        <f aca="false">SUMIFS(Pipeline!$L$5:$L$74,Pipeline!$C$5:$C$74,"crwv",Pipeline!$Q$5:$Q$74,1,Pipeline!$P$5:$P$74,2025)</f>
        <v>0</v>
      </c>
      <c r="G124" s="24" t="n">
        <f aca="false">SUMIFS(Pipeline!$L$5:$L$74,Pipeline!$C$5:$C$74,"crwv",Pipeline!$Q$5:$Q$74,1,Pipeline!$P$5:$P$74,2026)</f>
        <v>0.016</v>
      </c>
      <c r="H124" s="24" t="n">
        <f aca="false">SUMIFS(Pipeline!$L$5:$L$74,Pipeline!$C$5:$C$74,"crwv",Pipeline!$Q$5:$Q$74,1,Pipeline!$P$5:$P$74,2027)</f>
        <v>0.26</v>
      </c>
      <c r="I124" s="24" t="n">
        <f aca="false">SUMIFS(Pipeline!$L$5:$L$74,Pipeline!$C$5:$C$74,"crwv",Pipeline!$Q$5:$Q$74,1,Pipeline!$P$5:$P$74,2028)</f>
        <v>0</v>
      </c>
      <c r="J124" s="24" t="n">
        <f aca="false">SUMIFS(Pipeline!$L$5:$L$74,Pipeline!$C$5:$C$74,"crwv",Pipeline!$Q$5:$Q$74,1,Pipeline!$P$5:$P$74,2029)</f>
        <v>0</v>
      </c>
      <c r="K124" s="24" t="n">
        <f aca="false">SUMIFS(Pipeline!$L$5:$L$74,Pipeline!$C$5:$C$74,"crwv",Pipeline!$Q$5:$Q$74,1,Pipeline!$P$5:$P$74,2030)</f>
        <v>0</v>
      </c>
      <c r="L124" s="24" t="n">
        <f aca="false">SUMIFS(Pipeline!$L$5:$L$74,Pipeline!$C$5:$C$74,"crwv",Pipeline!$Q$5:$Q$74,1,Pipeline!$P$5:$P$74,2031)</f>
        <v>0</v>
      </c>
      <c r="M124" s="24" t="n">
        <f aca="false">SUMIFS(Pipeline!$L$5:$L$74,Pipeline!$C$5:$C$74,"crwv",Pipeline!$Q$5:$Q$74,1,Pipeline!$P$5:$P$74,2032)</f>
        <v>0</v>
      </c>
    </row>
    <row r="125" customFormat="false" ht="17.15" hidden="false" customHeight="false" outlineLevel="0" collapsed="false">
      <c r="A125" s="5" t="s">
        <v>1014</v>
      </c>
      <c r="B125" s="0" t="s">
        <v>1118</v>
      </c>
      <c r="C125" s="0" t="s">
        <v>78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1016</v>
      </c>
      <c r="B126" s="0" t="s">
        <v>1119</v>
      </c>
      <c r="C126" s="0" t="s">
        <v>36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1018</v>
      </c>
      <c r="B127" s="0" t="s">
        <v>1120</v>
      </c>
      <c r="C127" s="0" t="s">
        <v>78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1020</v>
      </c>
      <c r="B128" s="0" t="s">
        <v>1121</v>
      </c>
      <c r="C128" s="0" t="s">
        <v>78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1022</v>
      </c>
      <c r="B129" s="0" t="s">
        <v>1122</v>
      </c>
      <c r="C129" s="0" t="s">
        <v>78</v>
      </c>
      <c r="D129" s="24" t="n">
        <f aca="false">IF(D125="","",IF(In!$C$113="未說明",D125/D$13,D125))</f>
        <v>0.07</v>
      </c>
      <c r="E129" s="24" t="n">
        <f aca="false">IF(E125="","",IF(In!$C$113="未說明",E125/E$13,E125))</f>
        <v>0.36</v>
      </c>
      <c r="F129" s="24" t="n">
        <f aca="false">IF(F125="","",IF(In!$C$113="未說明",F125/F$13,F125))</f>
        <v>0.85</v>
      </c>
      <c r="G129" s="24" t="n">
        <f aca="false">IF(G125="","",IF(In!$C$113="未說明",G125/G$13,G125))</f>
        <v>1.85</v>
      </c>
      <c r="H129" s="24" t="n">
        <f aca="false">IF(H125="","",IF(In!$C$113="未說明",H125/H$13,H125))</f>
        <v>3.3875</v>
      </c>
      <c r="I129" s="24" t="n">
        <f aca="false">IF(I125="","",IF(In!$C$113="未說明",I125/I$13,I125))</f>
        <v>4.925</v>
      </c>
      <c r="J129" s="24" t="n">
        <f aca="false">IF(J125="","",IF(In!$C$113="未說明",J125/J$13,J125))</f>
        <v>6.4625</v>
      </c>
      <c r="K129" s="24" t="n">
        <f aca="false">IF(K125="","",IF(In!$C$113="未說明",K125/K$13,K125))</f>
        <v>8</v>
      </c>
      <c r="L129" s="24" t="n">
        <f aca="false">IF(L125="","",IF(In!$C$113="未說明",L125/L$13,L125))</f>
        <v>8</v>
      </c>
      <c r="M129" s="24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1024</v>
      </c>
      <c r="B130" s="0" t="s">
        <v>1123</v>
      </c>
      <c r="C130" s="0" t="s">
        <v>78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1026</v>
      </c>
      <c r="B131" s="0" t="s">
        <v>1124</v>
      </c>
      <c r="C131" s="0" t="s">
        <v>78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1028</v>
      </c>
      <c r="B132" s="0" t="s">
        <v>1125</v>
      </c>
      <c r="C132" s="0" t="s">
        <v>78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1030</v>
      </c>
      <c r="B133" s="0" t="s">
        <v>1126</v>
      </c>
      <c r="C133" s="0" t="s">
        <v>53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1127</v>
      </c>
      <c r="B135" s="20" t="s">
        <v>652</v>
      </c>
      <c r="N135" s="20" t="s">
        <v>1128</v>
      </c>
    </row>
    <row r="136" customFormat="false" ht="17.15" hidden="false" customHeight="false" outlineLevel="0" collapsed="false">
      <c r="A136" s="5" t="s">
        <v>998</v>
      </c>
      <c r="B136" s="0" t="s">
        <v>1129</v>
      </c>
      <c r="C136" s="0" t="s">
        <v>78</v>
      </c>
      <c r="D136" s="24" t="str">
        <f aca="false">IF(In!$H$114="","",IF(In!$C$114="設施",In!$H$114/1000/D$13,In!$H$114/1000))</f>
        <v/>
      </c>
      <c r="E136" s="24" t="str">
        <f aca="false">IF(In!$I$114="","",IF(In!$C$114="設施",In!$I$114/1000/E$13,In!$I$114/1000))</f>
        <v/>
      </c>
      <c r="F136" s="24" t="n">
        <f aca="false">IF(In!$J$114="","",IF(In!$C$114="設施",In!$J$114/1000/F$13,In!$J$114/1000))</f>
        <v>0.17</v>
      </c>
      <c r="G136" s="24" t="n">
        <f aca="false">IF(In!$K$114="","",IF(In!$C$114="設施",In!$K$114/1000/G$13,In!$K$114/1000))</f>
        <v>0.9</v>
      </c>
      <c r="H136" s="24" t="str">
        <f aca="false">IF(In!$L$114="","",IF(In!$C$114="設施",In!$L$114/1000/H$13,In!$L$114/1000))</f>
        <v/>
      </c>
      <c r="I136" s="24" t="str">
        <f aca="false">IF(In!$M$114="","",IF(In!$C$114="設施",In!$M$114/1000/I$13,In!$M$114/1000))</f>
        <v/>
      </c>
      <c r="J136" s="24" t="str">
        <f aca="false">IF(In!$N$114="","",IF(In!$C$114="設施",In!$N$114/1000/J$13,In!$N$114/1000))</f>
        <v/>
      </c>
      <c r="K136" s="24" t="str">
        <f aca="false">IF(In!$O$114="","",IF(In!$C$114="設施",In!$O$114/1000/K$13,In!$O$114/1000))</f>
        <v/>
      </c>
      <c r="L136" s="24" t="str">
        <f aca="false">IF(In!$P$114="","",IF(In!$C$114="設施",In!$P$114/1000/L$13,In!$P$114/1000))</f>
        <v/>
      </c>
      <c r="M136" s="24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1000</v>
      </c>
      <c r="B137" s="0" t="s">
        <v>1130</v>
      </c>
      <c r="C137" s="0" t="s">
        <v>78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1002</v>
      </c>
      <c r="B138" s="0" t="s">
        <v>1131</v>
      </c>
      <c r="C138" s="0" t="s">
        <v>78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1004</v>
      </c>
      <c r="B139" s="0" t="s">
        <v>1132</v>
      </c>
      <c r="C139" s="0" t="s">
        <v>78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1006</v>
      </c>
      <c r="B140" s="0" t="s">
        <v>1133</v>
      </c>
      <c r="C140" s="5" t="s">
        <v>48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1008</v>
      </c>
      <c r="B141" s="0" t="s">
        <v>1134</v>
      </c>
      <c r="C141" s="0" t="s">
        <v>78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1010</v>
      </c>
      <c r="B142" s="0" t="s">
        <v>1135</v>
      </c>
      <c r="C142" s="5" t="s">
        <v>48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1012</v>
      </c>
      <c r="B143" s="0" t="s">
        <v>1136</v>
      </c>
      <c r="C143" s="0" t="s">
        <v>78</v>
      </c>
      <c r="D143" s="24" t="n">
        <f aca="false">SUMIFS(Pipeline!$L$5:$L$74,Pipeline!$C$5:$C$74,"nbis",Pipeline!$Q$5:$Q$74,1,Pipeline!$P$5:$P$74,2023)</f>
        <v>0</v>
      </c>
      <c r="E143" s="24" t="n">
        <f aca="false">SUMIFS(Pipeline!$L$5:$L$74,Pipeline!$C$5:$C$74,"nbis",Pipeline!$Q$5:$Q$74,1,Pipeline!$P$5:$P$74,2024)</f>
        <v>0</v>
      </c>
      <c r="F143" s="24" t="n">
        <f aca="false">SUMIFS(Pipeline!$L$5:$L$74,Pipeline!$C$5:$C$74,"nbis",Pipeline!$Q$5:$Q$74,1,Pipeline!$P$5:$P$74,2025)</f>
        <v>0</v>
      </c>
      <c r="G143" s="24" t="n">
        <f aca="false">SUMIFS(Pipeline!$L$5:$L$74,Pipeline!$C$5:$C$74,"nbis",Pipeline!$Q$5:$Q$74,1,Pipeline!$P$5:$P$74,2026)</f>
        <v>0</v>
      </c>
      <c r="H143" s="24" t="n">
        <f aca="false">SUMIFS(Pipeline!$L$5:$L$74,Pipeline!$C$5:$C$74,"nbis",Pipeline!$Q$5:$Q$74,1,Pipeline!$P$5:$P$74,2027)</f>
        <v>0.058</v>
      </c>
      <c r="I143" s="24" t="n">
        <f aca="false">SUMIFS(Pipeline!$L$5:$L$74,Pipeline!$C$5:$C$74,"nbis",Pipeline!$Q$5:$Q$74,1,Pipeline!$P$5:$P$74,2028)</f>
        <v>0</v>
      </c>
      <c r="J143" s="24" t="n">
        <f aca="false">SUMIFS(Pipeline!$L$5:$L$74,Pipeline!$C$5:$C$74,"nbis",Pipeline!$Q$5:$Q$74,1,Pipeline!$P$5:$P$74,2029)</f>
        <v>0</v>
      </c>
      <c r="K143" s="24" t="n">
        <f aca="false">SUMIFS(Pipeline!$L$5:$L$74,Pipeline!$C$5:$C$74,"nbis",Pipeline!$Q$5:$Q$74,1,Pipeline!$P$5:$P$74,2030)</f>
        <v>0</v>
      </c>
      <c r="L143" s="24" t="n">
        <f aca="false">SUMIFS(Pipeline!$L$5:$L$74,Pipeline!$C$5:$C$74,"nbis",Pipeline!$Q$5:$Q$74,1,Pipeline!$P$5:$P$74,2031)</f>
        <v>0</v>
      </c>
      <c r="M143" s="24" t="n">
        <f aca="false">SUMIFS(Pipeline!$L$5:$L$74,Pipeline!$C$5:$C$74,"nbis",Pipeline!$Q$5:$Q$74,1,Pipeline!$P$5:$P$74,2032)</f>
        <v>0</v>
      </c>
    </row>
    <row r="144" customFormat="false" ht="17.15" hidden="false" customHeight="false" outlineLevel="0" collapsed="false">
      <c r="A144" s="5" t="s">
        <v>1014</v>
      </c>
      <c r="B144" s="0" t="s">
        <v>1137</v>
      </c>
      <c r="C144" s="0" t="s">
        <v>78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0.958</v>
      </c>
      <c r="I144" s="25" t="n">
        <f aca="false">IF(I138&lt;&gt;"",I138,IF(AND(I139&lt;&gt;"",I141&lt;&gt;""),I139+(I141-I139)*(2028-I140)/(I142-I140),IF(H144&lt;&gt;"",H144+I143,"")))</f>
        <v>0.958</v>
      </c>
      <c r="J144" s="25" t="n">
        <f aca="false">IF(J138&lt;&gt;"",J138,IF(AND(J139&lt;&gt;"",J141&lt;&gt;""),J139+(J141-J139)*(2029-J140)/(J142-J140),IF(I144&lt;&gt;"",I144+J143,"")))</f>
        <v>0.958</v>
      </c>
      <c r="K144" s="25" t="n">
        <f aca="false">IF(K138&lt;&gt;"",K138,IF(AND(K139&lt;&gt;"",K141&lt;&gt;""),K139+(K141-K139)*(2030-K140)/(K142-K140),IF(J144&lt;&gt;"",J144+K143,"")))</f>
        <v>0.958</v>
      </c>
      <c r="L144" s="25" t="n">
        <f aca="false">IF(L138&lt;&gt;"",L138,IF(AND(L139&lt;&gt;"",L141&lt;&gt;""),L139+(L141-L139)*(2031-L140)/(L142-L140),IF(K144&lt;&gt;"",K144+L143,"")))</f>
        <v>0.958</v>
      </c>
      <c r="M144" s="25" t="n">
        <f aca="false">IF(M138&lt;&gt;"",M138,IF(AND(M139&lt;&gt;"",M141&lt;&gt;""),M139+(M141-M139)*(2032-M140)/(M142-M140),IF(L144&lt;&gt;"",L144+M143,"")))</f>
        <v>0.958</v>
      </c>
    </row>
    <row r="145" customFormat="false" ht="15" hidden="false" customHeight="false" outlineLevel="0" collapsed="false">
      <c r="A145" s="5" t="s">
        <v>1016</v>
      </c>
      <c r="B145" s="0" t="s">
        <v>1138</v>
      </c>
      <c r="C145" s="0" t="s">
        <v>36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1018</v>
      </c>
      <c r="B146" s="0" t="s">
        <v>1139</v>
      </c>
      <c r="C146" s="0" t="s">
        <v>78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0.958</v>
      </c>
      <c r="I146" s="24" t="n">
        <f aca="false">IF(I144="","",I144)</f>
        <v>0.958</v>
      </c>
      <c r="J146" s="24" t="n">
        <f aca="false">IF(J144="","",J144)</f>
        <v>0.958</v>
      </c>
      <c r="K146" s="24" t="n">
        <f aca="false">IF(K144="","",K144)</f>
        <v>0.958</v>
      </c>
      <c r="L146" s="24" t="n">
        <f aca="false">IF(L144="","",L144)</f>
        <v>0.958</v>
      </c>
      <c r="M146" s="24" t="n">
        <f aca="false">IF(M144="","",M144)</f>
        <v>0.958</v>
      </c>
    </row>
    <row r="147" customFormat="false" ht="17.15" hidden="false" customHeight="false" outlineLevel="0" collapsed="false">
      <c r="A147" s="5" t="s">
        <v>1020</v>
      </c>
      <c r="B147" s="0" t="s">
        <v>1140</v>
      </c>
      <c r="C147" s="0" t="s">
        <v>78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0.958</v>
      </c>
      <c r="I147" s="24" t="n">
        <f aca="false">IF(I144="","",I144)</f>
        <v>0.958</v>
      </c>
      <c r="J147" s="24" t="n">
        <f aca="false">IF(J144="","",J144)</f>
        <v>0.958</v>
      </c>
      <c r="K147" s="24" t="n">
        <f aca="false">IF(K144="","",K144)</f>
        <v>0.958</v>
      </c>
      <c r="L147" s="24" t="n">
        <f aca="false">IF(L144="","",L144)</f>
        <v>0.958</v>
      </c>
      <c r="M147" s="24" t="n">
        <f aca="false">IF(M144="","",M144)</f>
        <v>0.958</v>
      </c>
    </row>
    <row r="148" customFormat="false" ht="17.15" hidden="false" customHeight="false" outlineLevel="0" collapsed="false">
      <c r="A148" s="5" t="s">
        <v>1022</v>
      </c>
      <c r="B148" s="0" t="s">
        <v>1141</v>
      </c>
      <c r="C148" s="0" t="s">
        <v>78</v>
      </c>
      <c r="D148" s="24" t="str">
        <f aca="false">IF(D144="","",IF(In!$C$114="未說明",D144/D$13,D144))</f>
        <v/>
      </c>
      <c r="E148" s="24" t="str">
        <f aca="false">IF(E144="","",IF(In!$C$114="未說明",E144/E$13,E144))</f>
        <v/>
      </c>
      <c r="F148" s="24" t="n">
        <f aca="false">IF(F144="","",IF(In!$C$114="未說明",F144/F$13,F144))</f>
        <v>0.141666666666667</v>
      </c>
      <c r="G148" s="24" t="n">
        <f aca="false">IF(G144="","",IF(In!$C$114="未說明",G144/G$13,G144))</f>
        <v>0.75</v>
      </c>
      <c r="H148" s="24" t="n">
        <f aca="false">IF(H144="","",IF(In!$C$114="未說明",H144/H$13,H144))</f>
        <v>0.798333333333334</v>
      </c>
      <c r="I148" s="24" t="n">
        <f aca="false">IF(I144="","",IF(In!$C$114="未說明",I144/I$13,I144))</f>
        <v>0.798333333333334</v>
      </c>
      <c r="J148" s="24" t="n">
        <f aca="false">IF(J144="","",IF(In!$C$114="未說明",J144/J$13,J144))</f>
        <v>0.798333333333334</v>
      </c>
      <c r="K148" s="24" t="n">
        <f aca="false">IF(K144="","",IF(In!$C$114="未說明",K144/K$13,K144))</f>
        <v>0.798333333333334</v>
      </c>
      <c r="L148" s="24" t="n">
        <f aca="false">IF(L144="","",IF(In!$C$114="未說明",L144/L$13,L144))</f>
        <v>0.798333333333334</v>
      </c>
      <c r="M148" s="24" t="n">
        <f aca="false">IF(M144="","",IF(In!$C$114="未說明",M144/M$13,M144))</f>
        <v>0.798333333333334</v>
      </c>
    </row>
    <row r="149" customFormat="false" ht="17.15" hidden="false" customHeight="false" outlineLevel="0" collapsed="false">
      <c r="A149" s="5" t="s">
        <v>1024</v>
      </c>
      <c r="B149" s="0" t="s">
        <v>1142</v>
      </c>
      <c r="C149" s="0" t="s">
        <v>78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0.929</v>
      </c>
      <c r="I149" s="24" t="n">
        <f aca="false">IF(AND(H144&lt;&gt;"",I144&lt;&gt;""),(H144+I144)/2,"")</f>
        <v>0.958</v>
      </c>
      <c r="J149" s="24" t="n">
        <f aca="false">IF(AND(I144&lt;&gt;"",J144&lt;&gt;""),(I144+J144)/2,"")</f>
        <v>0.958</v>
      </c>
      <c r="K149" s="24" t="n">
        <f aca="false">IF(AND(J144&lt;&gt;"",K144&lt;&gt;""),(J144+K144)/2,"")</f>
        <v>0.958</v>
      </c>
      <c r="L149" s="24" t="n">
        <f aca="false">IF(AND(K144&lt;&gt;"",L144&lt;&gt;""),(K144+L144)/2,"")</f>
        <v>0.958</v>
      </c>
      <c r="M149" s="24" t="n">
        <f aca="false">IF(AND(L144&lt;&gt;"",M144&lt;&gt;""),(L144+M144)/2,"")</f>
        <v>0.958</v>
      </c>
    </row>
    <row r="150" customFormat="false" ht="17.15" hidden="false" customHeight="false" outlineLevel="0" collapsed="false">
      <c r="A150" s="5" t="s">
        <v>1026</v>
      </c>
      <c r="B150" s="0" t="s">
        <v>1143</v>
      </c>
      <c r="C150" s="0" t="s">
        <v>78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0.0580000000000001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1028</v>
      </c>
      <c r="B151" s="0" t="s">
        <v>1144</v>
      </c>
      <c r="C151" s="0" t="s">
        <v>78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1030</v>
      </c>
      <c r="B152" s="0" t="s">
        <v>1145</v>
      </c>
      <c r="C152" s="0" t="s">
        <v>53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1146</v>
      </c>
      <c r="B154" s="20" t="s">
        <v>1147</v>
      </c>
      <c r="N154" s="20" t="s">
        <v>1148</v>
      </c>
    </row>
    <row r="155" customFormat="false" ht="17.15" hidden="false" customHeight="false" outlineLevel="0" collapsed="false">
      <c r="A155" s="5" t="s">
        <v>998</v>
      </c>
      <c r="B155" s="0" t="s">
        <v>1149</v>
      </c>
      <c r="C155" s="0" t="s">
        <v>78</v>
      </c>
      <c r="D155" s="24" t="str">
        <f aca="false">IF(In!$H$115="","",IF(In!$C$115="設施",In!$H$115/1000/D$13,In!$H$115/1000))</f>
        <v/>
      </c>
      <c r="E155" s="24" t="str">
        <f aca="false">IF(In!$I$115="","",IF(In!$C$115="設施",In!$I$115/1000/E$13,In!$I$115/1000))</f>
        <v/>
      </c>
      <c r="F155" s="24" t="n">
        <f aca="false">IF(In!$J$115="","",IF(In!$C$115="設施",In!$J$115/1000/F$13,In!$J$115/1000))</f>
        <v>0.0055</v>
      </c>
      <c r="G155" s="24" t="n">
        <f aca="false">IF(In!$K$115="","",IF(In!$C$115="設施",In!$K$115/1000/G$13,In!$K$115/1000))</f>
        <v>0.014574</v>
      </c>
      <c r="H155" s="24" t="n">
        <f aca="false">IF(In!$L$115="","",IF(In!$C$115="設施",In!$L$115/1000/H$13,In!$L$115/1000))</f>
        <v>0.016548</v>
      </c>
      <c r="I155" s="24" t="str">
        <f aca="false">IF(In!$M$115="","",IF(In!$C$115="設施",In!$M$115/1000/I$13,In!$M$115/1000))</f>
        <v/>
      </c>
      <c r="J155" s="24" t="str">
        <f aca="false">IF(In!$N$115="","",IF(In!$C$115="設施",In!$N$115/1000/J$13,In!$N$115/1000))</f>
        <v/>
      </c>
      <c r="K155" s="24" t="str">
        <f aca="false">IF(In!$O$115="","",IF(In!$C$115="設施",In!$O$115/1000/K$13,In!$O$115/1000))</f>
        <v/>
      </c>
      <c r="L155" s="24" t="str">
        <f aca="false">IF(In!$P$115="","",IF(In!$C$115="設施",In!$P$115/1000/L$13,In!$P$115/1000))</f>
        <v/>
      </c>
      <c r="M155" s="24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1000</v>
      </c>
      <c r="B156" s="0" t="s">
        <v>1150</v>
      </c>
      <c r="C156" s="0" t="s">
        <v>78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1002</v>
      </c>
      <c r="B157" s="0" t="s">
        <v>1151</v>
      </c>
      <c r="C157" s="0" t="s">
        <v>78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1004</v>
      </c>
      <c r="B158" s="0" t="s">
        <v>1152</v>
      </c>
      <c r="C158" s="0" t="s">
        <v>78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1006</v>
      </c>
      <c r="B159" s="0" t="s">
        <v>1153</v>
      </c>
      <c r="C159" s="5" t="s">
        <v>48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1008</v>
      </c>
      <c r="B160" s="0" t="s">
        <v>1154</v>
      </c>
      <c r="C160" s="0" t="s">
        <v>78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1010</v>
      </c>
      <c r="B161" s="0" t="s">
        <v>1155</v>
      </c>
      <c r="C161" s="5" t="s">
        <v>48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1012</v>
      </c>
      <c r="B162" s="0" t="s">
        <v>1156</v>
      </c>
      <c r="C162" s="0" t="s">
        <v>78</v>
      </c>
      <c r="D162" s="24" t="n">
        <f aca="false">SUMIFS(Pipeline!$L$5:$L$74,Pipeline!$C$5:$C$74,"wyfi",Pipeline!$Q$5:$Q$74,1,Pipeline!$P$5:$P$74,2023)</f>
        <v>0</v>
      </c>
      <c r="E162" s="24" t="n">
        <f aca="false">SUMIFS(Pipeline!$L$5:$L$74,Pipeline!$C$5:$C$74,"wyfi",Pipeline!$Q$5:$Q$74,1,Pipeline!$P$5:$P$74,2024)</f>
        <v>0</v>
      </c>
      <c r="F162" s="24" t="n">
        <f aca="false">SUMIFS(Pipeline!$L$5:$L$74,Pipeline!$C$5:$C$74,"wyfi",Pipeline!$Q$5:$Q$74,1,Pipeline!$P$5:$P$74,2025)</f>
        <v>0</v>
      </c>
      <c r="G162" s="24" t="n">
        <f aca="false">SUMIFS(Pipeline!$L$5:$L$74,Pipeline!$C$5:$C$74,"wyfi",Pipeline!$Q$5:$Q$74,1,Pipeline!$P$5:$P$74,2026)</f>
        <v>0</v>
      </c>
      <c r="H162" s="24" t="n">
        <f aca="false">SUMIFS(Pipeline!$L$5:$L$74,Pipeline!$C$5:$C$74,"wyfi",Pipeline!$Q$5:$Q$74,1,Pipeline!$P$5:$P$74,2027)</f>
        <v>0</v>
      </c>
      <c r="I162" s="24" t="n">
        <f aca="false">SUMIFS(Pipeline!$L$5:$L$74,Pipeline!$C$5:$C$74,"wyfi",Pipeline!$Q$5:$Q$74,1,Pipeline!$P$5:$P$74,2028)</f>
        <v>0</v>
      </c>
      <c r="J162" s="24" t="n">
        <f aca="false">SUMIFS(Pipeline!$L$5:$L$74,Pipeline!$C$5:$C$74,"wyfi",Pipeline!$Q$5:$Q$74,1,Pipeline!$P$5:$P$74,2029)</f>
        <v>0</v>
      </c>
      <c r="K162" s="24" t="n">
        <f aca="false">SUMIFS(Pipeline!$L$5:$L$74,Pipeline!$C$5:$C$74,"wyfi",Pipeline!$Q$5:$Q$74,1,Pipeline!$P$5:$P$74,2030)</f>
        <v>0</v>
      </c>
      <c r="L162" s="24" t="n">
        <f aca="false">SUMIFS(Pipeline!$L$5:$L$74,Pipeline!$C$5:$C$74,"wyfi",Pipeline!$Q$5:$Q$74,1,Pipeline!$P$5:$P$74,2031)</f>
        <v>0</v>
      </c>
      <c r="M162" s="24" t="n">
        <f aca="false">SUMIFS(Pipeline!$L$5:$L$74,Pipeline!$C$5:$C$74,"wyfi",Pipeline!$Q$5:$Q$74,1,Pipeline!$P$5:$P$74,2032)</f>
        <v>0</v>
      </c>
    </row>
    <row r="163" customFormat="false" ht="17.15" hidden="false" customHeight="false" outlineLevel="0" collapsed="false">
      <c r="A163" s="5" t="s">
        <v>1014</v>
      </c>
      <c r="B163" s="0" t="s">
        <v>1157</v>
      </c>
      <c r="C163" s="0" t="s">
        <v>78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1016</v>
      </c>
      <c r="B164" s="0" t="s">
        <v>1158</v>
      </c>
      <c r="C164" s="0" t="s">
        <v>36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1018</v>
      </c>
      <c r="B165" s="0" t="s">
        <v>1159</v>
      </c>
      <c r="C165" s="0" t="s">
        <v>78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1020</v>
      </c>
      <c r="B166" s="0" t="s">
        <v>1160</v>
      </c>
      <c r="C166" s="0" t="s">
        <v>78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1022</v>
      </c>
      <c r="B167" s="0" t="s">
        <v>1161</v>
      </c>
      <c r="C167" s="0" t="s">
        <v>78</v>
      </c>
      <c r="D167" s="24" t="str">
        <f aca="false">IF(D163="","",IF(In!$C$115="未說明",D163/D$13,D163))</f>
        <v/>
      </c>
      <c r="E167" s="24" t="str">
        <f aca="false">IF(E163="","",IF(In!$C$115="未說明",E163/E$13,E163))</f>
        <v/>
      </c>
      <c r="F167" s="24" t="n">
        <f aca="false">IF(F163="","",IF(In!$C$115="未說明",F163/F$13,F163))</f>
        <v>0.0055</v>
      </c>
      <c r="G167" s="24" t="n">
        <f aca="false">IF(G163="","",IF(In!$C$115="未說明",G163/G$13,G163))</f>
        <v>0.014574</v>
      </c>
      <c r="H167" s="24" t="n">
        <f aca="false">IF(H163="","",IF(In!$C$115="未說明",H163/H$13,H163))</f>
        <v>0.016548</v>
      </c>
      <c r="I167" s="24" t="n">
        <f aca="false">IF(I163="","",IF(In!$C$115="未說明",I163/I$13,I163))</f>
        <v>0.016548</v>
      </c>
      <c r="J167" s="24" t="n">
        <f aca="false">IF(J163="","",IF(In!$C$115="未說明",J163/J$13,J163))</f>
        <v>0.016548</v>
      </c>
      <c r="K167" s="24" t="n">
        <f aca="false">IF(K163="","",IF(In!$C$115="未說明",K163/K$13,K163))</f>
        <v>0.016548</v>
      </c>
      <c r="L167" s="24" t="n">
        <f aca="false">IF(L163="","",IF(In!$C$115="未說明",L163/L$13,L163))</f>
        <v>0.016548</v>
      </c>
      <c r="M167" s="24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1024</v>
      </c>
      <c r="B168" s="0" t="s">
        <v>1162</v>
      </c>
      <c r="C168" s="0" t="s">
        <v>78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1026</v>
      </c>
      <c r="B169" s="0" t="s">
        <v>1163</v>
      </c>
      <c r="C169" s="0" t="s">
        <v>78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1028</v>
      </c>
      <c r="B170" s="0" t="s">
        <v>1164</v>
      </c>
      <c r="C170" s="0" t="s">
        <v>78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1030</v>
      </c>
      <c r="B171" s="0" t="s">
        <v>1165</v>
      </c>
      <c r="C171" s="0" t="s">
        <v>53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1166</v>
      </c>
      <c r="B173" s="20" t="s">
        <v>536</v>
      </c>
      <c r="N173" s="20" t="s">
        <v>1167</v>
      </c>
    </row>
    <row r="174" customFormat="false" ht="17.15" hidden="false" customHeight="false" outlineLevel="0" collapsed="false">
      <c r="A174" s="5" t="s">
        <v>998</v>
      </c>
      <c r="B174" s="0" t="s">
        <v>1168</v>
      </c>
      <c r="C174" s="0" t="s">
        <v>78</v>
      </c>
      <c r="D174" s="24" t="str">
        <f aca="false">IF(In!$H$116="","",IF(In!$C$116="設施",In!$H$116/1000/D$13,In!$H$116/1000))</f>
        <v/>
      </c>
      <c r="E174" s="24" t="str">
        <f aca="false">IF(In!$I$116="","",IF(In!$C$116="設施",In!$I$116/1000/E$13,In!$I$116/1000))</f>
        <v/>
      </c>
      <c r="F174" s="24" t="str">
        <f aca="false">IF(In!$J$116="","",IF(In!$C$116="設施",In!$J$116/1000/F$13,In!$J$116/1000))</f>
        <v/>
      </c>
      <c r="G174" s="24" t="n">
        <f aca="false">IF(In!$K$116="","",IF(In!$C$116="設施",In!$K$116/1000/G$13,In!$K$116/1000))</f>
        <v>2</v>
      </c>
      <c r="H174" s="24" t="str">
        <f aca="false">IF(In!$L$116="","",IF(In!$C$116="設施",In!$L$116/1000/H$13,In!$L$116/1000))</f>
        <v/>
      </c>
      <c r="I174" s="24" t="str">
        <f aca="false">IF(In!$M$116="","",IF(In!$C$116="設施",In!$M$116/1000/I$13,In!$M$116/1000))</f>
        <v/>
      </c>
      <c r="J174" s="24" t="str">
        <f aca="false">IF(In!$N$116="","",IF(In!$C$116="設施",In!$N$116/1000/J$13,In!$N$116/1000))</f>
        <v/>
      </c>
      <c r="K174" s="24" t="str">
        <f aca="false">IF(In!$O$116="","",IF(In!$C$116="設施",In!$O$116/1000/K$13,In!$O$116/1000))</f>
        <v/>
      </c>
      <c r="L174" s="24" t="str">
        <f aca="false">IF(In!$P$116="","",IF(In!$C$116="設施",In!$P$116/1000/L$13,In!$P$116/1000))</f>
        <v/>
      </c>
      <c r="M174" s="24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1000</v>
      </c>
      <c r="B175" s="0" t="s">
        <v>1169</v>
      </c>
      <c r="C175" s="0" t="s">
        <v>78</v>
      </c>
      <c r="D175" s="24" t="str">
        <f aca="false">IF(In!$H$106="","",In!$H$106*Players!$D$19/1000)</f>
        <v/>
      </c>
      <c r="E175" s="24" t="str">
        <f aca="false">IF(In!$I$106="","",In!$I$106*Players!$D$19/1000)</f>
        <v/>
      </c>
      <c r="F175" s="24" t="n">
        <f aca="false">IF(In!$J$106="","",In!$J$106*Players!$D$19/1000)</f>
        <v>0.5698</v>
      </c>
      <c r="G175" s="24" t="str">
        <f aca="false">IF(In!$K$106="","",In!$K$106*Players!$D$19/1000)</f>
        <v/>
      </c>
      <c r="H175" s="24" t="str">
        <f aca="false">IF(In!$L$106="","",In!$L$106*Players!$D$19/1000)</f>
        <v/>
      </c>
      <c r="I175" s="24" t="str">
        <f aca="false">IF(In!$M$106="","",In!$M$106*Players!$D$19/1000)</f>
        <v/>
      </c>
      <c r="J175" s="24" t="str">
        <f aca="false">IF(In!$N$106="","",In!$N$106*Players!$D$19/1000)</f>
        <v/>
      </c>
      <c r="K175" s="24" t="str">
        <f aca="false">IF(In!$O$106="","",In!$O$106*Players!$D$19/1000)</f>
        <v/>
      </c>
      <c r="L175" s="24" t="str">
        <f aca="false">IF(In!$P$106="","",In!$P$106*Players!$D$19/1000)</f>
        <v/>
      </c>
      <c r="M175" s="24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1002</v>
      </c>
      <c r="B176" s="0" t="s">
        <v>1170</v>
      </c>
      <c r="C176" s="0" t="s">
        <v>78</v>
      </c>
      <c r="D176" s="24" t="str">
        <f aca="false">IF(D174&lt;&gt;"",D174,IF(D175&lt;&gt;"",D175,IF(INT(obsd_xai)=2023,obs_xai/1000+SUMIFS(Pipeline!$L$5:$L$74,Pipeline!$C$5:$C$74,"xai",Pipeline!$Q$5:$Q$74,1,Pipeline!$K$5:$K$74,"&gt;"&amp;obsd_xai,Pipeline!$K$5:$K$74,"&lt;="&amp;2024),"")))</f>
        <v/>
      </c>
      <c r="E176" s="24" t="str">
        <f aca="false">IF(E174&lt;&gt;"",E174,IF(E175&lt;&gt;"",E175,IF(INT(obsd_xai)=2024,obs_xai/1000+SUMIFS(Pipeline!$L$5:$L$74,Pipeline!$C$5:$C$74,"xai",Pipeline!$Q$5:$Q$74,1,Pipeline!$K$5:$K$74,"&gt;"&amp;obsd_xai,Pipeline!$K$5:$K$74,"&lt;="&amp;2025),"")))</f>
        <v/>
      </c>
      <c r="F176" s="24" t="n">
        <f aca="false">IF(F174&lt;&gt;"",F174,IF(F175&lt;&gt;"",F175,IF(INT(obsd_xai)=2025,obs_xai/1000+SUMIFS(Pipeline!$L$5:$L$74,Pipeline!$C$5:$C$74,"xai",Pipeline!$Q$5:$Q$74,1,Pipeline!$K$5:$K$74,"&gt;"&amp;obsd_xai,Pipeline!$K$5:$K$74,"&lt;="&amp;2026),"")))</f>
        <v>0.5698</v>
      </c>
      <c r="G176" s="24" t="n">
        <f aca="false">IF(G174&lt;&gt;"",G174,IF(G175&lt;&gt;"",G175,IF(INT(obsd_xai)=2026,obs_xai/1000+SUMIFS(Pipeline!$L$5:$L$74,Pipeline!$C$5:$C$74,"xai",Pipeline!$Q$5:$Q$74,1,Pipeline!$K$5:$K$74,"&gt;"&amp;obsd_xai,Pipeline!$K$5:$K$74,"&lt;="&amp;2027),"")))</f>
        <v>2</v>
      </c>
      <c r="H176" s="24" t="str">
        <f aca="false">IF(H174&lt;&gt;"",H174,IF(H175&lt;&gt;"",H175,IF(INT(obsd_xai)=2027,obs_xai/1000+SUMIFS(Pipeline!$L$5:$L$74,Pipeline!$C$5:$C$74,"xai",Pipeline!$Q$5:$Q$74,1,Pipeline!$K$5:$K$74,"&gt;"&amp;obsd_xai,Pipeline!$K$5:$K$74,"&lt;="&amp;2028),"")))</f>
        <v/>
      </c>
      <c r="I176" s="24" t="str">
        <f aca="false">IF(I174&lt;&gt;"",I174,IF(I175&lt;&gt;"",I175,IF(INT(obsd_xai)=2028,obs_xai/1000+SUMIFS(Pipeline!$L$5:$L$74,Pipeline!$C$5:$C$74,"xai",Pipeline!$Q$5:$Q$74,1,Pipeline!$K$5:$K$74,"&gt;"&amp;obsd_xai,Pipeline!$K$5:$K$74,"&lt;="&amp;2029),"")))</f>
        <v/>
      </c>
      <c r="J176" s="24" t="str">
        <f aca="false">IF(J174&lt;&gt;"",J174,IF(J175&lt;&gt;"",J175,IF(INT(obsd_xai)=2029,obs_xai/1000+SUMIFS(Pipeline!$L$5:$L$74,Pipeline!$C$5:$C$74,"xai",Pipeline!$Q$5:$Q$74,1,Pipeline!$K$5:$K$74,"&gt;"&amp;obsd_xai,Pipeline!$K$5:$K$74,"&lt;="&amp;2030),"")))</f>
        <v/>
      </c>
      <c r="K176" s="24" t="str">
        <f aca="false">IF(K174&lt;&gt;"",K174,IF(K175&lt;&gt;"",K175,IF(INT(obsd_xai)=2030,obs_xai/1000+SUMIFS(Pipeline!$L$5:$L$74,Pipeline!$C$5:$C$74,"xai",Pipeline!$Q$5:$Q$74,1,Pipeline!$K$5:$K$74,"&gt;"&amp;obsd_xai,Pipeline!$K$5:$K$74,"&lt;="&amp;2031),"")))</f>
        <v/>
      </c>
      <c r="L176" s="24" t="str">
        <f aca="false">IF(L174&lt;&gt;"",L174,IF(L175&lt;&gt;"",L175,IF(INT(obsd_xai)=2031,obs_xai/1000+SUMIFS(Pipeline!$L$5:$L$74,Pipeline!$C$5:$C$74,"xai",Pipeline!$Q$5:$Q$74,1,Pipeline!$K$5:$K$74,"&gt;"&amp;obsd_xai,Pipeline!$K$5:$K$74,"&lt;="&amp;2032),"")))</f>
        <v/>
      </c>
      <c r="M176" s="24" t="str">
        <f aca="false">IF(M174&lt;&gt;"",M174,IF(M175&lt;&gt;"",M175,IF(INT(obsd_xai)=2032,obs_xai/1000+SUMIFS(Pipeline!$L$5:$L$74,Pipeline!$C$5:$C$74,"xai",Pipeline!$Q$5:$Q$74,1,Pipeline!$K$5:$K$74,"&gt;"&amp;obsd_xai,Pipeline!$K$5:$K$74,"&lt;="&amp;2033),"")))</f>
        <v/>
      </c>
    </row>
    <row r="177" customFormat="false" ht="15" hidden="false" customHeight="false" outlineLevel="0" collapsed="false">
      <c r="A177" s="5" t="s">
        <v>1004</v>
      </c>
      <c r="B177" s="0" t="s">
        <v>1171</v>
      </c>
      <c r="C177" s="0" t="s">
        <v>78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1006</v>
      </c>
      <c r="B178" s="0" t="s">
        <v>1172</v>
      </c>
      <c r="C178" s="5" t="s">
        <v>48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1008</v>
      </c>
      <c r="B179" s="0" t="s">
        <v>1173</v>
      </c>
      <c r="C179" s="0" t="s">
        <v>78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1010</v>
      </c>
      <c r="B180" s="0" t="s">
        <v>1174</v>
      </c>
      <c r="C180" s="5" t="s">
        <v>48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1012</v>
      </c>
      <c r="B181" s="0" t="s">
        <v>1175</v>
      </c>
      <c r="C181" s="0" t="s">
        <v>78</v>
      </c>
      <c r="D181" s="24" t="n">
        <f aca="false">SUMIFS(Pipeline!$L$5:$L$74,Pipeline!$C$5:$C$74,"xai",Pipeline!$Q$5:$Q$74,1,Pipeline!$P$5:$P$74,2023)</f>
        <v>0</v>
      </c>
      <c r="E181" s="24" t="n">
        <f aca="false">SUMIFS(Pipeline!$L$5:$L$74,Pipeline!$C$5:$C$74,"xai",Pipeline!$Q$5:$Q$74,1,Pipeline!$P$5:$P$74,2024)</f>
        <v>0</v>
      </c>
      <c r="F181" s="24" t="n">
        <f aca="false">SUMIFS(Pipeline!$L$5:$L$74,Pipeline!$C$5:$C$74,"xai",Pipeline!$Q$5:$Q$74,1,Pipeline!$P$5:$P$74,2025)</f>
        <v>0</v>
      </c>
      <c r="G181" s="24" t="n">
        <f aca="false">SUMIFS(Pipeline!$L$5:$L$74,Pipeline!$C$5:$C$74,"xai",Pipeline!$Q$5:$Q$74,1,Pipeline!$P$5:$P$74,2026)</f>
        <v>0</v>
      </c>
      <c r="H181" s="24" t="n">
        <f aca="false">SUMIFS(Pipeline!$L$5:$L$74,Pipeline!$C$5:$C$74,"xai",Pipeline!$Q$5:$Q$74,1,Pipeline!$P$5:$P$74,2027)</f>
        <v>0.585</v>
      </c>
      <c r="I181" s="24" t="n">
        <f aca="false">SUMIFS(Pipeline!$L$5:$L$74,Pipeline!$C$5:$C$74,"xai",Pipeline!$Q$5:$Q$74,1,Pipeline!$P$5:$P$74,2028)</f>
        <v>0</v>
      </c>
      <c r="J181" s="24" t="n">
        <f aca="false">SUMIFS(Pipeline!$L$5:$L$74,Pipeline!$C$5:$C$74,"xai",Pipeline!$Q$5:$Q$74,1,Pipeline!$P$5:$P$74,2029)</f>
        <v>0</v>
      </c>
      <c r="K181" s="24" t="n">
        <f aca="false">SUMIFS(Pipeline!$L$5:$L$74,Pipeline!$C$5:$C$74,"xai",Pipeline!$Q$5:$Q$74,1,Pipeline!$P$5:$P$74,2030)</f>
        <v>0</v>
      </c>
      <c r="L181" s="24" t="n">
        <f aca="false">SUMIFS(Pipeline!$L$5:$L$74,Pipeline!$C$5:$C$74,"xai",Pipeline!$Q$5:$Q$74,1,Pipeline!$P$5:$P$74,2031)</f>
        <v>0</v>
      </c>
      <c r="M181" s="24" t="n">
        <f aca="false">SUMIFS(Pipeline!$L$5:$L$74,Pipeline!$C$5:$C$74,"xai",Pipeline!$Q$5:$Q$74,1,Pipeline!$P$5:$P$74,2032)</f>
        <v>0</v>
      </c>
    </row>
    <row r="182" customFormat="false" ht="17.15" hidden="false" customHeight="false" outlineLevel="0" collapsed="false">
      <c r="A182" s="5" t="s">
        <v>1014</v>
      </c>
      <c r="B182" s="0" t="s">
        <v>1176</v>
      </c>
      <c r="C182" s="0" t="s">
        <v>78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2.585</v>
      </c>
      <c r="I182" s="25" t="n">
        <f aca="false">IF(I176&lt;&gt;"",I176,IF(AND(I177&lt;&gt;"",I179&lt;&gt;""),I177+(I179-I177)*(2028-I178)/(I180-I178),IF(H182&lt;&gt;"",H182+I181,"")))</f>
        <v>2.585</v>
      </c>
      <c r="J182" s="25" t="n">
        <f aca="false">IF(J176&lt;&gt;"",J176,IF(AND(J177&lt;&gt;"",J179&lt;&gt;""),J177+(J179-J177)*(2029-J178)/(J180-J178),IF(I182&lt;&gt;"",I182+J181,"")))</f>
        <v>2.585</v>
      </c>
      <c r="K182" s="25" t="n">
        <f aca="false">IF(K176&lt;&gt;"",K176,IF(AND(K177&lt;&gt;"",K179&lt;&gt;""),K177+(K179-K177)*(2030-K178)/(K180-K178),IF(J182&lt;&gt;"",J182+K181,"")))</f>
        <v>2.585</v>
      </c>
      <c r="L182" s="25" t="n">
        <f aca="false">IF(L176&lt;&gt;"",L176,IF(AND(L177&lt;&gt;"",L179&lt;&gt;""),L177+(L179-L177)*(2031-L178)/(L180-L178),IF(K182&lt;&gt;"",K182+L181,"")))</f>
        <v>2.585</v>
      </c>
      <c r="M182" s="25" t="n">
        <f aca="false">IF(M176&lt;&gt;"",M176,IF(AND(M177&lt;&gt;"",M179&lt;&gt;""),M177+(M179-M177)*(2032-M178)/(M180-M178),IF(L182&lt;&gt;"",L182+M181,"")))</f>
        <v>2.585</v>
      </c>
    </row>
    <row r="183" customFormat="false" ht="15" hidden="false" customHeight="false" outlineLevel="0" collapsed="false">
      <c r="A183" s="5" t="s">
        <v>1016</v>
      </c>
      <c r="B183" s="0" t="s">
        <v>1177</v>
      </c>
      <c r="C183" s="0" t="s">
        <v>36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1018</v>
      </c>
      <c r="B184" s="0" t="s">
        <v>1178</v>
      </c>
      <c r="C184" s="0" t="s">
        <v>78</v>
      </c>
      <c r="D184" s="24" t="str">
        <f aca="false">IF(D182="","",IF(AND(D183=5,In!$H$106&lt;&gt;""),In!$H$106*Players!$E$19/1000,D182))</f>
        <v/>
      </c>
      <c r="E184" s="24" t="str">
        <f aca="false">IF(E182="","",IF(AND(E183=5,In!$I$106&lt;&gt;""),In!$I$106*Players!$E$19/1000,E182))</f>
        <v/>
      </c>
      <c r="F184" s="24" t="n">
        <f aca="false">IF(F182="","",IF(AND(F183=5,In!$J$106&lt;&gt;""),In!$J$106*Players!$E$19/1000,F182))</f>
        <v>0.5082</v>
      </c>
      <c r="G184" s="24" t="n">
        <f aca="false">IF(G182="","",IF(AND(G183=5,In!$K$106&lt;&gt;""),In!$K$106*Players!$E$19/1000,G182))</f>
        <v>2</v>
      </c>
      <c r="H184" s="24" t="n">
        <f aca="false">IF(H182="","",IF(AND(H183=5,In!$L$106&lt;&gt;""),In!$L$106*Players!$E$19/1000,H182))</f>
        <v>2.585</v>
      </c>
      <c r="I184" s="24" t="n">
        <f aca="false">IF(I182="","",IF(AND(I183=5,In!$M$106&lt;&gt;""),In!$M$106*Players!$E$19/1000,I182))</f>
        <v>2.585</v>
      </c>
      <c r="J184" s="24" t="n">
        <f aca="false">IF(J182="","",IF(AND(J183=5,In!$N$106&lt;&gt;""),In!$N$106*Players!$E$19/1000,J182))</f>
        <v>2.585</v>
      </c>
      <c r="K184" s="24" t="n">
        <f aca="false">IF(K182="","",IF(AND(K183=5,In!$O$106&lt;&gt;""),In!$O$106*Players!$E$19/1000,K182))</f>
        <v>2.585</v>
      </c>
      <c r="L184" s="24" t="n">
        <f aca="false">IF(L182="","",IF(AND(L183=5,In!$P$106&lt;&gt;""),In!$P$106*Players!$E$19/1000,L182))</f>
        <v>2.585</v>
      </c>
      <c r="M184" s="24" t="n">
        <f aca="false">IF(M182="","",IF(AND(M183=5,In!$Q$106&lt;&gt;""),In!$Q$106*Players!$E$19/1000,M182))</f>
        <v>2.585</v>
      </c>
    </row>
    <row r="185" customFormat="false" ht="17.15" hidden="false" customHeight="false" outlineLevel="0" collapsed="false">
      <c r="A185" s="5" t="s">
        <v>1020</v>
      </c>
      <c r="B185" s="0" t="s">
        <v>1179</v>
      </c>
      <c r="C185" s="0" t="s">
        <v>78</v>
      </c>
      <c r="D185" s="24" t="str">
        <f aca="false">IF(D182="","",IF(AND(D183=5,In!$H$106&lt;&gt;""),In!$H$106*Players!$F$19/1000,D182))</f>
        <v/>
      </c>
      <c r="E185" s="24" t="str">
        <f aca="false">IF(E182="","",IF(AND(E183=5,In!$I$106&lt;&gt;""),In!$I$106*Players!$F$19/1000,E182))</f>
        <v/>
      </c>
      <c r="F185" s="24" t="n">
        <f aca="false">IF(F182="","",IF(AND(F183=5,In!$J$106&lt;&gt;""),In!$J$106*Players!$F$19/1000,F182))</f>
        <v>0.64064</v>
      </c>
      <c r="G185" s="24" t="n">
        <f aca="false">IF(G182="","",IF(AND(G183=5,In!$K$106&lt;&gt;""),In!$K$106*Players!$F$19/1000,G182))</f>
        <v>2</v>
      </c>
      <c r="H185" s="24" t="n">
        <f aca="false">IF(H182="","",IF(AND(H183=5,In!$L$106&lt;&gt;""),In!$L$106*Players!$F$19/1000,H182))</f>
        <v>2.585</v>
      </c>
      <c r="I185" s="24" t="n">
        <f aca="false">IF(I182="","",IF(AND(I183=5,In!$M$106&lt;&gt;""),In!$M$106*Players!$F$19/1000,I182))</f>
        <v>2.585</v>
      </c>
      <c r="J185" s="24" t="n">
        <f aca="false">IF(J182="","",IF(AND(J183=5,In!$N$106&lt;&gt;""),In!$N$106*Players!$F$19/1000,J182))</f>
        <v>2.585</v>
      </c>
      <c r="K185" s="24" t="n">
        <f aca="false">IF(K182="","",IF(AND(K183=5,In!$O$106&lt;&gt;""),In!$O$106*Players!$F$19/1000,K182))</f>
        <v>2.585</v>
      </c>
      <c r="L185" s="24" t="n">
        <f aca="false">IF(L182="","",IF(AND(L183=5,In!$P$106&lt;&gt;""),In!$P$106*Players!$F$19/1000,L182))</f>
        <v>2.585</v>
      </c>
      <c r="M185" s="24" t="n">
        <f aca="false">IF(M182="","",IF(AND(M183=5,In!$Q$106&lt;&gt;""),In!$Q$106*Players!$F$19/1000,M182))</f>
        <v>2.585</v>
      </c>
    </row>
    <row r="186" customFormat="false" ht="17.15" hidden="false" customHeight="false" outlineLevel="0" collapsed="false">
      <c r="A186" s="5" t="s">
        <v>1022</v>
      </c>
      <c r="B186" s="0" t="s">
        <v>1180</v>
      </c>
      <c r="C186" s="0" t="s">
        <v>78</v>
      </c>
      <c r="D186" s="24" t="str">
        <f aca="false">IF(D182="","",IF(In!$C$116="未說明",D182/D$13,D182))</f>
        <v/>
      </c>
      <c r="E186" s="24" t="str">
        <f aca="false">IF(E182="","",IF(In!$C$116="未說明",E182/E$13,E182))</f>
        <v/>
      </c>
      <c r="F186" s="24" t="n">
        <f aca="false">IF(F182="","",IF(In!$C$116="未說明",F182/F$13,F182))</f>
        <v>0.474833333333333</v>
      </c>
      <c r="G186" s="24" t="n">
        <f aca="false">IF(G182="","",IF(In!$C$116="未說明",G182/G$13,G182))</f>
        <v>1.66666666666667</v>
      </c>
      <c r="H186" s="24" t="n">
        <f aca="false">IF(H182="","",IF(In!$C$116="未說明",H182/H$13,H182))</f>
        <v>2.15416666666667</v>
      </c>
      <c r="I186" s="24" t="n">
        <f aca="false">IF(I182="","",IF(In!$C$116="未說明",I182/I$13,I182))</f>
        <v>2.15416666666667</v>
      </c>
      <c r="J186" s="24" t="n">
        <f aca="false">IF(J182="","",IF(In!$C$116="未說明",J182/J$13,J182))</f>
        <v>2.15416666666667</v>
      </c>
      <c r="K186" s="24" t="n">
        <f aca="false">IF(K182="","",IF(In!$C$116="未說明",K182/K$13,K182))</f>
        <v>2.15416666666667</v>
      </c>
      <c r="L186" s="24" t="n">
        <f aca="false">IF(L182="","",IF(In!$C$116="未說明",L182/L$13,L182))</f>
        <v>2.15416666666667</v>
      </c>
      <c r="M186" s="24" t="n">
        <f aca="false">IF(M182="","",IF(In!$C$116="未說明",M182/M$13,M182))</f>
        <v>2.15416666666667</v>
      </c>
    </row>
    <row r="187" customFormat="false" ht="17.15" hidden="false" customHeight="false" outlineLevel="0" collapsed="false">
      <c r="A187" s="5" t="s">
        <v>1024</v>
      </c>
      <c r="B187" s="0" t="s">
        <v>1181</v>
      </c>
      <c r="C187" s="0" t="s">
        <v>78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2.2925</v>
      </c>
      <c r="I187" s="24" t="n">
        <f aca="false">IF(AND(H182&lt;&gt;"",I182&lt;&gt;""),(H182+I182)/2,"")</f>
        <v>2.585</v>
      </c>
      <c r="J187" s="24" t="n">
        <f aca="false">IF(AND(I182&lt;&gt;"",J182&lt;&gt;""),(I182+J182)/2,"")</f>
        <v>2.585</v>
      </c>
      <c r="K187" s="24" t="n">
        <f aca="false">IF(AND(J182&lt;&gt;"",K182&lt;&gt;""),(J182+K182)/2,"")</f>
        <v>2.585</v>
      </c>
      <c r="L187" s="24" t="n">
        <f aca="false">IF(AND(K182&lt;&gt;"",L182&lt;&gt;""),(K182+L182)/2,"")</f>
        <v>2.585</v>
      </c>
      <c r="M187" s="24" t="n">
        <f aca="false">IF(AND(L182&lt;&gt;"",M182&lt;&gt;""),(L182+M182)/2,"")</f>
        <v>2.585</v>
      </c>
    </row>
    <row r="188" customFormat="false" ht="17.15" hidden="false" customHeight="false" outlineLevel="0" collapsed="false">
      <c r="A188" s="5" t="s">
        <v>1026</v>
      </c>
      <c r="B188" s="0" t="s">
        <v>1182</v>
      </c>
      <c r="C188" s="0" t="s">
        <v>78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0.585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1028</v>
      </c>
      <c r="B189" s="0" t="s">
        <v>1183</v>
      </c>
      <c r="C189" s="0" t="s">
        <v>78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1030</v>
      </c>
      <c r="B190" s="0" t="s">
        <v>1184</v>
      </c>
      <c r="C190" s="0" t="s">
        <v>53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1185</v>
      </c>
      <c r="B192" s="20" t="s">
        <v>532</v>
      </c>
      <c r="N192" s="20" t="s">
        <v>1186</v>
      </c>
    </row>
    <row r="193" customFormat="false" ht="17.15" hidden="false" customHeight="false" outlineLevel="0" collapsed="false">
      <c r="A193" s="5" t="s">
        <v>998</v>
      </c>
      <c r="B193" s="0" t="s">
        <v>1187</v>
      </c>
      <c r="C193" s="0" t="s">
        <v>78</v>
      </c>
      <c r="D193" s="24" t="str">
        <f aca="false">IF(In!$H$117="","",IF(In!$C$117="設施",In!$H$117/1000/D$13,In!$H$117/1000))</f>
        <v/>
      </c>
      <c r="E193" s="24" t="str">
        <f aca="false">IF(In!$I$117="","",IF(In!$C$117="設施",In!$I$117/1000/E$13,In!$I$117/1000))</f>
        <v/>
      </c>
      <c r="F193" s="24" t="n">
        <f aca="false">IF(In!$J$117="","",IF(In!$C$117="設施",In!$J$117/1000/F$13,In!$J$117/1000))</f>
        <v>0</v>
      </c>
      <c r="G193" s="24" t="str">
        <f aca="false">IF(In!$K$117="","",IF(In!$C$117="設施",In!$K$117/1000/G$13,In!$K$117/1000))</f>
        <v/>
      </c>
      <c r="H193" s="24" t="str">
        <f aca="false">IF(In!$L$117="","",IF(In!$C$117="設施",In!$L$117/1000/H$13,In!$L$117/1000))</f>
        <v/>
      </c>
      <c r="I193" s="24" t="str">
        <f aca="false">IF(In!$M$117="","",IF(In!$C$117="設施",In!$M$117/1000/I$13,In!$M$117/1000))</f>
        <v/>
      </c>
      <c r="J193" s="24" t="str">
        <f aca="false">IF(In!$N$117="","",IF(In!$C$117="設施",In!$N$117/1000/J$13,In!$N$117/1000))</f>
        <v/>
      </c>
      <c r="K193" s="24" t="str">
        <f aca="false">IF(In!$O$117="","",IF(In!$C$117="設施",In!$O$117/1000/K$13,In!$O$117/1000))</f>
        <v/>
      </c>
      <c r="L193" s="24" t="str">
        <f aca="false">IF(In!$P$117="","",IF(In!$C$117="設施",In!$P$117/1000/L$13,In!$P$117/1000))</f>
        <v/>
      </c>
      <c r="M193" s="24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1000</v>
      </c>
      <c r="B194" s="0" t="s">
        <v>1188</v>
      </c>
      <c r="C194" s="0" t="s">
        <v>78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1002</v>
      </c>
      <c r="B195" s="0" t="s">
        <v>1189</v>
      </c>
      <c r="C195" s="0" t="s">
        <v>78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1004</v>
      </c>
      <c r="B196" s="0" t="s">
        <v>1190</v>
      </c>
      <c r="C196" s="0" t="s">
        <v>78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1006</v>
      </c>
      <c r="B197" s="0" t="s">
        <v>1191</v>
      </c>
      <c r="C197" s="5" t="s">
        <v>48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1008</v>
      </c>
      <c r="B198" s="0" t="s">
        <v>1192</v>
      </c>
      <c r="C198" s="0" t="s">
        <v>78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1010</v>
      </c>
      <c r="B199" s="0" t="s">
        <v>1193</v>
      </c>
      <c r="C199" s="5" t="s">
        <v>48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1012</v>
      </c>
      <c r="B200" s="0" t="s">
        <v>1194</v>
      </c>
      <c r="C200" s="0" t="s">
        <v>78</v>
      </c>
      <c r="D200" s="24" t="n">
        <f aca="false">SUMIFS(Pipeline!$L$5:$L$74,Pipeline!$C$5:$C$74,"oai",Pipeline!$Q$5:$Q$74,1,Pipeline!$P$5:$P$74,2023)</f>
        <v>0</v>
      </c>
      <c r="E200" s="24" t="n">
        <f aca="false">SUMIFS(Pipeline!$L$5:$L$74,Pipeline!$C$5:$C$74,"oai",Pipeline!$Q$5:$Q$74,1,Pipeline!$P$5:$P$74,2024)</f>
        <v>0</v>
      </c>
      <c r="F200" s="24" t="n">
        <f aca="false">SUMIFS(Pipeline!$L$5:$L$74,Pipeline!$C$5:$C$74,"oai",Pipeline!$Q$5:$Q$74,1,Pipeline!$P$5:$P$74,2025)</f>
        <v>0</v>
      </c>
      <c r="G200" s="24" t="n">
        <f aca="false">SUMIFS(Pipeline!$L$5:$L$74,Pipeline!$C$5:$C$74,"oai",Pipeline!$Q$5:$Q$74,1,Pipeline!$P$5:$P$74,2026)</f>
        <v>0</v>
      </c>
      <c r="H200" s="24" t="n">
        <f aca="false">SUMIFS(Pipeline!$L$5:$L$74,Pipeline!$C$5:$C$74,"oai",Pipeline!$Q$5:$Q$74,1,Pipeline!$P$5:$P$74,2027)</f>
        <v>0.308</v>
      </c>
      <c r="I200" s="24" t="n">
        <f aca="false">SUMIFS(Pipeline!$L$5:$L$74,Pipeline!$C$5:$C$74,"oai",Pipeline!$Q$5:$Q$74,1,Pipeline!$P$5:$P$74,2028)</f>
        <v>1.245</v>
      </c>
      <c r="J200" s="24" t="n">
        <f aca="false">SUMIFS(Pipeline!$L$5:$L$74,Pipeline!$C$5:$C$74,"oai",Pipeline!$Q$5:$Q$74,1,Pipeline!$P$5:$P$74,2029)</f>
        <v>1.149</v>
      </c>
      <c r="K200" s="24" t="n">
        <f aca="false">SUMIFS(Pipeline!$L$5:$L$74,Pipeline!$C$5:$C$74,"oai",Pipeline!$Q$5:$Q$74,1,Pipeline!$P$5:$P$74,2030)</f>
        <v>1.149</v>
      </c>
      <c r="L200" s="24" t="n">
        <f aca="false">SUMIFS(Pipeline!$L$5:$L$74,Pipeline!$C$5:$C$74,"oai",Pipeline!$Q$5:$Q$74,1,Pipeline!$P$5:$P$74,2031)</f>
        <v>1.15</v>
      </c>
      <c r="M200" s="24" t="n">
        <f aca="false">SUMIFS(Pipeline!$L$5:$L$74,Pipeline!$C$5:$C$74,"oai",Pipeline!$Q$5:$Q$74,1,Pipeline!$P$5:$P$74,2032)</f>
        <v>0</v>
      </c>
    </row>
    <row r="201" customFormat="false" ht="17.15" hidden="false" customHeight="false" outlineLevel="0" collapsed="false">
      <c r="A201" s="5" t="s">
        <v>1014</v>
      </c>
      <c r="B201" s="0" t="s">
        <v>1195</v>
      </c>
      <c r="C201" s="0" t="s">
        <v>78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0.308</v>
      </c>
      <c r="I201" s="25" t="n">
        <f aca="false">IF(I195&lt;&gt;"",I195,IF(AND(I196&lt;&gt;"",I198&lt;&gt;""),I196+(I198-I196)*(2028-I197)/(I199-I197),IF(H201&lt;&gt;"",H201+I200,"")))</f>
        <v>1.553</v>
      </c>
      <c r="J201" s="25" t="n">
        <f aca="false">IF(J195&lt;&gt;"",J195,IF(AND(J196&lt;&gt;"",J198&lt;&gt;""),J196+(J198-J196)*(2029-J197)/(J199-J197),IF(I201&lt;&gt;"",I201+J200,"")))</f>
        <v>2.702</v>
      </c>
      <c r="K201" s="25" t="n">
        <f aca="false">IF(K195&lt;&gt;"",K195,IF(AND(K196&lt;&gt;"",K198&lt;&gt;""),K196+(K198-K196)*(2030-K197)/(K199-K197),IF(J201&lt;&gt;"",J201+K200,"")))</f>
        <v>3.851</v>
      </c>
      <c r="L201" s="25" t="n">
        <f aca="false">IF(L195&lt;&gt;"",L195,IF(AND(L196&lt;&gt;"",L198&lt;&gt;""),L196+(L198-L196)*(2031-L197)/(L199-L197),IF(K201&lt;&gt;"",K201+L200,"")))</f>
        <v>5.001</v>
      </c>
      <c r="M201" s="25" t="n">
        <f aca="false">IF(M195&lt;&gt;"",M195,IF(AND(M196&lt;&gt;"",M198&lt;&gt;""),M196+(M198-M196)*(2032-M197)/(M199-M197),IF(L201&lt;&gt;"",L201+M200,"")))</f>
        <v>5.001</v>
      </c>
    </row>
    <row r="202" customFormat="false" ht="15" hidden="false" customHeight="false" outlineLevel="0" collapsed="false">
      <c r="A202" s="5" t="s">
        <v>1016</v>
      </c>
      <c r="B202" s="0" t="s">
        <v>1196</v>
      </c>
      <c r="C202" s="0" t="s">
        <v>36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1018</v>
      </c>
      <c r="B203" s="0" t="s">
        <v>1197</v>
      </c>
      <c r="C203" s="0" t="s">
        <v>78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0.308</v>
      </c>
      <c r="I203" s="24" t="n">
        <f aca="false">IF(I201="","",I201)</f>
        <v>1.553</v>
      </c>
      <c r="J203" s="24" t="n">
        <f aca="false">IF(J201="","",J201)</f>
        <v>2.702</v>
      </c>
      <c r="K203" s="24" t="n">
        <f aca="false">IF(K201="","",K201)</f>
        <v>3.851</v>
      </c>
      <c r="L203" s="24" t="n">
        <f aca="false">IF(L201="","",L201)</f>
        <v>5.001</v>
      </c>
      <c r="M203" s="24" t="n">
        <f aca="false">IF(M201="","",M201)</f>
        <v>5.001</v>
      </c>
    </row>
    <row r="204" customFormat="false" ht="17.15" hidden="false" customHeight="false" outlineLevel="0" collapsed="false">
      <c r="A204" s="5" t="s">
        <v>1020</v>
      </c>
      <c r="B204" s="0" t="s">
        <v>1198</v>
      </c>
      <c r="C204" s="0" t="s">
        <v>78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0.308</v>
      </c>
      <c r="I204" s="24" t="n">
        <f aca="false">IF(I201="","",I201)</f>
        <v>1.553</v>
      </c>
      <c r="J204" s="24" t="n">
        <f aca="false">IF(J201="","",J201)</f>
        <v>2.702</v>
      </c>
      <c r="K204" s="24" t="n">
        <f aca="false">IF(K201="","",K201)</f>
        <v>3.851</v>
      </c>
      <c r="L204" s="24" t="n">
        <f aca="false">IF(L201="","",L201)</f>
        <v>5.001</v>
      </c>
      <c r="M204" s="24" t="n">
        <f aca="false">IF(M201="","",M201)</f>
        <v>5.001</v>
      </c>
    </row>
    <row r="205" customFormat="false" ht="17.15" hidden="false" customHeight="false" outlineLevel="0" collapsed="false">
      <c r="A205" s="5" t="s">
        <v>1022</v>
      </c>
      <c r="B205" s="0" t="s">
        <v>1199</v>
      </c>
      <c r="C205" s="0" t="s">
        <v>78</v>
      </c>
      <c r="D205" s="24" t="str">
        <f aca="false">IF(D201="","",IF(In!$C$117="未說明",D201/D$13,D201))</f>
        <v/>
      </c>
      <c r="E205" s="24" t="str">
        <f aca="false">IF(E201="","",IF(In!$C$117="未說明",E201/E$13,E201))</f>
        <v/>
      </c>
      <c r="F205" s="24" t="n">
        <f aca="false">IF(F201="","",IF(In!$C$117="未說明",F201/F$13,F201))</f>
        <v>0</v>
      </c>
      <c r="G205" s="24" t="n">
        <f aca="false">IF(G201="","",IF(In!$C$117="未說明",G201/G$13,G201))</f>
        <v>0</v>
      </c>
      <c r="H205" s="24" t="n">
        <f aca="false">IF(H201="","",IF(In!$C$117="未說明",H201/H$13,H201))</f>
        <v>0.308</v>
      </c>
      <c r="I205" s="24" t="n">
        <f aca="false">IF(I201="","",IF(In!$C$117="未說明",I201/I$13,I201))</f>
        <v>1.553</v>
      </c>
      <c r="J205" s="24" t="n">
        <f aca="false">IF(J201="","",IF(In!$C$117="未說明",J201/J$13,J201))</f>
        <v>2.702</v>
      </c>
      <c r="K205" s="24" t="n">
        <f aca="false">IF(K201="","",IF(In!$C$117="未說明",K201/K$13,K201))</f>
        <v>3.851</v>
      </c>
      <c r="L205" s="24" t="n">
        <f aca="false">IF(L201="","",IF(In!$C$117="未說明",L201/L$13,L201))</f>
        <v>5.001</v>
      </c>
      <c r="M205" s="24" t="n">
        <f aca="false">IF(M201="","",IF(In!$C$117="未說明",M201/M$13,M201))</f>
        <v>5.001</v>
      </c>
    </row>
    <row r="206" customFormat="false" ht="17.15" hidden="false" customHeight="false" outlineLevel="0" collapsed="false">
      <c r="A206" s="5" t="s">
        <v>1024</v>
      </c>
      <c r="B206" s="0" t="s">
        <v>1200</v>
      </c>
      <c r="C206" s="0" t="s">
        <v>78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0.154</v>
      </c>
      <c r="I206" s="24" t="n">
        <f aca="false">IF(AND(H201&lt;&gt;"",I201&lt;&gt;""),(H201+I201)/2,"")</f>
        <v>0.9305</v>
      </c>
      <c r="J206" s="24" t="n">
        <f aca="false">IF(AND(I201&lt;&gt;"",J201&lt;&gt;""),(I201+J201)/2,"")</f>
        <v>2.1275</v>
      </c>
      <c r="K206" s="24" t="n">
        <f aca="false">IF(AND(J201&lt;&gt;"",K201&lt;&gt;""),(J201+K201)/2,"")</f>
        <v>3.2765</v>
      </c>
      <c r="L206" s="24" t="n">
        <f aca="false">IF(AND(K201&lt;&gt;"",L201&lt;&gt;""),(K201+L201)/2,"")</f>
        <v>4.426</v>
      </c>
      <c r="M206" s="24" t="n">
        <f aca="false">IF(AND(L201&lt;&gt;"",M201&lt;&gt;""),(L201+M201)/2,"")</f>
        <v>5.001</v>
      </c>
    </row>
    <row r="207" customFormat="false" ht="17.15" hidden="false" customHeight="false" outlineLevel="0" collapsed="false">
      <c r="A207" s="5" t="s">
        <v>1026</v>
      </c>
      <c r="B207" s="0" t="s">
        <v>1201</v>
      </c>
      <c r="C207" s="0" t="s">
        <v>78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0.308</v>
      </c>
      <c r="I207" s="24" t="n">
        <f aca="false">IF(AND(H201&lt;&gt;"",I201&lt;&gt;""),I201-H201,0)</f>
        <v>1.245</v>
      </c>
      <c r="J207" s="24" t="n">
        <f aca="false">IF(AND(I201&lt;&gt;"",J201&lt;&gt;""),J201-I201,0)</f>
        <v>1.149</v>
      </c>
      <c r="K207" s="24" t="n">
        <f aca="false">IF(AND(J201&lt;&gt;"",K201&lt;&gt;""),K201-J201,0)</f>
        <v>1.149</v>
      </c>
      <c r="L207" s="24" t="n">
        <f aca="false">IF(AND(K201&lt;&gt;"",L201&lt;&gt;""),L201-K201,0)</f>
        <v>1.15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1028</v>
      </c>
      <c r="B208" s="0" t="s">
        <v>1202</v>
      </c>
      <c r="C208" s="0" t="s">
        <v>78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1030</v>
      </c>
      <c r="B209" s="0" t="s">
        <v>1203</v>
      </c>
      <c r="C209" s="0" t="s">
        <v>53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1204</v>
      </c>
      <c r="B211" s="20" t="s">
        <v>516</v>
      </c>
      <c r="N211" s="20" t="s">
        <v>1205</v>
      </c>
    </row>
    <row r="212" customFormat="false" ht="17.15" hidden="false" customHeight="false" outlineLevel="0" collapsed="false">
      <c r="A212" s="5" t="s">
        <v>998</v>
      </c>
      <c r="B212" s="0" t="s">
        <v>1206</v>
      </c>
      <c r="C212" s="0" t="s">
        <v>78</v>
      </c>
      <c r="D212" s="24" t="str">
        <f aca="false">IF(In!$H$118="","",IF(In!$C$118="設施",In!$H$118/1000/D$13,In!$H$118/1000))</f>
        <v/>
      </c>
      <c r="E212" s="24" t="str">
        <f aca="false">IF(In!$I$118="","",IF(In!$C$118="設施",In!$I$118/1000/E$13,In!$I$118/1000))</f>
        <v/>
      </c>
      <c r="F212" s="24" t="n">
        <f aca="false">IF(In!$J$118="","",IF(In!$C$118="設施",In!$J$118/1000/F$13,In!$J$118/1000))</f>
        <v>0</v>
      </c>
      <c r="G212" s="24" t="str">
        <f aca="false">IF(In!$K$118="","",IF(In!$C$118="設施",In!$K$118/1000/G$13,In!$K$118/1000))</f>
        <v/>
      </c>
      <c r="H212" s="24" t="str">
        <f aca="false">IF(In!$L$118="","",IF(In!$C$118="設施",In!$L$118/1000/H$13,In!$L$118/1000))</f>
        <v/>
      </c>
      <c r="I212" s="24" t="str">
        <f aca="false">IF(In!$M$118="","",IF(In!$C$118="設施",In!$M$118/1000/I$13,In!$M$118/1000))</f>
        <v/>
      </c>
      <c r="J212" s="24" t="str">
        <f aca="false">IF(In!$N$118="","",IF(In!$C$118="設施",In!$N$118/1000/J$13,In!$N$118/1000))</f>
        <v/>
      </c>
      <c r="K212" s="24" t="str">
        <f aca="false">IF(In!$O$118="","",IF(In!$C$118="設施",In!$O$118/1000/K$13,In!$O$118/1000))</f>
        <v/>
      </c>
      <c r="L212" s="24" t="str">
        <f aca="false">IF(In!$P$118="","",IF(In!$C$118="設施",In!$P$118/1000/L$13,In!$P$118/1000))</f>
        <v/>
      </c>
      <c r="M212" s="24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1000</v>
      </c>
      <c r="B213" s="0" t="s">
        <v>1207</v>
      </c>
      <c r="C213" s="0" t="s">
        <v>78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1002</v>
      </c>
      <c r="B214" s="0" t="s">
        <v>1208</v>
      </c>
      <c r="C214" s="0" t="s">
        <v>78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1004</v>
      </c>
      <c r="B215" s="0" t="s">
        <v>1209</v>
      </c>
      <c r="C215" s="0" t="s">
        <v>78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1006</v>
      </c>
      <c r="B216" s="0" t="s">
        <v>1210</v>
      </c>
      <c r="C216" s="5" t="s">
        <v>48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1008</v>
      </c>
      <c r="B217" s="0" t="s">
        <v>1211</v>
      </c>
      <c r="C217" s="0" t="s">
        <v>78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1010</v>
      </c>
      <c r="B218" s="0" t="s">
        <v>1212</v>
      </c>
      <c r="C218" s="5" t="s">
        <v>48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1012</v>
      </c>
      <c r="B219" s="0" t="s">
        <v>1213</v>
      </c>
      <c r="C219" s="0" t="s">
        <v>78</v>
      </c>
      <c r="D219" s="24" t="n">
        <f aca="false">SUMIFS(Pipeline!$L$5:$L$74,Pipeline!$C$5:$C$74,"ant",Pipeline!$Q$5:$Q$74,1,Pipeline!$P$5:$P$74,2023)</f>
        <v>0</v>
      </c>
      <c r="E219" s="24" t="n">
        <f aca="false">SUMIFS(Pipeline!$L$5:$L$74,Pipeline!$C$5:$C$74,"ant",Pipeline!$Q$5:$Q$74,1,Pipeline!$P$5:$P$74,2024)</f>
        <v>0</v>
      </c>
      <c r="F219" s="24" t="n">
        <f aca="false">SUMIFS(Pipeline!$L$5:$L$74,Pipeline!$C$5:$C$74,"ant",Pipeline!$Q$5:$Q$74,1,Pipeline!$P$5:$P$74,2025)</f>
        <v>0</v>
      </c>
      <c r="G219" s="24" t="n">
        <f aca="false">SUMIFS(Pipeline!$L$5:$L$74,Pipeline!$C$5:$C$74,"ant",Pipeline!$Q$5:$Q$74,1,Pipeline!$P$5:$P$74,2026)</f>
        <v>0</v>
      </c>
      <c r="H219" s="24" t="n">
        <f aca="false">SUMIFS(Pipeline!$L$5:$L$74,Pipeline!$C$5:$C$74,"ant",Pipeline!$Q$5:$Q$74,1,Pipeline!$P$5:$P$74,2027)</f>
        <v>0</v>
      </c>
      <c r="I219" s="24" t="n">
        <f aca="false">SUMIFS(Pipeline!$L$5:$L$74,Pipeline!$C$5:$C$74,"ant",Pipeline!$Q$5:$Q$74,1,Pipeline!$P$5:$P$74,2028)</f>
        <v>0</v>
      </c>
      <c r="J219" s="24" t="n">
        <f aca="false">SUMIFS(Pipeline!$L$5:$L$74,Pipeline!$C$5:$C$74,"ant",Pipeline!$Q$5:$Q$74,1,Pipeline!$P$5:$P$74,2029)</f>
        <v>0</v>
      </c>
      <c r="K219" s="24" t="n">
        <f aca="false">SUMIFS(Pipeline!$L$5:$L$74,Pipeline!$C$5:$C$74,"ant",Pipeline!$Q$5:$Q$74,1,Pipeline!$P$5:$P$74,2030)</f>
        <v>0</v>
      </c>
      <c r="L219" s="24" t="n">
        <f aca="false">SUMIFS(Pipeline!$L$5:$L$74,Pipeline!$C$5:$C$74,"ant",Pipeline!$Q$5:$Q$74,1,Pipeline!$P$5:$P$74,2031)</f>
        <v>0</v>
      </c>
      <c r="M219" s="24" t="n">
        <f aca="false">SUMIFS(Pipeline!$L$5:$L$74,Pipeline!$C$5:$C$74,"ant",Pipeline!$Q$5:$Q$74,1,Pipeline!$P$5:$P$74,2032)</f>
        <v>0</v>
      </c>
    </row>
    <row r="220" customFormat="false" ht="17.15" hidden="false" customHeight="false" outlineLevel="0" collapsed="false">
      <c r="A220" s="5" t="s">
        <v>1014</v>
      </c>
      <c r="B220" s="0" t="s">
        <v>1214</v>
      </c>
      <c r="C220" s="0" t="s">
        <v>78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1016</v>
      </c>
      <c r="B221" s="0" t="s">
        <v>1215</v>
      </c>
      <c r="C221" s="0" t="s">
        <v>36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1018</v>
      </c>
      <c r="B222" s="0" t="s">
        <v>1216</v>
      </c>
      <c r="C222" s="0" t="s">
        <v>78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1020</v>
      </c>
      <c r="B223" s="0" t="s">
        <v>1217</v>
      </c>
      <c r="C223" s="0" t="s">
        <v>78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1022</v>
      </c>
      <c r="B224" s="0" t="s">
        <v>1218</v>
      </c>
      <c r="C224" s="0" t="s">
        <v>78</v>
      </c>
      <c r="D224" s="24" t="str">
        <f aca="false">IF(D220="","",IF(In!$C$118="未說明",D220/D$13,D220))</f>
        <v/>
      </c>
      <c r="E224" s="24" t="str">
        <f aca="false">IF(E220="","",IF(In!$C$118="未說明",E220/E$13,E220))</f>
        <v/>
      </c>
      <c r="F224" s="24" t="n">
        <f aca="false">IF(F220="","",IF(In!$C$118="未說明",F220/F$13,F220))</f>
        <v>0</v>
      </c>
      <c r="G224" s="24" t="n">
        <f aca="false">IF(G220="","",IF(In!$C$118="未說明",G220/G$13,G220))</f>
        <v>0</v>
      </c>
      <c r="H224" s="24" t="n">
        <f aca="false">IF(H220="","",IF(In!$C$118="未說明",H220/H$13,H220))</f>
        <v>0</v>
      </c>
      <c r="I224" s="24" t="n">
        <f aca="false">IF(I220="","",IF(In!$C$118="未說明",I220/I$13,I220))</f>
        <v>0</v>
      </c>
      <c r="J224" s="24" t="n">
        <f aca="false">IF(J220="","",IF(In!$C$118="未說明",J220/J$13,J220))</f>
        <v>0</v>
      </c>
      <c r="K224" s="24" t="n">
        <f aca="false">IF(K220="","",IF(In!$C$118="未說明",K220/K$13,K220))</f>
        <v>0</v>
      </c>
      <c r="L224" s="24" t="n">
        <f aca="false">IF(L220="","",IF(In!$C$118="未說明",L220/L$13,L220))</f>
        <v>0</v>
      </c>
      <c r="M224" s="24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1024</v>
      </c>
      <c r="B225" s="0" t="s">
        <v>1219</v>
      </c>
      <c r="C225" s="0" t="s">
        <v>78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1026</v>
      </c>
      <c r="B226" s="0" t="s">
        <v>1220</v>
      </c>
      <c r="C226" s="0" t="s">
        <v>78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1028</v>
      </c>
      <c r="B227" s="0" t="s">
        <v>1221</v>
      </c>
      <c r="C227" s="0" t="s">
        <v>78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1030</v>
      </c>
      <c r="B228" s="0" t="s">
        <v>1222</v>
      </c>
      <c r="C228" s="0" t="s">
        <v>53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1223</v>
      </c>
      <c r="B230" s="20" t="s">
        <v>546</v>
      </c>
      <c r="N230" s="20" t="s">
        <v>1224</v>
      </c>
    </row>
    <row r="231" customFormat="false" ht="17.15" hidden="false" customHeight="false" outlineLevel="0" collapsed="false">
      <c r="A231" s="5" t="s">
        <v>998</v>
      </c>
      <c r="B231" s="0" t="s">
        <v>1225</v>
      </c>
      <c r="C231" s="0" t="s">
        <v>78</v>
      </c>
      <c r="D231" s="24" t="str">
        <f aca="false">IF(In!$H$119="","",IF(In!$C$119="設施",In!$H$119/1000/D$13,In!$H$119/1000))</f>
        <v/>
      </c>
      <c r="E231" s="24" t="n">
        <f aca="false">IF(In!$I$119="","",IF(In!$C$119="設施",In!$I$119/1000/E$13,In!$I$119/1000))</f>
        <v>0.2</v>
      </c>
      <c r="F231" s="24" t="n">
        <f aca="false">IF(In!$J$119="","",IF(In!$C$119="設施",In!$J$119/1000/F$13,In!$J$119/1000))</f>
        <v>0.5</v>
      </c>
      <c r="G231" s="24" t="n">
        <f aca="false">IF(In!$K$119="","",IF(In!$C$119="設施",In!$K$119/1000/G$13,In!$K$119/1000))</f>
        <v>1.3</v>
      </c>
      <c r="H231" s="24" t="str">
        <f aca="false">IF(In!$L$119="","",IF(In!$C$119="設施",In!$L$119/1000/H$13,In!$L$119/1000))</f>
        <v/>
      </c>
      <c r="I231" s="24" t="str">
        <f aca="false">IF(In!$M$119="","",IF(In!$C$119="設施",In!$M$119/1000/I$13,In!$M$119/1000))</f>
        <v/>
      </c>
      <c r="J231" s="24" t="str">
        <f aca="false">IF(In!$N$119="","",IF(In!$C$119="設施",In!$N$119/1000/J$13,In!$N$119/1000))</f>
        <v/>
      </c>
      <c r="K231" s="24" t="str">
        <f aca="false">IF(In!$O$119="","",IF(In!$C$119="設施",In!$O$119/1000/K$13,In!$O$119/1000))</f>
        <v/>
      </c>
      <c r="L231" s="24" t="str">
        <f aca="false">IF(In!$P$119="","",IF(In!$C$119="設施",In!$P$119/1000/L$13,In!$P$119/1000))</f>
        <v/>
      </c>
      <c r="M231" s="24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1000</v>
      </c>
      <c r="B232" s="0" t="s">
        <v>1226</v>
      </c>
      <c r="C232" s="0" t="s">
        <v>78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1002</v>
      </c>
      <c r="B233" s="0" t="s">
        <v>1227</v>
      </c>
      <c r="C233" s="0" t="s">
        <v>78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1004</v>
      </c>
      <c r="B234" s="0" t="s">
        <v>1228</v>
      </c>
      <c r="C234" s="0" t="s">
        <v>78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1006</v>
      </c>
      <c r="B235" s="0" t="s">
        <v>1229</v>
      </c>
      <c r="C235" s="5" t="s">
        <v>48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1008</v>
      </c>
      <c r="B236" s="0" t="s">
        <v>1230</v>
      </c>
      <c r="C236" s="0" t="s">
        <v>78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1010</v>
      </c>
      <c r="B237" s="0" t="s">
        <v>1231</v>
      </c>
      <c r="C237" s="5" t="s">
        <v>48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1012</v>
      </c>
      <c r="B238" s="0" t="s">
        <v>1232</v>
      </c>
      <c r="C238" s="0" t="s">
        <v>78</v>
      </c>
      <c r="D238" s="24" t="n">
        <f aca="false">SUMIFS(Pipeline!$L$5:$L$74,Pipeline!$C$5:$C$74,"neo",Pipeline!$Q$5:$Q$74,1,Pipeline!$P$5:$P$74,2023)</f>
        <v>0</v>
      </c>
      <c r="E238" s="24" t="n">
        <f aca="false">SUMIFS(Pipeline!$L$5:$L$74,Pipeline!$C$5:$C$74,"neo",Pipeline!$Q$5:$Q$74,1,Pipeline!$P$5:$P$74,2024)</f>
        <v>0</v>
      </c>
      <c r="F238" s="24" t="n">
        <f aca="false">SUMIFS(Pipeline!$L$5:$L$74,Pipeline!$C$5:$C$74,"neo",Pipeline!$Q$5:$Q$74,1,Pipeline!$P$5:$P$74,2025)</f>
        <v>0</v>
      </c>
      <c r="G238" s="24" t="n">
        <f aca="false">SUMIFS(Pipeline!$L$5:$L$74,Pipeline!$C$5:$C$74,"neo",Pipeline!$Q$5:$Q$74,1,Pipeline!$P$5:$P$74,2026)</f>
        <v>0.1</v>
      </c>
      <c r="H238" s="24" t="n">
        <f aca="false">SUMIFS(Pipeline!$L$5:$L$74,Pipeline!$C$5:$C$74,"neo",Pipeline!$Q$5:$Q$74,1,Pipeline!$P$5:$P$74,2027)</f>
        <v>1.107</v>
      </c>
      <c r="I238" s="24" t="n">
        <f aca="false">SUMIFS(Pipeline!$L$5:$L$74,Pipeline!$C$5:$C$74,"neo",Pipeline!$Q$5:$Q$74,1,Pipeline!$P$5:$P$74,2028)</f>
        <v>1.903</v>
      </c>
      <c r="J238" s="24" t="n">
        <f aca="false">SUMIFS(Pipeline!$L$5:$L$74,Pipeline!$C$5:$C$74,"neo",Pipeline!$Q$5:$Q$74,1,Pipeline!$P$5:$P$74,2029)</f>
        <v>0</v>
      </c>
      <c r="K238" s="24" t="n">
        <f aca="false">SUMIFS(Pipeline!$L$5:$L$74,Pipeline!$C$5:$C$74,"neo",Pipeline!$Q$5:$Q$74,1,Pipeline!$P$5:$P$74,2030)</f>
        <v>0</v>
      </c>
      <c r="L238" s="24" t="n">
        <f aca="false">SUMIFS(Pipeline!$L$5:$L$74,Pipeline!$C$5:$C$74,"neo",Pipeline!$Q$5:$Q$74,1,Pipeline!$P$5:$P$74,2031)</f>
        <v>0</v>
      </c>
      <c r="M238" s="24" t="n">
        <f aca="false">SUMIFS(Pipeline!$L$5:$L$74,Pipeline!$C$5:$C$74,"neo",Pipeline!$Q$5:$Q$74,1,Pipeline!$P$5:$P$74,2032)</f>
        <v>0</v>
      </c>
    </row>
    <row r="239" customFormat="false" ht="17.15" hidden="false" customHeight="false" outlineLevel="0" collapsed="false">
      <c r="A239" s="5" t="s">
        <v>1014</v>
      </c>
      <c r="B239" s="0" t="s">
        <v>1233</v>
      </c>
      <c r="C239" s="0" t="s">
        <v>78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2.407</v>
      </c>
      <c r="I239" s="25" t="n">
        <f aca="false">IF(I233&lt;&gt;"",I233,IF(AND(I234&lt;&gt;"",I236&lt;&gt;""),I234+(I236-I234)*(2028-I235)/(I237-I235),IF(H239&lt;&gt;"",H239+I238,"")))</f>
        <v>4.31</v>
      </c>
      <c r="J239" s="25" t="n">
        <f aca="false">IF(J233&lt;&gt;"",J233,IF(AND(J234&lt;&gt;"",J236&lt;&gt;""),J234+(J236-J234)*(2029-J235)/(J237-J235),IF(I239&lt;&gt;"",I239+J238,"")))</f>
        <v>4.31</v>
      </c>
      <c r="K239" s="25" t="n">
        <f aca="false">IF(K233&lt;&gt;"",K233,IF(AND(K234&lt;&gt;"",K236&lt;&gt;""),K234+(K236-K234)*(2030-K235)/(K237-K235),IF(J239&lt;&gt;"",J239+K238,"")))</f>
        <v>4.31</v>
      </c>
      <c r="L239" s="25" t="n">
        <f aca="false">IF(L233&lt;&gt;"",L233,IF(AND(L234&lt;&gt;"",L236&lt;&gt;""),L234+(L236-L234)*(2031-L235)/(L237-L235),IF(K239&lt;&gt;"",K239+L238,"")))</f>
        <v>4.31</v>
      </c>
      <c r="M239" s="25" t="n">
        <f aca="false">IF(M233&lt;&gt;"",M233,IF(AND(M234&lt;&gt;"",M236&lt;&gt;""),M234+(M236-M234)*(2032-M235)/(M237-M235),IF(L239&lt;&gt;"",L239+M238,"")))</f>
        <v>4.31</v>
      </c>
    </row>
    <row r="240" customFormat="false" ht="15" hidden="false" customHeight="false" outlineLevel="0" collapsed="false">
      <c r="A240" s="5" t="s">
        <v>1016</v>
      </c>
      <c r="B240" s="0" t="s">
        <v>1234</v>
      </c>
      <c r="C240" s="0" t="s">
        <v>36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1018</v>
      </c>
      <c r="B241" s="0" t="s">
        <v>1235</v>
      </c>
      <c r="C241" s="0" t="s">
        <v>78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2.407</v>
      </c>
      <c r="I241" s="24" t="n">
        <f aca="false">IF(I239="","",I239)</f>
        <v>4.31</v>
      </c>
      <c r="J241" s="24" t="n">
        <f aca="false">IF(J239="","",J239)</f>
        <v>4.31</v>
      </c>
      <c r="K241" s="24" t="n">
        <f aca="false">IF(K239="","",K239)</f>
        <v>4.31</v>
      </c>
      <c r="L241" s="24" t="n">
        <f aca="false">IF(L239="","",L239)</f>
        <v>4.31</v>
      </c>
      <c r="M241" s="24" t="n">
        <f aca="false">IF(M239="","",M239)</f>
        <v>4.31</v>
      </c>
    </row>
    <row r="242" customFormat="false" ht="17.15" hidden="false" customHeight="false" outlineLevel="0" collapsed="false">
      <c r="A242" s="5" t="s">
        <v>1020</v>
      </c>
      <c r="B242" s="0" t="s">
        <v>1236</v>
      </c>
      <c r="C242" s="0" t="s">
        <v>78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2.407</v>
      </c>
      <c r="I242" s="24" t="n">
        <f aca="false">IF(I239="","",I239)</f>
        <v>4.31</v>
      </c>
      <c r="J242" s="24" t="n">
        <f aca="false">IF(J239="","",J239)</f>
        <v>4.31</v>
      </c>
      <c r="K242" s="24" t="n">
        <f aca="false">IF(K239="","",K239)</f>
        <v>4.31</v>
      </c>
      <c r="L242" s="24" t="n">
        <f aca="false">IF(L239="","",L239)</f>
        <v>4.31</v>
      </c>
      <c r="M242" s="24" t="n">
        <f aca="false">IF(M239="","",M239)</f>
        <v>4.31</v>
      </c>
    </row>
    <row r="243" customFormat="false" ht="17.15" hidden="false" customHeight="false" outlineLevel="0" collapsed="false">
      <c r="A243" s="5" t="s">
        <v>1022</v>
      </c>
      <c r="B243" s="0" t="s">
        <v>1237</v>
      </c>
      <c r="C243" s="0" t="s">
        <v>78</v>
      </c>
      <c r="D243" s="24" t="str">
        <f aca="false">IF(D239="","",IF(In!$C$119="未說明",D239/D$13,D239))</f>
        <v/>
      </c>
      <c r="E243" s="24" t="n">
        <f aca="false">IF(E239="","",IF(In!$C$119="未說明",E239/E$13,E239))</f>
        <v>0.2</v>
      </c>
      <c r="F243" s="24" t="n">
        <f aca="false">IF(F239="","",IF(In!$C$119="未說明",F239/F$13,F239))</f>
        <v>0.5</v>
      </c>
      <c r="G243" s="24" t="n">
        <f aca="false">IF(G239="","",IF(In!$C$119="未說明",G239/G$13,G239))</f>
        <v>1.3</v>
      </c>
      <c r="H243" s="24" t="n">
        <f aca="false">IF(H239="","",IF(In!$C$119="未說明",H239/H$13,H239))</f>
        <v>2.407</v>
      </c>
      <c r="I243" s="24" t="n">
        <f aca="false">IF(I239="","",IF(In!$C$119="未說明",I239/I$13,I239))</f>
        <v>4.31</v>
      </c>
      <c r="J243" s="24" t="n">
        <f aca="false">IF(J239="","",IF(In!$C$119="未說明",J239/J$13,J239))</f>
        <v>4.31</v>
      </c>
      <c r="K243" s="24" t="n">
        <f aca="false">IF(K239="","",IF(In!$C$119="未說明",K239/K$13,K239))</f>
        <v>4.31</v>
      </c>
      <c r="L243" s="24" t="n">
        <f aca="false">IF(L239="","",IF(In!$C$119="未說明",L239/L$13,L239))</f>
        <v>4.31</v>
      </c>
      <c r="M243" s="24" t="n">
        <f aca="false">IF(M239="","",IF(In!$C$119="未說明",M239/M$13,M239))</f>
        <v>4.31</v>
      </c>
    </row>
    <row r="244" customFormat="false" ht="17.15" hidden="false" customHeight="false" outlineLevel="0" collapsed="false">
      <c r="A244" s="5" t="s">
        <v>1024</v>
      </c>
      <c r="B244" s="0" t="s">
        <v>1238</v>
      </c>
      <c r="C244" s="0" t="s">
        <v>78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1.8535</v>
      </c>
      <c r="I244" s="24" t="n">
        <f aca="false">IF(AND(H239&lt;&gt;"",I239&lt;&gt;""),(H239+I239)/2,"")</f>
        <v>3.3585</v>
      </c>
      <c r="J244" s="24" t="n">
        <f aca="false">IF(AND(I239&lt;&gt;"",J239&lt;&gt;""),(I239+J239)/2,"")</f>
        <v>4.31</v>
      </c>
      <c r="K244" s="24" t="n">
        <f aca="false">IF(AND(J239&lt;&gt;"",K239&lt;&gt;""),(J239+K239)/2,"")</f>
        <v>4.31</v>
      </c>
      <c r="L244" s="24" t="n">
        <f aca="false">IF(AND(K239&lt;&gt;"",L239&lt;&gt;""),(K239+L239)/2,"")</f>
        <v>4.31</v>
      </c>
      <c r="M244" s="24" t="n">
        <f aca="false">IF(AND(L239&lt;&gt;"",M239&lt;&gt;""),(L239+M239)/2,"")</f>
        <v>4.31</v>
      </c>
    </row>
    <row r="245" customFormat="false" ht="17.15" hidden="false" customHeight="false" outlineLevel="0" collapsed="false">
      <c r="A245" s="5" t="s">
        <v>1026</v>
      </c>
      <c r="B245" s="0" t="s">
        <v>1239</v>
      </c>
      <c r="C245" s="0" t="s">
        <v>78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1.107</v>
      </c>
      <c r="I245" s="24" t="n">
        <f aca="false">IF(AND(H239&lt;&gt;"",I239&lt;&gt;""),I239-H239,0)</f>
        <v>1.903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1028</v>
      </c>
      <c r="B246" s="0" t="s">
        <v>1240</v>
      </c>
      <c r="C246" s="0" t="s">
        <v>78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1030</v>
      </c>
      <c r="B247" s="0" t="s">
        <v>1241</v>
      </c>
      <c r="C247" s="0" t="s">
        <v>53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1242</v>
      </c>
      <c r="B249" s="20" t="s">
        <v>645</v>
      </c>
      <c r="N249" s="20" t="s">
        <v>1243</v>
      </c>
    </row>
    <row r="250" customFormat="false" ht="17.15" hidden="false" customHeight="false" outlineLevel="0" collapsed="false">
      <c r="A250" s="5" t="s">
        <v>998</v>
      </c>
      <c r="B250" s="0" t="s">
        <v>1244</v>
      </c>
      <c r="C250" s="0" t="s">
        <v>78</v>
      </c>
      <c r="D250" s="24" t="str">
        <f aca="false">IF(In!$H$120="","",IF(In!$C$120="設施",In!$H$120/1000/D$13,In!$H$120/1000))</f>
        <v/>
      </c>
      <c r="E250" s="24" t="str">
        <f aca="false">IF(In!$I$120="","",IF(In!$C$120="設施",In!$I$120/1000/E$13,In!$I$120/1000))</f>
        <v/>
      </c>
      <c r="F250" s="24" t="n">
        <f aca="false">IF(In!$J$120="","",IF(In!$C$120="設施",In!$J$120/1000/F$13,In!$J$120/1000))</f>
        <v>0</v>
      </c>
      <c r="G250" s="24" t="str">
        <f aca="false">IF(In!$K$120="","",IF(In!$C$120="設施",In!$K$120/1000/G$13,In!$K$120/1000))</f>
        <v/>
      </c>
      <c r="H250" s="24" t="str">
        <f aca="false">IF(In!$L$120="","",IF(In!$C$120="設施",In!$L$120/1000/H$13,In!$L$120/1000))</f>
        <v/>
      </c>
      <c r="I250" s="24" t="str">
        <f aca="false">IF(In!$M$120="","",IF(In!$C$120="設施",In!$M$120/1000/I$13,In!$M$120/1000))</f>
        <v/>
      </c>
      <c r="J250" s="24" t="str">
        <f aca="false">IF(In!$N$120="","",IF(In!$C$120="設施",In!$N$120/1000/J$13,In!$N$120/1000))</f>
        <v/>
      </c>
      <c r="K250" s="24" t="str">
        <f aca="false">IF(In!$O$120="","",IF(In!$C$120="設施",In!$O$120/1000/K$13,In!$O$120/1000))</f>
        <v/>
      </c>
      <c r="L250" s="24" t="str">
        <f aca="false">IF(In!$P$120="","",IF(In!$C$120="設施",In!$P$120/1000/L$13,In!$P$120/1000))</f>
        <v/>
      </c>
      <c r="M250" s="24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1000</v>
      </c>
      <c r="B251" s="0" t="s">
        <v>1245</v>
      </c>
      <c r="C251" s="0" t="s">
        <v>78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1002</v>
      </c>
      <c r="B252" s="0" t="s">
        <v>1246</v>
      </c>
      <c r="C252" s="0" t="s">
        <v>78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1004</v>
      </c>
      <c r="B253" s="0" t="s">
        <v>1247</v>
      </c>
      <c r="C253" s="0" t="s">
        <v>78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1006</v>
      </c>
      <c r="B254" s="0" t="s">
        <v>1248</v>
      </c>
      <c r="C254" s="5" t="s">
        <v>48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1008</v>
      </c>
      <c r="B255" s="0" t="s">
        <v>1249</v>
      </c>
      <c r="C255" s="0" t="s">
        <v>78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1010</v>
      </c>
      <c r="B256" s="0" t="s">
        <v>1250</v>
      </c>
      <c r="C256" s="5" t="s">
        <v>48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1012</v>
      </c>
      <c r="B257" s="0" t="s">
        <v>1251</v>
      </c>
      <c r="C257" s="0" t="s">
        <v>78</v>
      </c>
      <c r="D257" s="24" t="n">
        <f aca="false">SUMIFS(Pipeline!$L$5:$L$74,Pipeline!$C$5:$C$74,"sov",Pipeline!$Q$5:$Q$74,1,Pipeline!$P$5:$P$74,2023)</f>
        <v>0</v>
      </c>
      <c r="E257" s="24" t="n">
        <f aca="false">SUMIFS(Pipeline!$L$5:$L$74,Pipeline!$C$5:$C$74,"sov",Pipeline!$Q$5:$Q$74,1,Pipeline!$P$5:$P$74,2024)</f>
        <v>0</v>
      </c>
      <c r="F257" s="24" t="n">
        <f aca="false">SUMIFS(Pipeline!$L$5:$L$74,Pipeline!$C$5:$C$74,"sov",Pipeline!$Q$5:$Q$74,1,Pipeline!$P$5:$P$74,2025)</f>
        <v>0</v>
      </c>
      <c r="G257" s="24" t="n">
        <f aca="false">SUMIFS(Pipeline!$L$5:$L$74,Pipeline!$C$5:$C$74,"sov",Pipeline!$Q$5:$Q$74,1,Pipeline!$P$5:$P$74,2026)</f>
        <v>0.4</v>
      </c>
      <c r="H257" s="24" t="n">
        <f aca="false">SUMIFS(Pipeline!$L$5:$L$74,Pipeline!$C$5:$C$74,"sov",Pipeline!$Q$5:$Q$74,1,Pipeline!$P$5:$P$74,2027)</f>
        <v>1.5</v>
      </c>
      <c r="I257" s="24" t="n">
        <f aca="false">SUMIFS(Pipeline!$L$5:$L$74,Pipeline!$C$5:$C$74,"sov",Pipeline!$Q$5:$Q$74,1,Pipeline!$P$5:$P$74,2028)</f>
        <v>0.096</v>
      </c>
      <c r="J257" s="24" t="n">
        <f aca="false">SUMIFS(Pipeline!$L$5:$L$74,Pipeline!$C$5:$C$74,"sov",Pipeline!$Q$5:$Q$74,1,Pipeline!$P$5:$P$74,2029)</f>
        <v>0</v>
      </c>
      <c r="K257" s="24" t="n">
        <f aca="false">SUMIFS(Pipeline!$L$5:$L$74,Pipeline!$C$5:$C$74,"sov",Pipeline!$Q$5:$Q$74,1,Pipeline!$P$5:$P$74,2030)</f>
        <v>0.2</v>
      </c>
      <c r="L257" s="24" t="n">
        <f aca="false">SUMIFS(Pipeline!$L$5:$L$74,Pipeline!$C$5:$C$74,"sov",Pipeline!$Q$5:$Q$74,1,Pipeline!$P$5:$P$74,2031)</f>
        <v>0</v>
      </c>
      <c r="M257" s="24" t="n">
        <f aca="false">SUMIFS(Pipeline!$L$5:$L$74,Pipeline!$C$5:$C$74,"sov",Pipeline!$Q$5:$Q$74,1,Pipeline!$P$5:$P$74,2032)</f>
        <v>0</v>
      </c>
    </row>
    <row r="258" customFormat="false" ht="17.15" hidden="false" customHeight="false" outlineLevel="0" collapsed="false">
      <c r="A258" s="5" t="s">
        <v>1014</v>
      </c>
      <c r="B258" s="0" t="s">
        <v>1252</v>
      </c>
      <c r="C258" s="0" t="s">
        <v>78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0.4</v>
      </c>
      <c r="H258" s="25" t="n">
        <f aca="false">IF(H252&lt;&gt;"",H252,IF(AND(H253&lt;&gt;"",H255&lt;&gt;""),H253+(H255-H253)*(2027-H254)/(H256-H254),IF(G258&lt;&gt;"",G258+H257,"")))</f>
        <v>1.9</v>
      </c>
      <c r="I258" s="25" t="n">
        <f aca="false">IF(I252&lt;&gt;"",I252,IF(AND(I253&lt;&gt;"",I255&lt;&gt;""),I253+(I255-I253)*(2028-I254)/(I256-I254),IF(H258&lt;&gt;"",H258+I257,"")))</f>
        <v>1.996</v>
      </c>
      <c r="J258" s="25" t="n">
        <f aca="false">IF(J252&lt;&gt;"",J252,IF(AND(J253&lt;&gt;"",J255&lt;&gt;""),J253+(J255-J253)*(2029-J254)/(J256-J254),IF(I258&lt;&gt;"",I258+J257,"")))</f>
        <v>1.996</v>
      </c>
      <c r="K258" s="25" t="n">
        <f aca="false">IF(K252&lt;&gt;"",K252,IF(AND(K253&lt;&gt;"",K255&lt;&gt;""),K253+(K255-K253)*(2030-K254)/(K256-K254),IF(J258&lt;&gt;"",J258+K257,"")))</f>
        <v>2.196</v>
      </c>
      <c r="L258" s="25" t="n">
        <f aca="false">IF(L252&lt;&gt;"",L252,IF(AND(L253&lt;&gt;"",L255&lt;&gt;""),L253+(L255-L253)*(2031-L254)/(L256-L254),IF(K258&lt;&gt;"",K258+L257,"")))</f>
        <v>2.196</v>
      </c>
      <c r="M258" s="25" t="n">
        <f aca="false">IF(M252&lt;&gt;"",M252,IF(AND(M253&lt;&gt;"",M255&lt;&gt;""),M253+(M255-M253)*(2032-M254)/(M256-M254),IF(L258&lt;&gt;"",L258+M257,"")))</f>
        <v>2.196</v>
      </c>
    </row>
    <row r="259" customFormat="false" ht="15" hidden="false" customHeight="false" outlineLevel="0" collapsed="false">
      <c r="A259" s="5" t="s">
        <v>1016</v>
      </c>
      <c r="B259" s="0" t="s">
        <v>1253</v>
      </c>
      <c r="C259" s="0" t="s">
        <v>36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1018</v>
      </c>
      <c r="B260" s="0" t="s">
        <v>1254</v>
      </c>
      <c r="C260" s="0" t="s">
        <v>78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0.4</v>
      </c>
      <c r="H260" s="24" t="n">
        <f aca="false">IF(H258="","",H258)</f>
        <v>1.9</v>
      </c>
      <c r="I260" s="24" t="n">
        <f aca="false">IF(I258="","",I258)</f>
        <v>1.996</v>
      </c>
      <c r="J260" s="24" t="n">
        <f aca="false">IF(J258="","",J258)</f>
        <v>1.996</v>
      </c>
      <c r="K260" s="24" t="n">
        <f aca="false">IF(K258="","",K258)</f>
        <v>2.196</v>
      </c>
      <c r="L260" s="24" t="n">
        <f aca="false">IF(L258="","",L258)</f>
        <v>2.196</v>
      </c>
      <c r="M260" s="24" t="n">
        <f aca="false">IF(M258="","",M258)</f>
        <v>2.196</v>
      </c>
    </row>
    <row r="261" customFormat="false" ht="17.15" hidden="false" customHeight="false" outlineLevel="0" collapsed="false">
      <c r="A261" s="5" t="s">
        <v>1020</v>
      </c>
      <c r="B261" s="0" t="s">
        <v>1255</v>
      </c>
      <c r="C261" s="0" t="s">
        <v>78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0.4</v>
      </c>
      <c r="H261" s="24" t="n">
        <f aca="false">IF(H258="","",H258)</f>
        <v>1.9</v>
      </c>
      <c r="I261" s="24" t="n">
        <f aca="false">IF(I258="","",I258)</f>
        <v>1.996</v>
      </c>
      <c r="J261" s="24" t="n">
        <f aca="false">IF(J258="","",J258)</f>
        <v>1.996</v>
      </c>
      <c r="K261" s="24" t="n">
        <f aca="false">IF(K258="","",K258)</f>
        <v>2.196</v>
      </c>
      <c r="L261" s="24" t="n">
        <f aca="false">IF(L258="","",L258)</f>
        <v>2.196</v>
      </c>
      <c r="M261" s="24" t="n">
        <f aca="false">IF(M258="","",M258)</f>
        <v>2.196</v>
      </c>
    </row>
    <row r="262" customFormat="false" ht="17.15" hidden="false" customHeight="false" outlineLevel="0" collapsed="false">
      <c r="A262" s="5" t="s">
        <v>1022</v>
      </c>
      <c r="B262" s="0" t="s">
        <v>1256</v>
      </c>
      <c r="C262" s="0" t="s">
        <v>78</v>
      </c>
      <c r="D262" s="24" t="str">
        <f aca="false">IF(D258="","",IF(In!$C$120="未說明",D258/D$13,D258))</f>
        <v/>
      </c>
      <c r="E262" s="24" t="str">
        <f aca="false">IF(E258="","",IF(In!$C$120="未說明",E258/E$13,E258))</f>
        <v/>
      </c>
      <c r="F262" s="24" t="n">
        <f aca="false">IF(F258="","",IF(In!$C$120="未說明",F258/F$13,F258))</f>
        <v>0</v>
      </c>
      <c r="G262" s="24" t="n">
        <f aca="false">IF(G258="","",IF(In!$C$120="未說明",G258/G$13,G258))</f>
        <v>0.333333333333333</v>
      </c>
      <c r="H262" s="24" t="n">
        <f aca="false">IF(H258="","",IF(In!$C$120="未說明",H258/H$13,H258))</f>
        <v>1.58333333333333</v>
      </c>
      <c r="I262" s="24" t="n">
        <f aca="false">IF(I258="","",IF(In!$C$120="未說明",I258/I$13,I258))</f>
        <v>1.66333333333333</v>
      </c>
      <c r="J262" s="24" t="n">
        <f aca="false">IF(J258="","",IF(In!$C$120="未說明",J258/J$13,J258))</f>
        <v>1.66333333333333</v>
      </c>
      <c r="K262" s="24" t="n">
        <f aca="false">IF(K258="","",IF(In!$C$120="未說明",K258/K$13,K258))</f>
        <v>1.83</v>
      </c>
      <c r="L262" s="24" t="n">
        <f aca="false">IF(L258="","",IF(In!$C$120="未說明",L258/L$13,L258))</f>
        <v>1.83</v>
      </c>
      <c r="M262" s="24" t="n">
        <f aca="false">IF(M258="","",IF(In!$C$120="未說明",M258/M$13,M258))</f>
        <v>1.83</v>
      </c>
    </row>
    <row r="263" customFormat="false" ht="17.15" hidden="false" customHeight="false" outlineLevel="0" collapsed="false">
      <c r="A263" s="5" t="s">
        <v>1024</v>
      </c>
      <c r="B263" s="0" t="s">
        <v>1257</v>
      </c>
      <c r="C263" s="0" t="s">
        <v>78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0.2</v>
      </c>
      <c r="H263" s="24" t="n">
        <f aca="false">IF(AND(G258&lt;&gt;"",H258&lt;&gt;""),(G258+H258)/2,"")</f>
        <v>1.15</v>
      </c>
      <c r="I263" s="24" t="n">
        <f aca="false">IF(AND(H258&lt;&gt;"",I258&lt;&gt;""),(H258+I258)/2,"")</f>
        <v>1.948</v>
      </c>
      <c r="J263" s="24" t="n">
        <f aca="false">IF(AND(I258&lt;&gt;"",J258&lt;&gt;""),(I258+J258)/2,"")</f>
        <v>1.996</v>
      </c>
      <c r="K263" s="24" t="n">
        <f aca="false">IF(AND(J258&lt;&gt;"",K258&lt;&gt;""),(J258+K258)/2,"")</f>
        <v>2.096</v>
      </c>
      <c r="L263" s="24" t="n">
        <f aca="false">IF(AND(K258&lt;&gt;"",L258&lt;&gt;""),(K258+L258)/2,"")</f>
        <v>2.196</v>
      </c>
      <c r="M263" s="24" t="n">
        <f aca="false">IF(AND(L258&lt;&gt;"",M258&lt;&gt;""),(L258+M258)/2,"")</f>
        <v>2.196</v>
      </c>
    </row>
    <row r="264" customFormat="false" ht="17.15" hidden="false" customHeight="false" outlineLevel="0" collapsed="false">
      <c r="A264" s="5" t="s">
        <v>1026</v>
      </c>
      <c r="B264" s="0" t="s">
        <v>1258</v>
      </c>
      <c r="C264" s="0" t="s">
        <v>78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0.4</v>
      </c>
      <c r="H264" s="24" t="n">
        <f aca="false">IF(AND(G258&lt;&gt;"",H258&lt;&gt;""),H258-G258,0)</f>
        <v>1.5</v>
      </c>
      <c r="I264" s="24" t="n">
        <f aca="false">IF(AND(H258&lt;&gt;"",I258&lt;&gt;""),I258-H258,0)</f>
        <v>0.0960000000000001</v>
      </c>
      <c r="J264" s="24" t="n">
        <f aca="false">IF(AND(I258&lt;&gt;"",J258&lt;&gt;""),J258-I258,0)</f>
        <v>0</v>
      </c>
      <c r="K264" s="24" t="n">
        <f aca="false">IF(AND(J258&lt;&gt;"",K258&lt;&gt;""),K258-J258,0)</f>
        <v>0.2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1028</v>
      </c>
      <c r="B265" s="0" t="s">
        <v>1259</v>
      </c>
      <c r="C265" s="0" t="s">
        <v>78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1030</v>
      </c>
      <c r="B266" s="0" t="s">
        <v>1260</v>
      </c>
      <c r="C266" s="0" t="s">
        <v>53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1261</v>
      </c>
      <c r="B268" s="20" t="s">
        <v>553</v>
      </c>
      <c r="N268" s="20" t="s">
        <v>1262</v>
      </c>
    </row>
    <row r="269" customFormat="false" ht="17.15" hidden="false" customHeight="false" outlineLevel="0" collapsed="false">
      <c r="A269" s="5" t="s">
        <v>998</v>
      </c>
      <c r="B269" s="0" t="s">
        <v>1263</v>
      </c>
      <c r="C269" s="0" t="s">
        <v>78</v>
      </c>
      <c r="D269" s="24" t="str">
        <f aca="false">IF(In!$H$121="","",IF(In!$C$121="設施",In!$H$121/1000/D$13,In!$H$121/1000))</f>
        <v/>
      </c>
      <c r="E269" s="24" t="str">
        <f aca="false">IF(In!$I$121="","",IF(In!$C$121="設施",In!$I$121/1000/E$13,In!$I$121/1000))</f>
        <v/>
      </c>
      <c r="F269" s="24" t="n">
        <f aca="false">IF(In!$J$121="","",IF(In!$C$121="設施",In!$J$121/1000/F$13,In!$J$121/1000))</f>
        <v>8.33333333333333</v>
      </c>
      <c r="G269" s="24" t="n">
        <f aca="false">IF(In!$K$121="","",IF(In!$C$121="設施",In!$K$121/1000/G$13,In!$K$121/1000))</f>
        <v>11.6666666666667</v>
      </c>
      <c r="H269" s="24" t="str">
        <f aca="false">IF(In!$L$121="","",IF(In!$C$121="設施",In!$L$121/1000/H$13,In!$L$121/1000))</f>
        <v/>
      </c>
      <c r="I269" s="24" t="str">
        <f aca="false">IF(In!$M$121="","",IF(In!$C$121="設施",In!$M$121/1000/I$13,In!$M$121/1000))</f>
        <v/>
      </c>
      <c r="J269" s="24" t="str">
        <f aca="false">IF(In!$N$121="","",IF(In!$C$121="設施",In!$N$121/1000/J$13,In!$N$121/1000))</f>
        <v/>
      </c>
      <c r="K269" s="24" t="str">
        <f aca="false">IF(In!$O$121="","",IF(In!$C$121="設施",In!$O$121/1000/K$13,In!$O$121/1000))</f>
        <v/>
      </c>
      <c r="L269" s="24" t="str">
        <f aca="false">IF(In!$P$121="","",IF(In!$C$121="設施",In!$P$121/1000/L$13,In!$P$121/1000))</f>
        <v/>
      </c>
      <c r="M269" s="24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1000</v>
      </c>
      <c r="B270" s="0" t="s">
        <v>1264</v>
      </c>
      <c r="C270" s="0" t="s">
        <v>78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1002</v>
      </c>
      <c r="B271" s="0" t="s">
        <v>1265</v>
      </c>
      <c r="C271" s="0" t="s">
        <v>78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1004</v>
      </c>
      <c r="B272" s="0" t="s">
        <v>1266</v>
      </c>
      <c r="C272" s="0" t="s">
        <v>78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1006</v>
      </c>
      <c r="B273" s="0" t="s">
        <v>1267</v>
      </c>
      <c r="C273" s="5" t="s">
        <v>48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1008</v>
      </c>
      <c r="B274" s="0" t="s">
        <v>1268</v>
      </c>
      <c r="C274" s="0" t="s">
        <v>78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1010</v>
      </c>
      <c r="B275" s="0" t="s">
        <v>1269</v>
      </c>
      <c r="C275" s="5" t="s">
        <v>48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1012</v>
      </c>
      <c r="B276" s="0" t="s">
        <v>1270</v>
      </c>
      <c r="C276" s="0" t="s">
        <v>78</v>
      </c>
      <c r="D276" s="24" t="n">
        <f aca="false">SUMIFS(Pipeline!$L$5:$L$74,Pipeline!$C$5:$C$74,"cn",Pipeline!$Q$5:$Q$74,1,Pipeline!$P$5:$P$74,2023)</f>
        <v>0</v>
      </c>
      <c r="E276" s="24" t="n">
        <f aca="false">SUMIFS(Pipeline!$L$5:$L$74,Pipeline!$C$5:$C$74,"cn",Pipeline!$Q$5:$Q$74,1,Pipeline!$P$5:$P$74,2024)</f>
        <v>0</v>
      </c>
      <c r="F276" s="24" t="n">
        <f aca="false">SUMIFS(Pipeline!$L$5:$L$74,Pipeline!$C$5:$C$74,"cn",Pipeline!$Q$5:$Q$74,1,Pipeline!$P$5:$P$74,2025)</f>
        <v>0</v>
      </c>
      <c r="G276" s="24" t="n">
        <f aca="false">SUMIFS(Pipeline!$L$5:$L$74,Pipeline!$C$5:$C$74,"cn",Pipeline!$Q$5:$Q$74,1,Pipeline!$P$5:$P$74,2026)</f>
        <v>0</v>
      </c>
      <c r="H276" s="24" t="n">
        <f aca="false">SUMIFS(Pipeline!$L$5:$L$74,Pipeline!$C$5:$C$74,"cn",Pipeline!$Q$5:$Q$74,1,Pipeline!$P$5:$P$74,2027)</f>
        <v>0</v>
      </c>
      <c r="I276" s="24" t="n">
        <f aca="false">SUMIFS(Pipeline!$L$5:$L$74,Pipeline!$C$5:$C$74,"cn",Pipeline!$Q$5:$Q$74,1,Pipeline!$P$5:$P$74,2028)</f>
        <v>0</v>
      </c>
      <c r="J276" s="24" t="n">
        <f aca="false">SUMIFS(Pipeline!$L$5:$L$74,Pipeline!$C$5:$C$74,"cn",Pipeline!$Q$5:$Q$74,1,Pipeline!$P$5:$P$74,2029)</f>
        <v>0</v>
      </c>
      <c r="K276" s="24" t="n">
        <f aca="false">SUMIFS(Pipeline!$L$5:$L$74,Pipeline!$C$5:$C$74,"cn",Pipeline!$Q$5:$Q$74,1,Pipeline!$P$5:$P$74,2030)</f>
        <v>0</v>
      </c>
      <c r="L276" s="24" t="n">
        <f aca="false">SUMIFS(Pipeline!$L$5:$L$74,Pipeline!$C$5:$C$74,"cn",Pipeline!$Q$5:$Q$74,1,Pipeline!$P$5:$P$74,2031)</f>
        <v>0</v>
      </c>
      <c r="M276" s="24" t="n">
        <f aca="false">SUMIFS(Pipeline!$L$5:$L$74,Pipeline!$C$5:$C$74,"cn",Pipeline!$Q$5:$Q$74,1,Pipeline!$P$5:$P$74,2032)</f>
        <v>0</v>
      </c>
    </row>
    <row r="277" customFormat="false" ht="17.15" hidden="false" customHeight="false" outlineLevel="0" collapsed="false">
      <c r="A277" s="5" t="s">
        <v>1014</v>
      </c>
      <c r="B277" s="0" t="s">
        <v>1271</v>
      </c>
      <c r="C277" s="0" t="s">
        <v>78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1016</v>
      </c>
      <c r="B278" s="0" t="s">
        <v>1272</v>
      </c>
      <c r="C278" s="0" t="s">
        <v>36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1018</v>
      </c>
      <c r="B279" s="0" t="s">
        <v>1273</v>
      </c>
      <c r="C279" s="0" t="s">
        <v>78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1020</v>
      </c>
      <c r="B280" s="0" t="s">
        <v>1274</v>
      </c>
      <c r="C280" s="0" t="s">
        <v>78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1022</v>
      </c>
      <c r="B281" s="0" t="s">
        <v>1275</v>
      </c>
      <c r="C281" s="0" t="s">
        <v>78</v>
      </c>
      <c r="D281" s="24" t="str">
        <f aca="false">IF(D277="","",IF(In!$C$121="未說明",D277/D$13,D277))</f>
        <v/>
      </c>
      <c r="E281" s="24" t="str">
        <f aca="false">IF(E277="","",IF(In!$C$121="未說明",E277/E$13,E277))</f>
        <v/>
      </c>
      <c r="F281" s="24" t="n">
        <f aca="false">IF(F277="","",IF(In!$C$121="未說明",F277/F$13,F277))</f>
        <v>8.33333333333333</v>
      </c>
      <c r="G281" s="24" t="n">
        <f aca="false">IF(G277="","",IF(In!$C$121="未說明",G277/G$13,G277))</f>
        <v>11.6666666666667</v>
      </c>
      <c r="H281" s="24" t="n">
        <f aca="false">IF(H277="","",IF(In!$C$121="未說明",H277/H$13,H277))</f>
        <v>13.6561711245072</v>
      </c>
      <c r="I281" s="24" t="n">
        <f aca="false">IF(I277="","",IF(In!$C$121="未說明",I277/I$13,I277))</f>
        <v>15.9373851854162</v>
      </c>
      <c r="J281" s="24" t="n">
        <f aca="false">IF(J277="","",IF(In!$C$121="未說明",J277/J$13,J277))</f>
        <v>18.5499065164136</v>
      </c>
      <c r="K281" s="24" t="n">
        <f aca="false">IF(K277="","",IF(In!$C$121="未說明",K277/K$13,K277))</f>
        <v>21.5384615384615</v>
      </c>
      <c r="L281" s="24" t="n">
        <f aca="false">IF(L277="","",IF(In!$C$121="未說明",L277/L$13,L277))</f>
        <v>23.6923076923077</v>
      </c>
      <c r="M281" s="24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1024</v>
      </c>
      <c r="B282" s="0" t="s">
        <v>1276</v>
      </c>
      <c r="C282" s="0" t="s">
        <v>78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1026</v>
      </c>
      <c r="B283" s="0" t="s">
        <v>1277</v>
      </c>
      <c r="C283" s="0" t="s">
        <v>78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1028</v>
      </c>
      <c r="B284" s="0" t="s">
        <v>1278</v>
      </c>
      <c r="C284" s="0" t="s">
        <v>78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1030</v>
      </c>
      <c r="B285" s="0" t="s">
        <v>1279</v>
      </c>
      <c r="C285" s="0" t="s">
        <v>53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1280</v>
      </c>
      <c r="B287" s="20" t="s">
        <v>738</v>
      </c>
      <c r="N287" s="20" t="s">
        <v>1281</v>
      </c>
    </row>
    <row r="288" customFormat="false" ht="17.15" hidden="false" customHeight="false" outlineLevel="0" collapsed="false">
      <c r="A288" s="5" t="s">
        <v>998</v>
      </c>
      <c r="B288" s="0" t="s">
        <v>1282</v>
      </c>
      <c r="C288" s="0" t="s">
        <v>78</v>
      </c>
      <c r="D288" s="24" t="str">
        <f aca="false">IF(In!$H$122="","",IF(In!$C$122="設施",In!$H$122/1000/D$13,In!$H$122/1000))</f>
        <v/>
      </c>
      <c r="E288" s="24" t="str">
        <f aca="false">IF(In!$I$122="","",IF(In!$C$122="設施",In!$I$122/1000/E$13,In!$I$122/1000))</f>
        <v/>
      </c>
      <c r="F288" s="24" t="n">
        <f aca="false">IF(In!$J$122&lt;&gt;"",In!$J$122/1000,IF(other_incl_china=1,oth_excn,oth_full)/1000)</f>
        <v>1</v>
      </c>
      <c r="G288" s="24" t="str">
        <f aca="false">IF(In!$K$122="","",IF(In!$C$122="設施",In!$K$122/1000/G$13,In!$K$122/1000))</f>
        <v/>
      </c>
      <c r="H288" s="24" t="str">
        <f aca="false">IF(In!$L$122="","",IF(In!$C$122="設施",In!$L$122/1000/H$13,In!$L$122/1000))</f>
        <v/>
      </c>
      <c r="I288" s="24" t="str">
        <f aca="false">IF(In!$M$122="","",IF(In!$C$122="設施",In!$M$122/1000/I$13,In!$M$122/1000))</f>
        <v/>
      </c>
      <c r="J288" s="24" t="str">
        <f aca="false">IF(In!$N$122="","",IF(In!$C$122="設施",In!$N$122/1000/J$13,In!$N$122/1000))</f>
        <v/>
      </c>
      <c r="K288" s="24" t="str">
        <f aca="false">IF(In!$O$122="","",IF(In!$C$122="設施",In!$O$122/1000/K$13,In!$O$122/1000))</f>
        <v/>
      </c>
      <c r="L288" s="24" t="str">
        <f aca="false">IF(In!$P$122="","",IF(In!$C$122="設施",In!$P$122/1000/L$13,In!$P$122/1000))</f>
        <v/>
      </c>
      <c r="M288" s="24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1000</v>
      </c>
      <c r="B289" s="0" t="s">
        <v>1283</v>
      </c>
      <c r="C289" s="0" t="s">
        <v>78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1002</v>
      </c>
      <c r="B290" s="0" t="s">
        <v>1284</v>
      </c>
      <c r="C290" s="0" t="s">
        <v>78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1004</v>
      </c>
      <c r="B291" s="0" t="s">
        <v>1285</v>
      </c>
      <c r="C291" s="0" t="s">
        <v>78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1006</v>
      </c>
      <c r="B292" s="0" t="s">
        <v>1286</v>
      </c>
      <c r="C292" s="5" t="s">
        <v>48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1008</v>
      </c>
      <c r="B293" s="0" t="s">
        <v>1287</v>
      </c>
      <c r="C293" s="0" t="s">
        <v>78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1010</v>
      </c>
      <c r="B294" s="0" t="s">
        <v>1288</v>
      </c>
      <c r="C294" s="5" t="s">
        <v>48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1012</v>
      </c>
      <c r="B295" s="0" t="s">
        <v>1289</v>
      </c>
      <c r="C295" s="0" t="s">
        <v>78</v>
      </c>
      <c r="D295" s="24" t="n">
        <f aca="false">SUMIFS(Pipeline!$L$5:$L$74,Pipeline!$C$5:$C$74,"oth",Pipeline!$Q$5:$Q$74,1,Pipeline!$P$5:$P$74,2023)</f>
        <v>0</v>
      </c>
      <c r="E295" s="24" t="n">
        <f aca="false">SUMIFS(Pipeline!$L$5:$L$74,Pipeline!$C$5:$C$74,"oth",Pipeline!$Q$5:$Q$74,1,Pipeline!$P$5:$P$74,2024)</f>
        <v>0</v>
      </c>
      <c r="F295" s="24" t="n">
        <f aca="false">SUMIFS(Pipeline!$L$5:$L$74,Pipeline!$C$5:$C$74,"oth",Pipeline!$Q$5:$Q$74,1,Pipeline!$P$5:$P$74,2025)</f>
        <v>0</v>
      </c>
      <c r="G295" s="24" t="n">
        <f aca="false">SUMIFS(Pipeline!$L$5:$L$74,Pipeline!$C$5:$C$74,"oth",Pipeline!$Q$5:$Q$74,1,Pipeline!$P$5:$P$74,2026)</f>
        <v>0</v>
      </c>
      <c r="H295" s="24" t="n">
        <f aca="false">SUMIFS(Pipeline!$L$5:$L$74,Pipeline!$C$5:$C$74,"oth",Pipeline!$Q$5:$Q$74,1,Pipeline!$P$5:$P$74,2027)</f>
        <v>0</v>
      </c>
      <c r="I295" s="24" t="n">
        <f aca="false">SUMIFS(Pipeline!$L$5:$L$74,Pipeline!$C$5:$C$74,"oth",Pipeline!$Q$5:$Q$74,1,Pipeline!$P$5:$P$74,2028)</f>
        <v>0</v>
      </c>
      <c r="J295" s="24" t="n">
        <f aca="false">SUMIFS(Pipeline!$L$5:$L$74,Pipeline!$C$5:$C$74,"oth",Pipeline!$Q$5:$Q$74,1,Pipeline!$P$5:$P$74,2029)</f>
        <v>0</v>
      </c>
      <c r="K295" s="24" t="n">
        <f aca="false">SUMIFS(Pipeline!$L$5:$L$74,Pipeline!$C$5:$C$74,"oth",Pipeline!$Q$5:$Q$74,1,Pipeline!$P$5:$P$74,2030)</f>
        <v>0</v>
      </c>
      <c r="L295" s="24" t="n">
        <f aca="false">SUMIFS(Pipeline!$L$5:$L$74,Pipeline!$C$5:$C$74,"oth",Pipeline!$Q$5:$Q$74,1,Pipeline!$P$5:$P$74,2031)</f>
        <v>0</v>
      </c>
      <c r="M295" s="24" t="n">
        <f aca="false">SUMIFS(Pipeline!$L$5:$L$74,Pipeline!$C$5:$C$74,"oth",Pipeline!$Q$5:$Q$74,1,Pipeline!$P$5:$P$74,2032)</f>
        <v>0</v>
      </c>
    </row>
    <row r="296" customFormat="false" ht="17.15" hidden="false" customHeight="false" outlineLevel="0" collapsed="false">
      <c r="A296" s="5" t="s">
        <v>1014</v>
      </c>
      <c r="B296" s="0" t="s">
        <v>1290</v>
      </c>
      <c r="C296" s="0" t="s">
        <v>78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1016</v>
      </c>
      <c r="B297" s="0" t="s">
        <v>1291</v>
      </c>
      <c r="C297" s="0" t="s">
        <v>36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1018</v>
      </c>
      <c r="B298" s="0" t="s">
        <v>1292</v>
      </c>
      <c r="C298" s="0" t="s">
        <v>78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1020</v>
      </c>
      <c r="B299" s="0" t="s">
        <v>1293</v>
      </c>
      <c r="C299" s="0" t="s">
        <v>78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1022</v>
      </c>
      <c r="B300" s="0" t="s">
        <v>1294</v>
      </c>
      <c r="C300" s="0" t="s">
        <v>78</v>
      </c>
      <c r="D300" s="24" t="str">
        <f aca="false">IF(D296="","",IF(In!$C$122="未說明",D296/D$13,D296))</f>
        <v/>
      </c>
      <c r="E300" s="24" t="str">
        <f aca="false">IF(E296="","",IF(In!$C$122="未說明",E296/E$13,E296))</f>
        <v/>
      </c>
      <c r="F300" s="24" t="n">
        <f aca="false">IF(F296="","",IF(In!$C$122="未說明",F296/F$13,F296))</f>
        <v>1</v>
      </c>
      <c r="G300" s="24" t="n">
        <f aca="false">IF(G296="","",IF(In!$C$122="未說明",G296/G$13,G296))</f>
        <v>1</v>
      </c>
      <c r="H300" s="24" t="n">
        <f aca="false">IF(H296="","",IF(In!$C$122="未說明",H296/H$13,H296))</f>
        <v>1</v>
      </c>
      <c r="I300" s="24" t="n">
        <f aca="false">IF(I296="","",IF(In!$C$122="未說明",I296/I$13,I296))</f>
        <v>1</v>
      </c>
      <c r="J300" s="24" t="n">
        <f aca="false">IF(J296="","",IF(In!$C$122="未說明",J296/J$13,J296))</f>
        <v>1</v>
      </c>
      <c r="K300" s="24" t="n">
        <f aca="false">IF(K296="","",IF(In!$C$122="未說明",K296/K$13,K296))</f>
        <v>1</v>
      </c>
      <c r="L300" s="24" t="n">
        <f aca="false">IF(L296="","",IF(In!$C$122="未說明",L296/L$13,L296))</f>
        <v>1</v>
      </c>
      <c r="M300" s="24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1024</v>
      </c>
      <c r="B301" s="0" t="s">
        <v>1295</v>
      </c>
      <c r="C301" s="0" t="s">
        <v>78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1026</v>
      </c>
      <c r="B302" s="0" t="s">
        <v>1296</v>
      </c>
      <c r="C302" s="0" t="s">
        <v>78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1028</v>
      </c>
      <c r="B303" s="0" t="s">
        <v>1297</v>
      </c>
      <c r="C303" s="0" t="s">
        <v>78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1030</v>
      </c>
      <c r="B304" s="0" t="s">
        <v>1298</v>
      </c>
      <c r="C304" s="0" t="s">
        <v>53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1299</v>
      </c>
    </row>
    <row r="307" customFormat="false" ht="17.15" hidden="false" customHeight="false" outlineLevel="0" collapsed="false">
      <c r="A307" s="5" t="s">
        <v>1300</v>
      </c>
      <c r="B307" s="0" t="s">
        <v>1301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37.8525147943925</v>
      </c>
      <c r="H307" s="25" t="n">
        <f aca="false">SUM(H30,H49,H68,H87,H106,H125,H144,H163,H182,H201,H220,H239,H258,H277,H296)</f>
        <v>46.5041599188997</v>
      </c>
      <c r="I307" s="25" t="n">
        <f aca="false">SUM(I30,I49,I68,I87,I106,I125,I144,I163,I182,I201,I220,I239,I258,I277,I296)</f>
        <v>65.1003739798087</v>
      </c>
      <c r="J307" s="25" t="n">
        <f aca="false">SUM(J30,J49,J68,J87,J106,J125,J144,J163,J182,J201,J220,J239,J258,J277,J296)</f>
        <v>71.4293953108062</v>
      </c>
      <c r="K307" s="25" t="n">
        <f aca="false">SUM(K30,K49,K68,K87,K106,K125,K144,K163,K182,K201,K220,K239,K258,K277,K296)</f>
        <v>77.3044503328541</v>
      </c>
      <c r="L307" s="25" t="n">
        <f aca="false">SUM(L30,L49,L68,L87,L106,L125,L144,L163,L182,L201,L220,L239,L258,L277,L296)</f>
        <v>80.6082964867002</v>
      </c>
      <c r="M307" s="25" t="n">
        <f aca="false">SUM(M30,M49,M68,M87,M106,M125,M144,M163,M182,M201,M220,M239,M258,M277,M296)</f>
        <v>82.977527255931</v>
      </c>
    </row>
    <row r="308" customFormat="false" ht="17.15" hidden="false" customHeight="false" outlineLevel="0" collapsed="false">
      <c r="A308" s="5" t="s">
        <v>1302</v>
      </c>
      <c r="B308" s="0" t="s">
        <v>1303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34.5858481277259</v>
      </c>
      <c r="H308" s="24" t="n">
        <f aca="false">SUM(H32,H51,H70,H89,H108,H127,H146,H165,H184,H203,H222,H241,H260,H279,H298)</f>
        <v>46.5041599188997</v>
      </c>
      <c r="I308" s="24" t="n">
        <f aca="false">SUM(I32,I51,I70,I89,I108,I127,I146,I165,I184,I203,I222,I241,I260,I279,I298)</f>
        <v>65.1003739798087</v>
      </c>
      <c r="J308" s="24" t="n">
        <f aca="false">SUM(J32,J51,J70,J89,J108,J127,J146,J165,J184,J203,J222,J241,J260,J279,J298)</f>
        <v>71.4293953108062</v>
      </c>
      <c r="K308" s="24" t="n">
        <f aca="false">SUM(K32,K51,K70,K89,K108,K127,K146,K165,K184,K203,K222,K241,K260,K279,K298)</f>
        <v>77.3044503328541</v>
      </c>
      <c r="L308" s="24" t="n">
        <f aca="false">SUM(L32,L51,L70,L89,L108,L127,L146,L165,L184,L203,L222,L241,L260,L279,L298)</f>
        <v>80.6082964867002</v>
      </c>
      <c r="M308" s="24" t="n">
        <f aca="false">SUM(M32,M51,M70,M89,M108,M127,M146,M165,M184,M203,M222,M241,M260,M279,M298)</f>
        <v>82.977527255931</v>
      </c>
    </row>
    <row r="309" customFormat="false" ht="17.15" hidden="false" customHeight="false" outlineLevel="0" collapsed="false">
      <c r="A309" s="5" t="s">
        <v>1304</v>
      </c>
      <c r="B309" s="0" t="s">
        <v>1305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41.2191814610592</v>
      </c>
      <c r="H309" s="24" t="n">
        <f aca="false">SUM(H33,H52,H71,H90,H109,H128,H147,H166,H185,H204,H223,H242,H261,H280,H299)</f>
        <v>46.5041599188997</v>
      </c>
      <c r="I309" s="24" t="n">
        <f aca="false">SUM(I33,I52,I71,I90,I109,I128,I147,I166,I185,I204,I223,I242,I261,I280,I299)</f>
        <v>65.1003739798087</v>
      </c>
      <c r="J309" s="24" t="n">
        <f aca="false">SUM(J33,J52,J71,J90,J109,J128,J147,J166,J185,J204,J223,J242,J261,J280,J299)</f>
        <v>71.4293953108062</v>
      </c>
      <c r="K309" s="24" t="n">
        <f aca="false">SUM(K33,K52,K71,K90,K109,K128,K147,K166,K185,K204,K223,K242,K261,K280,K299)</f>
        <v>77.3044503328541</v>
      </c>
      <c r="L309" s="24" t="n">
        <f aca="false">SUM(L33,L52,L71,L90,L109,L128,L147,L166,L185,L204,L223,L242,L261,L280,L299)</f>
        <v>80.6082964867002</v>
      </c>
      <c r="M309" s="24" t="n">
        <f aca="false">SUM(M33,M52,M71,M90,M109,M128,M147,M166,M185,M204,M223,M242,M261,M280,M299)</f>
        <v>82.977527255931</v>
      </c>
    </row>
    <row r="310" customFormat="false" ht="17.15" hidden="false" customHeight="false" outlineLevel="0" collapsed="false">
      <c r="A310" s="5" t="s">
        <v>1306</v>
      </c>
      <c r="B310" s="0" t="s">
        <v>1307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37.3025147943925</v>
      </c>
      <c r="H310" s="24" t="n">
        <f aca="false">SUM(H34,H53,H72,H91,H110,H129,H148,H167,H186,H205,H224,H243,H262,H281,H300)</f>
        <v>45.596993252233</v>
      </c>
      <c r="I310" s="24" t="n">
        <f aca="false">SUM(I34,I53,I72,I91,I110,I129,I148,I167,I186,I205,I224,I243,I262,I281,I300)</f>
        <v>64.1772073131421</v>
      </c>
      <c r="J310" s="24" t="n">
        <f aca="false">SUM(J34,J53,J72,J91,J110,J129,J148,J167,J186,J205,J224,J243,J262,J281,J300)</f>
        <v>70.5062286441395</v>
      </c>
      <c r="K310" s="24" t="n">
        <f aca="false">SUM(K34,K53,K72,K91,K110,K129,K148,K167,K186,K205,K224,K243,K262,K281,K300)</f>
        <v>76.3479503328541</v>
      </c>
      <c r="L310" s="24" t="n">
        <f aca="false">SUM(L34,L53,L72,L91,L110,L129,L148,L167,L186,L205,L224,L243,L262,L281,L300)</f>
        <v>79.6517964867002</v>
      </c>
      <c r="M310" s="24" t="n">
        <f aca="false">SUM(M34,M53,M72,M91,M110,M129,M148,M167,M186,M205,M224,M243,M262,M281,M300)</f>
        <v>82.021027255931</v>
      </c>
    </row>
    <row r="311" customFormat="false" ht="17.15" hidden="false" customHeight="false" outlineLevel="0" collapsed="false">
      <c r="A311" s="5" t="s">
        <v>1308</v>
      </c>
      <c r="B311" s="0" t="s">
        <v>1309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45.423017753271</v>
      </c>
      <c r="H311" s="24" t="n">
        <f aca="false">H307*H$13</f>
        <v>55.8049919026796</v>
      </c>
      <c r="I311" s="24" t="n">
        <f aca="false">I307*I$13</f>
        <v>78.1204487757705</v>
      </c>
      <c r="J311" s="24" t="n">
        <f aca="false">J307*J$13</f>
        <v>85.7152743729674</v>
      </c>
      <c r="K311" s="24" t="n">
        <f aca="false">K307*K$13</f>
        <v>92.7653403994249</v>
      </c>
      <c r="L311" s="24" t="n">
        <f aca="false">L307*L$13</f>
        <v>96.7299557840403</v>
      </c>
      <c r="M311" s="24" t="n">
        <f aca="false">M307*M$13</f>
        <v>99.5730327071172</v>
      </c>
    </row>
    <row r="312" customFormat="false" ht="17.15" hidden="false" customHeight="false" outlineLevel="0" collapsed="false">
      <c r="A312" s="5" t="s">
        <v>1310</v>
      </c>
      <c r="B312" s="0" t="s">
        <v>1311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31.5948290638629</v>
      </c>
      <c r="H312" s="24" t="n">
        <f aca="false">(G307+H307)/2</f>
        <v>42.1783373566461</v>
      </c>
      <c r="I312" s="24" t="n">
        <f aca="false">(H307+I307)/2</f>
        <v>55.8022669493542</v>
      </c>
      <c r="J312" s="24" t="n">
        <f aca="false">(I307+J307)/2</f>
        <v>68.2648846453075</v>
      </c>
      <c r="K312" s="24" t="n">
        <f aca="false">(J307+K307)/2</f>
        <v>74.3669228218301</v>
      </c>
      <c r="L312" s="24" t="n">
        <f aca="false">(K307+L307)/2</f>
        <v>78.9563734097771</v>
      </c>
      <c r="M312" s="24" t="n">
        <f aca="false">(L307+M307)/2</f>
        <v>81.7929118713156</v>
      </c>
    </row>
    <row r="313" customFormat="false" ht="17.15" hidden="false" customHeight="false" outlineLevel="0" collapsed="false">
      <c r="A313" s="5" t="s">
        <v>1312</v>
      </c>
      <c r="B313" s="0" t="s">
        <v>1313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12.5153714610592</v>
      </c>
      <c r="H313" s="24" t="n">
        <f aca="false">SUM(H36,H55,H74,H93,H112,H131,H150,H169,H188,H207,H226,H245,H264,H283,H302)</f>
        <v>8.65164512450717</v>
      </c>
      <c r="I313" s="24" t="n">
        <f aca="false">SUM(I36,I55,I74,I93,I112,I131,I150,I169,I188,I207,I226,I245,I264,I283,I302)</f>
        <v>18.596214060909</v>
      </c>
      <c r="J313" s="24" t="n">
        <f aca="false">SUM(J36,J55,J74,J93,J112,J131,J150,J169,J188,J207,J226,J245,J264,J283,J302)</f>
        <v>6.32902133099745</v>
      </c>
      <c r="K313" s="24" t="n">
        <f aca="false">SUM(K36,K55,K74,K93,K112,K131,K150,K169,K188,K207,K226,K245,K264,K283,K302)</f>
        <v>5.8750550220479</v>
      </c>
      <c r="L313" s="24" t="n">
        <f aca="false">SUM(L36,L55,L74,L93,L112,L131,L150,L169,L188,L207,L226,L245,L264,L283,L302)</f>
        <v>3.30384615384616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1314</v>
      </c>
      <c r="B314" s="0" t="s">
        <v>1315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1316</v>
      </c>
      <c r="B315" s="0" t="s">
        <v>1317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26.1858481277259</v>
      </c>
      <c r="H315" s="24" t="n">
        <f aca="false">H307-N(H277)</f>
        <v>32.8479887943925</v>
      </c>
      <c r="I315" s="24" t="n">
        <f aca="false">I307-N(I277)</f>
        <v>49.1629887943925</v>
      </c>
      <c r="J315" s="24" t="n">
        <f aca="false">J307-N(J277)</f>
        <v>52.8794887943925</v>
      </c>
      <c r="K315" s="24" t="n">
        <f aca="false">K307-N(K277)</f>
        <v>55.7659887943925</v>
      </c>
      <c r="L315" s="24" t="n">
        <f aca="false">L307-N(L277)</f>
        <v>56.9159887943925</v>
      </c>
      <c r="M315" s="24" t="n">
        <f aca="false">M307-N(M277)</f>
        <v>56.9159887943925</v>
      </c>
    </row>
    <row r="316" customFormat="false" ht="15" hidden="false" customHeight="false" outlineLevel="0" collapsed="false">
      <c r="A316" s="5" t="s">
        <v>1318</v>
      </c>
      <c r="B316" s="0" t="s">
        <v>1319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1320</v>
      </c>
    </row>
    <row r="3" customFormat="false" ht="17.15" hidden="false" customHeight="false" outlineLevel="0" collapsed="false">
      <c r="A3" s="8" t="s">
        <v>1321</v>
      </c>
    </row>
    <row r="4" customFormat="false" ht="17.15" hidden="false" customHeight="false" outlineLevel="0" collapsed="false">
      <c r="A4" s="6" t="s">
        <v>500</v>
      </c>
      <c r="B4" s="6" t="s">
        <v>15</v>
      </c>
      <c r="C4" s="6" t="s">
        <v>1322</v>
      </c>
      <c r="D4" s="7" t="s">
        <v>1323</v>
      </c>
      <c r="E4" s="7" t="s">
        <v>1324</v>
      </c>
      <c r="F4" s="7" t="s">
        <v>1325</v>
      </c>
      <c r="G4" s="7" t="s">
        <v>1070</v>
      </c>
      <c r="H4" s="7" t="s">
        <v>1326</v>
      </c>
      <c r="I4" s="7" t="s">
        <v>1327</v>
      </c>
      <c r="J4" s="6" t="s">
        <v>1328</v>
      </c>
      <c r="K4" s="6" t="s">
        <v>1329</v>
      </c>
      <c r="L4" s="6" t="s">
        <v>1330</v>
      </c>
      <c r="M4" s="7" t="s">
        <v>1331</v>
      </c>
      <c r="N4" s="6" t="s">
        <v>1332</v>
      </c>
    </row>
    <row r="5" customFormat="false" ht="17.15" hidden="false" customHeight="false" outlineLevel="0" collapsed="false">
      <c r="A5" s="0" t="s">
        <v>1333</v>
      </c>
      <c r="B5" s="0" t="s">
        <v>507</v>
      </c>
      <c r="C5" s="24" t="n">
        <f aca="false">SUMPRODUCT((In!$H$170:$H$182="msft")*(In!$I$170:$I$182="self")*((In!$J$170:$J$182="比")*$M5+(In!$J$170:$J$182&lt;&gt;"比"))*In!K$170:K$182)</f>
        <v>1.491618</v>
      </c>
      <c r="D5" s="24" t="n">
        <f aca="false">SUMPRODUCT((In!$H$170:$H$182="msft")*(In!$I$170:$I$182="oai")*((In!$J$170:$J$182="比")*$M5+(In!$J$170:$J$182&lt;&gt;"比"))*In!K$170:K$182)</f>
        <v>0</v>
      </c>
      <c r="E5" s="24" t="n">
        <f aca="false">SUMPRODUCT((In!$H$170:$H$182="msft")*(In!$I$170:$I$182="ant")*((In!$J$170:$J$182="比")*$M5+(In!$J$170:$J$182&lt;&gt;"比"))*In!K$170:K$182)</f>
        <v>0</v>
      </c>
      <c r="F5" s="24" t="n">
        <f aca="false">SUMPRODUCT((In!$H$170:$H$182="msft")*(In!$I$170:$I$182="xai")*((In!$J$170:$J$182="比")*$M5+(In!$J$170:$J$182&lt;&gt;"比"))*In!K$170:K$182)</f>
        <v>0</v>
      </c>
      <c r="G5" s="24" t="n">
        <f aca="false">SUMPRODUCT((In!$H$170:$H$182="msft")*(In!$I$170:$I$182="meta")*((In!$J$170:$J$182="比")*$M5+(In!$J$170:$J$182&lt;&gt;"比"))*In!K$170:K$182)</f>
        <v>0</v>
      </c>
      <c r="H5" s="24" t="n">
        <f aca="false">SUMPRODUCT((In!$H$170:$H$182="msft")*(In!$I$170:$I$182="googl")*((In!$J$170:$J$182="比")*$M5+(In!$J$170:$J$182&lt;&gt;"比"))*In!K$170:K$182)</f>
        <v>0</v>
      </c>
      <c r="I5" s="24" t="n">
        <f aca="false">SUMPRODUCT((In!$H$170:$H$182="msft")*(In!$I$170:$I$182="msft")*((In!$J$170:$J$182="比")*$M5+(In!$J$170:$J$182&lt;&gt;"比"))*In!K$170:K$182)</f>
        <v>0</v>
      </c>
      <c r="J5" s="24" t="n">
        <f aca="false">SUMPRODUCT((In!$H$170:$H$182="msft")*(In!$I$170:$I$182="oth")*((In!$J$170:$J$182="比")*$M5+(In!$J$170:$J$182&lt;&gt;"比"))*In!K$170:K$182)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1334</v>
      </c>
      <c r="B6" s="0" t="s">
        <v>512</v>
      </c>
      <c r="C6" s="24" t="n">
        <f aca="false">SUMPRODUCT((In!$H$170:$H$182="googl")*(In!$I$170:$I$182="self")*((In!$J$170:$J$182="比")*$M6+(In!$J$170:$J$182&lt;&gt;"比"))*In!K$170:K$182)</f>
        <v>3.01</v>
      </c>
      <c r="D6" s="24" t="n">
        <f aca="false">SUMPRODUCT((In!$H$170:$H$182="googl")*(In!$I$170:$I$182="oai")*((In!$J$170:$J$182="比")*$M6+(In!$J$170:$J$182&lt;&gt;"比"))*In!K$170:K$182)</f>
        <v>0</v>
      </c>
      <c r="E6" s="24" t="n">
        <f aca="false">SUMPRODUCT((In!$H$170:$H$182="googl")*(In!$I$170:$I$182="ant")*((In!$J$170:$J$182="比")*$M6+(In!$J$170:$J$182&lt;&gt;"比"))*In!K$170:K$182)</f>
        <v>0</v>
      </c>
      <c r="F6" s="24" t="n">
        <f aca="false">SUMPRODUCT((In!$H$170:$H$182="googl")*(In!$I$170:$I$182="xai")*((In!$J$170:$J$182="比")*$M6+(In!$J$170:$J$182&lt;&gt;"比"))*In!K$170:K$182)</f>
        <v>0</v>
      </c>
      <c r="G6" s="24" t="n">
        <f aca="false">SUMPRODUCT((In!$H$170:$H$182="googl")*(In!$I$170:$I$182="meta")*((In!$J$170:$J$182="比")*$M6+(In!$J$170:$J$182&lt;&gt;"比"))*In!K$170:K$182)</f>
        <v>0</v>
      </c>
      <c r="H6" s="24" t="n">
        <f aca="false">SUMPRODUCT((In!$H$170:$H$182="googl")*(In!$I$170:$I$182="googl")*((In!$J$170:$J$182="比")*$M6+(In!$J$170:$J$182&lt;&gt;"比"))*In!K$170:K$182)</f>
        <v>0</v>
      </c>
      <c r="I6" s="24" t="n">
        <f aca="false">SUMPRODUCT((In!$H$170:$H$182="googl")*(In!$I$170:$I$182="msft")*((In!$J$170:$J$182="比")*$M6+(In!$J$170:$J$182&lt;&gt;"比"))*In!K$170:K$182)</f>
        <v>0</v>
      </c>
      <c r="J6" s="24" t="n">
        <f aca="false">SUMPRODUCT((In!$H$170:$H$182="googl")*(In!$I$170:$I$182="oth")*((In!$J$170:$J$182="比")*$M6+(In!$J$170:$J$182&lt;&gt;"比"))*In!K$170:K$182)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1335</v>
      </c>
      <c r="B7" s="0" t="s">
        <v>520</v>
      </c>
      <c r="C7" s="24" t="n">
        <f aca="false">SUMPRODUCT((In!$H$170:$H$182="amzn")*(In!$I$170:$I$182="self")*((In!$J$170:$J$182="比")*$M7+(In!$J$170:$J$182&lt;&gt;"比"))*In!K$170:K$182)</f>
        <v>0.44</v>
      </c>
      <c r="D7" s="24" t="n">
        <f aca="false">SUMPRODUCT((In!$H$170:$H$182="amzn")*(In!$I$170:$I$182="oai")*((In!$J$170:$J$182="比")*$M7+(In!$J$170:$J$182&lt;&gt;"比"))*In!K$170:K$182)</f>
        <v>0</v>
      </c>
      <c r="E7" s="24" t="n">
        <f aca="false">SUMPRODUCT((In!$H$170:$H$182="amzn")*(In!$I$170:$I$182="ant")*((In!$J$170:$J$182="比")*$M7+(In!$J$170:$J$182&lt;&gt;"比"))*In!K$170:K$182)</f>
        <v>0.626</v>
      </c>
      <c r="F7" s="24" t="n">
        <f aca="false">SUMPRODUCT((In!$H$170:$H$182="amzn")*(In!$I$170:$I$182="xai")*((In!$J$170:$J$182="比")*$M7+(In!$J$170:$J$182&lt;&gt;"比"))*In!K$170:K$182)</f>
        <v>0</v>
      </c>
      <c r="G7" s="24" t="n">
        <f aca="false">SUMPRODUCT((In!$H$170:$H$182="amzn")*(In!$I$170:$I$182="meta")*((In!$J$170:$J$182="比")*$M7+(In!$J$170:$J$182&lt;&gt;"比"))*In!K$170:K$182)</f>
        <v>0</v>
      </c>
      <c r="H7" s="24" t="n">
        <f aca="false">SUMPRODUCT((In!$H$170:$H$182="amzn")*(In!$I$170:$I$182="googl")*((In!$J$170:$J$182="比")*$M7+(In!$J$170:$J$182&lt;&gt;"比"))*In!K$170:K$182)</f>
        <v>0</v>
      </c>
      <c r="I7" s="24" t="n">
        <f aca="false">SUMPRODUCT((In!$H$170:$H$182="amzn")*(In!$I$170:$I$182="msft")*((In!$J$170:$J$182="比")*$M7+(In!$J$170:$J$182&lt;&gt;"比"))*In!K$170:K$182)</f>
        <v>0</v>
      </c>
      <c r="J7" s="24" t="n">
        <f aca="false">SUMPRODUCT((In!$H$170:$H$182="amzn")*(In!$I$170:$I$182="oth")*((In!$J$170:$J$182="比")*$M7+(In!$J$170:$J$182&lt;&gt;"比"))*In!K$170:K$182)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1070</v>
      </c>
      <c r="B8" s="0" t="s">
        <v>527</v>
      </c>
      <c r="C8" s="24" t="n">
        <f aca="false">SUMPRODUCT((In!$H$170:$H$182="meta")*(In!$I$170:$I$182="self")*((In!$J$170:$J$182="比")*$M8+(In!$J$170:$J$182&lt;&gt;"比"))*In!K$170:K$182)</f>
        <v>0</v>
      </c>
      <c r="D8" s="24" t="n">
        <f aca="false">SUMPRODUCT((In!$H$170:$H$182="meta")*(In!$I$170:$I$182="oai")*((In!$J$170:$J$182="比")*$M8+(In!$J$170:$J$182&lt;&gt;"比"))*In!K$170:K$182)</f>
        <v>0</v>
      </c>
      <c r="E8" s="24" t="n">
        <f aca="false">SUMPRODUCT((In!$H$170:$H$182="meta")*(In!$I$170:$I$182="ant")*((In!$J$170:$J$182="比")*$M8+(In!$J$170:$J$182&lt;&gt;"比"))*In!K$170:K$182)</f>
        <v>0</v>
      </c>
      <c r="F8" s="24" t="n">
        <f aca="false">SUMPRODUCT((In!$H$170:$H$182="meta")*(In!$I$170:$I$182="xai")*((In!$J$170:$J$182="比")*$M8+(In!$J$170:$J$182&lt;&gt;"比"))*In!K$170:K$182)</f>
        <v>0</v>
      </c>
      <c r="G8" s="24" t="n">
        <f aca="false">SUMPRODUCT((In!$H$170:$H$182="meta")*(In!$I$170:$I$182="meta")*((In!$J$170:$J$182="比")*$M8+(In!$J$170:$J$182&lt;&gt;"比"))*In!K$170:K$182)</f>
        <v>2.476595</v>
      </c>
      <c r="H8" s="24" t="n">
        <f aca="false">SUMPRODUCT((In!$H$170:$H$182="meta")*(In!$I$170:$I$182="googl")*((In!$J$170:$J$182="比")*$M8+(In!$J$170:$J$182&lt;&gt;"比"))*In!K$170:K$182)</f>
        <v>0</v>
      </c>
      <c r="I8" s="24" t="n">
        <f aca="false">SUMPRODUCT((In!$H$170:$H$182="meta")*(In!$I$170:$I$182="msft")*((In!$J$170:$J$182="比")*$M8+(In!$J$170:$J$182&lt;&gt;"比"))*In!K$170:K$182)</f>
        <v>0</v>
      </c>
      <c r="J8" s="24" t="n">
        <f aca="false">SUMPRODUCT((In!$H$170:$H$182="meta")*(In!$I$170:$I$182="oth")*((In!$J$170:$J$182="比")*$M8+(In!$J$170:$J$182&lt;&gt;"比"))*In!K$170:K$182)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1336</v>
      </c>
      <c r="B9" s="0" t="s">
        <v>531</v>
      </c>
      <c r="C9" s="24" t="n">
        <f aca="false">SUMPRODUCT((In!$H$170:$H$182="orcl")*(In!$I$170:$I$182="self")*((In!$J$170:$J$182="比")*$M9+(In!$J$170:$J$182&lt;&gt;"比"))*In!K$170:K$182)</f>
        <v>0</v>
      </c>
      <c r="D9" s="24" t="n">
        <f aca="false">SUMPRODUCT((In!$H$170:$H$182="orcl")*(In!$I$170:$I$182="oai")*((In!$J$170:$J$182="比")*$M9+(In!$J$170:$J$182&lt;&gt;"比"))*In!K$170:K$182)</f>
        <v>0</v>
      </c>
      <c r="E9" s="24" t="n">
        <f aca="false">SUMPRODUCT((In!$H$170:$H$182="orcl")*(In!$I$170:$I$182="ant")*((In!$J$170:$J$182="比")*$M9+(In!$J$170:$J$182&lt;&gt;"比"))*In!K$170:K$182)</f>
        <v>0</v>
      </c>
      <c r="F9" s="24" t="n">
        <f aca="false">SUMPRODUCT((In!$H$170:$H$182="orcl")*(In!$I$170:$I$182="xai")*((In!$J$170:$J$182="比")*$M9+(In!$J$170:$J$182&lt;&gt;"比"))*In!K$170:K$182)</f>
        <v>0</v>
      </c>
      <c r="G9" s="24" t="n">
        <f aca="false">SUMPRODUCT((In!$H$170:$H$182="orcl")*(In!$I$170:$I$182="meta")*((In!$J$170:$J$182="比")*$M9+(In!$J$170:$J$182&lt;&gt;"比"))*In!K$170:K$182)</f>
        <v>0</v>
      </c>
      <c r="H9" s="24" t="n">
        <f aca="false">SUMPRODUCT((In!$H$170:$H$182="orcl")*(In!$I$170:$I$182="googl")*((In!$J$170:$J$182="比")*$M9+(In!$J$170:$J$182&lt;&gt;"比"))*In!K$170:K$182)</f>
        <v>0</v>
      </c>
      <c r="I9" s="24" t="n">
        <f aca="false">SUMPRODUCT((In!$H$170:$H$182="orcl")*(In!$I$170:$I$182="msft")*((In!$J$170:$J$182="比")*$M9+(In!$J$170:$J$182&lt;&gt;"比"))*In!K$170:K$182)</f>
        <v>0</v>
      </c>
      <c r="J9" s="24" t="n">
        <f aca="false">SUMPRODUCT((In!$H$170:$H$182="orcl")*(In!$I$170:$I$182="oth")*((In!$J$170:$J$182="比")*$M9+(In!$J$170:$J$182&lt;&gt;"比"))*In!K$170:K$182)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1108</v>
      </c>
      <c r="B10" s="0" t="s">
        <v>621</v>
      </c>
      <c r="C10" s="24" t="n">
        <f aca="false">SUMPRODUCT((In!$H$170:$H$182="crwv")*(In!$I$170:$I$182="self")*((In!$J$170:$J$182="比")*$M10+(In!$J$170:$J$182&lt;&gt;"比"))*In!K$170:K$182)</f>
        <v>0</v>
      </c>
      <c r="D10" s="24" t="n">
        <f aca="false">SUMPRODUCT((In!$H$170:$H$182="crwv")*(In!$I$170:$I$182="oai")*((In!$J$170:$J$182="比")*$M10+(In!$J$170:$J$182&lt;&gt;"比"))*In!K$170:K$182)</f>
        <v>0</v>
      </c>
      <c r="E10" s="24" t="n">
        <f aca="false">SUMPRODUCT((In!$H$170:$H$182="crwv")*(In!$I$170:$I$182="ant")*((In!$J$170:$J$182="比")*$M10+(In!$J$170:$J$182&lt;&gt;"比"))*In!K$170:K$182)</f>
        <v>0</v>
      </c>
      <c r="F10" s="24" t="n">
        <f aca="false">SUMPRODUCT((In!$H$170:$H$182="crwv")*(In!$I$170:$I$182="xai")*((In!$J$170:$J$182="比")*$M10+(In!$J$170:$J$182&lt;&gt;"比"))*In!K$170:K$182)</f>
        <v>0</v>
      </c>
      <c r="G10" s="24" t="n">
        <f aca="false">SUMPRODUCT((In!$H$170:$H$182="crwv")*(In!$I$170:$I$182="meta")*((In!$J$170:$J$182="比")*$M10+(In!$J$170:$J$182&lt;&gt;"比"))*In!K$170:K$182)</f>
        <v>0</v>
      </c>
      <c r="H10" s="24" t="n">
        <f aca="false">SUMPRODUCT((In!$H$170:$H$182="crwv")*(In!$I$170:$I$182="googl")*((In!$J$170:$J$182="比")*$M10+(In!$J$170:$J$182&lt;&gt;"比"))*In!K$170:K$182)</f>
        <v>0</v>
      </c>
      <c r="I10" s="24" t="n">
        <f aca="false">SUMPRODUCT((In!$H$170:$H$182="crwv")*(In!$I$170:$I$182="msft")*((In!$J$170:$J$182="比")*$M10+(In!$J$170:$J$182&lt;&gt;"比"))*In!K$170:K$182)</f>
        <v>0</v>
      </c>
      <c r="J10" s="24" t="n">
        <f aca="false">SUMPRODUCT((In!$H$170:$H$182="crwv")*(In!$I$170:$I$182="oth")*((In!$J$170:$J$182="比")*$M10+(In!$J$170:$J$182&lt;&gt;"比"))*In!K$170:K$182)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1127</v>
      </c>
      <c r="B11" s="0" t="s">
        <v>652</v>
      </c>
      <c r="C11" s="24" t="n">
        <f aca="false">SUMPRODUCT((In!$H$170:$H$182="nbis")*(In!$I$170:$I$182="self")*((In!$J$170:$J$182="比")*$M11+(In!$J$170:$J$182&lt;&gt;"比"))*In!K$170:K$182)</f>
        <v>0</v>
      </c>
      <c r="D11" s="24" t="n">
        <f aca="false">SUMPRODUCT((In!$H$170:$H$182="nbis")*(In!$I$170:$I$182="oai")*((In!$J$170:$J$182="比")*$M11+(In!$J$170:$J$182&lt;&gt;"比"))*In!K$170:K$182)</f>
        <v>0</v>
      </c>
      <c r="E11" s="24" t="n">
        <f aca="false">SUMPRODUCT((In!$H$170:$H$182="nbis")*(In!$I$170:$I$182="ant")*((In!$J$170:$J$182="比")*$M11+(In!$J$170:$J$182&lt;&gt;"比"))*In!K$170:K$182)</f>
        <v>0</v>
      </c>
      <c r="F11" s="24" t="n">
        <f aca="false">SUMPRODUCT((In!$H$170:$H$182="nbis")*(In!$I$170:$I$182="xai")*((In!$J$170:$J$182="比")*$M11+(In!$J$170:$J$182&lt;&gt;"比"))*In!K$170:K$182)</f>
        <v>0</v>
      </c>
      <c r="G11" s="24" t="n">
        <f aca="false">SUMPRODUCT((In!$H$170:$H$182="nbis")*(In!$I$170:$I$182="meta")*((In!$J$170:$J$182="比")*$M11+(In!$J$170:$J$182&lt;&gt;"比"))*In!K$170:K$182)</f>
        <v>0</v>
      </c>
      <c r="H11" s="24" t="n">
        <f aca="false">SUMPRODUCT((In!$H$170:$H$182="nbis")*(In!$I$170:$I$182="googl")*((In!$J$170:$J$182="比")*$M11+(In!$J$170:$J$182&lt;&gt;"比"))*In!K$170:K$182)</f>
        <v>0</v>
      </c>
      <c r="I11" s="24" t="n">
        <f aca="false">SUMPRODUCT((In!$H$170:$H$182="nbis")*(In!$I$170:$I$182="msft")*((In!$J$170:$J$182="比")*$M11+(In!$J$170:$J$182&lt;&gt;"比"))*In!K$170:K$182)</f>
        <v>0</v>
      </c>
      <c r="J11" s="24" t="n">
        <f aca="false">SUMPRODUCT((In!$H$170:$H$182="nbis")*(In!$I$170:$I$182="oth")*((In!$J$170:$J$182="比")*$M11+(In!$J$170:$J$182&lt;&gt;"比"))*In!K$170:K$182)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1337</v>
      </c>
      <c r="B12" s="0" t="s">
        <v>1147</v>
      </c>
      <c r="C12" s="24" t="n">
        <f aca="false">SUMPRODUCT((In!$H$170:$H$182="wyfi")*(In!$I$170:$I$182="self")*((In!$J$170:$J$182="比")*$M12+(In!$J$170:$J$182&lt;&gt;"比"))*In!K$170:K$182)</f>
        <v>0</v>
      </c>
      <c r="D12" s="24" t="n">
        <f aca="false">SUMPRODUCT((In!$H$170:$H$182="wyfi")*(In!$I$170:$I$182="oai")*((In!$J$170:$J$182="比")*$M12+(In!$J$170:$J$182&lt;&gt;"比"))*In!K$170:K$182)</f>
        <v>0</v>
      </c>
      <c r="E12" s="24" t="n">
        <f aca="false">SUMPRODUCT((In!$H$170:$H$182="wyfi")*(In!$I$170:$I$182="ant")*((In!$J$170:$J$182="比")*$M12+(In!$J$170:$J$182&lt;&gt;"比"))*In!K$170:K$182)</f>
        <v>0</v>
      </c>
      <c r="F12" s="24" t="n">
        <f aca="false">SUMPRODUCT((In!$H$170:$H$182="wyfi")*(In!$I$170:$I$182="xai")*((In!$J$170:$J$182="比")*$M12+(In!$J$170:$J$182&lt;&gt;"比"))*In!K$170:K$182)</f>
        <v>0</v>
      </c>
      <c r="G12" s="24" t="n">
        <f aca="false">SUMPRODUCT((In!$H$170:$H$182="wyfi")*(In!$I$170:$I$182="meta")*((In!$J$170:$J$182="比")*$M12+(In!$J$170:$J$182&lt;&gt;"比"))*In!K$170:K$182)</f>
        <v>0</v>
      </c>
      <c r="H12" s="24" t="n">
        <f aca="false">SUMPRODUCT((In!$H$170:$H$182="wyfi")*(In!$I$170:$I$182="googl")*((In!$J$170:$J$182="比")*$M12+(In!$J$170:$J$182&lt;&gt;"比"))*In!K$170:K$182)</f>
        <v>0</v>
      </c>
      <c r="I12" s="24" t="n">
        <f aca="false">SUMPRODUCT((In!$H$170:$H$182="wyfi")*(In!$I$170:$I$182="msft")*((In!$J$170:$J$182="比")*$M12+(In!$J$170:$J$182&lt;&gt;"比"))*In!K$170:K$182)</f>
        <v>0</v>
      </c>
      <c r="J12" s="24" t="n">
        <f aca="false">SUMPRODUCT((In!$H$170:$H$182="wyfi")*(In!$I$170:$I$182="oth")*((In!$J$170:$J$182="比")*$M12+(In!$J$170:$J$182&lt;&gt;"比"))*In!K$170:K$182)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1338</v>
      </c>
      <c r="B13" s="0" t="s">
        <v>536</v>
      </c>
      <c r="C13" s="24" t="n">
        <f aca="false">SUMPRODUCT((In!$H$170:$H$182="xai")*(In!$I$170:$I$182="self")*((In!$J$170:$J$182="比")*$M13+(In!$J$170:$J$182&lt;&gt;"比"))*In!K$170:K$182)</f>
        <v>0</v>
      </c>
      <c r="D13" s="24" t="n">
        <f aca="false">SUMPRODUCT((In!$H$170:$H$182="xai")*(In!$I$170:$I$182="oai")*((In!$J$170:$J$182="比")*$M13+(In!$J$170:$J$182&lt;&gt;"比"))*In!K$170:K$182)</f>
        <v>0</v>
      </c>
      <c r="E13" s="24" t="n">
        <f aca="false">SUMPRODUCT((In!$H$170:$H$182="xai")*(In!$I$170:$I$182="ant")*((In!$J$170:$J$182="比")*$M13+(In!$J$170:$J$182&lt;&gt;"比"))*In!K$170:K$182)</f>
        <v>0</v>
      </c>
      <c r="F13" s="24" t="n">
        <f aca="false">SUMPRODUCT((In!$H$170:$H$182="xai")*(In!$I$170:$I$182="xai")*((In!$J$170:$J$182="比")*$M13+(In!$J$170:$J$182&lt;&gt;"比"))*In!K$170:K$182)</f>
        <v>0</v>
      </c>
      <c r="G13" s="24" t="n">
        <f aca="false">SUMPRODUCT((In!$H$170:$H$182="xai")*(In!$I$170:$I$182="meta")*((In!$J$170:$J$182="比")*$M13+(In!$J$170:$J$182&lt;&gt;"比"))*In!K$170:K$182)</f>
        <v>0</v>
      </c>
      <c r="H13" s="24" t="n">
        <f aca="false">SUMPRODUCT((In!$H$170:$H$182="xai")*(In!$I$170:$I$182="googl")*((In!$J$170:$J$182="比")*$M13+(In!$J$170:$J$182&lt;&gt;"比"))*In!K$170:K$182)</f>
        <v>0</v>
      </c>
      <c r="I13" s="24" t="n">
        <f aca="false">SUMPRODUCT((In!$H$170:$H$182="xai")*(In!$I$170:$I$182="msft")*((In!$J$170:$J$182="比")*$M13+(In!$J$170:$J$182&lt;&gt;"比"))*In!K$170:K$182)</f>
        <v>0</v>
      </c>
      <c r="J13" s="24" t="n">
        <f aca="false">SUMPRODUCT((In!$H$170:$H$182="xai")*(In!$I$170:$I$182="oth")*((In!$J$170:$J$182="比")*$M13+(In!$J$170:$J$182&lt;&gt;"比"))*In!K$170:K$182)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1339</v>
      </c>
      <c r="B14" s="0" t="s">
        <v>532</v>
      </c>
      <c r="C14" s="24" t="n">
        <f aca="false">SUMPRODUCT((In!$H$170:$H$182="oai")*(In!$I$170:$I$182="self")*((In!$J$170:$J$182="比")*$M14+(In!$J$170:$J$182&lt;&gt;"比"))*In!K$170:K$182)</f>
        <v>0</v>
      </c>
      <c r="D14" s="24" t="n">
        <f aca="false">SUMPRODUCT((In!$H$170:$H$182="oai")*(In!$I$170:$I$182="oai")*((In!$J$170:$J$182="比")*$M14+(In!$J$170:$J$182&lt;&gt;"比"))*In!K$170:K$182)</f>
        <v>0</v>
      </c>
      <c r="E14" s="24" t="n">
        <f aca="false">SUMPRODUCT((In!$H$170:$H$182="oai")*(In!$I$170:$I$182="ant")*((In!$J$170:$J$182="比")*$M14+(In!$J$170:$J$182&lt;&gt;"比"))*In!K$170:K$182)</f>
        <v>0</v>
      </c>
      <c r="F14" s="24" t="n">
        <f aca="false">SUMPRODUCT((In!$H$170:$H$182="oai")*(In!$I$170:$I$182="xai")*((In!$J$170:$J$182="比")*$M14+(In!$J$170:$J$182&lt;&gt;"比"))*In!K$170:K$182)</f>
        <v>0</v>
      </c>
      <c r="G14" s="24" t="n">
        <f aca="false">SUMPRODUCT((In!$H$170:$H$182="oai")*(In!$I$170:$I$182="meta")*((In!$J$170:$J$182="比")*$M14+(In!$J$170:$J$182&lt;&gt;"比"))*In!K$170:K$182)</f>
        <v>0</v>
      </c>
      <c r="H14" s="24" t="n">
        <f aca="false">SUMPRODUCT((In!$H$170:$H$182="oai")*(In!$I$170:$I$182="googl")*((In!$J$170:$J$182="比")*$M14+(In!$J$170:$J$182&lt;&gt;"比"))*In!K$170:K$182)</f>
        <v>0</v>
      </c>
      <c r="I14" s="24" t="n">
        <f aca="false">SUMPRODUCT((In!$H$170:$H$182="oai")*(In!$I$170:$I$182="msft")*((In!$J$170:$J$182="比")*$M14+(In!$J$170:$J$182&lt;&gt;"比"))*In!K$170:K$182)</f>
        <v>0</v>
      </c>
      <c r="J14" s="24" t="n">
        <f aca="false">SUMPRODUCT((In!$H$170:$H$182="oai")*(In!$I$170:$I$182="oth")*((In!$J$170:$J$182="比")*$M14+(In!$J$170:$J$182&lt;&gt;"比"))*In!K$170:K$182)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1340</v>
      </c>
      <c r="B15" s="0" t="s">
        <v>516</v>
      </c>
      <c r="C15" s="24" t="n">
        <f aca="false">SUMPRODUCT((In!$H$170:$H$182="ant")*(In!$I$170:$I$182="self")*((In!$J$170:$J$182="比")*$M15+(In!$J$170:$J$182&lt;&gt;"比"))*In!K$170:K$182)</f>
        <v>0</v>
      </c>
      <c r="D15" s="24" t="n">
        <f aca="false">SUMPRODUCT((In!$H$170:$H$182="ant")*(In!$I$170:$I$182="oai")*((In!$J$170:$J$182="比")*$M15+(In!$J$170:$J$182&lt;&gt;"比"))*In!K$170:K$182)</f>
        <v>0</v>
      </c>
      <c r="E15" s="24" t="n">
        <f aca="false">SUMPRODUCT((In!$H$170:$H$182="ant")*(In!$I$170:$I$182="ant")*((In!$J$170:$J$182="比")*$M15+(In!$J$170:$J$182&lt;&gt;"比"))*In!K$170:K$182)</f>
        <v>0</v>
      </c>
      <c r="F15" s="24" t="n">
        <f aca="false">SUMPRODUCT((In!$H$170:$H$182="ant")*(In!$I$170:$I$182="xai")*((In!$J$170:$J$182="比")*$M15+(In!$J$170:$J$182&lt;&gt;"比"))*In!K$170:K$182)</f>
        <v>0</v>
      </c>
      <c r="G15" s="24" t="n">
        <f aca="false">SUMPRODUCT((In!$H$170:$H$182="ant")*(In!$I$170:$I$182="meta")*((In!$J$170:$J$182="比")*$M15+(In!$J$170:$J$182&lt;&gt;"比"))*In!K$170:K$182)</f>
        <v>0</v>
      </c>
      <c r="H15" s="24" t="n">
        <f aca="false">SUMPRODUCT((In!$H$170:$H$182="ant")*(In!$I$170:$I$182="googl")*((In!$J$170:$J$182="比")*$M15+(In!$J$170:$J$182&lt;&gt;"比"))*In!K$170:K$182)</f>
        <v>0</v>
      </c>
      <c r="I15" s="24" t="n">
        <f aca="false">SUMPRODUCT((In!$H$170:$H$182="ant")*(In!$I$170:$I$182="msft")*((In!$J$170:$J$182="比")*$M15+(In!$J$170:$J$182&lt;&gt;"比"))*In!K$170:K$182)</f>
        <v>0</v>
      </c>
      <c r="J15" s="24" t="n">
        <f aca="false">SUMPRODUCT((In!$H$170:$H$182="ant")*(In!$I$170:$I$182="oth")*((In!$J$170:$J$182="比")*$M15+(In!$J$170:$J$182&lt;&gt;"比"))*In!K$170:K$182)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1341</v>
      </c>
      <c r="B16" s="0" t="s">
        <v>546</v>
      </c>
      <c r="C16" s="24" t="n">
        <f aca="false">SUMPRODUCT((In!$H$170:$H$182="neo")*(In!$I$170:$I$182="self")*((In!$J$170:$J$182="比")*$M16+(In!$J$170:$J$182&lt;&gt;"比"))*In!K$170:K$182)</f>
        <v>0</v>
      </c>
      <c r="D16" s="24" t="n">
        <f aca="false">SUMPRODUCT((In!$H$170:$H$182="neo")*(In!$I$170:$I$182="oai")*((In!$J$170:$J$182="比")*$M16+(In!$J$170:$J$182&lt;&gt;"比"))*In!K$170:K$182)</f>
        <v>0</v>
      </c>
      <c r="E16" s="24" t="n">
        <f aca="false">SUMPRODUCT((In!$H$170:$H$182="neo")*(In!$I$170:$I$182="ant")*((In!$J$170:$J$182="比")*$M16+(In!$J$170:$J$182&lt;&gt;"比"))*In!K$170:K$182)</f>
        <v>0</v>
      </c>
      <c r="F16" s="24" t="n">
        <f aca="false">SUMPRODUCT((In!$H$170:$H$182="neo")*(In!$I$170:$I$182="xai")*((In!$J$170:$J$182="比")*$M16+(In!$J$170:$J$182&lt;&gt;"比"))*In!K$170:K$182)</f>
        <v>0</v>
      </c>
      <c r="G16" s="24" t="n">
        <f aca="false">SUMPRODUCT((In!$H$170:$H$182="neo")*(In!$I$170:$I$182="meta")*((In!$J$170:$J$182="比")*$M16+(In!$J$170:$J$182&lt;&gt;"比"))*In!K$170:K$182)</f>
        <v>0</v>
      </c>
      <c r="H16" s="24" t="n">
        <f aca="false">SUMPRODUCT((In!$H$170:$H$182="neo")*(In!$I$170:$I$182="googl")*((In!$J$170:$J$182="比")*$M16+(In!$J$170:$J$182&lt;&gt;"比"))*In!K$170:K$182)</f>
        <v>0</v>
      </c>
      <c r="I16" s="24" t="n">
        <f aca="false">SUMPRODUCT((In!$H$170:$H$182="neo")*(In!$I$170:$I$182="msft")*((In!$J$170:$J$182="比")*$M16+(In!$J$170:$J$182&lt;&gt;"比"))*In!K$170:K$182)</f>
        <v>0</v>
      </c>
      <c r="J16" s="24" t="n">
        <f aca="false">SUMPRODUCT((In!$H$170:$H$182="neo")*(In!$I$170:$I$182="oth")*((In!$J$170:$J$182="比")*$M16+(In!$J$170:$J$182&lt;&gt;"比"))*In!K$170:K$182)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1342</v>
      </c>
      <c r="B17" s="0" t="s">
        <v>645</v>
      </c>
      <c r="C17" s="24" t="n">
        <f aca="false">SUMPRODUCT((In!$H$170:$H$182="sov")*(In!$I$170:$I$182="self")*((In!$J$170:$J$182="比")*$M17+(In!$J$170:$J$182&lt;&gt;"比"))*In!K$170:K$182)</f>
        <v>0</v>
      </c>
      <c r="D17" s="24" t="n">
        <f aca="false">SUMPRODUCT((In!$H$170:$H$182="sov")*(In!$I$170:$I$182="oai")*((In!$J$170:$J$182="比")*$M17+(In!$J$170:$J$182&lt;&gt;"比"))*In!K$170:K$182)</f>
        <v>0</v>
      </c>
      <c r="E17" s="24" t="n">
        <f aca="false">SUMPRODUCT((In!$H$170:$H$182="sov")*(In!$I$170:$I$182="ant")*((In!$J$170:$J$182="比")*$M17+(In!$J$170:$J$182&lt;&gt;"比"))*In!K$170:K$182)</f>
        <v>0</v>
      </c>
      <c r="F17" s="24" t="n">
        <f aca="false">SUMPRODUCT((In!$H$170:$H$182="sov")*(In!$I$170:$I$182="xai")*((In!$J$170:$J$182="比")*$M17+(In!$J$170:$J$182&lt;&gt;"比"))*In!K$170:K$182)</f>
        <v>0</v>
      </c>
      <c r="G17" s="24" t="n">
        <f aca="false">SUMPRODUCT((In!$H$170:$H$182="sov")*(In!$I$170:$I$182="meta")*((In!$J$170:$J$182="比")*$M17+(In!$J$170:$J$182&lt;&gt;"比"))*In!K$170:K$182)</f>
        <v>0</v>
      </c>
      <c r="H17" s="24" t="n">
        <f aca="false">SUMPRODUCT((In!$H$170:$H$182="sov")*(In!$I$170:$I$182="googl")*((In!$J$170:$J$182="比")*$M17+(In!$J$170:$J$182&lt;&gt;"比"))*In!K$170:K$182)</f>
        <v>0</v>
      </c>
      <c r="I17" s="24" t="n">
        <f aca="false">SUMPRODUCT((In!$H$170:$H$182="sov")*(In!$I$170:$I$182="msft")*((In!$J$170:$J$182="比")*$M17+(In!$J$170:$J$182&lt;&gt;"比"))*In!K$170:K$182)</f>
        <v>0</v>
      </c>
      <c r="J17" s="24" t="n">
        <f aca="false">SUMPRODUCT((In!$H$170:$H$182="sov")*(In!$I$170:$I$182="oth")*((In!$J$170:$J$182="比")*$M17+(In!$J$170:$J$182&lt;&gt;"比"))*In!K$170:K$182)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1343</v>
      </c>
      <c r="B18" s="0" t="s">
        <v>553</v>
      </c>
      <c r="C18" s="24" t="n">
        <f aca="false">SUMPRODUCT((In!$H$170:$H$182="cn")*(In!$I$170:$I$182="self")*((In!$J$170:$J$182="比")*$M18+(In!$J$170:$J$182&lt;&gt;"比"))*In!K$170:K$182)</f>
        <v>8.33333333333333</v>
      </c>
      <c r="D18" s="24" t="n">
        <f aca="false">SUMPRODUCT((In!$H$170:$H$182="cn")*(In!$I$170:$I$182="oai")*((In!$J$170:$J$182="比")*$M18+(In!$J$170:$J$182&lt;&gt;"比"))*In!K$170:K$182)</f>
        <v>0</v>
      </c>
      <c r="E18" s="24" t="n">
        <f aca="false">SUMPRODUCT((In!$H$170:$H$182="cn")*(In!$I$170:$I$182="ant")*((In!$J$170:$J$182="比")*$M18+(In!$J$170:$J$182&lt;&gt;"比"))*In!K$170:K$182)</f>
        <v>0</v>
      </c>
      <c r="F18" s="24" t="n">
        <f aca="false">SUMPRODUCT((In!$H$170:$H$182="cn")*(In!$I$170:$I$182="xai")*((In!$J$170:$J$182="比")*$M18+(In!$J$170:$J$182&lt;&gt;"比"))*In!K$170:K$182)</f>
        <v>0</v>
      </c>
      <c r="G18" s="24" t="n">
        <f aca="false">SUMPRODUCT((In!$H$170:$H$182="cn")*(In!$I$170:$I$182="meta")*((In!$J$170:$J$182="比")*$M18+(In!$J$170:$J$182&lt;&gt;"比"))*In!K$170:K$182)</f>
        <v>0</v>
      </c>
      <c r="H18" s="24" t="n">
        <f aca="false">SUMPRODUCT((In!$H$170:$H$182="cn")*(In!$I$170:$I$182="googl")*((In!$J$170:$J$182="比")*$M18+(In!$J$170:$J$182&lt;&gt;"比"))*In!K$170:K$182)</f>
        <v>0</v>
      </c>
      <c r="I18" s="24" t="n">
        <f aca="false">SUMPRODUCT((In!$H$170:$H$182="cn")*(In!$I$170:$I$182="msft")*((In!$J$170:$J$182="比")*$M18+(In!$J$170:$J$182&lt;&gt;"比"))*In!K$170:K$182)</f>
        <v>0</v>
      </c>
      <c r="J18" s="24" t="n">
        <f aca="false">SUMPRODUCT((In!$H$170:$H$182="cn")*(In!$I$170:$I$182="oth")*((In!$J$170:$J$182="比")*$M18+(In!$J$170:$J$182&lt;&gt;"比"))*In!K$170:K$182)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1344</v>
      </c>
      <c r="B19" s="0" t="s">
        <v>738</v>
      </c>
      <c r="C19" s="24" t="n">
        <f aca="false">SUMPRODUCT((In!$H$170:$H$182="oth")*(In!$I$170:$I$182="self")*((In!$J$170:$J$182="比")*$M19+(In!$J$170:$J$182&lt;&gt;"比"))*In!K$170:K$182)</f>
        <v>0</v>
      </c>
      <c r="D19" s="24" t="n">
        <f aca="false">SUMPRODUCT((In!$H$170:$H$182="oth")*(In!$I$170:$I$182="oai")*((In!$J$170:$J$182="比")*$M19+(In!$J$170:$J$182&lt;&gt;"比"))*In!K$170:K$182)</f>
        <v>0</v>
      </c>
      <c r="E19" s="24" t="n">
        <f aca="false">SUMPRODUCT((In!$H$170:$H$182="oth")*(In!$I$170:$I$182="ant")*((In!$J$170:$J$182="比")*$M19+(In!$J$170:$J$182&lt;&gt;"比"))*In!K$170:K$182)</f>
        <v>0</v>
      </c>
      <c r="F19" s="24" t="n">
        <f aca="false">SUMPRODUCT((In!$H$170:$H$182="oth")*(In!$I$170:$I$182="xai")*((In!$J$170:$J$182="比")*$M19+(In!$J$170:$J$182&lt;&gt;"比"))*In!K$170:K$182)</f>
        <v>0</v>
      </c>
      <c r="G19" s="24" t="n">
        <f aca="false">SUMPRODUCT((In!$H$170:$H$182="oth")*(In!$I$170:$I$182="meta")*((In!$J$170:$J$182="比")*$M19+(In!$J$170:$J$182&lt;&gt;"比"))*In!K$170:K$182)</f>
        <v>0</v>
      </c>
      <c r="H19" s="24" t="n">
        <f aca="false">SUMPRODUCT((In!$H$170:$H$182="oth")*(In!$I$170:$I$182="googl")*((In!$J$170:$J$182="比")*$M19+(In!$J$170:$J$182&lt;&gt;"比"))*In!K$170:K$182)</f>
        <v>0</v>
      </c>
      <c r="I19" s="24" t="n">
        <f aca="false">SUMPRODUCT((In!$H$170:$H$182="oth")*(In!$I$170:$I$182="msft")*((In!$J$170:$J$182="比")*$M19+(In!$J$170:$J$182&lt;&gt;"比"))*In!K$170:K$182)</f>
        <v>0</v>
      </c>
      <c r="J19" s="24" t="n">
        <f aca="false">SUMPRODUCT((In!$H$170:$H$182="oth")*(In!$I$170:$I$182="oth")*((In!$J$170:$J$182="比")*$M19+(In!$J$170:$J$182&lt;&gt;"比"))*In!K$170:K$182)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1345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1346</v>
      </c>
      <c r="D21" s="24" t="n">
        <f aca="false">IF(In!J156="","",IF(In!$C$156="設施",In!J156/Players!F$13,In!J156))</f>
        <v>1.9</v>
      </c>
      <c r="L21" s="29" t="n">
        <f aca="false">IF(OR(D21="",N(D21)=0),"",D20/D21)</f>
        <v>0</v>
      </c>
      <c r="M21" s="5" t="s">
        <v>1347</v>
      </c>
    </row>
    <row r="22" customFormat="false" ht="17.15" hidden="false" customHeight="false" outlineLevel="0" collapsed="false">
      <c r="A22" s="5" t="s">
        <v>1348</v>
      </c>
      <c r="E22" s="24" t="n">
        <f aca="false">IF(In!J157="","",IF(In!$C$157="設施",In!J157/Players!F$13,In!J157))</f>
        <v>1.4</v>
      </c>
      <c r="L22" s="29" t="n">
        <f aca="false">IF(OR(E22="",N(E22)=0),"",E20/E22)</f>
        <v>0.447142857142857</v>
      </c>
      <c r="M22" s="5" t="s">
        <v>1347</v>
      </c>
    </row>
    <row r="24" customFormat="false" ht="17.15" hidden="false" customHeight="false" outlineLevel="0" collapsed="false">
      <c r="A24" s="8" t="s">
        <v>1349</v>
      </c>
    </row>
    <row r="25" customFormat="false" ht="17.15" hidden="false" customHeight="false" outlineLevel="0" collapsed="false">
      <c r="A25" s="6" t="s">
        <v>500</v>
      </c>
      <c r="B25" s="6" t="s">
        <v>15</v>
      </c>
      <c r="C25" s="6" t="s">
        <v>1322</v>
      </c>
      <c r="D25" s="7" t="s">
        <v>1323</v>
      </c>
      <c r="E25" s="7" t="s">
        <v>1324</v>
      </c>
      <c r="F25" s="7" t="s">
        <v>1325</v>
      </c>
      <c r="G25" s="7" t="s">
        <v>1070</v>
      </c>
      <c r="H25" s="7" t="s">
        <v>1326</v>
      </c>
      <c r="I25" s="7" t="s">
        <v>1327</v>
      </c>
      <c r="J25" s="6" t="s">
        <v>1328</v>
      </c>
      <c r="K25" s="6" t="s">
        <v>1329</v>
      </c>
      <c r="L25" s="6" t="s">
        <v>1330</v>
      </c>
      <c r="M25" s="7" t="s">
        <v>1331</v>
      </c>
      <c r="N25" s="6" t="s">
        <v>1332</v>
      </c>
    </row>
    <row r="26" customFormat="false" ht="17.15" hidden="false" customHeight="false" outlineLevel="0" collapsed="false">
      <c r="A26" s="0" t="s">
        <v>1333</v>
      </c>
      <c r="B26" s="0" t="s">
        <v>507</v>
      </c>
      <c r="C26" s="24" t="n">
        <f aca="false">SUMPRODUCT((In!$H$170:$H$182="msft")*(In!$I$170:$I$182="self")*((In!$J$170:$J$182="比")*$M26+(In!$J$170:$J$182&lt;&gt;"比"))*In!L$170:L$182)</f>
        <v>1.8</v>
      </c>
      <c r="D26" s="24" t="n">
        <f aca="false">SUMPRODUCT((In!$H$170:$H$182="msft")*(In!$I$170:$I$182="oai")*((In!$J$170:$J$182="比")*$M26+(In!$J$170:$J$182&lt;&gt;"比"))*In!L$170:L$182)</f>
        <v>0</v>
      </c>
      <c r="E26" s="24" t="n">
        <f aca="false">SUMPRODUCT((In!$H$170:$H$182="msft")*(In!$I$170:$I$182="ant")*((In!$J$170:$J$182="比")*$M26+(In!$J$170:$J$182&lt;&gt;"比"))*In!L$170:L$182)</f>
        <v>0</v>
      </c>
      <c r="F26" s="24" t="n">
        <f aca="false">SUMPRODUCT((In!$H$170:$H$182="msft")*(In!$I$170:$I$182="xai")*((In!$J$170:$J$182="比")*$M26+(In!$J$170:$J$182&lt;&gt;"比"))*In!L$170:L$182)</f>
        <v>0</v>
      </c>
      <c r="G26" s="24" t="n">
        <f aca="false">SUMPRODUCT((In!$H$170:$H$182="msft")*(In!$I$170:$I$182="meta")*((In!$J$170:$J$182="比")*$M26+(In!$J$170:$J$182&lt;&gt;"比"))*In!L$170:L$182)</f>
        <v>0</v>
      </c>
      <c r="H26" s="24" t="n">
        <f aca="false">SUMPRODUCT((In!$H$170:$H$182="msft")*(In!$I$170:$I$182="googl")*((In!$J$170:$J$182="比")*$M26+(In!$J$170:$J$182&lt;&gt;"比"))*In!L$170:L$182)</f>
        <v>0</v>
      </c>
      <c r="I26" s="24" t="n">
        <f aca="false">SUMPRODUCT((In!$H$170:$H$182="msft")*(In!$I$170:$I$182="msft")*((In!$J$170:$J$182="比")*$M26+(In!$J$170:$J$182&lt;&gt;"比"))*In!L$170:L$182)</f>
        <v>0</v>
      </c>
      <c r="J26" s="24" t="n">
        <f aca="false">SUMPRODUCT((In!$H$170:$H$182="msft")*(In!$I$170:$I$182="oth")*((In!$J$170:$J$182="比")*$M26+(In!$J$170:$J$182&lt;&gt;"比"))*In!L$170:L$182)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1334</v>
      </c>
      <c r="B27" s="0" t="s">
        <v>512</v>
      </c>
      <c r="C27" s="24" t="n">
        <f aca="false">SUMPRODUCT((In!$H$170:$H$182="googl")*(In!$I$170:$I$182="self")*((In!$J$170:$J$182="比")*$M27+(In!$J$170:$J$182&lt;&gt;"比"))*In!L$170:L$182)</f>
        <v>3.9148753894081</v>
      </c>
      <c r="D27" s="24" t="n">
        <f aca="false">SUMPRODUCT((In!$H$170:$H$182="googl")*(In!$I$170:$I$182="oai")*((In!$J$170:$J$182="比")*$M27+(In!$J$170:$J$182&lt;&gt;"比"))*In!L$170:L$182)</f>
        <v>0</v>
      </c>
      <c r="E27" s="24" t="n">
        <f aca="false">SUMPRODUCT((In!$H$170:$H$182="googl")*(In!$I$170:$I$182="ant")*((In!$J$170:$J$182="比")*$M27+(In!$J$170:$J$182&lt;&gt;"比"))*In!L$170:L$182)</f>
        <v>1</v>
      </c>
      <c r="F27" s="24" t="n">
        <f aca="false">SUMPRODUCT((In!$H$170:$H$182="googl")*(In!$I$170:$I$182="xai")*((In!$J$170:$J$182="比")*$M27+(In!$J$170:$J$182&lt;&gt;"比"))*In!L$170:L$182)</f>
        <v>0</v>
      </c>
      <c r="G27" s="24" t="n">
        <f aca="false">SUMPRODUCT((In!$H$170:$H$182="googl")*(In!$I$170:$I$182="meta")*((In!$J$170:$J$182="比")*$M27+(In!$J$170:$J$182&lt;&gt;"比"))*In!L$170:L$182)</f>
        <v>0</v>
      </c>
      <c r="H27" s="24" t="n">
        <f aca="false">SUMPRODUCT((In!$H$170:$H$182="googl")*(In!$I$170:$I$182="googl")*((In!$J$170:$J$182="比")*$M27+(In!$J$170:$J$182&lt;&gt;"比"))*In!L$170:L$182)</f>
        <v>0</v>
      </c>
      <c r="I27" s="24" t="n">
        <f aca="false">SUMPRODUCT((In!$H$170:$H$182="googl")*(In!$I$170:$I$182="msft")*((In!$J$170:$J$182="比")*$M27+(In!$J$170:$J$182&lt;&gt;"比"))*In!L$170:L$182)</f>
        <v>0</v>
      </c>
      <c r="J27" s="24" t="n">
        <f aca="false">SUMPRODUCT((In!$H$170:$H$182="googl")*(In!$I$170:$I$182="oth")*((In!$J$170:$J$182="比")*$M27+(In!$J$170:$J$182&lt;&gt;"比"))*In!L$170:L$182)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1335</v>
      </c>
      <c r="B28" s="0" t="s">
        <v>520</v>
      </c>
      <c r="C28" s="24" t="n">
        <f aca="false">SUMPRODUCT((In!$H$170:$H$182="amzn")*(In!$I$170:$I$182="self")*((In!$J$170:$J$182="比")*$M28+(In!$J$170:$J$182&lt;&gt;"比"))*In!L$170:L$182)</f>
        <v>0.5454</v>
      </c>
      <c r="D28" s="24" t="n">
        <f aca="false">SUMPRODUCT((In!$H$170:$H$182="amzn")*(In!$I$170:$I$182="oai")*((In!$J$170:$J$182="比")*$M28+(In!$J$170:$J$182&lt;&gt;"比"))*In!L$170:L$182)</f>
        <v>0</v>
      </c>
      <c r="E28" s="24" t="n">
        <f aca="false">SUMPRODUCT((In!$H$170:$H$182="amzn")*(In!$I$170:$I$182="ant")*((In!$J$170:$J$182="比")*$M28+(In!$J$170:$J$182&lt;&gt;"比"))*In!L$170:L$182)</f>
        <v>1.037</v>
      </c>
      <c r="F28" s="24" t="n">
        <f aca="false">SUMPRODUCT((In!$H$170:$H$182="amzn")*(In!$I$170:$I$182="xai")*((In!$J$170:$J$182="比")*$M28+(In!$J$170:$J$182&lt;&gt;"比"))*In!L$170:L$182)</f>
        <v>0</v>
      </c>
      <c r="G28" s="24" t="n">
        <f aca="false">SUMPRODUCT((In!$H$170:$H$182="amzn")*(In!$I$170:$I$182="meta")*((In!$J$170:$J$182="比")*$M28+(In!$J$170:$J$182&lt;&gt;"比"))*In!L$170:L$182)</f>
        <v>0</v>
      </c>
      <c r="H28" s="24" t="n">
        <f aca="false">SUMPRODUCT((In!$H$170:$H$182="amzn")*(In!$I$170:$I$182="googl")*((In!$J$170:$J$182="比")*$M28+(In!$J$170:$J$182&lt;&gt;"比"))*In!L$170:L$182)</f>
        <v>0</v>
      </c>
      <c r="I28" s="24" t="n">
        <f aca="false">SUMPRODUCT((In!$H$170:$H$182="amzn")*(In!$I$170:$I$182="msft")*((In!$J$170:$J$182="比")*$M28+(In!$J$170:$J$182&lt;&gt;"比"))*In!L$170:L$182)</f>
        <v>0</v>
      </c>
      <c r="J28" s="24" t="n">
        <f aca="false">SUMPRODUCT((In!$H$170:$H$182="amzn")*(In!$I$170:$I$182="oth")*((In!$J$170:$J$182="比")*$M28+(In!$J$170:$J$182&lt;&gt;"比"))*In!L$170:L$182)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1070</v>
      </c>
      <c r="B29" s="0" t="s">
        <v>527</v>
      </c>
      <c r="C29" s="24" t="n">
        <f aca="false">SUMPRODUCT((In!$H$170:$H$182="meta")*(In!$I$170:$I$182="self")*((In!$J$170:$J$182="比")*$M29+(In!$J$170:$J$182&lt;&gt;"比"))*In!L$170:L$182)</f>
        <v>0</v>
      </c>
      <c r="D29" s="24" t="n">
        <f aca="false">SUMPRODUCT((In!$H$170:$H$182="meta")*(In!$I$170:$I$182="oai")*((In!$J$170:$J$182="比")*$M29+(In!$J$170:$J$182&lt;&gt;"比"))*In!L$170:L$182)</f>
        <v>0</v>
      </c>
      <c r="E29" s="24" t="n">
        <f aca="false">SUMPRODUCT((In!$H$170:$H$182="meta")*(In!$I$170:$I$182="ant")*((In!$J$170:$J$182="比")*$M29+(In!$J$170:$J$182&lt;&gt;"比"))*In!L$170:L$182)</f>
        <v>0</v>
      </c>
      <c r="F29" s="24" t="n">
        <f aca="false">SUMPRODUCT((In!$H$170:$H$182="meta")*(In!$I$170:$I$182="xai")*((In!$J$170:$J$182="比")*$M29+(In!$J$170:$J$182&lt;&gt;"比"))*In!L$170:L$182)</f>
        <v>0</v>
      </c>
      <c r="G29" s="24" t="n">
        <f aca="false">SUMPRODUCT((In!$H$170:$H$182="meta")*(In!$I$170:$I$182="meta")*((In!$J$170:$J$182="比")*$M29+(In!$J$170:$J$182&lt;&gt;"比"))*In!L$170:L$182)</f>
        <v>3.152595</v>
      </c>
      <c r="H29" s="24" t="n">
        <f aca="false">SUMPRODUCT((In!$H$170:$H$182="meta")*(In!$I$170:$I$182="googl")*((In!$J$170:$J$182="比")*$M29+(In!$J$170:$J$182&lt;&gt;"比"))*In!L$170:L$182)</f>
        <v>0</v>
      </c>
      <c r="I29" s="24" t="n">
        <f aca="false">SUMPRODUCT((In!$H$170:$H$182="meta")*(In!$I$170:$I$182="msft")*((In!$J$170:$J$182="比")*$M29+(In!$J$170:$J$182&lt;&gt;"比"))*In!L$170:L$182)</f>
        <v>0</v>
      </c>
      <c r="J29" s="24" t="n">
        <f aca="false">SUMPRODUCT((In!$H$170:$H$182="meta")*(In!$I$170:$I$182="oth")*((In!$J$170:$J$182="比")*$M29+(In!$J$170:$J$182&lt;&gt;"比"))*In!L$170:L$182)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1336</v>
      </c>
      <c r="B30" s="0" t="s">
        <v>531</v>
      </c>
      <c r="C30" s="24" t="n">
        <f aca="false">SUMPRODUCT((In!$H$170:$H$182="orcl")*(In!$I$170:$I$182="self")*((In!$J$170:$J$182="比")*$M30+(In!$J$170:$J$182&lt;&gt;"比"))*In!L$170:L$182)</f>
        <v>0</v>
      </c>
      <c r="D30" s="24" t="n">
        <f aca="false">SUMPRODUCT((In!$H$170:$H$182="orcl")*(In!$I$170:$I$182="oai")*((In!$J$170:$J$182="比")*$M30+(In!$J$170:$J$182&lt;&gt;"比"))*In!L$170:L$182)</f>
        <v>0.824</v>
      </c>
      <c r="E30" s="24" t="n">
        <f aca="false">SUMPRODUCT((In!$H$170:$H$182="orcl")*(In!$I$170:$I$182="ant")*((In!$J$170:$J$182="比")*$M30+(In!$J$170:$J$182&lt;&gt;"比"))*In!L$170:L$182)</f>
        <v>0</v>
      </c>
      <c r="F30" s="24" t="n">
        <f aca="false">SUMPRODUCT((In!$H$170:$H$182="orcl")*(In!$I$170:$I$182="xai")*((In!$J$170:$J$182="比")*$M30+(In!$J$170:$J$182&lt;&gt;"比"))*In!L$170:L$182)</f>
        <v>0</v>
      </c>
      <c r="G30" s="24" t="n">
        <f aca="false">SUMPRODUCT((In!$H$170:$H$182="orcl")*(In!$I$170:$I$182="meta")*((In!$J$170:$J$182="比")*$M30+(In!$J$170:$J$182&lt;&gt;"比"))*In!L$170:L$182)</f>
        <v>0</v>
      </c>
      <c r="H30" s="24" t="n">
        <f aca="false">SUMPRODUCT((In!$H$170:$H$182="orcl")*(In!$I$170:$I$182="googl")*((In!$J$170:$J$182="比")*$M30+(In!$J$170:$J$182&lt;&gt;"比"))*In!L$170:L$182)</f>
        <v>0</v>
      </c>
      <c r="I30" s="24" t="n">
        <f aca="false">SUMPRODUCT((In!$H$170:$H$182="orcl")*(In!$I$170:$I$182="msft")*((In!$J$170:$J$182="比")*$M30+(In!$J$170:$J$182&lt;&gt;"比"))*In!L$170:L$182)</f>
        <v>0</v>
      </c>
      <c r="J30" s="24" t="n">
        <f aca="false">SUMPRODUCT((In!$H$170:$H$182="orcl")*(In!$I$170:$I$182="oth")*((In!$J$170:$J$182="比")*$M30+(In!$J$170:$J$182&lt;&gt;"比"))*In!L$170:L$182)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1108</v>
      </c>
      <c r="B31" s="0" t="s">
        <v>621</v>
      </c>
      <c r="C31" s="24" t="n">
        <f aca="false">SUMPRODUCT((In!$H$170:$H$182="crwv")*(In!$I$170:$I$182="self")*((In!$J$170:$J$182="比")*$M31+(In!$J$170:$J$182&lt;&gt;"比"))*In!L$170:L$182)</f>
        <v>0</v>
      </c>
      <c r="D31" s="24" t="n">
        <f aca="false">SUMPRODUCT((In!$H$170:$H$182="crwv")*(In!$I$170:$I$182="oai")*((In!$J$170:$J$182="比")*$M31+(In!$J$170:$J$182&lt;&gt;"比"))*In!L$170:L$182)</f>
        <v>0</v>
      </c>
      <c r="E31" s="24" t="n">
        <f aca="false">SUMPRODUCT((In!$H$170:$H$182="crwv")*(In!$I$170:$I$182="ant")*((In!$J$170:$J$182="比")*$M31+(In!$J$170:$J$182&lt;&gt;"比"))*In!L$170:L$182)</f>
        <v>0</v>
      </c>
      <c r="F31" s="24" t="n">
        <f aca="false">SUMPRODUCT((In!$H$170:$H$182="crwv")*(In!$I$170:$I$182="xai")*((In!$J$170:$J$182="比")*$M31+(In!$J$170:$J$182&lt;&gt;"比"))*In!L$170:L$182)</f>
        <v>0</v>
      </c>
      <c r="G31" s="24" t="n">
        <f aca="false">SUMPRODUCT((In!$H$170:$H$182="crwv")*(In!$I$170:$I$182="meta")*((In!$J$170:$J$182="比")*$M31+(In!$J$170:$J$182&lt;&gt;"比"))*In!L$170:L$182)</f>
        <v>0</v>
      </c>
      <c r="H31" s="24" t="n">
        <f aca="false">SUMPRODUCT((In!$H$170:$H$182="crwv")*(In!$I$170:$I$182="googl")*((In!$J$170:$J$182="比")*$M31+(In!$J$170:$J$182&lt;&gt;"比"))*In!L$170:L$182)</f>
        <v>0</v>
      </c>
      <c r="I31" s="24" t="n">
        <f aca="false">SUMPRODUCT((In!$H$170:$H$182="crwv")*(In!$I$170:$I$182="msft")*((In!$J$170:$J$182="比")*$M31+(In!$J$170:$J$182&lt;&gt;"比"))*In!L$170:L$182)</f>
        <v>0</v>
      </c>
      <c r="J31" s="24" t="n">
        <f aca="false">SUMPRODUCT((In!$H$170:$H$182="crwv")*(In!$I$170:$I$182="oth")*((In!$J$170:$J$182="比")*$M31+(In!$J$170:$J$182&lt;&gt;"比"))*In!L$170:L$182)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1127</v>
      </c>
      <c r="B32" s="0" t="s">
        <v>652</v>
      </c>
      <c r="C32" s="24" t="n">
        <f aca="false">SUMPRODUCT((In!$H$170:$H$182="nbis")*(In!$I$170:$I$182="self")*((In!$J$170:$J$182="比")*$M32+(In!$J$170:$J$182&lt;&gt;"比"))*In!L$170:L$182)</f>
        <v>0</v>
      </c>
      <c r="D32" s="24" t="n">
        <f aca="false">SUMPRODUCT((In!$H$170:$H$182="nbis")*(In!$I$170:$I$182="oai")*((In!$J$170:$J$182="比")*$M32+(In!$J$170:$J$182&lt;&gt;"比"))*In!L$170:L$182)</f>
        <v>0</v>
      </c>
      <c r="E32" s="24" t="n">
        <f aca="false">SUMPRODUCT((In!$H$170:$H$182="nbis")*(In!$I$170:$I$182="ant")*((In!$J$170:$J$182="比")*$M32+(In!$J$170:$J$182&lt;&gt;"比"))*In!L$170:L$182)</f>
        <v>0</v>
      </c>
      <c r="F32" s="24" t="n">
        <f aca="false">SUMPRODUCT((In!$H$170:$H$182="nbis")*(In!$I$170:$I$182="xai")*((In!$J$170:$J$182="比")*$M32+(In!$J$170:$J$182&lt;&gt;"比"))*In!L$170:L$182)</f>
        <v>0</v>
      </c>
      <c r="G32" s="24" t="n">
        <f aca="false">SUMPRODUCT((In!$H$170:$H$182="nbis")*(In!$I$170:$I$182="meta")*((In!$J$170:$J$182="比")*$M32+(In!$J$170:$J$182&lt;&gt;"比"))*In!L$170:L$182)</f>
        <v>0</v>
      </c>
      <c r="H32" s="24" t="n">
        <f aca="false">SUMPRODUCT((In!$H$170:$H$182="nbis")*(In!$I$170:$I$182="googl")*((In!$J$170:$J$182="比")*$M32+(In!$J$170:$J$182&lt;&gt;"比"))*In!L$170:L$182)</f>
        <v>0</v>
      </c>
      <c r="I32" s="24" t="n">
        <f aca="false">SUMPRODUCT((In!$H$170:$H$182="nbis")*(In!$I$170:$I$182="msft")*((In!$J$170:$J$182="比")*$M32+(In!$J$170:$J$182&lt;&gt;"比"))*In!L$170:L$182)</f>
        <v>0</v>
      </c>
      <c r="J32" s="24" t="n">
        <f aca="false">SUMPRODUCT((In!$H$170:$H$182="nbis")*(In!$I$170:$I$182="oth")*((In!$J$170:$J$182="比")*$M32+(In!$J$170:$J$182&lt;&gt;"比"))*In!L$170:L$182)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1337</v>
      </c>
      <c r="B33" s="0" t="s">
        <v>1147</v>
      </c>
      <c r="C33" s="24" t="n">
        <f aca="false">SUMPRODUCT((In!$H$170:$H$182="wyfi")*(In!$I$170:$I$182="self")*((In!$J$170:$J$182="比")*$M33+(In!$J$170:$J$182&lt;&gt;"比"))*In!L$170:L$182)</f>
        <v>0</v>
      </c>
      <c r="D33" s="24" t="n">
        <f aca="false">SUMPRODUCT((In!$H$170:$H$182="wyfi")*(In!$I$170:$I$182="oai")*((In!$J$170:$J$182="比")*$M33+(In!$J$170:$J$182&lt;&gt;"比"))*In!L$170:L$182)</f>
        <v>0</v>
      </c>
      <c r="E33" s="24" t="n">
        <f aca="false">SUMPRODUCT((In!$H$170:$H$182="wyfi")*(In!$I$170:$I$182="ant")*((In!$J$170:$J$182="比")*$M33+(In!$J$170:$J$182&lt;&gt;"比"))*In!L$170:L$182)</f>
        <v>0</v>
      </c>
      <c r="F33" s="24" t="n">
        <f aca="false">SUMPRODUCT((In!$H$170:$H$182="wyfi")*(In!$I$170:$I$182="xai")*((In!$J$170:$J$182="比")*$M33+(In!$J$170:$J$182&lt;&gt;"比"))*In!L$170:L$182)</f>
        <v>0</v>
      </c>
      <c r="G33" s="24" t="n">
        <f aca="false">SUMPRODUCT((In!$H$170:$H$182="wyfi")*(In!$I$170:$I$182="meta")*((In!$J$170:$J$182="比")*$M33+(In!$J$170:$J$182&lt;&gt;"比"))*In!L$170:L$182)</f>
        <v>0</v>
      </c>
      <c r="H33" s="24" t="n">
        <f aca="false">SUMPRODUCT((In!$H$170:$H$182="wyfi")*(In!$I$170:$I$182="googl")*((In!$J$170:$J$182="比")*$M33+(In!$J$170:$J$182&lt;&gt;"比"))*In!L$170:L$182)</f>
        <v>0</v>
      </c>
      <c r="I33" s="24" t="n">
        <f aca="false">SUMPRODUCT((In!$H$170:$H$182="wyfi")*(In!$I$170:$I$182="msft")*((In!$J$170:$J$182="比")*$M33+(In!$J$170:$J$182&lt;&gt;"比"))*In!L$170:L$182)</f>
        <v>0</v>
      </c>
      <c r="J33" s="24" t="n">
        <f aca="false">SUMPRODUCT((In!$H$170:$H$182="wyfi")*(In!$I$170:$I$182="oth")*((In!$J$170:$J$182="比")*$M33+(In!$J$170:$J$182&lt;&gt;"比"))*In!L$170:L$182)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1338</v>
      </c>
      <c r="B34" s="0" t="s">
        <v>536</v>
      </c>
      <c r="C34" s="24" t="n">
        <f aca="false">SUMPRODUCT((In!$H$170:$H$182="xai")*(In!$I$170:$I$182="self")*((In!$J$170:$J$182="比")*$M34+(In!$J$170:$J$182&lt;&gt;"比"))*In!L$170:L$182)</f>
        <v>0</v>
      </c>
      <c r="D34" s="24" t="n">
        <f aca="false">SUMPRODUCT((In!$H$170:$H$182="xai")*(In!$I$170:$I$182="oai")*((In!$J$170:$J$182="比")*$M34+(In!$J$170:$J$182&lt;&gt;"比"))*In!L$170:L$182)</f>
        <v>0</v>
      </c>
      <c r="E34" s="24" t="n">
        <f aca="false">SUMPRODUCT((In!$H$170:$H$182="xai")*(In!$I$170:$I$182="ant")*((In!$J$170:$J$182="比")*$M34+(In!$J$170:$J$182&lt;&gt;"比"))*In!L$170:L$182)</f>
        <v>0</v>
      </c>
      <c r="F34" s="24" t="n">
        <f aca="false">SUMPRODUCT((In!$H$170:$H$182="xai")*(In!$I$170:$I$182="xai")*((In!$J$170:$J$182="比")*$M34+(In!$J$170:$J$182&lt;&gt;"比"))*In!L$170:L$182)</f>
        <v>0</v>
      </c>
      <c r="G34" s="24" t="n">
        <f aca="false">SUMPRODUCT((In!$H$170:$H$182="xai")*(In!$I$170:$I$182="meta")*((In!$J$170:$J$182="比")*$M34+(In!$J$170:$J$182&lt;&gt;"比"))*In!L$170:L$182)</f>
        <v>0</v>
      </c>
      <c r="H34" s="24" t="n">
        <f aca="false">SUMPRODUCT((In!$H$170:$H$182="xai")*(In!$I$170:$I$182="googl")*((In!$J$170:$J$182="比")*$M34+(In!$J$170:$J$182&lt;&gt;"比"))*In!L$170:L$182)</f>
        <v>0.19</v>
      </c>
      <c r="I34" s="24" t="n">
        <f aca="false">SUMPRODUCT((In!$H$170:$H$182="xai")*(In!$I$170:$I$182="msft")*((In!$J$170:$J$182="比")*$M34+(In!$J$170:$J$182&lt;&gt;"比"))*In!L$170:L$182)</f>
        <v>0</v>
      </c>
      <c r="J34" s="24" t="n">
        <f aca="false">SUMPRODUCT((In!$H$170:$H$182="xai")*(In!$I$170:$I$182="oth")*((In!$J$170:$J$182="比")*$M34+(In!$J$170:$J$182&lt;&gt;"比"))*In!L$170:L$182)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1339</v>
      </c>
      <c r="B35" s="0" t="s">
        <v>532</v>
      </c>
      <c r="C35" s="24" t="n">
        <f aca="false">SUMPRODUCT((In!$H$170:$H$182="oai")*(In!$I$170:$I$182="self")*((In!$J$170:$J$182="比")*$M35+(In!$J$170:$J$182&lt;&gt;"比"))*In!L$170:L$182)</f>
        <v>0</v>
      </c>
      <c r="D35" s="24" t="n">
        <f aca="false">SUMPRODUCT((In!$H$170:$H$182="oai")*(In!$I$170:$I$182="oai")*((In!$J$170:$J$182="比")*$M35+(In!$J$170:$J$182&lt;&gt;"比"))*In!L$170:L$182)</f>
        <v>0</v>
      </c>
      <c r="E35" s="24" t="n">
        <f aca="false">SUMPRODUCT((In!$H$170:$H$182="oai")*(In!$I$170:$I$182="ant")*((In!$J$170:$J$182="比")*$M35+(In!$J$170:$J$182&lt;&gt;"比"))*In!L$170:L$182)</f>
        <v>0</v>
      </c>
      <c r="F35" s="24" t="n">
        <f aca="false">SUMPRODUCT((In!$H$170:$H$182="oai")*(In!$I$170:$I$182="xai")*((In!$J$170:$J$182="比")*$M35+(In!$J$170:$J$182&lt;&gt;"比"))*In!L$170:L$182)</f>
        <v>0</v>
      </c>
      <c r="G35" s="24" t="n">
        <f aca="false">SUMPRODUCT((In!$H$170:$H$182="oai")*(In!$I$170:$I$182="meta")*((In!$J$170:$J$182="比")*$M35+(In!$J$170:$J$182&lt;&gt;"比"))*In!L$170:L$182)</f>
        <v>0</v>
      </c>
      <c r="H35" s="24" t="n">
        <f aca="false">SUMPRODUCT((In!$H$170:$H$182="oai")*(In!$I$170:$I$182="googl")*((In!$J$170:$J$182="比")*$M35+(In!$J$170:$J$182&lt;&gt;"比"))*In!L$170:L$182)</f>
        <v>0</v>
      </c>
      <c r="I35" s="24" t="n">
        <f aca="false">SUMPRODUCT((In!$H$170:$H$182="oai")*(In!$I$170:$I$182="msft")*((In!$J$170:$J$182="比")*$M35+(In!$J$170:$J$182&lt;&gt;"比"))*In!L$170:L$182)</f>
        <v>0</v>
      </c>
      <c r="J35" s="24" t="n">
        <f aca="false">SUMPRODUCT((In!$H$170:$H$182="oai")*(In!$I$170:$I$182="oth")*((In!$J$170:$J$182="比")*$M35+(In!$J$170:$J$182&lt;&gt;"比"))*In!L$170:L$182)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1340</v>
      </c>
      <c r="B36" s="0" t="s">
        <v>516</v>
      </c>
      <c r="C36" s="24" t="n">
        <f aca="false">SUMPRODUCT((In!$H$170:$H$182="ant")*(In!$I$170:$I$182="self")*((In!$J$170:$J$182="比")*$M36+(In!$J$170:$J$182&lt;&gt;"比"))*In!L$170:L$182)</f>
        <v>0</v>
      </c>
      <c r="D36" s="24" t="n">
        <f aca="false">SUMPRODUCT((In!$H$170:$H$182="ant")*(In!$I$170:$I$182="oai")*((In!$J$170:$J$182="比")*$M36+(In!$J$170:$J$182&lt;&gt;"比"))*In!L$170:L$182)</f>
        <v>0</v>
      </c>
      <c r="E36" s="24" t="n">
        <f aca="false">SUMPRODUCT((In!$H$170:$H$182="ant")*(In!$I$170:$I$182="ant")*((In!$J$170:$J$182="比")*$M36+(In!$J$170:$J$182&lt;&gt;"比"))*In!L$170:L$182)</f>
        <v>0</v>
      </c>
      <c r="F36" s="24" t="n">
        <f aca="false">SUMPRODUCT((In!$H$170:$H$182="ant")*(In!$I$170:$I$182="xai")*((In!$J$170:$J$182="比")*$M36+(In!$J$170:$J$182&lt;&gt;"比"))*In!L$170:L$182)</f>
        <v>0</v>
      </c>
      <c r="G36" s="24" t="n">
        <f aca="false">SUMPRODUCT((In!$H$170:$H$182="ant")*(In!$I$170:$I$182="meta")*((In!$J$170:$J$182="比")*$M36+(In!$J$170:$J$182&lt;&gt;"比"))*In!L$170:L$182)</f>
        <v>0</v>
      </c>
      <c r="H36" s="24" t="n">
        <f aca="false">SUMPRODUCT((In!$H$170:$H$182="ant")*(In!$I$170:$I$182="googl")*((In!$J$170:$J$182="比")*$M36+(In!$J$170:$J$182&lt;&gt;"比"))*In!L$170:L$182)</f>
        <v>0</v>
      </c>
      <c r="I36" s="24" t="n">
        <f aca="false">SUMPRODUCT((In!$H$170:$H$182="ant")*(In!$I$170:$I$182="msft")*((In!$J$170:$J$182="比")*$M36+(In!$J$170:$J$182&lt;&gt;"比"))*In!L$170:L$182)</f>
        <v>0</v>
      </c>
      <c r="J36" s="24" t="n">
        <f aca="false">SUMPRODUCT((In!$H$170:$H$182="ant")*(In!$I$170:$I$182="oth")*((In!$J$170:$J$182="比")*$M36+(In!$J$170:$J$182&lt;&gt;"比"))*In!L$170:L$182)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1341</v>
      </c>
      <c r="B37" s="0" t="s">
        <v>546</v>
      </c>
      <c r="C37" s="24" t="n">
        <f aca="false">SUMPRODUCT((In!$H$170:$H$182="neo")*(In!$I$170:$I$182="self")*((In!$J$170:$J$182="比")*$M37+(In!$J$170:$J$182&lt;&gt;"比"))*In!L$170:L$182)</f>
        <v>0</v>
      </c>
      <c r="D37" s="24" t="n">
        <f aca="false">SUMPRODUCT((In!$H$170:$H$182="neo")*(In!$I$170:$I$182="oai")*((In!$J$170:$J$182="比")*$M37+(In!$J$170:$J$182&lt;&gt;"比"))*In!L$170:L$182)</f>
        <v>0</v>
      </c>
      <c r="E37" s="24" t="n">
        <f aca="false">SUMPRODUCT((In!$H$170:$H$182="neo")*(In!$I$170:$I$182="ant")*((In!$J$170:$J$182="比")*$M37+(In!$J$170:$J$182&lt;&gt;"比"))*In!L$170:L$182)</f>
        <v>0</v>
      </c>
      <c r="F37" s="24" t="n">
        <f aca="false">SUMPRODUCT((In!$H$170:$H$182="neo")*(In!$I$170:$I$182="xai")*((In!$J$170:$J$182="比")*$M37+(In!$J$170:$J$182&lt;&gt;"比"))*In!L$170:L$182)</f>
        <v>0</v>
      </c>
      <c r="G37" s="24" t="n">
        <f aca="false">SUMPRODUCT((In!$H$170:$H$182="neo")*(In!$I$170:$I$182="meta")*((In!$J$170:$J$182="比")*$M37+(In!$J$170:$J$182&lt;&gt;"比"))*In!L$170:L$182)</f>
        <v>0</v>
      </c>
      <c r="H37" s="24" t="n">
        <f aca="false">SUMPRODUCT((In!$H$170:$H$182="neo")*(In!$I$170:$I$182="googl")*((In!$J$170:$J$182="比")*$M37+(In!$J$170:$J$182&lt;&gt;"比"))*In!L$170:L$182)</f>
        <v>0</v>
      </c>
      <c r="I37" s="24" t="n">
        <f aca="false">SUMPRODUCT((In!$H$170:$H$182="neo")*(In!$I$170:$I$182="msft")*((In!$J$170:$J$182="比")*$M37+(In!$J$170:$J$182&lt;&gt;"比"))*In!L$170:L$182)</f>
        <v>0.2</v>
      </c>
      <c r="J37" s="24" t="n">
        <f aca="false">SUMPRODUCT((In!$H$170:$H$182="neo")*(In!$I$170:$I$182="oth")*((In!$J$170:$J$182="比")*$M37+(In!$J$170:$J$182&lt;&gt;"比"))*In!L$170:L$182)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1342</v>
      </c>
      <c r="B38" s="0" t="s">
        <v>645</v>
      </c>
      <c r="C38" s="24" t="n">
        <f aca="false">SUMPRODUCT((In!$H$170:$H$182="sov")*(In!$I$170:$I$182="self")*((In!$J$170:$J$182="比")*$M38+(In!$J$170:$J$182&lt;&gt;"比"))*In!L$170:L$182)</f>
        <v>0</v>
      </c>
      <c r="D38" s="24" t="n">
        <f aca="false">SUMPRODUCT((In!$H$170:$H$182="sov")*(In!$I$170:$I$182="oai")*((In!$J$170:$J$182="比")*$M38+(In!$J$170:$J$182&lt;&gt;"比"))*In!L$170:L$182)</f>
        <v>0</v>
      </c>
      <c r="E38" s="24" t="n">
        <f aca="false">SUMPRODUCT((In!$H$170:$H$182="sov")*(In!$I$170:$I$182="ant")*((In!$J$170:$J$182="比")*$M38+(In!$J$170:$J$182&lt;&gt;"比"))*In!L$170:L$182)</f>
        <v>0</v>
      </c>
      <c r="F38" s="24" t="n">
        <f aca="false">SUMPRODUCT((In!$H$170:$H$182="sov")*(In!$I$170:$I$182="xai")*((In!$J$170:$J$182="比")*$M38+(In!$J$170:$J$182&lt;&gt;"比"))*In!L$170:L$182)</f>
        <v>0</v>
      </c>
      <c r="G38" s="24" t="n">
        <f aca="false">SUMPRODUCT((In!$H$170:$H$182="sov")*(In!$I$170:$I$182="meta")*((In!$J$170:$J$182="比")*$M38+(In!$J$170:$J$182&lt;&gt;"比"))*In!L$170:L$182)</f>
        <v>0</v>
      </c>
      <c r="H38" s="24" t="n">
        <f aca="false">SUMPRODUCT((In!$H$170:$H$182="sov")*(In!$I$170:$I$182="googl")*((In!$J$170:$J$182="比")*$M38+(In!$J$170:$J$182&lt;&gt;"比"))*In!L$170:L$182)</f>
        <v>0</v>
      </c>
      <c r="I38" s="24" t="n">
        <f aca="false">SUMPRODUCT((In!$H$170:$H$182="sov")*(In!$I$170:$I$182="msft")*((In!$J$170:$J$182="比")*$M38+(In!$J$170:$J$182&lt;&gt;"比"))*In!L$170:L$182)</f>
        <v>0</v>
      </c>
      <c r="J38" s="24" t="n">
        <f aca="false">SUMPRODUCT((In!$H$170:$H$182="sov")*(In!$I$170:$I$182="oth")*((In!$J$170:$J$182="比")*$M38+(In!$J$170:$J$182&lt;&gt;"比"))*In!L$170:L$182)</f>
        <v>0</v>
      </c>
      <c r="K38" s="24" t="n">
        <f aca="false">$M38-SUM(C38:J38)</f>
        <v>0.4</v>
      </c>
      <c r="L38" s="24" t="n">
        <f aca="false">SUM(C38:K38)</f>
        <v>0.4</v>
      </c>
      <c r="M38" s="27" t="n">
        <f aca="false">N(Players!G258)</f>
        <v>0.4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1343</v>
      </c>
      <c r="B39" s="0" t="s">
        <v>553</v>
      </c>
      <c r="C39" s="24" t="n">
        <f aca="false">SUMPRODUCT((In!$H$170:$H$182="cn")*(In!$I$170:$I$182="self")*((In!$J$170:$J$182="比")*$M39+(In!$J$170:$J$182&lt;&gt;"比"))*In!L$170:L$182)</f>
        <v>11.6666666666667</v>
      </c>
      <c r="D39" s="24" t="n">
        <f aca="false">SUMPRODUCT((In!$H$170:$H$182="cn")*(In!$I$170:$I$182="oai")*((In!$J$170:$J$182="比")*$M39+(In!$J$170:$J$182&lt;&gt;"比"))*In!L$170:L$182)</f>
        <v>0</v>
      </c>
      <c r="E39" s="24" t="n">
        <f aca="false">SUMPRODUCT((In!$H$170:$H$182="cn")*(In!$I$170:$I$182="ant")*((In!$J$170:$J$182="比")*$M39+(In!$J$170:$J$182&lt;&gt;"比"))*In!L$170:L$182)</f>
        <v>0</v>
      </c>
      <c r="F39" s="24" t="n">
        <f aca="false">SUMPRODUCT((In!$H$170:$H$182="cn")*(In!$I$170:$I$182="xai")*((In!$J$170:$J$182="比")*$M39+(In!$J$170:$J$182&lt;&gt;"比"))*In!L$170:L$182)</f>
        <v>0</v>
      </c>
      <c r="G39" s="24" t="n">
        <f aca="false">SUMPRODUCT((In!$H$170:$H$182="cn")*(In!$I$170:$I$182="meta")*((In!$J$170:$J$182="比")*$M39+(In!$J$170:$J$182&lt;&gt;"比"))*In!L$170:L$182)</f>
        <v>0</v>
      </c>
      <c r="H39" s="24" t="n">
        <f aca="false">SUMPRODUCT((In!$H$170:$H$182="cn")*(In!$I$170:$I$182="googl")*((In!$J$170:$J$182="比")*$M39+(In!$J$170:$J$182&lt;&gt;"比"))*In!L$170:L$182)</f>
        <v>0</v>
      </c>
      <c r="I39" s="24" t="n">
        <f aca="false">SUMPRODUCT((In!$H$170:$H$182="cn")*(In!$I$170:$I$182="msft")*((In!$J$170:$J$182="比")*$M39+(In!$J$170:$J$182&lt;&gt;"比"))*In!L$170:L$182)</f>
        <v>0</v>
      </c>
      <c r="J39" s="24" t="n">
        <f aca="false">SUMPRODUCT((In!$H$170:$H$182="cn")*(In!$I$170:$I$182="oth")*((In!$J$170:$J$182="比")*$M39+(In!$J$170:$J$182&lt;&gt;"比"))*In!L$170:L$182)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1344</v>
      </c>
      <c r="B40" s="0" t="s">
        <v>738</v>
      </c>
      <c r="C40" s="24" t="n">
        <f aca="false">SUMPRODUCT((In!$H$170:$H$182="oth")*(In!$I$170:$I$182="self")*((In!$J$170:$J$182="比")*$M40+(In!$J$170:$J$182&lt;&gt;"比"))*In!L$170:L$182)</f>
        <v>0</v>
      </c>
      <c r="D40" s="24" t="n">
        <f aca="false">SUMPRODUCT((In!$H$170:$H$182="oth")*(In!$I$170:$I$182="oai")*((In!$J$170:$J$182="比")*$M40+(In!$J$170:$J$182&lt;&gt;"比"))*In!L$170:L$182)</f>
        <v>0</v>
      </c>
      <c r="E40" s="24" t="n">
        <f aca="false">SUMPRODUCT((In!$H$170:$H$182="oth")*(In!$I$170:$I$182="ant")*((In!$J$170:$J$182="比")*$M40+(In!$J$170:$J$182&lt;&gt;"比"))*In!L$170:L$182)</f>
        <v>0</v>
      </c>
      <c r="F40" s="24" t="n">
        <f aca="false">SUMPRODUCT((In!$H$170:$H$182="oth")*(In!$I$170:$I$182="xai")*((In!$J$170:$J$182="比")*$M40+(In!$J$170:$J$182&lt;&gt;"比"))*In!L$170:L$182)</f>
        <v>0</v>
      </c>
      <c r="G40" s="24" t="n">
        <f aca="false">SUMPRODUCT((In!$H$170:$H$182="oth")*(In!$I$170:$I$182="meta")*((In!$J$170:$J$182="比")*$M40+(In!$J$170:$J$182&lt;&gt;"比"))*In!L$170:L$182)</f>
        <v>0</v>
      </c>
      <c r="H40" s="24" t="n">
        <f aca="false">SUMPRODUCT((In!$H$170:$H$182="oth")*(In!$I$170:$I$182="googl")*((In!$J$170:$J$182="比")*$M40+(In!$J$170:$J$182&lt;&gt;"比"))*In!L$170:L$182)</f>
        <v>0</v>
      </c>
      <c r="I40" s="24" t="n">
        <f aca="false">SUMPRODUCT((In!$H$170:$H$182="oth")*(In!$I$170:$I$182="msft")*((In!$J$170:$J$182="比")*$M40+(In!$J$170:$J$182&lt;&gt;"比"))*In!L$170:L$182)</f>
        <v>0</v>
      </c>
      <c r="J40" s="24" t="n">
        <f aca="false">SUMPRODUCT((In!$H$170:$H$182="oth")*(In!$I$170:$I$182="oth")*((In!$J$170:$J$182="比")*$M40+(In!$J$170:$J$182&lt;&gt;"比"))*In!L$170:L$182)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1345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13.5219777383178</v>
      </c>
      <c r="L41" s="24" t="n">
        <f aca="false">SUM(L26:L40)</f>
        <v>37.8525147943925</v>
      </c>
      <c r="M41" s="24" t="n">
        <f aca="false">SUM(M26:M40)</f>
        <v>37.8525147943925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1346</v>
      </c>
      <c r="D42" s="24" t="n">
        <f aca="false">IF(In!K156="","",IF(In!$C$156="設施",In!K156/Players!G$13,In!K156))</f>
        <v>5</v>
      </c>
      <c r="L42" s="29" t="n">
        <f aca="false">IF(OR(D42="",N(D42)=0),"",D41/D42)</f>
        <v>0.1648</v>
      </c>
      <c r="M42" s="5" t="s">
        <v>1347</v>
      </c>
    </row>
    <row r="43" customFormat="false" ht="17.15" hidden="false" customHeight="false" outlineLevel="0" collapsed="false">
      <c r="A43" s="5" t="s">
        <v>1348</v>
      </c>
      <c r="E43" s="24" t="n">
        <f aca="false">IF(In!K157="","",IF(In!$C$157="設施",In!K157/Players!G$13,In!K157))</f>
        <v>5</v>
      </c>
      <c r="L43" s="29" t="n">
        <f aca="false">IF(OR(E43="",N(E43)=0),"",E41/E43)</f>
        <v>0.4074</v>
      </c>
      <c r="M43" s="5" t="s">
        <v>1347</v>
      </c>
    </row>
    <row r="45" customFormat="false" ht="17.15" hidden="false" customHeight="false" outlineLevel="0" collapsed="false">
      <c r="A45" s="8" t="s">
        <v>1350</v>
      </c>
    </row>
    <row r="46" customFormat="false" ht="17.15" hidden="false" customHeight="false" outlineLevel="0" collapsed="false">
      <c r="A46" s="6" t="s">
        <v>500</v>
      </c>
      <c r="B46" s="6" t="s">
        <v>15</v>
      </c>
      <c r="C46" s="6" t="s">
        <v>1322</v>
      </c>
      <c r="D46" s="7" t="s">
        <v>1323</v>
      </c>
      <c r="E46" s="7" t="s">
        <v>1324</v>
      </c>
      <c r="F46" s="7" t="s">
        <v>1325</v>
      </c>
      <c r="G46" s="7" t="s">
        <v>1070</v>
      </c>
      <c r="H46" s="7" t="s">
        <v>1326</v>
      </c>
      <c r="I46" s="7" t="s">
        <v>1327</v>
      </c>
      <c r="J46" s="6" t="s">
        <v>1328</v>
      </c>
      <c r="K46" s="6" t="s">
        <v>1329</v>
      </c>
      <c r="L46" s="6" t="s">
        <v>1330</v>
      </c>
      <c r="M46" s="7" t="s">
        <v>1331</v>
      </c>
      <c r="N46" s="6" t="s">
        <v>1332</v>
      </c>
    </row>
    <row r="47" customFormat="false" ht="17.15" hidden="false" customHeight="false" outlineLevel="0" collapsed="false">
      <c r="A47" s="0" t="s">
        <v>1333</v>
      </c>
      <c r="B47" s="0" t="s">
        <v>507</v>
      </c>
      <c r="C47" s="24" t="n">
        <f aca="false">SUMPRODUCT((In!$H$170:$H$182="msft")*(In!$I$170:$I$182="self")*((In!$J$170:$J$182="比")*$M47+(In!$J$170:$J$182&lt;&gt;"比"))*In!M$170:M$182)</f>
        <v>2.216</v>
      </c>
      <c r="D47" s="24" t="n">
        <f aca="false">SUMPRODUCT((In!$H$170:$H$182="msft")*(In!$I$170:$I$182="oai")*((In!$J$170:$J$182="比")*$M47+(In!$J$170:$J$182&lt;&gt;"比"))*In!M$170:M$182)</f>
        <v>0</v>
      </c>
      <c r="E47" s="24" t="n">
        <f aca="false">SUMPRODUCT((In!$H$170:$H$182="msft")*(In!$I$170:$I$182="ant")*((In!$J$170:$J$182="比")*$M47+(In!$J$170:$J$182&lt;&gt;"比"))*In!M$170:M$182)</f>
        <v>0</v>
      </c>
      <c r="F47" s="24" t="n">
        <f aca="false">SUMPRODUCT((In!$H$170:$H$182="msft")*(In!$I$170:$I$182="xai")*((In!$J$170:$J$182="比")*$M47+(In!$J$170:$J$182&lt;&gt;"比"))*In!M$170:M$182)</f>
        <v>0</v>
      </c>
      <c r="G47" s="24" t="n">
        <f aca="false">SUMPRODUCT((In!$H$170:$H$182="msft")*(In!$I$170:$I$182="meta")*((In!$J$170:$J$182="比")*$M47+(In!$J$170:$J$182&lt;&gt;"比"))*In!M$170:M$182)</f>
        <v>0</v>
      </c>
      <c r="H47" s="24" t="n">
        <f aca="false">SUMPRODUCT((In!$H$170:$H$182="msft")*(In!$I$170:$I$182="googl")*((In!$J$170:$J$182="比")*$M47+(In!$J$170:$J$182&lt;&gt;"比"))*In!M$170:M$182)</f>
        <v>0</v>
      </c>
      <c r="I47" s="24" t="n">
        <f aca="false">SUMPRODUCT((In!$H$170:$H$182="msft")*(In!$I$170:$I$182="msft")*((In!$J$170:$J$182="比")*$M47+(In!$J$170:$J$182&lt;&gt;"比"))*In!M$170:M$182)</f>
        <v>0</v>
      </c>
      <c r="J47" s="24" t="n">
        <f aca="false">SUMPRODUCT((In!$H$170:$H$182="msft")*(In!$I$170:$I$182="oth")*((In!$J$170:$J$182="比")*$M47+(In!$J$170:$J$182&lt;&gt;"比"))*In!M$170:M$182)</f>
        <v>0</v>
      </c>
      <c r="K47" s="24" t="n">
        <f aca="false">$M47-SUM(C47:J47)</f>
        <v>3.324</v>
      </c>
      <c r="L47" s="24" t="n">
        <f aca="false">SUM(C47:K47)</f>
        <v>5.54</v>
      </c>
      <c r="M47" s="27" t="n">
        <f aca="false">N(Players!H30)</f>
        <v>5.54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1334</v>
      </c>
      <c r="B48" s="0" t="s">
        <v>512</v>
      </c>
      <c r="C48" s="24" t="n">
        <f aca="false">SUMPRODUCT((In!$H$170:$H$182="googl")*(In!$I$170:$I$182="self")*((In!$J$170:$J$182="比")*$M48+(In!$J$170:$J$182&lt;&gt;"比"))*In!M$170:M$182)</f>
        <v>4.0023753894081</v>
      </c>
      <c r="D48" s="24" t="n">
        <f aca="false">SUMPRODUCT((In!$H$170:$H$182="googl")*(In!$I$170:$I$182="oai")*((In!$J$170:$J$182="比")*$M48+(In!$J$170:$J$182&lt;&gt;"比"))*In!M$170:M$182)</f>
        <v>0</v>
      </c>
      <c r="E48" s="24" t="n">
        <f aca="false">SUMPRODUCT((In!$H$170:$H$182="googl")*(In!$I$170:$I$182="ant")*((In!$J$170:$J$182="比")*$M48+(In!$J$170:$J$182&lt;&gt;"比"))*In!M$170:M$182)</f>
        <v>1</v>
      </c>
      <c r="F48" s="24" t="n">
        <f aca="false">SUMPRODUCT((In!$H$170:$H$182="googl")*(In!$I$170:$I$182="xai")*((In!$J$170:$J$182="比")*$M48+(In!$J$170:$J$182&lt;&gt;"比"))*In!M$170:M$182)</f>
        <v>0</v>
      </c>
      <c r="G48" s="24" t="n">
        <f aca="false">SUMPRODUCT((In!$H$170:$H$182="googl")*(In!$I$170:$I$182="meta")*((In!$J$170:$J$182="比")*$M48+(In!$J$170:$J$182&lt;&gt;"比"))*In!M$170:M$182)</f>
        <v>0</v>
      </c>
      <c r="H48" s="24" t="n">
        <f aca="false">SUMPRODUCT((In!$H$170:$H$182="googl")*(In!$I$170:$I$182="googl")*((In!$J$170:$J$182="比")*$M48+(In!$J$170:$J$182&lt;&gt;"比"))*In!M$170:M$182)</f>
        <v>0</v>
      </c>
      <c r="I48" s="24" t="n">
        <f aca="false">SUMPRODUCT((In!$H$170:$H$182="googl")*(In!$I$170:$I$182="msft")*((In!$J$170:$J$182="比")*$M48+(In!$J$170:$J$182&lt;&gt;"比"))*In!M$170:M$182)</f>
        <v>0</v>
      </c>
      <c r="J48" s="24" t="n">
        <f aca="false">SUMPRODUCT((In!$H$170:$H$182="googl")*(In!$I$170:$I$182="oth")*((In!$J$170:$J$182="比")*$M48+(In!$J$170:$J$182&lt;&gt;"比"))*In!M$170:M$182)</f>
        <v>0</v>
      </c>
      <c r="K48" s="24" t="n">
        <f aca="false">$M48-SUM(C48:J48)</f>
        <v>0.715303738317758</v>
      </c>
      <c r="L48" s="24" t="n">
        <f aca="false">SUM(C48:K48)</f>
        <v>5.71767912772586</v>
      </c>
      <c r="M48" s="27" t="n">
        <f aca="false">N(Players!H49)</f>
        <v>5.71767912772586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1335</v>
      </c>
      <c r="B49" s="0" t="s">
        <v>520</v>
      </c>
      <c r="C49" s="24" t="n">
        <f aca="false">SUMPRODUCT((In!$H$170:$H$182="amzn")*(In!$I$170:$I$182="self")*((In!$J$170:$J$182="比")*$M49+(In!$J$170:$J$182&lt;&gt;"比"))*In!M$170:M$182)</f>
        <v>0.5536</v>
      </c>
      <c r="D49" s="24" t="n">
        <f aca="false">SUMPRODUCT((In!$H$170:$H$182="amzn")*(In!$I$170:$I$182="oai")*((In!$J$170:$J$182="比")*$M49+(In!$J$170:$J$182&lt;&gt;"比"))*In!M$170:M$182)</f>
        <v>0</v>
      </c>
      <c r="E49" s="24" t="n">
        <f aca="false">SUMPRODUCT((In!$H$170:$H$182="amzn")*(In!$I$170:$I$182="ant")*((In!$J$170:$J$182="比")*$M49+(In!$J$170:$J$182&lt;&gt;"比"))*In!M$170:M$182)</f>
        <v>1.037</v>
      </c>
      <c r="F49" s="24" t="n">
        <f aca="false">SUMPRODUCT((In!$H$170:$H$182="amzn")*(In!$I$170:$I$182="xai")*((In!$J$170:$J$182="比")*$M49+(In!$J$170:$J$182&lt;&gt;"比"))*In!M$170:M$182)</f>
        <v>0</v>
      </c>
      <c r="G49" s="24" t="n">
        <f aca="false">SUMPRODUCT((In!$H$170:$H$182="amzn")*(In!$I$170:$I$182="meta")*((In!$J$170:$J$182="比")*$M49+(In!$J$170:$J$182&lt;&gt;"比"))*In!M$170:M$182)</f>
        <v>0</v>
      </c>
      <c r="H49" s="24" t="n">
        <f aca="false">SUMPRODUCT((In!$H$170:$H$182="amzn")*(In!$I$170:$I$182="googl")*((In!$J$170:$J$182="比")*$M49+(In!$J$170:$J$182&lt;&gt;"比"))*In!M$170:M$182)</f>
        <v>0</v>
      </c>
      <c r="I49" s="24" t="n">
        <f aca="false">SUMPRODUCT((In!$H$170:$H$182="amzn")*(In!$I$170:$I$182="msft")*((In!$J$170:$J$182="比")*$M49+(In!$J$170:$J$182&lt;&gt;"比"))*In!M$170:M$182)</f>
        <v>0</v>
      </c>
      <c r="J49" s="24" t="n">
        <f aca="false">SUMPRODUCT((In!$H$170:$H$182="amzn")*(In!$I$170:$I$182="oth")*((In!$J$170:$J$182="比")*$M49+(In!$J$170:$J$182&lt;&gt;"比"))*In!M$170:M$182)</f>
        <v>0</v>
      </c>
      <c r="K49" s="24" t="n">
        <f aca="false">$M49-SUM(C49:J49)</f>
        <v>1.1774</v>
      </c>
      <c r="L49" s="24" t="n">
        <f aca="false">SUM(C49:K49)</f>
        <v>2.768</v>
      </c>
      <c r="M49" s="27" t="n">
        <f aca="false">N(Players!H68)</f>
        <v>2.768</v>
      </c>
      <c r="N49" s="28" t="n">
        <f aca="false">L49-M49</f>
        <v>0</v>
      </c>
    </row>
    <row r="50" customFormat="false" ht="15" hidden="false" customHeight="false" outlineLevel="0" collapsed="false">
      <c r="A50" s="0" t="s">
        <v>1070</v>
      </c>
      <c r="B50" s="0" t="s">
        <v>527</v>
      </c>
      <c r="C50" s="24" t="n">
        <f aca="false">SUMPRODUCT((In!$H$170:$H$182="meta")*(In!$I$170:$I$182="self")*((In!$J$170:$J$182="比")*$M50+(In!$J$170:$J$182&lt;&gt;"比"))*In!M$170:M$182)</f>
        <v>0</v>
      </c>
      <c r="D50" s="24" t="n">
        <f aca="false">SUMPRODUCT((In!$H$170:$H$182="meta")*(In!$I$170:$I$182="oai")*((In!$J$170:$J$182="比")*$M50+(In!$J$170:$J$182&lt;&gt;"比"))*In!M$170:M$182)</f>
        <v>0</v>
      </c>
      <c r="E50" s="24" t="n">
        <f aca="false">SUMPRODUCT((In!$H$170:$H$182="meta")*(In!$I$170:$I$182="ant")*((In!$J$170:$J$182="比")*$M50+(In!$J$170:$J$182&lt;&gt;"比"))*In!M$170:M$182)</f>
        <v>0</v>
      </c>
      <c r="F50" s="24" t="n">
        <f aca="false">SUMPRODUCT((In!$H$170:$H$182="meta")*(In!$I$170:$I$182="xai")*((In!$J$170:$J$182="比")*$M50+(In!$J$170:$J$182&lt;&gt;"比"))*In!M$170:M$182)</f>
        <v>0</v>
      </c>
      <c r="G50" s="24" t="n">
        <f aca="false">SUMPRODUCT((In!$H$170:$H$182="meta")*(In!$I$170:$I$182="meta")*((In!$J$170:$J$182="比")*$M50+(In!$J$170:$J$182&lt;&gt;"比"))*In!M$170:M$182)</f>
        <v>3.344595</v>
      </c>
      <c r="H50" s="24" t="n">
        <f aca="false">SUMPRODUCT((In!$H$170:$H$182="meta")*(In!$I$170:$I$182="googl")*((In!$J$170:$J$182="比")*$M50+(In!$J$170:$J$182&lt;&gt;"比"))*In!M$170:M$182)</f>
        <v>0</v>
      </c>
      <c r="I50" s="24" t="n">
        <f aca="false">SUMPRODUCT((In!$H$170:$H$182="meta")*(In!$I$170:$I$182="msft")*((In!$J$170:$J$182="比")*$M50+(In!$J$170:$J$182&lt;&gt;"比"))*In!M$170:M$182)</f>
        <v>0</v>
      </c>
      <c r="J50" s="24" t="n">
        <f aca="false">SUMPRODUCT((In!$H$170:$H$182="meta")*(In!$I$170:$I$182="oth")*((In!$J$170:$J$182="比")*$M50+(In!$J$170:$J$182&lt;&gt;"比"))*In!M$170:M$182)</f>
        <v>0</v>
      </c>
      <c r="K50" s="24" t="n">
        <f aca="false">$M50-SUM(C50:J50)</f>
        <v>0</v>
      </c>
      <c r="L50" s="24" t="n">
        <f aca="false">SUM(C50:K50)</f>
        <v>3.344595</v>
      </c>
      <c r="M50" s="27" t="n">
        <f aca="false">N(Players!H87)</f>
        <v>3.344595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1336</v>
      </c>
      <c r="B51" s="0" t="s">
        <v>531</v>
      </c>
      <c r="C51" s="24" t="n">
        <f aca="false">SUMPRODUCT((In!$H$170:$H$182="orcl")*(In!$I$170:$I$182="self")*((In!$J$170:$J$182="比")*$M51+(In!$J$170:$J$182&lt;&gt;"比"))*In!M$170:M$182)</f>
        <v>0</v>
      </c>
      <c r="D51" s="24" t="n">
        <f aca="false">SUMPRODUCT((In!$H$170:$H$182="orcl")*(In!$I$170:$I$182="oai")*((In!$J$170:$J$182="比")*$M51+(In!$J$170:$J$182&lt;&gt;"比"))*In!M$170:M$182)</f>
        <v>0.991</v>
      </c>
      <c r="E51" s="24" t="n">
        <f aca="false">SUMPRODUCT((In!$H$170:$H$182="orcl")*(In!$I$170:$I$182="ant")*((In!$J$170:$J$182="比")*$M51+(In!$J$170:$J$182&lt;&gt;"比"))*In!M$170:M$182)</f>
        <v>0</v>
      </c>
      <c r="F51" s="24" t="n">
        <f aca="false">SUMPRODUCT((In!$H$170:$H$182="orcl")*(In!$I$170:$I$182="xai")*((In!$J$170:$J$182="比")*$M51+(In!$J$170:$J$182&lt;&gt;"比"))*In!M$170:M$182)</f>
        <v>0</v>
      </c>
      <c r="G51" s="24" t="n">
        <f aca="false">SUMPRODUCT((In!$H$170:$H$182="orcl")*(In!$I$170:$I$182="meta")*((In!$J$170:$J$182="比")*$M51+(In!$J$170:$J$182&lt;&gt;"比"))*In!M$170:M$182)</f>
        <v>0</v>
      </c>
      <c r="H51" s="24" t="n">
        <f aca="false">SUMPRODUCT((In!$H$170:$H$182="orcl")*(In!$I$170:$I$182="googl")*((In!$J$170:$J$182="比")*$M51+(In!$J$170:$J$182&lt;&gt;"比"))*In!M$170:M$182)</f>
        <v>0</v>
      </c>
      <c r="I51" s="24" t="n">
        <f aca="false">SUMPRODUCT((In!$H$170:$H$182="orcl")*(In!$I$170:$I$182="msft")*((In!$J$170:$J$182="比")*$M51+(In!$J$170:$J$182&lt;&gt;"比"))*In!M$170:M$182)</f>
        <v>0</v>
      </c>
      <c r="J51" s="24" t="n">
        <f aca="false">SUMPRODUCT((In!$H$170:$H$182="orcl")*(In!$I$170:$I$182="oth")*((In!$J$170:$J$182="比")*$M51+(In!$J$170:$J$182&lt;&gt;"比"))*In!M$170:M$182)</f>
        <v>0</v>
      </c>
      <c r="K51" s="24" t="n">
        <f aca="false">$M51-SUM(C51:J51)</f>
        <v>1.92466666666667</v>
      </c>
      <c r="L51" s="24" t="n">
        <f aca="false">SUM(C51:K51)</f>
        <v>2.91566666666667</v>
      </c>
      <c r="M51" s="27" t="n">
        <f aca="false">N(Players!H106)</f>
        <v>2.91566666666667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1108</v>
      </c>
      <c r="B52" s="0" t="s">
        <v>621</v>
      </c>
      <c r="C52" s="24" t="n">
        <f aca="false">SUMPRODUCT((In!$H$170:$H$182="crwv")*(In!$I$170:$I$182="self")*((In!$J$170:$J$182="比")*$M52+(In!$J$170:$J$182&lt;&gt;"比"))*In!M$170:M$182)</f>
        <v>0</v>
      </c>
      <c r="D52" s="24" t="n">
        <f aca="false">SUMPRODUCT((In!$H$170:$H$182="crwv")*(In!$I$170:$I$182="oai")*((In!$J$170:$J$182="比")*$M52+(In!$J$170:$J$182&lt;&gt;"比"))*In!M$170:M$182)</f>
        <v>0</v>
      </c>
      <c r="E52" s="24" t="n">
        <f aca="false">SUMPRODUCT((In!$H$170:$H$182="crwv")*(In!$I$170:$I$182="ant")*((In!$J$170:$J$182="比")*$M52+(In!$J$170:$J$182&lt;&gt;"比"))*In!M$170:M$182)</f>
        <v>0</v>
      </c>
      <c r="F52" s="24" t="n">
        <f aca="false">SUMPRODUCT((In!$H$170:$H$182="crwv")*(In!$I$170:$I$182="xai")*((In!$J$170:$J$182="比")*$M52+(In!$J$170:$J$182&lt;&gt;"比"))*In!M$170:M$182)</f>
        <v>0</v>
      </c>
      <c r="G52" s="24" t="n">
        <f aca="false">SUMPRODUCT((In!$H$170:$H$182="crwv")*(In!$I$170:$I$182="meta")*((In!$J$170:$J$182="比")*$M52+(In!$J$170:$J$182&lt;&gt;"比"))*In!M$170:M$182)</f>
        <v>0</v>
      </c>
      <c r="H52" s="24" t="n">
        <f aca="false">SUMPRODUCT((In!$H$170:$H$182="crwv")*(In!$I$170:$I$182="googl")*((In!$J$170:$J$182="比")*$M52+(In!$J$170:$J$182&lt;&gt;"比"))*In!M$170:M$182)</f>
        <v>0</v>
      </c>
      <c r="I52" s="24" t="n">
        <f aca="false">SUMPRODUCT((In!$H$170:$H$182="crwv")*(In!$I$170:$I$182="msft")*((In!$J$170:$J$182="比")*$M52+(In!$J$170:$J$182&lt;&gt;"比"))*In!M$170:M$182)</f>
        <v>0</v>
      </c>
      <c r="J52" s="24" t="n">
        <f aca="false">SUMPRODUCT((In!$H$170:$H$182="crwv")*(In!$I$170:$I$182="oth")*((In!$J$170:$J$182="比")*$M52+(In!$J$170:$J$182&lt;&gt;"比"))*In!M$170:M$182)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1127</v>
      </c>
      <c r="B53" s="0" t="s">
        <v>652</v>
      </c>
      <c r="C53" s="24" t="n">
        <f aca="false">SUMPRODUCT((In!$H$170:$H$182="nbis")*(In!$I$170:$I$182="self")*((In!$J$170:$J$182="比")*$M53+(In!$J$170:$J$182&lt;&gt;"比"))*In!M$170:M$182)</f>
        <v>0</v>
      </c>
      <c r="D53" s="24" t="n">
        <f aca="false">SUMPRODUCT((In!$H$170:$H$182="nbis")*(In!$I$170:$I$182="oai")*((In!$J$170:$J$182="比")*$M53+(In!$J$170:$J$182&lt;&gt;"比"))*In!M$170:M$182)</f>
        <v>0</v>
      </c>
      <c r="E53" s="24" t="n">
        <f aca="false">SUMPRODUCT((In!$H$170:$H$182="nbis")*(In!$I$170:$I$182="ant")*((In!$J$170:$J$182="比")*$M53+(In!$J$170:$J$182&lt;&gt;"比"))*In!M$170:M$182)</f>
        <v>0</v>
      </c>
      <c r="F53" s="24" t="n">
        <f aca="false">SUMPRODUCT((In!$H$170:$H$182="nbis")*(In!$I$170:$I$182="xai")*((In!$J$170:$J$182="比")*$M53+(In!$J$170:$J$182&lt;&gt;"比"))*In!M$170:M$182)</f>
        <v>0</v>
      </c>
      <c r="G53" s="24" t="n">
        <f aca="false">SUMPRODUCT((In!$H$170:$H$182="nbis")*(In!$I$170:$I$182="meta")*((In!$J$170:$J$182="比")*$M53+(In!$J$170:$J$182&lt;&gt;"比"))*In!M$170:M$182)</f>
        <v>0</v>
      </c>
      <c r="H53" s="24" t="n">
        <f aca="false">SUMPRODUCT((In!$H$170:$H$182="nbis")*(In!$I$170:$I$182="googl")*((In!$J$170:$J$182="比")*$M53+(In!$J$170:$J$182&lt;&gt;"比"))*In!M$170:M$182)</f>
        <v>0</v>
      </c>
      <c r="I53" s="24" t="n">
        <f aca="false">SUMPRODUCT((In!$H$170:$H$182="nbis")*(In!$I$170:$I$182="msft")*((In!$J$170:$J$182="比")*$M53+(In!$J$170:$J$182&lt;&gt;"比"))*In!M$170:M$182)</f>
        <v>0</v>
      </c>
      <c r="J53" s="24" t="n">
        <f aca="false">SUMPRODUCT((In!$H$170:$H$182="nbis")*(In!$I$170:$I$182="oth")*((In!$J$170:$J$182="比")*$M53+(In!$J$170:$J$182&lt;&gt;"比"))*In!M$170:M$182)</f>
        <v>0</v>
      </c>
      <c r="K53" s="24" t="n">
        <f aca="false">$M53-SUM(C53:J53)</f>
        <v>0.958</v>
      </c>
      <c r="L53" s="24" t="n">
        <f aca="false">SUM(C53:K53)</f>
        <v>0.958</v>
      </c>
      <c r="M53" s="27" t="n">
        <f aca="false">N(Players!H144)</f>
        <v>0.958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1337</v>
      </c>
      <c r="B54" s="0" t="s">
        <v>1147</v>
      </c>
      <c r="C54" s="24" t="n">
        <f aca="false">SUMPRODUCT((In!$H$170:$H$182="wyfi")*(In!$I$170:$I$182="self")*((In!$J$170:$J$182="比")*$M54+(In!$J$170:$J$182&lt;&gt;"比"))*In!M$170:M$182)</f>
        <v>0</v>
      </c>
      <c r="D54" s="24" t="n">
        <f aca="false">SUMPRODUCT((In!$H$170:$H$182="wyfi")*(In!$I$170:$I$182="oai")*((In!$J$170:$J$182="比")*$M54+(In!$J$170:$J$182&lt;&gt;"比"))*In!M$170:M$182)</f>
        <v>0</v>
      </c>
      <c r="E54" s="24" t="n">
        <f aca="false">SUMPRODUCT((In!$H$170:$H$182="wyfi")*(In!$I$170:$I$182="ant")*((In!$J$170:$J$182="比")*$M54+(In!$J$170:$J$182&lt;&gt;"比"))*In!M$170:M$182)</f>
        <v>0</v>
      </c>
      <c r="F54" s="24" t="n">
        <f aca="false">SUMPRODUCT((In!$H$170:$H$182="wyfi")*(In!$I$170:$I$182="xai")*((In!$J$170:$J$182="比")*$M54+(In!$J$170:$J$182&lt;&gt;"比"))*In!M$170:M$182)</f>
        <v>0</v>
      </c>
      <c r="G54" s="24" t="n">
        <f aca="false">SUMPRODUCT((In!$H$170:$H$182="wyfi")*(In!$I$170:$I$182="meta")*((In!$J$170:$J$182="比")*$M54+(In!$J$170:$J$182&lt;&gt;"比"))*In!M$170:M$182)</f>
        <v>0</v>
      </c>
      <c r="H54" s="24" t="n">
        <f aca="false">SUMPRODUCT((In!$H$170:$H$182="wyfi")*(In!$I$170:$I$182="googl")*((In!$J$170:$J$182="比")*$M54+(In!$J$170:$J$182&lt;&gt;"比"))*In!M$170:M$182)</f>
        <v>0</v>
      </c>
      <c r="I54" s="24" t="n">
        <f aca="false">SUMPRODUCT((In!$H$170:$H$182="wyfi")*(In!$I$170:$I$182="msft")*((In!$J$170:$J$182="比")*$M54+(In!$J$170:$J$182&lt;&gt;"比"))*In!M$170:M$182)</f>
        <v>0</v>
      </c>
      <c r="J54" s="24" t="n">
        <f aca="false">SUMPRODUCT((In!$H$170:$H$182="wyfi")*(In!$I$170:$I$182="oth")*((In!$J$170:$J$182="比")*$M54+(In!$J$170:$J$182&lt;&gt;"比"))*In!M$170:M$182)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1338</v>
      </c>
      <c r="B55" s="0" t="s">
        <v>536</v>
      </c>
      <c r="C55" s="24" t="n">
        <f aca="false">SUMPRODUCT((In!$H$170:$H$182="xai")*(In!$I$170:$I$182="self")*((In!$J$170:$J$182="比")*$M55+(In!$J$170:$J$182&lt;&gt;"比"))*In!M$170:M$182)</f>
        <v>0</v>
      </c>
      <c r="D55" s="24" t="n">
        <f aca="false">SUMPRODUCT((In!$H$170:$H$182="xai")*(In!$I$170:$I$182="oai")*((In!$J$170:$J$182="比")*$M55+(In!$J$170:$J$182&lt;&gt;"比"))*In!M$170:M$182)</f>
        <v>0</v>
      </c>
      <c r="E55" s="24" t="n">
        <f aca="false">SUMPRODUCT((In!$H$170:$H$182="xai")*(In!$I$170:$I$182="ant")*((In!$J$170:$J$182="比")*$M55+(In!$J$170:$J$182&lt;&gt;"比"))*In!M$170:M$182)</f>
        <v>0</v>
      </c>
      <c r="F55" s="24" t="n">
        <f aca="false">SUMPRODUCT((In!$H$170:$H$182="xai")*(In!$I$170:$I$182="xai")*((In!$J$170:$J$182="比")*$M55+(In!$J$170:$J$182&lt;&gt;"比"))*In!M$170:M$182)</f>
        <v>0</v>
      </c>
      <c r="G55" s="24" t="n">
        <f aca="false">SUMPRODUCT((In!$H$170:$H$182="xai")*(In!$I$170:$I$182="meta")*((In!$J$170:$J$182="比")*$M55+(In!$J$170:$J$182&lt;&gt;"比"))*In!M$170:M$182)</f>
        <v>0</v>
      </c>
      <c r="H55" s="24" t="n">
        <f aca="false">SUMPRODUCT((In!$H$170:$H$182="xai")*(In!$I$170:$I$182="googl")*((In!$J$170:$J$182="比")*$M55+(In!$J$170:$J$182&lt;&gt;"比"))*In!M$170:M$182)</f>
        <v>0.19</v>
      </c>
      <c r="I55" s="24" t="n">
        <f aca="false">SUMPRODUCT((In!$H$170:$H$182="xai")*(In!$I$170:$I$182="msft")*((In!$J$170:$J$182="比")*$M55+(In!$J$170:$J$182&lt;&gt;"比"))*In!M$170:M$182)</f>
        <v>0</v>
      </c>
      <c r="J55" s="24" t="n">
        <f aca="false">SUMPRODUCT((In!$H$170:$H$182="xai")*(In!$I$170:$I$182="oth")*((In!$J$170:$J$182="比")*$M55+(In!$J$170:$J$182&lt;&gt;"比"))*In!M$170:M$182)</f>
        <v>0</v>
      </c>
      <c r="K55" s="24" t="n">
        <f aca="false">$M55-SUM(C55:J55)</f>
        <v>2.395</v>
      </c>
      <c r="L55" s="24" t="n">
        <f aca="false">SUM(C55:K55)</f>
        <v>2.585</v>
      </c>
      <c r="M55" s="27" t="n">
        <f aca="false">N(Players!H182)</f>
        <v>2.585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1339</v>
      </c>
      <c r="B56" s="0" t="s">
        <v>532</v>
      </c>
      <c r="C56" s="24" t="n">
        <f aca="false">SUMPRODUCT((In!$H$170:$H$182="oai")*(In!$I$170:$I$182="self")*((In!$J$170:$J$182="比")*$M56+(In!$J$170:$J$182&lt;&gt;"比"))*In!M$170:M$182)</f>
        <v>0</v>
      </c>
      <c r="D56" s="24" t="n">
        <f aca="false">SUMPRODUCT((In!$H$170:$H$182="oai")*(In!$I$170:$I$182="oai")*((In!$J$170:$J$182="比")*$M56+(In!$J$170:$J$182&lt;&gt;"比"))*In!M$170:M$182)</f>
        <v>0.308</v>
      </c>
      <c r="E56" s="24" t="n">
        <f aca="false">SUMPRODUCT((In!$H$170:$H$182="oai")*(In!$I$170:$I$182="ant")*((In!$J$170:$J$182="比")*$M56+(In!$J$170:$J$182&lt;&gt;"比"))*In!M$170:M$182)</f>
        <v>0</v>
      </c>
      <c r="F56" s="24" t="n">
        <f aca="false">SUMPRODUCT((In!$H$170:$H$182="oai")*(In!$I$170:$I$182="xai")*((In!$J$170:$J$182="比")*$M56+(In!$J$170:$J$182&lt;&gt;"比"))*In!M$170:M$182)</f>
        <v>0</v>
      </c>
      <c r="G56" s="24" t="n">
        <f aca="false">SUMPRODUCT((In!$H$170:$H$182="oai")*(In!$I$170:$I$182="meta")*((In!$J$170:$J$182="比")*$M56+(In!$J$170:$J$182&lt;&gt;"比"))*In!M$170:M$182)</f>
        <v>0</v>
      </c>
      <c r="H56" s="24" t="n">
        <f aca="false">SUMPRODUCT((In!$H$170:$H$182="oai")*(In!$I$170:$I$182="googl")*((In!$J$170:$J$182="比")*$M56+(In!$J$170:$J$182&lt;&gt;"比"))*In!M$170:M$182)</f>
        <v>0</v>
      </c>
      <c r="I56" s="24" t="n">
        <f aca="false">SUMPRODUCT((In!$H$170:$H$182="oai")*(In!$I$170:$I$182="msft")*((In!$J$170:$J$182="比")*$M56+(In!$J$170:$J$182&lt;&gt;"比"))*In!M$170:M$182)</f>
        <v>0</v>
      </c>
      <c r="J56" s="24" t="n">
        <f aca="false">SUMPRODUCT((In!$H$170:$H$182="oai")*(In!$I$170:$I$182="oth")*((In!$J$170:$J$182="比")*$M56+(In!$J$170:$J$182&lt;&gt;"比"))*In!M$170:M$182)</f>
        <v>0</v>
      </c>
      <c r="K56" s="24" t="n">
        <f aca="false">$M56-SUM(C56:J56)</f>
        <v>0</v>
      </c>
      <c r="L56" s="24" t="n">
        <f aca="false">SUM(C56:K56)</f>
        <v>0.308</v>
      </c>
      <c r="M56" s="27" t="n">
        <f aca="false">N(Players!H201)</f>
        <v>0.308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1340</v>
      </c>
      <c r="B57" s="0" t="s">
        <v>516</v>
      </c>
      <c r="C57" s="24" t="n">
        <f aca="false">SUMPRODUCT((In!$H$170:$H$182="ant")*(In!$I$170:$I$182="self")*((In!$J$170:$J$182="比")*$M57+(In!$J$170:$J$182&lt;&gt;"比"))*In!M$170:M$182)</f>
        <v>0</v>
      </c>
      <c r="D57" s="24" t="n">
        <f aca="false">SUMPRODUCT((In!$H$170:$H$182="ant")*(In!$I$170:$I$182="oai")*((In!$J$170:$J$182="比")*$M57+(In!$J$170:$J$182&lt;&gt;"比"))*In!M$170:M$182)</f>
        <v>0</v>
      </c>
      <c r="E57" s="24" t="n">
        <f aca="false">SUMPRODUCT((In!$H$170:$H$182="ant")*(In!$I$170:$I$182="ant")*((In!$J$170:$J$182="比")*$M57+(In!$J$170:$J$182&lt;&gt;"比"))*In!M$170:M$182)</f>
        <v>0</v>
      </c>
      <c r="F57" s="24" t="n">
        <f aca="false">SUMPRODUCT((In!$H$170:$H$182="ant")*(In!$I$170:$I$182="xai")*((In!$J$170:$J$182="比")*$M57+(In!$J$170:$J$182&lt;&gt;"比"))*In!M$170:M$182)</f>
        <v>0</v>
      </c>
      <c r="G57" s="24" t="n">
        <f aca="false">SUMPRODUCT((In!$H$170:$H$182="ant")*(In!$I$170:$I$182="meta")*((In!$J$170:$J$182="比")*$M57+(In!$J$170:$J$182&lt;&gt;"比"))*In!M$170:M$182)</f>
        <v>0</v>
      </c>
      <c r="H57" s="24" t="n">
        <f aca="false">SUMPRODUCT((In!$H$170:$H$182="ant")*(In!$I$170:$I$182="googl")*((In!$J$170:$J$182="比")*$M57+(In!$J$170:$J$182&lt;&gt;"比"))*In!M$170:M$182)</f>
        <v>0</v>
      </c>
      <c r="I57" s="24" t="n">
        <f aca="false">SUMPRODUCT((In!$H$170:$H$182="ant")*(In!$I$170:$I$182="msft")*((In!$J$170:$J$182="比")*$M57+(In!$J$170:$J$182&lt;&gt;"比"))*In!M$170:M$182)</f>
        <v>0</v>
      </c>
      <c r="J57" s="24" t="n">
        <f aca="false">SUMPRODUCT((In!$H$170:$H$182="ant")*(In!$I$170:$I$182="oth")*((In!$J$170:$J$182="比")*$M57+(In!$J$170:$J$182&lt;&gt;"比"))*In!M$170:M$182)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1341</v>
      </c>
      <c r="B58" s="0" t="s">
        <v>546</v>
      </c>
      <c r="C58" s="24" t="n">
        <f aca="false">SUMPRODUCT((In!$H$170:$H$182="neo")*(In!$I$170:$I$182="self")*((In!$J$170:$J$182="比")*$M58+(In!$J$170:$J$182&lt;&gt;"比"))*In!M$170:M$182)</f>
        <v>0</v>
      </c>
      <c r="D58" s="24" t="n">
        <f aca="false">SUMPRODUCT((In!$H$170:$H$182="neo")*(In!$I$170:$I$182="oai")*((In!$J$170:$J$182="比")*$M58+(In!$J$170:$J$182&lt;&gt;"比"))*In!M$170:M$182)</f>
        <v>0</v>
      </c>
      <c r="E58" s="24" t="n">
        <f aca="false">SUMPRODUCT((In!$H$170:$H$182="neo")*(In!$I$170:$I$182="ant")*((In!$J$170:$J$182="比")*$M58+(In!$J$170:$J$182&lt;&gt;"比"))*In!M$170:M$182)</f>
        <v>0.2</v>
      </c>
      <c r="F58" s="24" t="n">
        <f aca="false">SUMPRODUCT((In!$H$170:$H$182="neo")*(In!$I$170:$I$182="xai")*((In!$J$170:$J$182="比")*$M58+(In!$J$170:$J$182&lt;&gt;"比"))*In!M$170:M$182)</f>
        <v>0</v>
      </c>
      <c r="G58" s="24" t="n">
        <f aca="false">SUMPRODUCT((In!$H$170:$H$182="neo")*(In!$I$170:$I$182="meta")*((In!$J$170:$J$182="比")*$M58+(In!$J$170:$J$182&lt;&gt;"比"))*In!M$170:M$182)</f>
        <v>0</v>
      </c>
      <c r="H58" s="24" t="n">
        <f aca="false">SUMPRODUCT((In!$H$170:$H$182="neo")*(In!$I$170:$I$182="googl")*((In!$J$170:$J$182="比")*$M58+(In!$J$170:$J$182&lt;&gt;"比"))*In!M$170:M$182)</f>
        <v>0</v>
      </c>
      <c r="I58" s="24" t="n">
        <f aca="false">SUMPRODUCT((In!$H$170:$H$182="neo")*(In!$I$170:$I$182="msft")*((In!$J$170:$J$182="比")*$M58+(In!$J$170:$J$182&lt;&gt;"比"))*In!M$170:M$182)</f>
        <v>0.2</v>
      </c>
      <c r="J58" s="24" t="n">
        <f aca="false">SUMPRODUCT((In!$H$170:$H$182="neo")*(In!$I$170:$I$182="oth")*((In!$J$170:$J$182="比")*$M58+(In!$J$170:$J$182&lt;&gt;"比"))*In!M$170:M$182)</f>
        <v>0</v>
      </c>
      <c r="K58" s="24" t="n">
        <f aca="false">$M58-SUM(C58:J58)</f>
        <v>2.007</v>
      </c>
      <c r="L58" s="24" t="n">
        <f aca="false">SUM(C58:K58)</f>
        <v>2.407</v>
      </c>
      <c r="M58" s="27" t="n">
        <f aca="false">N(Players!H239)</f>
        <v>2.407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1342</v>
      </c>
      <c r="B59" s="0" t="s">
        <v>645</v>
      </c>
      <c r="C59" s="24" t="n">
        <f aca="false">SUMPRODUCT((In!$H$170:$H$182="sov")*(In!$I$170:$I$182="self")*((In!$J$170:$J$182="比")*$M59+(In!$J$170:$J$182&lt;&gt;"比"))*In!M$170:M$182)</f>
        <v>0</v>
      </c>
      <c r="D59" s="24" t="n">
        <f aca="false">SUMPRODUCT((In!$H$170:$H$182="sov")*(In!$I$170:$I$182="oai")*((In!$J$170:$J$182="比")*$M59+(In!$J$170:$J$182&lt;&gt;"比"))*In!M$170:M$182)</f>
        <v>0</v>
      </c>
      <c r="E59" s="24" t="n">
        <f aca="false">SUMPRODUCT((In!$H$170:$H$182="sov")*(In!$I$170:$I$182="ant")*((In!$J$170:$J$182="比")*$M59+(In!$J$170:$J$182&lt;&gt;"比"))*In!M$170:M$182)</f>
        <v>0</v>
      </c>
      <c r="F59" s="24" t="n">
        <f aca="false">SUMPRODUCT((In!$H$170:$H$182="sov")*(In!$I$170:$I$182="xai")*((In!$J$170:$J$182="比")*$M59+(In!$J$170:$J$182&lt;&gt;"比"))*In!M$170:M$182)</f>
        <v>0</v>
      </c>
      <c r="G59" s="24" t="n">
        <f aca="false">SUMPRODUCT((In!$H$170:$H$182="sov")*(In!$I$170:$I$182="meta")*((In!$J$170:$J$182="比")*$M59+(In!$J$170:$J$182&lt;&gt;"比"))*In!M$170:M$182)</f>
        <v>0</v>
      </c>
      <c r="H59" s="24" t="n">
        <f aca="false">SUMPRODUCT((In!$H$170:$H$182="sov")*(In!$I$170:$I$182="googl")*((In!$J$170:$J$182="比")*$M59+(In!$J$170:$J$182&lt;&gt;"比"))*In!M$170:M$182)</f>
        <v>0</v>
      </c>
      <c r="I59" s="24" t="n">
        <f aca="false">SUMPRODUCT((In!$H$170:$H$182="sov")*(In!$I$170:$I$182="msft")*((In!$J$170:$J$182="比")*$M59+(In!$J$170:$J$182&lt;&gt;"比"))*In!M$170:M$182)</f>
        <v>0</v>
      </c>
      <c r="J59" s="24" t="n">
        <f aca="false">SUMPRODUCT((In!$H$170:$H$182="sov")*(In!$I$170:$I$182="oth")*((In!$J$170:$J$182="比")*$M59+(In!$J$170:$J$182&lt;&gt;"比"))*In!M$170:M$182)</f>
        <v>0</v>
      </c>
      <c r="K59" s="24" t="n">
        <f aca="false">$M59-SUM(C59:J59)</f>
        <v>1.9</v>
      </c>
      <c r="L59" s="24" t="n">
        <f aca="false">SUM(C59:K59)</f>
        <v>1.9</v>
      </c>
      <c r="M59" s="27" t="n">
        <f aca="false">N(Players!H258)</f>
        <v>1.9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1343</v>
      </c>
      <c r="B60" s="0" t="s">
        <v>553</v>
      </c>
      <c r="C60" s="24" t="n">
        <f aca="false">SUMPRODUCT((In!$H$170:$H$182="cn")*(In!$I$170:$I$182="self")*((In!$J$170:$J$182="比")*$M60+(In!$J$170:$J$182&lt;&gt;"比"))*In!M$170:M$182)</f>
        <v>13.6561711245072</v>
      </c>
      <c r="D60" s="24" t="n">
        <f aca="false">SUMPRODUCT((In!$H$170:$H$182="cn")*(In!$I$170:$I$182="oai")*((In!$J$170:$J$182="比")*$M60+(In!$J$170:$J$182&lt;&gt;"比"))*In!M$170:M$182)</f>
        <v>0</v>
      </c>
      <c r="E60" s="24" t="n">
        <f aca="false">SUMPRODUCT((In!$H$170:$H$182="cn")*(In!$I$170:$I$182="ant")*((In!$J$170:$J$182="比")*$M60+(In!$J$170:$J$182&lt;&gt;"比"))*In!M$170:M$182)</f>
        <v>0</v>
      </c>
      <c r="F60" s="24" t="n">
        <f aca="false">SUMPRODUCT((In!$H$170:$H$182="cn")*(In!$I$170:$I$182="xai")*((In!$J$170:$J$182="比")*$M60+(In!$J$170:$J$182&lt;&gt;"比"))*In!M$170:M$182)</f>
        <v>0</v>
      </c>
      <c r="G60" s="24" t="n">
        <f aca="false">SUMPRODUCT((In!$H$170:$H$182="cn")*(In!$I$170:$I$182="meta")*((In!$J$170:$J$182="比")*$M60+(In!$J$170:$J$182&lt;&gt;"比"))*In!M$170:M$182)</f>
        <v>0</v>
      </c>
      <c r="H60" s="24" t="n">
        <f aca="false">SUMPRODUCT((In!$H$170:$H$182="cn")*(In!$I$170:$I$182="googl")*((In!$J$170:$J$182="比")*$M60+(In!$J$170:$J$182&lt;&gt;"比"))*In!M$170:M$182)</f>
        <v>0</v>
      </c>
      <c r="I60" s="24" t="n">
        <f aca="false">SUMPRODUCT((In!$H$170:$H$182="cn")*(In!$I$170:$I$182="msft")*((In!$J$170:$J$182="比")*$M60+(In!$J$170:$J$182&lt;&gt;"比"))*In!M$170:M$182)</f>
        <v>0</v>
      </c>
      <c r="J60" s="24" t="n">
        <f aca="false">SUMPRODUCT((In!$H$170:$H$182="cn")*(In!$I$170:$I$182="oth")*((In!$J$170:$J$182="比")*$M60+(In!$J$170:$J$182&lt;&gt;"比"))*In!M$170:M$182)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1344</v>
      </c>
      <c r="B61" s="0" t="s">
        <v>738</v>
      </c>
      <c r="C61" s="24" t="n">
        <f aca="false">SUMPRODUCT((In!$H$170:$H$182="oth")*(In!$I$170:$I$182="self")*((In!$J$170:$J$182="比")*$M61+(In!$J$170:$J$182&lt;&gt;"比"))*In!M$170:M$182)</f>
        <v>0</v>
      </c>
      <c r="D61" s="24" t="n">
        <f aca="false">SUMPRODUCT((In!$H$170:$H$182="oth")*(In!$I$170:$I$182="oai")*((In!$J$170:$J$182="比")*$M61+(In!$J$170:$J$182&lt;&gt;"比"))*In!M$170:M$182)</f>
        <v>0</v>
      </c>
      <c r="E61" s="24" t="n">
        <f aca="false">SUMPRODUCT((In!$H$170:$H$182="oth")*(In!$I$170:$I$182="ant")*((In!$J$170:$J$182="比")*$M61+(In!$J$170:$J$182&lt;&gt;"比"))*In!M$170:M$182)</f>
        <v>0</v>
      </c>
      <c r="F61" s="24" t="n">
        <f aca="false">SUMPRODUCT((In!$H$170:$H$182="oth")*(In!$I$170:$I$182="xai")*((In!$J$170:$J$182="比")*$M61+(In!$J$170:$J$182&lt;&gt;"比"))*In!M$170:M$182)</f>
        <v>0</v>
      </c>
      <c r="G61" s="24" t="n">
        <f aca="false">SUMPRODUCT((In!$H$170:$H$182="oth")*(In!$I$170:$I$182="meta")*((In!$J$170:$J$182="比")*$M61+(In!$J$170:$J$182&lt;&gt;"比"))*In!M$170:M$182)</f>
        <v>0</v>
      </c>
      <c r="H61" s="24" t="n">
        <f aca="false">SUMPRODUCT((In!$H$170:$H$182="oth")*(In!$I$170:$I$182="googl")*((In!$J$170:$J$182="比")*$M61+(In!$J$170:$J$182&lt;&gt;"比"))*In!M$170:M$182)</f>
        <v>0</v>
      </c>
      <c r="I61" s="24" t="n">
        <f aca="false">SUMPRODUCT((In!$H$170:$H$182="oth")*(In!$I$170:$I$182="msft")*((In!$J$170:$J$182="比")*$M61+(In!$J$170:$J$182&lt;&gt;"比"))*In!M$170:M$182)</f>
        <v>0</v>
      </c>
      <c r="J61" s="24" t="n">
        <f aca="false">SUMPRODUCT((In!$H$170:$H$182="oth")*(In!$I$170:$I$182="oth")*((In!$J$170:$J$182="比")*$M61+(In!$J$170:$J$182&lt;&gt;"比"))*In!M$170:M$182)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1345</v>
      </c>
      <c r="C62" s="24" t="n">
        <f aca="false">SUM(C47:C61)</f>
        <v>20.4281465139153</v>
      </c>
      <c r="D62" s="24" t="n">
        <f aca="false">SUM(D47:D61)</f>
        <v>1.299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3.344595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18.8054184049844</v>
      </c>
      <c r="L62" s="24" t="n">
        <f aca="false">SUM(L47:L61)</f>
        <v>46.5041599188997</v>
      </c>
      <c r="M62" s="24" t="n">
        <f aca="false">SUM(M47:M61)</f>
        <v>46.5041599188997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1346</v>
      </c>
      <c r="D63" s="24" t="n">
        <f aca="false">IF(In!L156="","",IF(In!$C$156="設施",In!L156/Players!H$13,In!L156))</f>
        <v>11</v>
      </c>
      <c r="L63" s="29" t="n">
        <f aca="false">IF(OR(D63="",N(D63)=0),"",D62/D63)</f>
        <v>0.118090909090909</v>
      </c>
      <c r="M63" s="5" t="s">
        <v>1347</v>
      </c>
    </row>
    <row r="64" customFormat="false" ht="17.15" hidden="false" customHeight="false" outlineLevel="0" collapsed="false">
      <c r="A64" s="5" t="s">
        <v>1348</v>
      </c>
      <c r="E64" s="24" t="n">
        <f aca="false">IF(In!L157="","",IF(In!$C$157="設施",In!L157/Players!H$13,In!L157))</f>
        <v>10</v>
      </c>
      <c r="L64" s="29" t="n">
        <f aca="false">IF(OR(E64="",N(E64)=0),"",E62/E64)</f>
        <v>0.2237</v>
      </c>
      <c r="M64" s="5" t="s">
        <v>1347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1351</v>
      </c>
    </row>
    <row r="3" customFormat="false" ht="17.15" hidden="false" customHeight="false" outlineLevel="0" collapsed="false">
      <c r="A3" s="8" t="s">
        <v>1352</v>
      </c>
    </row>
    <row r="4" customFormat="false" ht="17.15" hidden="false" customHeight="false" outlineLevel="0" collapsed="false">
      <c r="A4" s="6" t="s">
        <v>1353</v>
      </c>
      <c r="B4" s="6" t="s">
        <v>1354</v>
      </c>
      <c r="C4" s="6" t="s">
        <v>500</v>
      </c>
      <c r="D4" s="6" t="s">
        <v>501</v>
      </c>
      <c r="E4" s="7" t="s">
        <v>113</v>
      </c>
      <c r="F4" s="6" t="s">
        <v>17</v>
      </c>
      <c r="G4" s="6" t="s">
        <v>559</v>
      </c>
      <c r="H4" s="6" t="s">
        <v>556</v>
      </c>
      <c r="I4" s="6" t="s">
        <v>557</v>
      </c>
      <c r="J4" s="6" t="s">
        <v>558</v>
      </c>
      <c r="K4" s="7" t="s">
        <v>1355</v>
      </c>
      <c r="L4" s="7" t="s">
        <v>1356</v>
      </c>
      <c r="M4" s="7" t="s">
        <v>1357</v>
      </c>
      <c r="N4" s="7" t="s">
        <v>1358</v>
      </c>
      <c r="O4" s="7" t="s">
        <v>1359</v>
      </c>
      <c r="P4" s="7" t="s">
        <v>1360</v>
      </c>
      <c r="Q4" s="6" t="s">
        <v>1361</v>
      </c>
      <c r="R4" s="7" t="s">
        <v>1362</v>
      </c>
      <c r="S4" s="6" t="s">
        <v>560</v>
      </c>
    </row>
    <row r="5" customFormat="false" ht="15" hidden="false" customHeight="false" outlineLevel="0" collapsed="false">
      <c r="A5" s="0" t="s">
        <v>561</v>
      </c>
      <c r="B5" s="19" t="str">
        <f aca="false">In!B186</f>
        <v>Fairwater Atlanta</v>
      </c>
      <c r="C5" s="19" t="str">
        <f aca="false">IF(In!H186="","",In!H186)</f>
        <v>msft</v>
      </c>
      <c r="D5" s="19" t="str">
        <f aca="false">IF(In!I186="","",In!I186)</f>
        <v/>
      </c>
      <c r="E5" s="19" t="n">
        <f aca="false">IF(In!J186="","",In!J186)</f>
        <v>321</v>
      </c>
      <c r="F5" s="19" t="str">
        <f aca="false">In!C186</f>
        <v>IT</v>
      </c>
      <c r="G5" s="19" t="n">
        <f aca="false">IF(In!N186="","",In!N186)</f>
        <v>1</v>
      </c>
      <c r="H5" s="19" t="n">
        <f aca="false">IF(In!K186="","",In!K186)</f>
        <v>2025</v>
      </c>
      <c r="I5" s="19" t="n">
        <f aca="false">IF(In!L186="","",In!L186)</f>
        <v>10</v>
      </c>
      <c r="J5" s="19" t="n">
        <f aca="false">N(In!M186)</f>
        <v>0</v>
      </c>
      <c r="K5" s="24" t="n">
        <f aca="false">IF(OR(H5="",I5=""),9999,H5+I5/12)</f>
        <v>2025.83333333333</v>
      </c>
      <c r="L5" s="24" t="n">
        <f aca="false">IF(E5="",0,IF(F5="設施",E5/1000/INDEX(Players!$D$13:$M$13,1,MAX(1,MIN(10,H5-2022))),E5/1000*g_ITtoFac))</f>
        <v>0.321</v>
      </c>
      <c r="M5" s="24" t="n">
        <f aca="false">K5</f>
        <v>2025.83333333333</v>
      </c>
      <c r="N5" s="24" t="n">
        <f aca="false">IF(K5&gt;asof,K5+N(J5)/12,K5)</f>
        <v>2025.83333333333</v>
      </c>
      <c r="O5" s="24" t="n">
        <f aca="false">IF(K5&gt;asof,K5+IF(N(J5)&gt;0,N(J5),dly_d1_m)/12,K5)</f>
        <v>2025.83333333333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IF(In!O186="","",In!O186)</f>
        <v>0</v>
      </c>
    </row>
    <row r="6" customFormat="false" ht="17.15" hidden="false" customHeight="false" outlineLevel="0" collapsed="false">
      <c r="A6" s="0" t="s">
        <v>564</v>
      </c>
      <c r="B6" s="19" t="str">
        <f aca="false">In!B187</f>
        <v>Fairwater Wisconsin 一期</v>
      </c>
      <c r="C6" s="19" t="str">
        <f aca="false">IF(In!H187="","",In!H187)</f>
        <v>msft</v>
      </c>
      <c r="D6" s="19" t="str">
        <f aca="false">IF(In!I187="","",In!I187)</f>
        <v/>
      </c>
      <c r="E6" s="19" t="n">
        <f aca="false">IF(In!J187="","",In!J187)</f>
        <v>369</v>
      </c>
      <c r="F6" s="19" t="str">
        <f aca="false">In!C187</f>
        <v>IT</v>
      </c>
      <c r="G6" s="19" t="n">
        <f aca="false">IF(In!N187="","",In!N187)</f>
        <v>1</v>
      </c>
      <c r="H6" s="19" t="n">
        <f aca="false">IF(In!K187="","",In!K187)</f>
        <v>2026</v>
      </c>
      <c r="I6" s="19" t="n">
        <f aca="false">IF(In!L187="","",In!L187)</f>
        <v>4</v>
      </c>
      <c r="J6" s="19" t="n">
        <f aca="false">N(In!M187)</f>
        <v>0</v>
      </c>
      <c r="K6" s="24" t="n">
        <f aca="false">IF(OR(H6="",I6=""),9999,H6+I6/12)</f>
        <v>2026.33333333333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2026.33333333333</v>
      </c>
      <c r="N6" s="24" t="n">
        <f aca="false">IF(K6&gt;asof,K6+N(J6)/12,K6)</f>
        <v>2026.33333333333</v>
      </c>
      <c r="O6" s="24" t="n">
        <f aca="false">IF(K6&gt;asof,K6+IF(N(J6)&gt;0,N(J6),dly_d1_m)/12,K6)</f>
        <v>2026.33333333333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IF(In!O187="","",In!O187)</f>
        <v>0</v>
      </c>
    </row>
    <row r="7" customFormat="false" ht="17.15" hidden="false" customHeight="false" outlineLevel="0" collapsed="false">
      <c r="A7" s="0" t="s">
        <v>567</v>
      </c>
      <c r="B7" s="19" t="str">
        <f aca="false">In!B188</f>
        <v>Fairwater Wisconsin 全站餘量（2,263 − 369）</v>
      </c>
      <c r="C7" s="19" t="str">
        <f aca="false">IF(In!H188="","",In!H188)</f>
        <v>msft</v>
      </c>
      <c r="D7" s="19" t="str">
        <f aca="false">IF(In!I188="","",In!I188)</f>
        <v/>
      </c>
      <c r="E7" s="19" t="n">
        <f aca="false">IF(In!J188="","",In!J188)</f>
        <v>1526</v>
      </c>
      <c r="F7" s="19" t="str">
        <f aca="false">In!C188</f>
        <v>IT</v>
      </c>
      <c r="G7" s="19" t="n">
        <f aca="false">IF(In!N188="","",In!N188)</f>
        <v>1</v>
      </c>
      <c r="H7" s="19" t="n">
        <f aca="false">IF(In!K188="","",In!K188)</f>
        <v>2028</v>
      </c>
      <c r="I7" s="19" t="n">
        <f aca="false">IF(In!L188="","",In!L188)</f>
        <v>5</v>
      </c>
      <c r="J7" s="19" t="n">
        <f aca="false">N(In!M188)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1.526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IF(In!O188="","",In!O188)</f>
        <v>0</v>
      </c>
    </row>
    <row r="8" customFormat="false" ht="17.15" hidden="false" customHeight="false" outlineLevel="0" collapsed="false">
      <c r="A8" s="0" t="s">
        <v>570</v>
      </c>
      <c r="B8" s="19" t="str">
        <f aca="false">In!B189</f>
        <v>Abilene 鄰近園區（Crusoe 開發、Microsoft 承租）</v>
      </c>
      <c r="C8" s="19" t="str">
        <f aca="false">IF(In!H189="","",In!H189)</f>
        <v>msft</v>
      </c>
      <c r="D8" s="19" t="str">
        <f aca="false">IF(In!I189="","",In!I189)</f>
        <v>self</v>
      </c>
      <c r="E8" s="19" t="n">
        <f aca="false">IF(In!J189="","",In!J189)</f>
        <v>336</v>
      </c>
      <c r="F8" s="19" t="str">
        <f aca="false">In!C189</f>
        <v>IT</v>
      </c>
      <c r="G8" s="19" t="n">
        <f aca="false">IF(In!N189="","",In!N189)</f>
        <v>1</v>
      </c>
      <c r="H8" s="19" t="n">
        <f aca="false">IF(In!K189="","",In!K189)</f>
        <v>2027</v>
      </c>
      <c r="I8" s="19" t="n">
        <f aca="false">IF(In!L189="","",In!L189)</f>
        <v>6</v>
      </c>
      <c r="J8" s="19" t="n">
        <f aca="false">N(In!M189)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0.336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IF(In!O189="","",In!O189)</f>
        <v>0</v>
      </c>
    </row>
    <row r="9" customFormat="false" ht="17.15" hidden="false" customHeight="false" outlineLevel="0" collapsed="false">
      <c r="A9" s="0" t="s">
        <v>573</v>
      </c>
      <c r="B9" s="19" t="str">
        <f aca="false">In!B190</f>
        <v>New Carlisle（Rainier）2026-03→10 增量</v>
      </c>
      <c r="C9" s="19" t="str">
        <f aca="false">IF(In!H190="","",In!H190)</f>
        <v>amzn</v>
      </c>
      <c r="D9" s="19" t="str">
        <f aca="false">IF(In!I190="","",In!I190)</f>
        <v>ant</v>
      </c>
      <c r="E9" s="19" t="n">
        <f aca="false">IF(In!J190="","",In!J190)</f>
        <v>127</v>
      </c>
      <c r="F9" s="19" t="str">
        <f aca="false">In!C190</f>
        <v>IT</v>
      </c>
      <c r="G9" s="19" t="n">
        <f aca="false">IF(In!N190="","",In!N190)</f>
        <v>1</v>
      </c>
      <c r="H9" s="19" t="n">
        <f aca="false">IF(In!K190="","",In!K190)</f>
        <v>2026</v>
      </c>
      <c r="I9" s="19" t="n">
        <f aca="false">IF(In!L190="","",In!L190)</f>
        <v>10</v>
      </c>
      <c r="J9" s="19" t="n">
        <f aca="false">N(In!M190)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IF(In!O190="","",In!O190)</f>
        <v>0</v>
      </c>
    </row>
    <row r="10" customFormat="false" ht="17.15" hidden="false" customHeight="false" outlineLevel="0" collapsed="false">
      <c r="A10" s="0" t="s">
        <v>576</v>
      </c>
      <c r="B10" s="19" t="str">
        <f aca="false">In!B191</f>
        <v>New Carlisle 至 2028 年 1,925 增量</v>
      </c>
      <c r="C10" s="19" t="str">
        <f aca="false">IF(In!H191="","",In!H191)</f>
        <v>amzn</v>
      </c>
      <c r="D10" s="19" t="str">
        <f aca="false">IF(In!I191="","",In!I191)</f>
        <v>ant</v>
      </c>
      <c r="E10" s="19" t="n">
        <f aca="false">IF(In!J191="","",In!J191)</f>
        <v>888</v>
      </c>
      <c r="F10" s="19" t="str">
        <f aca="false">In!C191</f>
        <v>IT</v>
      </c>
      <c r="G10" s="19" t="n">
        <f aca="false">IF(In!N191="","",In!N191)</f>
        <v>1</v>
      </c>
      <c r="H10" s="19" t="n">
        <f aca="false">IF(In!K191="","",In!K191)</f>
        <v>2028</v>
      </c>
      <c r="I10" s="19" t="n">
        <f aca="false">IF(In!L191="","",In!L191)</f>
        <v>6</v>
      </c>
      <c r="J10" s="19" t="n">
        <f aca="false">N(In!M191)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IF(In!O191="","",In!O191)</f>
        <v>0</v>
      </c>
    </row>
    <row r="11" customFormat="false" ht="17.15" hidden="false" customHeight="false" outlineLevel="0" collapsed="false">
      <c r="A11" s="0" t="s">
        <v>579</v>
      </c>
      <c r="B11" s="19" t="str">
        <f aca="false">In!B192</f>
        <v>Prometheus（New Albany）至 2026-08</v>
      </c>
      <c r="C11" s="19" t="str">
        <f aca="false">IF(In!H192="","",In!H192)</f>
        <v>meta</v>
      </c>
      <c r="D11" s="19" t="str">
        <f aca="false">IF(In!I192="","",In!I192)</f>
        <v>meta</v>
      </c>
      <c r="E11" s="19" t="n">
        <f aca="false">IF(In!J192="","",In!J192)</f>
        <v>471</v>
      </c>
      <c r="F11" s="19" t="str">
        <f aca="false">In!C192</f>
        <v>IT</v>
      </c>
      <c r="G11" s="19" t="n">
        <f aca="false">IF(In!N192="","",In!N192)</f>
        <v>1</v>
      </c>
      <c r="H11" s="19" t="n">
        <f aca="false">IF(In!K192="","",In!K192)</f>
        <v>2026</v>
      </c>
      <c r="I11" s="19" t="n">
        <f aca="false">IF(In!L192="","",In!L192)</f>
        <v>8</v>
      </c>
      <c r="J11" s="19" t="n">
        <f aca="false">N(In!M192)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IF(In!O192="","",In!O192)</f>
        <v>0</v>
      </c>
    </row>
    <row r="12" customFormat="false" ht="17.15" hidden="false" customHeight="false" outlineLevel="0" collapsed="false">
      <c r="A12" s="0" t="s">
        <v>582</v>
      </c>
      <c r="B12" s="19" t="str">
        <f aca="false">In!B193</f>
        <v>Prometheus 2026-11 增量</v>
      </c>
      <c r="C12" s="19" t="str">
        <f aca="false">IF(In!H193="","",In!H193)</f>
        <v>meta</v>
      </c>
      <c r="D12" s="19" t="str">
        <f aca="false">IF(In!I193="","",In!I193)</f>
        <v>meta</v>
      </c>
      <c r="E12" s="19" t="n">
        <f aca="false">IF(In!J193="","",In!J193)</f>
        <v>205</v>
      </c>
      <c r="F12" s="19" t="str">
        <f aca="false">In!C193</f>
        <v>IT</v>
      </c>
      <c r="G12" s="19" t="n">
        <f aca="false">IF(In!N193="","",In!N193)</f>
        <v>1</v>
      </c>
      <c r="H12" s="19" t="n">
        <f aca="false">IF(In!K193="","",In!K193)</f>
        <v>2026</v>
      </c>
      <c r="I12" s="19" t="n">
        <f aca="false">IF(In!L193="","",In!L193)</f>
        <v>11</v>
      </c>
      <c r="J12" s="19" t="n">
        <f aca="false">N(In!M193)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IF(In!O193="","",In!O193)</f>
        <v>0</v>
      </c>
    </row>
    <row r="13" customFormat="false" ht="17.15" hidden="false" customHeight="false" outlineLevel="0" collapsed="false">
      <c r="A13" s="0" t="s">
        <v>585</v>
      </c>
      <c r="B13" s="19" t="str">
        <f aca="false">In!B194</f>
        <v>Prometheus 2027-07 增量</v>
      </c>
      <c r="C13" s="19" t="str">
        <f aca="false">IF(In!H194="","",In!H194)</f>
        <v>meta</v>
      </c>
      <c r="D13" s="19" t="str">
        <f aca="false">IF(In!I194="","",In!I194)</f>
        <v>meta</v>
      </c>
      <c r="E13" s="19" t="n">
        <f aca="false">IF(In!J194="","",In!J194)</f>
        <v>192</v>
      </c>
      <c r="F13" s="19" t="str">
        <f aca="false">In!C194</f>
        <v>IT</v>
      </c>
      <c r="G13" s="19" t="n">
        <f aca="false">IF(In!N194="","",In!N194)</f>
        <v>1</v>
      </c>
      <c r="H13" s="19" t="n">
        <f aca="false">IF(In!K194="","",In!K194)</f>
        <v>2027</v>
      </c>
      <c r="I13" s="19" t="n">
        <f aca="false">IF(In!L194="","",In!L194)</f>
        <v>7</v>
      </c>
      <c r="J13" s="19" t="n">
        <f aca="false">N(In!M194)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IF(In!O194="","",In!O194)</f>
        <v>1</v>
      </c>
    </row>
    <row r="14" customFormat="false" ht="17.15" hidden="false" customHeight="false" outlineLevel="0" collapsed="false">
      <c r="A14" s="0" t="s">
        <v>588</v>
      </c>
      <c r="B14" s="19" t="str">
        <f aca="false">In!B195</f>
        <v>Prometheus 2028Q3 增量</v>
      </c>
      <c r="C14" s="19" t="str">
        <f aca="false">IF(In!H195="","",In!H195)</f>
        <v>meta</v>
      </c>
      <c r="D14" s="19" t="str">
        <f aca="false">IF(In!I195="","",In!I195)</f>
        <v>meta</v>
      </c>
      <c r="E14" s="19" t="n">
        <f aca="false">IF(In!J195="","",In!J195)</f>
        <v>154</v>
      </c>
      <c r="F14" s="19" t="str">
        <f aca="false">In!C195</f>
        <v>IT</v>
      </c>
      <c r="G14" s="19" t="n">
        <f aca="false">IF(In!N195="","",In!N195)</f>
        <v>1</v>
      </c>
      <c r="H14" s="19" t="n">
        <f aca="false">IF(In!K195="","",In!K195)</f>
        <v>2028</v>
      </c>
      <c r="I14" s="19" t="n">
        <f aca="false">IF(In!L195="","",In!L195)</f>
        <v>7</v>
      </c>
      <c r="J14" s="19" t="n">
        <f aca="false">N(In!M195)</f>
        <v>0</v>
      </c>
      <c r="K14" s="24" t="n">
        <f aca="false">IF(OR(H14="",I14=""),9999,H14+I14/12)</f>
        <v>2028.58333333333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2028.58333333333</v>
      </c>
      <c r="N14" s="24" t="n">
        <f aca="false">IF(K14&gt;asof,K14+N(J14)/12,K14)</f>
        <v>2028.58333333333</v>
      </c>
      <c r="O14" s="24" t="n">
        <f aca="false">IF(K14&gt;asof,K14+IF(N(J14)&gt;0,N(J14),dly_d1_m)/12,K14)</f>
        <v>2029.08333333333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IF(In!O195="","",In!O195)</f>
        <v>1</v>
      </c>
    </row>
    <row r="15" customFormat="false" ht="17.15" hidden="false" customHeight="false" outlineLevel="0" collapsed="false">
      <c r="A15" s="0" t="s">
        <v>591</v>
      </c>
      <c r="B15" s="19" t="str">
        <f aca="false">In!B196</f>
        <v>Hyperion 一期</v>
      </c>
      <c r="C15" s="19" t="str">
        <f aca="false">IF(In!H196="","",In!H196)</f>
        <v>meta</v>
      </c>
      <c r="D15" s="19" t="str">
        <f aca="false">IF(In!I196="","",In!I196)</f>
        <v>meta</v>
      </c>
      <c r="E15" s="19" t="n">
        <f aca="false">IF(In!J196="","",In!J196)</f>
        <v>1632</v>
      </c>
      <c r="F15" s="19" t="str">
        <f aca="false">In!C196</f>
        <v>IT</v>
      </c>
      <c r="G15" s="19" t="n">
        <f aca="false">IF(In!N196="","",In!N196)</f>
        <v>1</v>
      </c>
      <c r="H15" s="19" t="n">
        <f aca="false">IF(In!K196="","",In!K196)</f>
        <v>2028</v>
      </c>
      <c r="I15" s="19" t="n">
        <f aca="false">IF(In!L196="","",In!L196)</f>
        <v>1</v>
      </c>
      <c r="J15" s="19" t="n">
        <f aca="false">N(In!M196)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IF(In!O196="","",In!O196)</f>
        <v>1</v>
      </c>
    </row>
    <row r="16" customFormat="false" ht="17.15" hidden="false" customHeight="false" outlineLevel="0" collapsed="false">
      <c r="A16" s="0" t="s">
        <v>594</v>
      </c>
      <c r="B16" s="19" t="str">
        <f aca="false">In!B197</f>
        <v>Hyperion 至 2 GW（2030 前）</v>
      </c>
      <c r="C16" s="19" t="str">
        <f aca="false">IF(In!H197="","",In!H197)</f>
        <v>meta</v>
      </c>
      <c r="D16" s="19" t="str">
        <f aca="false">IF(In!I197="","",In!I197)</f>
        <v>meta</v>
      </c>
      <c r="E16" s="19" t="n">
        <f aca="false">IF(In!J197="","",In!J197)</f>
        <v>368</v>
      </c>
      <c r="F16" s="19" t="str">
        <f aca="false">In!C197</f>
        <v>未說明</v>
      </c>
      <c r="G16" s="19" t="n">
        <f aca="false">IF(In!N197="","",In!N197)</f>
        <v>1</v>
      </c>
      <c r="H16" s="19" t="n">
        <f aca="false">IF(In!K197="","",In!K197)</f>
        <v>2029</v>
      </c>
      <c r="I16" s="19" t="n">
        <f aca="false">IF(In!L197="","",In!L197)</f>
        <v>12</v>
      </c>
      <c r="J16" s="19" t="n">
        <f aca="false">N(In!M197)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IF(In!O197="","",In!O197)</f>
        <v>0</v>
      </c>
    </row>
    <row r="17" customFormat="false" ht="17.15" hidden="false" customHeight="false" outlineLevel="0" collapsed="false">
      <c r="A17" s="0" t="s">
        <v>597</v>
      </c>
      <c r="B17" s="19" t="str">
        <f aca="false">In!B198</f>
        <v>El Paso（BlackRock 80% 合資）</v>
      </c>
      <c r="C17" s="19" t="str">
        <f aca="false">IF(In!H198="","",In!H198)</f>
        <v>meta</v>
      </c>
      <c r="D17" s="19" t="str">
        <f aca="false">IF(In!I198="","",In!I198)</f>
        <v>meta</v>
      </c>
      <c r="E17" s="19" t="n">
        <f aca="false">IF(In!J198="","",In!J198)</f>
        <v>1000</v>
      </c>
      <c r="F17" s="19" t="str">
        <f aca="false">In!C198</f>
        <v>未說明</v>
      </c>
      <c r="G17" s="19" t="n">
        <f aca="false">IF(In!N198="","",In!N198)</f>
        <v>1</v>
      </c>
      <c r="H17" s="19" t="n">
        <f aca="false">IF(In!K198="","",In!K198)</f>
        <v>2028</v>
      </c>
      <c r="I17" s="19" t="n">
        <f aca="false">IF(In!L198="","",In!L198)</f>
        <v>12</v>
      </c>
      <c r="J17" s="19" t="n">
        <f aca="false">N(In!M198)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IF(In!O198="","",In!O198)</f>
        <v>0</v>
      </c>
    </row>
    <row r="18" customFormat="false" ht="17.15" hidden="false" customHeight="false" outlineLevel="0" collapsed="false">
      <c r="A18" s="0" t="s">
        <v>600</v>
      </c>
      <c r="B18" s="19" t="str">
        <f aca="false">In!B199</f>
        <v>Abilene 餘 2 棟（824 − 618）</v>
      </c>
      <c r="C18" s="19" t="str">
        <f aca="false">IF(In!H199="","",In!H199)</f>
        <v>orcl</v>
      </c>
      <c r="D18" s="19" t="str">
        <f aca="false">IF(In!I199="","",In!I199)</f>
        <v>oai</v>
      </c>
      <c r="E18" s="19" t="n">
        <f aca="false">IF(In!J199="","",In!J199)</f>
        <v>206</v>
      </c>
      <c r="F18" s="19" t="str">
        <f aca="false">In!C199</f>
        <v>未說明</v>
      </c>
      <c r="G18" s="19" t="n">
        <f aca="false">IF(In!N199="","",In!N199)</f>
        <v>1</v>
      </c>
      <c r="H18" s="19" t="n">
        <f aca="false">IF(In!K199="","",In!K199)</f>
        <v>2026</v>
      </c>
      <c r="I18" s="19" t="n">
        <f aca="false">IF(In!L199="","",In!L199)</f>
        <v>12</v>
      </c>
      <c r="J18" s="19" t="n">
        <f aca="false">N(In!M199)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IF(In!O199="","",In!O199)</f>
        <v>0</v>
      </c>
    </row>
    <row r="19" customFormat="false" ht="17.15" hidden="false" customHeight="false" outlineLevel="0" collapsed="false">
      <c r="A19" s="0" t="s">
        <v>603</v>
      </c>
      <c r="B19" s="19" t="str">
        <f aca="false">In!B200</f>
        <v>Shackelford（Frontier）首棟</v>
      </c>
      <c r="C19" s="19" t="str">
        <f aca="false">IF(In!H200="","",In!H200)</f>
        <v>orcl</v>
      </c>
      <c r="D19" s="19" t="str">
        <f aca="false">IF(In!I200="","",In!I200)</f>
        <v>oai</v>
      </c>
      <c r="E19" s="19" t="n">
        <f aca="false">IF(In!J200="","",In!J200)</f>
        <v>200</v>
      </c>
      <c r="F19" s="19" t="str">
        <f aca="false">In!C200</f>
        <v>設施</v>
      </c>
      <c r="G19" s="19" t="n">
        <f aca="false">IF(In!N200="","",In!N200)</f>
        <v>1</v>
      </c>
      <c r="H19" s="19" t="n">
        <f aca="false">IF(In!K200="","",In!K200)</f>
        <v>2027</v>
      </c>
      <c r="I19" s="19" t="n">
        <f aca="false">IF(In!L200="","",In!L200)</f>
        <v>8</v>
      </c>
      <c r="J19" s="19" t="n">
        <f aca="false">N(In!M200)</f>
        <v>0</v>
      </c>
      <c r="K19" s="24" t="n">
        <f aca="false">IF(OR(H19="",I19=""),9999,H19+I19/12)</f>
        <v>2027.66666666667</v>
      </c>
      <c r="L19" s="24" t="n">
        <f aca="false">IF(E19="",0,IF(F19="設施",E19/1000/INDEX(Players!$D$13:$M$13,1,MAX(1,MIN(10,H19-2022))),E19/1000*g_ITtoFac))</f>
        <v>0.166666666666667</v>
      </c>
      <c r="M19" s="24" t="n">
        <f aca="false">K19</f>
        <v>2027.66666666667</v>
      </c>
      <c r="N19" s="24" t="n">
        <f aca="false">IF(K19&gt;asof,K19+N(J19)/12,K19)</f>
        <v>2027.66666666667</v>
      </c>
      <c r="O19" s="24" t="n">
        <f aca="false">IF(K19&gt;asof,K19+IF(N(J19)&gt;0,N(J19),dly_d1_m)/12,K19)</f>
        <v>2028.16666666667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IF(In!O200="","",In!O200)</f>
        <v>0</v>
      </c>
    </row>
    <row r="20" customFormat="false" ht="17.15" hidden="false" customHeight="false" outlineLevel="0" collapsed="false">
      <c r="A20" s="0" t="s">
        <v>606</v>
      </c>
      <c r="B20" s="19" t="str">
        <f aca="false">In!B201</f>
        <v>Shackelford 其餘 9 棟</v>
      </c>
      <c r="C20" s="19" t="str">
        <f aca="false">IF(In!H201="","",In!H201)</f>
        <v>orcl</v>
      </c>
      <c r="D20" s="19" t="str">
        <f aca="false">IF(In!I201="","",In!I201)</f>
        <v>oai</v>
      </c>
      <c r="E20" s="19" t="n">
        <f aca="false">IF(In!J201="","",In!J201)</f>
        <v>1800</v>
      </c>
      <c r="F20" s="19" t="str">
        <f aca="false">In!C201</f>
        <v>設施</v>
      </c>
      <c r="G20" s="19" t="n">
        <f aca="false">IF(In!N201="","",In!N201)</f>
        <v>1</v>
      </c>
      <c r="H20" s="19" t="n">
        <f aca="false">IF(In!K201="","",In!K201)</f>
        <v>2028</v>
      </c>
      <c r="I20" s="19" t="n">
        <f aca="false">IF(In!L201="","",In!L201)</f>
        <v>11</v>
      </c>
      <c r="J20" s="19" t="n">
        <f aca="false">N(In!M201)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1.5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IF(In!O201="","",In!O201)</f>
        <v>0</v>
      </c>
    </row>
    <row r="21" customFormat="false" ht="17.15" hidden="false" customHeight="false" outlineLevel="0" collapsed="false">
      <c r="A21" s="0" t="s">
        <v>609</v>
      </c>
      <c r="B21" s="19" t="str">
        <f aca="false">In!B202</f>
        <v>Doña Ana（Project Jupiter）</v>
      </c>
      <c r="C21" s="19" t="str">
        <f aca="false">IF(In!H202="","",In!H202)</f>
        <v>orcl</v>
      </c>
      <c r="D21" s="19" t="str">
        <f aca="false">IF(In!I202="","",In!I202)</f>
        <v>oai</v>
      </c>
      <c r="E21" s="19" t="n">
        <f aca="false">IF(In!J202="","",In!J202)</f>
        <v>2200</v>
      </c>
      <c r="F21" s="19" t="str">
        <f aca="false">In!C202</f>
        <v>設施</v>
      </c>
      <c r="G21" s="19" t="n">
        <f aca="false">IF(In!N202="","",In!N202)</f>
        <v>1</v>
      </c>
      <c r="H21" s="19" t="n">
        <f aca="false">IF(In!K202="","",In!K202)</f>
        <v>2028</v>
      </c>
      <c r="I21" s="19" t="n">
        <f aca="false">IF(In!L202="","",In!L202)</f>
        <v>12</v>
      </c>
      <c r="J21" s="19" t="n">
        <f aca="false">N(In!M202)</f>
        <v>0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2029</v>
      </c>
      <c r="O21" s="24" t="n">
        <f aca="false">IF(K21&gt;asof,K21+IF(N(J21)&gt;0,N(J21),dly_d1_m)/12,K21)</f>
        <v>2029.5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IF(In!O202="","",In!O202)</f>
        <v>0</v>
      </c>
    </row>
    <row r="22" customFormat="false" ht="17.15" hidden="false" customHeight="false" outlineLevel="0" collapsed="false">
      <c r="A22" s="0" t="s">
        <v>612</v>
      </c>
      <c r="B22" s="19" t="str">
        <f aca="false">In!B203</f>
        <v>Port Washington（Lighthouse）</v>
      </c>
      <c r="C22" s="19" t="str">
        <f aca="false">IF(In!H203="","",In!H203)</f>
        <v>orcl</v>
      </c>
      <c r="D22" s="19" t="str">
        <f aca="false">IF(In!I203="","",In!I203)</f>
        <v>oai</v>
      </c>
      <c r="E22" s="19" t="n">
        <f aca="false">IF(In!J203="","",In!J203)</f>
        <v>1300</v>
      </c>
      <c r="F22" s="19" t="str">
        <f aca="false">In!C203</f>
        <v>設施</v>
      </c>
      <c r="G22" s="19" t="n">
        <f aca="false">IF(In!N203="","",In!N203)</f>
        <v>1</v>
      </c>
      <c r="H22" s="19" t="n">
        <f aca="false">IF(In!K203="","",In!K203)</f>
        <v>2028</v>
      </c>
      <c r="I22" s="19" t="n">
        <f aca="false">IF(In!L203="","",In!L203)</f>
        <v>12</v>
      </c>
      <c r="J22" s="19" t="n">
        <f aca="false">N(In!M203)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IF(In!O203="","",In!O203)</f>
        <v>0</v>
      </c>
    </row>
    <row r="23" customFormat="false" ht="17.15" hidden="false" customHeight="false" outlineLevel="0" collapsed="false">
      <c r="A23" s="0" t="s">
        <v>615</v>
      </c>
      <c r="B23" s="19" t="str">
        <f aca="false">In!B204</f>
        <v>Saline Township（The Barn）</v>
      </c>
      <c r="C23" s="19" t="str">
        <f aca="false">IF(In!H204="","",In!H204)</f>
        <v>orcl</v>
      </c>
      <c r="D23" s="19" t="str">
        <f aca="false">IF(In!I204="","",In!I204)</f>
        <v>oai</v>
      </c>
      <c r="E23" s="19" t="n">
        <f aca="false">IF(In!J204="","",In!J204)</f>
        <v>1383</v>
      </c>
      <c r="F23" s="19" t="str">
        <f aca="false">In!C204</f>
        <v>設施</v>
      </c>
      <c r="G23" s="19" t="n">
        <f aca="false">IF(In!N204="","",In!N204)</f>
        <v>1</v>
      </c>
      <c r="H23" s="19" t="n">
        <f aca="false">IF(In!K204="","",In!K204)</f>
        <v>2028</v>
      </c>
      <c r="I23" s="19" t="n">
        <f aca="false">IF(In!L204="","",In!L204)</f>
        <v>12</v>
      </c>
      <c r="J23" s="19" t="n">
        <f aca="false">N(In!M204)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1.1525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IF(In!O204="","",In!O204)</f>
        <v>0</v>
      </c>
    </row>
    <row r="24" customFormat="false" ht="17.15" hidden="false" customHeight="false" outlineLevel="0" collapsed="false">
      <c r="A24" s="0" t="s">
        <v>618</v>
      </c>
      <c r="B24" s="19" t="str">
        <f aca="false">In!B205</f>
        <v>Helios Phase II（Galaxy 房東）</v>
      </c>
      <c r="C24" s="19" t="str">
        <f aca="false">IF(In!H205="","",In!H205)</f>
        <v>crwv</v>
      </c>
      <c r="D24" s="19" t="str">
        <f aca="false">IF(In!I205="","",In!I205)</f>
        <v/>
      </c>
      <c r="E24" s="19" t="n">
        <f aca="false">IF(In!J205="","",In!J205)</f>
        <v>260</v>
      </c>
      <c r="F24" s="19" t="str">
        <f aca="false">In!C205</f>
        <v>IT</v>
      </c>
      <c r="G24" s="19" t="n">
        <f aca="false">IF(In!N205="","",In!N205)</f>
        <v>1</v>
      </c>
      <c r="H24" s="19" t="n">
        <f aca="false">IF(In!K205="","",In!K205)</f>
        <v>2027</v>
      </c>
      <c r="I24" s="19" t="n">
        <f aca="false">IF(In!L205="","",In!L205)</f>
        <v>6</v>
      </c>
      <c r="J24" s="19" t="n">
        <f aca="false">N(In!M205)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IF(In!O205="","",In!O205)</f>
        <v>0</v>
      </c>
    </row>
    <row r="25" customFormat="false" ht="17.15" hidden="false" customHeight="false" outlineLevel="0" collapsed="false">
      <c r="A25" s="0" t="s">
        <v>622</v>
      </c>
      <c r="B25" s="19" t="str">
        <f aca="false">In!B206</f>
        <v>IREN Childress H3–4（Microsoft）</v>
      </c>
      <c r="C25" s="19" t="str">
        <f aca="false">IF(In!H206="","",In!H206)</f>
        <v>neo</v>
      </c>
      <c r="D25" s="19" t="str">
        <f aca="false">IF(In!I206="","",In!I206)</f>
        <v>msft</v>
      </c>
      <c r="E25" s="19" t="n">
        <f aca="false">IF(In!J206="","",In!J206)</f>
        <v>100</v>
      </c>
      <c r="F25" s="19" t="str">
        <f aca="false">In!C206</f>
        <v>IT</v>
      </c>
      <c r="G25" s="19" t="n">
        <f aca="false">IF(In!N206="","",In!N206)</f>
        <v>1</v>
      </c>
      <c r="H25" s="19" t="n">
        <f aca="false">IF(In!K206="","",In!K206)</f>
        <v>2026</v>
      </c>
      <c r="I25" s="19" t="n">
        <f aca="false">IF(In!L206="","",In!L206)</f>
        <v>12</v>
      </c>
      <c r="J25" s="19" t="n">
        <f aca="false">N(In!M206)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IF(In!O206="","",In!O206)</f>
        <v>0</v>
      </c>
    </row>
    <row r="26" customFormat="false" ht="17.15" hidden="false" customHeight="false" outlineLevel="0" collapsed="false">
      <c r="A26" s="0" t="s">
        <v>625</v>
      </c>
      <c r="B26" s="19" t="str">
        <f aca="false">In!B207</f>
        <v>IREN 2027 累計 0.8 GW 目標增量</v>
      </c>
      <c r="C26" s="19" t="str">
        <f aca="false">IF(In!H207="","",In!H207)</f>
        <v>neo</v>
      </c>
      <c r="D26" s="19" t="str">
        <f aca="false">IF(In!I207="","",In!I207)</f>
        <v/>
      </c>
      <c r="E26" s="19" t="n">
        <f aca="false">IF(In!J207="","",In!J207)</f>
        <v>500</v>
      </c>
      <c r="F26" s="19" t="str">
        <f aca="false">In!C207</f>
        <v>IT</v>
      </c>
      <c r="G26" s="19" t="n">
        <f aca="false">IF(In!N207="","",In!N207)</f>
        <v>1</v>
      </c>
      <c r="H26" s="19" t="n">
        <f aca="false">IF(In!K207="","",In!K207)</f>
        <v>2027</v>
      </c>
      <c r="I26" s="19" t="n">
        <f aca="false">IF(In!L207="","",In!L207)</f>
        <v>12</v>
      </c>
      <c r="J26" s="19" t="n">
        <f aca="false">N(In!M207)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IF(In!O207="","",In!O207)</f>
        <v>0</v>
      </c>
    </row>
    <row r="27" customFormat="false" ht="17.15" hidden="false" customHeight="false" outlineLevel="0" collapsed="false">
      <c r="A27" s="0" t="s">
        <v>628</v>
      </c>
      <c r="B27" s="19" t="str">
        <f aca="false">In!B208</f>
        <v>TeraWulf Kentucky（Anthropic）首期</v>
      </c>
      <c r="C27" s="19" t="str">
        <f aca="false">IF(In!H208="","",In!H208)</f>
        <v>neo</v>
      </c>
      <c r="D27" s="19" t="str">
        <f aca="false">IF(In!I208="","",In!I208)</f>
        <v>ant</v>
      </c>
      <c r="E27" s="19" t="n">
        <f aca="false">IF(In!J208="","",In!J208)</f>
        <v>200</v>
      </c>
      <c r="F27" s="19" t="str">
        <f aca="false">In!C208</f>
        <v>IT</v>
      </c>
      <c r="G27" s="19" t="n">
        <f aca="false">IF(In!N208="","",In!N208)</f>
        <v>1</v>
      </c>
      <c r="H27" s="19" t="n">
        <f aca="false">IF(In!K208="","",In!K208)</f>
        <v>2027</v>
      </c>
      <c r="I27" s="19" t="n">
        <f aca="false">IF(In!L208="","",In!L208)</f>
        <v>9</v>
      </c>
      <c r="J27" s="19" t="n">
        <f aca="false">N(In!M208)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IF(In!O208="","",In!O208)</f>
        <v>0</v>
      </c>
    </row>
    <row r="28" customFormat="false" ht="17.15" hidden="false" customHeight="false" outlineLevel="0" collapsed="false">
      <c r="A28" s="0" t="s">
        <v>631</v>
      </c>
      <c r="B28" s="19" t="str">
        <f aca="false">In!B209</f>
        <v>TeraWulf Kentucky 其餘</v>
      </c>
      <c r="C28" s="19" t="str">
        <f aca="false">IF(In!H209="","",In!H209)</f>
        <v>neo</v>
      </c>
      <c r="D28" s="19" t="str">
        <f aca="false">IF(In!I209="","",In!I209)</f>
        <v>ant</v>
      </c>
      <c r="E28" s="19" t="n">
        <f aca="false">IF(In!J209="","",In!J209)</f>
        <v>201</v>
      </c>
      <c r="F28" s="19" t="str">
        <f aca="false">In!C209</f>
        <v>IT</v>
      </c>
      <c r="G28" s="19" t="n">
        <f aca="false">IF(In!N209="","",In!N209)</f>
        <v>1</v>
      </c>
      <c r="H28" s="19" t="n">
        <f aca="false">IF(In!K209="","",In!K209)</f>
        <v>2028</v>
      </c>
      <c r="I28" s="19" t="n">
        <f aca="false">IF(In!L209="","",In!L209)</f>
        <v>2</v>
      </c>
      <c r="J28" s="19" t="n">
        <f aca="false">N(In!M209)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IF(In!O209="","",In!O209)</f>
        <v>0</v>
      </c>
    </row>
    <row r="29" customFormat="false" ht="17.15" hidden="false" customHeight="false" outlineLevel="0" collapsed="false">
      <c r="A29" s="0" t="s">
        <v>633</v>
      </c>
      <c r="B29" s="19" t="str">
        <f aca="false">In!B210</f>
        <v>Ports Pike（SB Energy）首期 4.25 IT-GW 第 1 段</v>
      </c>
      <c r="C29" s="19" t="str">
        <f aca="false">IF(In!H210="","",In!H210)</f>
        <v>oai</v>
      </c>
      <c r="D29" s="19" t="str">
        <f aca="false">IF(In!I210="","",In!I210)</f>
        <v>oai</v>
      </c>
      <c r="E29" s="19" t="n">
        <f aca="false">IF(In!J210="","",In!J210)</f>
        <v>800</v>
      </c>
      <c r="F29" s="19" t="str">
        <f aca="false">In!C210</f>
        <v>IT</v>
      </c>
      <c r="G29" s="19" t="n">
        <f aca="false">IF(In!N210="","",In!N210)</f>
        <v>1</v>
      </c>
      <c r="H29" s="19" t="n">
        <f aca="false">IF(In!K210="","",In!K210)</f>
        <v>2028</v>
      </c>
      <c r="I29" s="19" t="n">
        <f aca="false">IF(In!L210="","",In!L210)</f>
        <v>12</v>
      </c>
      <c r="J29" s="19" t="n">
        <f aca="false">N(In!M210)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0.8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IF(In!O210="","",In!O210)</f>
        <v>0</v>
      </c>
    </row>
    <row r="30" customFormat="false" ht="17.15" hidden="false" customHeight="false" outlineLevel="0" collapsed="false">
      <c r="A30" s="0" t="s">
        <v>636</v>
      </c>
      <c r="B30" s="19" t="str">
        <f aca="false">In!B211</f>
        <v>Ports Pike（SB Energy）首期 4.25 IT-GW 第 2 段</v>
      </c>
      <c r="C30" s="19" t="str">
        <f aca="false">IF(In!H211="","",In!H211)</f>
        <v>oai</v>
      </c>
      <c r="D30" s="19" t="str">
        <f aca="false">IF(In!I211="","",In!I211)</f>
        <v>oai</v>
      </c>
      <c r="E30" s="19" t="n">
        <f aca="false">IF(In!J211="","",In!J211)</f>
        <v>1149</v>
      </c>
      <c r="F30" s="19" t="str">
        <f aca="false">In!C211</f>
        <v>IT</v>
      </c>
      <c r="G30" s="19" t="n">
        <f aca="false">IF(In!N211="","",In!N211)</f>
        <v>1</v>
      </c>
      <c r="H30" s="19" t="n">
        <f aca="false">IF(In!K211="","",In!K211)</f>
        <v>2029</v>
      </c>
      <c r="I30" s="19" t="n">
        <f aca="false">IF(In!L211="","",In!L211)</f>
        <v>12</v>
      </c>
      <c r="J30" s="19" t="n">
        <f aca="false">N(In!M211)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1.149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IF(In!O211="","",In!O211)</f>
        <v>0</v>
      </c>
    </row>
    <row r="31" customFormat="false" ht="17.15" hidden="false" customHeight="false" outlineLevel="0" collapsed="false">
      <c r="A31" s="0" t="s">
        <v>639</v>
      </c>
      <c r="B31" s="19" t="str">
        <f aca="false">In!B212</f>
        <v>Ports Pike（SB Energy）首期 4.25 IT-GW 第 3 段</v>
      </c>
      <c r="C31" s="19" t="str">
        <f aca="false">IF(In!H212="","",In!H212)</f>
        <v>oai</v>
      </c>
      <c r="D31" s="19" t="str">
        <f aca="false">IF(In!I212="","",In!I212)</f>
        <v>oai</v>
      </c>
      <c r="E31" s="19" t="n">
        <f aca="false">IF(In!J212="","",In!J212)</f>
        <v>1149</v>
      </c>
      <c r="F31" s="19" t="str">
        <f aca="false">In!C212</f>
        <v>IT</v>
      </c>
      <c r="G31" s="19" t="n">
        <f aca="false">IF(In!N212="","",In!N212)</f>
        <v>1</v>
      </c>
      <c r="H31" s="19" t="n">
        <f aca="false">IF(In!K212="","",In!K212)</f>
        <v>2030</v>
      </c>
      <c r="I31" s="19" t="n">
        <f aca="false">IF(In!L212="","",In!L212)</f>
        <v>12</v>
      </c>
      <c r="J31" s="19" t="n">
        <f aca="false">N(In!M212)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1.149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IF(In!O212="","",In!O212)</f>
        <v>0</v>
      </c>
    </row>
    <row r="32" customFormat="false" ht="17.15" hidden="false" customHeight="false" outlineLevel="0" collapsed="false">
      <c r="A32" s="0" t="s">
        <v>642</v>
      </c>
      <c r="B32" s="19" t="str">
        <f aca="false">In!B213</f>
        <v>Humain 首期（Riyadh、Dammam 各 100 MW）</v>
      </c>
      <c r="C32" s="19" t="str">
        <f aca="false">IF(In!H213="","",In!H213)</f>
        <v>sov</v>
      </c>
      <c r="D32" s="19" t="str">
        <f aca="false">IF(In!I213="","",In!I213)</f>
        <v/>
      </c>
      <c r="E32" s="19" t="n">
        <f aca="false">IF(In!J213="","",In!J213)</f>
        <v>200</v>
      </c>
      <c r="F32" s="19" t="str">
        <f aca="false">In!C213</f>
        <v>未說明</v>
      </c>
      <c r="G32" s="19" t="n">
        <f aca="false">IF(In!N213="","",In!N213)</f>
        <v>1</v>
      </c>
      <c r="H32" s="19" t="n">
        <f aca="false">IF(In!K213="","",In!K213)</f>
        <v>2026</v>
      </c>
      <c r="I32" s="19" t="n">
        <f aca="false">IF(In!L213="","",In!L213)</f>
        <v>12</v>
      </c>
      <c r="J32" s="19" t="n">
        <f aca="false">N(In!M213)</f>
        <v>0</v>
      </c>
      <c r="K32" s="24" t="n">
        <f aca="false">IF(OR(H32="",I32=""),9999,H32+I32/12)</f>
        <v>2027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2027</v>
      </c>
      <c r="N32" s="24" t="n">
        <f aca="false">IF(K32&gt;asof,K32+N(J32)/12,K32)</f>
        <v>2027</v>
      </c>
      <c r="O32" s="24" t="n">
        <f aca="false">IF(K32&gt;asof,K32+IF(N(J32)&gt;0,N(J32),dly_d1_m)/12,K32)</f>
        <v>2027.5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IF(In!O213="","",In!O213)</f>
        <v>0</v>
      </c>
    </row>
    <row r="33" customFormat="false" ht="17.15" hidden="false" customHeight="false" outlineLevel="0" collapsed="false">
      <c r="A33" s="0" t="s">
        <v>646</v>
      </c>
      <c r="B33" s="19" t="str">
        <f aca="false">In!B214</f>
        <v>Humain 至 1.9 GW（2030）</v>
      </c>
      <c r="C33" s="19" t="str">
        <f aca="false">IF(In!H214="","",In!H214)</f>
        <v>sov</v>
      </c>
      <c r="D33" s="19" t="str">
        <f aca="false">IF(In!I214="","",In!I214)</f>
        <v/>
      </c>
      <c r="E33" s="19" t="n">
        <f aca="false">IF(In!J214="","",In!J214)</f>
        <v>1500</v>
      </c>
      <c r="F33" s="19" t="str">
        <f aca="false">In!C214</f>
        <v>未說明</v>
      </c>
      <c r="G33" s="19" t="n">
        <f aca="false">IF(In!N214="","",In!N214)</f>
        <v>1</v>
      </c>
      <c r="H33" s="19" t="n">
        <f aca="false">IF(In!K214="","",In!K214)</f>
        <v>2027</v>
      </c>
      <c r="I33" s="19" t="n">
        <f aca="false">IF(In!L214="","",In!L214)</f>
        <v>12</v>
      </c>
      <c r="J33" s="19" t="n">
        <f aca="false">N(In!M214)</f>
        <v>0</v>
      </c>
      <c r="K33" s="24" t="n">
        <f aca="false">IF(OR(H33="",I33=""),9999,H33+I33/12)</f>
        <v>2028</v>
      </c>
      <c r="L33" s="24" t="n">
        <f aca="false">IF(E33="",0,IF(F33="設施",E33/1000/INDEX(Players!$D$13:$M$13,1,MAX(1,MIN(10,H33-2022))),E33/1000*g_ITtoFac))</f>
        <v>1.5</v>
      </c>
      <c r="M33" s="24" t="n">
        <f aca="false">K33</f>
        <v>2028</v>
      </c>
      <c r="N33" s="24" t="n">
        <f aca="false">IF(K33&gt;asof,K33+N(J33)/12,K33)</f>
        <v>2028</v>
      </c>
      <c r="O33" s="24" t="n">
        <f aca="false">IF(K33&gt;asof,K33+IF(N(J33)&gt;0,N(J33),dly_d1_m)/12,K33)</f>
        <v>2028.5</v>
      </c>
      <c r="P33" s="20" t="n">
        <f aca="false">IF(K33=9999,"",ROUNDUP(K33,0)-1)</f>
        <v>2027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1</v>
      </c>
      <c r="S33" s="19" t="n">
        <f aca="false">IF(In!O214="","",In!O214)</f>
        <v>0</v>
      </c>
    </row>
    <row r="34" customFormat="false" ht="15" hidden="false" customHeight="false" outlineLevel="0" collapsed="false">
      <c r="A34" s="0" t="s">
        <v>649</v>
      </c>
      <c r="B34" s="19" t="str">
        <f aca="false">In!B215</f>
        <v>Nebius Lappeenranta</v>
      </c>
      <c r="C34" s="19" t="str">
        <f aca="false">IF(In!H215="","",In!H215)</f>
        <v>nbis</v>
      </c>
      <c r="D34" s="19" t="str">
        <f aca="false">IF(In!I215="","",In!I215)</f>
        <v/>
      </c>
      <c r="E34" s="19" t="n">
        <f aca="false">IF(In!J215="","",In!J215)</f>
        <v>310</v>
      </c>
      <c r="F34" s="19" t="str">
        <f aca="false">In!C215</f>
        <v>未說明</v>
      </c>
      <c r="G34" s="19" t="n">
        <f aca="false">IF(In!N215="","",In!N215)</f>
        <v>0</v>
      </c>
      <c r="H34" s="19" t="n">
        <f aca="false">IF(In!K215="","",In!K215)</f>
        <v>2027</v>
      </c>
      <c r="I34" s="19" t="n">
        <f aca="false">IF(In!L215="","",In!L215)</f>
        <v>12</v>
      </c>
      <c r="J34" s="19" t="n">
        <f aca="false">N(In!M215)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0.31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0</v>
      </c>
      <c r="R34" s="20" t="n">
        <f aca="false">IF(AND(K34&gt;asof,K34&lt;9999,N(S34)&lt;&gt;1,P34&gt;=dly_d2_y0,P34&lt;=dly_d2_y1),1,0)</f>
        <v>1</v>
      </c>
      <c r="S34" s="19" t="n">
        <f aca="false">IF(In!O215="","",In!O215)</f>
        <v>0</v>
      </c>
    </row>
    <row r="35" customFormat="false" ht="15" hidden="false" customHeight="false" outlineLevel="0" collapsed="false">
      <c r="A35" s="0" t="s">
        <v>653</v>
      </c>
      <c r="B35" s="19" t="str">
        <f aca="false">In!B216</f>
        <v>Nebius Independence, Missouri</v>
      </c>
      <c r="C35" s="19" t="str">
        <f aca="false">IF(In!H216="","",In!H216)</f>
        <v>nbis</v>
      </c>
      <c r="D35" s="19" t="str">
        <f aca="false">IF(In!I216="","",In!I216)</f>
        <v/>
      </c>
      <c r="E35" s="19" t="n">
        <f aca="false">IF(In!J216="","",In!J216)</f>
        <v>200</v>
      </c>
      <c r="F35" s="19" t="str">
        <f aca="false">In!C216</f>
        <v>未說明</v>
      </c>
      <c r="G35" s="19" t="n">
        <f aca="false">IF(In!N216="","",In!N216)</f>
        <v>0</v>
      </c>
      <c r="H35" s="19" t="n">
        <f aca="false">IF(In!K216="","",In!K216)</f>
        <v>2027</v>
      </c>
      <c r="I35" s="19" t="n">
        <f aca="false">IF(In!L216="","",In!L216)</f>
        <v>12</v>
      </c>
      <c r="J35" s="19" t="n">
        <f aca="false">N(In!M216)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0.2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IF(In!O216="","",In!O216)</f>
        <v>0</v>
      </c>
    </row>
    <row r="36" customFormat="false" ht="15" hidden="false" customHeight="false" outlineLevel="0" collapsed="false">
      <c r="A36" s="0" t="s">
        <v>656</v>
      </c>
      <c r="B36" s="19" t="str">
        <f aca="false">In!B217</f>
        <v>Nebius Pennsylvania</v>
      </c>
      <c r="C36" s="19" t="str">
        <f aca="false">IF(In!H217="","",In!H217)</f>
        <v>nbis</v>
      </c>
      <c r="D36" s="19" t="str">
        <f aca="false">IF(In!I217="","",In!I217)</f>
        <v/>
      </c>
      <c r="E36" s="19" t="n">
        <f aca="false">IF(In!J217="","",In!J217)</f>
        <v>1200</v>
      </c>
      <c r="F36" s="19" t="str">
        <f aca="false">In!C217</f>
        <v>未說明</v>
      </c>
      <c r="G36" s="19" t="n">
        <f aca="false">IF(In!N217="","",In!N217)</f>
        <v>0</v>
      </c>
      <c r="H36" s="19" t="n">
        <f aca="false">IF(In!K217="","",In!K217)</f>
        <v>2027</v>
      </c>
      <c r="I36" s="19" t="n">
        <f aca="false">IF(In!L217="","",In!L217)</f>
        <v>12</v>
      </c>
      <c r="J36" s="19" t="n">
        <f aca="false">N(In!M217)</f>
        <v>0</v>
      </c>
      <c r="K36" s="24" t="n">
        <f aca="false">IF(OR(H36="",I36=""),9999,H36+I36/12)</f>
        <v>2028</v>
      </c>
      <c r="L36" s="24" t="n">
        <f aca="false">IF(E36="",0,IF(F36="設施",E36/1000/INDEX(Players!$D$13:$M$13,1,MAX(1,MIN(10,H36-2022))),E36/1000*g_ITtoFac))</f>
        <v>1.2</v>
      </c>
      <c r="M36" s="24" t="n">
        <f aca="false">K36</f>
        <v>2028</v>
      </c>
      <c r="N36" s="24" t="n">
        <f aca="false">IF(K36&gt;asof,K36+N(J36)/12,K36)</f>
        <v>2028</v>
      </c>
      <c r="O36" s="24" t="n">
        <f aca="false">IF(K36&gt;asof,K36+IF(N(J36)&gt;0,N(J36),dly_d1_m)/12,K36)</f>
        <v>2028.5</v>
      </c>
      <c r="P36" s="20" t="n">
        <f aca="false">IF(K36=9999,"",ROUNDUP(K36,0)-1)</f>
        <v>2027</v>
      </c>
      <c r="Q36" s="20" t="n">
        <f aca="false">IF(AND(N(G36)=1,K36&lt;9999,L36&gt;0),1,0)</f>
        <v>0</v>
      </c>
      <c r="R36" s="20" t="n">
        <f aca="false">IF(AND(K36&gt;asof,K36&lt;9999,N(S36)&lt;&gt;1,P36&gt;=dly_d2_y0,P36&lt;=dly_d2_y1),1,0)</f>
        <v>1</v>
      </c>
      <c r="S36" s="19" t="n">
        <f aca="false">IF(In!O217="","",In!O217)</f>
        <v>0</v>
      </c>
    </row>
    <row r="37" customFormat="false" ht="15" hidden="false" customHeight="false" outlineLevel="0" collapsed="false">
      <c r="A37" s="0" t="s">
        <v>659</v>
      </c>
      <c r="B37" s="19" t="str">
        <f aca="false">In!B218</f>
        <v>CoreWeave Lancaster PA</v>
      </c>
      <c r="C37" s="19" t="str">
        <f aca="false">IF(In!H218="","",In!H218)</f>
        <v>crwv</v>
      </c>
      <c r="D37" s="19" t="str">
        <f aca="false">IF(In!I218="","",In!I218)</f>
        <v/>
      </c>
      <c r="E37" s="19" t="n">
        <f aca="false">IF(In!J218="","",In!J218)</f>
        <v>100</v>
      </c>
      <c r="F37" s="19" t="str">
        <f aca="false">In!C218</f>
        <v>未說明</v>
      </c>
      <c r="G37" s="19" t="n">
        <f aca="false">IF(In!N218="","",In!N218)</f>
        <v>0</v>
      </c>
      <c r="H37" s="19" t="n">
        <f aca="false">IF(In!K218="","",In!K218)</f>
        <v>2027</v>
      </c>
      <c r="I37" s="19" t="n">
        <f aca="false">IF(In!L218="","",In!L218)</f>
        <v>12</v>
      </c>
      <c r="J37" s="19" t="n">
        <f aca="false">N(In!M218)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0.1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IF(In!O218="","",In!O218)</f>
        <v>0</v>
      </c>
    </row>
    <row r="38" customFormat="false" ht="17.15" hidden="false" customHeight="false" outlineLevel="0" collapsed="false">
      <c r="A38" s="0" t="s">
        <v>662</v>
      </c>
      <c r="B38" s="19" t="str">
        <f aca="false">In!B219</f>
        <v>Cipher Black Pearl（Amazon）</v>
      </c>
      <c r="C38" s="19" t="str">
        <f aca="false">IF(In!H219="","",In!H219)</f>
        <v>amzn</v>
      </c>
      <c r="D38" s="19" t="str">
        <f aca="false">IF(In!I219="","",In!I219)</f>
        <v/>
      </c>
      <c r="E38" s="19" t="n">
        <f aca="false">IF(In!J219="","",In!J219)</f>
        <v>216</v>
      </c>
      <c r="F38" s="19" t="str">
        <f aca="false">In!C219</f>
        <v>IT</v>
      </c>
      <c r="G38" s="19" t="n">
        <f aca="false">IF(In!N219="","",In!N219)</f>
        <v>0</v>
      </c>
      <c r="H38" s="19" t="n">
        <f aca="false">IF(In!K219="","",In!K219)</f>
        <v>2026</v>
      </c>
      <c r="I38" s="19" t="n">
        <f aca="false">IF(In!L219="","",In!L219)</f>
        <v>10</v>
      </c>
      <c r="J38" s="19" t="n">
        <f aca="false">N(In!M219)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IF(In!O219="","",In!O219)</f>
        <v>0</v>
      </c>
    </row>
    <row r="39" customFormat="false" ht="17.15" hidden="false" customHeight="false" outlineLevel="0" collapsed="false">
      <c r="A39" s="0" t="s">
        <v>665</v>
      </c>
      <c r="B39" s="19" t="str">
        <f aca="false">In!B220</f>
        <v>Google–Blackstone TPU 雲合資</v>
      </c>
      <c r="C39" s="19" t="str">
        <f aca="false">IF(In!H220="","",In!H220)</f>
        <v>googl</v>
      </c>
      <c r="D39" s="19" t="str">
        <f aca="false">IF(In!I220="","",In!I220)</f>
        <v/>
      </c>
      <c r="E39" s="19" t="n">
        <f aca="false">IF(In!J220="","",In!J220)</f>
        <v>500</v>
      </c>
      <c r="F39" s="19" t="str">
        <f aca="false">In!C220</f>
        <v>未說明</v>
      </c>
      <c r="G39" s="19" t="n">
        <f aca="false">IF(In!N220="","",In!N220)</f>
        <v>0</v>
      </c>
      <c r="H39" s="19" t="n">
        <f aca="false">IF(In!K220="","",In!K220)</f>
        <v>2027</v>
      </c>
      <c r="I39" s="19" t="n">
        <f aca="false">IF(In!L220="","",In!L220)</f>
        <v>12</v>
      </c>
      <c r="J39" s="19" t="n">
        <f aca="false">N(In!M220)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IF(In!O220="","",In!O220)</f>
        <v>0</v>
      </c>
    </row>
    <row r="40" customFormat="false" ht="15" hidden="false" customHeight="false" outlineLevel="0" collapsed="false">
      <c r="A40" s="0" t="s">
        <v>668</v>
      </c>
      <c r="B40" s="19" t="str">
        <f aca="false">In!B221</f>
        <v>Stargate Milam County</v>
      </c>
      <c r="C40" s="19" t="str">
        <f aca="false">IF(In!H221="","",In!H221)</f>
        <v>oai</v>
      </c>
      <c r="D40" s="19" t="str">
        <f aca="false">IF(In!I221="","",In!I221)</f>
        <v>oai</v>
      </c>
      <c r="E40" s="19" t="n">
        <f aca="false">IF(In!J221="","",In!J221)</f>
        <v>308</v>
      </c>
      <c r="F40" s="19" t="str">
        <f aca="false">In!C221</f>
        <v>IT</v>
      </c>
      <c r="G40" s="19" t="n">
        <f aca="false">IF(In!N221="","",In!N221)</f>
        <v>1</v>
      </c>
      <c r="H40" s="19" t="n">
        <f aca="false">IF(In!K221="","",In!K221)</f>
        <v>2027</v>
      </c>
      <c r="I40" s="19" t="n">
        <f aca="false">IF(In!L221="","",In!L221)</f>
        <v>6</v>
      </c>
      <c r="J40" s="19" t="n">
        <f aca="false">N(In!M221)</f>
        <v>0</v>
      </c>
      <c r="K40" s="24" t="n">
        <f aca="false">IF(OR(H40="",I40=""),9999,H40+I40/12)</f>
        <v>2027.5</v>
      </c>
      <c r="L40" s="24" t="n">
        <f aca="false">IF(E40="",0,IF(F40="設施",E40/1000/INDEX(Players!$D$13:$M$13,1,MAX(1,MIN(10,H40-2022))),E40/1000*g_ITtoFac))</f>
        <v>0.308</v>
      </c>
      <c r="M40" s="24" t="n">
        <f aca="false">K40</f>
        <v>2027.5</v>
      </c>
      <c r="N40" s="24" t="n">
        <f aca="false">IF(K40&gt;asof,K40+N(J40)/12,K40)</f>
        <v>2027.5</v>
      </c>
      <c r="O40" s="24" t="n">
        <f aca="false">IF(K40&gt;asof,K40+IF(N(J40)&gt;0,N(J40),dly_d1_m)/12,K40)</f>
        <v>2028</v>
      </c>
      <c r="P40" s="20" t="n">
        <f aca="false">IF(K40=9999,"",ROUNDUP(K40,0)-1)</f>
        <v>2027</v>
      </c>
      <c r="Q40" s="20" t="n">
        <f aca="false">IF(AND(N(G40)=1,K40&lt;9999,L40&gt;0),1,0)</f>
        <v>1</v>
      </c>
      <c r="R40" s="20" t="n">
        <f aca="false">IF(AND(K40&gt;asof,K40&lt;9999,N(S40)&lt;&gt;1,P40&gt;=dly_d2_y0,P40&lt;=dly_d2_y1),1,0)</f>
        <v>1</v>
      </c>
      <c r="S40" s="19" t="n">
        <f aca="false">IF(In!O221="","",In!O221)</f>
        <v>0</v>
      </c>
    </row>
    <row r="41" customFormat="false" ht="15" hidden="false" customHeight="false" outlineLevel="0" collapsed="false">
      <c r="A41" s="0" t="s">
        <v>671</v>
      </c>
      <c r="B41" s="19" t="str">
        <f aca="false">In!B222</f>
        <v>Stargate Lordstown</v>
      </c>
      <c r="C41" s="19" t="str">
        <f aca="false">IF(In!H222="","",In!H222)</f>
        <v>oai</v>
      </c>
      <c r="D41" s="19" t="str">
        <f aca="false">IF(In!I222="","",In!I222)</f>
        <v>oai</v>
      </c>
      <c r="E41" s="19" t="n">
        <f aca="false">IF(In!J222="","",In!J222)</f>
        <v>214</v>
      </c>
      <c r="F41" s="19" t="str">
        <f aca="false">In!C222</f>
        <v>IT</v>
      </c>
      <c r="G41" s="19" t="n">
        <f aca="false">IF(In!N222="","",In!N222)</f>
        <v>0</v>
      </c>
      <c r="H41" s="19" t="n">
        <f aca="false">IF(In!K222="","",In!K222)</f>
        <v>2027</v>
      </c>
      <c r="I41" s="19" t="n">
        <f aca="false">IF(In!L222="","",In!L222)</f>
        <v>3</v>
      </c>
      <c r="J41" s="19" t="n">
        <f aca="false">N(In!M222)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0</v>
      </c>
      <c r="R41" s="20" t="n">
        <f aca="false">IF(AND(K41&gt;asof,K41&lt;9999,N(S41)&lt;&gt;1,P41&gt;=dly_d2_y0,P41&lt;=dly_d2_y1),1,0)</f>
        <v>1</v>
      </c>
      <c r="S41" s="19" t="n">
        <f aca="false">IF(In!O222="","",In!O222)</f>
        <v>0</v>
      </c>
    </row>
    <row r="42" customFormat="false" ht="17.15" hidden="false" customHeight="false" outlineLevel="0" collapsed="false">
      <c r="A42" s="0" t="s">
        <v>674</v>
      </c>
      <c r="B42" s="19" t="str">
        <f aca="false">In!B223</f>
        <v>Cerebras（OpenAI）</v>
      </c>
      <c r="C42" s="19" t="str">
        <f aca="false">IF(In!H223="","",In!H223)</f>
        <v>neo</v>
      </c>
      <c r="D42" s="19" t="str">
        <f aca="false">IF(In!I223="","",In!I223)</f>
        <v>oai</v>
      </c>
      <c r="E42" s="19" t="n">
        <f aca="false">IF(In!J223="","",In!J223)</f>
        <v>750</v>
      </c>
      <c r="F42" s="19" t="str">
        <f aca="false">In!C223</f>
        <v>IT</v>
      </c>
      <c r="G42" s="19" t="n">
        <f aca="false">IF(In!N223="","",In!N223)</f>
        <v>0</v>
      </c>
      <c r="H42" s="19" t="n">
        <f aca="false">IF(In!K223="","",In!K223)</f>
        <v>2028</v>
      </c>
      <c r="I42" s="19" t="n">
        <f aca="false">IF(In!L223="","",In!L223)</f>
        <v>12</v>
      </c>
      <c r="J42" s="19" t="n">
        <f aca="false">N(In!M223)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IF(In!O223="","",In!O223)</f>
        <v>0</v>
      </c>
    </row>
    <row r="43" customFormat="false" ht="17.15" hidden="false" customHeight="false" outlineLevel="0" collapsed="false">
      <c r="A43" s="0" t="s">
        <v>677</v>
      </c>
      <c r="B43" s="19" t="str">
        <f aca="false">In!B224</f>
        <v>Stargate UAE 第一期</v>
      </c>
      <c r="C43" s="19" t="str">
        <f aca="false">IF(In!H224="","",In!H224)</f>
        <v>sov</v>
      </c>
      <c r="D43" s="19" t="str">
        <f aca="false">IF(In!I224="","",In!I224)</f>
        <v>oai</v>
      </c>
      <c r="E43" s="19" t="n">
        <f aca="false">IF(In!J224="","",In!J224)</f>
        <v>200</v>
      </c>
      <c r="F43" s="19" t="str">
        <f aca="false">In!C224</f>
        <v>未說明</v>
      </c>
      <c r="G43" s="19" t="n">
        <f aca="false">IF(In!N224="","",In!N224)</f>
        <v>1</v>
      </c>
      <c r="H43" s="19" t="n">
        <f aca="false">IF(In!K224="","",In!K224)</f>
        <v>2026</v>
      </c>
      <c r="I43" s="19" t="n">
        <f aca="false">IF(In!L224="","",In!L224)</f>
        <v>12</v>
      </c>
      <c r="J43" s="19" t="n">
        <f aca="false">N(In!M224)</f>
        <v>0</v>
      </c>
      <c r="K43" s="24" t="n">
        <f aca="false">IF(OR(H43="",I43=""),9999,H43+I43/12)</f>
        <v>2027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2027</v>
      </c>
      <c r="N43" s="24" t="n">
        <f aca="false">IF(K43&gt;asof,K43+N(J43)/12,K43)</f>
        <v>2027</v>
      </c>
      <c r="O43" s="24" t="n">
        <f aca="false">IF(K43&gt;asof,K43+IF(N(J43)&gt;0,N(J43),dly_d1_m)/12,K43)</f>
        <v>2027.5</v>
      </c>
      <c r="P43" s="20" t="n">
        <f aca="false">IF(K43=9999,"",ROUNDUP(K43,0)-1)</f>
        <v>2026</v>
      </c>
      <c r="Q43" s="20" t="n">
        <f aca="false">IF(AND(N(G43)=1,K43&lt;9999,L43&gt;0),1,0)</f>
        <v>1</v>
      </c>
      <c r="R43" s="20" t="n">
        <f aca="false">IF(AND(K43&gt;asof,K43&lt;9999,N(S43)&lt;&gt;1,P43&gt;=dly_d2_y0,P43&lt;=dly_d2_y1),1,0)</f>
        <v>0</v>
      </c>
      <c r="S43" s="19" t="n">
        <f aca="false">IF(In!O224="","",In!O224)</f>
        <v>0</v>
      </c>
    </row>
    <row r="44" customFormat="false" ht="17.15" hidden="false" customHeight="false" outlineLevel="0" collapsed="false">
      <c r="A44" s="0" t="s">
        <v>680</v>
      </c>
      <c r="B44" s="19" t="str">
        <f aca="false">In!B225</f>
        <v>Mistral／MGX 法國</v>
      </c>
      <c r="C44" s="19" t="str">
        <f aca="false">IF(In!H225="","",In!H225)</f>
        <v>sov</v>
      </c>
      <c r="D44" s="19" t="str">
        <f aca="false">IF(In!I225="","",In!I225)</f>
        <v/>
      </c>
      <c r="E44" s="19" t="n">
        <f aca="false">IF(In!J225="","",In!J225)</f>
        <v>96</v>
      </c>
      <c r="F44" s="19" t="str">
        <f aca="false">In!C225</f>
        <v>未說明</v>
      </c>
      <c r="G44" s="19" t="n">
        <f aca="false">IF(In!N225="","",In!N225)</f>
        <v>1</v>
      </c>
      <c r="H44" s="19" t="n">
        <f aca="false">IF(In!K225="","",In!K225)</f>
        <v>2028</v>
      </c>
      <c r="I44" s="19" t="n">
        <f aca="false">IF(In!L225="","",In!L225)</f>
        <v>3</v>
      </c>
      <c r="J44" s="19" t="n">
        <f aca="false">N(In!M225)</f>
        <v>0</v>
      </c>
      <c r="K44" s="24" t="n">
        <f aca="false">IF(OR(H44="",I44=""),9999,H44+I44/12)</f>
        <v>2028.25</v>
      </c>
      <c r="L44" s="24" t="n">
        <f aca="false">IF(E44="",0,IF(F44="設施",E44/1000/INDEX(Players!$D$13:$M$13,1,MAX(1,MIN(10,H44-2022))),E44/1000*g_ITtoFac))</f>
        <v>0.096</v>
      </c>
      <c r="M44" s="24" t="n">
        <f aca="false">K44</f>
        <v>2028.25</v>
      </c>
      <c r="N44" s="24" t="n">
        <f aca="false">IF(K44&gt;asof,K44+N(J44)/12,K44)</f>
        <v>2028.25</v>
      </c>
      <c r="O44" s="24" t="n">
        <f aca="false">IF(K44&gt;asof,K44+IF(N(J44)&gt;0,N(J44),dly_d1_m)/12,K44)</f>
        <v>2028.75</v>
      </c>
      <c r="P44" s="20" t="n">
        <f aca="false">IF(K44=9999,"",ROUNDUP(K44,0)-1)</f>
        <v>2028</v>
      </c>
      <c r="Q44" s="20" t="n">
        <f aca="false">IF(AND(N(G44)=1,K44&lt;9999,L44&gt;0),1,0)</f>
        <v>1</v>
      </c>
      <c r="R44" s="20" t="n">
        <f aca="false">IF(AND(K44&gt;asof,K44&lt;9999,N(S44)&lt;&gt;1,P44&gt;=dly_d2_y0,P44&lt;=dly_d2_y1),1,0)</f>
        <v>1</v>
      </c>
      <c r="S44" s="19" t="n">
        <f aca="false">IF(In!O225="","",In!O225)</f>
        <v>0</v>
      </c>
    </row>
    <row r="45" customFormat="false" ht="17.15" hidden="false" customHeight="false" outlineLevel="0" collapsed="false">
      <c r="A45" s="0" t="s">
        <v>683</v>
      </c>
      <c r="B45" s="19" t="str">
        <f aca="false">In!B226</f>
        <v>Nexus Hubbard TX（Anthropic）</v>
      </c>
      <c r="C45" s="19" t="str">
        <f aca="false">IF(In!H226="","",In!H226)</f>
        <v>neo</v>
      </c>
      <c r="D45" s="19" t="str">
        <f aca="false">IF(In!I226="","",In!I226)</f>
        <v>ant</v>
      </c>
      <c r="E45" s="19" t="n">
        <f aca="false">IF(In!J226="","",In!J226)</f>
        <v>500</v>
      </c>
      <c r="F45" s="19" t="str">
        <f aca="false">In!C226</f>
        <v>未說明</v>
      </c>
      <c r="G45" s="19" t="n">
        <f aca="false">IF(In!N226="","",In!N226)</f>
        <v>0</v>
      </c>
      <c r="H45" s="19" t="n">
        <f aca="false">IF(In!K226="","",In!K226)</f>
        <v>2026</v>
      </c>
      <c r="I45" s="19" t="n">
        <f aca="false">IF(In!L226="","",In!L226)</f>
        <v>12</v>
      </c>
      <c r="J45" s="19" t="n">
        <f aca="false">N(In!M226)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IF(In!O226="","",In!O226)</f>
        <v>0</v>
      </c>
    </row>
    <row r="46" customFormat="false" ht="17.15" hidden="false" customHeight="false" outlineLevel="0" collapsed="false">
      <c r="A46" s="0" t="s">
        <v>686</v>
      </c>
      <c r="B46" s="19" t="str">
        <f aca="false">In!B227</f>
        <v>Hut 8 River Bend（Fluidstack／Anthropic）</v>
      </c>
      <c r="C46" s="19" t="str">
        <f aca="false">IF(In!H227="","",In!H227)</f>
        <v>neo</v>
      </c>
      <c r="D46" s="19" t="str">
        <f aca="false">IF(In!I227="","",In!I227)</f>
        <v>ant</v>
      </c>
      <c r="E46" s="19" t="n">
        <f aca="false">IF(In!J227="","",In!J227)</f>
        <v>245</v>
      </c>
      <c r="F46" s="19" t="str">
        <f aca="false">In!C227</f>
        <v>未說明</v>
      </c>
      <c r="G46" s="19" t="n">
        <f aca="false">IF(In!N227="","",In!N227)</f>
        <v>0</v>
      </c>
      <c r="H46" s="19" t="n">
        <f aca="false">IF(In!K227="","",In!K227)</f>
        <v>2027</v>
      </c>
      <c r="I46" s="19" t="n">
        <f aca="false">IF(In!L227="","",In!L227)</f>
        <v>6</v>
      </c>
      <c r="J46" s="19" t="n">
        <f aca="false">N(In!M227)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IF(In!O227="","",In!O227)</f>
        <v>0</v>
      </c>
    </row>
    <row r="47" customFormat="false" ht="17.15" hidden="false" customHeight="false" outlineLevel="0" collapsed="false">
      <c r="A47" s="0" t="s">
        <v>689</v>
      </c>
      <c r="B47" s="19" t="str">
        <f aca="false">In!B228</f>
        <v>Colossus 2 增量（1,531 MW-IT 2027）</v>
      </c>
      <c r="C47" s="19" t="str">
        <f aca="false">IF(In!H228="","",In!H228)</f>
        <v>xai</v>
      </c>
      <c r="D47" s="19" t="str">
        <f aca="false">IF(In!I228="","",In!I228)</f>
        <v/>
      </c>
      <c r="E47" s="19" t="n">
        <f aca="false">IF(In!J228="","",In!J228)</f>
        <v>585</v>
      </c>
      <c r="F47" s="19" t="str">
        <f aca="false">In!C228</f>
        <v>IT</v>
      </c>
      <c r="G47" s="19" t="n">
        <f aca="false">IF(In!N228="","",In!N228)</f>
        <v>1</v>
      </c>
      <c r="H47" s="19" t="n">
        <f aca="false">IF(In!K228="","",In!K228)</f>
        <v>2027</v>
      </c>
      <c r="I47" s="19" t="n">
        <f aca="false">IF(In!L228="","",In!L228)</f>
        <v>3</v>
      </c>
      <c r="J47" s="19" t="n">
        <f aca="false">N(In!M228)</f>
        <v>0</v>
      </c>
      <c r="K47" s="24" t="n">
        <f aca="false">IF(OR(H47="",I47=""),9999,H47+I47/12)</f>
        <v>2027.25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2027.25</v>
      </c>
      <c r="N47" s="24" t="n">
        <f aca="false">IF(K47&gt;asof,K47+N(J47)/12,K47)</f>
        <v>2027.25</v>
      </c>
      <c r="O47" s="24" t="n">
        <f aca="false">IF(K47&gt;asof,K47+IF(N(J47)&gt;0,N(J47),dly_d1_m)/12,K47)</f>
        <v>2027.75</v>
      </c>
      <c r="P47" s="20" t="n">
        <f aca="false">IF(K47=9999,"",ROUNDUP(K47,0)-1)</f>
        <v>2027</v>
      </c>
      <c r="Q47" s="20" t="n">
        <f aca="false">IF(AND(N(G47)=1,K47&lt;9999,L47&gt;0),1,0)</f>
        <v>1</v>
      </c>
      <c r="R47" s="20" t="n">
        <f aca="false">IF(AND(K47&gt;asof,K47&lt;9999,N(S47)&lt;&gt;1,P47&gt;=dly_d2_y0,P47&lt;=dly_d2_y1),1,0)</f>
        <v>1</v>
      </c>
      <c r="S47" s="19" t="n">
        <f aca="false">IF(In!O228="","",In!O228)</f>
        <v>0</v>
      </c>
    </row>
    <row r="48" customFormat="false" ht="17.15" hidden="false" customHeight="false" outlineLevel="0" collapsed="false">
      <c r="A48" s="0" t="s">
        <v>692</v>
      </c>
      <c r="B48" s="19" t="str">
        <f aca="false">In!B229</f>
        <v>Fairwater Atlanta B3–4（636 − 321）</v>
      </c>
      <c r="C48" s="19" t="str">
        <f aca="false">IF(In!H229="","",In!H229)</f>
        <v>msft</v>
      </c>
      <c r="D48" s="19" t="str">
        <f aca="false">IF(In!I229="","",In!I229)</f>
        <v/>
      </c>
      <c r="E48" s="19" t="n">
        <f aca="false">IF(In!J229="","",In!J229)</f>
        <v>315</v>
      </c>
      <c r="F48" s="19" t="str">
        <f aca="false">In!C229</f>
        <v>IT</v>
      </c>
      <c r="G48" s="19" t="n">
        <f aca="false">IF(In!N229="","",In!N229)</f>
        <v>1</v>
      </c>
      <c r="H48" s="19" t="n">
        <f aca="false">IF(In!K229="","",In!K229)</f>
        <v>2026</v>
      </c>
      <c r="I48" s="19" t="n">
        <f aca="false">IF(In!L229="","",In!L229)</f>
        <v>6</v>
      </c>
      <c r="J48" s="19" t="n">
        <f aca="false">N(In!M229)</f>
        <v>0</v>
      </c>
      <c r="K48" s="24" t="n">
        <f aca="false">IF(OR(H48="",I48=""),9999,H48+I48/12)</f>
        <v>2026.5</v>
      </c>
      <c r="L48" s="24" t="n">
        <f aca="false">IF(E48="",0,IF(F48="設施",E48/1000/INDEX(Players!$D$13:$M$13,1,MAX(1,MIN(10,H48-2022))),E48/1000*g_ITtoFac))</f>
        <v>0.315</v>
      </c>
      <c r="M48" s="24" t="n">
        <f aca="false">K48</f>
        <v>2026.5</v>
      </c>
      <c r="N48" s="24" t="n">
        <f aca="false">IF(K48&gt;asof,K48+N(J48)/12,K48)</f>
        <v>2026.5</v>
      </c>
      <c r="O48" s="24" t="n">
        <f aca="false">IF(K48&gt;asof,K48+IF(N(J48)&gt;0,N(J48),dly_d1_m)/12,K48)</f>
        <v>2026.5</v>
      </c>
      <c r="P48" s="20" t="n">
        <f aca="false">IF(K48=9999,"",ROUNDUP(K48,0)-1)</f>
        <v>2026</v>
      </c>
      <c r="Q48" s="20" t="n">
        <f aca="false">IF(AND(N(G48)=1,K48&lt;9999,L48&gt;0),1,0)</f>
        <v>1</v>
      </c>
      <c r="R48" s="20" t="n">
        <f aca="false">IF(AND(K48&gt;asof,K48&lt;9999,N(S48)&lt;&gt;1,P48&gt;=dly_d2_y0,P48&lt;=dly_d2_y1),1,0)</f>
        <v>0</v>
      </c>
      <c r="S48" s="19" t="n">
        <f aca="false">IF(In!O229="","",In!O229)</f>
        <v>0</v>
      </c>
    </row>
    <row r="49" customFormat="false" ht="17.15" hidden="false" customHeight="false" outlineLevel="0" collapsed="false">
      <c r="A49" s="0" t="s">
        <v>696</v>
      </c>
      <c r="B49" s="19" t="str">
        <f aca="false">In!B230</f>
        <v>Fairwater Wisconsin 2027-02 增量</v>
      </c>
      <c r="C49" s="19" t="str">
        <f aca="false">IF(In!H230="","",In!H230)</f>
        <v>msft</v>
      </c>
      <c r="D49" s="19" t="str">
        <f aca="false">IF(In!I230="","",In!I230)</f>
        <v/>
      </c>
      <c r="E49" s="19" t="n">
        <f aca="false">IF(In!J230="","",In!J230)</f>
        <v>368</v>
      </c>
      <c r="F49" s="19" t="str">
        <f aca="false">In!C230</f>
        <v>IT</v>
      </c>
      <c r="G49" s="19" t="n">
        <f aca="false">IF(In!N230="","",In!N230)</f>
        <v>1</v>
      </c>
      <c r="H49" s="19" t="n">
        <f aca="false">IF(In!K230="","",In!K230)</f>
        <v>2027</v>
      </c>
      <c r="I49" s="19" t="n">
        <f aca="false">IF(In!L230="","",In!L230)</f>
        <v>2</v>
      </c>
      <c r="J49" s="19" t="n">
        <f aca="false">N(In!M230)</f>
        <v>0</v>
      </c>
      <c r="K49" s="24" t="n">
        <f aca="false">IF(OR(H49="",I49=""),9999,H49+I49/12)</f>
        <v>2027.16666666667</v>
      </c>
      <c r="L49" s="24" t="n">
        <f aca="false">IF(E49="",0,IF(F49="設施",E49/1000/INDEX(Players!$D$13:$M$13,1,MAX(1,MIN(10,H49-2022))),E49/1000*g_ITtoFac))</f>
        <v>0.368</v>
      </c>
      <c r="M49" s="24" t="n">
        <f aca="false">K49</f>
        <v>2027.16666666667</v>
      </c>
      <c r="N49" s="24" t="n">
        <f aca="false">IF(K49&gt;asof,K49+N(J49)/12,K49)</f>
        <v>2027.16666666667</v>
      </c>
      <c r="O49" s="24" t="n">
        <f aca="false">IF(K49&gt;asof,K49+IF(N(J49)&gt;0,N(J49),dly_d1_m)/12,K49)</f>
        <v>2027.66666666667</v>
      </c>
      <c r="P49" s="20" t="n">
        <f aca="false">IF(K49=9999,"",ROUNDUP(K49,0)-1)</f>
        <v>2027</v>
      </c>
      <c r="Q49" s="20" t="n">
        <f aca="false">IF(AND(N(G49)=1,K49&lt;9999,L49&gt;0),1,0)</f>
        <v>1</v>
      </c>
      <c r="R49" s="20" t="n">
        <f aca="false">IF(AND(K49&gt;asof,K49&lt;9999,N(S49)&lt;&gt;1,P49&gt;=dly_d2_y0,P49&lt;=dly_d2_y1),1,0)</f>
        <v>1</v>
      </c>
      <c r="S49" s="19" t="n">
        <f aca="false">IF(In!O230="","",In!O230)</f>
        <v>0</v>
      </c>
    </row>
    <row r="50" customFormat="false" ht="17.15" hidden="false" customHeight="false" outlineLevel="0" collapsed="false">
      <c r="A50" s="0" t="s">
        <v>699</v>
      </c>
      <c r="B50" s="19" t="str">
        <f aca="false">In!B231</f>
        <v>Abilene 鄰近園區第二棟（Microsoft 承租）</v>
      </c>
      <c r="C50" s="19" t="str">
        <f aca="false">IF(In!H231="","",In!H231)</f>
        <v>msft</v>
      </c>
      <c r="D50" s="19" t="str">
        <f aca="false">IF(In!I231="","",In!I231)</f>
        <v>self</v>
      </c>
      <c r="E50" s="19" t="n">
        <f aca="false">IF(In!J231="","",In!J231)</f>
        <v>336</v>
      </c>
      <c r="F50" s="19" t="str">
        <f aca="false">In!C231</f>
        <v>IT</v>
      </c>
      <c r="G50" s="19" t="n">
        <f aca="false">IF(In!N231="","",In!N231)</f>
        <v>1</v>
      </c>
      <c r="H50" s="19" t="n">
        <f aca="false">IF(In!K231="","",In!K231)</f>
        <v>2027</v>
      </c>
      <c r="I50" s="19" t="n">
        <f aca="false">IF(In!L231="","",In!L231)</f>
        <v>12</v>
      </c>
      <c r="J50" s="19" t="n">
        <f aca="false">N(In!M231)</f>
        <v>0</v>
      </c>
      <c r="K50" s="24" t="n">
        <f aca="false">IF(OR(H50="",I50=""),9999,H50+I50/12)</f>
        <v>2028</v>
      </c>
      <c r="L50" s="24" t="n">
        <f aca="false">IF(E50="",0,IF(F50="設施",E50/1000/INDEX(Players!$D$13:$M$13,1,MAX(1,MIN(10,H50-2022))),E50/1000*g_ITtoFac))</f>
        <v>0.336</v>
      </c>
      <c r="M50" s="24" t="n">
        <f aca="false">K50</f>
        <v>2028</v>
      </c>
      <c r="N50" s="24" t="n">
        <f aca="false">IF(K50&gt;asof,K50+N(J50)/12,K50)</f>
        <v>2028</v>
      </c>
      <c r="O50" s="24" t="n">
        <f aca="false">IF(K50&gt;asof,K50+IF(N(J50)&gt;0,N(J50),dly_d1_m)/12,K50)</f>
        <v>2028.5</v>
      </c>
      <c r="P50" s="20" t="n">
        <f aca="false">IF(K50=9999,"",ROUNDUP(K50,0)-1)</f>
        <v>2027</v>
      </c>
      <c r="Q50" s="20" t="n">
        <f aca="false">IF(AND(N(G50)=1,K50&lt;9999,L50&gt;0),1,0)</f>
        <v>1</v>
      </c>
      <c r="R50" s="20" t="n">
        <f aca="false">IF(AND(K50&gt;asof,K50&lt;9999,N(S50)&lt;&gt;1,P50&gt;=dly_d2_y0,P50&lt;=dly_d2_y1),1,0)</f>
        <v>1</v>
      </c>
      <c r="S50" s="19" t="n">
        <f aca="false">IF(In!O231="","",In!O231)</f>
        <v>0</v>
      </c>
    </row>
    <row r="51" customFormat="false" ht="17.15" hidden="false" customHeight="false" outlineLevel="0" collapsed="false">
      <c r="A51" s="0" t="s">
        <v>702</v>
      </c>
      <c r="B51" s="19" t="str">
        <f aca="false">In!B232</f>
        <v>Ports Pike（SB Energy）首期 4.25 IT-GW 第 4 段</v>
      </c>
      <c r="C51" s="19" t="str">
        <f aca="false">IF(In!H232="","",In!H232)</f>
        <v>oai</v>
      </c>
      <c r="D51" s="19" t="str">
        <f aca="false">IF(In!I232="","",In!I232)</f>
        <v>oai</v>
      </c>
      <c r="E51" s="19" t="n">
        <f aca="false">IF(In!J232="","",In!J232)</f>
        <v>1150</v>
      </c>
      <c r="F51" s="19" t="str">
        <f aca="false">In!C232</f>
        <v>IT</v>
      </c>
      <c r="G51" s="19" t="n">
        <f aca="false">IF(In!N232="","",In!N232)</f>
        <v>1</v>
      </c>
      <c r="H51" s="19" t="n">
        <f aca="false">IF(In!K232="","",In!K232)</f>
        <v>2031</v>
      </c>
      <c r="I51" s="19" t="n">
        <f aca="false">IF(In!L232="","",In!L232)</f>
        <v>12</v>
      </c>
      <c r="J51" s="19" t="n">
        <f aca="false">N(In!M232)</f>
        <v>0</v>
      </c>
      <c r="K51" s="24" t="n">
        <f aca="false">IF(OR(H51="",I51=""),9999,H51+I51/12)</f>
        <v>2032</v>
      </c>
      <c r="L51" s="24" t="n">
        <f aca="false">IF(E51="",0,IF(F51="設施",E51/1000/INDEX(Players!$D$13:$M$13,1,MAX(1,MIN(10,H51-2022))),E51/1000*g_ITtoFac))</f>
        <v>1.15</v>
      </c>
      <c r="M51" s="24" t="n">
        <f aca="false">K51</f>
        <v>2032</v>
      </c>
      <c r="N51" s="24" t="n">
        <f aca="false">IF(K51&gt;asof,K51+N(J51)/12,K51)</f>
        <v>2032</v>
      </c>
      <c r="O51" s="24" t="n">
        <f aca="false">IF(K51&gt;asof,K51+IF(N(J51)&gt;0,N(J51),dly_d1_m)/12,K51)</f>
        <v>2032.5</v>
      </c>
      <c r="P51" s="20" t="n">
        <f aca="false">IF(K51=9999,"",ROUNDUP(K51,0)-1)</f>
        <v>2031</v>
      </c>
      <c r="Q51" s="20" t="n">
        <f aca="false">IF(AND(N(G51)=1,K51&lt;9999,L51&gt;0),1,0)</f>
        <v>1</v>
      </c>
      <c r="R51" s="20" t="n">
        <f aca="false">IF(AND(K51&gt;asof,K51&lt;9999,N(S51)&lt;&gt;1,P51&gt;=dly_d2_y0,P51&lt;=dly_d2_y1),1,0)</f>
        <v>0</v>
      </c>
      <c r="S51" s="19" t="n">
        <f aca="false">IF(In!O232="","",In!O232)</f>
        <v>0</v>
      </c>
    </row>
    <row r="52" customFormat="false" ht="17.15" hidden="false" customHeight="false" outlineLevel="0" collapsed="false">
      <c r="A52" s="0" t="s">
        <v>705</v>
      </c>
      <c r="B52" s="19" t="str">
        <f aca="false">In!B233</f>
        <v>Stargate Milam County 2（SB Energy）</v>
      </c>
      <c r="C52" s="19" t="str">
        <f aca="false">IF(In!H233="","",In!H233)</f>
        <v>oai</v>
      </c>
      <c r="D52" s="19" t="str">
        <f aca="false">IF(In!I233="","",In!I233)</f>
        <v>oai</v>
      </c>
      <c r="E52" s="19" t="n">
        <f aca="false">IF(In!J233="","",In!J233)</f>
        <v>445</v>
      </c>
      <c r="F52" s="19" t="str">
        <f aca="false">In!C233</f>
        <v>IT</v>
      </c>
      <c r="G52" s="19" t="n">
        <f aca="false">IF(In!N233="","",In!N233)</f>
        <v>1</v>
      </c>
      <c r="H52" s="19" t="n">
        <f aca="false">IF(In!K233="","",In!K233)</f>
        <v>2028</v>
      </c>
      <c r="I52" s="19" t="n">
        <f aca="false">IF(In!L233="","",In!L233)</f>
        <v>12</v>
      </c>
      <c r="J52" s="19" t="n">
        <f aca="false">N(In!M233)</f>
        <v>0</v>
      </c>
      <c r="K52" s="24" t="n">
        <f aca="false">IF(OR(H52="",I52=""),9999,H52+I52/12)</f>
        <v>2029</v>
      </c>
      <c r="L52" s="24" t="n">
        <f aca="false">IF(E52="",0,IF(F52="設施",E52/1000/INDEX(Players!$D$13:$M$13,1,MAX(1,MIN(10,H52-2022))),E52/1000*g_ITtoFac))</f>
        <v>0.445</v>
      </c>
      <c r="M52" s="24" t="n">
        <f aca="false">K52</f>
        <v>2029</v>
      </c>
      <c r="N52" s="24" t="n">
        <f aca="false">IF(K52&gt;asof,K52+N(J52)/12,K52)</f>
        <v>2029</v>
      </c>
      <c r="O52" s="24" t="n">
        <f aca="false">IF(K52&gt;asof,K52+IF(N(J52)&gt;0,N(J52),dly_d1_m)/12,K52)</f>
        <v>2029.5</v>
      </c>
      <c r="P52" s="20" t="n">
        <f aca="false">IF(K52=9999,"",ROUNDUP(K52,0)-1)</f>
        <v>2028</v>
      </c>
      <c r="Q52" s="20" t="n">
        <f aca="false">IF(AND(N(G52)=1,K52&lt;9999,L52&gt;0),1,0)</f>
        <v>1</v>
      </c>
      <c r="R52" s="20" t="n">
        <f aca="false">IF(AND(K52&gt;asof,K52&lt;9999,N(S52)&lt;&gt;1,P52&gt;=dly_d2_y0,P52&lt;=dly_d2_y1),1,0)</f>
        <v>1</v>
      </c>
      <c r="S52" s="19" t="n">
        <f aca="false">IF(In!O233="","",In!O233)</f>
        <v>0</v>
      </c>
    </row>
    <row r="53" customFormat="false" ht="17.15" hidden="false" customHeight="false" outlineLevel="0" collapsed="false">
      <c r="A53" s="0" t="s">
        <v>708</v>
      </c>
      <c r="B53" s="19" t="str">
        <f aca="false">In!B234</f>
        <v>Humain 2027→2030 餘量（至 1.9 GW）</v>
      </c>
      <c r="C53" s="19" t="str">
        <f aca="false">IF(In!H234="","",In!H234)</f>
        <v>sov</v>
      </c>
      <c r="D53" s="19" t="str">
        <f aca="false">IF(In!I234="","",In!I234)</f>
        <v/>
      </c>
      <c r="E53" s="19" t="n">
        <f aca="false">IF(In!J234="","",In!J234)</f>
        <v>200</v>
      </c>
      <c r="F53" s="19" t="str">
        <f aca="false">In!C234</f>
        <v>未說明</v>
      </c>
      <c r="G53" s="19" t="n">
        <f aca="false">IF(In!N234="","",In!N234)</f>
        <v>1</v>
      </c>
      <c r="H53" s="19" t="n">
        <f aca="false">IF(In!K234="","",In!K234)</f>
        <v>2030</v>
      </c>
      <c r="I53" s="19" t="n">
        <f aca="false">IF(In!L234="","",In!L234)</f>
        <v>12</v>
      </c>
      <c r="J53" s="19" t="n">
        <f aca="false">N(In!M234)</f>
        <v>0</v>
      </c>
      <c r="K53" s="24" t="n">
        <f aca="false">IF(OR(H53="",I53=""),9999,H53+I53/12)</f>
        <v>2031</v>
      </c>
      <c r="L53" s="24" t="n">
        <f aca="false">IF(E53="",0,IF(F53="設施",E53/1000/INDEX(Players!$D$13:$M$13,1,MAX(1,MIN(10,H53-2022))),E53/1000*g_ITtoFac))</f>
        <v>0.2</v>
      </c>
      <c r="M53" s="24" t="n">
        <f aca="false">K53</f>
        <v>2031</v>
      </c>
      <c r="N53" s="24" t="n">
        <f aca="false">IF(K53&gt;asof,K53+N(J53)/12,K53)</f>
        <v>2031</v>
      </c>
      <c r="O53" s="24" t="n">
        <f aca="false">IF(K53&gt;asof,K53+IF(N(J53)&gt;0,N(J53),dly_d1_m)/12,K53)</f>
        <v>2031.5</v>
      </c>
      <c r="P53" s="20" t="n">
        <f aca="false">IF(K53=9999,"",ROUNDUP(K53,0)-1)</f>
        <v>2030</v>
      </c>
      <c r="Q53" s="20" t="n">
        <f aca="false">IF(AND(N(G53)=1,K53&lt;9999,L53&gt;0),1,0)</f>
        <v>1</v>
      </c>
      <c r="R53" s="20" t="n">
        <f aca="false">IF(AND(K53&gt;asof,K53&lt;9999,N(S53)&lt;&gt;1,P53&gt;=dly_d2_y0,P53&lt;=dly_d2_y1),1,0)</f>
        <v>0</v>
      </c>
      <c r="S53" s="19" t="n">
        <f aca="false">IF(In!O234="","",In!O234)</f>
        <v>0</v>
      </c>
    </row>
    <row r="54" customFormat="false" ht="17.15" hidden="false" customHeight="false" outlineLevel="0" collapsed="false">
      <c r="A54" s="0" t="s">
        <v>711</v>
      </c>
      <c r="B54" s="19" t="str">
        <f aca="false">In!B235</f>
        <v>AWS Ridgeland B6–14（840 − 284）</v>
      </c>
      <c r="C54" s="19" t="str">
        <f aca="false">IF(In!H235="","",In!H235)</f>
        <v>amzn</v>
      </c>
      <c r="D54" s="19" t="str">
        <f aca="false">IF(In!I235="","",In!I235)</f>
        <v/>
      </c>
      <c r="E54" s="19" t="n">
        <f aca="false">IF(In!J235="","",In!J235)</f>
        <v>556</v>
      </c>
      <c r="F54" s="19" t="str">
        <f aca="false">In!C235</f>
        <v>IT</v>
      </c>
      <c r="G54" s="19" t="n">
        <f aca="false">IF(In!N235="","",In!N235)</f>
        <v>1</v>
      </c>
      <c r="H54" s="19" t="n">
        <f aca="false">IF(In!K235="","",In!K235)</f>
        <v>2028</v>
      </c>
      <c r="I54" s="19" t="n">
        <f aca="false">IF(In!L235="","",In!L235)</f>
        <v>9</v>
      </c>
      <c r="J54" s="19" t="n">
        <f aca="false">N(In!M235)</f>
        <v>0</v>
      </c>
      <c r="K54" s="24" t="n">
        <f aca="false">IF(OR(H54="",I54=""),9999,H54+I54/12)</f>
        <v>2028.75</v>
      </c>
      <c r="L54" s="24" t="n">
        <f aca="false">IF(E54="",0,IF(F54="設施",E54/1000/INDEX(Players!$D$13:$M$13,1,MAX(1,MIN(10,H54-2022))),E54/1000*g_ITtoFac))</f>
        <v>0.556</v>
      </c>
      <c r="M54" s="24" t="n">
        <f aca="false">K54</f>
        <v>2028.75</v>
      </c>
      <c r="N54" s="24" t="n">
        <f aca="false">IF(K54&gt;asof,K54+N(J54)/12,K54)</f>
        <v>2028.75</v>
      </c>
      <c r="O54" s="24" t="n">
        <f aca="false">IF(K54&gt;asof,K54+IF(N(J54)&gt;0,N(J54),dly_d1_m)/12,K54)</f>
        <v>2029.25</v>
      </c>
      <c r="P54" s="20" t="n">
        <f aca="false">IF(K54=9999,"",ROUNDUP(K54,0)-1)</f>
        <v>2028</v>
      </c>
      <c r="Q54" s="20" t="n">
        <f aca="false">IF(AND(N(G54)=1,K54&lt;9999,L54&gt;0),1,0)</f>
        <v>1</v>
      </c>
      <c r="R54" s="20" t="n">
        <f aca="false">IF(AND(K54&gt;asof,K54&lt;9999,N(S54)&lt;&gt;1,P54&gt;=dly_d2_y0,P54&lt;=dly_d2_y1),1,0)</f>
        <v>1</v>
      </c>
      <c r="S54" s="19" t="n">
        <f aca="false">IF(In!O235="","",In!O235)</f>
        <v>0</v>
      </c>
    </row>
    <row r="55" customFormat="false" ht="17.15" hidden="false" customHeight="false" outlineLevel="0" collapsed="false">
      <c r="A55" s="0" t="s">
        <v>714</v>
      </c>
      <c r="B55" s="19" t="str">
        <f aca="false">In!B236</f>
        <v>SK–AWS 蔚山 一期</v>
      </c>
      <c r="C55" s="19" t="str">
        <f aca="false">IF(In!H236="","",In!H236)</f>
        <v>amzn</v>
      </c>
      <c r="D55" s="19" t="str">
        <f aca="false">IF(In!I236="","",In!I236)</f>
        <v/>
      </c>
      <c r="E55" s="19" t="n">
        <f aca="false">IF(In!J236="","",In!J236)</f>
        <v>41</v>
      </c>
      <c r="F55" s="19" t="str">
        <f aca="false">In!C236</f>
        <v>未說明</v>
      </c>
      <c r="G55" s="19" t="n">
        <f aca="false">IF(In!N236="","",In!N236)</f>
        <v>1</v>
      </c>
      <c r="H55" s="19" t="n">
        <f aca="false">IF(In!K236="","",In!K236)</f>
        <v>2027</v>
      </c>
      <c r="I55" s="19" t="n">
        <f aca="false">IF(In!L236="","",In!L236)</f>
        <v>11</v>
      </c>
      <c r="J55" s="19" t="n">
        <f aca="false">N(In!M236)</f>
        <v>0</v>
      </c>
      <c r="K55" s="24" t="n">
        <f aca="false">IF(OR(H55="",I55=""),9999,H55+I55/12)</f>
        <v>2027.91666666667</v>
      </c>
      <c r="L55" s="24" t="n">
        <f aca="false">IF(E55="",0,IF(F55="設施",E55/1000/INDEX(Players!$D$13:$M$13,1,MAX(1,MIN(10,H55-2022))),E55/1000*g_ITtoFac))</f>
        <v>0.041</v>
      </c>
      <c r="M55" s="24" t="n">
        <f aca="false">K55</f>
        <v>2027.91666666667</v>
      </c>
      <c r="N55" s="24" t="n">
        <f aca="false">IF(K55&gt;asof,K55+N(J55)/12,K55)</f>
        <v>2027.91666666667</v>
      </c>
      <c r="O55" s="24" t="n">
        <f aca="false">IF(K55&gt;asof,K55+IF(N(J55)&gt;0,N(J55),dly_d1_m)/12,K55)</f>
        <v>2028.41666666667</v>
      </c>
      <c r="P55" s="20" t="n">
        <f aca="false">IF(K55=9999,"",ROUNDUP(K55,0)-1)</f>
        <v>2027</v>
      </c>
      <c r="Q55" s="20" t="n">
        <f aca="false">IF(AND(N(G55)=1,K55&lt;9999,L55&gt;0),1,0)</f>
        <v>1</v>
      </c>
      <c r="R55" s="20" t="n">
        <f aca="false">IF(AND(K55&gt;asof,K55&lt;9999,N(S55)&lt;&gt;1,P55&gt;=dly_d2_y0,P55&lt;=dly_d2_y1),1,0)</f>
        <v>1</v>
      </c>
      <c r="S55" s="19" t="n">
        <f aca="false">IF(In!O236="","",In!O236)</f>
        <v>0</v>
      </c>
    </row>
    <row r="56" customFormat="false" ht="17.15" hidden="false" customHeight="false" outlineLevel="0" collapsed="false">
      <c r="A56" s="0" t="s">
        <v>717</v>
      </c>
      <c r="B56" s="19" t="str">
        <f aca="false">In!B237</f>
        <v>SK–AWS 蔚山 至 103 MW 增量</v>
      </c>
      <c r="C56" s="19" t="str">
        <f aca="false">IF(In!H237="","",In!H237)</f>
        <v>amzn</v>
      </c>
      <c r="D56" s="19" t="str">
        <f aca="false">IF(In!I237="","",In!I237)</f>
        <v/>
      </c>
      <c r="E56" s="19" t="n">
        <f aca="false">IF(In!J237="","",In!J237)</f>
        <v>62</v>
      </c>
      <c r="F56" s="19" t="str">
        <f aca="false">In!C237</f>
        <v>未說明</v>
      </c>
      <c r="G56" s="19" t="n">
        <f aca="false">IF(In!N237="","",In!N237)</f>
        <v>1</v>
      </c>
      <c r="H56" s="19" t="n">
        <f aca="false">IF(In!K237="","",In!K237)</f>
        <v>2029</v>
      </c>
      <c r="I56" s="19" t="n">
        <f aca="false">IF(In!L237="","",In!L237)</f>
        <v>2</v>
      </c>
      <c r="J56" s="19" t="n">
        <f aca="false">N(In!M237)</f>
        <v>0</v>
      </c>
      <c r="K56" s="24" t="n">
        <f aca="false">IF(OR(H56="",I56=""),9999,H56+I56/12)</f>
        <v>2029.16666666667</v>
      </c>
      <c r="L56" s="24" t="n">
        <f aca="false">IF(E56="",0,IF(F56="設施",E56/1000/INDEX(Players!$D$13:$M$13,1,MAX(1,MIN(10,H56-2022))),E56/1000*g_ITtoFac))</f>
        <v>0.062</v>
      </c>
      <c r="M56" s="24" t="n">
        <f aca="false">K56</f>
        <v>2029.16666666667</v>
      </c>
      <c r="N56" s="24" t="n">
        <f aca="false">IF(K56&gt;asof,K56+N(J56)/12,K56)</f>
        <v>2029.16666666667</v>
      </c>
      <c r="O56" s="24" t="n">
        <f aca="false">IF(K56&gt;asof,K56+IF(N(J56)&gt;0,N(J56),dly_d1_m)/12,K56)</f>
        <v>2029.66666666667</v>
      </c>
      <c r="P56" s="20" t="n">
        <f aca="false">IF(K56=9999,"",ROUNDUP(K56,0)-1)</f>
        <v>2029</v>
      </c>
      <c r="Q56" s="20" t="n">
        <f aca="false">IF(AND(N(G56)=1,K56&lt;9999,L56&gt;0),1,0)</f>
        <v>1</v>
      </c>
      <c r="R56" s="20" t="n">
        <f aca="false">IF(AND(K56&gt;asof,K56&lt;9999,N(S56)&lt;&gt;1,P56&gt;=dly_d2_y0,P56&lt;=dly_d2_y1),1,0)</f>
        <v>0</v>
      </c>
      <c r="S56" s="19" t="n">
        <f aca="false">IF(In!O237="","",In!O237)</f>
        <v>0</v>
      </c>
    </row>
    <row r="57" customFormat="false" ht="17.15" hidden="false" customHeight="false" outlineLevel="0" collapsed="false">
      <c r="A57" s="0" t="s">
        <v>720</v>
      </c>
      <c r="B57" s="19" t="str">
        <f aca="false">In!B238</f>
        <v>Cipher Barber Lake（168 ＋ 39）</v>
      </c>
      <c r="C57" s="19" t="str">
        <f aca="false">IF(In!H238="","",In!H238)</f>
        <v>neo</v>
      </c>
      <c r="D57" s="19" t="str">
        <f aca="false">IF(In!I238="","",In!I238)</f>
        <v/>
      </c>
      <c r="E57" s="19" t="n">
        <f aca="false">IF(In!J238="","",In!J238)</f>
        <v>207</v>
      </c>
      <c r="F57" s="19" t="str">
        <f aca="false">In!C238</f>
        <v>IT</v>
      </c>
      <c r="G57" s="19" t="n">
        <f aca="false">IF(In!N238="","",In!N238)</f>
        <v>1</v>
      </c>
      <c r="H57" s="19" t="n">
        <f aca="false">IF(In!K238="","",In!K238)</f>
        <v>2027</v>
      </c>
      <c r="I57" s="19" t="n">
        <f aca="false">IF(In!L238="","",In!L238)</f>
        <v>3</v>
      </c>
      <c r="J57" s="19" t="n">
        <f aca="false">N(In!M238)</f>
        <v>0</v>
      </c>
      <c r="K57" s="24" t="n">
        <f aca="false">IF(OR(H57="",I57=""),9999,H57+I57/12)</f>
        <v>2027.25</v>
      </c>
      <c r="L57" s="24" t="n">
        <f aca="false">IF(E57="",0,IF(F57="設施",E57/1000/INDEX(Players!$D$13:$M$13,1,MAX(1,MIN(10,H57-2022))),E57/1000*g_ITtoFac))</f>
        <v>0.207</v>
      </c>
      <c r="M57" s="24" t="n">
        <f aca="false">K57</f>
        <v>2027.25</v>
      </c>
      <c r="N57" s="24" t="n">
        <f aca="false">IF(K57&gt;asof,K57+N(J57)/12,K57)</f>
        <v>2027.25</v>
      </c>
      <c r="O57" s="24" t="n">
        <f aca="false">IF(K57&gt;asof,K57+IF(N(J57)&gt;0,N(J57),dly_d1_m)/12,K57)</f>
        <v>2027.75</v>
      </c>
      <c r="P57" s="20" t="n">
        <f aca="false">IF(K57=9999,"",ROUNDUP(K57,0)-1)</f>
        <v>2027</v>
      </c>
      <c r="Q57" s="20" t="n">
        <f aca="false">IF(AND(N(G57)=1,K57&lt;9999,L57&gt;0),1,0)</f>
        <v>1</v>
      </c>
      <c r="R57" s="20" t="n">
        <f aca="false">IF(AND(K57&gt;asof,K57&lt;9999,N(S57)&lt;&gt;1,P57&gt;=dly_d2_y0,P57&lt;=dly_d2_y1),1,0)</f>
        <v>1</v>
      </c>
      <c r="S57" s="19" t="n">
        <f aca="false">IF(In!O238="","",In!O238)</f>
        <v>0</v>
      </c>
    </row>
    <row r="58" customFormat="false" ht="15" hidden="false" customHeight="false" outlineLevel="0" collapsed="false">
      <c r="A58" s="0" t="s">
        <v>723</v>
      </c>
      <c r="B58" s="19" t="str">
        <f aca="false">In!B239</f>
        <v>Applied Digital Polaris Forge 2</v>
      </c>
      <c r="C58" s="19" t="str">
        <f aca="false">IF(In!H239="","",In!H239)</f>
        <v>neo</v>
      </c>
      <c r="D58" s="19" t="str">
        <f aca="false">IF(In!I239="","",In!I239)</f>
        <v/>
      </c>
      <c r="E58" s="19" t="n">
        <f aca="false">IF(In!J239="","",In!J239)</f>
        <v>200</v>
      </c>
      <c r="F58" s="19" t="str">
        <f aca="false">In!C239</f>
        <v>IT</v>
      </c>
      <c r="G58" s="19" t="n">
        <f aca="false">IF(In!N239="","",In!N239)</f>
        <v>1</v>
      </c>
      <c r="H58" s="19" t="n">
        <f aca="false">IF(In!K239="","",In!K239)</f>
        <v>2027</v>
      </c>
      <c r="I58" s="19" t="n">
        <f aca="false">IF(In!L239="","",In!L239)</f>
        <v>12</v>
      </c>
      <c r="J58" s="19" t="n">
        <f aca="false">N(In!M239)</f>
        <v>0</v>
      </c>
      <c r="K58" s="24" t="n">
        <f aca="false">IF(OR(H58="",I58=""),9999,H58+I58/12)</f>
        <v>2028</v>
      </c>
      <c r="L58" s="24" t="n">
        <f aca="false">IF(E58="",0,IF(F58="設施",E58/1000/INDEX(Players!$D$13:$M$13,1,MAX(1,MIN(10,H58-2022))),E58/1000*g_ITtoFac))</f>
        <v>0.2</v>
      </c>
      <c r="M58" s="24" t="n">
        <f aca="false">K58</f>
        <v>2028</v>
      </c>
      <c r="N58" s="24" t="n">
        <f aca="false">IF(K58&gt;asof,K58+N(J58)/12,K58)</f>
        <v>2028</v>
      </c>
      <c r="O58" s="24" t="n">
        <f aca="false">IF(K58&gt;asof,K58+IF(N(J58)&gt;0,N(J58),dly_d1_m)/12,K58)</f>
        <v>2028.5</v>
      </c>
      <c r="P58" s="20" t="n">
        <f aca="false">IF(K58=9999,"",ROUNDUP(K58,0)-1)</f>
        <v>2027</v>
      </c>
      <c r="Q58" s="20" t="n">
        <f aca="false">IF(AND(N(G58)=1,K58&lt;9999,L58&gt;0),1,0)</f>
        <v>1</v>
      </c>
      <c r="R58" s="20" t="n">
        <f aca="false">IF(AND(K58&gt;asof,K58&lt;9999,N(S58)&lt;&gt;1,P58&gt;=dly_d2_y0,P58&lt;=dly_d2_y1),1,0)</f>
        <v>1</v>
      </c>
      <c r="S58" s="19" t="n">
        <f aca="false">IF(In!O239="","",In!O239)</f>
        <v>0</v>
      </c>
    </row>
    <row r="59" customFormat="false" ht="17.15" hidden="false" customHeight="false" outlineLevel="0" collapsed="false">
      <c r="A59" s="0" t="s">
        <v>726</v>
      </c>
      <c r="B59" s="19" t="str">
        <f aca="false">In!B240</f>
        <v>Nscale Monarch 一期</v>
      </c>
      <c r="C59" s="19" t="str">
        <f aca="false">IF(In!H240="","",In!H240)</f>
        <v>neo</v>
      </c>
      <c r="D59" s="19" t="str">
        <f aca="false">IF(In!I240="","",In!I240)</f>
        <v/>
      </c>
      <c r="E59" s="19" t="n">
        <f aca="false">IF(In!J240="","",In!J240)</f>
        <v>1350</v>
      </c>
      <c r="F59" s="19" t="str">
        <f aca="false">In!C240</f>
        <v>未說明</v>
      </c>
      <c r="G59" s="19" t="n">
        <f aca="false">IF(In!N240="","",In!N240)</f>
        <v>1</v>
      </c>
      <c r="H59" s="19" t="n">
        <f aca="false">IF(In!K240="","",In!K240)</f>
        <v>2028</v>
      </c>
      <c r="I59" s="19" t="n">
        <f aca="false">IF(In!L240="","",In!L240)</f>
        <v>3</v>
      </c>
      <c r="J59" s="19" t="n">
        <f aca="false">N(In!M240)</f>
        <v>0</v>
      </c>
      <c r="K59" s="24" t="n">
        <f aca="false">IF(OR(H59="",I59=""),9999,H59+I59/12)</f>
        <v>2028.25</v>
      </c>
      <c r="L59" s="24" t="n">
        <f aca="false">IF(E59="",0,IF(F59="設施",E59/1000/INDEX(Players!$D$13:$M$13,1,MAX(1,MIN(10,H59-2022))),E59/1000*g_ITtoFac))</f>
        <v>1.35</v>
      </c>
      <c r="M59" s="24" t="n">
        <f aca="false">K59</f>
        <v>2028.25</v>
      </c>
      <c r="N59" s="24" t="n">
        <f aca="false">IF(K59&gt;asof,K59+N(J59)/12,K59)</f>
        <v>2028.25</v>
      </c>
      <c r="O59" s="24" t="n">
        <f aca="false">IF(K59&gt;asof,K59+IF(N(J59)&gt;0,N(J59),dly_d1_m)/12,K59)</f>
        <v>2028.75</v>
      </c>
      <c r="P59" s="20" t="n">
        <f aca="false">IF(K59=9999,"",ROUNDUP(K59,0)-1)</f>
        <v>2028</v>
      </c>
      <c r="Q59" s="20" t="n">
        <f aca="false">IF(AND(N(G59)=1,K59&lt;9999,L59&gt;0),1,0)</f>
        <v>1</v>
      </c>
      <c r="R59" s="20" t="n">
        <f aca="false">IF(AND(K59&gt;asof,K59&lt;9999,N(S59)&lt;&gt;1,P59&gt;=dly_d2_y0,P59&lt;=dly_d2_y1),1,0)</f>
        <v>1</v>
      </c>
      <c r="S59" s="19" t="n">
        <f aca="false">IF(In!O240="","",In!O240)</f>
        <v>0</v>
      </c>
    </row>
    <row r="60" customFormat="false" ht="17.15" hidden="false" customHeight="false" outlineLevel="0" collapsed="false">
      <c r="A60" s="0" t="s">
        <v>729</v>
      </c>
      <c r="B60" s="19" t="str">
        <f aca="false">In!B241</f>
        <v>Hut 8 Beacon Point（Nueces County）</v>
      </c>
      <c r="C60" s="19" t="str">
        <f aca="false">IF(In!H241="","",In!H241)</f>
        <v>neo</v>
      </c>
      <c r="D60" s="19" t="str">
        <f aca="false">IF(In!I241="","",In!I241)</f>
        <v/>
      </c>
      <c r="E60" s="19" t="n">
        <f aca="false">IF(In!J241="","",In!J241)</f>
        <v>352</v>
      </c>
      <c r="F60" s="19" t="str">
        <f aca="false">In!C241</f>
        <v>IT</v>
      </c>
      <c r="G60" s="19" t="n">
        <f aca="false">IF(In!N241="","",In!N241)</f>
        <v>1</v>
      </c>
      <c r="H60" s="19" t="n">
        <f aca="false">IF(In!K241="","",In!K241)</f>
        <v>2028</v>
      </c>
      <c r="I60" s="19" t="n">
        <f aca="false">IF(In!L241="","",In!L241)</f>
        <v>3</v>
      </c>
      <c r="J60" s="19" t="n">
        <f aca="false">N(In!M241)</f>
        <v>0</v>
      </c>
      <c r="K60" s="24" t="n">
        <f aca="false">IF(OR(H60="",I60=""),9999,H60+I60/12)</f>
        <v>2028.25</v>
      </c>
      <c r="L60" s="24" t="n">
        <f aca="false">IF(E60="",0,IF(F60="設施",E60/1000/INDEX(Players!$D$13:$M$13,1,MAX(1,MIN(10,H60-2022))),E60/1000*g_ITtoFac))</f>
        <v>0.352</v>
      </c>
      <c r="M60" s="24" t="n">
        <f aca="false">K60</f>
        <v>2028.25</v>
      </c>
      <c r="N60" s="24" t="n">
        <f aca="false">IF(K60&gt;asof,K60+N(J60)/12,K60)</f>
        <v>2028.25</v>
      </c>
      <c r="O60" s="24" t="n">
        <f aca="false">IF(K60&gt;asof,K60+IF(N(J60)&gt;0,N(J60),dly_d1_m)/12,K60)</f>
        <v>2028.75</v>
      </c>
      <c r="P60" s="20" t="n">
        <f aca="false">IF(K60=9999,"",ROUNDUP(K60,0)-1)</f>
        <v>2028</v>
      </c>
      <c r="Q60" s="20" t="n">
        <f aca="false">IF(AND(N(G60)=1,K60&lt;9999,L60&gt;0),1,0)</f>
        <v>1</v>
      </c>
      <c r="R60" s="20" t="n">
        <f aca="false">IF(AND(K60&gt;asof,K60&lt;9999,N(S60)&lt;&gt;1,P60&gt;=dly_d2_y0,P60&lt;=dly_d2_y1),1,0)</f>
        <v>1</v>
      </c>
      <c r="S60" s="19" t="n">
        <f aca="false">IF(In!O241="","",In!O241)</f>
        <v>0</v>
      </c>
    </row>
    <row r="61" customFormat="false" ht="17.15" hidden="false" customHeight="false" outlineLevel="0" collapsed="false">
      <c r="A61" s="0" t="s">
        <v>732</v>
      </c>
      <c r="B61" s="19" t="str">
        <f aca="false">In!B242</f>
        <v>Hyperion 2→5 GW 餘量</v>
      </c>
      <c r="C61" s="19" t="str">
        <f aca="false">IF(In!H242="","",In!H242)</f>
        <v>meta</v>
      </c>
      <c r="D61" s="19" t="str">
        <f aca="false">IF(In!I242="","",In!I242)</f>
        <v>meta</v>
      </c>
      <c r="E61" s="19" t="n">
        <f aca="false">IF(In!J242="","",In!J242)</f>
        <v>3000</v>
      </c>
      <c r="F61" s="19" t="str">
        <f aca="false">In!C242</f>
        <v>未說明</v>
      </c>
      <c r="G61" s="19" t="n">
        <f aca="false">IF(In!N242="","",In!N242)</f>
        <v>0</v>
      </c>
      <c r="H61" s="19" t="n">
        <f aca="false">IF(In!K242="","",In!K242)</f>
        <v>2032</v>
      </c>
      <c r="I61" s="19" t="n">
        <f aca="false">IF(In!L242="","",In!L242)</f>
        <v>12</v>
      </c>
      <c r="J61" s="19" t="n">
        <f aca="false">N(In!M242)</f>
        <v>0</v>
      </c>
      <c r="K61" s="24" t="n">
        <f aca="false">IF(OR(H61="",I61=""),9999,H61+I61/12)</f>
        <v>2033</v>
      </c>
      <c r="L61" s="24" t="n">
        <f aca="false">IF(E61="",0,IF(F61="設施",E61/1000/INDEX(Players!$D$13:$M$13,1,MAX(1,MIN(10,H61-2022))),E61/1000*g_ITtoFac))</f>
        <v>3</v>
      </c>
      <c r="M61" s="24" t="n">
        <f aca="false">K61</f>
        <v>2033</v>
      </c>
      <c r="N61" s="24" t="n">
        <f aca="false">IF(K61&gt;asof,K61+N(J61)/12,K61)</f>
        <v>2033</v>
      </c>
      <c r="O61" s="24" t="n">
        <f aca="false">IF(K61&gt;asof,K61+IF(N(J61)&gt;0,N(J61),dly_d1_m)/12,K61)</f>
        <v>2033.5</v>
      </c>
      <c r="P61" s="20" t="n">
        <f aca="false">IF(K61=9999,"",ROUNDUP(K61,0)-1)</f>
        <v>2032</v>
      </c>
      <c r="Q61" s="20" t="n">
        <f aca="false">IF(AND(N(G61)=1,K61&lt;9999,L61&gt;0),1,0)</f>
        <v>0</v>
      </c>
      <c r="R61" s="20" t="n">
        <f aca="false">IF(AND(K61&gt;asof,K61&lt;9999,N(S61)&lt;&gt;1,P61&gt;=dly_d2_y0,P61&lt;=dly_d2_y1),1,0)</f>
        <v>0</v>
      </c>
      <c r="S61" s="19" t="n">
        <f aca="false">IF(In!O242="","",In!O242)</f>
        <v>0</v>
      </c>
    </row>
    <row r="62" customFormat="false" ht="17.15" hidden="false" customHeight="false" outlineLevel="0" collapsed="false">
      <c r="A62" s="0" t="s">
        <v>735</v>
      </c>
      <c r="B62" s="19" t="str">
        <f aca="false">In!B243</f>
        <v>SoftBank 北海道苫小牧</v>
      </c>
      <c r="C62" s="19" t="str">
        <f aca="false">IF(In!H243="","",In!H243)</f>
        <v>oth</v>
      </c>
      <c r="D62" s="19" t="str">
        <f aca="false">IF(In!I243="","",In!I243)</f>
        <v/>
      </c>
      <c r="E62" s="19" t="n">
        <f aca="false">IF(In!J243="","",In!J243)</f>
        <v>50</v>
      </c>
      <c r="F62" s="19" t="str">
        <f aca="false">In!C243</f>
        <v>設施</v>
      </c>
      <c r="G62" s="19" t="n">
        <f aca="false">IF(In!N243="","",In!N243)</f>
        <v>0</v>
      </c>
      <c r="H62" s="19" t="n">
        <f aca="false">IF(In!K243="","",In!K243)</f>
        <v>2027</v>
      </c>
      <c r="I62" s="19" t="n">
        <f aca="false">IF(In!L243="","",In!L243)</f>
        <v>3</v>
      </c>
      <c r="J62" s="19" t="n">
        <f aca="false">N(In!M243)</f>
        <v>0</v>
      </c>
      <c r="K62" s="24" t="n">
        <f aca="false">IF(OR(H62="",I62=""),9999,H62+I62/12)</f>
        <v>2027.25</v>
      </c>
      <c r="L62" s="24" t="n">
        <f aca="false">IF(E62="",0,IF(F62="設施",E62/1000/INDEX(Players!$D$13:$M$13,1,MAX(1,MIN(10,H62-2022))),E62/1000*g_ITtoFac))</f>
        <v>0.0416666666666667</v>
      </c>
      <c r="M62" s="24" t="n">
        <f aca="false">K62</f>
        <v>2027.25</v>
      </c>
      <c r="N62" s="24" t="n">
        <f aca="false">IF(K62&gt;asof,K62+N(J62)/12,K62)</f>
        <v>2027.25</v>
      </c>
      <c r="O62" s="24" t="n">
        <f aca="false">IF(K62&gt;asof,K62+IF(N(J62)&gt;0,N(J62),dly_d1_m)/12,K62)</f>
        <v>2027.75</v>
      </c>
      <c r="P62" s="20" t="n">
        <f aca="false">IF(K62=9999,"",ROUNDUP(K62,0)-1)</f>
        <v>2027</v>
      </c>
      <c r="Q62" s="20" t="n">
        <f aca="false">IF(AND(N(G62)=1,K62&lt;9999,L62&gt;0),1,0)</f>
        <v>0</v>
      </c>
      <c r="R62" s="20" t="n">
        <f aca="false">IF(AND(K62&gt;asof,K62&lt;9999,N(S62)&lt;&gt;1,P62&gt;=dly_d2_y0,P62&lt;=dly_d2_y1),1,0)</f>
        <v>1</v>
      </c>
      <c r="S62" s="19" t="n">
        <f aca="false">IF(In!O243="","",In!O243)</f>
        <v>0</v>
      </c>
    </row>
    <row r="63" customFormat="false" ht="17.15" hidden="false" customHeight="false" outlineLevel="0" collapsed="false">
      <c r="A63" s="0" t="s">
        <v>739</v>
      </c>
      <c r="B63" s="19" t="str">
        <f aca="false">In!B244</f>
        <v>DataVolt Oxagon（Nebius 最多 50 MW）</v>
      </c>
      <c r="C63" s="19" t="str">
        <f aca="false">IF(In!H244="","",In!H244)</f>
        <v>nbis</v>
      </c>
      <c r="D63" s="19" t="str">
        <f aca="false">IF(In!I244="","",In!I244)</f>
        <v/>
      </c>
      <c r="E63" s="19" t="n">
        <f aca="false">IF(In!J244="","",In!J244)</f>
        <v>50</v>
      </c>
      <c r="F63" s="19" t="str">
        <f aca="false">In!C244</f>
        <v>未說明</v>
      </c>
      <c r="G63" s="19" t="n">
        <f aca="false">IF(In!N244="","",In!N244)</f>
        <v>0</v>
      </c>
      <c r="H63" s="19" t="n">
        <f aca="false">IF(In!K244="","",In!K244)</f>
        <v>2028</v>
      </c>
      <c r="I63" s="19" t="n">
        <f aca="false">IF(In!L244="","",In!L244)</f>
        <v>12</v>
      </c>
      <c r="J63" s="19" t="n">
        <f aca="false">N(In!M244)</f>
        <v>0</v>
      </c>
      <c r="K63" s="24" t="n">
        <f aca="false">IF(OR(H63="",I63=""),9999,H63+I63/12)</f>
        <v>2029</v>
      </c>
      <c r="L63" s="24" t="n">
        <f aca="false">IF(E63="",0,IF(F63="設施",E63/1000/INDEX(Players!$D$13:$M$13,1,MAX(1,MIN(10,H63-2022))),E63/1000*g_ITtoFac))</f>
        <v>0.05</v>
      </c>
      <c r="M63" s="24" t="n">
        <f aca="false">K63</f>
        <v>2029</v>
      </c>
      <c r="N63" s="24" t="n">
        <f aca="false">IF(K63&gt;asof,K63+N(J63)/12,K63)</f>
        <v>2029</v>
      </c>
      <c r="O63" s="24" t="n">
        <f aca="false">IF(K63&gt;asof,K63+IF(N(J63)&gt;0,N(J63),dly_d1_m)/12,K63)</f>
        <v>2029.5</v>
      </c>
      <c r="P63" s="20" t="n">
        <f aca="false">IF(K63=9999,"",ROUNDUP(K63,0)-1)</f>
        <v>2028</v>
      </c>
      <c r="Q63" s="20" t="n">
        <f aca="false">IF(AND(N(G63)=1,K63&lt;9999,L63&gt;0),1,0)</f>
        <v>0</v>
      </c>
      <c r="R63" s="20" t="n">
        <f aca="false">IF(AND(K63&gt;asof,K63&lt;9999,N(S63)&lt;&gt;1,P63&gt;=dly_d2_y0,P63&lt;=dly_d2_y1),1,0)</f>
        <v>1</v>
      </c>
      <c r="S63" s="19" t="n">
        <f aca="false">IF(In!O244="","",In!O244)</f>
        <v>0</v>
      </c>
    </row>
    <row r="64" customFormat="false" ht="17.15" hidden="false" customHeight="false" outlineLevel="0" collapsed="false">
      <c r="A64" s="0" t="s">
        <v>742</v>
      </c>
      <c r="B64" s="19" t="str">
        <f aca="false">In!B245</f>
        <v>Khazna Ajman（QAJ1）</v>
      </c>
      <c r="C64" s="19" t="str">
        <f aca="false">IF(In!H245="","",In!H245)</f>
        <v>sov</v>
      </c>
      <c r="D64" s="19" t="str">
        <f aca="false">IF(In!I245="","",In!I245)</f>
        <v/>
      </c>
      <c r="E64" s="19" t="n">
        <f aca="false">IF(In!J245="","",In!J245)</f>
        <v>30</v>
      </c>
      <c r="F64" s="19" t="str">
        <f aca="false">In!C245</f>
        <v>IT</v>
      </c>
      <c r="G64" s="19" t="n">
        <f aca="false">IF(In!N245="","",In!N245)</f>
        <v>0</v>
      </c>
      <c r="H64" s="19" t="n">
        <f aca="false">IF(In!K245="","",In!K245)</f>
        <v>2026</v>
      </c>
      <c r="I64" s="19" t="n">
        <f aca="false">IF(In!L245="","",In!L245)</f>
        <v>12</v>
      </c>
      <c r="J64" s="19" t="n">
        <f aca="false">N(In!M245)</f>
        <v>0</v>
      </c>
      <c r="K64" s="24" t="n">
        <f aca="false">IF(OR(H64="",I64=""),9999,H64+I64/12)</f>
        <v>2027</v>
      </c>
      <c r="L64" s="24" t="n">
        <f aca="false">IF(E64="",0,IF(F64="設施",E64/1000/INDEX(Players!$D$13:$M$13,1,MAX(1,MIN(10,H64-2022))),E64/1000*g_ITtoFac))</f>
        <v>0.03</v>
      </c>
      <c r="M64" s="24" t="n">
        <f aca="false">K64</f>
        <v>2027</v>
      </c>
      <c r="N64" s="24" t="n">
        <f aca="false">IF(K64&gt;asof,K64+N(J64)/12,K64)</f>
        <v>2027</v>
      </c>
      <c r="O64" s="24" t="n">
        <f aca="false">IF(K64&gt;asof,K64+IF(N(J64)&gt;0,N(J64),dly_d1_m)/12,K64)</f>
        <v>2027.5</v>
      </c>
      <c r="P64" s="20" t="n">
        <f aca="false">IF(K64=9999,"",ROUNDUP(K64,0)-1)</f>
        <v>2026</v>
      </c>
      <c r="Q64" s="20" t="n">
        <f aca="false">IF(AND(N(G64)=1,K64&lt;9999,L64&gt;0),1,0)</f>
        <v>0</v>
      </c>
      <c r="R64" s="20" t="n">
        <f aca="false">IF(AND(K64&gt;asof,K64&lt;9999,N(S64)&lt;&gt;1,P64&gt;=dly_d2_y0,P64&lt;=dly_d2_y1),1,0)</f>
        <v>0</v>
      </c>
      <c r="S64" s="19" t="n">
        <f aca="false">IF(In!O245="","",In!O245)</f>
        <v>0</v>
      </c>
    </row>
    <row r="65" customFormat="false" ht="17.15" hidden="false" customHeight="false" outlineLevel="0" collapsed="false">
      <c r="A65" s="0" t="s">
        <v>745</v>
      </c>
      <c r="B65" s="19" t="str">
        <f aca="false">In!B246</f>
        <v>Nebius–Mega Or Beit Shemesh（以色列）</v>
      </c>
      <c r="C65" s="19" t="str">
        <f aca="false">IF(In!H246="","",In!H246)</f>
        <v>nbis</v>
      </c>
      <c r="D65" s="19" t="str">
        <f aca="false">IF(In!I246="","",In!I246)</f>
        <v/>
      </c>
      <c r="E65" s="19" t="n">
        <f aca="false">IF(In!J246="","",In!J246)</f>
        <v>58</v>
      </c>
      <c r="F65" s="19" t="str">
        <f aca="false">In!C246</f>
        <v>未說明</v>
      </c>
      <c r="G65" s="19" t="n">
        <f aca="false">IF(In!N246="","",In!N246)</f>
        <v>1</v>
      </c>
      <c r="H65" s="19" t="n">
        <f aca="false">IF(In!K246="","",In!K246)</f>
        <v>2027</v>
      </c>
      <c r="I65" s="19" t="n">
        <f aca="false">IF(In!L246="","",In!L246)</f>
        <v>3</v>
      </c>
      <c r="J65" s="19" t="n">
        <f aca="false">N(In!M246)</f>
        <v>0</v>
      </c>
      <c r="K65" s="24" t="n">
        <f aca="false">IF(OR(H65="",I65=""),9999,H65+I65/12)</f>
        <v>2027.25</v>
      </c>
      <c r="L65" s="24" t="n">
        <f aca="false">IF(E65="",0,IF(F65="設施",E65/1000/INDEX(Players!$D$13:$M$13,1,MAX(1,MIN(10,H65-2022))),E65/1000*g_ITtoFac))</f>
        <v>0.058</v>
      </c>
      <c r="M65" s="24" t="n">
        <f aca="false">K65</f>
        <v>2027.25</v>
      </c>
      <c r="N65" s="24" t="n">
        <f aca="false">IF(K65&gt;asof,K65+N(J65)/12,K65)</f>
        <v>2027.25</v>
      </c>
      <c r="O65" s="24" t="n">
        <f aca="false">IF(K65&gt;asof,K65+IF(N(J65)&gt;0,N(J65),dly_d1_m)/12,K65)</f>
        <v>2027.75</v>
      </c>
      <c r="P65" s="20" t="n">
        <f aca="false">IF(K65=9999,"",ROUNDUP(K65,0)-1)</f>
        <v>2027</v>
      </c>
      <c r="Q65" s="20" t="n">
        <f aca="false">IF(AND(N(G65)=1,K65&lt;9999,L65&gt;0),1,0)</f>
        <v>1</v>
      </c>
      <c r="R65" s="20" t="n">
        <f aca="false">IF(AND(K65&gt;asof,K65&lt;9999,N(S65)&lt;&gt;1,P65&gt;=dly_d2_y0,P65&lt;=dly_d2_y1),1,0)</f>
        <v>1</v>
      </c>
      <c r="S65" s="19" t="n">
        <f aca="false">IF(In!O246="","",In!O246)</f>
        <v>0</v>
      </c>
    </row>
    <row r="66" customFormat="false" ht="17.15" hidden="false" customHeight="false" outlineLevel="0" collapsed="false">
      <c r="A66" s="0" t="s">
        <v>749</v>
      </c>
      <c r="B66" s="19" t="str">
        <f aca="false">In!B247</f>
        <v>Google Kronstorf（奧地利）首期</v>
      </c>
      <c r="C66" s="19" t="str">
        <f aca="false">IF(In!H247="","",In!H247)</f>
        <v>googl</v>
      </c>
      <c r="D66" s="19" t="str">
        <f aca="false">IF(In!I247="","",In!I247)</f>
        <v>self</v>
      </c>
      <c r="E66" s="19" t="n">
        <f aca="false">IF(In!J247="","",In!J247)</f>
        <v>150</v>
      </c>
      <c r="F66" s="19" t="str">
        <f aca="false">In!C247</f>
        <v>設施</v>
      </c>
      <c r="G66" s="19" t="n">
        <f aca="false">IF(In!N247="","",In!N247)</f>
        <v>1</v>
      </c>
      <c r="H66" s="19" t="n">
        <f aca="false">IF(In!K247="","",In!K247)</f>
        <v>2027</v>
      </c>
      <c r="I66" s="19" t="n">
        <f aca="false">IF(In!L247="","",In!L247)</f>
        <v>12</v>
      </c>
      <c r="J66" s="19" t="n">
        <f aca="false">N(In!M247)</f>
        <v>0</v>
      </c>
      <c r="K66" s="24" t="n">
        <f aca="false">IF(OR(H66="",I66=""),9999,H66+I66/12)</f>
        <v>2028</v>
      </c>
      <c r="L66" s="24" t="n">
        <f aca="false">IF(E66="",0,IF(F66="設施",E66/1000/INDEX(Players!$D$13:$M$13,1,MAX(1,MIN(10,H66-2022))),E66/1000*g_ITtoFac))</f>
        <v>0.125</v>
      </c>
      <c r="M66" s="24" t="n">
        <f aca="false">K66</f>
        <v>2028</v>
      </c>
      <c r="N66" s="24" t="n">
        <f aca="false">IF(K66&gt;asof,K66+N(J66)/12,K66)</f>
        <v>2028</v>
      </c>
      <c r="O66" s="24" t="n">
        <f aca="false">IF(K66&gt;asof,K66+IF(N(J66)&gt;0,N(J66),dly_d1_m)/12,K66)</f>
        <v>2028.5</v>
      </c>
      <c r="P66" s="20" t="n">
        <f aca="false">IF(K66=9999,"",ROUNDUP(K66,0)-1)</f>
        <v>2027</v>
      </c>
      <c r="Q66" s="20" t="n">
        <f aca="false">IF(AND(N(G66)=1,K66&lt;9999,L66&gt;0),1,0)</f>
        <v>1</v>
      </c>
      <c r="R66" s="20" t="n">
        <f aca="false">IF(AND(K66&gt;asof,K66&lt;9999,N(S66)&lt;&gt;1,P66&gt;=dly_d2_y0,P66&lt;=dly_d2_y1),1,0)</f>
        <v>1</v>
      </c>
      <c r="S66" s="19" t="n">
        <f aca="false">IF(In!O247="","",In!O247)</f>
        <v>0</v>
      </c>
    </row>
    <row r="67" customFormat="false" ht="17.15" hidden="false" customHeight="false" outlineLevel="0" collapsed="false">
      <c r="A67" s="0" t="s">
        <v>752</v>
      </c>
      <c r="B67" s="19" t="str">
        <f aca="false">In!B248</f>
        <v>DataVita DV1 擴建（Glasgow；CoreWeave 承租）24→40</v>
      </c>
      <c r="C67" s="19" t="str">
        <f aca="false">IF(In!H248="","",In!H248)</f>
        <v>crwv</v>
      </c>
      <c r="D67" s="19" t="str">
        <f aca="false">IF(In!I248="","",In!I248)</f>
        <v/>
      </c>
      <c r="E67" s="19" t="n">
        <f aca="false">IF(In!J248="","",In!J248)</f>
        <v>16</v>
      </c>
      <c r="F67" s="19" t="str">
        <f aca="false">In!C248</f>
        <v>IT</v>
      </c>
      <c r="G67" s="19" t="n">
        <f aca="false">IF(In!N248="","",In!N248)</f>
        <v>1</v>
      </c>
      <c r="H67" s="19" t="n">
        <f aca="false">IF(In!K248="","",In!K248)</f>
        <v>2026</v>
      </c>
      <c r="I67" s="19" t="n">
        <f aca="false">IF(In!L248="","",In!L248)</f>
        <v>12</v>
      </c>
      <c r="J67" s="19" t="n">
        <f aca="false">N(In!M248)</f>
        <v>0</v>
      </c>
      <c r="K67" s="24" t="n">
        <f aca="false">IF(OR(H67="",I67=""),9999,H67+I67/12)</f>
        <v>2027</v>
      </c>
      <c r="L67" s="24" t="n">
        <f aca="false">IF(E67="",0,IF(F67="設施",E67/1000/INDEX(Players!$D$13:$M$13,1,MAX(1,MIN(10,H67-2022))),E67/1000*g_ITtoFac))</f>
        <v>0.016</v>
      </c>
      <c r="M67" s="24" t="n">
        <f aca="false">K67</f>
        <v>2027</v>
      </c>
      <c r="N67" s="24" t="n">
        <f aca="false">IF(K67&gt;asof,K67+N(J67)/12,K67)</f>
        <v>2027</v>
      </c>
      <c r="O67" s="24" t="n">
        <f aca="false">IF(K67&gt;asof,K67+IF(N(J67)&gt;0,N(J67),dly_d1_m)/12,K67)</f>
        <v>2027.5</v>
      </c>
      <c r="P67" s="20" t="n">
        <f aca="false">IF(K67=9999,"",ROUNDUP(K67,0)-1)</f>
        <v>2026</v>
      </c>
      <c r="Q67" s="20" t="n">
        <f aca="false">IF(AND(N(G67)=1,K67&lt;9999,L67&gt;0),1,0)</f>
        <v>1</v>
      </c>
      <c r="R67" s="20" t="n">
        <f aca="false">IF(AND(K67&gt;asof,K67&lt;9999,N(S67)&lt;&gt;1,P67&gt;=dly_d2_y0,P67&lt;=dly_d2_y1),1,0)</f>
        <v>0</v>
      </c>
      <c r="S67" s="19" t="n">
        <f aca="false">IF(In!O248="","",In!O248)</f>
        <v>0</v>
      </c>
    </row>
    <row r="68" customFormat="false" ht="17.15" hidden="false" customHeight="false" outlineLevel="0" collapsed="false">
      <c r="A68" s="0" t="s">
        <v>755</v>
      </c>
      <c r="B68" s="19" t="str">
        <f aca="false">In!B249</f>
        <v>Meta Sturgeon County（Alberta）首批</v>
      </c>
      <c r="C68" s="19" t="str">
        <f aca="false">IF(In!H249="","",In!H249)</f>
        <v>meta</v>
      </c>
      <c r="D68" s="19" t="str">
        <f aca="false">IF(In!I249="","",In!I249)</f>
        <v>meta</v>
      </c>
      <c r="E68" s="19" t="n">
        <f aca="false">IF(In!J249="","",In!J249)</f>
        <v>250</v>
      </c>
      <c r="F68" s="19" t="str">
        <f aca="false">In!C249</f>
        <v>設施</v>
      </c>
      <c r="G68" s="19" t="n">
        <f aca="false">IF(In!N249="","",In!N249)</f>
        <v>1</v>
      </c>
      <c r="H68" s="19" t="n">
        <f aca="false">IF(In!K249="","",In!K249)</f>
        <v>2028</v>
      </c>
      <c r="I68" s="19" t="n">
        <f aca="false">IF(In!L249="","",In!L249)</f>
        <v>12</v>
      </c>
      <c r="J68" s="19" t="n">
        <f aca="false">N(In!M249)</f>
        <v>0</v>
      </c>
      <c r="K68" s="24" t="n">
        <f aca="false">IF(OR(H68="",I68=""),9999,H68+I68/12)</f>
        <v>2029</v>
      </c>
      <c r="L68" s="24" t="n">
        <f aca="false">IF(E68="",0,IF(F68="設施",E68/1000/INDEX(Players!$D$13:$M$13,1,MAX(1,MIN(10,H68-2022))),E68/1000*g_ITtoFac))</f>
        <v>0.208333333333333</v>
      </c>
      <c r="M68" s="24" t="n">
        <f aca="false">K68</f>
        <v>2029</v>
      </c>
      <c r="N68" s="24" t="n">
        <f aca="false">IF(K68&gt;asof,K68+N(J68)/12,K68)</f>
        <v>2029</v>
      </c>
      <c r="O68" s="24" t="n">
        <f aca="false">IF(K68&gt;asof,K68+IF(N(J68)&gt;0,N(J68),dly_d1_m)/12,K68)</f>
        <v>2029.5</v>
      </c>
      <c r="P68" s="20" t="n">
        <f aca="false">IF(K68=9999,"",ROUNDUP(K68,0)-1)</f>
        <v>2028</v>
      </c>
      <c r="Q68" s="20" t="n">
        <f aca="false">IF(AND(N(G68)=1,K68&lt;9999,L68&gt;0),1,0)</f>
        <v>1</v>
      </c>
      <c r="R68" s="20" t="n">
        <f aca="false">IF(AND(K68&gt;asof,K68&lt;9999,N(S68)&lt;&gt;1,P68&gt;=dly_d2_y0,P68&lt;=dly_d2_y1),1,0)</f>
        <v>1</v>
      </c>
      <c r="S68" s="19" t="n">
        <f aca="false">IF(In!O249="","",In!O249)</f>
        <v>0</v>
      </c>
    </row>
    <row r="69" customFormat="false" ht="17.15" hidden="false" customHeight="false" outlineLevel="0" collapsed="false">
      <c r="A69" s="0" t="s">
        <v>758</v>
      </c>
      <c r="B69" s="19" t="str">
        <f aca="false">In!B250</f>
        <v>Meta Sturgeon County 其餘（970 − 250）</v>
      </c>
      <c r="C69" s="19" t="str">
        <f aca="false">IF(In!H250="","",In!H250)</f>
        <v>meta</v>
      </c>
      <c r="D69" s="19" t="str">
        <f aca="false">IF(In!I250="","",In!I250)</f>
        <v>meta</v>
      </c>
      <c r="E69" s="19" t="n">
        <f aca="false">IF(In!J250="","",In!J250)</f>
        <v>720</v>
      </c>
      <c r="F69" s="19" t="str">
        <f aca="false">In!C250</f>
        <v>設施</v>
      </c>
      <c r="G69" s="19" t="n">
        <f aca="false">IF(In!N250="","",In!N250)</f>
        <v>1</v>
      </c>
      <c r="H69" s="19" t="n">
        <f aca="false">IF(In!K250="","",In!K250)</f>
        <v>2029</v>
      </c>
      <c r="I69" s="19" t="n">
        <f aca="false">IF(In!L250="","",In!L250)</f>
        <v>7</v>
      </c>
      <c r="J69" s="19" t="n">
        <f aca="false">N(In!M250)</f>
        <v>0</v>
      </c>
      <c r="K69" s="24" t="n">
        <f aca="false">IF(OR(H69="",I69=""),9999,H69+I69/12)</f>
        <v>2029.58333333333</v>
      </c>
      <c r="L69" s="24" t="n">
        <f aca="false">IF(E69="",0,IF(F69="設施",E69/1000/INDEX(Players!$D$13:$M$13,1,MAX(1,MIN(10,H69-2022))),E69/1000*g_ITtoFac))</f>
        <v>0.6</v>
      </c>
      <c r="M69" s="24" t="n">
        <f aca="false">K69</f>
        <v>2029.58333333333</v>
      </c>
      <c r="N69" s="24" t="n">
        <f aca="false">IF(K69&gt;asof,K69+N(J69)/12,K69)</f>
        <v>2029.58333333333</v>
      </c>
      <c r="O69" s="24" t="n">
        <f aca="false">IF(K69&gt;asof,K69+IF(N(J69)&gt;0,N(J69),dly_d1_m)/12,K69)</f>
        <v>2030.08333333333</v>
      </c>
      <c r="P69" s="20" t="n">
        <f aca="false">IF(K69=9999,"",ROUNDUP(K69,0)-1)</f>
        <v>2029</v>
      </c>
      <c r="Q69" s="20" t="n">
        <f aca="false">IF(AND(N(G69)=1,K69&lt;9999,L69&gt;0),1,0)</f>
        <v>1</v>
      </c>
      <c r="R69" s="20" t="n">
        <f aca="false">IF(AND(K69&gt;asof,K69&lt;9999,N(S69)&lt;&gt;1,P69&gt;=dly_d2_y0,P69&lt;=dly_d2_y1),1,0)</f>
        <v>0</v>
      </c>
      <c r="S69" s="19" t="n">
        <f aca="false">IF(In!O250="","",In!O250)</f>
        <v>0</v>
      </c>
    </row>
    <row r="70" customFormat="false" ht="17.15" hidden="false" customHeight="false" outlineLevel="0" collapsed="false">
      <c r="A70" s="0" t="s">
        <v>761</v>
      </c>
      <c r="B70" s="19" t="str">
        <f aca="false">In!B251</f>
        <v>DataVita DV3（CoreWeave 獨租）</v>
      </c>
      <c r="C70" s="19" t="str">
        <f aca="false">IF(In!H251="","",In!H251)</f>
        <v>crwv</v>
      </c>
      <c r="D70" s="19" t="str">
        <f aca="false">IF(In!I251="","",In!I251)</f>
        <v/>
      </c>
      <c r="E70" s="19" t="n">
        <f aca="false">IF(In!J251="","",In!J251)</f>
        <v>40</v>
      </c>
      <c r="F70" s="19" t="str">
        <f aca="false">In!C251</f>
        <v>未說明</v>
      </c>
      <c r="G70" s="19" t="n">
        <f aca="false">IF(In!N251="","",In!N251)</f>
        <v>0</v>
      </c>
      <c r="H70" s="19" t="n">
        <f aca="false">IF(In!K251="","",In!K251)</f>
        <v>2027</v>
      </c>
      <c r="I70" s="19" t="n">
        <f aca="false">IF(In!L251="","",In!L251)</f>
        <v>9</v>
      </c>
      <c r="J70" s="19" t="n">
        <f aca="false">N(In!M251)</f>
        <v>0</v>
      </c>
      <c r="K70" s="24" t="n">
        <f aca="false">IF(OR(H70="",I70=""),9999,H70+I70/12)</f>
        <v>2027.75</v>
      </c>
      <c r="L70" s="24" t="n">
        <f aca="false">IF(E70="",0,IF(F70="設施",E70/1000/INDEX(Players!$D$13:$M$13,1,MAX(1,MIN(10,H70-2022))),E70/1000*g_ITtoFac))</f>
        <v>0.04</v>
      </c>
      <c r="M70" s="24" t="n">
        <f aca="false">K70</f>
        <v>2027.75</v>
      </c>
      <c r="N70" s="24" t="n">
        <f aca="false">IF(K70&gt;asof,K70+N(J70)/12,K70)</f>
        <v>2027.75</v>
      </c>
      <c r="O70" s="24" t="n">
        <f aca="false">IF(K70&gt;asof,K70+IF(N(J70)&gt;0,N(J70),dly_d1_m)/12,K70)</f>
        <v>2028.25</v>
      </c>
      <c r="P70" s="20" t="n">
        <f aca="false">IF(K70=9999,"",ROUNDUP(K70,0)-1)</f>
        <v>2027</v>
      </c>
      <c r="Q70" s="20" t="n">
        <f aca="false">IF(AND(N(G70)=1,K70&lt;9999,L70&gt;0),1,0)</f>
        <v>0</v>
      </c>
      <c r="R70" s="20" t="n">
        <f aca="false">IF(AND(K70&gt;asof,K70&lt;9999,N(S70)&lt;&gt;1,P70&gt;=dly_d2_y0,P70&lt;=dly_d2_y1),1,0)</f>
        <v>1</v>
      </c>
      <c r="S70" s="19" t="n">
        <f aca="false">IF(In!O251="","",In!O251)</f>
        <v>0</v>
      </c>
    </row>
    <row r="71" customFormat="false" ht="17.15" hidden="false" customHeight="false" outlineLevel="0" collapsed="false">
      <c r="A71" s="0" t="s">
        <v>764</v>
      </c>
      <c r="B71" s="19" t="str">
        <f aca="false">In!B252</f>
        <v>GreenSquareDC SYD1 首期（Sharon AI）</v>
      </c>
      <c r="C71" s="19" t="str">
        <f aca="false">IF(In!H252="","",In!H252)</f>
        <v>neo</v>
      </c>
      <c r="D71" s="19" t="str">
        <f aca="false">IF(In!I252="","",In!I252)</f>
        <v/>
      </c>
      <c r="E71" s="19" t="n">
        <f aca="false">IF(In!J252="","",In!J252)</f>
        <v>15</v>
      </c>
      <c r="F71" s="19" t="str">
        <f aca="false">In!C252</f>
        <v>未說明</v>
      </c>
      <c r="G71" s="19" t="n">
        <f aca="false">IF(In!N252="","",In!N252)</f>
        <v>0</v>
      </c>
      <c r="H71" s="19" t="n">
        <f aca="false">IF(In!K252="","",In!K252)</f>
        <v>2026</v>
      </c>
      <c r="I71" s="19" t="n">
        <f aca="false">IF(In!L252="","",In!L252)</f>
        <v>10</v>
      </c>
      <c r="J71" s="19" t="n">
        <f aca="false">N(In!M252)</f>
        <v>0</v>
      </c>
      <c r="K71" s="24" t="n">
        <f aca="false">IF(OR(H71="",I71=""),9999,H71+I71/12)</f>
        <v>2026.83333333333</v>
      </c>
      <c r="L71" s="24" t="n">
        <f aca="false">IF(E71="",0,IF(F71="設施",E71/1000/INDEX(Players!$D$13:$M$13,1,MAX(1,MIN(10,H71-2022))),E71/1000*g_ITtoFac))</f>
        <v>0.015</v>
      </c>
      <c r="M71" s="24" t="n">
        <f aca="false">K71</f>
        <v>2026.83333333333</v>
      </c>
      <c r="N71" s="24" t="n">
        <f aca="false">IF(K71&gt;asof,K71+N(J71)/12,K71)</f>
        <v>2026.83333333333</v>
      </c>
      <c r="O71" s="24" t="n">
        <f aca="false">IF(K71&gt;asof,K71+IF(N(J71)&gt;0,N(J71),dly_d1_m)/12,K71)</f>
        <v>2027.33333333333</v>
      </c>
      <c r="P71" s="20" t="n">
        <f aca="false">IF(K71=9999,"",ROUNDUP(K71,0)-1)</f>
        <v>2026</v>
      </c>
      <c r="Q71" s="20" t="n">
        <f aca="false">IF(AND(N(G71)=1,K71&lt;9999,L71&gt;0),1,0)</f>
        <v>0</v>
      </c>
      <c r="R71" s="20" t="n">
        <f aca="false">IF(AND(K71&gt;asof,K71&lt;9999,N(S71)&lt;&gt;1,P71&gt;=dly_d2_y0,P71&lt;=dly_d2_y1),1,0)</f>
        <v>0</v>
      </c>
      <c r="S71" s="19" t="n">
        <f aca="false">IF(In!O252="","",In!O252)</f>
        <v>0</v>
      </c>
    </row>
    <row r="72" customFormat="false" ht="17.15" hidden="false" customHeight="false" outlineLevel="0" collapsed="false">
      <c r="A72" s="0" t="s">
        <v>767</v>
      </c>
      <c r="B72" s="19" t="str">
        <f aca="false">In!B253</f>
        <v>AdaniConneX Taloja（CoreWeave 獨租）</v>
      </c>
      <c r="C72" s="19" t="str">
        <f aca="false">IF(In!H253="","",In!H253)</f>
        <v>crwv</v>
      </c>
      <c r="D72" s="19" t="str">
        <f aca="false">IF(In!I253="","",In!I253)</f>
        <v/>
      </c>
      <c r="E72" s="19" t="n">
        <f aca="false">IF(In!J253="","",In!J253)</f>
        <v>240</v>
      </c>
      <c r="F72" s="19" t="str">
        <f aca="false">In!C253</f>
        <v>未說明</v>
      </c>
      <c r="G72" s="19" t="n">
        <f aca="false">IF(In!N253="","",In!N253)</f>
        <v>0</v>
      </c>
      <c r="H72" s="19" t="n">
        <f aca="false">IF(In!K253="","",In!K253)</f>
        <v>2028</v>
      </c>
      <c r="I72" s="19" t="n">
        <f aca="false">IF(In!L253="","",In!L253)</f>
        <v>12</v>
      </c>
      <c r="J72" s="19" t="n">
        <f aca="false">N(In!M253)</f>
        <v>0</v>
      </c>
      <c r="K72" s="24" t="n">
        <f aca="false">IF(OR(H72="",I72=""),9999,H72+I72/12)</f>
        <v>2029</v>
      </c>
      <c r="L72" s="24" t="n">
        <f aca="false">IF(E72="",0,IF(F72="設施",E72/1000/INDEX(Players!$D$13:$M$13,1,MAX(1,MIN(10,H72-2022))),E72/1000*g_ITtoFac))</f>
        <v>0.24</v>
      </c>
      <c r="M72" s="24" t="n">
        <f aca="false">K72</f>
        <v>2029</v>
      </c>
      <c r="N72" s="24" t="n">
        <f aca="false">IF(K72&gt;asof,K72+N(J72)/12,K72)</f>
        <v>2029</v>
      </c>
      <c r="O72" s="24" t="n">
        <f aca="false">IF(K72&gt;asof,K72+IF(N(J72)&gt;0,N(J72),dly_d1_m)/12,K72)</f>
        <v>2029.5</v>
      </c>
      <c r="P72" s="20" t="n">
        <f aca="false">IF(K72=9999,"",ROUNDUP(K72,0)-1)</f>
        <v>2028</v>
      </c>
      <c r="Q72" s="20" t="n">
        <f aca="false">IF(AND(N(G72)=1,K72&lt;9999,L72&gt;0),1,0)</f>
        <v>0</v>
      </c>
      <c r="R72" s="20" t="n">
        <f aca="false">IF(AND(K72&gt;asof,K72&lt;9999,N(S72)&lt;&gt;1,P72&gt;=dly_d2_y0,P72&lt;=dly_d2_y1),1,0)</f>
        <v>1</v>
      </c>
      <c r="S72" s="19" t="n">
        <f aca="false">IF(In!O253="","",In!O253)</f>
        <v>0</v>
      </c>
    </row>
    <row r="73" customFormat="false" ht="17.15" hidden="false" customHeight="false" outlineLevel="0" collapsed="false">
      <c r="A73" s="0" t="s">
        <v>770</v>
      </c>
      <c r="B73" s="19" t="str">
        <f aca="false">In!B254</f>
        <v>True IDC（泰國；稱 Microsoft 承租）</v>
      </c>
      <c r="C73" s="19" t="str">
        <f aca="false">IF(In!H254="","",In!H254)</f>
        <v>oth</v>
      </c>
      <c r="D73" s="19" t="str">
        <f aca="false">IF(In!I254="","",In!I254)</f>
        <v>msft</v>
      </c>
      <c r="E73" s="19" t="n">
        <f aca="false">IF(In!J254="","",In!J254)</f>
        <v>250</v>
      </c>
      <c r="F73" s="19" t="str">
        <f aca="false">In!C254</f>
        <v>未說明</v>
      </c>
      <c r="G73" s="19" t="n">
        <f aca="false">IF(In!N254="","",In!N254)</f>
        <v>0</v>
      </c>
      <c r="H73" s="19" t="n">
        <f aca="false">IF(In!K254="","",In!K254)</f>
        <v>2027</v>
      </c>
      <c r="I73" s="19" t="n">
        <f aca="false">IF(In!L254="","",In!L254)</f>
        <v>12</v>
      </c>
      <c r="J73" s="19" t="n">
        <f aca="false">N(In!M254)</f>
        <v>0</v>
      </c>
      <c r="K73" s="24" t="n">
        <f aca="false">IF(OR(H73="",I73=""),9999,H73+I73/12)</f>
        <v>2028</v>
      </c>
      <c r="L73" s="24" t="n">
        <f aca="false">IF(E73="",0,IF(F73="設施",E73/1000/INDEX(Players!$D$13:$M$13,1,MAX(1,MIN(10,H73-2022))),E73/1000*g_ITtoFac))</f>
        <v>0.25</v>
      </c>
      <c r="M73" s="24" t="n">
        <f aca="false">K73</f>
        <v>2028</v>
      </c>
      <c r="N73" s="24" t="n">
        <f aca="false">IF(K73&gt;asof,K73+N(J73)/12,K73)</f>
        <v>2028</v>
      </c>
      <c r="O73" s="24" t="n">
        <f aca="false">IF(K73&gt;asof,K73+IF(N(J73)&gt;0,N(J73),dly_d1_m)/12,K73)</f>
        <v>2028.5</v>
      </c>
      <c r="P73" s="20" t="n">
        <f aca="false">IF(K73=9999,"",ROUNDUP(K73,0)-1)</f>
        <v>2027</v>
      </c>
      <c r="Q73" s="20" t="n">
        <f aca="false">IF(AND(N(G73)=1,K73&lt;9999,L73&gt;0),1,0)</f>
        <v>0</v>
      </c>
      <c r="R73" s="20" t="n">
        <f aca="false">IF(AND(K73&gt;asof,K73&lt;9999,N(S73)&lt;&gt;1,P73&gt;=dly_d2_y0,P73&lt;=dly_d2_y1),1,0)</f>
        <v>1</v>
      </c>
      <c r="S73" s="19" t="n">
        <f aca="false">IF(In!O254="","",In!O254)</f>
        <v>0</v>
      </c>
    </row>
    <row r="74" customFormat="false" ht="17.15" hidden="false" customHeight="false" outlineLevel="0" collapsed="false">
      <c r="A74" s="0" t="s">
        <v>773</v>
      </c>
      <c r="B74" s="19" t="str">
        <f aca="false">In!B255</f>
        <v>西班牙 AI Gigafactory 第一期</v>
      </c>
      <c r="C74" s="19" t="str">
        <f aca="false">IF(In!H255="","",In!H255)</f>
        <v>sov</v>
      </c>
      <c r="D74" s="19" t="str">
        <f aca="false">IF(In!I255="","",In!I255)</f>
        <v/>
      </c>
      <c r="E74" s="19" t="n">
        <f aca="false">IF(In!J255="","",In!J255)</f>
        <v>55</v>
      </c>
      <c r="F74" s="19" t="str">
        <f aca="false">In!C255</f>
        <v>設施</v>
      </c>
      <c r="G74" s="19" t="n">
        <f aca="false">IF(In!N255="","",In!N255)</f>
        <v>0</v>
      </c>
      <c r="H74" s="19" t="n">
        <f aca="false">IF(In!K255="","",In!K255)</f>
        <v>2028</v>
      </c>
      <c r="I74" s="19" t="n">
        <f aca="false">IF(In!L255="","",In!L255)</f>
        <v>12</v>
      </c>
      <c r="J74" s="19" t="n">
        <f aca="false">N(In!M255)</f>
        <v>0</v>
      </c>
      <c r="K74" s="24" t="n">
        <f aca="false">IF(OR(H74="",I74=""),9999,H74+I74/12)</f>
        <v>2029</v>
      </c>
      <c r="L74" s="24" t="n">
        <f aca="false">IF(E74="",0,IF(F74="設施",E74/1000/INDEX(Players!$D$13:$M$13,1,MAX(1,MIN(10,H74-2022))),E74/1000*g_ITtoFac))</f>
        <v>0.0458333333333333</v>
      </c>
      <c r="M74" s="24" t="n">
        <f aca="false">K74</f>
        <v>2029</v>
      </c>
      <c r="N74" s="24" t="n">
        <f aca="false">IF(K74&gt;asof,K74+N(J74)/12,K74)</f>
        <v>2029</v>
      </c>
      <c r="O74" s="24" t="n">
        <f aca="false">IF(K74&gt;asof,K74+IF(N(J74)&gt;0,N(J74),dly_d1_m)/12,K74)</f>
        <v>2029.5</v>
      </c>
      <c r="P74" s="20" t="n">
        <f aca="false">IF(K74=9999,"",ROUNDUP(K74,0)-1)</f>
        <v>2028</v>
      </c>
      <c r="Q74" s="20" t="n">
        <f aca="false">IF(AND(N(G74)=1,K74&lt;9999,L74&gt;0),1,0)</f>
        <v>0</v>
      </c>
      <c r="R74" s="20" t="n">
        <f aca="false">IF(AND(K74&gt;asof,K74&lt;9999,N(S74)&lt;&gt;1,P74&gt;=dly_d2_y0,P74&lt;=dly_d2_y1),1,0)</f>
        <v>1</v>
      </c>
      <c r="S74" s="19" t="n">
        <f aca="false">IF(In!O255="","",In!O255)</f>
        <v>0</v>
      </c>
    </row>
    <row r="76" customFormat="false" ht="17.15" hidden="false" customHeight="false" outlineLevel="0" collapsed="false">
      <c r="A76" s="8" t="s">
        <v>1363</v>
      </c>
    </row>
    <row r="77" customFormat="false" ht="15" hidden="false" customHeight="false" outlineLevel="0" collapsed="false">
      <c r="A77" s="6" t="s">
        <v>1364</v>
      </c>
      <c r="B77" s="6" t="s">
        <v>15</v>
      </c>
      <c r="C77" s="6" t="s">
        <v>1365</v>
      </c>
      <c r="D77" s="7" t="s">
        <v>22</v>
      </c>
      <c r="E77" s="7" t="s">
        <v>23</v>
      </c>
      <c r="F77" s="7" t="s">
        <v>24</v>
      </c>
      <c r="G77" s="7" t="s">
        <v>25</v>
      </c>
      <c r="H77" s="7" t="s">
        <v>26</v>
      </c>
      <c r="I77" s="7" t="s">
        <v>27</v>
      </c>
      <c r="J77" s="7" t="s">
        <v>28</v>
      </c>
      <c r="K77" s="7" t="s">
        <v>29</v>
      </c>
      <c r="L77" s="7" t="s">
        <v>30</v>
      </c>
      <c r="M77" s="7" t="s">
        <v>31</v>
      </c>
    </row>
    <row r="78" customFormat="false" ht="17.15" hidden="false" customHeight="false" outlineLevel="0" collapsed="false">
      <c r="A78" s="0" t="s">
        <v>1333</v>
      </c>
      <c r="B78" s="0" t="s">
        <v>507</v>
      </c>
      <c r="C78" s="5" t="s">
        <v>1366</v>
      </c>
      <c r="E78" s="24" t="n">
        <f aca="false">Players!E36-SUMIFS($L$5:$L$74,$C$5:$C$74,"msft",$Q$5:$Q$74,1,$P$5:$P$74,2024)</f>
        <v>0</v>
      </c>
      <c r="F78" s="24" t="n">
        <f aca="false">Players!F36-SUMIFS($L$5:$L$74,$C$5:$C$74,"msft",$Q$5:$Q$74,1,$P$5:$P$74,2025)</f>
        <v>1.81427</v>
      </c>
      <c r="G78" s="24" t="n">
        <f aca="false">Players!G36-SUMIFS($L$5:$L$74,$C$5:$C$74,"msft",$Q$5:$Q$74,1,$P$5:$P$74,2026)</f>
        <v>0.0869549999999999</v>
      </c>
      <c r="H78" s="24" t="n">
        <f aca="false">Players!H36-SUMIFS($L$5:$L$74,$C$5:$C$74,"msft",$Q$5:$Q$74,1,$P$5:$P$74,2027)</f>
        <v>0</v>
      </c>
      <c r="I78" s="24" t="n">
        <f aca="false">Players!I36-SUMIFS($L$5:$L$74,$C$5:$C$74,"msft",$Q$5:$Q$74,1,$P$5:$P$74,2028)</f>
        <v>0</v>
      </c>
      <c r="J78" s="24" t="n">
        <f aca="false">Players!J36-SUMIFS($L$5:$L$74,$C$5:$C$74,"msft",$Q$5:$Q$74,1,$P$5:$P$74,2029)</f>
        <v>0</v>
      </c>
      <c r="K78" s="24" t="n">
        <f aca="false">Players!K36-SUMIFS($L$5:$L$74,$C$5:$C$74,"msft",$Q$5:$Q$74,1,$P$5:$P$74,2030)</f>
        <v>0</v>
      </c>
      <c r="L78" s="24" t="n">
        <f aca="false">Players!L36-SUMIFS($L$5:$L$74,$C$5:$C$74,"msft",$Q$5:$Q$74,1,$P$5:$P$74,2031)</f>
        <v>0</v>
      </c>
      <c r="M78" s="24" t="n">
        <f aca="false">Players!M36-SUMIFS($L$5:$L$74,$C$5:$C$74,"msft",$Q$5:$Q$74,1,$P$5:$P$74,2032)</f>
        <v>0</v>
      </c>
    </row>
    <row r="79" customFormat="false" ht="17.15" hidden="false" customHeight="false" outlineLevel="0" collapsed="false">
      <c r="A79" s="0" t="s">
        <v>1334</v>
      </c>
      <c r="B79" s="0" t="s">
        <v>512</v>
      </c>
      <c r="C79" s="5" t="s">
        <v>1366</v>
      </c>
      <c r="E79" s="24" t="n">
        <f aca="false">Players!E55-SUMIFS($L$5:$L$74,$C$5:$C$74,"googl",$Q$5:$Q$74,1,$P$5:$P$74,2024)</f>
        <v>1.32980834349181</v>
      </c>
      <c r="F79" s="24" t="n">
        <f aca="false">Players!F55-SUMIFS($L$5:$L$74,$C$5:$C$74,"googl",$Q$5:$Q$74,1,$P$5:$P$74,2025)</f>
        <v>2.40961330082622</v>
      </c>
      <c r="G79" s="24" t="n">
        <f aca="false">Players!G55-SUMIFS($L$5:$L$74,$C$5:$C$74,"googl",$Q$5:$Q$74,1,$P$5:$P$74,2026)</f>
        <v>1.29267912772586</v>
      </c>
      <c r="H79" s="24" t="n">
        <f aca="false">Players!H55-SUMIFS($L$5:$L$74,$C$5:$C$74,"googl",$Q$5:$Q$74,1,$P$5:$P$74,2027)</f>
        <v>0</v>
      </c>
      <c r="I79" s="24" t="n">
        <f aca="false">Players!I55-SUMIFS($L$5:$L$74,$C$5:$C$74,"googl",$Q$5:$Q$74,1,$P$5:$P$74,2028)</f>
        <v>0</v>
      </c>
      <c r="J79" s="24" t="n">
        <f aca="false">Players!J55-SUMIFS($L$5:$L$74,$C$5:$C$74,"googl",$Q$5:$Q$74,1,$P$5:$P$74,2029)</f>
        <v>0</v>
      </c>
      <c r="K79" s="24" t="n">
        <f aca="false">Players!K55-SUMIFS($L$5:$L$74,$C$5:$C$74,"googl",$Q$5:$Q$74,1,$P$5:$P$74,2030)</f>
        <v>0</v>
      </c>
      <c r="L79" s="24" t="n">
        <f aca="false">Players!L55-SUMIFS($L$5:$L$74,$C$5:$C$74,"googl",$Q$5:$Q$74,1,$P$5:$P$74,2031)</f>
        <v>0</v>
      </c>
      <c r="M79" s="24" t="n">
        <f aca="false">Players!M55-SUMIFS($L$5:$L$74,$C$5:$C$74,"googl",$Q$5:$Q$74,1,$P$5:$P$74,2032)</f>
        <v>0</v>
      </c>
    </row>
    <row r="80" customFormat="false" ht="17.15" hidden="false" customHeight="false" outlineLevel="0" collapsed="false">
      <c r="A80" s="0" t="s">
        <v>1335</v>
      </c>
      <c r="B80" s="0" t="s">
        <v>520</v>
      </c>
      <c r="C80" s="5" t="s">
        <v>1366</v>
      </c>
      <c r="E80" s="24" t="n">
        <f aca="false">Players!E74-SUMIFS($L$5:$L$74,$C$5:$C$74,"amzn",$Q$5:$Q$74,1,$P$5:$P$74,2024)</f>
        <v>0</v>
      </c>
      <c r="F80" s="24" t="n">
        <f aca="false">Players!F74-SUMIFS($L$5:$L$74,$C$5:$C$74,"amzn",$Q$5:$Q$74,1,$P$5:$P$74,2025)</f>
        <v>1.38971599402093</v>
      </c>
      <c r="G80" s="24" t="n">
        <f aca="false">Players!G74-SUMIFS($L$5:$L$74,$C$5:$C$74,"amzn",$Q$5:$Q$74,1,$P$5:$P$74,2026)</f>
        <v>0.4</v>
      </c>
      <c r="H80" s="24" t="n">
        <f aca="false">Players!H74-SUMIFS($L$5:$L$74,$C$5:$C$74,"amzn",$Q$5:$Q$74,1,$P$5:$P$74,2027)</f>
        <v>0</v>
      </c>
      <c r="I80" s="24" t="n">
        <f aca="false">Players!I74-SUMIFS($L$5:$L$74,$C$5:$C$74,"amzn",$Q$5:$Q$74,1,$P$5:$P$74,2028)</f>
        <v>0</v>
      </c>
      <c r="J80" s="24" t="n">
        <f aca="false">Players!J74-SUMIFS($L$5:$L$74,$C$5:$C$74,"amzn",$Q$5:$Q$74,1,$P$5:$P$74,2029)</f>
        <v>2.77555756156289E-016</v>
      </c>
      <c r="K80" s="24" t="n">
        <f aca="false">Players!K74-SUMIFS($L$5:$L$74,$C$5:$C$74,"amzn",$Q$5:$Q$74,1,$P$5:$P$74,2030)</f>
        <v>0</v>
      </c>
      <c r="L80" s="24" t="n">
        <f aca="false">Players!L74-SUMIFS($L$5:$L$74,$C$5:$C$74,"amzn",$Q$5:$Q$74,1,$P$5:$P$74,2031)</f>
        <v>0</v>
      </c>
      <c r="M80" s="24" t="n">
        <f aca="false">Players!M74-SUMIFS($L$5:$L$74,$C$5:$C$74,"amzn",$Q$5:$Q$74,1,$P$5:$P$74,2032)</f>
        <v>0</v>
      </c>
    </row>
    <row r="81" customFormat="false" ht="15" hidden="false" customHeight="false" outlineLevel="0" collapsed="false">
      <c r="A81" s="0" t="s">
        <v>1070</v>
      </c>
      <c r="B81" s="0" t="s">
        <v>527</v>
      </c>
      <c r="C81" s="5" t="s">
        <v>1366</v>
      </c>
      <c r="E81" s="24" t="n">
        <f aca="false">Players!E93-SUMIFS($L$5:$L$74,$C$5:$C$74,"meta",$Q$5:$Q$74,1,$P$5:$P$74,2024)</f>
        <v>0</v>
      </c>
      <c r="F81" s="24" t="n">
        <f aca="false">Players!F93-SUMIFS($L$5:$L$74,$C$5:$C$74,"meta",$Q$5:$Q$74,1,$P$5:$P$74,2025)</f>
        <v>1.50812</v>
      </c>
      <c r="G81" s="24" t="n">
        <f aca="false">Players!G93-SUMIFS($L$5:$L$74,$C$5:$C$74,"meta",$Q$5:$Q$74,1,$P$5:$P$74,2026)</f>
        <v>0</v>
      </c>
      <c r="H81" s="24" t="n">
        <f aca="false">Players!H93-SUMIFS($L$5:$L$74,$C$5:$C$74,"meta",$Q$5:$Q$74,1,$P$5:$P$74,2027)</f>
        <v>0</v>
      </c>
      <c r="I81" s="24" t="n">
        <f aca="false">Players!I93-SUMIFS($L$5:$L$74,$C$5:$C$74,"meta",$Q$5:$Q$74,1,$P$5:$P$74,2028)</f>
        <v>0</v>
      </c>
      <c r="J81" s="24" t="n">
        <f aca="false">Players!J93-SUMIFS($L$5:$L$74,$C$5:$C$74,"meta",$Q$5:$Q$74,1,$P$5:$P$74,2029)</f>
        <v>0</v>
      </c>
      <c r="K81" s="24" t="n">
        <f aca="false">Players!K93-SUMIFS($L$5:$L$74,$C$5:$C$74,"meta",$Q$5:$Q$74,1,$P$5:$P$74,2030)</f>
        <v>0</v>
      </c>
      <c r="L81" s="24" t="n">
        <f aca="false">Players!L93-SUMIFS($L$5:$L$74,$C$5:$C$74,"meta",$Q$5:$Q$74,1,$P$5:$P$74,2031)</f>
        <v>0</v>
      </c>
      <c r="M81" s="24" t="n">
        <f aca="false">Players!M93-SUMIFS($L$5:$L$74,$C$5:$C$74,"meta",$Q$5:$Q$74,1,$P$5:$P$74,2032)</f>
        <v>0</v>
      </c>
    </row>
    <row r="82" customFormat="false" ht="17.15" hidden="false" customHeight="false" outlineLevel="0" collapsed="false">
      <c r="A82" s="0" t="s">
        <v>1336</v>
      </c>
      <c r="B82" s="0" t="s">
        <v>531</v>
      </c>
      <c r="C82" s="5" t="s">
        <v>1366</v>
      </c>
      <c r="E82" s="24" t="n">
        <f aca="false">Players!E112-SUMIFS($L$5:$L$74,$C$5:$C$74,"orcl",$Q$5:$Q$74,1,$P$5:$P$74,2024)</f>
        <v>0</v>
      </c>
      <c r="F82" s="24" t="n">
        <f aca="false">Players!F112-SUMIFS($L$5:$L$74,$C$5:$C$74,"orcl",$Q$5:$Q$74,1,$P$5:$P$74,2025)</f>
        <v>0.816405</v>
      </c>
      <c r="G82" s="24" t="n">
        <f aca="false">Players!G112-SUMIFS($L$5:$L$74,$C$5:$C$74,"orcl",$Q$5:$Q$74,1,$P$5:$P$74,2026)</f>
        <v>1.34013</v>
      </c>
      <c r="H82" s="24" t="n">
        <f aca="false">Players!H112-SUMIFS($L$5:$L$74,$C$5:$C$74,"orcl",$Q$5:$Q$74,1,$P$5:$P$74,2027)</f>
        <v>0</v>
      </c>
      <c r="I82" s="24" t="n">
        <f aca="false">Players!I112-SUMIFS($L$5:$L$74,$C$5:$C$74,"orcl",$Q$5:$Q$74,1,$P$5:$P$74,2028)</f>
        <v>0</v>
      </c>
      <c r="J82" s="24" t="n">
        <f aca="false">Players!J112-SUMIFS($L$5:$L$74,$C$5:$C$74,"orcl",$Q$5:$Q$74,1,$P$5:$P$74,2029)</f>
        <v>0</v>
      </c>
      <c r="K82" s="24" t="n">
        <f aca="false">Players!K112-SUMIFS($L$5:$L$74,$C$5:$C$74,"orcl",$Q$5:$Q$74,1,$P$5:$P$74,2030)</f>
        <v>0</v>
      </c>
      <c r="L82" s="24" t="n">
        <f aca="false">Players!L112-SUMIFS($L$5:$L$74,$C$5:$C$74,"orcl",$Q$5:$Q$74,1,$P$5:$P$74,2031)</f>
        <v>0</v>
      </c>
      <c r="M82" s="24" t="n">
        <f aca="false">Players!M112-SUMIFS($L$5:$L$74,$C$5:$C$74,"orcl",$Q$5:$Q$74,1,$P$5:$P$74,2032)</f>
        <v>0</v>
      </c>
    </row>
    <row r="83" customFormat="false" ht="15" hidden="false" customHeight="false" outlineLevel="0" collapsed="false">
      <c r="A83" s="0" t="s">
        <v>1108</v>
      </c>
      <c r="B83" s="0" t="s">
        <v>621</v>
      </c>
      <c r="C83" s="5" t="s">
        <v>1366</v>
      </c>
      <c r="E83" s="24" t="n">
        <f aca="false">Players!E131-SUMIFS($L$5:$L$74,$C$5:$C$74,"crwv",$Q$5:$Q$74,1,$P$5:$P$74,2024)</f>
        <v>0.29</v>
      </c>
      <c r="F83" s="24" t="n">
        <f aca="false">Players!F131-SUMIFS($L$5:$L$74,$C$5:$C$74,"crwv",$Q$5:$Q$74,1,$P$5:$P$74,2025)</f>
        <v>0.49</v>
      </c>
      <c r="G83" s="24" t="n">
        <f aca="false">Players!G131-SUMIFS($L$5:$L$74,$C$5:$C$74,"crwv",$Q$5:$Q$74,1,$P$5:$P$74,2026)</f>
        <v>0.984</v>
      </c>
      <c r="H83" s="24" t="n">
        <f aca="false">Players!H131-SUMIFS($L$5:$L$74,$C$5:$C$74,"crwv",$Q$5:$Q$74,1,$P$5:$P$74,2027)</f>
        <v>1.2775</v>
      </c>
      <c r="I83" s="24" t="n">
        <f aca="false">Players!I131-SUMIFS($L$5:$L$74,$C$5:$C$74,"crwv",$Q$5:$Q$74,1,$P$5:$P$74,2028)</f>
        <v>1.5375</v>
      </c>
      <c r="J83" s="24" t="n">
        <f aca="false">Players!J131-SUMIFS($L$5:$L$74,$C$5:$C$74,"crwv",$Q$5:$Q$74,1,$P$5:$P$74,2029)</f>
        <v>1.5375</v>
      </c>
      <c r="K83" s="24" t="n">
        <f aca="false">Players!K131-SUMIFS($L$5:$L$74,$C$5:$C$74,"crwv",$Q$5:$Q$74,1,$P$5:$P$74,2030)</f>
        <v>1.5375</v>
      </c>
      <c r="L83" s="24" t="n">
        <f aca="false">Players!L131-SUMIFS($L$5:$L$74,$C$5:$C$74,"crwv",$Q$5:$Q$74,1,$P$5:$P$74,2031)</f>
        <v>0</v>
      </c>
      <c r="M83" s="24" t="n">
        <f aca="false">Players!M131-SUMIFS($L$5:$L$74,$C$5:$C$74,"crwv",$Q$5:$Q$74,1,$P$5:$P$74,2032)</f>
        <v>0</v>
      </c>
    </row>
    <row r="84" customFormat="false" ht="15" hidden="false" customHeight="false" outlineLevel="0" collapsed="false">
      <c r="A84" s="0" t="s">
        <v>1127</v>
      </c>
      <c r="B84" s="0" t="s">
        <v>652</v>
      </c>
      <c r="C84" s="5" t="s">
        <v>1366</v>
      </c>
      <c r="E84" s="24" t="n">
        <f aca="false">Players!E150-SUMIFS($L$5:$L$74,$C$5:$C$74,"nbis",$Q$5:$Q$74,1,$P$5:$P$74,2024)</f>
        <v>0</v>
      </c>
      <c r="F84" s="24" t="n">
        <f aca="false">Players!F150-SUMIFS($L$5:$L$74,$C$5:$C$74,"nbis",$Q$5:$Q$74,1,$P$5:$P$74,2025)</f>
        <v>0</v>
      </c>
      <c r="G84" s="24" t="n">
        <f aca="false">Players!G150-SUMIFS($L$5:$L$74,$C$5:$C$74,"nbis",$Q$5:$Q$74,1,$P$5:$P$74,2026)</f>
        <v>0.73</v>
      </c>
      <c r="H84" s="24" t="n">
        <f aca="false">Players!H150-SUMIFS($L$5:$L$74,$C$5:$C$74,"nbis",$Q$5:$Q$74,1,$P$5:$P$74,2027)</f>
        <v>0</v>
      </c>
      <c r="I84" s="24" t="n">
        <f aca="false">Players!I150-SUMIFS($L$5:$L$74,$C$5:$C$74,"nbis",$Q$5:$Q$74,1,$P$5:$P$74,2028)</f>
        <v>0</v>
      </c>
      <c r="J84" s="24" t="n">
        <f aca="false">Players!J150-SUMIFS($L$5:$L$74,$C$5:$C$74,"nbis",$Q$5:$Q$74,1,$P$5:$P$74,2029)</f>
        <v>0</v>
      </c>
      <c r="K84" s="24" t="n">
        <f aca="false">Players!K150-SUMIFS($L$5:$L$74,$C$5:$C$74,"nbis",$Q$5:$Q$74,1,$P$5:$P$74,2030)</f>
        <v>0</v>
      </c>
      <c r="L84" s="24" t="n">
        <f aca="false">Players!L150-SUMIFS($L$5:$L$74,$C$5:$C$74,"nbis",$Q$5:$Q$74,1,$P$5:$P$74,2031)</f>
        <v>0</v>
      </c>
      <c r="M84" s="24" t="n">
        <f aca="false">Players!M150-SUMIFS($L$5:$L$74,$C$5:$C$74,"nbis",$Q$5:$Q$74,1,$P$5:$P$74,2032)</f>
        <v>0</v>
      </c>
    </row>
    <row r="85" customFormat="false" ht="17.15" hidden="false" customHeight="false" outlineLevel="0" collapsed="false">
      <c r="A85" s="0" t="s">
        <v>1337</v>
      </c>
      <c r="B85" s="0" t="s">
        <v>1147</v>
      </c>
      <c r="C85" s="5" t="s">
        <v>1366</v>
      </c>
      <c r="E85" s="24" t="n">
        <f aca="false">Players!E169-SUMIFS($L$5:$L$74,$C$5:$C$74,"wyfi",$Q$5:$Q$74,1,$P$5:$P$74,2024)</f>
        <v>0</v>
      </c>
      <c r="F85" s="24" t="n">
        <f aca="false">Players!F169-SUMIFS($L$5:$L$74,$C$5:$C$74,"wyfi",$Q$5:$Q$74,1,$P$5:$P$74,2025)</f>
        <v>0</v>
      </c>
      <c r="G85" s="24" t="n">
        <f aca="false">Players!G169-SUMIFS($L$5:$L$74,$C$5:$C$74,"wyfi",$Q$5:$Q$74,1,$P$5:$P$74,2026)</f>
        <v>0.009074</v>
      </c>
      <c r="H85" s="24" t="n">
        <f aca="false">Players!H169-SUMIFS($L$5:$L$74,$C$5:$C$74,"wyfi",$Q$5:$Q$74,1,$P$5:$P$74,2027)</f>
        <v>0.001974</v>
      </c>
      <c r="I85" s="24" t="n">
        <f aca="false">Players!I169-SUMIFS($L$5:$L$74,$C$5:$C$74,"wyfi",$Q$5:$Q$74,1,$P$5:$P$74,2028)</f>
        <v>0</v>
      </c>
      <c r="J85" s="24" t="n">
        <f aca="false">Players!J169-SUMIFS($L$5:$L$74,$C$5:$C$74,"wyfi",$Q$5:$Q$74,1,$P$5:$P$74,2029)</f>
        <v>0</v>
      </c>
      <c r="K85" s="24" t="n">
        <f aca="false">Players!K169-SUMIFS($L$5:$L$74,$C$5:$C$74,"wyfi",$Q$5:$Q$74,1,$P$5:$P$74,2030)</f>
        <v>0</v>
      </c>
      <c r="L85" s="24" t="n">
        <f aca="false">Players!L169-SUMIFS($L$5:$L$74,$C$5:$C$74,"wyfi",$Q$5:$Q$74,1,$P$5:$P$74,2031)</f>
        <v>0</v>
      </c>
      <c r="M85" s="24" t="n">
        <f aca="false">Players!M169-SUMIFS($L$5:$L$74,$C$5:$C$74,"wyfi",$Q$5:$Q$74,1,$P$5:$P$74,2032)</f>
        <v>0</v>
      </c>
    </row>
    <row r="86" customFormat="false" ht="17.15" hidden="false" customHeight="false" outlineLevel="0" collapsed="false">
      <c r="A86" s="0" t="s">
        <v>1338</v>
      </c>
      <c r="B86" s="0" t="s">
        <v>536</v>
      </c>
      <c r="C86" s="5" t="s">
        <v>1366</v>
      </c>
      <c r="E86" s="24" t="n">
        <f aca="false">Players!E188-SUMIFS($L$5:$L$74,$C$5:$C$74,"xai",$Q$5:$Q$74,1,$P$5:$P$74,2024)</f>
        <v>0</v>
      </c>
      <c r="F86" s="24" t="n">
        <f aca="false">Players!F188-SUMIFS($L$5:$L$74,$C$5:$C$74,"xai",$Q$5:$Q$74,1,$P$5:$P$74,2025)</f>
        <v>0</v>
      </c>
      <c r="G86" s="24" t="n">
        <f aca="false">Players!G188-SUMIFS($L$5:$L$74,$C$5:$C$74,"xai",$Q$5:$Q$74,1,$P$5:$P$74,2026)</f>
        <v>1.4302</v>
      </c>
      <c r="H86" s="24" t="n">
        <f aca="false">Players!H188-SUMIFS($L$5:$L$74,$C$5:$C$74,"xai",$Q$5:$Q$74,1,$P$5:$P$74,2027)</f>
        <v>0</v>
      </c>
      <c r="I86" s="24" t="n">
        <f aca="false">Players!I188-SUMIFS($L$5:$L$74,$C$5:$C$74,"xai",$Q$5:$Q$74,1,$P$5:$P$74,2028)</f>
        <v>0</v>
      </c>
      <c r="J86" s="24" t="n">
        <f aca="false">Players!J188-SUMIFS($L$5:$L$74,$C$5:$C$74,"xai",$Q$5:$Q$74,1,$P$5:$P$74,2029)</f>
        <v>0</v>
      </c>
      <c r="K86" s="24" t="n">
        <f aca="false">Players!K188-SUMIFS($L$5:$L$74,$C$5:$C$74,"xai",$Q$5:$Q$74,1,$P$5:$P$74,2030)</f>
        <v>0</v>
      </c>
      <c r="L86" s="24" t="n">
        <f aca="false">Players!L188-SUMIFS($L$5:$L$74,$C$5:$C$74,"xai",$Q$5:$Q$74,1,$P$5:$P$74,2031)</f>
        <v>0</v>
      </c>
      <c r="M86" s="24" t="n">
        <f aca="false">Players!M188-SUMIFS($L$5:$L$74,$C$5:$C$74,"xai",$Q$5:$Q$74,1,$P$5:$P$74,2032)</f>
        <v>0</v>
      </c>
    </row>
    <row r="87" customFormat="false" ht="17.15" hidden="false" customHeight="false" outlineLevel="0" collapsed="false">
      <c r="A87" s="0" t="s">
        <v>1339</v>
      </c>
      <c r="B87" s="0" t="s">
        <v>532</v>
      </c>
      <c r="C87" s="5" t="s">
        <v>1366</v>
      </c>
      <c r="E87" s="24" t="n">
        <f aca="false">Players!E207-SUMIFS($L$5:$L$74,$C$5:$C$74,"oai",$Q$5:$Q$74,1,$P$5:$P$74,2024)</f>
        <v>0</v>
      </c>
      <c r="F87" s="24" t="n">
        <f aca="false">Players!F207-SUMIFS($L$5:$L$74,$C$5:$C$74,"oai",$Q$5:$Q$74,1,$P$5:$P$74,2025)</f>
        <v>0</v>
      </c>
      <c r="G87" s="24" t="n">
        <f aca="false">Players!G207-SUMIFS($L$5:$L$74,$C$5:$C$74,"oai",$Q$5:$Q$74,1,$P$5:$P$74,2026)</f>
        <v>0</v>
      </c>
      <c r="H87" s="24" t="n">
        <f aca="false">Players!H207-SUMIFS($L$5:$L$74,$C$5:$C$74,"oai",$Q$5:$Q$74,1,$P$5:$P$74,2027)</f>
        <v>0</v>
      </c>
      <c r="I87" s="24" t="n">
        <f aca="false">Players!I207-SUMIFS($L$5:$L$74,$C$5:$C$74,"oai",$Q$5:$Q$74,1,$P$5:$P$74,2028)</f>
        <v>0</v>
      </c>
      <c r="J87" s="24" t="n">
        <f aca="false">Players!J207-SUMIFS($L$5:$L$74,$C$5:$C$74,"oai",$Q$5:$Q$74,1,$P$5:$P$74,2029)</f>
        <v>0</v>
      </c>
      <c r="K87" s="24" t="n">
        <f aca="false">Players!K207-SUMIFS($L$5:$L$74,$C$5:$C$74,"oai",$Q$5:$Q$74,1,$P$5:$P$74,2030)</f>
        <v>0</v>
      </c>
      <c r="L87" s="24" t="n">
        <f aca="false">Players!L207-SUMIFS($L$5:$L$74,$C$5:$C$74,"oai",$Q$5:$Q$74,1,$P$5:$P$74,2031)</f>
        <v>0</v>
      </c>
      <c r="M87" s="24" t="n">
        <f aca="false">Players!M207-SUMIFS($L$5:$L$74,$C$5:$C$74,"oai",$Q$5:$Q$74,1,$P$5:$P$74,2032)</f>
        <v>0</v>
      </c>
    </row>
    <row r="88" customFormat="false" ht="17.15" hidden="false" customHeight="false" outlineLevel="0" collapsed="false">
      <c r="A88" s="0" t="s">
        <v>1340</v>
      </c>
      <c r="B88" s="0" t="s">
        <v>516</v>
      </c>
      <c r="C88" s="5" t="s">
        <v>1366</v>
      </c>
      <c r="E88" s="24" t="n">
        <f aca="false">Players!E226-SUMIFS($L$5:$L$74,$C$5:$C$74,"ant",$Q$5:$Q$74,1,$P$5:$P$74,2024)</f>
        <v>0</v>
      </c>
      <c r="F88" s="24" t="n">
        <f aca="false">Players!F226-SUMIFS($L$5:$L$74,$C$5:$C$74,"ant",$Q$5:$Q$74,1,$P$5:$P$74,2025)</f>
        <v>0</v>
      </c>
      <c r="G88" s="24" t="n">
        <f aca="false">Players!G226-SUMIFS($L$5:$L$74,$C$5:$C$74,"ant",$Q$5:$Q$74,1,$P$5:$P$74,2026)</f>
        <v>0</v>
      </c>
      <c r="H88" s="24" t="n">
        <f aca="false">Players!H226-SUMIFS($L$5:$L$74,$C$5:$C$74,"ant",$Q$5:$Q$74,1,$P$5:$P$74,2027)</f>
        <v>0</v>
      </c>
      <c r="I88" s="24" t="n">
        <f aca="false">Players!I226-SUMIFS($L$5:$L$74,$C$5:$C$74,"ant",$Q$5:$Q$74,1,$P$5:$P$74,2028)</f>
        <v>0</v>
      </c>
      <c r="J88" s="24" t="n">
        <f aca="false">Players!J226-SUMIFS($L$5:$L$74,$C$5:$C$74,"ant",$Q$5:$Q$74,1,$P$5:$P$74,2029)</f>
        <v>0</v>
      </c>
      <c r="K88" s="24" t="n">
        <f aca="false">Players!K226-SUMIFS($L$5:$L$74,$C$5:$C$74,"ant",$Q$5:$Q$74,1,$P$5:$P$74,2030)</f>
        <v>0</v>
      </c>
      <c r="L88" s="24" t="n">
        <f aca="false">Players!L226-SUMIFS($L$5:$L$74,$C$5:$C$74,"ant",$Q$5:$Q$74,1,$P$5:$P$74,2031)</f>
        <v>0</v>
      </c>
      <c r="M88" s="24" t="n">
        <f aca="false">Players!M226-SUMIFS($L$5:$L$74,$C$5:$C$74,"ant",$Q$5:$Q$74,1,$P$5:$P$74,2032)</f>
        <v>0</v>
      </c>
    </row>
    <row r="89" customFormat="false" ht="17.15" hidden="false" customHeight="false" outlineLevel="0" collapsed="false">
      <c r="A89" s="5" t="s">
        <v>1341</v>
      </c>
      <c r="B89" s="0" t="s">
        <v>546</v>
      </c>
      <c r="C89" s="5" t="s">
        <v>1366</v>
      </c>
      <c r="E89" s="24" t="n">
        <f aca="false">Players!E245-SUMIFS($L$5:$L$74,$C$5:$C$74,"neo",$Q$5:$Q$74,1,$P$5:$P$74,2024)</f>
        <v>0</v>
      </c>
      <c r="F89" s="24" t="n">
        <f aca="false">Players!F245-SUMIFS($L$5:$L$74,$C$5:$C$74,"neo",$Q$5:$Q$74,1,$P$5:$P$74,2025)</f>
        <v>0.3</v>
      </c>
      <c r="G89" s="24" t="n">
        <f aca="false">Players!G245-SUMIFS($L$5:$L$74,$C$5:$C$74,"neo",$Q$5:$Q$74,1,$P$5:$P$74,2026)</f>
        <v>0.7</v>
      </c>
      <c r="H89" s="24" t="n">
        <f aca="false">Players!H245-SUMIFS($L$5:$L$74,$C$5:$C$74,"neo",$Q$5:$Q$74,1,$P$5:$P$74,2027)</f>
        <v>0</v>
      </c>
      <c r="I89" s="24" t="n">
        <f aca="false">Players!I245-SUMIFS($L$5:$L$74,$C$5:$C$74,"neo",$Q$5:$Q$74,1,$P$5:$P$74,2028)</f>
        <v>0</v>
      </c>
      <c r="J89" s="24" t="n">
        <f aca="false">Players!J245-SUMIFS($L$5:$L$74,$C$5:$C$74,"neo",$Q$5:$Q$74,1,$P$5:$P$74,2029)</f>
        <v>0</v>
      </c>
      <c r="K89" s="24" t="n">
        <f aca="false">Players!K245-SUMIFS($L$5:$L$74,$C$5:$C$74,"neo",$Q$5:$Q$74,1,$P$5:$P$74,2030)</f>
        <v>0</v>
      </c>
      <c r="L89" s="24" t="n">
        <f aca="false">Players!L245-SUMIFS($L$5:$L$74,$C$5:$C$74,"neo",$Q$5:$Q$74,1,$P$5:$P$74,2031)</f>
        <v>0</v>
      </c>
      <c r="M89" s="24" t="n">
        <f aca="false">Players!M245-SUMIFS($L$5:$L$74,$C$5:$C$74,"neo",$Q$5:$Q$74,1,$P$5:$P$74,2032)</f>
        <v>0</v>
      </c>
    </row>
    <row r="90" customFormat="false" ht="17.15" hidden="false" customHeight="false" outlineLevel="0" collapsed="false">
      <c r="A90" s="5" t="s">
        <v>1342</v>
      </c>
      <c r="B90" s="0" t="s">
        <v>645</v>
      </c>
      <c r="C90" s="5" t="s">
        <v>1366</v>
      </c>
      <c r="E90" s="24" t="n">
        <f aca="false">Players!E264-SUMIFS($L$5:$L$74,$C$5:$C$74,"sov",$Q$5:$Q$74,1,$P$5:$P$74,2024)</f>
        <v>0</v>
      </c>
      <c r="F90" s="24" t="n">
        <f aca="false">Players!F264-SUMIFS($L$5:$L$74,$C$5:$C$74,"sov",$Q$5:$Q$74,1,$P$5:$P$74,2025)</f>
        <v>0</v>
      </c>
      <c r="G90" s="24" t="n">
        <f aca="false">Players!G264-SUMIFS($L$5:$L$74,$C$5:$C$74,"sov",$Q$5:$Q$74,1,$P$5:$P$74,2026)</f>
        <v>0</v>
      </c>
      <c r="H90" s="24" t="n">
        <f aca="false">Players!H264-SUMIFS($L$5:$L$74,$C$5:$C$74,"sov",$Q$5:$Q$74,1,$P$5:$P$74,2027)</f>
        <v>0</v>
      </c>
      <c r="I90" s="24" t="n">
        <f aca="false">Players!I264-SUMIFS($L$5:$L$74,$C$5:$C$74,"sov",$Q$5:$Q$74,1,$P$5:$P$74,2028)</f>
        <v>0</v>
      </c>
      <c r="J90" s="24" t="n">
        <f aca="false">Players!J264-SUMIFS($L$5:$L$74,$C$5:$C$74,"sov",$Q$5:$Q$74,1,$P$5:$P$74,2029)</f>
        <v>0</v>
      </c>
      <c r="K90" s="24" t="n">
        <f aca="false">Players!K264-SUMIFS($L$5:$L$74,$C$5:$C$74,"sov",$Q$5:$Q$74,1,$P$5:$P$74,2030)</f>
        <v>0</v>
      </c>
      <c r="L90" s="24" t="n">
        <f aca="false">Players!L264-SUMIFS($L$5:$L$74,$C$5:$C$74,"sov",$Q$5:$Q$74,1,$P$5:$P$74,2031)</f>
        <v>0</v>
      </c>
      <c r="M90" s="24" t="n">
        <f aca="false">Players!M264-SUMIFS($L$5:$L$74,$C$5:$C$74,"sov",$Q$5:$Q$74,1,$P$5:$P$74,2032)</f>
        <v>0</v>
      </c>
    </row>
    <row r="91" customFormat="false" ht="17.15" hidden="false" customHeight="false" outlineLevel="0" collapsed="false">
      <c r="A91" s="5" t="s">
        <v>1343</v>
      </c>
      <c r="B91" s="0" t="s">
        <v>553</v>
      </c>
      <c r="C91" s="5" t="s">
        <v>1366</v>
      </c>
      <c r="E91" s="24" t="n">
        <f aca="false">Players!E283-SUMIFS($L$5:$L$74,$C$5:$C$74,"cn",$Q$5:$Q$74,1,$P$5:$P$74,2024)</f>
        <v>0</v>
      </c>
      <c r="F91" s="24" t="n">
        <f aca="false">Players!F283-SUMIFS($L$5:$L$74,$C$5:$C$74,"cn",$Q$5:$Q$74,1,$P$5:$P$74,2025)</f>
        <v>0</v>
      </c>
      <c r="G91" s="24" t="n">
        <f aca="false">Players!G283-SUMIFS($L$5:$L$74,$C$5:$C$74,"cn",$Q$5:$Q$74,1,$P$5:$P$74,2026)</f>
        <v>3.33333333333333</v>
      </c>
      <c r="H91" s="24" t="n">
        <f aca="false">Players!H283-SUMIFS($L$5:$L$74,$C$5:$C$74,"cn",$Q$5:$Q$74,1,$P$5:$P$74,2027)</f>
        <v>1.9895044578405</v>
      </c>
      <c r="I91" s="24" t="n">
        <f aca="false">Players!I283-SUMIFS($L$5:$L$74,$C$5:$C$74,"cn",$Q$5:$Q$74,1,$P$5:$P$74,2028)</f>
        <v>2.28121406090902</v>
      </c>
      <c r="J91" s="24" t="n">
        <f aca="false">Players!J283-SUMIFS($L$5:$L$74,$C$5:$C$74,"cn",$Q$5:$Q$74,1,$P$5:$P$74,2029)</f>
        <v>2.61252133099745</v>
      </c>
      <c r="K91" s="24" t="n">
        <f aca="false">Players!K283-SUMIFS($L$5:$L$74,$C$5:$C$74,"cn",$Q$5:$Q$74,1,$P$5:$P$74,2030)</f>
        <v>2.9885550220479</v>
      </c>
      <c r="L91" s="24" t="n">
        <f aca="false">Players!L283-SUMIFS($L$5:$L$74,$C$5:$C$74,"cn",$Q$5:$Q$74,1,$P$5:$P$74,2031)</f>
        <v>2.15384615384616</v>
      </c>
      <c r="M91" s="24" t="n">
        <f aca="false">Players!M283-SUMIFS($L$5:$L$74,$C$5:$C$74,"cn",$Q$5:$Q$74,1,$P$5:$P$74,2032)</f>
        <v>2.36923076923077</v>
      </c>
    </row>
    <row r="92" customFormat="false" ht="17.15" hidden="false" customHeight="false" outlineLevel="0" collapsed="false">
      <c r="A92" s="5" t="s">
        <v>1344</v>
      </c>
      <c r="B92" s="0" t="s">
        <v>738</v>
      </c>
      <c r="C92" s="5" t="s">
        <v>1366</v>
      </c>
      <c r="E92" s="24" t="n">
        <f aca="false">Players!E302-SUMIFS($L$5:$L$74,$C$5:$C$74,"oth",$Q$5:$Q$74,1,$P$5:$P$74,2024)</f>
        <v>0</v>
      </c>
      <c r="F92" s="24" t="n">
        <f aca="false">Players!F302-SUMIFS($L$5:$L$74,$C$5:$C$74,"oth",$Q$5:$Q$74,1,$P$5:$P$74,2025)</f>
        <v>0</v>
      </c>
      <c r="G92" s="24" t="n">
        <f aca="false">Players!G302-SUMIFS($L$5:$L$74,$C$5:$C$74,"oth",$Q$5:$Q$74,1,$P$5:$P$74,2026)</f>
        <v>0</v>
      </c>
      <c r="H92" s="24" t="n">
        <f aca="false">Players!H302-SUMIFS($L$5:$L$74,$C$5:$C$74,"oth",$Q$5:$Q$74,1,$P$5:$P$74,2027)</f>
        <v>0</v>
      </c>
      <c r="I92" s="24" t="n">
        <f aca="false">Players!I302-SUMIFS($L$5:$L$74,$C$5:$C$74,"oth",$Q$5:$Q$74,1,$P$5:$P$74,2028)</f>
        <v>0</v>
      </c>
      <c r="J92" s="24" t="n">
        <f aca="false">Players!J302-SUMIFS($L$5:$L$74,$C$5:$C$74,"oth",$Q$5:$Q$74,1,$P$5:$P$74,2029)</f>
        <v>0</v>
      </c>
      <c r="K92" s="24" t="n">
        <f aca="false">Players!K302-SUMIFS($L$5:$L$74,$C$5:$C$74,"oth",$Q$5:$Q$74,1,$P$5:$P$74,2030)</f>
        <v>0</v>
      </c>
      <c r="L92" s="24" t="n">
        <f aca="false">Players!L302-SUMIFS($L$5:$L$74,$C$5:$C$74,"oth",$Q$5:$Q$74,1,$P$5:$P$74,2031)</f>
        <v>0</v>
      </c>
      <c r="M92" s="24" t="n">
        <f aca="false">Players!M302-SUMIFS($L$5:$L$74,$C$5:$C$74,"oth",$Q$5:$Q$74,1,$P$5:$P$74,2032)</f>
        <v>0</v>
      </c>
    </row>
    <row r="94" customFormat="false" ht="17.15" hidden="false" customHeight="false" outlineLevel="0" collapsed="false">
      <c r="A94" s="0" t="s">
        <v>1333</v>
      </c>
      <c r="B94" s="0" t="s">
        <v>507</v>
      </c>
      <c r="C94" s="5" t="s">
        <v>1367</v>
      </c>
      <c r="E94" s="24" t="n">
        <f aca="false">IF(Players!E31=2,E78,0)</f>
        <v>0</v>
      </c>
      <c r="F94" s="24" t="n">
        <f aca="false">IF(Players!F31=2,F78,0)</f>
        <v>0</v>
      </c>
      <c r="G94" s="24" t="n">
        <f aca="false">IF(Players!G31=2,G78,0)</f>
        <v>0.0869549999999999</v>
      </c>
      <c r="H94" s="24" t="n">
        <f aca="false">IF(Players!H31=2,H78,0)</f>
        <v>0</v>
      </c>
      <c r="I94" s="24" t="n">
        <f aca="false">IF(Players!I31=2,I78,0)</f>
        <v>0</v>
      </c>
      <c r="J94" s="24" t="n">
        <f aca="false">IF(Players!J31=2,J78,0)</f>
        <v>0</v>
      </c>
      <c r="K94" s="24" t="n">
        <f aca="false">IF(Players!K31=2,K78,0)</f>
        <v>0</v>
      </c>
      <c r="L94" s="24" t="n">
        <f aca="false">IF(Players!L31=2,L78,0)</f>
        <v>0</v>
      </c>
      <c r="M94" s="24" t="n">
        <f aca="false">IF(Players!M31=2,M78,0)</f>
        <v>0</v>
      </c>
    </row>
    <row r="95" customFormat="false" ht="17.15" hidden="false" customHeight="false" outlineLevel="0" collapsed="false">
      <c r="A95" s="0" t="s">
        <v>1334</v>
      </c>
      <c r="B95" s="0" t="s">
        <v>512</v>
      </c>
      <c r="C95" s="5" t="s">
        <v>1367</v>
      </c>
      <c r="E95" s="24" t="n">
        <f aca="false">IF(Players!E50=2,E79,0)</f>
        <v>0</v>
      </c>
      <c r="F95" s="24" t="n">
        <f aca="false">IF(Players!F50=2,F79,0)</f>
        <v>0</v>
      </c>
      <c r="G95" s="24" t="n">
        <f aca="false">IF(Players!G50=2,G79,0)</f>
        <v>1.29267912772586</v>
      </c>
      <c r="H95" s="24" t="n">
        <f aca="false">IF(Players!H50=2,H79,0)</f>
        <v>0</v>
      </c>
      <c r="I95" s="24" t="n">
        <f aca="false">IF(Players!I50=2,I79,0)</f>
        <v>0</v>
      </c>
      <c r="J95" s="24" t="n">
        <f aca="false">IF(Players!J50=2,J79,0)</f>
        <v>0</v>
      </c>
      <c r="K95" s="24" t="n">
        <f aca="false">IF(Players!K50=2,K79,0)</f>
        <v>0</v>
      </c>
      <c r="L95" s="24" t="n">
        <f aca="false">IF(Players!L50=2,L79,0)</f>
        <v>0</v>
      </c>
      <c r="M95" s="24" t="n">
        <f aca="false">IF(Players!M50=2,M79,0)</f>
        <v>0</v>
      </c>
    </row>
    <row r="96" customFormat="false" ht="17.15" hidden="false" customHeight="false" outlineLevel="0" collapsed="false">
      <c r="A96" s="0" t="s">
        <v>1335</v>
      </c>
      <c r="B96" s="0" t="s">
        <v>520</v>
      </c>
      <c r="C96" s="5" t="s">
        <v>1367</v>
      </c>
      <c r="E96" s="24" t="n">
        <f aca="false">IF(Players!E69=2,E80,0)</f>
        <v>0</v>
      </c>
      <c r="F96" s="24" t="n">
        <f aca="false">IF(Players!F69=2,F80,0)</f>
        <v>0</v>
      </c>
      <c r="G96" s="24" t="n">
        <f aca="false">IF(Players!G69=2,G80,0)</f>
        <v>0.4</v>
      </c>
      <c r="H96" s="24" t="n">
        <f aca="false">IF(Players!H69=2,H80,0)</f>
        <v>0</v>
      </c>
      <c r="I96" s="24" t="n">
        <f aca="false">IF(Players!I69=2,I80,0)</f>
        <v>0</v>
      </c>
      <c r="J96" s="24" t="n">
        <f aca="false">IF(Players!J69=2,J80,0)</f>
        <v>0</v>
      </c>
      <c r="K96" s="24" t="n">
        <f aca="false">IF(Players!K69=2,K80,0)</f>
        <v>0</v>
      </c>
      <c r="L96" s="24" t="n">
        <f aca="false">IF(Players!L69=2,L80,0)</f>
        <v>0</v>
      </c>
      <c r="M96" s="24" t="n">
        <f aca="false">IF(Players!M69=2,M80,0)</f>
        <v>0</v>
      </c>
    </row>
    <row r="97" customFormat="false" ht="15" hidden="false" customHeight="false" outlineLevel="0" collapsed="false">
      <c r="A97" s="0" t="s">
        <v>1070</v>
      </c>
      <c r="B97" s="0" t="s">
        <v>527</v>
      </c>
      <c r="C97" s="5" t="s">
        <v>1367</v>
      </c>
      <c r="E97" s="24" t="n">
        <f aca="false">IF(Players!E88=2,E81,0)</f>
        <v>0</v>
      </c>
      <c r="F97" s="24" t="n">
        <f aca="false">IF(Players!F88=2,F81,0)</f>
        <v>0</v>
      </c>
      <c r="G97" s="24" t="n">
        <f aca="false">IF(Players!G88=2,G81,0)</f>
        <v>0</v>
      </c>
      <c r="H97" s="24" t="n">
        <f aca="false">IF(Players!H88=2,H81,0)</f>
        <v>0</v>
      </c>
      <c r="I97" s="24" t="n">
        <f aca="false">IF(Players!I88=2,I81,0)</f>
        <v>0</v>
      </c>
      <c r="J97" s="24" t="n">
        <f aca="false">IF(Players!J88=2,J81,0)</f>
        <v>0</v>
      </c>
      <c r="K97" s="24" t="n">
        <f aca="false">IF(Players!K88=2,K81,0)</f>
        <v>0</v>
      </c>
      <c r="L97" s="24" t="n">
        <f aca="false">IF(Players!L88=2,L81,0)</f>
        <v>0</v>
      </c>
      <c r="M97" s="24" t="n">
        <f aca="false">IF(Players!M88=2,M81,0)</f>
        <v>0</v>
      </c>
    </row>
    <row r="98" customFormat="false" ht="17.15" hidden="false" customHeight="false" outlineLevel="0" collapsed="false">
      <c r="A98" s="0" t="s">
        <v>1336</v>
      </c>
      <c r="B98" s="0" t="s">
        <v>531</v>
      </c>
      <c r="C98" s="5" t="s">
        <v>1367</v>
      </c>
      <c r="E98" s="24" t="n">
        <f aca="false">IF(Players!E107=2,E82,0)</f>
        <v>0</v>
      </c>
      <c r="F98" s="24" t="n">
        <f aca="false">IF(Players!F107=2,F82,0)</f>
        <v>0</v>
      </c>
      <c r="G98" s="24" t="n">
        <f aca="false">IF(Players!G107=2,G82,0)</f>
        <v>1.34013</v>
      </c>
      <c r="H98" s="24" t="n">
        <f aca="false">IF(Players!H107=2,H82,0)</f>
        <v>0</v>
      </c>
      <c r="I98" s="24" t="n">
        <f aca="false">IF(Players!I107=2,I82,0)</f>
        <v>0</v>
      </c>
      <c r="J98" s="24" t="n">
        <f aca="false">IF(Players!J107=2,J82,0)</f>
        <v>0</v>
      </c>
      <c r="K98" s="24" t="n">
        <f aca="false">IF(Players!K107=2,K82,0)</f>
        <v>0</v>
      </c>
      <c r="L98" s="24" t="n">
        <f aca="false">IF(Players!L107=2,L82,0)</f>
        <v>0</v>
      </c>
      <c r="M98" s="24" t="n">
        <f aca="false">IF(Players!M107=2,M82,0)</f>
        <v>0</v>
      </c>
    </row>
    <row r="99" customFormat="false" ht="15" hidden="false" customHeight="false" outlineLevel="0" collapsed="false">
      <c r="A99" s="0" t="s">
        <v>1108</v>
      </c>
      <c r="B99" s="0" t="s">
        <v>621</v>
      </c>
      <c r="C99" s="5" t="s">
        <v>1367</v>
      </c>
      <c r="E99" s="24" t="n">
        <f aca="false">IF(Players!E126=2,E83,0)</f>
        <v>0</v>
      </c>
      <c r="F99" s="24" t="n">
        <f aca="false">IF(Players!F126=2,F83,0)</f>
        <v>0</v>
      </c>
      <c r="G99" s="24" t="n">
        <f aca="false">IF(Players!G126=2,G83,0)</f>
        <v>0</v>
      </c>
      <c r="H99" s="24" t="n">
        <f aca="false">IF(Players!H126=2,H83,0)</f>
        <v>0</v>
      </c>
      <c r="I99" s="24" t="n">
        <f aca="false">IF(Players!I126=2,I83,0)</f>
        <v>0</v>
      </c>
      <c r="J99" s="24" t="n">
        <f aca="false">IF(Players!J126=2,J83,0)</f>
        <v>0</v>
      </c>
      <c r="K99" s="24" t="n">
        <f aca="false">IF(Players!K126=2,K83,0)</f>
        <v>0</v>
      </c>
      <c r="L99" s="24" t="n">
        <f aca="false">IF(Players!L126=2,L83,0)</f>
        <v>0</v>
      </c>
      <c r="M99" s="24" t="n">
        <f aca="false">IF(Players!M126=2,M83,0)</f>
        <v>0</v>
      </c>
    </row>
    <row r="100" customFormat="false" ht="15" hidden="false" customHeight="false" outlineLevel="0" collapsed="false">
      <c r="A100" s="0" t="s">
        <v>1127</v>
      </c>
      <c r="B100" s="0" t="s">
        <v>652</v>
      </c>
      <c r="C100" s="5" t="s">
        <v>1367</v>
      </c>
      <c r="E100" s="24" t="n">
        <f aca="false">IF(Players!E145=2,E84,0)</f>
        <v>0</v>
      </c>
      <c r="F100" s="24" t="n">
        <f aca="false">IF(Players!F145=2,F84,0)</f>
        <v>0</v>
      </c>
      <c r="G100" s="24" t="n">
        <f aca="false">IF(Players!G145=2,G84,0)</f>
        <v>0</v>
      </c>
      <c r="H100" s="24" t="n">
        <f aca="false">IF(Players!H145=2,H84,0)</f>
        <v>0</v>
      </c>
      <c r="I100" s="24" t="n">
        <f aca="false">IF(Players!I145=2,I84,0)</f>
        <v>0</v>
      </c>
      <c r="J100" s="24" t="n">
        <f aca="false">IF(Players!J145=2,J84,0)</f>
        <v>0</v>
      </c>
      <c r="K100" s="24" t="n">
        <f aca="false">IF(Players!K145=2,K84,0)</f>
        <v>0</v>
      </c>
      <c r="L100" s="24" t="n">
        <f aca="false">IF(Players!L145=2,L84,0)</f>
        <v>0</v>
      </c>
      <c r="M100" s="24" t="n">
        <f aca="false">IF(Players!M145=2,M84,0)</f>
        <v>0</v>
      </c>
    </row>
    <row r="101" customFormat="false" ht="17.15" hidden="false" customHeight="false" outlineLevel="0" collapsed="false">
      <c r="A101" s="0" t="s">
        <v>1337</v>
      </c>
      <c r="B101" s="0" t="s">
        <v>1147</v>
      </c>
      <c r="C101" s="5" t="s">
        <v>1367</v>
      </c>
      <c r="E101" s="24" t="n">
        <f aca="false">IF(Players!E164=2,E85,0)</f>
        <v>0</v>
      </c>
      <c r="F101" s="24" t="n">
        <f aca="false">IF(Players!F164=2,F85,0)</f>
        <v>0</v>
      </c>
      <c r="G101" s="24" t="n">
        <f aca="false">IF(Players!G164=2,G85,0)</f>
        <v>0</v>
      </c>
      <c r="H101" s="24" t="n">
        <f aca="false">IF(Players!H164=2,H85,0)</f>
        <v>0</v>
      </c>
      <c r="I101" s="24" t="n">
        <f aca="false">IF(Players!I164=2,I85,0)</f>
        <v>0</v>
      </c>
      <c r="J101" s="24" t="n">
        <f aca="false">IF(Players!J164=2,J85,0)</f>
        <v>0</v>
      </c>
      <c r="K101" s="24" t="n">
        <f aca="false">IF(Players!K164=2,K85,0)</f>
        <v>0</v>
      </c>
      <c r="L101" s="24" t="n">
        <f aca="false">IF(Players!L164=2,L85,0)</f>
        <v>0</v>
      </c>
      <c r="M101" s="24" t="n">
        <f aca="false">IF(Players!M164=2,M85,0)</f>
        <v>0</v>
      </c>
    </row>
    <row r="102" customFormat="false" ht="17.15" hidden="false" customHeight="false" outlineLevel="0" collapsed="false">
      <c r="A102" s="0" t="s">
        <v>1338</v>
      </c>
      <c r="B102" s="0" t="s">
        <v>536</v>
      </c>
      <c r="C102" s="5" t="s">
        <v>1367</v>
      </c>
      <c r="E102" s="24" t="n">
        <f aca="false">IF(Players!E183=2,E86,0)</f>
        <v>0</v>
      </c>
      <c r="F102" s="24" t="n">
        <f aca="false">IF(Players!F183=2,F86,0)</f>
        <v>0</v>
      </c>
      <c r="G102" s="24" t="n">
        <f aca="false">IF(Players!G183=2,G86,0)</f>
        <v>0</v>
      </c>
      <c r="H102" s="24" t="n">
        <f aca="false">IF(Players!H183=2,H86,0)</f>
        <v>0</v>
      </c>
      <c r="I102" s="24" t="n">
        <f aca="false">IF(Players!I183=2,I86,0)</f>
        <v>0</v>
      </c>
      <c r="J102" s="24" t="n">
        <f aca="false">IF(Players!J183=2,J86,0)</f>
        <v>0</v>
      </c>
      <c r="K102" s="24" t="n">
        <f aca="false">IF(Players!K183=2,K86,0)</f>
        <v>0</v>
      </c>
      <c r="L102" s="24" t="n">
        <f aca="false">IF(Players!L183=2,L86,0)</f>
        <v>0</v>
      </c>
      <c r="M102" s="24" t="n">
        <f aca="false">IF(Players!M183=2,M86,0)</f>
        <v>0</v>
      </c>
    </row>
    <row r="103" customFormat="false" ht="17.15" hidden="false" customHeight="false" outlineLevel="0" collapsed="false">
      <c r="A103" s="0" t="s">
        <v>1339</v>
      </c>
      <c r="B103" s="0" t="s">
        <v>532</v>
      </c>
      <c r="C103" s="5" t="s">
        <v>1367</v>
      </c>
      <c r="E103" s="24" t="n">
        <f aca="false">IF(Players!E202=2,E87,0)</f>
        <v>0</v>
      </c>
      <c r="F103" s="24" t="n">
        <f aca="false">IF(Players!F202=2,F87,0)</f>
        <v>0</v>
      </c>
      <c r="G103" s="24" t="n">
        <f aca="false">IF(Players!G202=2,G87,0)</f>
        <v>0</v>
      </c>
      <c r="H103" s="24" t="n">
        <f aca="false">IF(Players!H202=2,H87,0)</f>
        <v>0</v>
      </c>
      <c r="I103" s="24" t="n">
        <f aca="false">IF(Players!I202=2,I87,0)</f>
        <v>0</v>
      </c>
      <c r="J103" s="24" t="n">
        <f aca="false">IF(Players!J202=2,J87,0)</f>
        <v>0</v>
      </c>
      <c r="K103" s="24" t="n">
        <f aca="false">IF(Players!K202=2,K87,0)</f>
        <v>0</v>
      </c>
      <c r="L103" s="24" t="n">
        <f aca="false">IF(Players!L202=2,L87,0)</f>
        <v>0</v>
      </c>
      <c r="M103" s="24" t="n">
        <f aca="false">IF(Players!M202=2,M87,0)</f>
        <v>0</v>
      </c>
    </row>
    <row r="104" customFormat="false" ht="17.15" hidden="false" customHeight="false" outlineLevel="0" collapsed="false">
      <c r="A104" s="0" t="s">
        <v>1340</v>
      </c>
      <c r="B104" s="0" t="s">
        <v>516</v>
      </c>
      <c r="C104" s="5" t="s">
        <v>1367</v>
      </c>
      <c r="E104" s="24" t="n">
        <f aca="false">IF(Players!E221=2,E88,0)</f>
        <v>0</v>
      </c>
      <c r="F104" s="24" t="n">
        <f aca="false">IF(Players!F221=2,F88,0)</f>
        <v>0</v>
      </c>
      <c r="G104" s="24" t="n">
        <f aca="false">IF(Players!G221=2,G88,0)</f>
        <v>0</v>
      </c>
      <c r="H104" s="24" t="n">
        <f aca="false">IF(Players!H221=2,H88,0)</f>
        <v>0</v>
      </c>
      <c r="I104" s="24" t="n">
        <f aca="false">IF(Players!I221=2,I88,0)</f>
        <v>0</v>
      </c>
      <c r="J104" s="24" t="n">
        <f aca="false">IF(Players!J221=2,J88,0)</f>
        <v>0</v>
      </c>
      <c r="K104" s="24" t="n">
        <f aca="false">IF(Players!K221=2,K88,0)</f>
        <v>0</v>
      </c>
      <c r="L104" s="24" t="n">
        <f aca="false">IF(Players!L221=2,L88,0)</f>
        <v>0</v>
      </c>
      <c r="M104" s="24" t="n">
        <f aca="false">IF(Players!M221=2,M88,0)</f>
        <v>0</v>
      </c>
    </row>
    <row r="105" customFormat="false" ht="17.15" hidden="false" customHeight="false" outlineLevel="0" collapsed="false">
      <c r="A105" s="5" t="s">
        <v>1341</v>
      </c>
      <c r="B105" s="0" t="s">
        <v>546</v>
      </c>
      <c r="C105" s="5" t="s">
        <v>1367</v>
      </c>
      <c r="E105" s="24" t="n">
        <f aca="false">IF(Players!E240=2,E89,0)</f>
        <v>0</v>
      </c>
      <c r="F105" s="24" t="n">
        <f aca="false">IF(Players!F240=2,F89,0)</f>
        <v>0</v>
      </c>
      <c r="G105" s="24" t="n">
        <f aca="false">IF(Players!G240=2,G89,0)</f>
        <v>0</v>
      </c>
      <c r="H105" s="24" t="n">
        <f aca="false">IF(Players!H240=2,H89,0)</f>
        <v>0</v>
      </c>
      <c r="I105" s="24" t="n">
        <f aca="false">IF(Players!I240=2,I89,0)</f>
        <v>0</v>
      </c>
      <c r="J105" s="24" t="n">
        <f aca="false">IF(Players!J240=2,J89,0)</f>
        <v>0</v>
      </c>
      <c r="K105" s="24" t="n">
        <f aca="false">IF(Players!K240=2,K89,0)</f>
        <v>0</v>
      </c>
      <c r="L105" s="24" t="n">
        <f aca="false">IF(Players!L240=2,L89,0)</f>
        <v>0</v>
      </c>
      <c r="M105" s="24" t="n">
        <f aca="false">IF(Players!M240=2,M89,0)</f>
        <v>0</v>
      </c>
    </row>
    <row r="106" customFormat="false" ht="17.15" hidden="false" customHeight="false" outlineLevel="0" collapsed="false">
      <c r="A106" s="5" t="s">
        <v>1342</v>
      </c>
      <c r="B106" s="0" t="s">
        <v>645</v>
      </c>
      <c r="C106" s="5" t="s">
        <v>1367</v>
      </c>
      <c r="E106" s="24" t="n">
        <f aca="false">IF(Players!E259=2,E90,0)</f>
        <v>0</v>
      </c>
      <c r="F106" s="24" t="n">
        <f aca="false">IF(Players!F259=2,F90,0)</f>
        <v>0</v>
      </c>
      <c r="G106" s="24" t="n">
        <f aca="false">IF(Players!G259=2,G90,0)</f>
        <v>0</v>
      </c>
      <c r="H106" s="24" t="n">
        <f aca="false">IF(Players!H259=2,H90,0)</f>
        <v>0</v>
      </c>
      <c r="I106" s="24" t="n">
        <f aca="false">IF(Players!I259=2,I90,0)</f>
        <v>0</v>
      </c>
      <c r="J106" s="24" t="n">
        <f aca="false">IF(Players!J259=2,J90,0)</f>
        <v>0</v>
      </c>
      <c r="K106" s="24" t="n">
        <f aca="false">IF(Players!K259=2,K90,0)</f>
        <v>0</v>
      </c>
      <c r="L106" s="24" t="n">
        <f aca="false">IF(Players!L259=2,L90,0)</f>
        <v>0</v>
      </c>
      <c r="M106" s="24" t="n">
        <f aca="false">IF(Players!M259=2,M90,0)</f>
        <v>0</v>
      </c>
    </row>
    <row r="107" customFormat="false" ht="17.15" hidden="false" customHeight="false" outlineLevel="0" collapsed="false">
      <c r="A107" s="5" t="s">
        <v>1343</v>
      </c>
      <c r="B107" s="0" t="s">
        <v>553</v>
      </c>
      <c r="C107" s="5" t="s">
        <v>1367</v>
      </c>
      <c r="E107" s="24" t="n">
        <f aca="false">IF(Players!E278=2,E91,0)</f>
        <v>0</v>
      </c>
      <c r="F107" s="24" t="n">
        <f aca="false">IF(Players!F278=2,F91,0)</f>
        <v>0</v>
      </c>
      <c r="G107" s="24" t="n">
        <f aca="false">IF(Players!G278=2,G91,0)</f>
        <v>0</v>
      </c>
      <c r="H107" s="24" t="n">
        <f aca="false">IF(Players!H278=2,H91,0)</f>
        <v>0</v>
      </c>
      <c r="I107" s="24" t="n">
        <f aca="false">IF(Players!I278=2,I91,0)</f>
        <v>0</v>
      </c>
      <c r="J107" s="24" t="n">
        <f aca="false">IF(Players!J278=2,J91,0)</f>
        <v>0</v>
      </c>
      <c r="K107" s="24" t="n">
        <f aca="false">IF(Players!K278=2,K91,0)</f>
        <v>0</v>
      </c>
      <c r="L107" s="24" t="n">
        <f aca="false">IF(Players!L278=2,L91,0)</f>
        <v>0</v>
      </c>
      <c r="M107" s="24" t="n">
        <f aca="false">IF(Players!M278=2,M91,0)</f>
        <v>0</v>
      </c>
    </row>
    <row r="108" customFormat="false" ht="17.15" hidden="false" customHeight="false" outlineLevel="0" collapsed="false">
      <c r="A108" s="5" t="s">
        <v>1344</v>
      </c>
      <c r="B108" s="0" t="s">
        <v>738</v>
      </c>
      <c r="C108" s="5" t="s">
        <v>1367</v>
      </c>
      <c r="E108" s="24" t="n">
        <f aca="false">IF(Players!E297=2,E92,0)</f>
        <v>0</v>
      </c>
      <c r="F108" s="24" t="n">
        <f aca="false">IF(Players!F297=2,F92,0)</f>
        <v>0</v>
      </c>
      <c r="G108" s="24" t="n">
        <f aca="false">IF(Players!G297=2,G92,0)</f>
        <v>0</v>
      </c>
      <c r="H108" s="24" t="n">
        <f aca="false">IF(Players!H297=2,H92,0)</f>
        <v>0</v>
      </c>
      <c r="I108" s="24" t="n">
        <f aca="false">IF(Players!I297=2,I92,0)</f>
        <v>0</v>
      </c>
      <c r="J108" s="24" t="n">
        <f aca="false">IF(Players!J297=2,J92,0)</f>
        <v>0</v>
      </c>
      <c r="K108" s="24" t="n">
        <f aca="false">IF(Players!K297=2,K92,0)</f>
        <v>0</v>
      </c>
      <c r="L108" s="24" t="n">
        <f aca="false">IF(Players!L297=2,L92,0)</f>
        <v>0</v>
      </c>
      <c r="M108" s="24" t="n">
        <f aca="false">IF(Players!M297=2,M92,0)</f>
        <v>0</v>
      </c>
    </row>
    <row r="110" customFormat="false" ht="17.15" hidden="false" customHeight="false" outlineLevel="0" collapsed="false">
      <c r="A110" s="0" t="s">
        <v>1333</v>
      </c>
      <c r="B110" s="0" t="s">
        <v>507</v>
      </c>
      <c r="C110" s="5" t="s">
        <v>1368</v>
      </c>
      <c r="E110" s="24" t="n">
        <f aca="false">E78-E94</f>
        <v>0</v>
      </c>
      <c r="F110" s="24" t="n">
        <f aca="false">F78-F94</f>
        <v>1.81427</v>
      </c>
      <c r="G110" s="24" t="n">
        <f aca="false">G78-G94</f>
        <v>0</v>
      </c>
      <c r="H110" s="24" t="n">
        <f aca="false">H78-H94</f>
        <v>0</v>
      </c>
      <c r="I110" s="24" t="n">
        <f aca="false">I78-I94</f>
        <v>0</v>
      </c>
      <c r="J110" s="24" t="n">
        <f aca="false">J78-J94</f>
        <v>0</v>
      </c>
      <c r="K110" s="24" t="n">
        <f aca="false">K78-K94</f>
        <v>0</v>
      </c>
      <c r="L110" s="24" t="n">
        <f aca="false">L78-L94</f>
        <v>0</v>
      </c>
      <c r="M110" s="24" t="n">
        <f aca="false">M78-M94</f>
        <v>0</v>
      </c>
    </row>
    <row r="111" customFormat="false" ht="17.15" hidden="false" customHeight="false" outlineLevel="0" collapsed="false">
      <c r="A111" s="0" t="s">
        <v>1334</v>
      </c>
      <c r="B111" s="0" t="s">
        <v>512</v>
      </c>
      <c r="C111" s="5" t="s">
        <v>1368</v>
      </c>
      <c r="E111" s="24" t="n">
        <f aca="false">E79-E95</f>
        <v>1.32980834349181</v>
      </c>
      <c r="F111" s="24" t="n">
        <f aca="false">F79-F95</f>
        <v>2.40961330082622</v>
      </c>
      <c r="G111" s="24" t="n">
        <f aca="false">G79-G95</f>
        <v>0</v>
      </c>
      <c r="H111" s="24" t="n">
        <f aca="false">H79-H95</f>
        <v>0</v>
      </c>
      <c r="I111" s="24" t="n">
        <f aca="false">I79-I95</f>
        <v>0</v>
      </c>
      <c r="J111" s="24" t="n">
        <f aca="false">J79-J95</f>
        <v>0</v>
      </c>
      <c r="K111" s="24" t="n">
        <f aca="false">K79-K95</f>
        <v>0</v>
      </c>
      <c r="L111" s="24" t="n">
        <f aca="false">L79-L95</f>
        <v>0</v>
      </c>
      <c r="M111" s="24" t="n">
        <f aca="false">M79-M95</f>
        <v>0</v>
      </c>
    </row>
    <row r="112" customFormat="false" ht="17.15" hidden="false" customHeight="false" outlineLevel="0" collapsed="false">
      <c r="A112" s="0" t="s">
        <v>1335</v>
      </c>
      <c r="B112" s="0" t="s">
        <v>520</v>
      </c>
      <c r="C112" s="5" t="s">
        <v>1368</v>
      </c>
      <c r="E112" s="24" t="n">
        <f aca="false">E80-E96</f>
        <v>0</v>
      </c>
      <c r="F112" s="24" t="n">
        <f aca="false">F80-F96</f>
        <v>1.38971599402093</v>
      </c>
      <c r="G112" s="24" t="n">
        <f aca="false">G80-G96</f>
        <v>0</v>
      </c>
      <c r="H112" s="24" t="n">
        <f aca="false">H80-H96</f>
        <v>0</v>
      </c>
      <c r="I112" s="24" t="n">
        <f aca="false">I80-I96</f>
        <v>0</v>
      </c>
      <c r="J112" s="24" t="n">
        <f aca="false">J80-J96</f>
        <v>2.77555756156289E-016</v>
      </c>
      <c r="K112" s="24" t="n">
        <f aca="false">K80-K96</f>
        <v>0</v>
      </c>
      <c r="L112" s="24" t="n">
        <f aca="false">L80-L96</f>
        <v>0</v>
      </c>
      <c r="M112" s="24" t="n">
        <f aca="false">M80-M96</f>
        <v>0</v>
      </c>
    </row>
    <row r="113" customFormat="false" ht="15" hidden="false" customHeight="false" outlineLevel="0" collapsed="false">
      <c r="A113" s="0" t="s">
        <v>1070</v>
      </c>
      <c r="B113" s="0" t="s">
        <v>527</v>
      </c>
      <c r="C113" s="5" t="s">
        <v>1368</v>
      </c>
      <c r="E113" s="24" t="n">
        <f aca="false">E81-E97</f>
        <v>0</v>
      </c>
      <c r="F113" s="24" t="n">
        <f aca="false">F81-F97</f>
        <v>1.50812</v>
      </c>
      <c r="G113" s="24" t="n">
        <f aca="false">G81-G97</f>
        <v>0</v>
      </c>
      <c r="H113" s="24" t="n">
        <f aca="false">H81-H97</f>
        <v>0</v>
      </c>
      <c r="I113" s="24" t="n">
        <f aca="false">I81-I97</f>
        <v>0</v>
      </c>
      <c r="J113" s="24" t="n">
        <f aca="false">J81-J97</f>
        <v>0</v>
      </c>
      <c r="K113" s="24" t="n">
        <f aca="false">K81-K97</f>
        <v>0</v>
      </c>
      <c r="L113" s="24" t="n">
        <f aca="false">L81-L97</f>
        <v>0</v>
      </c>
      <c r="M113" s="24" t="n">
        <f aca="false">M81-M97</f>
        <v>0</v>
      </c>
    </row>
    <row r="114" customFormat="false" ht="17.15" hidden="false" customHeight="false" outlineLevel="0" collapsed="false">
      <c r="A114" s="0" t="s">
        <v>1336</v>
      </c>
      <c r="B114" s="0" t="s">
        <v>531</v>
      </c>
      <c r="C114" s="5" t="s">
        <v>1368</v>
      </c>
      <c r="E114" s="24" t="n">
        <f aca="false">E82-E98</f>
        <v>0</v>
      </c>
      <c r="F114" s="24" t="n">
        <f aca="false">F82-F98</f>
        <v>0.816405</v>
      </c>
      <c r="G114" s="24" t="n">
        <f aca="false">G82-G98</f>
        <v>0</v>
      </c>
      <c r="H114" s="24" t="n">
        <f aca="false">H82-H98</f>
        <v>0</v>
      </c>
      <c r="I114" s="24" t="n">
        <f aca="false">I82-I98</f>
        <v>0</v>
      </c>
      <c r="J114" s="24" t="n">
        <f aca="false">J82-J98</f>
        <v>0</v>
      </c>
      <c r="K114" s="24" t="n">
        <f aca="false">K82-K98</f>
        <v>0</v>
      </c>
      <c r="L114" s="24" t="n">
        <f aca="false">L82-L98</f>
        <v>0</v>
      </c>
      <c r="M114" s="24" t="n">
        <f aca="false">M82-M98</f>
        <v>0</v>
      </c>
    </row>
    <row r="115" customFormat="false" ht="15" hidden="false" customHeight="false" outlineLevel="0" collapsed="false">
      <c r="A115" s="0" t="s">
        <v>1108</v>
      </c>
      <c r="B115" s="0" t="s">
        <v>621</v>
      </c>
      <c r="C115" s="5" t="s">
        <v>1368</v>
      </c>
      <c r="E115" s="24" t="n">
        <f aca="false">E83-E99</f>
        <v>0.29</v>
      </c>
      <c r="F115" s="24" t="n">
        <f aca="false">F83-F99</f>
        <v>0.49</v>
      </c>
      <c r="G115" s="24" t="n">
        <f aca="false">G83-G99</f>
        <v>0.984</v>
      </c>
      <c r="H115" s="24" t="n">
        <f aca="false">H83-H99</f>
        <v>1.2775</v>
      </c>
      <c r="I115" s="24" t="n">
        <f aca="false">I83-I99</f>
        <v>1.5375</v>
      </c>
      <c r="J115" s="24" t="n">
        <f aca="false">J83-J99</f>
        <v>1.5375</v>
      </c>
      <c r="K115" s="24" t="n">
        <f aca="false">K83-K99</f>
        <v>1.5375</v>
      </c>
      <c r="L115" s="24" t="n">
        <f aca="false">L83-L99</f>
        <v>0</v>
      </c>
      <c r="M115" s="24" t="n">
        <f aca="false">M83-M99</f>
        <v>0</v>
      </c>
    </row>
    <row r="116" customFormat="false" ht="15" hidden="false" customHeight="false" outlineLevel="0" collapsed="false">
      <c r="A116" s="0" t="s">
        <v>1127</v>
      </c>
      <c r="B116" s="0" t="s">
        <v>652</v>
      </c>
      <c r="C116" s="5" t="s">
        <v>1368</v>
      </c>
      <c r="E116" s="24" t="n">
        <f aca="false">E84-E100</f>
        <v>0</v>
      </c>
      <c r="F116" s="24" t="n">
        <f aca="false">F84-F100</f>
        <v>0</v>
      </c>
      <c r="G116" s="24" t="n">
        <f aca="false">G84-G100</f>
        <v>0.73</v>
      </c>
      <c r="H116" s="24" t="n">
        <f aca="false">H84-H100</f>
        <v>0</v>
      </c>
      <c r="I116" s="24" t="n">
        <f aca="false">I84-I100</f>
        <v>0</v>
      </c>
      <c r="J116" s="24" t="n">
        <f aca="false">J84-J100</f>
        <v>0</v>
      </c>
      <c r="K116" s="24" t="n">
        <f aca="false">K84-K100</f>
        <v>0</v>
      </c>
      <c r="L116" s="24" t="n">
        <f aca="false">L84-L100</f>
        <v>0</v>
      </c>
      <c r="M116" s="24" t="n">
        <f aca="false">M84-M100</f>
        <v>0</v>
      </c>
    </row>
    <row r="117" customFormat="false" ht="17.15" hidden="false" customHeight="false" outlineLevel="0" collapsed="false">
      <c r="A117" s="0" t="s">
        <v>1337</v>
      </c>
      <c r="B117" s="0" t="s">
        <v>1147</v>
      </c>
      <c r="C117" s="5" t="s">
        <v>1368</v>
      </c>
      <c r="E117" s="24" t="n">
        <f aca="false">E85-E101</f>
        <v>0</v>
      </c>
      <c r="F117" s="24" t="n">
        <f aca="false">F85-F101</f>
        <v>0</v>
      </c>
      <c r="G117" s="24" t="n">
        <f aca="false">G85-G101</f>
        <v>0.009074</v>
      </c>
      <c r="H117" s="24" t="n">
        <f aca="false">H85-H101</f>
        <v>0.001974</v>
      </c>
      <c r="I117" s="24" t="n">
        <f aca="false">I85-I101</f>
        <v>0</v>
      </c>
      <c r="J117" s="24" t="n">
        <f aca="false">J85-J101</f>
        <v>0</v>
      </c>
      <c r="K117" s="24" t="n">
        <f aca="false">K85-K101</f>
        <v>0</v>
      </c>
      <c r="L117" s="24" t="n">
        <f aca="false">L85-L101</f>
        <v>0</v>
      </c>
      <c r="M117" s="24" t="n">
        <f aca="false">M85-M101</f>
        <v>0</v>
      </c>
    </row>
    <row r="118" customFormat="false" ht="17.15" hidden="false" customHeight="false" outlineLevel="0" collapsed="false">
      <c r="A118" s="0" t="s">
        <v>1338</v>
      </c>
      <c r="B118" s="0" t="s">
        <v>536</v>
      </c>
      <c r="C118" s="5" t="s">
        <v>1368</v>
      </c>
      <c r="E118" s="24" t="n">
        <f aca="false">E86-E102</f>
        <v>0</v>
      </c>
      <c r="F118" s="24" t="n">
        <f aca="false">F86-F102</f>
        <v>0</v>
      </c>
      <c r="G118" s="24" t="n">
        <f aca="false">G86-G102</f>
        <v>1.4302</v>
      </c>
      <c r="H118" s="24" t="n">
        <f aca="false">H86-H102</f>
        <v>0</v>
      </c>
      <c r="I118" s="24" t="n">
        <f aca="false">I86-I102</f>
        <v>0</v>
      </c>
      <c r="J118" s="24" t="n">
        <f aca="false">J86-J102</f>
        <v>0</v>
      </c>
      <c r="K118" s="24" t="n">
        <f aca="false">K86-K102</f>
        <v>0</v>
      </c>
      <c r="L118" s="24" t="n">
        <f aca="false">L86-L102</f>
        <v>0</v>
      </c>
      <c r="M118" s="24" t="n">
        <f aca="false">M86-M102</f>
        <v>0</v>
      </c>
    </row>
    <row r="119" customFormat="false" ht="17.15" hidden="false" customHeight="false" outlineLevel="0" collapsed="false">
      <c r="A119" s="0" t="s">
        <v>1339</v>
      </c>
      <c r="B119" s="0" t="s">
        <v>532</v>
      </c>
      <c r="C119" s="5" t="s">
        <v>1368</v>
      </c>
      <c r="E119" s="24" t="n">
        <f aca="false">E87-E103</f>
        <v>0</v>
      </c>
      <c r="F119" s="24" t="n">
        <f aca="false">F87-F103</f>
        <v>0</v>
      </c>
      <c r="G119" s="24" t="n">
        <f aca="false">G87-G103</f>
        <v>0</v>
      </c>
      <c r="H119" s="24" t="n">
        <f aca="false">H87-H103</f>
        <v>0</v>
      </c>
      <c r="I119" s="24" t="n">
        <f aca="false">I87-I103</f>
        <v>0</v>
      </c>
      <c r="J119" s="24" t="n">
        <f aca="false">J87-J103</f>
        <v>0</v>
      </c>
      <c r="K119" s="24" t="n">
        <f aca="false">K87-K103</f>
        <v>0</v>
      </c>
      <c r="L119" s="24" t="n">
        <f aca="false">L87-L103</f>
        <v>0</v>
      </c>
      <c r="M119" s="24" t="n">
        <f aca="false">M87-M103</f>
        <v>0</v>
      </c>
    </row>
    <row r="120" customFormat="false" ht="17.15" hidden="false" customHeight="false" outlineLevel="0" collapsed="false">
      <c r="A120" s="0" t="s">
        <v>1340</v>
      </c>
      <c r="B120" s="0" t="s">
        <v>516</v>
      </c>
      <c r="C120" s="5" t="s">
        <v>1368</v>
      </c>
      <c r="E120" s="24" t="n">
        <f aca="false">E88-E104</f>
        <v>0</v>
      </c>
      <c r="F120" s="24" t="n">
        <f aca="false">F88-F104</f>
        <v>0</v>
      </c>
      <c r="G120" s="24" t="n">
        <f aca="false">G88-G104</f>
        <v>0</v>
      </c>
      <c r="H120" s="24" t="n">
        <f aca="false">H88-H104</f>
        <v>0</v>
      </c>
      <c r="I120" s="24" t="n">
        <f aca="false">I88-I104</f>
        <v>0</v>
      </c>
      <c r="J120" s="24" t="n">
        <f aca="false">J88-J104</f>
        <v>0</v>
      </c>
      <c r="K120" s="24" t="n">
        <f aca="false">K88-K104</f>
        <v>0</v>
      </c>
      <c r="L120" s="24" t="n">
        <f aca="false">L88-L104</f>
        <v>0</v>
      </c>
      <c r="M120" s="24" t="n">
        <f aca="false">M88-M104</f>
        <v>0</v>
      </c>
    </row>
    <row r="121" customFormat="false" ht="17.15" hidden="false" customHeight="false" outlineLevel="0" collapsed="false">
      <c r="A121" s="5" t="s">
        <v>1341</v>
      </c>
      <c r="B121" s="0" t="s">
        <v>546</v>
      </c>
      <c r="C121" s="5" t="s">
        <v>1368</v>
      </c>
      <c r="E121" s="24" t="n">
        <f aca="false">E89-E105</f>
        <v>0</v>
      </c>
      <c r="F121" s="24" t="n">
        <f aca="false">F89-F105</f>
        <v>0.3</v>
      </c>
      <c r="G121" s="24" t="n">
        <f aca="false">G89-G105</f>
        <v>0.7</v>
      </c>
      <c r="H121" s="24" t="n">
        <f aca="false">H89-H105</f>
        <v>0</v>
      </c>
      <c r="I121" s="24" t="n">
        <f aca="false">I89-I105</f>
        <v>0</v>
      </c>
      <c r="J121" s="24" t="n">
        <f aca="false">J89-J105</f>
        <v>0</v>
      </c>
      <c r="K121" s="24" t="n">
        <f aca="false">K89-K105</f>
        <v>0</v>
      </c>
      <c r="L121" s="24" t="n">
        <f aca="false">L89-L105</f>
        <v>0</v>
      </c>
      <c r="M121" s="24" t="n">
        <f aca="false">M89-M105</f>
        <v>0</v>
      </c>
    </row>
    <row r="122" customFormat="false" ht="17.15" hidden="false" customHeight="false" outlineLevel="0" collapsed="false">
      <c r="A122" s="5" t="s">
        <v>1342</v>
      </c>
      <c r="B122" s="0" t="s">
        <v>645</v>
      </c>
      <c r="C122" s="5" t="s">
        <v>1368</v>
      </c>
      <c r="E122" s="24" t="n">
        <f aca="false">E90-E106</f>
        <v>0</v>
      </c>
      <c r="F122" s="24" t="n">
        <f aca="false">F90-F106</f>
        <v>0</v>
      </c>
      <c r="G122" s="24" t="n">
        <f aca="false">G90-G106</f>
        <v>0</v>
      </c>
      <c r="H122" s="24" t="n">
        <f aca="false">H90-H106</f>
        <v>0</v>
      </c>
      <c r="I122" s="24" t="n">
        <f aca="false">I90-I106</f>
        <v>0</v>
      </c>
      <c r="J122" s="24" t="n">
        <f aca="false">J90-J106</f>
        <v>0</v>
      </c>
      <c r="K122" s="24" t="n">
        <f aca="false">K90-K106</f>
        <v>0</v>
      </c>
      <c r="L122" s="24" t="n">
        <f aca="false">L90-L106</f>
        <v>0</v>
      </c>
      <c r="M122" s="24" t="n">
        <f aca="false">M90-M106</f>
        <v>0</v>
      </c>
    </row>
    <row r="123" customFormat="false" ht="17.15" hidden="false" customHeight="false" outlineLevel="0" collapsed="false">
      <c r="A123" s="5" t="s">
        <v>1343</v>
      </c>
      <c r="B123" s="0" t="s">
        <v>553</v>
      </c>
      <c r="C123" s="5" t="s">
        <v>1368</v>
      </c>
      <c r="E123" s="24" t="n">
        <f aca="false">E91-E107</f>
        <v>0</v>
      </c>
      <c r="F123" s="24" t="n">
        <f aca="false">F91-F107</f>
        <v>0</v>
      </c>
      <c r="G123" s="24" t="n">
        <f aca="false">G91-G107</f>
        <v>3.33333333333333</v>
      </c>
      <c r="H123" s="24" t="n">
        <f aca="false">H91-H107</f>
        <v>1.9895044578405</v>
      </c>
      <c r="I123" s="24" t="n">
        <f aca="false">I91-I107</f>
        <v>2.28121406090902</v>
      </c>
      <c r="J123" s="24" t="n">
        <f aca="false">J91-J107</f>
        <v>2.61252133099745</v>
      </c>
      <c r="K123" s="24" t="n">
        <f aca="false">K91-K107</f>
        <v>2.9885550220479</v>
      </c>
      <c r="L123" s="24" t="n">
        <f aca="false">L91-L107</f>
        <v>2.15384615384616</v>
      </c>
      <c r="M123" s="24" t="n">
        <f aca="false">M91-M107</f>
        <v>2.36923076923077</v>
      </c>
    </row>
    <row r="124" customFormat="false" ht="17.15" hidden="false" customHeight="false" outlineLevel="0" collapsed="false">
      <c r="A124" s="5" t="s">
        <v>1344</v>
      </c>
      <c r="B124" s="0" t="s">
        <v>738</v>
      </c>
      <c r="C124" s="5" t="s">
        <v>1368</v>
      </c>
      <c r="E124" s="24" t="n">
        <f aca="false">E92-E108</f>
        <v>0</v>
      </c>
      <c r="F124" s="24" t="n">
        <f aca="false">F92-F108</f>
        <v>0</v>
      </c>
      <c r="G124" s="24" t="n">
        <f aca="false">G92-G108</f>
        <v>0</v>
      </c>
      <c r="H124" s="24" t="n">
        <f aca="false">H92-H108</f>
        <v>0</v>
      </c>
      <c r="I124" s="24" t="n">
        <f aca="false">I92-I108</f>
        <v>0</v>
      </c>
      <c r="J124" s="24" t="n">
        <f aca="false">J92-J108</f>
        <v>0</v>
      </c>
      <c r="K124" s="24" t="n">
        <f aca="false">K92-K108</f>
        <v>0</v>
      </c>
      <c r="L124" s="24" t="n">
        <f aca="false">L92-L108</f>
        <v>0</v>
      </c>
      <c r="M124" s="24" t="n">
        <f aca="false">M92-M108</f>
        <v>0</v>
      </c>
    </row>
    <row r="126" customFormat="false" ht="15" hidden="false" customHeight="false" outlineLevel="0" collapsed="false">
      <c r="A126" s="21" t="s">
        <v>1366</v>
      </c>
      <c r="D126" s="24" t="n">
        <v>0</v>
      </c>
      <c r="E126" s="24" t="n">
        <f aca="false">SUM(E78:E92)</f>
        <v>1.61980834349181</v>
      </c>
      <c r="F126" s="24" t="n">
        <f aca="false">SUM(F78:F92)</f>
        <v>8.72812429484715</v>
      </c>
      <c r="G126" s="24" t="n">
        <f aca="false">SUM(G78:G92)</f>
        <v>10.3063714610592</v>
      </c>
      <c r="H126" s="24" t="n">
        <f aca="false">SUM(H78:H92)</f>
        <v>3.2689784578405</v>
      </c>
      <c r="I126" s="24" t="n">
        <f aca="false">SUM(I78:I92)</f>
        <v>3.81871406090902</v>
      </c>
      <c r="J126" s="24" t="n">
        <f aca="false">SUM(J78:J92)</f>
        <v>4.15002133099745</v>
      </c>
      <c r="K126" s="24" t="n">
        <f aca="false">SUM(K78:K92)</f>
        <v>4.5260550220479</v>
      </c>
      <c r="L126" s="24" t="n">
        <f aca="false">SUM(L78:L92)</f>
        <v>2.15384615384616</v>
      </c>
      <c r="M126" s="24" t="n">
        <f aca="false">SUM(M78:M92)</f>
        <v>2.36923076923077</v>
      </c>
    </row>
    <row r="127" customFormat="false" ht="15" hidden="false" customHeight="false" outlineLevel="0" collapsed="false">
      <c r="A127" s="21" t="s">
        <v>1369</v>
      </c>
      <c r="D127" s="24" t="n">
        <v>0</v>
      </c>
      <c r="E127" s="24" t="n">
        <f aca="false">SUM(E94:E108)</f>
        <v>0</v>
      </c>
      <c r="F127" s="24" t="n">
        <f aca="false">SUM(F94:F108)</f>
        <v>0</v>
      </c>
      <c r="G127" s="24" t="n">
        <f aca="false">SUM(G94:G108)</f>
        <v>3.11976412772586</v>
      </c>
      <c r="H127" s="24" t="n">
        <f aca="false">SUM(H94:H108)</f>
        <v>0</v>
      </c>
      <c r="I127" s="24" t="n">
        <f aca="false">SUM(I94:I108)</f>
        <v>0</v>
      </c>
      <c r="J127" s="24" t="n">
        <f aca="false">SUM(J94:J108)</f>
        <v>0</v>
      </c>
      <c r="K127" s="24" t="n">
        <f aca="false">SUM(K94:K108)</f>
        <v>0</v>
      </c>
      <c r="L127" s="24" t="n">
        <f aca="false">SUM(L94:L108)</f>
        <v>0</v>
      </c>
      <c r="M127" s="24" t="n">
        <f aca="false">SUM(M94:M108)</f>
        <v>0</v>
      </c>
    </row>
    <row r="128" customFormat="false" ht="15" hidden="false" customHeight="false" outlineLevel="0" collapsed="false">
      <c r="A128" s="21" t="s">
        <v>1370</v>
      </c>
      <c r="D128" s="24" t="n">
        <v>0</v>
      </c>
      <c r="E128" s="24" t="n">
        <f aca="false">SUM(E110:E124)</f>
        <v>1.61980834349181</v>
      </c>
      <c r="F128" s="24" t="n">
        <f aca="false">SUM(F110:F124)</f>
        <v>8.72812429484715</v>
      </c>
      <c r="G128" s="24" t="n">
        <f aca="false">SUM(G110:G124)</f>
        <v>7.18660733333333</v>
      </c>
      <c r="H128" s="24" t="n">
        <f aca="false">SUM(H110:H124)</f>
        <v>3.2689784578405</v>
      </c>
      <c r="I128" s="24" t="n">
        <f aca="false">SUM(I110:I124)</f>
        <v>3.81871406090902</v>
      </c>
      <c r="J128" s="24" t="n">
        <f aca="false">SUM(J110:J124)</f>
        <v>4.15002133099745</v>
      </c>
      <c r="K128" s="24" t="n">
        <f aca="false">SUM(K110:K124)</f>
        <v>4.5260550220479</v>
      </c>
      <c r="L128" s="24" t="n">
        <f aca="false">SUM(L110:L124)</f>
        <v>2.15384615384616</v>
      </c>
      <c r="M128" s="24" t="n">
        <f aca="false">SUM(M110:M124)</f>
        <v>2.36923076923077</v>
      </c>
    </row>
    <row r="129" customFormat="false" ht="17.15" hidden="false" customHeight="false" outlineLevel="0" collapsed="false">
      <c r="A129" s="21" t="s">
        <v>1371</v>
      </c>
      <c r="D129" s="24" t="n">
        <f aca="false">SUMIFS($L$5:$L$74,$Q$5:$Q$74,1,$P$5:$P$74,2023)</f>
        <v>0</v>
      </c>
      <c r="E129" s="24" t="n">
        <f aca="false">SUMIFS($L$5:$L$74,$Q$5:$Q$74,1,$P$5:$P$74,2024)</f>
        <v>0</v>
      </c>
      <c r="F129" s="24" t="n">
        <f aca="false">SUMIFS($L$5:$L$74,$Q$5:$Q$74,1,$P$5:$P$74,2025)</f>
        <v>0.321</v>
      </c>
      <c r="G129" s="24" t="n">
        <f aca="false">SUMIFS($L$5:$L$74,$Q$5:$Q$74,1,$P$5:$P$74,2026)</f>
        <v>2.209</v>
      </c>
      <c r="H129" s="24" t="n">
        <f aca="false">SUMIFS($L$5:$L$74,$Q$5:$Q$74,1,$P$5:$P$74,2027)</f>
        <v>5.38266666666667</v>
      </c>
      <c r="I129" s="24" t="n">
        <f aca="false">SUMIFS($L$5:$L$74,$Q$5:$Q$74,1,$P$5:$P$74,2028)</f>
        <v>14.7775</v>
      </c>
      <c r="J129" s="24" t="n">
        <f aca="false">SUMIFS($L$5:$L$74,$Q$5:$Q$74,1,$P$5:$P$74,2029)</f>
        <v>2.179</v>
      </c>
      <c r="K129" s="24" t="n">
        <f aca="false">SUMIFS($L$5:$L$74,$Q$5:$Q$74,1,$P$5:$P$74,2030)</f>
        <v>1.349</v>
      </c>
      <c r="L129" s="24" t="n">
        <f aca="false">SUMIFS($L$5:$L$74,$Q$5:$Q$74,1,$P$5:$P$74,2031)</f>
        <v>1.15</v>
      </c>
      <c r="M129" s="24" t="n">
        <f aca="false">SUMIFS($L$5:$L$74,$Q$5:$Q$74,1,$P$5:$P$74,2032)</f>
        <v>0</v>
      </c>
    </row>
    <row r="130" customFormat="false" ht="17.15" hidden="false" customHeight="false" outlineLevel="0" collapsed="false">
      <c r="A130" s="21" t="s">
        <v>1372</v>
      </c>
      <c r="D130" s="24" t="n">
        <f aca="false">Players!D314</f>
        <v>0.630578355681972</v>
      </c>
      <c r="E130" s="24" t="n">
        <f aca="false">Players!E314</f>
        <v>3.95899900597907</v>
      </c>
      <c r="F130" s="24" t="n">
        <f aca="false">Players!F314</f>
        <v>10.0786333333333</v>
      </c>
      <c r="G130" s="24" t="n">
        <f aca="false">Players!G314</f>
        <v>0</v>
      </c>
      <c r="H130" s="24" t="n">
        <f aca="false">Players!H314</f>
        <v>0</v>
      </c>
      <c r="I130" s="24" t="n">
        <f aca="false">Players!I314</f>
        <v>0</v>
      </c>
      <c r="J130" s="24" t="n">
        <f aca="false">Players!J314</f>
        <v>0</v>
      </c>
      <c r="K130" s="24" t="n">
        <f aca="false">Players!K314</f>
        <v>0</v>
      </c>
      <c r="L130" s="24" t="n">
        <f aca="false">Players!L314</f>
        <v>0</v>
      </c>
      <c r="M130" s="24" t="n">
        <f aca="false">Players!M314</f>
        <v>0</v>
      </c>
    </row>
    <row r="131" customFormat="false" ht="17.15" hidden="false" customHeight="false" outlineLevel="0" collapsed="false">
      <c r="A131" s="21" t="s">
        <v>1373</v>
      </c>
      <c r="D131" s="24" t="n">
        <f aca="false">D126+D129</f>
        <v>0</v>
      </c>
      <c r="E131" s="24" t="n">
        <f aca="false">E126+E129</f>
        <v>1.61980834349181</v>
      </c>
      <c r="F131" s="24" t="n">
        <f aca="false">F126+F129</f>
        <v>9.04912429484715</v>
      </c>
      <c r="G131" s="24" t="n">
        <f aca="false">G126+G129</f>
        <v>12.5153714610592</v>
      </c>
      <c r="H131" s="24" t="n">
        <f aca="false">H126+H129</f>
        <v>8.65164512450717</v>
      </c>
      <c r="I131" s="24" t="n">
        <f aca="false">I126+I129</f>
        <v>18.596214060909</v>
      </c>
      <c r="J131" s="24" t="n">
        <f aca="false">J126+J129</f>
        <v>6.32902133099745</v>
      </c>
      <c r="K131" s="24" t="n">
        <f aca="false">K126+K129</f>
        <v>5.8750550220479</v>
      </c>
      <c r="L131" s="24" t="n">
        <f aca="false">L126+L129</f>
        <v>3.30384615384616</v>
      </c>
      <c r="M131" s="24" t="n">
        <f aca="false">M126+M129</f>
        <v>2.36923076923077</v>
      </c>
    </row>
    <row r="133" customFormat="false" ht="17.15" hidden="false" customHeight="false" outlineLevel="0" collapsed="false">
      <c r="A133" s="8" t="s">
        <v>1374</v>
      </c>
    </row>
    <row r="134" customFormat="false" ht="17.15" hidden="false" customHeight="false" outlineLevel="0" collapsed="false">
      <c r="A134" s="6" t="s">
        <v>1375</v>
      </c>
      <c r="B134" s="6" t="s">
        <v>1376</v>
      </c>
      <c r="C134" s="6"/>
      <c r="D134" s="6"/>
      <c r="E134" s="7" t="s">
        <v>23</v>
      </c>
      <c r="F134" s="7" t="s">
        <v>24</v>
      </c>
      <c r="G134" s="7" t="s">
        <v>25</v>
      </c>
      <c r="H134" s="7" t="s">
        <v>26</v>
      </c>
      <c r="I134" s="7" t="s">
        <v>27</v>
      </c>
      <c r="J134" s="7" t="s">
        <v>28</v>
      </c>
      <c r="K134" s="7" t="s">
        <v>29</v>
      </c>
      <c r="L134" s="7" t="s">
        <v>30</v>
      </c>
      <c r="M134" s="7" t="s">
        <v>31</v>
      </c>
    </row>
    <row r="135" customFormat="false" ht="17.15" hidden="false" customHeight="false" outlineLevel="0" collapsed="false">
      <c r="A135" s="0" t="s">
        <v>1377</v>
      </c>
      <c r="B135" s="0" t="n">
        <v>2023</v>
      </c>
      <c r="E135" s="29" t="n">
        <f aca="false">MAX(0,MIN(2023+1,2024+MAX(0,MIN(1,asof-2024)))-2024)+MAX(0,MIN(2023+1,2024+1+0)-(MAX(2024,asof)+0))</f>
        <v>0</v>
      </c>
      <c r="F135" s="29" t="n">
        <f aca="false">MAX(0,MIN(2023+1,2025+MAX(0,MIN(1,asof-2025)))-2025)+MAX(0,MIN(2023+1,2025+1+0)-(MAX(2025,asof)+0))</f>
        <v>0</v>
      </c>
      <c r="G135" s="29" t="n">
        <f aca="false">MAX(0,MIN(2023+1,2026+MAX(0,MIN(1,asof-2026)))-2026)+MAX(0,MIN(2023+1,2026+1+0)-(MAX(2026,asof)+0))</f>
        <v>0</v>
      </c>
      <c r="H135" s="29" t="n">
        <f aca="false">MAX(0,MIN(2023+1,2027+MAX(0,MIN(1,asof-2027)))-2027)+MAX(0,MIN(2023+1,2027+1+0)-(MAX(2027,asof)+0))</f>
        <v>0</v>
      </c>
      <c r="I135" s="29" t="n">
        <f aca="false">MAX(0,MIN(2023+1,2028+MAX(0,MIN(1,asof-2028)))-2028)+MAX(0,MIN(2023+1,2028+1+0)-(MAX(2028,asof)+0))</f>
        <v>0</v>
      </c>
      <c r="J135" s="29" t="n">
        <f aca="false">MAX(0,MIN(2023+1,2029+MAX(0,MIN(1,asof-2029)))-2029)+MAX(0,MIN(2023+1,2029+1+0)-(MAX(2029,asof)+0))</f>
        <v>0</v>
      </c>
      <c r="K135" s="29" t="n">
        <f aca="false">MAX(0,MIN(2023+1,2030+MAX(0,MIN(1,asof-2030)))-2030)+MAX(0,MIN(2023+1,2030+1+0)-(MAX(2030,asof)+0))</f>
        <v>0</v>
      </c>
      <c r="L135" s="29" t="n">
        <f aca="false">MAX(0,MIN(2023+1,2031+MAX(0,MIN(1,asof-2031)))-2031)+MAX(0,MIN(2023+1,2031+1+0)-(MAX(2031,asof)+0))</f>
        <v>0</v>
      </c>
      <c r="M135" s="29" t="n">
        <f aca="false">MAX(0,MIN(2023+1,2032+MAX(0,MIN(1,asof-2032)))-2032)+MAX(0,MIN(2023+1,2032+1+0)-(MAX(2032,asof)+0))</f>
        <v>0</v>
      </c>
    </row>
    <row r="136" customFormat="false" ht="17.15" hidden="false" customHeight="false" outlineLevel="0" collapsed="false">
      <c r="A136" s="0" t="s">
        <v>1378</v>
      </c>
      <c r="B136" s="0" t="n">
        <v>2024</v>
      </c>
      <c r="E136" s="29" t="n">
        <f aca="false">MAX(0,MIN(2024+1,2024+MAX(0,MIN(1,asof-2024)))-2024)+MAX(0,MIN(2024+1,2024+1+0)-(MAX(2024,asof)+0))</f>
        <v>1</v>
      </c>
      <c r="F136" s="29" t="n">
        <f aca="false">MAX(0,MIN(2024+1,2025+MAX(0,MIN(1,asof-2025)))-2025)+MAX(0,MIN(2024+1,2025+1+0)-(MAX(2025,asof)+0))</f>
        <v>0</v>
      </c>
      <c r="G136" s="29" t="n">
        <f aca="false">MAX(0,MIN(2024+1,2026+MAX(0,MIN(1,asof-2026)))-2026)+MAX(0,MIN(2024+1,2026+1+0)-(MAX(2026,asof)+0))</f>
        <v>0</v>
      </c>
      <c r="H136" s="29" t="n">
        <f aca="false">MAX(0,MIN(2024+1,2027+MAX(0,MIN(1,asof-2027)))-2027)+MAX(0,MIN(2024+1,2027+1+0)-(MAX(2027,asof)+0))</f>
        <v>0</v>
      </c>
      <c r="I136" s="29" t="n">
        <f aca="false">MAX(0,MIN(2024+1,2028+MAX(0,MIN(1,asof-2028)))-2028)+MAX(0,MIN(2024+1,2028+1+0)-(MAX(2028,asof)+0))</f>
        <v>0</v>
      </c>
      <c r="J136" s="29" t="n">
        <f aca="false">MAX(0,MIN(2024+1,2029+MAX(0,MIN(1,asof-2029)))-2029)+MAX(0,MIN(2024+1,2029+1+0)-(MAX(2029,asof)+0))</f>
        <v>0</v>
      </c>
      <c r="K136" s="29" t="n">
        <f aca="false">MAX(0,MIN(2024+1,2030+MAX(0,MIN(1,asof-2030)))-2030)+MAX(0,MIN(2024+1,2030+1+0)-(MAX(2030,asof)+0))</f>
        <v>0</v>
      </c>
      <c r="L136" s="29" t="n">
        <f aca="false">MAX(0,MIN(2024+1,2031+MAX(0,MIN(1,asof-2031)))-2031)+MAX(0,MIN(2024+1,2031+1+0)-(MAX(2031,asof)+0))</f>
        <v>0</v>
      </c>
      <c r="M136" s="29" t="n">
        <f aca="false">MAX(0,MIN(2024+1,2032+MAX(0,MIN(1,asof-2032)))-2032)+MAX(0,MIN(2024+1,2032+1+0)-(MAX(2032,asof)+0))</f>
        <v>0</v>
      </c>
    </row>
    <row r="137" customFormat="false" ht="17.15" hidden="false" customHeight="false" outlineLevel="0" collapsed="false">
      <c r="A137" s="0" t="s">
        <v>1379</v>
      </c>
      <c r="B137" s="0" t="n">
        <v>2025</v>
      </c>
      <c r="E137" s="29" t="n">
        <f aca="false">MAX(0,MIN(2025+1,2024+MAX(0,MIN(1,asof-2024)))-2024)+MAX(0,MIN(2025+1,2024+1+0)-(MAX(2024,asof)+0))</f>
        <v>1</v>
      </c>
      <c r="F137" s="29" t="n">
        <f aca="false">MAX(0,MIN(2025+1,2025+MAX(0,MIN(1,asof-2025)))-2025)+MAX(0,MIN(2025+1,2025+1+0)-(MAX(2025,asof)+0))</f>
        <v>1</v>
      </c>
      <c r="G137" s="29" t="n">
        <f aca="false">MAX(0,MIN(2025+1,2026+MAX(0,MIN(1,asof-2026)))-2026)+MAX(0,MIN(2025+1,2026+1+0)-(MAX(2026,asof)+0))</f>
        <v>0</v>
      </c>
      <c r="H137" s="29" t="n">
        <f aca="false">MAX(0,MIN(2025+1,2027+MAX(0,MIN(1,asof-2027)))-2027)+MAX(0,MIN(2025+1,2027+1+0)-(MAX(2027,asof)+0))</f>
        <v>0</v>
      </c>
      <c r="I137" s="29" t="n">
        <f aca="false">MAX(0,MIN(2025+1,2028+MAX(0,MIN(1,asof-2028)))-2028)+MAX(0,MIN(2025+1,2028+1+0)-(MAX(2028,asof)+0))</f>
        <v>0</v>
      </c>
      <c r="J137" s="29" t="n">
        <f aca="false">MAX(0,MIN(2025+1,2029+MAX(0,MIN(1,asof-2029)))-2029)+MAX(0,MIN(2025+1,2029+1+0)-(MAX(2029,asof)+0))</f>
        <v>0</v>
      </c>
      <c r="K137" s="29" t="n">
        <f aca="false">MAX(0,MIN(2025+1,2030+MAX(0,MIN(1,asof-2030)))-2030)+MAX(0,MIN(2025+1,2030+1+0)-(MAX(2030,asof)+0))</f>
        <v>0</v>
      </c>
      <c r="L137" s="29" t="n">
        <f aca="false">MAX(0,MIN(2025+1,2031+MAX(0,MIN(1,asof-2031)))-2031)+MAX(0,MIN(2025+1,2031+1+0)-(MAX(2031,asof)+0))</f>
        <v>0</v>
      </c>
      <c r="M137" s="29" t="n">
        <f aca="false">MAX(0,MIN(2025+1,2032+MAX(0,MIN(1,asof-2032)))-2032)+MAX(0,MIN(2025+1,2032+1+0)-(MAX(2032,asof)+0))</f>
        <v>0</v>
      </c>
    </row>
    <row r="138" customFormat="false" ht="17.15" hidden="false" customHeight="false" outlineLevel="0" collapsed="false">
      <c r="A138" s="0" t="s">
        <v>1380</v>
      </c>
      <c r="B138" s="0" t="n">
        <v>2026</v>
      </c>
      <c r="E138" s="29" t="n">
        <f aca="false">MAX(0,MIN(2026+1,2024+MAX(0,MIN(1,asof-2024)))-2024)+MAX(0,MIN(2026+1,2024+1+0)-(MAX(2024,asof)+0))</f>
        <v>1</v>
      </c>
      <c r="F138" s="29" t="n">
        <f aca="false">MAX(0,MIN(2026+1,2025+MAX(0,MIN(1,asof-2025)))-2025)+MAX(0,MIN(2026+1,2025+1+0)-(MAX(2025,asof)+0))</f>
        <v>1</v>
      </c>
      <c r="G138" s="29" t="n">
        <f aca="false">MAX(0,MIN(2026+1,2026+MAX(0,MIN(1,asof-2026)))-2026)+MAX(0,MIN(2026+1,2026+1+0)-(MAX(2026,asof)+0))</f>
        <v>1</v>
      </c>
      <c r="H138" s="29" t="n">
        <f aca="false">MAX(0,MIN(2026+1,2027+MAX(0,MIN(1,asof-2027)))-2027)+MAX(0,MIN(2026+1,2027+1+0)-(MAX(2027,asof)+0))</f>
        <v>0</v>
      </c>
      <c r="I138" s="29" t="n">
        <f aca="false">MAX(0,MIN(2026+1,2028+MAX(0,MIN(1,asof-2028)))-2028)+MAX(0,MIN(2026+1,2028+1+0)-(MAX(2028,asof)+0))</f>
        <v>0</v>
      </c>
      <c r="J138" s="29" t="n">
        <f aca="false">MAX(0,MIN(2026+1,2029+MAX(0,MIN(1,asof-2029)))-2029)+MAX(0,MIN(2026+1,2029+1+0)-(MAX(2029,asof)+0))</f>
        <v>0</v>
      </c>
      <c r="K138" s="29" t="n">
        <f aca="false">MAX(0,MIN(2026+1,2030+MAX(0,MIN(1,asof-2030)))-2030)+MAX(0,MIN(2026+1,2030+1+0)-(MAX(2030,asof)+0))</f>
        <v>0</v>
      </c>
      <c r="L138" s="29" t="n">
        <f aca="false">MAX(0,MIN(2026+1,2031+MAX(0,MIN(1,asof-2031)))-2031)+MAX(0,MIN(2026+1,2031+1+0)-(MAX(2031,asof)+0))</f>
        <v>0</v>
      </c>
      <c r="M138" s="29" t="n">
        <f aca="false">MAX(0,MIN(2026+1,2032+MAX(0,MIN(1,asof-2032)))-2032)+MAX(0,MIN(2026+1,2032+1+0)-(MAX(2032,asof)+0))</f>
        <v>0</v>
      </c>
    </row>
    <row r="139" customFormat="false" ht="17.15" hidden="false" customHeight="false" outlineLevel="0" collapsed="false">
      <c r="A139" s="0" t="s">
        <v>1381</v>
      </c>
      <c r="B139" s="0" t="n">
        <v>2027</v>
      </c>
      <c r="E139" s="29" t="n">
        <f aca="false">MAX(0,MIN(2027+1,2024+MAX(0,MIN(1,asof-2024)))-2024)+MAX(0,MIN(2027+1,2024+1+0)-(MAX(2024,asof)+0))</f>
        <v>1</v>
      </c>
      <c r="F139" s="29" t="n">
        <f aca="false">MAX(0,MIN(2027+1,2025+MAX(0,MIN(1,asof-2025)))-2025)+MAX(0,MIN(2027+1,2025+1+0)-(MAX(2025,asof)+0))</f>
        <v>1</v>
      </c>
      <c r="G139" s="29" t="n">
        <f aca="false">MAX(0,MIN(2027+1,2026+MAX(0,MIN(1,asof-2026)))-2026)+MAX(0,MIN(2027+1,2026+1+0)-(MAX(2026,asof)+0))</f>
        <v>1</v>
      </c>
      <c r="H139" s="29" t="n">
        <f aca="false">MAX(0,MIN(2027+1,2027+MAX(0,MIN(1,asof-2027)))-2027)+MAX(0,MIN(2027+1,2027+1+0)-(MAX(2027,asof)+0))</f>
        <v>1</v>
      </c>
      <c r="I139" s="29" t="n">
        <f aca="false">MAX(0,MIN(2027+1,2028+MAX(0,MIN(1,asof-2028)))-2028)+MAX(0,MIN(2027+1,2028+1+0)-(MAX(2028,asof)+0))</f>
        <v>0</v>
      </c>
      <c r="J139" s="29" t="n">
        <f aca="false">MAX(0,MIN(2027+1,2029+MAX(0,MIN(1,asof-2029)))-2029)+MAX(0,MIN(2027+1,2029+1+0)-(MAX(2029,asof)+0))</f>
        <v>0</v>
      </c>
      <c r="K139" s="29" t="n">
        <f aca="false">MAX(0,MIN(2027+1,2030+MAX(0,MIN(1,asof-2030)))-2030)+MAX(0,MIN(2027+1,2030+1+0)-(MAX(2030,asof)+0))</f>
        <v>0</v>
      </c>
      <c r="L139" s="29" t="n">
        <f aca="false">MAX(0,MIN(2027+1,2031+MAX(0,MIN(1,asof-2031)))-2031)+MAX(0,MIN(2027+1,2031+1+0)-(MAX(2031,asof)+0))</f>
        <v>0</v>
      </c>
      <c r="M139" s="29" t="n">
        <f aca="false">MAX(0,MIN(2027+1,2032+MAX(0,MIN(1,asof-2032)))-2032)+MAX(0,MIN(2027+1,2032+1+0)-(MAX(2032,asof)+0))</f>
        <v>0</v>
      </c>
    </row>
    <row r="140" customFormat="false" ht="17.15" hidden="false" customHeight="false" outlineLevel="0" collapsed="false">
      <c r="A140" s="0" t="s">
        <v>1382</v>
      </c>
      <c r="B140" s="0" t="n">
        <v>2028</v>
      </c>
      <c r="E140" s="29" t="n">
        <f aca="false">MAX(0,MIN(2028+1,2024+MAX(0,MIN(1,asof-2024)))-2024)+MAX(0,MIN(2028+1,2024+1+0)-(MAX(2024,asof)+0))</f>
        <v>1</v>
      </c>
      <c r="F140" s="29" t="n">
        <f aca="false">MAX(0,MIN(2028+1,2025+MAX(0,MIN(1,asof-2025)))-2025)+MAX(0,MIN(2028+1,2025+1+0)-(MAX(2025,asof)+0))</f>
        <v>1</v>
      </c>
      <c r="G140" s="29" t="n">
        <f aca="false">MAX(0,MIN(2028+1,2026+MAX(0,MIN(1,asof-2026)))-2026)+MAX(0,MIN(2028+1,2026+1+0)-(MAX(2026,asof)+0))</f>
        <v>1</v>
      </c>
      <c r="H140" s="29" t="n">
        <f aca="false">MAX(0,MIN(2028+1,2027+MAX(0,MIN(1,asof-2027)))-2027)+MAX(0,MIN(2028+1,2027+1+0)-(MAX(2027,asof)+0))</f>
        <v>1</v>
      </c>
      <c r="I140" s="29" t="n">
        <f aca="false">MAX(0,MIN(2028+1,2028+MAX(0,MIN(1,asof-2028)))-2028)+MAX(0,MIN(2028+1,2028+1+0)-(MAX(2028,asof)+0))</f>
        <v>1</v>
      </c>
      <c r="J140" s="29" t="n">
        <f aca="false">MAX(0,MIN(2028+1,2029+MAX(0,MIN(1,asof-2029)))-2029)+MAX(0,MIN(2028+1,2029+1+0)-(MAX(2029,asof)+0))</f>
        <v>0</v>
      </c>
      <c r="K140" s="29" t="n">
        <f aca="false">MAX(0,MIN(2028+1,2030+MAX(0,MIN(1,asof-2030)))-2030)+MAX(0,MIN(2028+1,2030+1+0)-(MAX(2030,asof)+0))</f>
        <v>0</v>
      </c>
      <c r="L140" s="29" t="n">
        <f aca="false">MAX(0,MIN(2028+1,2031+MAX(0,MIN(1,asof-2031)))-2031)+MAX(0,MIN(2028+1,2031+1+0)-(MAX(2031,asof)+0))</f>
        <v>0</v>
      </c>
      <c r="M140" s="29" t="n">
        <f aca="false">MAX(0,MIN(2028+1,2032+MAX(0,MIN(1,asof-2032)))-2032)+MAX(0,MIN(2028+1,2032+1+0)-(MAX(2032,asof)+0))</f>
        <v>0</v>
      </c>
    </row>
    <row r="141" customFormat="false" ht="17.15" hidden="false" customHeight="false" outlineLevel="0" collapsed="false">
      <c r="A141" s="0" t="s">
        <v>1383</v>
      </c>
      <c r="B141" s="0" t="n">
        <v>2029</v>
      </c>
      <c r="E141" s="29" t="n">
        <f aca="false">MAX(0,MIN(2029+1,2024+MAX(0,MIN(1,asof-2024)))-2024)+MAX(0,MIN(2029+1,2024+1+0)-(MAX(2024,asof)+0))</f>
        <v>1</v>
      </c>
      <c r="F141" s="29" t="n">
        <f aca="false">MAX(0,MIN(2029+1,2025+MAX(0,MIN(1,asof-2025)))-2025)+MAX(0,MIN(2029+1,2025+1+0)-(MAX(2025,asof)+0))</f>
        <v>1</v>
      </c>
      <c r="G141" s="29" t="n">
        <f aca="false">MAX(0,MIN(2029+1,2026+MAX(0,MIN(1,asof-2026)))-2026)+MAX(0,MIN(2029+1,2026+1+0)-(MAX(2026,asof)+0))</f>
        <v>1</v>
      </c>
      <c r="H141" s="29" t="n">
        <f aca="false">MAX(0,MIN(2029+1,2027+MAX(0,MIN(1,asof-2027)))-2027)+MAX(0,MIN(2029+1,2027+1+0)-(MAX(2027,asof)+0))</f>
        <v>1</v>
      </c>
      <c r="I141" s="29" t="n">
        <f aca="false">MAX(0,MIN(2029+1,2028+MAX(0,MIN(1,asof-2028)))-2028)+MAX(0,MIN(2029+1,2028+1+0)-(MAX(2028,asof)+0))</f>
        <v>1</v>
      </c>
      <c r="J141" s="29" t="n">
        <f aca="false">MAX(0,MIN(2029+1,2029+MAX(0,MIN(1,asof-2029)))-2029)+MAX(0,MIN(2029+1,2029+1+0)-(MAX(2029,asof)+0))</f>
        <v>1</v>
      </c>
      <c r="K141" s="29" t="n">
        <f aca="false">MAX(0,MIN(2029+1,2030+MAX(0,MIN(1,asof-2030)))-2030)+MAX(0,MIN(2029+1,2030+1+0)-(MAX(2030,asof)+0))</f>
        <v>0</v>
      </c>
      <c r="L141" s="29" t="n">
        <f aca="false">MAX(0,MIN(2029+1,2031+MAX(0,MIN(1,asof-2031)))-2031)+MAX(0,MIN(2029+1,2031+1+0)-(MAX(2031,asof)+0))</f>
        <v>0</v>
      </c>
      <c r="M141" s="29" t="n">
        <f aca="false">MAX(0,MIN(2029+1,2032+MAX(0,MIN(1,asof-2032)))-2032)+MAX(0,MIN(2029+1,2032+1+0)-(MAX(2032,asof)+0))</f>
        <v>0</v>
      </c>
    </row>
    <row r="142" customFormat="false" ht="17.15" hidden="false" customHeight="false" outlineLevel="0" collapsed="false">
      <c r="A142" s="0" t="s">
        <v>1384</v>
      </c>
      <c r="B142" s="0" t="n">
        <v>2030</v>
      </c>
      <c r="E142" s="29" t="n">
        <f aca="false">MAX(0,MIN(2030+1,2024+MAX(0,MIN(1,asof-2024)))-2024)+MAX(0,MIN(2030+1,2024+1+0)-(MAX(2024,asof)+0))</f>
        <v>1</v>
      </c>
      <c r="F142" s="29" t="n">
        <f aca="false">MAX(0,MIN(2030+1,2025+MAX(0,MIN(1,asof-2025)))-2025)+MAX(0,MIN(2030+1,2025+1+0)-(MAX(2025,asof)+0))</f>
        <v>1</v>
      </c>
      <c r="G142" s="29" t="n">
        <f aca="false">MAX(0,MIN(2030+1,2026+MAX(0,MIN(1,asof-2026)))-2026)+MAX(0,MIN(2030+1,2026+1+0)-(MAX(2026,asof)+0))</f>
        <v>1</v>
      </c>
      <c r="H142" s="29" t="n">
        <f aca="false">MAX(0,MIN(2030+1,2027+MAX(0,MIN(1,asof-2027)))-2027)+MAX(0,MIN(2030+1,2027+1+0)-(MAX(2027,asof)+0))</f>
        <v>1</v>
      </c>
      <c r="I142" s="29" t="n">
        <f aca="false">MAX(0,MIN(2030+1,2028+MAX(0,MIN(1,asof-2028)))-2028)+MAX(0,MIN(2030+1,2028+1+0)-(MAX(2028,asof)+0))</f>
        <v>1</v>
      </c>
      <c r="J142" s="29" t="n">
        <f aca="false">MAX(0,MIN(2030+1,2029+MAX(0,MIN(1,asof-2029)))-2029)+MAX(0,MIN(2030+1,2029+1+0)-(MAX(2029,asof)+0))</f>
        <v>1</v>
      </c>
      <c r="K142" s="29" t="n">
        <f aca="false">MAX(0,MIN(2030+1,2030+MAX(0,MIN(1,asof-2030)))-2030)+MAX(0,MIN(2030+1,2030+1+0)-(MAX(2030,asof)+0))</f>
        <v>1</v>
      </c>
      <c r="L142" s="29" t="n">
        <f aca="false">MAX(0,MIN(2030+1,2031+MAX(0,MIN(1,asof-2031)))-2031)+MAX(0,MIN(2030+1,2031+1+0)-(MAX(2031,asof)+0))</f>
        <v>0</v>
      </c>
      <c r="M142" s="29" t="n">
        <f aca="false">MAX(0,MIN(2030+1,2032+MAX(0,MIN(1,asof-2032)))-2032)+MAX(0,MIN(2030+1,2032+1+0)-(MAX(2032,asof)+0))</f>
        <v>0</v>
      </c>
    </row>
    <row r="143" customFormat="false" ht="17.15" hidden="false" customHeight="false" outlineLevel="0" collapsed="false">
      <c r="A143" s="0" t="s">
        <v>1385</v>
      </c>
      <c r="B143" s="0" t="n">
        <v>2031</v>
      </c>
      <c r="E143" s="29" t="n">
        <f aca="false">MAX(0,MIN(2031+1,2024+MAX(0,MIN(1,asof-2024)))-2024)+MAX(0,MIN(2031+1,2024+1+0)-(MAX(2024,asof)+0))</f>
        <v>1</v>
      </c>
      <c r="F143" s="29" t="n">
        <f aca="false">MAX(0,MIN(2031+1,2025+MAX(0,MIN(1,asof-2025)))-2025)+MAX(0,MIN(2031+1,2025+1+0)-(MAX(2025,asof)+0))</f>
        <v>1</v>
      </c>
      <c r="G143" s="29" t="n">
        <f aca="false">MAX(0,MIN(2031+1,2026+MAX(0,MIN(1,asof-2026)))-2026)+MAX(0,MIN(2031+1,2026+1+0)-(MAX(2026,asof)+0))</f>
        <v>1</v>
      </c>
      <c r="H143" s="29" t="n">
        <f aca="false">MAX(0,MIN(2031+1,2027+MAX(0,MIN(1,asof-2027)))-2027)+MAX(0,MIN(2031+1,2027+1+0)-(MAX(2027,asof)+0))</f>
        <v>1</v>
      </c>
      <c r="I143" s="29" t="n">
        <f aca="false">MAX(0,MIN(2031+1,2028+MAX(0,MIN(1,asof-2028)))-2028)+MAX(0,MIN(2031+1,2028+1+0)-(MAX(2028,asof)+0))</f>
        <v>1</v>
      </c>
      <c r="J143" s="29" t="n">
        <f aca="false">MAX(0,MIN(2031+1,2029+MAX(0,MIN(1,asof-2029)))-2029)+MAX(0,MIN(2031+1,2029+1+0)-(MAX(2029,asof)+0))</f>
        <v>1</v>
      </c>
      <c r="K143" s="29" t="n">
        <f aca="false">MAX(0,MIN(2031+1,2030+MAX(0,MIN(1,asof-2030)))-2030)+MAX(0,MIN(2031+1,2030+1+0)-(MAX(2030,asof)+0))</f>
        <v>1</v>
      </c>
      <c r="L143" s="29" t="n">
        <f aca="false">MAX(0,MIN(2031+1,2031+MAX(0,MIN(1,asof-2031)))-2031)+MAX(0,MIN(2031+1,2031+1+0)-(MAX(2031,asof)+0))</f>
        <v>1</v>
      </c>
      <c r="M143" s="29" t="n">
        <f aca="false">MAX(0,MIN(2031+1,2032+MAX(0,MIN(1,asof-2032)))-2032)+MAX(0,MIN(2031+1,2032+1+0)-(MAX(2032,asof)+0))</f>
        <v>0</v>
      </c>
    </row>
    <row r="144" customFormat="false" ht="17.15" hidden="false" customHeight="false" outlineLevel="0" collapsed="false">
      <c r="A144" s="0" t="s">
        <v>1386</v>
      </c>
      <c r="B144" s="0" t="n">
        <v>2032</v>
      </c>
      <c r="E144" s="29" t="n">
        <f aca="false">MAX(0,MIN(2032+1,2024+MAX(0,MIN(1,asof-2024)))-2024)+MAX(0,MIN(2032+1,2024+1+0)-(MAX(2024,asof)+0))</f>
        <v>1</v>
      </c>
      <c r="F144" s="29" t="n">
        <f aca="false">MAX(0,MIN(2032+1,2025+MAX(0,MIN(1,asof-2025)))-2025)+MAX(0,MIN(2032+1,2025+1+0)-(MAX(2025,asof)+0))</f>
        <v>1</v>
      </c>
      <c r="G144" s="29" t="n">
        <f aca="false">MAX(0,MIN(2032+1,2026+MAX(0,MIN(1,asof-2026)))-2026)+MAX(0,MIN(2032+1,2026+1+0)-(MAX(2026,asof)+0))</f>
        <v>1</v>
      </c>
      <c r="H144" s="29" t="n">
        <f aca="false">MAX(0,MIN(2032+1,2027+MAX(0,MIN(1,asof-2027)))-2027)+MAX(0,MIN(2032+1,2027+1+0)-(MAX(2027,asof)+0))</f>
        <v>1</v>
      </c>
      <c r="I144" s="29" t="n">
        <f aca="false">MAX(0,MIN(2032+1,2028+MAX(0,MIN(1,asof-2028)))-2028)+MAX(0,MIN(2032+1,2028+1+0)-(MAX(2028,asof)+0))</f>
        <v>1</v>
      </c>
      <c r="J144" s="29" t="n">
        <f aca="false">MAX(0,MIN(2032+1,2029+MAX(0,MIN(1,asof-2029)))-2029)+MAX(0,MIN(2032+1,2029+1+0)-(MAX(2029,asof)+0))</f>
        <v>1</v>
      </c>
      <c r="K144" s="29" t="n">
        <f aca="false">MAX(0,MIN(2032+1,2030+MAX(0,MIN(1,asof-2030)))-2030)+MAX(0,MIN(2032+1,2030+1+0)-(MAX(2030,asof)+0))</f>
        <v>1</v>
      </c>
      <c r="L144" s="29" t="n">
        <f aca="false">MAX(0,MIN(2032+1,2031+MAX(0,MIN(1,asof-2031)))-2031)+MAX(0,MIN(2032+1,2031+1+0)-(MAX(2031,asof)+0))</f>
        <v>1</v>
      </c>
      <c r="M144" s="29" t="n">
        <f aca="false">MAX(0,MIN(2032+1,2032+MAX(0,MIN(1,asof-2032)))-2032)+MAX(0,MIN(2032+1,2032+1+0)-(MAX(2032,asof)+0))</f>
        <v>1</v>
      </c>
    </row>
    <row r="146" customFormat="false" ht="17.15" hidden="false" customHeight="false" outlineLevel="0" collapsed="false">
      <c r="A146" s="6" t="s">
        <v>1387</v>
      </c>
      <c r="B146" s="6" t="s">
        <v>1376</v>
      </c>
      <c r="C146" s="6"/>
      <c r="D146" s="6"/>
      <c r="E146" s="7" t="s">
        <v>23</v>
      </c>
      <c r="F146" s="7" t="s">
        <v>24</v>
      </c>
      <c r="G146" s="7" t="s">
        <v>25</v>
      </c>
      <c r="H146" s="7" t="s">
        <v>26</v>
      </c>
      <c r="I146" s="7" t="s">
        <v>27</v>
      </c>
      <c r="J146" s="7" t="s">
        <v>28</v>
      </c>
      <c r="K146" s="7" t="s">
        <v>29</v>
      </c>
      <c r="L146" s="7" t="s">
        <v>30</v>
      </c>
      <c r="M146" s="7" t="s">
        <v>31</v>
      </c>
    </row>
    <row r="147" customFormat="false" ht="17.15" hidden="false" customHeight="false" outlineLevel="0" collapsed="false">
      <c r="A147" s="0" t="s">
        <v>1388</v>
      </c>
      <c r="B147" s="0" t="n">
        <v>2023</v>
      </c>
      <c r="E147" s="29" t="n">
        <f aca="false">MAX(0,MIN(2023+1,2024+MAX(0,MIN(1,asof-2024)))-2024)+((1-dly_d1_s)*MAX(0,MIN(2023+1,2024+1+0)-(MAX(2024,asof)+0))+dly_d1_s*MAX(0,MIN(2023+1,2024+1+dly_d1_m/12)-(MAX(2024,asof)+dly_d1_m/12)))</f>
        <v>0</v>
      </c>
      <c r="F147" s="29" t="n">
        <f aca="false">MAX(0,MIN(2023+1,2025+MAX(0,MIN(1,asof-2025)))-2025)+((1-dly_d1_s)*MAX(0,MIN(2023+1,2025+1+0)-(MAX(2025,asof)+0))+dly_d1_s*MAX(0,MIN(2023+1,2025+1+dly_d1_m/12)-(MAX(2025,asof)+dly_d1_m/12)))</f>
        <v>0</v>
      </c>
      <c r="G147" s="29" t="n">
        <f aca="false">MAX(0,MIN(2023+1,2026+MAX(0,MIN(1,asof-2026)))-2026)+((1-dly_d1_s)*MAX(0,MIN(2023+1,2026+1+0)-(MAX(2026,asof)+0))+dly_d1_s*MAX(0,MIN(2023+1,2026+1+dly_d1_m/12)-(MAX(2026,asof)+dly_d1_m/12)))</f>
        <v>0</v>
      </c>
      <c r="H147" s="29" t="n">
        <f aca="false">MAX(0,MIN(2023+1,2027+MAX(0,MIN(1,asof-2027)))-2027)+((1-dly_d1_s)*MAX(0,MIN(2023+1,2027+1+0)-(MAX(2027,asof)+0))+dly_d1_s*MAX(0,MIN(2023+1,2027+1+dly_d1_m/12)-(MAX(2027,asof)+dly_d1_m/12)))</f>
        <v>0</v>
      </c>
      <c r="I147" s="29" t="n">
        <f aca="false">MAX(0,MIN(2023+1,2028+MAX(0,MIN(1,asof-2028)))-2028)+((1-dly_d1_s)*MAX(0,MIN(2023+1,2028+1+0)-(MAX(2028,asof)+0))+dly_d1_s*MAX(0,MIN(2023+1,2028+1+dly_d1_m/12)-(MAX(2028,asof)+dly_d1_m/12)))</f>
        <v>0</v>
      </c>
      <c r="J147" s="29" t="n">
        <f aca="false">MAX(0,MIN(2023+1,2029+MAX(0,MIN(1,asof-2029)))-2029)+((1-dly_d1_s)*MAX(0,MIN(2023+1,2029+1+0)-(MAX(2029,asof)+0))+dly_d1_s*MAX(0,MIN(2023+1,2029+1+dly_d1_m/12)-(MAX(2029,asof)+dly_d1_m/12)))</f>
        <v>0</v>
      </c>
      <c r="K147" s="29" t="n">
        <f aca="false">MAX(0,MIN(2023+1,2030+MAX(0,MIN(1,asof-2030)))-2030)+((1-dly_d1_s)*MAX(0,MIN(2023+1,2030+1+0)-(MAX(2030,asof)+0))+dly_d1_s*MAX(0,MIN(2023+1,2030+1+dly_d1_m/12)-(MAX(2030,asof)+dly_d1_m/12)))</f>
        <v>0</v>
      </c>
      <c r="L147" s="29" t="n">
        <f aca="false">MAX(0,MIN(2023+1,2031+MAX(0,MIN(1,asof-2031)))-2031)+((1-dly_d1_s)*MAX(0,MIN(2023+1,2031+1+0)-(MAX(2031,asof)+0))+dly_d1_s*MAX(0,MIN(2023+1,2031+1+dly_d1_m/12)-(MAX(2031,asof)+dly_d1_m/12)))</f>
        <v>0</v>
      </c>
      <c r="M147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48" customFormat="false" ht="17.15" hidden="false" customHeight="false" outlineLevel="0" collapsed="false">
      <c r="A148" s="0" t="s">
        <v>1389</v>
      </c>
      <c r="B148" s="0" t="n">
        <v>2024</v>
      </c>
      <c r="E148" s="29" t="n">
        <f aca="false">MAX(0,MIN(2024+1,2024+MAX(0,MIN(1,asof-2024)))-2024)+((1-dly_d1_s)*MAX(0,MIN(2024+1,2024+1+0)-(MAX(2024,asof)+0))+dly_d1_s*MAX(0,MIN(2024+1,2024+1+dly_d1_m/12)-(MAX(2024,asof)+dly_d1_m/12)))</f>
        <v>1</v>
      </c>
      <c r="F148" s="29" t="n">
        <f aca="false">MAX(0,MIN(2024+1,2025+MAX(0,MIN(1,asof-2025)))-2025)+((1-dly_d1_s)*MAX(0,MIN(2024+1,2025+1+0)-(MAX(2025,asof)+0))+dly_d1_s*MAX(0,MIN(2024+1,2025+1+dly_d1_m/12)-(MAX(2025,asof)+dly_d1_m/12)))</f>
        <v>0</v>
      </c>
      <c r="G148" s="29" t="n">
        <f aca="false">MAX(0,MIN(2024+1,2026+MAX(0,MIN(1,asof-2026)))-2026)+((1-dly_d1_s)*MAX(0,MIN(2024+1,2026+1+0)-(MAX(2026,asof)+0))+dly_d1_s*MAX(0,MIN(2024+1,2026+1+dly_d1_m/12)-(MAX(2026,asof)+dly_d1_m/12)))</f>
        <v>0</v>
      </c>
      <c r="H148" s="29" t="n">
        <f aca="false">MAX(0,MIN(2024+1,2027+MAX(0,MIN(1,asof-2027)))-2027)+((1-dly_d1_s)*MAX(0,MIN(2024+1,2027+1+0)-(MAX(2027,asof)+0))+dly_d1_s*MAX(0,MIN(2024+1,2027+1+dly_d1_m/12)-(MAX(2027,asof)+dly_d1_m/12)))</f>
        <v>0</v>
      </c>
      <c r="I148" s="29" t="n">
        <f aca="false">MAX(0,MIN(2024+1,2028+MAX(0,MIN(1,asof-2028)))-2028)+((1-dly_d1_s)*MAX(0,MIN(2024+1,2028+1+0)-(MAX(2028,asof)+0))+dly_d1_s*MAX(0,MIN(2024+1,2028+1+dly_d1_m/12)-(MAX(2028,asof)+dly_d1_m/12)))</f>
        <v>0</v>
      </c>
      <c r="J148" s="29" t="n">
        <f aca="false">MAX(0,MIN(2024+1,2029+MAX(0,MIN(1,asof-2029)))-2029)+((1-dly_d1_s)*MAX(0,MIN(2024+1,2029+1+0)-(MAX(2029,asof)+0))+dly_d1_s*MAX(0,MIN(2024+1,2029+1+dly_d1_m/12)-(MAX(2029,asof)+dly_d1_m/12)))</f>
        <v>0</v>
      </c>
      <c r="K148" s="29" t="n">
        <f aca="false">MAX(0,MIN(2024+1,2030+MAX(0,MIN(1,asof-2030)))-2030)+((1-dly_d1_s)*MAX(0,MIN(2024+1,2030+1+0)-(MAX(2030,asof)+0))+dly_d1_s*MAX(0,MIN(2024+1,2030+1+dly_d1_m/12)-(MAX(2030,asof)+dly_d1_m/12)))</f>
        <v>0</v>
      </c>
      <c r="L148" s="29" t="n">
        <f aca="false">MAX(0,MIN(2024+1,2031+MAX(0,MIN(1,asof-2031)))-2031)+((1-dly_d1_s)*MAX(0,MIN(2024+1,2031+1+0)-(MAX(2031,asof)+0))+dly_d1_s*MAX(0,MIN(2024+1,2031+1+dly_d1_m/12)-(MAX(2031,asof)+dly_d1_m/12)))</f>
        <v>0</v>
      </c>
      <c r="M148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49" customFormat="false" ht="17.15" hidden="false" customHeight="false" outlineLevel="0" collapsed="false">
      <c r="A149" s="0" t="s">
        <v>1390</v>
      </c>
      <c r="B149" s="0" t="n">
        <v>2025</v>
      </c>
      <c r="E149" s="29" t="n">
        <f aca="false">MAX(0,MIN(2025+1,2024+MAX(0,MIN(1,asof-2024)))-2024)+((1-dly_d1_s)*MAX(0,MIN(2025+1,2024+1+0)-(MAX(2024,asof)+0))+dly_d1_s*MAX(0,MIN(2025+1,2024+1+dly_d1_m/12)-(MAX(2024,asof)+dly_d1_m/12)))</f>
        <v>1</v>
      </c>
      <c r="F149" s="29" t="n">
        <f aca="false">MAX(0,MIN(2025+1,2025+MAX(0,MIN(1,asof-2025)))-2025)+((1-dly_d1_s)*MAX(0,MIN(2025+1,2025+1+0)-(MAX(2025,asof)+0))+dly_d1_s*MAX(0,MIN(2025+1,2025+1+dly_d1_m/12)-(MAX(2025,asof)+dly_d1_m/12)))</f>
        <v>1</v>
      </c>
      <c r="G149" s="29" t="n">
        <f aca="false">MAX(0,MIN(2025+1,2026+MAX(0,MIN(1,asof-2026)))-2026)+((1-dly_d1_s)*MAX(0,MIN(2025+1,2026+1+0)-(MAX(2026,asof)+0))+dly_d1_s*MAX(0,MIN(2025+1,2026+1+dly_d1_m/12)-(MAX(2026,asof)+dly_d1_m/12)))</f>
        <v>0</v>
      </c>
      <c r="H149" s="29" t="n">
        <f aca="false">MAX(0,MIN(2025+1,2027+MAX(0,MIN(1,asof-2027)))-2027)+((1-dly_d1_s)*MAX(0,MIN(2025+1,2027+1+0)-(MAX(2027,asof)+0))+dly_d1_s*MAX(0,MIN(2025+1,2027+1+dly_d1_m/12)-(MAX(2027,asof)+dly_d1_m/12)))</f>
        <v>0</v>
      </c>
      <c r="I149" s="29" t="n">
        <f aca="false">MAX(0,MIN(2025+1,2028+MAX(0,MIN(1,asof-2028)))-2028)+((1-dly_d1_s)*MAX(0,MIN(2025+1,2028+1+0)-(MAX(2028,asof)+0))+dly_d1_s*MAX(0,MIN(2025+1,2028+1+dly_d1_m/12)-(MAX(2028,asof)+dly_d1_m/12)))</f>
        <v>0</v>
      </c>
      <c r="J149" s="29" t="n">
        <f aca="false">MAX(0,MIN(2025+1,2029+MAX(0,MIN(1,asof-2029)))-2029)+((1-dly_d1_s)*MAX(0,MIN(2025+1,2029+1+0)-(MAX(2029,asof)+0))+dly_d1_s*MAX(0,MIN(2025+1,2029+1+dly_d1_m/12)-(MAX(2029,asof)+dly_d1_m/12)))</f>
        <v>0</v>
      </c>
      <c r="K149" s="29" t="n">
        <f aca="false">MAX(0,MIN(2025+1,2030+MAX(0,MIN(1,asof-2030)))-2030)+((1-dly_d1_s)*MAX(0,MIN(2025+1,2030+1+0)-(MAX(2030,asof)+0))+dly_d1_s*MAX(0,MIN(2025+1,2030+1+dly_d1_m/12)-(MAX(2030,asof)+dly_d1_m/12)))</f>
        <v>0</v>
      </c>
      <c r="L149" s="29" t="n">
        <f aca="false">MAX(0,MIN(2025+1,2031+MAX(0,MIN(1,asof-2031)))-2031)+((1-dly_d1_s)*MAX(0,MIN(2025+1,2031+1+0)-(MAX(2031,asof)+0))+dly_d1_s*MAX(0,MIN(2025+1,2031+1+dly_d1_m/12)-(MAX(2031,asof)+dly_d1_m/12)))</f>
        <v>0</v>
      </c>
      <c r="M149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50" customFormat="false" ht="17.15" hidden="false" customHeight="false" outlineLevel="0" collapsed="false">
      <c r="A150" s="0" t="s">
        <v>1391</v>
      </c>
      <c r="B150" s="0" t="n">
        <v>2026</v>
      </c>
      <c r="E150" s="29" t="n">
        <f aca="false">MAX(0,MIN(2026+1,2024+MAX(0,MIN(1,asof-2024)))-2024)+((1-dly_d1_s)*MAX(0,MIN(2026+1,2024+1+0)-(MAX(2024,asof)+0))+dly_d1_s*MAX(0,MIN(2026+1,2024+1+dly_d1_m/12)-(MAX(2024,asof)+dly_d1_m/12)))</f>
        <v>1</v>
      </c>
      <c r="F150" s="29" t="n">
        <f aca="false">MAX(0,MIN(2026+1,2025+MAX(0,MIN(1,asof-2025)))-2025)+((1-dly_d1_s)*MAX(0,MIN(2026+1,2025+1+0)-(MAX(2025,asof)+0))+dly_d1_s*MAX(0,MIN(2026+1,2025+1+dly_d1_m/12)-(MAX(2025,asof)+dly_d1_m/12)))</f>
        <v>1</v>
      </c>
      <c r="G150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50" s="29" t="n">
        <f aca="false">MAX(0,MIN(2026+1,2027+MAX(0,MIN(1,asof-2027)))-2027)+((1-dly_d1_s)*MAX(0,MIN(2026+1,2027+1+0)-(MAX(2027,asof)+0))+dly_d1_s*MAX(0,MIN(2026+1,2027+1+dly_d1_m/12)-(MAX(2027,asof)+dly_d1_m/12)))</f>
        <v>0</v>
      </c>
      <c r="I150" s="29" t="n">
        <f aca="false">MAX(0,MIN(2026+1,2028+MAX(0,MIN(1,asof-2028)))-2028)+((1-dly_d1_s)*MAX(0,MIN(2026+1,2028+1+0)-(MAX(2028,asof)+0))+dly_d1_s*MAX(0,MIN(2026+1,2028+1+dly_d1_m/12)-(MAX(2028,asof)+dly_d1_m/12)))</f>
        <v>0</v>
      </c>
      <c r="J150" s="29" t="n">
        <f aca="false">MAX(0,MIN(2026+1,2029+MAX(0,MIN(1,asof-2029)))-2029)+((1-dly_d1_s)*MAX(0,MIN(2026+1,2029+1+0)-(MAX(2029,asof)+0))+dly_d1_s*MAX(0,MIN(2026+1,2029+1+dly_d1_m/12)-(MAX(2029,asof)+dly_d1_m/12)))</f>
        <v>0</v>
      </c>
      <c r="K150" s="29" t="n">
        <f aca="false">MAX(0,MIN(2026+1,2030+MAX(0,MIN(1,asof-2030)))-2030)+((1-dly_d1_s)*MAX(0,MIN(2026+1,2030+1+0)-(MAX(2030,asof)+0))+dly_d1_s*MAX(0,MIN(2026+1,2030+1+dly_d1_m/12)-(MAX(2030,asof)+dly_d1_m/12)))</f>
        <v>0</v>
      </c>
      <c r="L150" s="29" t="n">
        <f aca="false">MAX(0,MIN(2026+1,2031+MAX(0,MIN(1,asof-2031)))-2031)+((1-dly_d1_s)*MAX(0,MIN(2026+1,2031+1+0)-(MAX(2031,asof)+0))+dly_d1_s*MAX(0,MIN(2026+1,2031+1+dly_d1_m/12)-(MAX(2031,asof)+dly_d1_m/12)))</f>
        <v>0</v>
      </c>
      <c r="M150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51" customFormat="false" ht="17.15" hidden="false" customHeight="false" outlineLevel="0" collapsed="false">
      <c r="A151" s="0" t="s">
        <v>1392</v>
      </c>
      <c r="B151" s="0" t="n">
        <v>2027</v>
      </c>
      <c r="E151" s="29" t="n">
        <f aca="false">MAX(0,MIN(2027+1,2024+MAX(0,MIN(1,asof-2024)))-2024)+((1-dly_d1_s)*MAX(0,MIN(2027+1,2024+1+0)-(MAX(2024,asof)+0))+dly_d1_s*MAX(0,MIN(2027+1,2024+1+dly_d1_m/12)-(MAX(2024,asof)+dly_d1_m/12)))</f>
        <v>1</v>
      </c>
      <c r="F151" s="29" t="n">
        <f aca="false">MAX(0,MIN(2027+1,2025+MAX(0,MIN(1,asof-2025)))-2025)+((1-dly_d1_s)*MAX(0,MIN(2027+1,2025+1+0)-(MAX(2025,asof)+0))+dly_d1_s*MAX(0,MIN(2027+1,2025+1+dly_d1_m/12)-(MAX(2025,asof)+dly_d1_m/12)))</f>
        <v>1</v>
      </c>
      <c r="G151" s="29" t="n">
        <f aca="false">MAX(0,MIN(2027+1,2026+MAX(0,MIN(1,asof-2026)))-2026)+((1-dly_d1_s)*MAX(0,MIN(2027+1,2026+1+0)-(MAX(2026,asof)+0))+dly_d1_s*MAX(0,MIN(2027+1,2026+1+dly_d1_m/12)-(MAX(2026,asof)+dly_d1_m/12)))</f>
        <v>1</v>
      </c>
      <c r="H151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51" s="29" t="n">
        <f aca="false">MAX(0,MIN(2027+1,2028+MAX(0,MIN(1,asof-2028)))-2028)+((1-dly_d1_s)*MAX(0,MIN(2027+1,2028+1+0)-(MAX(2028,asof)+0))+dly_d1_s*MAX(0,MIN(2027+1,2028+1+dly_d1_m/12)-(MAX(2028,asof)+dly_d1_m/12)))</f>
        <v>0</v>
      </c>
      <c r="J151" s="29" t="n">
        <f aca="false">MAX(0,MIN(2027+1,2029+MAX(0,MIN(1,asof-2029)))-2029)+((1-dly_d1_s)*MAX(0,MIN(2027+1,2029+1+0)-(MAX(2029,asof)+0))+dly_d1_s*MAX(0,MIN(2027+1,2029+1+dly_d1_m/12)-(MAX(2029,asof)+dly_d1_m/12)))</f>
        <v>0</v>
      </c>
      <c r="K151" s="29" t="n">
        <f aca="false">MAX(0,MIN(2027+1,2030+MAX(0,MIN(1,asof-2030)))-2030)+((1-dly_d1_s)*MAX(0,MIN(2027+1,2030+1+0)-(MAX(2030,asof)+0))+dly_d1_s*MAX(0,MIN(2027+1,2030+1+dly_d1_m/12)-(MAX(2030,asof)+dly_d1_m/12)))</f>
        <v>0</v>
      </c>
      <c r="L151" s="29" t="n">
        <f aca="false">MAX(0,MIN(2027+1,2031+MAX(0,MIN(1,asof-2031)))-2031)+((1-dly_d1_s)*MAX(0,MIN(2027+1,2031+1+0)-(MAX(2031,asof)+0))+dly_d1_s*MAX(0,MIN(2027+1,2031+1+dly_d1_m/12)-(MAX(2031,asof)+dly_d1_m/12)))</f>
        <v>0</v>
      </c>
      <c r="M151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52" customFormat="false" ht="17.15" hidden="false" customHeight="false" outlineLevel="0" collapsed="false">
      <c r="A152" s="0" t="s">
        <v>1393</v>
      </c>
      <c r="B152" s="0" t="n">
        <v>2028</v>
      </c>
      <c r="E152" s="29" t="n">
        <f aca="false">MAX(0,MIN(2028+1,2024+MAX(0,MIN(1,asof-2024)))-2024)+((1-dly_d1_s)*MAX(0,MIN(2028+1,2024+1+0)-(MAX(2024,asof)+0))+dly_d1_s*MAX(0,MIN(2028+1,2024+1+dly_d1_m/12)-(MAX(2024,asof)+dly_d1_m/12)))</f>
        <v>1</v>
      </c>
      <c r="F152" s="29" t="n">
        <f aca="false">MAX(0,MIN(2028+1,2025+MAX(0,MIN(1,asof-2025)))-2025)+((1-dly_d1_s)*MAX(0,MIN(2028+1,2025+1+0)-(MAX(2025,asof)+0))+dly_d1_s*MAX(0,MIN(2028+1,2025+1+dly_d1_m/12)-(MAX(2025,asof)+dly_d1_m/12)))</f>
        <v>1</v>
      </c>
      <c r="G152" s="29" t="n">
        <f aca="false">MAX(0,MIN(2028+1,2026+MAX(0,MIN(1,asof-2026)))-2026)+((1-dly_d1_s)*MAX(0,MIN(2028+1,2026+1+0)-(MAX(2026,asof)+0))+dly_d1_s*MAX(0,MIN(2028+1,2026+1+dly_d1_m/12)-(MAX(2026,asof)+dly_d1_m/12)))</f>
        <v>1</v>
      </c>
      <c r="H152" s="29" t="n">
        <f aca="false">MAX(0,MIN(2028+1,2027+MAX(0,MIN(1,asof-2027)))-2027)+((1-dly_d1_s)*MAX(0,MIN(2028+1,2027+1+0)-(MAX(2027,asof)+0))+dly_d1_s*MAX(0,MIN(2028+1,2027+1+dly_d1_m/12)-(MAX(2027,asof)+dly_d1_m/12)))</f>
        <v>1</v>
      </c>
      <c r="I152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52" s="29" t="n">
        <f aca="false">MAX(0,MIN(2028+1,2029+MAX(0,MIN(1,asof-2029)))-2029)+((1-dly_d1_s)*MAX(0,MIN(2028+1,2029+1+0)-(MAX(2029,asof)+0))+dly_d1_s*MAX(0,MIN(2028+1,2029+1+dly_d1_m/12)-(MAX(2029,asof)+dly_d1_m/12)))</f>
        <v>0</v>
      </c>
      <c r="K152" s="29" t="n">
        <f aca="false">MAX(0,MIN(2028+1,2030+MAX(0,MIN(1,asof-2030)))-2030)+((1-dly_d1_s)*MAX(0,MIN(2028+1,2030+1+0)-(MAX(2030,asof)+0))+dly_d1_s*MAX(0,MIN(2028+1,2030+1+dly_d1_m/12)-(MAX(2030,asof)+dly_d1_m/12)))</f>
        <v>0</v>
      </c>
      <c r="L152" s="29" t="n">
        <f aca="false">MAX(0,MIN(2028+1,2031+MAX(0,MIN(1,asof-2031)))-2031)+((1-dly_d1_s)*MAX(0,MIN(2028+1,2031+1+0)-(MAX(2031,asof)+0))+dly_d1_s*MAX(0,MIN(2028+1,2031+1+dly_d1_m/12)-(MAX(2031,asof)+dly_d1_m/12)))</f>
        <v>0</v>
      </c>
      <c r="M152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53" customFormat="false" ht="17.15" hidden="false" customHeight="false" outlineLevel="0" collapsed="false">
      <c r="A153" s="0" t="s">
        <v>1394</v>
      </c>
      <c r="B153" s="0" t="n">
        <v>2029</v>
      </c>
      <c r="E153" s="29" t="n">
        <f aca="false">MAX(0,MIN(2029+1,2024+MAX(0,MIN(1,asof-2024)))-2024)+((1-dly_d1_s)*MAX(0,MIN(2029+1,2024+1+0)-(MAX(2024,asof)+0))+dly_d1_s*MAX(0,MIN(2029+1,2024+1+dly_d1_m/12)-(MAX(2024,asof)+dly_d1_m/12)))</f>
        <v>1</v>
      </c>
      <c r="F153" s="29" t="n">
        <f aca="false">MAX(0,MIN(2029+1,2025+MAX(0,MIN(1,asof-2025)))-2025)+((1-dly_d1_s)*MAX(0,MIN(2029+1,2025+1+0)-(MAX(2025,asof)+0))+dly_d1_s*MAX(0,MIN(2029+1,2025+1+dly_d1_m/12)-(MAX(2025,asof)+dly_d1_m/12)))</f>
        <v>1</v>
      </c>
      <c r="G153" s="29" t="n">
        <f aca="false">MAX(0,MIN(2029+1,2026+MAX(0,MIN(1,asof-2026)))-2026)+((1-dly_d1_s)*MAX(0,MIN(2029+1,2026+1+0)-(MAX(2026,asof)+0))+dly_d1_s*MAX(0,MIN(2029+1,2026+1+dly_d1_m/12)-(MAX(2026,asof)+dly_d1_m/12)))</f>
        <v>1</v>
      </c>
      <c r="H153" s="29" t="n">
        <f aca="false">MAX(0,MIN(2029+1,2027+MAX(0,MIN(1,asof-2027)))-2027)+((1-dly_d1_s)*MAX(0,MIN(2029+1,2027+1+0)-(MAX(2027,asof)+0))+dly_d1_s*MAX(0,MIN(2029+1,2027+1+dly_d1_m/12)-(MAX(2027,asof)+dly_d1_m/12)))</f>
        <v>1</v>
      </c>
      <c r="I153" s="29" t="n">
        <f aca="false">MAX(0,MIN(2029+1,2028+MAX(0,MIN(1,asof-2028)))-2028)+((1-dly_d1_s)*MAX(0,MIN(2029+1,2028+1+0)-(MAX(2028,asof)+0))+dly_d1_s*MAX(0,MIN(2029+1,2028+1+dly_d1_m/12)-(MAX(2028,asof)+dly_d1_m/12)))</f>
        <v>1</v>
      </c>
      <c r="J153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53" s="29" t="n">
        <f aca="false">MAX(0,MIN(2029+1,2030+MAX(0,MIN(1,asof-2030)))-2030)+((1-dly_d1_s)*MAX(0,MIN(2029+1,2030+1+0)-(MAX(2030,asof)+0))+dly_d1_s*MAX(0,MIN(2029+1,2030+1+dly_d1_m/12)-(MAX(2030,asof)+dly_d1_m/12)))</f>
        <v>0</v>
      </c>
      <c r="L153" s="29" t="n">
        <f aca="false">MAX(0,MIN(2029+1,2031+MAX(0,MIN(1,asof-2031)))-2031)+((1-dly_d1_s)*MAX(0,MIN(2029+1,2031+1+0)-(MAX(2031,asof)+0))+dly_d1_s*MAX(0,MIN(2029+1,2031+1+dly_d1_m/12)-(MAX(2031,asof)+dly_d1_m/12)))</f>
        <v>0</v>
      </c>
      <c r="M153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54" customFormat="false" ht="17.15" hidden="false" customHeight="false" outlineLevel="0" collapsed="false">
      <c r="A154" s="0" t="s">
        <v>1395</v>
      </c>
      <c r="B154" s="0" t="n">
        <v>2030</v>
      </c>
      <c r="E154" s="29" t="n">
        <f aca="false">MAX(0,MIN(2030+1,2024+MAX(0,MIN(1,asof-2024)))-2024)+((1-dly_d1_s)*MAX(0,MIN(2030+1,2024+1+0)-(MAX(2024,asof)+0))+dly_d1_s*MAX(0,MIN(2030+1,2024+1+dly_d1_m/12)-(MAX(2024,asof)+dly_d1_m/12)))</f>
        <v>1</v>
      </c>
      <c r="F154" s="29" t="n">
        <f aca="false">MAX(0,MIN(2030+1,2025+MAX(0,MIN(1,asof-2025)))-2025)+((1-dly_d1_s)*MAX(0,MIN(2030+1,2025+1+0)-(MAX(2025,asof)+0))+dly_d1_s*MAX(0,MIN(2030+1,2025+1+dly_d1_m/12)-(MAX(2025,asof)+dly_d1_m/12)))</f>
        <v>1</v>
      </c>
      <c r="G154" s="29" t="n">
        <f aca="false">MAX(0,MIN(2030+1,2026+MAX(0,MIN(1,asof-2026)))-2026)+((1-dly_d1_s)*MAX(0,MIN(2030+1,2026+1+0)-(MAX(2026,asof)+0))+dly_d1_s*MAX(0,MIN(2030+1,2026+1+dly_d1_m/12)-(MAX(2026,asof)+dly_d1_m/12)))</f>
        <v>1</v>
      </c>
      <c r="H154" s="29" t="n">
        <f aca="false">MAX(0,MIN(2030+1,2027+MAX(0,MIN(1,asof-2027)))-2027)+((1-dly_d1_s)*MAX(0,MIN(2030+1,2027+1+0)-(MAX(2027,asof)+0))+dly_d1_s*MAX(0,MIN(2030+1,2027+1+dly_d1_m/12)-(MAX(2027,asof)+dly_d1_m/12)))</f>
        <v>1</v>
      </c>
      <c r="I154" s="29" t="n">
        <f aca="false">MAX(0,MIN(2030+1,2028+MAX(0,MIN(1,asof-2028)))-2028)+((1-dly_d1_s)*MAX(0,MIN(2030+1,2028+1+0)-(MAX(2028,asof)+0))+dly_d1_s*MAX(0,MIN(2030+1,2028+1+dly_d1_m/12)-(MAX(2028,asof)+dly_d1_m/12)))</f>
        <v>1</v>
      </c>
      <c r="J154" s="29" t="n">
        <f aca="false">MAX(0,MIN(2030+1,2029+MAX(0,MIN(1,asof-2029)))-2029)+((1-dly_d1_s)*MAX(0,MIN(2030+1,2029+1+0)-(MAX(2029,asof)+0))+dly_d1_s*MAX(0,MIN(2030+1,2029+1+dly_d1_m/12)-(MAX(2029,asof)+dly_d1_m/12)))</f>
        <v>1</v>
      </c>
      <c r="K154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54" s="29" t="n">
        <f aca="false">MAX(0,MIN(2030+1,2031+MAX(0,MIN(1,asof-2031)))-2031)+((1-dly_d1_s)*MAX(0,MIN(2030+1,2031+1+0)-(MAX(2031,asof)+0))+dly_d1_s*MAX(0,MIN(2030+1,2031+1+dly_d1_m/12)-(MAX(2031,asof)+dly_d1_m/12)))</f>
        <v>0</v>
      </c>
      <c r="M154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55" customFormat="false" ht="17.15" hidden="false" customHeight="false" outlineLevel="0" collapsed="false">
      <c r="A155" s="0" t="s">
        <v>1396</v>
      </c>
      <c r="B155" s="0" t="n">
        <v>2031</v>
      </c>
      <c r="E155" s="29" t="n">
        <f aca="false">MAX(0,MIN(2031+1,2024+MAX(0,MIN(1,asof-2024)))-2024)+((1-dly_d1_s)*MAX(0,MIN(2031+1,2024+1+0)-(MAX(2024,asof)+0))+dly_d1_s*MAX(0,MIN(2031+1,2024+1+dly_d1_m/12)-(MAX(2024,asof)+dly_d1_m/12)))</f>
        <v>1</v>
      </c>
      <c r="F155" s="29" t="n">
        <f aca="false">MAX(0,MIN(2031+1,2025+MAX(0,MIN(1,asof-2025)))-2025)+((1-dly_d1_s)*MAX(0,MIN(2031+1,2025+1+0)-(MAX(2025,asof)+0))+dly_d1_s*MAX(0,MIN(2031+1,2025+1+dly_d1_m/12)-(MAX(2025,asof)+dly_d1_m/12)))</f>
        <v>1</v>
      </c>
      <c r="G155" s="29" t="n">
        <f aca="false">MAX(0,MIN(2031+1,2026+MAX(0,MIN(1,asof-2026)))-2026)+((1-dly_d1_s)*MAX(0,MIN(2031+1,2026+1+0)-(MAX(2026,asof)+0))+dly_d1_s*MAX(0,MIN(2031+1,2026+1+dly_d1_m/12)-(MAX(2026,asof)+dly_d1_m/12)))</f>
        <v>1</v>
      </c>
      <c r="H155" s="29" t="n">
        <f aca="false">MAX(0,MIN(2031+1,2027+MAX(0,MIN(1,asof-2027)))-2027)+((1-dly_d1_s)*MAX(0,MIN(2031+1,2027+1+0)-(MAX(2027,asof)+0))+dly_d1_s*MAX(0,MIN(2031+1,2027+1+dly_d1_m/12)-(MAX(2027,asof)+dly_d1_m/12)))</f>
        <v>1</v>
      </c>
      <c r="I155" s="29" t="n">
        <f aca="false">MAX(0,MIN(2031+1,2028+MAX(0,MIN(1,asof-2028)))-2028)+((1-dly_d1_s)*MAX(0,MIN(2031+1,2028+1+0)-(MAX(2028,asof)+0))+dly_d1_s*MAX(0,MIN(2031+1,2028+1+dly_d1_m/12)-(MAX(2028,asof)+dly_d1_m/12)))</f>
        <v>1</v>
      </c>
      <c r="J155" s="29" t="n">
        <f aca="false">MAX(0,MIN(2031+1,2029+MAX(0,MIN(1,asof-2029)))-2029)+((1-dly_d1_s)*MAX(0,MIN(2031+1,2029+1+0)-(MAX(2029,asof)+0))+dly_d1_s*MAX(0,MIN(2031+1,2029+1+dly_d1_m/12)-(MAX(2029,asof)+dly_d1_m/12)))</f>
        <v>1</v>
      </c>
      <c r="K155" s="29" t="n">
        <f aca="false">MAX(0,MIN(2031+1,2030+MAX(0,MIN(1,asof-2030)))-2030)+((1-dly_d1_s)*MAX(0,MIN(2031+1,2030+1+0)-(MAX(2030,asof)+0))+dly_d1_s*MAX(0,MIN(2031+1,2030+1+dly_d1_m/12)-(MAX(2030,asof)+dly_d1_m/12)))</f>
        <v>1</v>
      </c>
      <c r="L155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55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56" customFormat="false" ht="17.15" hidden="false" customHeight="false" outlineLevel="0" collapsed="false">
      <c r="A156" s="0" t="s">
        <v>1397</v>
      </c>
      <c r="B156" s="0" t="n">
        <v>2032</v>
      </c>
      <c r="E156" s="29" t="n">
        <f aca="false">MAX(0,MIN(2032+1,2024+MAX(0,MIN(1,asof-2024)))-2024)+((1-dly_d1_s)*MAX(0,MIN(2032+1,2024+1+0)-(MAX(2024,asof)+0))+dly_d1_s*MAX(0,MIN(2032+1,2024+1+dly_d1_m/12)-(MAX(2024,asof)+dly_d1_m/12)))</f>
        <v>1</v>
      </c>
      <c r="F156" s="29" t="n">
        <f aca="false">MAX(0,MIN(2032+1,2025+MAX(0,MIN(1,asof-2025)))-2025)+((1-dly_d1_s)*MAX(0,MIN(2032+1,2025+1+0)-(MAX(2025,asof)+0))+dly_d1_s*MAX(0,MIN(2032+1,2025+1+dly_d1_m/12)-(MAX(2025,asof)+dly_d1_m/12)))</f>
        <v>1</v>
      </c>
      <c r="G156" s="29" t="n">
        <f aca="false">MAX(0,MIN(2032+1,2026+MAX(0,MIN(1,asof-2026)))-2026)+((1-dly_d1_s)*MAX(0,MIN(2032+1,2026+1+0)-(MAX(2026,asof)+0))+dly_d1_s*MAX(0,MIN(2032+1,2026+1+dly_d1_m/12)-(MAX(2026,asof)+dly_d1_m/12)))</f>
        <v>1</v>
      </c>
      <c r="H156" s="29" t="n">
        <f aca="false">MAX(0,MIN(2032+1,2027+MAX(0,MIN(1,asof-2027)))-2027)+((1-dly_d1_s)*MAX(0,MIN(2032+1,2027+1+0)-(MAX(2027,asof)+0))+dly_d1_s*MAX(0,MIN(2032+1,2027+1+dly_d1_m/12)-(MAX(2027,asof)+dly_d1_m/12)))</f>
        <v>1</v>
      </c>
      <c r="I156" s="29" t="n">
        <f aca="false">MAX(0,MIN(2032+1,2028+MAX(0,MIN(1,asof-2028)))-2028)+((1-dly_d1_s)*MAX(0,MIN(2032+1,2028+1+0)-(MAX(2028,asof)+0))+dly_d1_s*MAX(0,MIN(2032+1,2028+1+dly_d1_m/12)-(MAX(2028,asof)+dly_d1_m/12)))</f>
        <v>1</v>
      </c>
      <c r="J156" s="29" t="n">
        <f aca="false">MAX(0,MIN(2032+1,2029+MAX(0,MIN(1,asof-2029)))-2029)+((1-dly_d1_s)*MAX(0,MIN(2032+1,2029+1+0)-(MAX(2029,asof)+0))+dly_d1_s*MAX(0,MIN(2032+1,2029+1+dly_d1_m/12)-(MAX(2029,asof)+dly_d1_m/12)))</f>
        <v>1</v>
      </c>
      <c r="K156" s="29" t="n">
        <f aca="false">MAX(0,MIN(2032+1,2030+MAX(0,MIN(1,asof-2030)))-2030)+((1-dly_d1_s)*MAX(0,MIN(2032+1,2030+1+0)-(MAX(2030,asof)+0))+dly_d1_s*MAX(0,MIN(2032+1,2030+1+dly_d1_m/12)-(MAX(2030,asof)+dly_d1_m/12)))</f>
        <v>1</v>
      </c>
      <c r="L156" s="29" t="n">
        <f aca="false">MAX(0,MIN(2032+1,2031+MAX(0,MIN(1,asof-2031)))-2031)+((1-dly_d1_s)*MAX(0,MIN(2032+1,2031+1+0)-(MAX(2031,asof)+0))+dly_d1_s*MAX(0,MIN(2032+1,2031+1+dly_d1_m/12)-(MAX(2031,asof)+dly_d1_m/12)))</f>
        <v>1</v>
      </c>
      <c r="M156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58" customFormat="false" ht="17.15" hidden="false" customHeight="false" outlineLevel="0" collapsed="false">
      <c r="A158" s="6" t="s">
        <v>1398</v>
      </c>
      <c r="B158" s="6" t="s">
        <v>1376</v>
      </c>
      <c r="C158" s="6"/>
      <c r="D158" s="6"/>
      <c r="E158" s="7" t="s">
        <v>23</v>
      </c>
      <c r="F158" s="7" t="s">
        <v>24</v>
      </c>
      <c r="G158" s="7" t="s">
        <v>25</v>
      </c>
      <c r="H158" s="7" t="s">
        <v>26</v>
      </c>
      <c r="I158" s="7" t="s">
        <v>27</v>
      </c>
      <c r="J158" s="7" t="s">
        <v>28</v>
      </c>
      <c r="K158" s="7" t="s">
        <v>29</v>
      </c>
      <c r="L158" s="7" t="s">
        <v>30</v>
      </c>
      <c r="M158" s="7" t="s">
        <v>31</v>
      </c>
    </row>
    <row r="159" customFormat="false" ht="17.15" hidden="false" customHeight="false" outlineLevel="0" collapsed="false">
      <c r="A159" s="0" t="s">
        <v>1399</v>
      </c>
      <c r="B159" s="0" t="n">
        <v>2023</v>
      </c>
      <c r="E159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59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59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59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59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59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59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59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59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60" customFormat="false" ht="17.15" hidden="false" customHeight="false" outlineLevel="0" collapsed="false">
      <c r="A160" s="0" t="s">
        <v>1400</v>
      </c>
      <c r="B160" s="0" t="n">
        <v>2024</v>
      </c>
      <c r="E160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60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60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60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60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60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60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60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60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61" customFormat="false" ht="17.15" hidden="false" customHeight="false" outlineLevel="0" collapsed="false">
      <c r="A161" s="0" t="s">
        <v>1401</v>
      </c>
      <c r="B161" s="0" t="n">
        <v>2025</v>
      </c>
      <c r="E161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61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61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61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61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61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61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61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61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62" customFormat="false" ht="17.15" hidden="false" customHeight="false" outlineLevel="0" collapsed="false">
      <c r="A162" s="0" t="s">
        <v>1402</v>
      </c>
      <c r="B162" s="0" t="n">
        <v>2026</v>
      </c>
      <c r="E162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62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62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62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62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62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62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62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62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63" customFormat="false" ht="17.15" hidden="false" customHeight="false" outlineLevel="0" collapsed="false">
      <c r="A163" s="0" t="s">
        <v>1403</v>
      </c>
      <c r="B163" s="0" t="n">
        <v>2027</v>
      </c>
      <c r="E163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63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63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63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63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63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63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63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63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64" customFormat="false" ht="17.15" hidden="false" customHeight="false" outlineLevel="0" collapsed="false">
      <c r="A164" s="0" t="s">
        <v>1404</v>
      </c>
      <c r="B164" s="0" t="n">
        <v>2028</v>
      </c>
      <c r="E164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64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64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64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64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64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64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64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64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65" customFormat="false" ht="17.15" hidden="false" customHeight="false" outlineLevel="0" collapsed="false">
      <c r="A165" s="0" t="s">
        <v>1405</v>
      </c>
      <c r="B165" s="0" t="n">
        <v>2029</v>
      </c>
      <c r="E165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65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65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65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65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65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65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65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65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66" customFormat="false" ht="17.15" hidden="false" customHeight="false" outlineLevel="0" collapsed="false">
      <c r="A166" s="0" t="s">
        <v>1406</v>
      </c>
      <c r="B166" s="0" t="n">
        <v>2030</v>
      </c>
      <c r="E166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66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66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66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66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66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66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66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66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67" customFormat="false" ht="17.15" hidden="false" customHeight="false" outlineLevel="0" collapsed="false">
      <c r="A167" s="0" t="s">
        <v>1407</v>
      </c>
      <c r="B167" s="0" t="n">
        <v>2031</v>
      </c>
      <c r="E167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67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67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67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67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67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67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67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67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68" customFormat="false" ht="17.15" hidden="false" customHeight="false" outlineLevel="0" collapsed="false">
      <c r="A168" s="0" t="s">
        <v>1408</v>
      </c>
      <c r="B168" s="0" t="n">
        <v>2032</v>
      </c>
      <c r="E168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68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68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68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68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68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68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68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68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70" customFormat="false" ht="17.15" hidden="false" customHeight="false" outlineLevel="0" collapsed="false">
      <c r="A170" s="8" t="s">
        <v>1409</v>
      </c>
    </row>
    <row r="171" customFormat="false" ht="15" hidden="false" customHeight="false" outlineLevel="0" collapsed="false">
      <c r="A171" s="6" t="s">
        <v>16</v>
      </c>
      <c r="B171" s="6" t="s">
        <v>1410</v>
      </c>
      <c r="C171" s="6"/>
      <c r="D171" s="7" t="s">
        <v>22</v>
      </c>
      <c r="E171" s="7" t="s">
        <v>23</v>
      </c>
      <c r="F171" s="7" t="s">
        <v>24</v>
      </c>
      <c r="G171" s="7" t="s">
        <v>25</v>
      </c>
      <c r="H171" s="7" t="s">
        <v>26</v>
      </c>
      <c r="I171" s="7" t="s">
        <v>27</v>
      </c>
      <c r="J171" s="7" t="s">
        <v>28</v>
      </c>
      <c r="K171" s="7" t="s">
        <v>29</v>
      </c>
      <c r="L171" s="7" t="s">
        <v>30</v>
      </c>
      <c r="M171" s="7" t="s">
        <v>31</v>
      </c>
    </row>
    <row r="172" customFormat="false" ht="15" hidden="false" customHeight="false" outlineLevel="0" collapsed="false">
      <c r="A172" s="5" t="s">
        <v>1411</v>
      </c>
      <c r="D172" s="24" t="n">
        <f aca="false">SUM($D$130:D130)</f>
        <v>0.630578355681972</v>
      </c>
      <c r="E172" s="24" t="n">
        <f aca="false">SUM($D$130:E130)</f>
        <v>4.58957736166105</v>
      </c>
      <c r="F172" s="24" t="n">
        <f aca="false">SUM($D$130:F130)</f>
        <v>14.6682106949944</v>
      </c>
      <c r="G172" s="24" t="n">
        <f aca="false">SUM($D$130:G130)</f>
        <v>14.6682106949944</v>
      </c>
      <c r="H172" s="24" t="n">
        <f aca="false">SUM($D$130:H130)</f>
        <v>14.6682106949944</v>
      </c>
      <c r="I172" s="24" t="n">
        <f aca="false">SUM($D$130:I130)</f>
        <v>14.6682106949944</v>
      </c>
      <c r="J172" s="24" t="n">
        <f aca="false">SUM($D$130:J130)</f>
        <v>14.6682106949944</v>
      </c>
      <c r="K172" s="24" t="n">
        <f aca="false">SUM($D$130:K130)</f>
        <v>14.6682106949944</v>
      </c>
      <c r="L172" s="24" t="n">
        <f aca="false">SUM($D$130:L130)</f>
        <v>14.6682106949944</v>
      </c>
      <c r="M172" s="24" t="n">
        <f aca="false">SUM($D$130:M130)</f>
        <v>14.6682106949944</v>
      </c>
    </row>
    <row r="173" customFormat="false" ht="15" hidden="false" customHeight="false" outlineLevel="0" collapsed="false">
      <c r="A173" s="5" t="s">
        <v>1412</v>
      </c>
      <c r="D173" s="24" t="n">
        <f aca="false">SUM($D$127:D127)</f>
        <v>0</v>
      </c>
      <c r="E173" s="24" t="n">
        <f aca="false">SUM($D$127:E127)</f>
        <v>0</v>
      </c>
      <c r="F173" s="24" t="n">
        <f aca="false">SUM($D$127:F127)</f>
        <v>0</v>
      </c>
      <c r="G173" s="24" t="n">
        <f aca="false">SUM($D$127:G127)</f>
        <v>3.11976412772586</v>
      </c>
      <c r="H173" s="24" t="n">
        <f aca="false">SUM($D$127:H127)</f>
        <v>3.11976412772586</v>
      </c>
      <c r="I173" s="24" t="n">
        <f aca="false">SUM($D$127:I127)</f>
        <v>3.11976412772586</v>
      </c>
      <c r="J173" s="24" t="n">
        <f aca="false">SUM($D$127:J127)</f>
        <v>3.11976412772586</v>
      </c>
      <c r="K173" s="24" t="n">
        <f aca="false">SUM($D$127:K127)</f>
        <v>3.11976412772586</v>
      </c>
      <c r="L173" s="24" t="n">
        <f aca="false">SUM($D$127:L127)</f>
        <v>3.11976412772586</v>
      </c>
      <c r="M173" s="24" t="n">
        <f aca="false">SUM($D$127:M127)</f>
        <v>3.11976412772586</v>
      </c>
    </row>
    <row r="174" customFormat="false" ht="15" hidden="false" customHeight="false" outlineLevel="0" collapsed="false">
      <c r="A174" s="5" t="s">
        <v>1413</v>
      </c>
      <c r="B174" s="0" t="s">
        <v>1414</v>
      </c>
      <c r="D174" s="24" t="n">
        <f aca="false">SUMPRODUCT($E$128:$M$128,$E$135:$M$135)</f>
        <v>0</v>
      </c>
      <c r="E174" s="24" t="n">
        <f aca="false">SUMPRODUCT($E$128:$M$128,$E$136:$M$136)</f>
        <v>1.61980834349181</v>
      </c>
      <c r="F174" s="24" t="n">
        <f aca="false">SUMPRODUCT($E$128:$M$128,$E$137:$M$137)</f>
        <v>10.347932638339</v>
      </c>
      <c r="G174" s="24" t="n">
        <f aca="false">SUMPRODUCT($E$128:$M$128,$E$138:$M$138)</f>
        <v>17.5345399716723</v>
      </c>
      <c r="H174" s="24" t="n">
        <f aca="false">SUMPRODUCT($E$128:$M$128,$E$139:$M$139)</f>
        <v>20.8035184295128</v>
      </c>
      <c r="I174" s="24" t="n">
        <f aca="false">SUMPRODUCT($E$128:$M$128,$E$140:$M$140)</f>
        <v>24.6222324904218</v>
      </c>
      <c r="J174" s="24" t="n">
        <f aca="false">SUMPRODUCT($E$128:$M$128,$E$141:$M$141)</f>
        <v>28.7722538214193</v>
      </c>
      <c r="K174" s="24" t="n">
        <f aca="false">SUMPRODUCT($E$128:$M$128,$E$142:$M$142)</f>
        <v>33.2983088434672</v>
      </c>
      <c r="L174" s="24" t="n">
        <f aca="false">SUMPRODUCT($E$128:$M$128,$E$143:$M$143)</f>
        <v>35.4521549973133</v>
      </c>
      <c r="M174" s="24" t="n">
        <f aca="false">SUMPRODUCT($E$128:$M$128,$E$144:$M$144)</f>
        <v>37.8213857665441</v>
      </c>
    </row>
    <row r="175" customFormat="false" ht="15" hidden="false" customHeight="false" outlineLevel="0" collapsed="false">
      <c r="A175" s="5" t="s">
        <v>1413</v>
      </c>
      <c r="B175" s="0" t="s">
        <v>1415</v>
      </c>
      <c r="D175" s="24" t="n">
        <f aca="false">SUMPRODUCT($E$128:$M$128,$E$147:$M$147)</f>
        <v>0</v>
      </c>
      <c r="E175" s="24" t="n">
        <f aca="false">SUMPRODUCT($E$128:$M$128,$E$148:$M$148)</f>
        <v>1.61980834349181</v>
      </c>
      <c r="F175" s="24" t="n">
        <f aca="false">SUMPRODUCT($E$128:$M$128,$E$149:$M$149)</f>
        <v>10.347932638339</v>
      </c>
      <c r="G175" s="24" t="n">
        <f aca="false">SUMPRODUCT($E$128:$M$128,$E$150:$M$150)</f>
        <v>17.0943602725057</v>
      </c>
      <c r="H175" s="24" t="n">
        <f aca="false">SUMPRODUCT($E$128:$M$128,$E$151:$M$151)</f>
        <v>20.2314471993907</v>
      </c>
      <c r="I175" s="24" t="n">
        <f aca="false">SUMPRODUCT($E$128:$M$128,$E$152:$M$152)</f>
        <v>23.9539575297627</v>
      </c>
      <c r="J175" s="24" t="n">
        <f aca="false">SUMPRODUCT($E$128:$M$128,$E$153:$M$153)</f>
        <v>28.0460000884947</v>
      </c>
      <c r="K175" s="24" t="n">
        <f aca="false">SUMPRODUCT($E$128:$M$128,$E$154:$M$154)</f>
        <v>32.5062492146088</v>
      </c>
      <c r="L175" s="24" t="n">
        <f aca="false">SUMPRODUCT($E$128:$M$128,$E$155:$M$155)</f>
        <v>35.0752319203902</v>
      </c>
      <c r="M175" s="24" t="n">
        <f aca="false">SUMPRODUCT($E$128:$M$128,$E$156:$M$156)</f>
        <v>37.4067703819287</v>
      </c>
    </row>
    <row r="176" customFormat="false" ht="15" hidden="false" customHeight="false" outlineLevel="0" collapsed="false">
      <c r="A176" s="5" t="s">
        <v>1413</v>
      </c>
      <c r="B176" s="0" t="s">
        <v>1416</v>
      </c>
      <c r="D176" s="24" t="n">
        <f aca="false">SUMPRODUCT($E$128:$M$128,$E$159:$M$159)</f>
        <v>0</v>
      </c>
      <c r="E176" s="24" t="n">
        <f aca="false">SUMPRODUCT($E$128:$M$128,$E$160:$M$160)</f>
        <v>1.61980834349181</v>
      </c>
      <c r="F176" s="24" t="n">
        <f aca="false">SUMPRODUCT($E$128:$M$128,$E$161:$M$161)</f>
        <v>10.347932638339</v>
      </c>
      <c r="G176" s="24" t="n">
        <f aca="false">SUMPRODUCT($E$128:$M$128,$E$162:$M$162)</f>
        <v>17.0943602725057</v>
      </c>
      <c r="H176" s="24" t="n">
        <f aca="false">SUMPRODUCT($E$128:$M$128,$E$163:$M$163)</f>
        <v>19.1526843083033</v>
      </c>
      <c r="I176" s="24" t="n">
        <f aca="false">SUMPRODUCT($E$128:$M$128,$E$164:$M$164)</f>
        <v>22.4649533976139</v>
      </c>
      <c r="J176" s="24" t="n">
        <f aca="false">SUMPRODUCT($E$128:$M$128,$E$165:$M$165)</f>
        <v>27.7786901042311</v>
      </c>
      <c r="K176" s="24" t="n">
        <f aca="false">SUMPRODUCT($E$128:$M$128,$E$166:$M$166)</f>
        <v>32.5062492146088</v>
      </c>
      <c r="L176" s="24" t="n">
        <f aca="false">SUMPRODUCT($E$128:$M$128,$E$167:$M$167)</f>
        <v>35.0752319203902</v>
      </c>
      <c r="M176" s="24" t="n">
        <f aca="false">SUMPRODUCT($E$128:$M$128,$E$168:$M$168)</f>
        <v>37.4067703819287</v>
      </c>
    </row>
    <row r="177" customFormat="false" ht="15" hidden="false" customHeight="false" outlineLevel="0" collapsed="false">
      <c r="A177" s="5" t="s">
        <v>1417</v>
      </c>
      <c r="B177" s="0" t="s">
        <v>1414</v>
      </c>
      <c r="D177" s="24" t="n">
        <f aca="false">SUMPRODUCT($L$5:$L$74,$Q$5:$Q$74,($M$5:$M$74&lt;=2023+1)*1)</f>
        <v>0</v>
      </c>
      <c r="E177" s="24" t="n">
        <f aca="false">SUMPRODUCT($L$5:$L$74,$Q$5:$Q$74,($M$5:$M$74&lt;=2024+1)*1)</f>
        <v>0</v>
      </c>
      <c r="F177" s="24" t="n">
        <f aca="false">SUMPRODUCT($L$5:$L$74,$Q$5:$Q$74,($M$5:$M$74&lt;=2025+1)*1)</f>
        <v>0.321</v>
      </c>
      <c r="G177" s="24" t="n">
        <f aca="false">SUMPRODUCT($L$5:$L$74,$Q$5:$Q$74,($M$5:$M$74&lt;=2026+1)*1)</f>
        <v>2.53</v>
      </c>
      <c r="H177" s="24" t="n">
        <f aca="false">SUMPRODUCT($L$5:$L$74,$Q$5:$Q$74,($M$5:$M$74&lt;=2027+1)*1)</f>
        <v>7.91266666666667</v>
      </c>
      <c r="I177" s="24" t="n">
        <f aca="false">SUMPRODUCT($L$5:$L$74,$Q$5:$Q$74,($M$5:$M$74&lt;=2028+1)*1)</f>
        <v>22.6901666666667</v>
      </c>
      <c r="J177" s="24" t="n">
        <f aca="false">SUMPRODUCT($L$5:$L$74,$Q$5:$Q$74,($M$5:$M$74&lt;=2029+1)*1)</f>
        <v>24.8691666666667</v>
      </c>
      <c r="K177" s="24" t="n">
        <f aca="false">SUMPRODUCT($L$5:$L$74,$Q$5:$Q$74,($M$5:$M$74&lt;=2030+1)*1)</f>
        <v>26.2181666666667</v>
      </c>
      <c r="L177" s="24" t="n">
        <f aca="false">SUMPRODUCT($L$5:$L$74,$Q$5:$Q$74,($M$5:$M$74&lt;=2031+1)*1)</f>
        <v>27.3681666666667</v>
      </c>
      <c r="M177" s="24" t="n">
        <f aca="false">SUMPRODUCT($L$5:$L$74,$Q$5:$Q$74,($M$5:$M$74&lt;=2032+1)*1)</f>
        <v>27.3681666666667</v>
      </c>
    </row>
    <row r="178" customFormat="false" ht="15" hidden="false" customHeight="false" outlineLevel="0" collapsed="false">
      <c r="A178" s="5" t="s">
        <v>1417</v>
      </c>
      <c r="B178" s="0" t="s">
        <v>1415</v>
      </c>
      <c r="D178" s="24" t="n">
        <f aca="false">SUMPRODUCT($L$5:$L$74,$Q$5:$Q$74,((($J$5:$J$74&gt;0)+($J$5:$J$74&lt;=0)*(1-dly_d1_s))*($N$5:$N$74&lt;=2023+1)+($J$5:$J$74&lt;=0)*dly_d1_s*($O$5:$O$74&lt;=2023+1)))</f>
        <v>0</v>
      </c>
      <c r="E178" s="24" t="n">
        <f aca="false">SUMPRODUCT($L$5:$L$74,$Q$5:$Q$74,((($J$5:$J$74&gt;0)+($J$5:$J$74&lt;=0)*(1-dly_d1_s))*($N$5:$N$74&lt;=2024+1)+($J$5:$J$74&lt;=0)*dly_d1_s*($O$5:$O$74&lt;=2024+1)))</f>
        <v>0</v>
      </c>
      <c r="F178" s="24" t="n">
        <f aca="false">SUMPRODUCT($L$5:$L$74,$Q$5:$Q$74,((($J$5:$J$74&gt;0)+($J$5:$J$74&lt;=0)*(1-dly_d1_s))*($N$5:$N$74&lt;=2025+1)+($J$5:$J$74&lt;=0)*dly_d1_s*($O$5:$O$74&lt;=2025+1)))</f>
        <v>0.321</v>
      </c>
      <c r="G178" s="24" t="n">
        <f aca="false">SUMPRODUCT($L$5:$L$74,$Q$5:$Q$74,((($J$5:$J$74&gt;0)+($J$5:$J$74&lt;=0)*(1-dly_d1_s))*($N$5:$N$74&lt;=2026+1)+($J$5:$J$74&lt;=0)*dly_d1_s*($O$5:$O$74&lt;=2026+1)))</f>
        <v>2.1611</v>
      </c>
      <c r="H178" s="24" t="n">
        <f aca="false">SUMPRODUCT($L$5:$L$74,$Q$5:$Q$74,((($J$5:$J$74&gt;0)+($J$5:$J$74&lt;=0)*(1-dly_d1_s))*($N$5:$N$74&lt;=2027+1)+($J$5:$J$74&lt;=0)*dly_d1_s*($O$5:$O$74&lt;=2027+1)))</f>
        <v>6.77143333333333</v>
      </c>
      <c r="I178" s="24" t="n">
        <f aca="false">SUMPRODUCT($L$5:$L$74,$Q$5:$Q$74,((($J$5:$J$74&gt;0)+($J$5:$J$74&lt;=0)*(1-dly_d1_s))*($N$5:$N$74&lt;=2028+1)+($J$5:$J$74&lt;=0)*dly_d1_s*($O$5:$O$74&lt;=2028+1)))</f>
        <v>19.6337916666667</v>
      </c>
      <c r="J178" s="24" t="n">
        <f aca="false">SUMPRODUCT($L$5:$L$74,$Q$5:$Q$74,((($J$5:$J$74&gt;0)+($J$5:$J$74&lt;=0)*(1-dly_d1_s))*($N$5:$N$74&lt;=2029+1)+($J$5:$J$74&lt;=0)*dly_d1_s*($O$5:$O$74&lt;=2029+1)))</f>
        <v>24.1282166666667</v>
      </c>
      <c r="K178" s="24" t="n">
        <f aca="false">SUMPRODUCT($L$5:$L$74,$Q$5:$Q$74,((($J$5:$J$74&gt;0)+($J$5:$J$74&lt;=0)*(1-dly_d1_s))*($N$5:$N$74&lt;=2030+1)+($J$5:$J$74&lt;=0)*dly_d1_s*($O$5:$O$74&lt;=2030+1)))</f>
        <v>25.7460166666667</v>
      </c>
      <c r="L178" s="24" t="n">
        <f aca="false">SUMPRODUCT($L$5:$L$74,$Q$5:$Q$74,((($J$5:$J$74&gt;0)+($J$5:$J$74&lt;=0)*(1-dly_d1_s))*($N$5:$N$74&lt;=2031+1)+($J$5:$J$74&lt;=0)*dly_d1_s*($O$5:$O$74&lt;=2031+1)))</f>
        <v>26.9656666666667</v>
      </c>
      <c r="M178" s="24" t="n">
        <f aca="false">SUMPRODUCT($L$5:$L$74,$Q$5:$Q$74,((($J$5:$J$74&gt;0)+($J$5:$J$74&lt;=0)*(1-dly_d1_s))*($N$5:$N$74&lt;=2032+1)+($J$5:$J$74&lt;=0)*dly_d1_s*($O$5:$O$74&lt;=2032+1)))</f>
        <v>27.3681666666667</v>
      </c>
    </row>
    <row r="179" customFormat="false" ht="15" hidden="false" customHeight="false" outlineLevel="0" collapsed="false">
      <c r="A179" s="5" t="s">
        <v>1417</v>
      </c>
      <c r="B179" s="0" t="s">
        <v>1416</v>
      </c>
      <c r="D179" s="24" t="n">
        <f aca="false">SUMPRODUCT($L$5:$L$74,$Q$5:$Q$74,(1-dly_d2_bind*$R$5:$R$74)*((($J$5:$J$74&gt;0)+($J$5:$J$74&lt;=0)*(1-dly_d1_s))*($N$5:$N$74&lt;=2023+1)+($J$5:$J$74&lt;=0)*dly_d1_s*($O$5:$O$74&lt;=2023+1))+dly_d2_bind*$R$5:$R$74*((($J$5:$J$74&gt;0)+($J$5:$J$74&lt;=0)*(1-dly_d1_s))*($N$5:$N$74+dly_d2_m/12&lt;=2023+1)+($J$5:$J$74&lt;=0)*dly_d1_s*($O$5:$O$74+dly_d2_m/12&lt;=2023+1)))</f>
        <v>0</v>
      </c>
      <c r="E179" s="24" t="n">
        <f aca="false">SUMPRODUCT($L$5:$L$74,$Q$5:$Q$74,(1-dly_d2_bind*$R$5:$R$74)*((($J$5:$J$74&gt;0)+($J$5:$J$74&lt;=0)*(1-dly_d1_s))*($N$5:$N$74&lt;=2024+1)+($J$5:$J$74&lt;=0)*dly_d1_s*($O$5:$O$74&lt;=2024+1))+dly_d2_bind*$R$5:$R$74*((($J$5:$J$74&gt;0)+($J$5:$J$74&lt;=0)*(1-dly_d1_s))*($N$5:$N$74+dly_d2_m/12&lt;=2024+1)+($J$5:$J$74&lt;=0)*dly_d1_s*($O$5:$O$74+dly_d2_m/12&lt;=2024+1)))</f>
        <v>0</v>
      </c>
      <c r="F179" s="24" t="n">
        <f aca="false">SUMPRODUCT($L$5:$L$74,$Q$5:$Q$74,(1-dly_d2_bind*$R$5:$R$74)*((($J$5:$J$74&gt;0)+($J$5:$J$74&lt;=0)*(1-dly_d1_s))*($N$5:$N$74&lt;=2025+1)+($J$5:$J$74&lt;=0)*dly_d1_s*($O$5:$O$74&lt;=2025+1))+dly_d2_bind*$R$5:$R$74*((($J$5:$J$74&gt;0)+($J$5:$J$74&lt;=0)*(1-dly_d1_s))*($N$5:$N$74+dly_d2_m/12&lt;=2025+1)+($J$5:$J$74&lt;=0)*dly_d1_s*($O$5:$O$74+dly_d2_m/12&lt;=2025+1)))</f>
        <v>0.321</v>
      </c>
      <c r="G179" s="24" t="n">
        <f aca="false">SUMPRODUCT($L$5:$L$74,$Q$5:$Q$74,(1-dly_d2_bind*$R$5:$R$74)*((($J$5:$J$74&gt;0)+($J$5:$J$74&lt;=0)*(1-dly_d1_s))*($N$5:$N$74&lt;=2026+1)+($J$5:$J$74&lt;=0)*dly_d1_s*($O$5:$O$74&lt;=2026+1))+dly_d2_bind*$R$5:$R$74*((($J$5:$J$74&gt;0)+($J$5:$J$74&lt;=0)*(1-dly_d1_s))*($N$5:$N$74+dly_d2_m/12&lt;=2026+1)+($J$5:$J$74&lt;=0)*dly_d1_s*($O$5:$O$74+dly_d2_m/12&lt;=2026+1)))</f>
        <v>2.1611</v>
      </c>
      <c r="H179" s="24" t="n">
        <f aca="false">SUMPRODUCT($L$5:$L$74,$Q$5:$Q$74,(1-dly_d2_bind*$R$5:$R$74)*((($J$5:$J$74&gt;0)+($J$5:$J$74&lt;=0)*(1-dly_d1_s))*($N$5:$N$74&lt;=2027+1)+($J$5:$J$74&lt;=0)*dly_d1_s*($O$5:$O$74&lt;=2027+1))+dly_d2_bind*$R$5:$R$74*((($J$5:$J$74&gt;0)+($J$5:$J$74&lt;=0)*(1-dly_d1_s))*($N$5:$N$74+dly_d2_m/12&lt;=2027+1)+($J$5:$J$74&lt;=0)*dly_d1_s*($O$5:$O$74+dly_d2_m/12&lt;=2027+1)))</f>
        <v>5.12478</v>
      </c>
      <c r="I179" s="24" t="n">
        <f aca="false">SUMPRODUCT($L$5:$L$74,$Q$5:$Q$74,(1-dly_d2_bind*$R$5:$R$74)*((($J$5:$J$74&gt;0)+($J$5:$J$74&lt;=0)*(1-dly_d1_s))*($N$5:$N$74&lt;=2028+1)+($J$5:$J$74&lt;=0)*dly_d1_s*($O$5:$O$74&lt;=2028+1))+dly_d2_bind*$R$5:$R$74*((($J$5:$J$74&gt;0)+($J$5:$J$74&lt;=0)*(1-dly_d1_s))*($N$5:$N$74+dly_d2_m/12&lt;=2028+1)+($J$5:$J$74&lt;=0)*dly_d1_s*($O$5:$O$74+dly_d2_m/12&lt;=2028+1)))</f>
        <v>15.2085683333333</v>
      </c>
      <c r="J179" s="24" t="n">
        <f aca="false">SUMPRODUCT($L$5:$L$74,$Q$5:$Q$74,(1-dly_d2_bind*$R$5:$R$74)*((($J$5:$J$74&gt;0)+($J$5:$J$74&lt;=0)*(1-dly_d1_s))*($N$5:$N$74&lt;=2029+1)+($J$5:$J$74&lt;=0)*dly_d1_s*($O$5:$O$74&lt;=2029+1))+dly_d2_bind*$R$5:$R$74*((($J$5:$J$74&gt;0)+($J$5:$J$74&lt;=0)*(1-dly_d1_s))*($N$5:$N$74+dly_d2_m/12&lt;=2029+1)+($J$5:$J$74&lt;=0)*dly_d1_s*($O$5:$O$74+dly_d2_m/12&lt;=2029+1)))</f>
        <v>22.9272266666667</v>
      </c>
      <c r="K179" s="24" t="n">
        <f aca="false">SUMPRODUCT($L$5:$L$74,$Q$5:$Q$74,(1-dly_d2_bind*$R$5:$R$74)*((($J$5:$J$74&gt;0)+($J$5:$J$74&lt;=0)*(1-dly_d1_s))*($N$5:$N$74&lt;=2030+1)+($J$5:$J$74&lt;=0)*dly_d1_s*($O$5:$O$74&lt;=2030+1))+dly_d2_bind*$R$5:$R$74*((($J$5:$J$74&gt;0)+($J$5:$J$74&lt;=0)*(1-dly_d1_s))*($N$5:$N$74+dly_d2_m/12&lt;=2030+1)+($J$5:$J$74&lt;=0)*dly_d1_s*($O$5:$O$74+dly_d2_m/12&lt;=2030+1)))</f>
        <v>25.7460166666667</v>
      </c>
      <c r="L179" s="24" t="n">
        <f aca="false">SUMPRODUCT($L$5:$L$74,$Q$5:$Q$74,(1-dly_d2_bind*$R$5:$R$74)*((($J$5:$J$74&gt;0)+($J$5:$J$74&lt;=0)*(1-dly_d1_s))*($N$5:$N$74&lt;=2031+1)+($J$5:$J$74&lt;=0)*dly_d1_s*($O$5:$O$74&lt;=2031+1))+dly_d2_bind*$R$5:$R$74*((($J$5:$J$74&gt;0)+($J$5:$J$74&lt;=0)*(1-dly_d1_s))*($N$5:$N$74+dly_d2_m/12&lt;=2031+1)+($J$5:$J$74&lt;=0)*dly_d1_s*($O$5:$O$74+dly_d2_m/12&lt;=2031+1)))</f>
        <v>26.9656666666667</v>
      </c>
      <c r="M179" s="24" t="n">
        <f aca="false">SUMPRODUCT($L$5:$L$74,$Q$5:$Q$74,(1-dly_d2_bind*$R$5:$R$74)*((($J$5:$J$74&gt;0)+($J$5:$J$74&lt;=0)*(1-dly_d1_s))*($N$5:$N$74&lt;=2032+1)+($J$5:$J$74&lt;=0)*dly_d1_s*($O$5:$O$74&lt;=2032+1))+dly_d2_bind*$R$5:$R$74*((($J$5:$J$74&gt;0)+($J$5:$J$74&lt;=0)*(1-dly_d1_s))*($N$5:$N$74+dly_d2_m/12&lt;=2032+1)+($J$5:$J$74&lt;=0)*dly_d1_s*($O$5:$O$74+dly_d2_m/12&lt;=2032+1)))</f>
        <v>27.3681666666667</v>
      </c>
    </row>
    <row r="180" customFormat="false" ht="17.15" hidden="false" customHeight="false" outlineLevel="0" collapsed="false">
      <c r="A180" s="21" t="s">
        <v>1418</v>
      </c>
      <c r="B180" s="20" t="s">
        <v>1414</v>
      </c>
      <c r="D180" s="25" t="n">
        <f aca="false">D172+D173+D174+D177</f>
        <v>0.630578355681972</v>
      </c>
      <c r="E180" s="25" t="n">
        <f aca="false">E172+E173+E174+E177</f>
        <v>6.20938570515285</v>
      </c>
      <c r="F180" s="25" t="n">
        <f aca="false">F172+F173+F174+F177</f>
        <v>25.3371433333333</v>
      </c>
      <c r="G180" s="25" t="n">
        <f aca="false">G172+G173+G174+G177</f>
        <v>37.8525147943925</v>
      </c>
      <c r="H180" s="25" t="n">
        <f aca="false">H172+H173+H174+H177</f>
        <v>46.5041599188997</v>
      </c>
      <c r="I180" s="25" t="n">
        <f aca="false">I172+I173+I174+I177</f>
        <v>65.1003739798087</v>
      </c>
      <c r="J180" s="25" t="n">
        <f aca="false">J172+J173+J174+J177</f>
        <v>71.4293953108062</v>
      </c>
      <c r="K180" s="25" t="n">
        <f aca="false">K172+K173+K174+K177</f>
        <v>77.3044503328541</v>
      </c>
      <c r="L180" s="25" t="n">
        <f aca="false">L172+L173+L174+L177</f>
        <v>80.6082964867002</v>
      </c>
      <c r="M180" s="25" t="n">
        <f aca="false">M172+M173+M174+M177</f>
        <v>82.977527255931</v>
      </c>
    </row>
    <row r="181" customFormat="false" ht="17.15" hidden="false" customHeight="false" outlineLevel="0" collapsed="false">
      <c r="A181" s="21" t="s">
        <v>1418</v>
      </c>
      <c r="B181" s="20" t="s">
        <v>1415</v>
      </c>
      <c r="D181" s="25" t="n">
        <f aca="false">D172+D173+D175+D178</f>
        <v>0.630578355681972</v>
      </c>
      <c r="E181" s="25" t="n">
        <f aca="false">E172+E173+E175+E178</f>
        <v>6.20938570515285</v>
      </c>
      <c r="F181" s="25" t="n">
        <f aca="false">F172+F173+F175+F178</f>
        <v>25.3371433333333</v>
      </c>
      <c r="G181" s="25" t="n">
        <f aca="false">G172+G173+G175+G178</f>
        <v>37.043435095226</v>
      </c>
      <c r="H181" s="25" t="n">
        <f aca="false">H172+H173+H175+H178</f>
        <v>44.7908553554443</v>
      </c>
      <c r="I181" s="25" t="n">
        <f aca="false">I172+I173+I175+I178</f>
        <v>61.3757240191496</v>
      </c>
      <c r="J181" s="25" t="n">
        <f aca="false">J172+J173+J175+J178</f>
        <v>69.9621915778816</v>
      </c>
      <c r="K181" s="25" t="n">
        <f aca="false">K172+K173+K175+K178</f>
        <v>76.0402407039957</v>
      </c>
      <c r="L181" s="25" t="n">
        <f aca="false">L172+L173+L175+L178</f>
        <v>79.8288734097772</v>
      </c>
      <c r="M181" s="25" t="n">
        <f aca="false">M172+M173+M175+M178</f>
        <v>82.5629118713156</v>
      </c>
    </row>
    <row r="182" customFormat="false" ht="17.15" hidden="false" customHeight="false" outlineLevel="0" collapsed="false">
      <c r="A182" s="21" t="s">
        <v>1418</v>
      </c>
      <c r="B182" s="20" t="s">
        <v>1416</v>
      </c>
      <c r="D182" s="25" t="n">
        <f aca="false">D172+D173+D176+D179</f>
        <v>0.630578355681972</v>
      </c>
      <c r="E182" s="25" t="n">
        <f aca="false">E172+E173+E176+E179</f>
        <v>6.20938570515285</v>
      </c>
      <c r="F182" s="25" t="n">
        <f aca="false">F172+F173+F176+F179</f>
        <v>25.3371433333333</v>
      </c>
      <c r="G182" s="25" t="n">
        <f aca="false">G172+G173+G176+G179</f>
        <v>37.043435095226</v>
      </c>
      <c r="H182" s="25" t="n">
        <f aca="false">H172+H173+H176+H179</f>
        <v>42.0654391310236</v>
      </c>
      <c r="I182" s="25" t="n">
        <f aca="false">I172+I173+I176+I179</f>
        <v>55.4614965536675</v>
      </c>
      <c r="J182" s="25" t="n">
        <f aca="false">J172+J173+J176+J179</f>
        <v>68.493891593618</v>
      </c>
      <c r="K182" s="25" t="n">
        <f aca="false">K172+K173+K176+K179</f>
        <v>76.0402407039957</v>
      </c>
      <c r="L182" s="25" t="n">
        <f aca="false">L172+L173+L176+L179</f>
        <v>79.8288734097772</v>
      </c>
      <c r="M182" s="25" t="n">
        <f aca="false">M172+M173+M176+M179</f>
        <v>82.5629118713156</v>
      </c>
    </row>
    <row r="183" customFormat="false" ht="17.15" hidden="false" customHeight="false" outlineLevel="0" collapsed="false">
      <c r="A183" s="5" t="s">
        <v>1419</v>
      </c>
      <c r="B183" s="0" t="s">
        <v>1414</v>
      </c>
      <c r="D183" s="24" t="n">
        <f aca="false">0</f>
        <v>0</v>
      </c>
      <c r="E183" s="24" t="n">
        <f aca="false">E180-D180-E130</f>
        <v>1.61980834349181</v>
      </c>
      <c r="F183" s="24" t="n">
        <f aca="false">F180-E180-F130</f>
        <v>9.04912429484716</v>
      </c>
      <c r="G183" s="24" t="n">
        <f aca="false">G180-F180-G130</f>
        <v>12.5153714610592</v>
      </c>
      <c r="H183" s="24" t="n">
        <f aca="false">H180-G180-H130</f>
        <v>8.65164512450717</v>
      </c>
      <c r="I183" s="24" t="n">
        <f aca="false">I180-H180-I130</f>
        <v>18.596214060909</v>
      </c>
      <c r="J183" s="24" t="n">
        <f aca="false">J180-I180-J130</f>
        <v>6.32902133099745</v>
      </c>
      <c r="K183" s="24" t="n">
        <f aca="false">K180-J180-K130</f>
        <v>5.87505502204789</v>
      </c>
      <c r="L183" s="24" t="n">
        <f aca="false">L180-K180-L130</f>
        <v>3.30384615384617</v>
      </c>
      <c r="M183" s="24" t="n">
        <f aca="false">M180-L180-M130</f>
        <v>2.36923076923077</v>
      </c>
    </row>
    <row r="184" customFormat="false" ht="17.15" hidden="false" customHeight="false" outlineLevel="0" collapsed="false">
      <c r="A184" s="5" t="s">
        <v>1419</v>
      </c>
      <c r="B184" s="0" t="s">
        <v>1415</v>
      </c>
      <c r="D184" s="24" t="n">
        <f aca="false">0</f>
        <v>0</v>
      </c>
      <c r="E184" s="24" t="n">
        <f aca="false">E181-D181-E130</f>
        <v>1.61980834349181</v>
      </c>
      <c r="F184" s="24" t="n">
        <f aca="false">F181-E181-F130</f>
        <v>9.04912429484716</v>
      </c>
      <c r="G184" s="24" t="n">
        <f aca="false">G181-F181-G130</f>
        <v>11.7062917618926</v>
      </c>
      <c r="H184" s="24" t="n">
        <f aca="false">H181-G181-H130</f>
        <v>7.74742026021831</v>
      </c>
      <c r="I184" s="24" t="n">
        <f aca="false">I181-H181-I130</f>
        <v>16.5848686637054</v>
      </c>
      <c r="J184" s="24" t="n">
        <f aca="false">J181-I181-J130</f>
        <v>8.58646755873197</v>
      </c>
      <c r="K184" s="24" t="n">
        <f aca="false">K181-J181-K130</f>
        <v>6.07804912611407</v>
      </c>
      <c r="L184" s="24" t="n">
        <f aca="false">L181-K181-L130</f>
        <v>3.78863270578147</v>
      </c>
      <c r="M184" s="24" t="n">
        <f aca="false">M181-L181-M130</f>
        <v>2.73403846153846</v>
      </c>
    </row>
    <row r="185" customFormat="false" ht="17.15" hidden="false" customHeight="false" outlineLevel="0" collapsed="false">
      <c r="A185" s="5" t="s">
        <v>1419</v>
      </c>
      <c r="B185" s="0" t="s">
        <v>1416</v>
      </c>
      <c r="D185" s="24" t="n">
        <f aca="false">0</f>
        <v>0</v>
      </c>
      <c r="E185" s="24" t="n">
        <f aca="false">E182-D182-E130</f>
        <v>1.61980834349181</v>
      </c>
      <c r="F185" s="24" t="n">
        <f aca="false">F182-E182-F130</f>
        <v>9.04912429484716</v>
      </c>
      <c r="G185" s="24" t="n">
        <f aca="false">G182-F182-G130</f>
        <v>11.7062917618926</v>
      </c>
      <c r="H185" s="24" t="n">
        <f aca="false">H182-G182-H130</f>
        <v>5.02200403579761</v>
      </c>
      <c r="I185" s="24" t="n">
        <f aca="false">I182-H182-I130</f>
        <v>13.3960574226439</v>
      </c>
      <c r="J185" s="24" t="n">
        <f aca="false">J182-I182-J130</f>
        <v>13.0323950399505</v>
      </c>
      <c r="K185" s="24" t="n">
        <f aca="false">K182-J182-K130</f>
        <v>7.54634911037769</v>
      </c>
      <c r="L185" s="24" t="n">
        <f aca="false">L182-K182-L130</f>
        <v>3.78863270578147</v>
      </c>
      <c r="M185" s="24" t="n">
        <f aca="false">M182-L182-M130</f>
        <v>2.73403846153846</v>
      </c>
    </row>
    <row r="186" customFormat="false" ht="17.15" hidden="false" customHeight="false" outlineLevel="0" collapsed="false">
      <c r="A186" s="5" t="s">
        <v>1420</v>
      </c>
      <c r="B186" s="0" t="s">
        <v>1415</v>
      </c>
      <c r="D186" s="24" t="n">
        <f aca="false">D180-D181</f>
        <v>0</v>
      </c>
      <c r="E186" s="24" t="n">
        <f aca="false">E180-E181</f>
        <v>0</v>
      </c>
      <c r="F186" s="24" t="n">
        <f aca="false">F180-F181</f>
        <v>0</v>
      </c>
      <c r="G186" s="24" t="n">
        <f aca="false">G180-G181</f>
        <v>0.809079699166553</v>
      </c>
      <c r="H186" s="24" t="n">
        <f aca="false">H180-H181</f>
        <v>1.71330456345542</v>
      </c>
      <c r="I186" s="24" t="n">
        <f aca="false">I180-I181</f>
        <v>3.72464996065908</v>
      </c>
      <c r="J186" s="24" t="n">
        <f aca="false">J180-J181</f>
        <v>1.46720373292456</v>
      </c>
      <c r="K186" s="24" t="n">
        <f aca="false">K180-K181</f>
        <v>1.26420962885838</v>
      </c>
      <c r="L186" s="24" t="n">
        <f aca="false">L180-L181</f>
        <v>0.779423076923081</v>
      </c>
      <c r="M186" s="24" t="n">
        <f aca="false">M180-M181</f>
        <v>0.414615384615388</v>
      </c>
    </row>
    <row r="187" customFormat="false" ht="17.15" hidden="false" customHeight="false" outlineLevel="0" collapsed="false">
      <c r="A187" s="5" t="s">
        <v>1420</v>
      </c>
      <c r="B187" s="0" t="s">
        <v>1416</v>
      </c>
      <c r="D187" s="24" t="n">
        <f aca="false">D180-D182</f>
        <v>0</v>
      </c>
      <c r="E187" s="24" t="n">
        <f aca="false">E180-E182</f>
        <v>0</v>
      </c>
      <c r="F187" s="24" t="n">
        <f aca="false">F180-F182</f>
        <v>0</v>
      </c>
      <c r="G187" s="24" t="n">
        <f aca="false">G180-G182</f>
        <v>0.809079699166553</v>
      </c>
      <c r="H187" s="24" t="n">
        <f aca="false">H180-H182</f>
        <v>4.43872078787612</v>
      </c>
      <c r="I187" s="24" t="n">
        <f aca="false">I180-I182</f>
        <v>9.63887742614124</v>
      </c>
      <c r="J187" s="24" t="n">
        <f aca="false">J180-J182</f>
        <v>2.93550371718818</v>
      </c>
      <c r="K187" s="24" t="n">
        <f aca="false">K180-K182</f>
        <v>1.26420962885838</v>
      </c>
      <c r="L187" s="24" t="n">
        <f aca="false">L180-L182</f>
        <v>0.779423076923081</v>
      </c>
      <c r="M187" s="24" t="n">
        <f aca="false">M180-M182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1421</v>
      </c>
    </row>
    <row r="2" customFormat="false" ht="17.15" hidden="false" customHeight="false" outlineLevel="0" collapsed="false">
      <c r="A2" s="5" t="s">
        <v>1422</v>
      </c>
    </row>
    <row r="3" customFormat="false" ht="15" hidden="false" customHeight="false" outlineLevel="0" collapsed="false">
      <c r="A3" s="6" t="s">
        <v>16</v>
      </c>
      <c r="B3" s="6" t="s">
        <v>1364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5" t="s">
        <v>1423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1424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1425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1426</v>
      </c>
      <c r="C7" s="0" t="s">
        <v>391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1427</v>
      </c>
      <c r="C8" s="0" t="s">
        <v>391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996</v>
      </c>
      <c r="B10" s="20" t="s">
        <v>507</v>
      </c>
      <c r="N10" s="20" t="s">
        <v>1428</v>
      </c>
    </row>
    <row r="11" customFormat="false" ht="17.15" hidden="false" customHeight="false" outlineLevel="0" collapsed="false">
      <c r="A11" s="5" t="s">
        <v>1429</v>
      </c>
      <c r="B11" s="0" t="s">
        <v>999</v>
      </c>
      <c r="C11" s="0" t="s">
        <v>391</v>
      </c>
      <c r="D11" s="19" t="str">
        <f aca="false">IF(In!H124="","",In!H124)</f>
        <v/>
      </c>
      <c r="E11" s="30" t="n">
        <f aca="false">IF(In!I124="","",In!I124)</f>
        <v>44.477</v>
      </c>
      <c r="F11" s="30" t="n">
        <f aca="false">IF(In!J124="","",In!J124)</f>
        <v>64.551</v>
      </c>
      <c r="G11" s="30" t="n">
        <f aca="false">IF(In!K124="","",In!K124)</f>
        <v>115.948</v>
      </c>
      <c r="H11" s="30" t="n">
        <f aca="false">IF(In!L124="","",In!L124)</f>
        <v>192.827</v>
      </c>
      <c r="I11" s="30" t="n">
        <f aca="false">IF(In!M124="","",In!M124)</f>
        <v>216.787</v>
      </c>
      <c r="J11" s="30" t="n">
        <f aca="false">IF(In!N124="","",In!N124)</f>
        <v>251.173</v>
      </c>
      <c r="K11" s="19" t="str">
        <f aca="false">IF(In!O124="","",In!O124)</f>
        <v/>
      </c>
      <c r="L11" s="19" t="str">
        <f aca="false">IF(In!P124="","",In!P124)</f>
        <v/>
      </c>
      <c r="M11" s="19" t="str">
        <f aca="false">IF(In!Q124="","",In!Q124)</f>
        <v/>
      </c>
    </row>
    <row r="12" customFormat="false" ht="15" hidden="false" customHeight="false" outlineLevel="0" collapsed="false">
      <c r="A12" s="5" t="s">
        <v>1430</v>
      </c>
      <c r="B12" s="0" t="s">
        <v>1431</v>
      </c>
      <c r="C12" s="0" t="s">
        <v>36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1432</v>
      </c>
      <c r="B13" s="0" t="s">
        <v>1009</v>
      </c>
      <c r="C13" s="0" t="s">
        <v>391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1433</v>
      </c>
      <c r="B14" s="0" t="s">
        <v>1434</v>
      </c>
      <c r="C14" s="0" t="s">
        <v>391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1435</v>
      </c>
      <c r="B15" s="0" t="s">
        <v>1436</v>
      </c>
      <c r="C15" s="0" t="s">
        <v>391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1437</v>
      </c>
      <c r="B16" s="0" t="s">
        <v>1438</v>
      </c>
      <c r="C16" s="0" t="s">
        <v>391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1439</v>
      </c>
      <c r="B17" s="0" t="s">
        <v>1440</v>
      </c>
      <c r="C17" s="0" t="s">
        <v>391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1441</v>
      </c>
      <c r="B18" s="0" t="s">
        <v>1442</v>
      </c>
      <c r="C18" s="0" t="s">
        <v>391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1443</v>
      </c>
      <c r="B19" s="0" t="s">
        <v>1444</v>
      </c>
      <c r="C19" s="0" t="s">
        <v>391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1445</v>
      </c>
      <c r="B20" s="0" t="s">
        <v>1446</v>
      </c>
      <c r="C20" s="0" t="s">
        <v>78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1447</v>
      </c>
      <c r="B21" s="0" t="s">
        <v>1448</v>
      </c>
      <c r="C21" s="0" t="s">
        <v>78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1.04</v>
      </c>
      <c r="I21" s="27" t="n">
        <f aca="false">Players!I36</f>
        <v>1.526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1449</v>
      </c>
      <c r="B22" s="0" t="s">
        <v>1450</v>
      </c>
      <c r="C22" s="0" t="s">
        <v>78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1451</v>
      </c>
      <c r="B23" s="0" t="s">
        <v>1452</v>
      </c>
      <c r="C23" s="0" t="s">
        <v>78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1453</v>
      </c>
      <c r="B24" s="0" t="s">
        <v>1454</v>
      </c>
      <c r="C24" s="0" t="s">
        <v>78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1455</v>
      </c>
      <c r="B25" s="0" t="s">
        <v>1456</v>
      </c>
      <c r="C25" s="0" t="s">
        <v>78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1457</v>
      </c>
      <c r="B26" s="0" t="s">
        <v>1458</v>
      </c>
      <c r="C26" s="0" t="s">
        <v>78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1459</v>
      </c>
      <c r="B27" s="0" t="s">
        <v>1460</v>
      </c>
      <c r="C27" s="0" t="s">
        <v>78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1032</v>
      </c>
      <c r="B29" s="20" t="s">
        <v>512</v>
      </c>
      <c r="N29" s="20" t="s">
        <v>1461</v>
      </c>
    </row>
    <row r="30" customFormat="false" ht="17.15" hidden="false" customHeight="false" outlineLevel="0" collapsed="false">
      <c r="A30" s="5" t="s">
        <v>1429</v>
      </c>
      <c r="B30" s="0" t="s">
        <v>1034</v>
      </c>
      <c r="C30" s="0" t="s">
        <v>391</v>
      </c>
      <c r="D30" s="19" t="str">
        <f aca="false">IF(In!H125="","",In!H125)</f>
        <v/>
      </c>
      <c r="E30" s="19" t="str">
        <f aca="false">IF(In!I125="","",In!I125)</f>
        <v/>
      </c>
      <c r="F30" s="30" t="n">
        <f aca="false">IF(In!J125="","",In!J125)</f>
        <v>91.447</v>
      </c>
      <c r="G30" s="30" t="n">
        <f aca="false">IF(In!K125="","",In!K125)</f>
        <v>200</v>
      </c>
      <c r="H30" s="30" t="n">
        <f aca="false">IF(In!L125="","",In!L125)</f>
        <v>300.979</v>
      </c>
      <c r="I30" s="30" t="n">
        <f aca="false">IF(In!M125="","",In!M125)</f>
        <v>339.451</v>
      </c>
      <c r="J30" s="19" t="str">
        <f aca="false">IF(In!N125="","",In!N125)</f>
        <v/>
      </c>
      <c r="K30" s="19" t="str">
        <f aca="false">IF(In!O125="","",In!O125)</f>
        <v/>
      </c>
      <c r="L30" s="19" t="str">
        <f aca="false">IF(In!P125="","",In!P125)</f>
        <v/>
      </c>
      <c r="M30" s="19" t="str">
        <f aca="false">IF(In!Q125="","",In!Q125)</f>
        <v/>
      </c>
    </row>
    <row r="31" customFormat="false" ht="15" hidden="false" customHeight="false" outlineLevel="0" collapsed="false">
      <c r="A31" s="5" t="s">
        <v>1430</v>
      </c>
      <c r="B31" s="0" t="s">
        <v>1462</v>
      </c>
      <c r="C31" s="0" t="s">
        <v>36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1432</v>
      </c>
      <c r="B32" s="0" t="s">
        <v>1039</v>
      </c>
      <c r="C32" s="0" t="s">
        <v>391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1433</v>
      </c>
      <c r="B33" s="0" t="s">
        <v>1463</v>
      </c>
      <c r="C33" s="0" t="s">
        <v>391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1435</v>
      </c>
      <c r="B34" s="0" t="s">
        <v>1464</v>
      </c>
      <c r="C34" s="0" t="s">
        <v>391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1437</v>
      </c>
      <c r="B35" s="0" t="s">
        <v>1465</v>
      </c>
      <c r="C35" s="0" t="s">
        <v>391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1439</v>
      </c>
      <c r="B36" s="0" t="s">
        <v>1466</v>
      </c>
      <c r="C36" s="0" t="s">
        <v>391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1441</v>
      </c>
      <c r="B37" s="0" t="s">
        <v>1467</v>
      </c>
      <c r="C37" s="0" t="s">
        <v>391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1443</v>
      </c>
      <c r="B38" s="0" t="s">
        <v>1468</v>
      </c>
      <c r="C38" s="0" t="s">
        <v>391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1445</v>
      </c>
      <c r="B39" s="0" t="s">
        <v>1469</v>
      </c>
      <c r="C39" s="0" t="s">
        <v>78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1447</v>
      </c>
      <c r="B40" s="0" t="s">
        <v>1470</v>
      </c>
      <c r="C40" s="0" t="s">
        <v>78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0.125</v>
      </c>
      <c r="I40" s="27" t="n">
        <f aca="false">Players!I55</f>
        <v>0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1449</v>
      </c>
      <c r="B41" s="0" t="s">
        <v>1471</v>
      </c>
      <c r="C41" s="0" t="s">
        <v>78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1451</v>
      </c>
      <c r="B42" s="0" t="s">
        <v>1472</v>
      </c>
      <c r="C42" s="0" t="s">
        <v>78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1453</v>
      </c>
      <c r="B43" s="0" t="s">
        <v>1473</v>
      </c>
      <c r="C43" s="0" t="s">
        <v>78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1455</v>
      </c>
      <c r="B44" s="0" t="s">
        <v>1474</v>
      </c>
      <c r="C44" s="0" t="s">
        <v>78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1457</v>
      </c>
      <c r="B45" s="0" t="s">
        <v>1475</v>
      </c>
      <c r="C45" s="0" t="s">
        <v>78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1459</v>
      </c>
      <c r="B46" s="0" t="s">
        <v>1476</v>
      </c>
      <c r="C46" s="0" t="s">
        <v>78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1051</v>
      </c>
      <c r="B48" s="20" t="s">
        <v>520</v>
      </c>
      <c r="N48" s="20" t="s">
        <v>1477</v>
      </c>
    </row>
    <row r="49" customFormat="false" ht="17.15" hidden="false" customHeight="false" outlineLevel="0" collapsed="false">
      <c r="A49" s="5" t="s">
        <v>1429</v>
      </c>
      <c r="B49" s="0" t="s">
        <v>1053</v>
      </c>
      <c r="C49" s="0" t="s">
        <v>391</v>
      </c>
      <c r="D49" s="19" t="str">
        <f aca="false">IF(In!H126="","",In!H126)</f>
        <v/>
      </c>
      <c r="E49" s="19" t="str">
        <f aca="false">IF(In!I126="","",In!I126)</f>
        <v/>
      </c>
      <c r="F49" s="30" t="n">
        <f aca="false">IF(In!J126="","",In!J126)</f>
        <v>128.32</v>
      </c>
      <c r="G49" s="30" t="n">
        <f aca="false">IF(In!K126="","",In!K126)</f>
        <v>220</v>
      </c>
      <c r="H49" s="30" t="n">
        <f aca="false">IF(In!L126="","",In!L126)</f>
        <v>275.063</v>
      </c>
      <c r="I49" s="30" t="n">
        <f aca="false">IF(In!M126="","",In!M126)</f>
        <v>292.927</v>
      </c>
      <c r="J49" s="19" t="str">
        <f aca="false">IF(In!N126="","",In!N126)</f>
        <v/>
      </c>
      <c r="K49" s="19" t="str">
        <f aca="false">IF(In!O126="","",In!O126)</f>
        <v/>
      </c>
      <c r="L49" s="19" t="str">
        <f aca="false">IF(In!P126="","",In!P126)</f>
        <v/>
      </c>
      <c r="M49" s="19" t="str">
        <f aca="false">IF(In!Q126="","",In!Q126)</f>
        <v/>
      </c>
    </row>
    <row r="50" customFormat="false" ht="15" hidden="false" customHeight="false" outlineLevel="0" collapsed="false">
      <c r="A50" s="5" t="s">
        <v>1430</v>
      </c>
      <c r="B50" s="0" t="s">
        <v>1478</v>
      </c>
      <c r="C50" s="0" t="s">
        <v>36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1432</v>
      </c>
      <c r="B51" s="0" t="s">
        <v>1058</v>
      </c>
      <c r="C51" s="0" t="s">
        <v>391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1433</v>
      </c>
      <c r="B52" s="0" t="s">
        <v>1479</v>
      </c>
      <c r="C52" s="0" t="s">
        <v>391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1435</v>
      </c>
      <c r="B53" s="0" t="s">
        <v>1480</v>
      </c>
      <c r="C53" s="0" t="s">
        <v>391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1437</v>
      </c>
      <c r="B54" s="0" t="s">
        <v>1481</v>
      </c>
      <c r="C54" s="0" t="s">
        <v>391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1439</v>
      </c>
      <c r="B55" s="0" t="s">
        <v>1482</v>
      </c>
      <c r="C55" s="0" t="s">
        <v>391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1441</v>
      </c>
      <c r="B56" s="0" t="s">
        <v>1483</v>
      </c>
      <c r="C56" s="0" t="s">
        <v>391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1443</v>
      </c>
      <c r="B57" s="0" t="s">
        <v>1484</v>
      </c>
      <c r="C57" s="0" t="s">
        <v>391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1445</v>
      </c>
      <c r="B58" s="0" t="s">
        <v>1485</v>
      </c>
      <c r="C58" s="0" t="s">
        <v>78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1447</v>
      </c>
      <c r="B59" s="0" t="s">
        <v>1486</v>
      </c>
      <c r="C59" s="0" t="s">
        <v>78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0.0409999999999999</v>
      </c>
      <c r="I59" s="27" t="n">
        <f aca="false">Players!I74</f>
        <v>1.444</v>
      </c>
      <c r="J59" s="27" t="n">
        <f aca="false">Players!J74</f>
        <v>0.0620000000000003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1449</v>
      </c>
      <c r="B60" s="0" t="s">
        <v>1487</v>
      </c>
      <c r="C60" s="0" t="s">
        <v>78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1451</v>
      </c>
      <c r="B61" s="0" t="s">
        <v>1488</v>
      </c>
      <c r="C61" s="0" t="s">
        <v>78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1453</v>
      </c>
      <c r="B62" s="0" t="s">
        <v>1489</v>
      </c>
      <c r="C62" s="0" t="s">
        <v>78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1455</v>
      </c>
      <c r="B63" s="0" t="s">
        <v>1490</v>
      </c>
      <c r="C63" s="0" t="s">
        <v>78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1457</v>
      </c>
      <c r="B64" s="0" t="s">
        <v>1491</v>
      </c>
      <c r="C64" s="0" t="s">
        <v>78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1459</v>
      </c>
      <c r="B65" s="0" t="s">
        <v>1492</v>
      </c>
      <c r="C65" s="0" t="s">
        <v>78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1070</v>
      </c>
      <c r="B67" s="20" t="s">
        <v>527</v>
      </c>
      <c r="N67" s="20" t="s">
        <v>1493</v>
      </c>
    </row>
    <row r="68" customFormat="false" ht="17.15" hidden="false" customHeight="false" outlineLevel="0" collapsed="false">
      <c r="A68" s="5" t="s">
        <v>1429</v>
      </c>
      <c r="B68" s="0" t="s">
        <v>1072</v>
      </c>
      <c r="C68" s="0" t="s">
        <v>391</v>
      </c>
      <c r="D68" s="19" t="str">
        <f aca="false">IF(In!H127="","",In!H127)</f>
        <v/>
      </c>
      <c r="E68" s="19" t="str">
        <f aca="false">IF(In!I127="","",In!I127)</f>
        <v/>
      </c>
      <c r="F68" s="19" t="str">
        <f aca="false">IF(In!J127="","",In!J127)</f>
        <v/>
      </c>
      <c r="G68" s="30" t="n">
        <f aca="false">IF(In!K127="","",In!K127)</f>
        <v>140</v>
      </c>
      <c r="H68" s="19" t="str">
        <f aca="false">IF(In!L127="","",In!L127)</f>
        <v/>
      </c>
      <c r="I68" s="19" t="str">
        <f aca="false">IF(In!M127="","",In!M127)</f>
        <v/>
      </c>
      <c r="J68" s="19" t="str">
        <f aca="false">IF(In!N127="","",In!N127)</f>
        <v/>
      </c>
      <c r="K68" s="19" t="str">
        <f aca="false">IF(In!O127="","",In!O127)</f>
        <v/>
      </c>
      <c r="L68" s="19" t="str">
        <f aca="false">IF(In!P127="","",In!P127)</f>
        <v/>
      </c>
      <c r="M68" s="19" t="str">
        <f aca="false">IF(In!Q127="","",In!Q127)</f>
        <v/>
      </c>
    </row>
    <row r="69" customFormat="false" ht="15" hidden="false" customHeight="false" outlineLevel="0" collapsed="false">
      <c r="A69" s="5" t="s">
        <v>1430</v>
      </c>
      <c r="B69" s="0" t="s">
        <v>1494</v>
      </c>
      <c r="C69" s="0" t="s">
        <v>36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1432</v>
      </c>
      <c r="B70" s="0" t="s">
        <v>1077</v>
      </c>
      <c r="C70" s="0" t="s">
        <v>391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1433</v>
      </c>
      <c r="B71" s="0" t="s">
        <v>1495</v>
      </c>
      <c r="C71" s="0" t="s">
        <v>391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1435</v>
      </c>
      <c r="B72" s="0" t="s">
        <v>1496</v>
      </c>
      <c r="C72" s="0" t="s">
        <v>391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1437</v>
      </c>
      <c r="B73" s="0" t="s">
        <v>1497</v>
      </c>
      <c r="C73" s="0" t="s">
        <v>391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1439</v>
      </c>
      <c r="B74" s="0" t="s">
        <v>1498</v>
      </c>
      <c r="C74" s="0" t="s">
        <v>391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1441</v>
      </c>
      <c r="B75" s="0" t="s">
        <v>1499</v>
      </c>
      <c r="C75" s="0" t="s">
        <v>391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1443</v>
      </c>
      <c r="B76" s="0" t="s">
        <v>1500</v>
      </c>
      <c r="C76" s="0" t="s">
        <v>391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1445</v>
      </c>
      <c r="B77" s="0" t="s">
        <v>1501</v>
      </c>
      <c r="C77" s="0" t="s">
        <v>78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1447</v>
      </c>
      <c r="B78" s="0" t="s">
        <v>1502</v>
      </c>
      <c r="C78" s="0" t="s">
        <v>78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0.192</v>
      </c>
      <c r="I78" s="27" t="n">
        <f aca="false">Players!I93</f>
        <v>2.99433333333333</v>
      </c>
      <c r="J78" s="27" t="n">
        <f aca="false">Players!J93</f>
        <v>0.968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1449</v>
      </c>
      <c r="B79" s="0" t="s">
        <v>1503</v>
      </c>
      <c r="C79" s="0" t="s">
        <v>78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0.192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1451</v>
      </c>
      <c r="B80" s="0" t="s">
        <v>1504</v>
      </c>
      <c r="C80" s="0" t="s">
        <v>78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3.344595</v>
      </c>
      <c r="I80" s="24" t="n">
        <f aca="false">IF(2028&gt;=2027,H80+I79,N(Players!I87))</f>
        <v>6.08100702658016</v>
      </c>
      <c r="J80" s="24" t="n">
        <f aca="false">IF(2029&gt;=2027,I80+J79,N(Players!J87))</f>
        <v>9.09275527840958</v>
      </c>
      <c r="K80" s="24" t="n">
        <f aca="false">IF(2030&gt;=2027,J80+K79,N(Players!K87))</f>
        <v>12.4056783554219</v>
      </c>
      <c r="L80" s="24" t="n">
        <f aca="false">IF(2031&gt;=2027,K80+L79,N(Players!L87))</f>
        <v>16.0498937401355</v>
      </c>
      <c r="M80" s="24" t="n">
        <f aca="false">IF(2032&gt;=2027,L80+M79,N(Players!M87))</f>
        <v>20.0585306633205</v>
      </c>
    </row>
    <row r="81" customFormat="false" ht="17.15" hidden="false" customHeight="false" outlineLevel="0" collapsed="false">
      <c r="A81" s="5" t="s">
        <v>1453</v>
      </c>
      <c r="B81" s="0" t="s">
        <v>1505</v>
      </c>
      <c r="C81" s="0" t="s">
        <v>78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1455</v>
      </c>
      <c r="B82" s="0" t="s">
        <v>1506</v>
      </c>
      <c r="C82" s="0" t="s">
        <v>78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1457</v>
      </c>
      <c r="B83" s="0" t="s">
        <v>1507</v>
      </c>
      <c r="C83" s="0" t="s">
        <v>78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1459</v>
      </c>
      <c r="B84" s="0" t="s">
        <v>1508</v>
      </c>
      <c r="C84" s="0" t="s">
        <v>78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1089</v>
      </c>
      <c r="B86" s="20" t="s">
        <v>531</v>
      </c>
      <c r="N86" s="20" t="s">
        <v>1509</v>
      </c>
    </row>
    <row r="87" customFormat="false" ht="17.15" hidden="false" customHeight="false" outlineLevel="0" collapsed="false">
      <c r="A87" s="5" t="s">
        <v>1429</v>
      </c>
      <c r="B87" s="0" t="s">
        <v>1091</v>
      </c>
      <c r="C87" s="0" t="s">
        <v>391</v>
      </c>
      <c r="D87" s="19" t="str">
        <f aca="false">IF(In!H128="","",In!H128)</f>
        <v/>
      </c>
      <c r="E87" s="19" t="str">
        <f aca="false">IF(In!I128="","",In!I128)</f>
        <v/>
      </c>
      <c r="F87" s="30" t="n">
        <f aca="false">IF(In!J128="","",In!J128)</f>
        <v>21.215</v>
      </c>
      <c r="G87" s="30" t="n">
        <f aca="false">IF(In!K128="","",In!K128)</f>
        <v>55.663</v>
      </c>
      <c r="H87" s="30" t="n">
        <f aca="false">IF(In!L128="","",In!L128)</f>
        <v>92.5</v>
      </c>
      <c r="I87" s="30" t="n">
        <f aca="false">IF(In!M128="","",In!M128)</f>
        <v>100.962</v>
      </c>
      <c r="J87" s="30" t="n">
        <f aca="false">IF(In!N128="","",In!N128)</f>
        <v>84.848</v>
      </c>
      <c r="K87" s="19" t="str">
        <f aca="false">IF(In!O128="","",In!O128)</f>
        <v/>
      </c>
      <c r="L87" s="19" t="str">
        <f aca="false">IF(In!P128="","",In!P128)</f>
        <v/>
      </c>
      <c r="M87" s="19" t="str">
        <f aca="false">IF(In!Q128="","",In!Q128)</f>
        <v/>
      </c>
    </row>
    <row r="88" customFormat="false" ht="15" hidden="false" customHeight="false" outlineLevel="0" collapsed="false">
      <c r="A88" s="5" t="s">
        <v>1430</v>
      </c>
      <c r="B88" s="0" t="s">
        <v>1510</v>
      </c>
      <c r="C88" s="0" t="s">
        <v>36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1432</v>
      </c>
      <c r="B89" s="0" t="s">
        <v>1096</v>
      </c>
      <c r="C89" s="0" t="s">
        <v>391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1433</v>
      </c>
      <c r="B90" s="0" t="s">
        <v>1511</v>
      </c>
      <c r="C90" s="0" t="s">
        <v>391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1435</v>
      </c>
      <c r="B91" s="0" t="s">
        <v>1512</v>
      </c>
      <c r="C91" s="0" t="s">
        <v>391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1437</v>
      </c>
      <c r="B92" s="0" t="s">
        <v>1513</v>
      </c>
      <c r="C92" s="0" t="s">
        <v>391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1439</v>
      </c>
      <c r="B93" s="0" t="s">
        <v>1514</v>
      </c>
      <c r="C93" s="0" t="s">
        <v>391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1441</v>
      </c>
      <c r="B94" s="0" t="s">
        <v>1515</v>
      </c>
      <c r="C94" s="0" t="s">
        <v>391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1443</v>
      </c>
      <c r="B95" s="0" t="s">
        <v>1516</v>
      </c>
      <c r="C95" s="0" t="s">
        <v>391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1445</v>
      </c>
      <c r="B96" s="0" t="s">
        <v>1517</v>
      </c>
      <c r="C96" s="0" t="s">
        <v>78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1447</v>
      </c>
      <c r="B97" s="0" t="s">
        <v>1518</v>
      </c>
      <c r="C97" s="0" t="s">
        <v>78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0.166666666666667</v>
      </c>
      <c r="I97" s="27" t="n">
        <f aca="false">Players!I112</f>
        <v>5.56916666666667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1449</v>
      </c>
      <c r="B98" s="0" t="s">
        <v>1519</v>
      </c>
      <c r="C98" s="0" t="s">
        <v>78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1451</v>
      </c>
      <c r="B99" s="0" t="s">
        <v>1520</v>
      </c>
      <c r="C99" s="0" t="s">
        <v>78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1453</v>
      </c>
      <c r="B100" s="0" t="s">
        <v>1521</v>
      </c>
      <c r="C100" s="0" t="s">
        <v>78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1455</v>
      </c>
      <c r="B101" s="0" t="s">
        <v>1522</v>
      </c>
      <c r="C101" s="0" t="s">
        <v>78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1457</v>
      </c>
      <c r="B102" s="0" t="s">
        <v>1523</v>
      </c>
      <c r="C102" s="0" t="s">
        <v>78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1459</v>
      </c>
      <c r="B103" s="0" t="s">
        <v>1524</v>
      </c>
      <c r="C103" s="0" t="s">
        <v>78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1108</v>
      </c>
      <c r="B105" s="20" t="s">
        <v>621</v>
      </c>
      <c r="N105" s="20" t="s">
        <v>1525</v>
      </c>
    </row>
    <row r="106" customFormat="false" ht="17.15" hidden="false" customHeight="false" outlineLevel="0" collapsed="false">
      <c r="A106" s="5" t="s">
        <v>1429</v>
      </c>
      <c r="B106" s="0" t="s">
        <v>1110</v>
      </c>
      <c r="C106" s="0" t="s">
        <v>391</v>
      </c>
      <c r="D106" s="19" t="str">
        <f aca="false">IF(In!H129="","",In!H129)</f>
        <v/>
      </c>
      <c r="E106" s="19" t="str">
        <f aca="false">IF(In!I129="","",In!I129)</f>
        <v/>
      </c>
      <c r="F106" s="19" t="str">
        <f aca="false">IF(In!J129="","",In!J129)</f>
        <v/>
      </c>
      <c r="G106" s="30" t="n">
        <f aca="false">IF(In!K129="","",In!K129)</f>
        <v>37</v>
      </c>
      <c r="H106" s="30" t="n">
        <f aca="false">IF(In!L129="","",In!L129)</f>
        <v>46.476</v>
      </c>
      <c r="I106" s="30" t="n">
        <f aca="false">IF(In!M129="","",In!M129)</f>
        <v>50.129</v>
      </c>
      <c r="J106" s="19" t="str">
        <f aca="false">IF(In!N129="","",In!N129)</f>
        <v/>
      </c>
      <c r="K106" s="19" t="str">
        <f aca="false">IF(In!O129="","",In!O129)</f>
        <v/>
      </c>
      <c r="L106" s="19" t="str">
        <f aca="false">IF(In!P129="","",In!P129)</f>
        <v/>
      </c>
      <c r="M106" s="19" t="str">
        <f aca="false">IF(In!Q129="","",In!Q129)</f>
        <v/>
      </c>
    </row>
    <row r="107" customFormat="false" ht="15" hidden="false" customHeight="false" outlineLevel="0" collapsed="false">
      <c r="A107" s="5" t="s">
        <v>1430</v>
      </c>
      <c r="B107" s="0" t="s">
        <v>1526</v>
      </c>
      <c r="C107" s="0" t="s">
        <v>36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1432</v>
      </c>
      <c r="B108" s="0" t="s">
        <v>1115</v>
      </c>
      <c r="C108" s="0" t="s">
        <v>391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1433</v>
      </c>
      <c r="B109" s="0" t="s">
        <v>1527</v>
      </c>
      <c r="C109" s="0" t="s">
        <v>391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1435</v>
      </c>
      <c r="B110" s="0" t="s">
        <v>1528</v>
      </c>
      <c r="C110" s="0" t="s">
        <v>391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1437</v>
      </c>
      <c r="B111" s="0" t="s">
        <v>1529</v>
      </c>
      <c r="C111" s="0" t="s">
        <v>391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1439</v>
      </c>
      <c r="B112" s="0" t="s">
        <v>1530</v>
      </c>
      <c r="C112" s="0" t="s">
        <v>391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1441</v>
      </c>
      <c r="B113" s="0" t="s">
        <v>1531</v>
      </c>
      <c r="C113" s="0" t="s">
        <v>391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1443</v>
      </c>
      <c r="B114" s="0" t="s">
        <v>1532</v>
      </c>
      <c r="C114" s="0" t="s">
        <v>391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1445</v>
      </c>
      <c r="B115" s="0" t="s">
        <v>1533</v>
      </c>
      <c r="C115" s="0" t="s">
        <v>78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1447</v>
      </c>
      <c r="B116" s="0" t="s">
        <v>1534</v>
      </c>
      <c r="C116" s="0" t="s">
        <v>78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1449</v>
      </c>
      <c r="B117" s="0" t="s">
        <v>1535</v>
      </c>
      <c r="C117" s="0" t="s">
        <v>78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1451</v>
      </c>
      <c r="B118" s="0" t="s">
        <v>1536</v>
      </c>
      <c r="C118" s="0" t="s">
        <v>78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1453</v>
      </c>
      <c r="B119" s="0" t="s">
        <v>1537</v>
      </c>
      <c r="C119" s="0" t="s">
        <v>78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1455</v>
      </c>
      <c r="B120" s="0" t="s">
        <v>1538</v>
      </c>
      <c r="C120" s="0" t="s">
        <v>78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1457</v>
      </c>
      <c r="B121" s="0" t="s">
        <v>1539</v>
      </c>
      <c r="C121" s="0" t="s">
        <v>78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1459</v>
      </c>
      <c r="B122" s="0" t="s">
        <v>1540</v>
      </c>
      <c r="C122" s="0" t="s">
        <v>78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1127</v>
      </c>
      <c r="B124" s="20" t="s">
        <v>652</v>
      </c>
      <c r="N124" s="20" t="s">
        <v>1541</v>
      </c>
    </row>
    <row r="125" customFormat="false" ht="17.15" hidden="false" customHeight="false" outlineLevel="0" collapsed="false">
      <c r="A125" s="5" t="s">
        <v>1429</v>
      </c>
      <c r="B125" s="0" t="s">
        <v>1129</v>
      </c>
      <c r="C125" s="0" t="s">
        <v>391</v>
      </c>
      <c r="D125" s="19" t="str">
        <f aca="false">IF(In!H130="","",In!H130)</f>
        <v/>
      </c>
      <c r="E125" s="19" t="str">
        <f aca="false">IF(In!I130="","",In!I130)</f>
        <v/>
      </c>
      <c r="F125" s="30" t="n">
        <f aca="false">IF(In!J130="","",In!J130)</f>
        <v>4.066</v>
      </c>
      <c r="G125" s="30" t="n">
        <f aca="false">IF(In!K130="","",In!K130)</f>
        <v>22.5</v>
      </c>
      <c r="H125" s="30" t="n">
        <f aca="false">IF(In!L130="","",In!L130)</f>
        <v>27.243</v>
      </c>
      <c r="I125" s="30" t="n">
        <f aca="false">IF(In!M130="","",In!M130)</f>
        <v>38.39</v>
      </c>
      <c r="J125" s="19" t="str">
        <f aca="false">IF(In!N130="","",In!N130)</f>
        <v/>
      </c>
      <c r="K125" s="19" t="str">
        <f aca="false">IF(In!O130="","",In!O130)</f>
        <v/>
      </c>
      <c r="L125" s="19" t="str">
        <f aca="false">IF(In!P130="","",In!P130)</f>
        <v/>
      </c>
      <c r="M125" s="19" t="str">
        <f aca="false">IF(In!Q130="","",In!Q130)</f>
        <v/>
      </c>
    </row>
    <row r="126" customFormat="false" ht="15" hidden="false" customHeight="false" outlineLevel="0" collapsed="false">
      <c r="A126" s="5" t="s">
        <v>1430</v>
      </c>
      <c r="B126" s="0" t="s">
        <v>1542</v>
      </c>
      <c r="C126" s="0" t="s">
        <v>36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1432</v>
      </c>
      <c r="B127" s="0" t="s">
        <v>1134</v>
      </c>
      <c r="C127" s="0" t="s">
        <v>391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1433</v>
      </c>
      <c r="B128" s="0" t="s">
        <v>1543</v>
      </c>
      <c r="C128" s="0" t="s">
        <v>391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1435</v>
      </c>
      <c r="B129" s="0" t="s">
        <v>1544</v>
      </c>
      <c r="C129" s="0" t="s">
        <v>391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1437</v>
      </c>
      <c r="B130" s="0" t="s">
        <v>1545</v>
      </c>
      <c r="C130" s="0" t="s">
        <v>391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1439</v>
      </c>
      <c r="B131" s="0" t="s">
        <v>1546</v>
      </c>
      <c r="C131" s="0" t="s">
        <v>391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1441</v>
      </c>
      <c r="B132" s="0" t="s">
        <v>1547</v>
      </c>
      <c r="C132" s="0" t="s">
        <v>391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1443</v>
      </c>
      <c r="B133" s="0" t="s">
        <v>1548</v>
      </c>
      <c r="C133" s="0" t="s">
        <v>391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1445</v>
      </c>
      <c r="B134" s="0" t="s">
        <v>1549</v>
      </c>
      <c r="C134" s="0" t="s">
        <v>78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1447</v>
      </c>
      <c r="B135" s="0" t="s">
        <v>1550</v>
      </c>
      <c r="C135" s="0" t="s">
        <v>78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0.0580000000000001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1449</v>
      </c>
      <c r="B136" s="0" t="s">
        <v>1551</v>
      </c>
      <c r="C136" s="0" t="s">
        <v>78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1451</v>
      </c>
      <c r="B137" s="0" t="s">
        <v>1552</v>
      </c>
      <c r="C137" s="0" t="s">
        <v>78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1453</v>
      </c>
      <c r="B138" s="0" t="s">
        <v>1553</v>
      </c>
      <c r="C138" s="0" t="s">
        <v>78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1455</v>
      </c>
      <c r="B139" s="0" t="s">
        <v>1554</v>
      </c>
      <c r="C139" s="0" t="s">
        <v>78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1457</v>
      </c>
      <c r="B140" s="0" t="s">
        <v>1555</v>
      </c>
      <c r="C140" s="0" t="s">
        <v>78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1459</v>
      </c>
      <c r="B141" s="0" t="s">
        <v>1556</v>
      </c>
      <c r="C141" s="0" t="s">
        <v>78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1557</v>
      </c>
    </row>
    <row r="144" customFormat="false" ht="17.15" hidden="false" customHeight="false" outlineLevel="0" collapsed="false">
      <c r="A144" s="5" t="s">
        <v>1558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17.4657754681966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1559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3.16016666666667</v>
      </c>
      <c r="I145" s="24" t="n">
        <f aca="false">I21+I40+I59+I78+I97+I116+I135</f>
        <v>13.071</v>
      </c>
      <c r="J145" s="24" t="n">
        <f aca="false">J21+J40+J59+J78+J97+J116+J135</f>
        <v>2.5675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1560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14.3056088015299</v>
      </c>
      <c r="I146" s="24" t="n">
        <f aca="false">IF(AND(2028&gt;=2027,2028&lt;=2029),I144-I145,0)</f>
        <v>8.32707873844073</v>
      </c>
      <c r="J146" s="24" t="n">
        <f aca="false">IF(AND(2029&gt;=2027,2029&lt;=2029),J144-J145,0)</f>
        <v>21.334446773905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1561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15.6144489425264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1562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19.2502642661794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1563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18.2412581684446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1564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16.6902927679486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1565</v>
      </c>
    </row>
    <row r="2" customFormat="false" ht="17.15" hidden="false" customHeight="false" outlineLevel="0" collapsed="false">
      <c r="A2" s="5" t="s">
        <v>1566</v>
      </c>
    </row>
    <row r="3" customFormat="false" ht="15" hidden="false" customHeight="false" outlineLevel="0" collapsed="false">
      <c r="A3" s="6" t="s">
        <v>16</v>
      </c>
      <c r="B3" s="6" t="s">
        <v>1410</v>
      </c>
      <c r="C3" s="6" t="s">
        <v>1567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0" t="s">
        <v>1568</v>
      </c>
      <c r="C4" s="0" t="s">
        <v>1414</v>
      </c>
      <c r="D4" s="24" t="n">
        <f aca="false">Pipeline!D183</f>
        <v>0</v>
      </c>
      <c r="E4" s="24" t="n">
        <f aca="false">Pipeline!E183</f>
        <v>1.61980834349181</v>
      </c>
      <c r="F4" s="24" t="n">
        <f aca="false">Pipeline!F183</f>
        <v>9.04912429484716</v>
      </c>
      <c r="G4" s="24" t="n">
        <f aca="false">Pipeline!G183</f>
        <v>12.5153714610592</v>
      </c>
      <c r="H4" s="24" t="n">
        <f aca="false">Pipeline!H183</f>
        <v>8.65164512450717</v>
      </c>
      <c r="I4" s="24" t="n">
        <f aca="false">Pipeline!I183</f>
        <v>18.596214060909</v>
      </c>
      <c r="J4" s="24" t="n">
        <f aca="false">Pipeline!J183</f>
        <v>6.32902133099745</v>
      </c>
      <c r="K4" s="24" t="n">
        <f aca="false">Pipeline!K183</f>
        <v>5.87505502204789</v>
      </c>
      <c r="L4" s="24" t="n">
        <f aca="false">Pipeline!L183</f>
        <v>3.30384615384617</v>
      </c>
      <c r="M4" s="24" t="n">
        <f aca="false">Pipeline!M183</f>
        <v>2.36923076923077</v>
      </c>
    </row>
    <row r="5" customFormat="false" ht="17.15" hidden="false" customHeight="false" outlineLevel="0" collapsed="false">
      <c r="A5" s="5" t="s">
        <v>1569</v>
      </c>
      <c r="C5" s="0" t="s">
        <v>1414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14.3056088015299</v>
      </c>
      <c r="I5" s="24" t="n">
        <f aca="false">CapexGW!I146</f>
        <v>8.32707873844073</v>
      </c>
      <c r="J5" s="24" t="n">
        <f aca="false">CapexGW!J146</f>
        <v>21.334446773905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1570</v>
      </c>
      <c r="D6" s="24" t="n">
        <f aca="false">Pipeline!D130</f>
        <v>0.630578355681972</v>
      </c>
      <c r="E6" s="24" t="n">
        <f aca="false">Pipeline!E130</f>
        <v>3.95899900597907</v>
      </c>
      <c r="F6" s="24" t="n">
        <f aca="false">Pipeline!F130</f>
        <v>10.0786333333333</v>
      </c>
      <c r="G6" s="24" t="n">
        <f aca="false">Pipeline!G130</f>
        <v>0</v>
      </c>
      <c r="H6" s="24" t="n">
        <f aca="false">Pipeline!H130</f>
        <v>0</v>
      </c>
      <c r="I6" s="24" t="n">
        <f aca="false">Pipeline!I130</f>
        <v>0</v>
      </c>
      <c r="J6" s="24" t="n">
        <f aca="false">Pipeline!J130</f>
        <v>0</v>
      </c>
      <c r="K6" s="24" t="n">
        <f aca="false">Pipeline!K130</f>
        <v>0</v>
      </c>
      <c r="L6" s="24" t="n">
        <f aca="false">Pipeline!L130</f>
        <v>0</v>
      </c>
      <c r="M6" s="24" t="n">
        <f aca="false">Pipeline!M130</f>
        <v>0</v>
      </c>
    </row>
    <row r="8" customFormat="false" ht="15" hidden="false" customHeight="false" outlineLevel="0" collapsed="false">
      <c r="A8" s="33" t="s">
        <v>1571</v>
      </c>
    </row>
    <row r="9" customFormat="false" ht="17.15" hidden="false" customHeight="false" outlineLevel="0" collapsed="false">
      <c r="A9" s="21" t="s">
        <v>1572</v>
      </c>
    </row>
    <row r="10" customFormat="false" ht="17.15" hidden="false" customHeight="false" outlineLevel="0" collapsed="false">
      <c r="A10" s="5" t="s">
        <v>1573</v>
      </c>
      <c r="B10" s="0" t="s">
        <v>1574</v>
      </c>
      <c r="C10" s="0" t="s">
        <v>1414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9.04912429484716</v>
      </c>
      <c r="G10" s="24" t="n">
        <f aca="false">(G$4+G$5)</f>
        <v>12.5153714610592</v>
      </c>
      <c r="H10" s="24" t="n">
        <f aca="false">(H$4+H$5)</f>
        <v>22.9572539260371</v>
      </c>
      <c r="I10" s="24" t="n">
        <f aca="false">(I$4+I$5)*SIL_In!$I$27</f>
        <v>26.9232927993498</v>
      </c>
      <c r="J10" s="24" t="n">
        <f aca="false">(J$4+J$5)*SIL_In!$J$27</f>
        <v>27.6634681049025</v>
      </c>
      <c r="K10" s="24" t="n">
        <f aca="false">(Pipeline!J180+SUM($E$12:J12))*K11</f>
        <v>28.1039834110243</v>
      </c>
      <c r="L10" s="24" t="n">
        <f aca="false">(Pipeline!K180+SUM($E$12:K12))*L11</f>
        <v>24.6492774813064</v>
      </c>
      <c r="M10" s="24" t="n">
        <f aca="false">(Pipeline!L180+SUM($E$12:L12))*M11</f>
        <v>16.8149790517013</v>
      </c>
    </row>
    <row r="11" customFormat="false" ht="17.15" hidden="false" customHeight="false" outlineLevel="0" collapsed="false">
      <c r="A11" s="5" t="s">
        <v>1575</v>
      </c>
      <c r="B11" s="0" t="s">
        <v>1574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IFERROR(J10/(Pipeline!I180+SUM($E$12:I12)),g_lt)</f>
        <v>0.315314063201428</v>
      </c>
      <c r="K11" s="23" t="n">
        <f aca="false">$J$11+(g_lt-$J$11)*(2030-2029)/3</f>
        <v>0.243542708800952</v>
      </c>
      <c r="L11" s="23" t="n">
        <f aca="false">$J$11+(g_lt-$J$11)*(2031-2029)/3</f>
        <v>0.171771354400476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1576</v>
      </c>
      <c r="B12" s="0" t="s">
        <v>1574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14.3056088015299</v>
      </c>
      <c r="I12" s="24" t="n">
        <f aca="false">I10-I$4</f>
        <v>8.32707873844073</v>
      </c>
      <c r="J12" s="24" t="n">
        <f aca="false">J10-J$4</f>
        <v>21.334446773905</v>
      </c>
      <c r="K12" s="24" t="n">
        <f aca="false">K10-K$4</f>
        <v>22.2289283889764</v>
      </c>
      <c r="L12" s="24" t="n">
        <f aca="false">L10-L$4</f>
        <v>21.3454313274603</v>
      </c>
      <c r="M12" s="24" t="n">
        <f aca="false">M10-M$4</f>
        <v>14.4457482824705</v>
      </c>
    </row>
    <row r="13" customFormat="false" ht="17.15" hidden="false" customHeight="false" outlineLevel="0" collapsed="false">
      <c r="A13" s="21" t="s">
        <v>1418</v>
      </c>
      <c r="B13" s="20" t="s">
        <v>1574</v>
      </c>
      <c r="C13" s="20" t="s">
        <v>1414</v>
      </c>
      <c r="D13" s="25" t="n">
        <f aca="false">Pipeline!D180+SUMPRODUCT($E$12:$M$12,Pipeline!$E$135:$M$135)</f>
        <v>0.630578355681972</v>
      </c>
      <c r="E13" s="25" t="n">
        <f aca="false">Pipeline!E180+SUMPRODUCT($E$12:$M$12,Pipeline!$E$136:$M$136)</f>
        <v>6.20938570515285</v>
      </c>
      <c r="F13" s="25" t="n">
        <f aca="false">Pipeline!F180+SUMPRODUCT($E$12:$M$12,Pipeline!$E$137:$M$137)</f>
        <v>25.3371433333333</v>
      </c>
      <c r="G13" s="25" t="n">
        <f aca="false">Pipeline!G180+SUMPRODUCT($E$12:$M$12,Pipeline!$E$138:$M$138)</f>
        <v>37.8525147943925</v>
      </c>
      <c r="H13" s="25" t="n">
        <f aca="false">Pipeline!H180+SUMPRODUCT($E$12:$M$12,Pipeline!$E$139:$M$139)</f>
        <v>60.8097687204296</v>
      </c>
      <c r="I13" s="25" t="n">
        <f aca="false">Pipeline!I180+SUMPRODUCT($E$12:$M$12,Pipeline!$E$140:$M$140)</f>
        <v>87.7330615197793</v>
      </c>
      <c r="J13" s="25" t="n">
        <f aca="false">Pipeline!J180+SUMPRODUCT($E$12:$M$12,Pipeline!$E$141:$M$141)</f>
        <v>115.396529624682</v>
      </c>
      <c r="K13" s="25" t="n">
        <f aca="false">Pipeline!K180+SUMPRODUCT($E$12:$M$12,Pipeline!$E$142:$M$142)</f>
        <v>143.500513035706</v>
      </c>
      <c r="L13" s="25" t="n">
        <f aca="false">Pipeline!L180+SUMPRODUCT($E$12:$M$12,Pipeline!$E$143:$M$143)</f>
        <v>168.149790517013</v>
      </c>
      <c r="M13" s="25" t="n">
        <f aca="false">Pipeline!M180+SUMPRODUCT($E$12:$M$12,Pipeline!$E$144:$M$144)</f>
        <v>184.964769568714</v>
      </c>
    </row>
    <row r="14" customFormat="false" ht="17.15" hidden="false" customHeight="false" outlineLevel="0" collapsed="false">
      <c r="A14" s="21" t="s">
        <v>1418</v>
      </c>
      <c r="B14" s="20" t="s">
        <v>1574</v>
      </c>
      <c r="C14" s="20" t="s">
        <v>1415</v>
      </c>
      <c r="D14" s="25" t="n">
        <f aca="false">Pipeline!D181+SUMPRODUCT($E$12:$M$12,Pipeline!$E$147:$M$147)</f>
        <v>0.630578355681972</v>
      </c>
      <c r="E14" s="25" t="n">
        <f aca="false">Pipeline!E181+SUMPRODUCT($E$12:$M$12,Pipeline!$E$148:$M$148)</f>
        <v>6.20938570515285</v>
      </c>
      <c r="F14" s="25" t="n">
        <f aca="false">Pipeline!F181+SUMPRODUCT($E$12:$M$12,Pipeline!$E$149:$M$149)</f>
        <v>25.3371433333333</v>
      </c>
      <c r="G14" s="25" t="n">
        <f aca="false">Pipeline!G181+SUMPRODUCT($E$12:$M$12,Pipeline!$E$150:$M$150)</f>
        <v>37.043435095226</v>
      </c>
      <c r="H14" s="25" t="n">
        <f aca="false">Pipeline!H181+SUMPRODUCT($E$12:$M$12,Pipeline!$E$151:$M$151)</f>
        <v>56.5929826167064</v>
      </c>
      <c r="I14" s="25" t="n">
        <f aca="false">Pipeline!I181+SUMPRODUCT($E$12:$M$12,Pipeline!$E$152:$M$152)</f>
        <v>82.5511727798931</v>
      </c>
      <c r="J14" s="25" t="n">
        <f aca="false">Pipeline!J181+SUMPRODUCT($E$12:$M$12,Pipeline!$E$153:$M$153)</f>
        <v>110.195797706324</v>
      </c>
      <c r="K14" s="25" t="n">
        <f aca="false">Pipeline!K181+SUMPRODUCT($E$12:$M$12,Pipeline!$E$154:$M$154)</f>
        <v>138.346240938777</v>
      </c>
      <c r="L14" s="25" t="n">
        <f aca="false">Pipeline!L181+SUMPRODUCT($E$12:$M$12,Pipeline!$E$155:$M$155)</f>
        <v>163.634916957784</v>
      </c>
      <c r="M14" s="25" t="n">
        <f aca="false">Pipeline!M181+SUMPRODUCT($E$12:$M$12,Pipeline!$E$156:$M$156)</f>
        <v>182.022148234666</v>
      </c>
    </row>
    <row r="15" customFormat="false" ht="17.15" hidden="false" customHeight="false" outlineLevel="0" collapsed="false">
      <c r="A15" s="21" t="s">
        <v>1418</v>
      </c>
      <c r="B15" s="20" t="s">
        <v>1574</v>
      </c>
      <c r="C15" s="20" t="s">
        <v>1416</v>
      </c>
      <c r="D15" s="25" t="n">
        <f aca="false">Pipeline!D182+SUMPRODUCT($E$12:$M$12,Pipeline!$E$159:$M$159)</f>
        <v>0.630578355681972</v>
      </c>
      <c r="E15" s="25" t="n">
        <f aca="false">Pipeline!E182+SUMPRODUCT($E$12:$M$12,Pipeline!$E$160:$M$160)</f>
        <v>6.20938570515285</v>
      </c>
      <c r="F15" s="25" t="n">
        <f aca="false">Pipeline!F182+SUMPRODUCT($E$12:$M$12,Pipeline!$E$161:$M$161)</f>
        <v>25.3371433333333</v>
      </c>
      <c r="G15" s="25" t="n">
        <f aca="false">Pipeline!G182+SUMPRODUCT($E$12:$M$12,Pipeline!$E$162:$M$162)</f>
        <v>37.043435095226</v>
      </c>
      <c r="H15" s="25" t="n">
        <f aca="false">Pipeline!H182+SUMPRODUCT($E$12:$M$12,Pipeline!$E$163:$M$163)</f>
        <v>49.1467154877809</v>
      </c>
      <c r="I15" s="25" t="n">
        <f aca="false">Pipeline!I182+SUMPRODUCT($E$12:$M$12,Pipeline!$E$164:$M$164)</f>
        <v>72.8876167146185</v>
      </c>
      <c r="J15" s="25" t="n">
        <f aca="false">Pipeline!J182+SUMPRODUCT($E$12:$M$12,Pipeline!$E$165:$M$165)</f>
        <v>108.144602210369</v>
      </c>
      <c r="K15" s="25" t="n">
        <f aca="false">Pipeline!K182+SUMPRODUCT($E$12:$M$12,Pipeline!$E$166:$M$166)</f>
        <v>138.346240938777</v>
      </c>
      <c r="L15" s="25" t="n">
        <f aca="false">Pipeline!L182+SUMPRODUCT($E$12:$M$12,Pipeline!$E$167:$M$167)</f>
        <v>163.634916957784</v>
      </c>
      <c r="M15" s="25" t="n">
        <f aca="false">Pipeline!M182+SUMPRODUCT($E$12:$M$12,Pipeline!$E$168:$M$168)</f>
        <v>182.022148234666</v>
      </c>
    </row>
    <row r="16" customFormat="false" ht="17.15" hidden="false" customHeight="false" outlineLevel="0" collapsed="false">
      <c r="A16" s="5" t="s">
        <v>1310</v>
      </c>
      <c r="B16" s="0" t="s">
        <v>1574</v>
      </c>
      <c r="C16" s="0" t="s">
        <v>1414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31.5948290638629</v>
      </c>
      <c r="H16" s="24" t="n">
        <f aca="false">(G13+H13)/2</f>
        <v>49.3311417574111</v>
      </c>
      <c r="I16" s="24" t="n">
        <f aca="false">(H13+I13)/2</f>
        <v>74.2714151201045</v>
      </c>
      <c r="J16" s="24" t="n">
        <f aca="false">(I13+J13)/2</f>
        <v>101.564795572231</v>
      </c>
      <c r="K16" s="24" t="n">
        <f aca="false">(J13+K13)/2</f>
        <v>129.448521330194</v>
      </c>
      <c r="L16" s="24" t="n">
        <f aca="false">(K13+L13)/2</f>
        <v>155.825151776359</v>
      </c>
      <c r="M16" s="24" t="n">
        <f aca="false">(L13+M13)/2</f>
        <v>176.557280042863</v>
      </c>
    </row>
    <row r="17" customFormat="false" ht="17.15" hidden="false" customHeight="false" outlineLevel="0" collapsed="false">
      <c r="A17" s="5" t="s">
        <v>1310</v>
      </c>
      <c r="B17" s="0" t="s">
        <v>1574</v>
      </c>
      <c r="C17" s="0" t="s">
        <v>1415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31.1902892142797</v>
      </c>
      <c r="H17" s="24" t="n">
        <f aca="false">(G14+H14)/2</f>
        <v>46.8182088559662</v>
      </c>
      <c r="I17" s="24" t="n">
        <f aca="false">(H14+I14)/2</f>
        <v>69.5720776982998</v>
      </c>
      <c r="J17" s="24" t="n">
        <f aca="false">(I14+J14)/2</f>
        <v>96.3734852431085</v>
      </c>
      <c r="K17" s="24" t="n">
        <f aca="false">(J14+K14)/2</f>
        <v>124.27101932255</v>
      </c>
      <c r="L17" s="24" t="n">
        <f aca="false">(K14+L14)/2</f>
        <v>150.99057894828</v>
      </c>
      <c r="M17" s="24" t="n">
        <f aca="false">(L14+M14)/2</f>
        <v>172.828532596225</v>
      </c>
    </row>
    <row r="18" customFormat="false" ht="17.15" hidden="false" customHeight="false" outlineLevel="0" collapsed="false">
      <c r="A18" s="5" t="s">
        <v>1310</v>
      </c>
      <c r="B18" s="0" t="s">
        <v>1574</v>
      </c>
      <c r="C18" s="0" t="s">
        <v>1416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31.1902892142797</v>
      </c>
      <c r="H18" s="24" t="n">
        <f aca="false">(G15+H15)/2</f>
        <v>43.0950752915034</v>
      </c>
      <c r="I18" s="24" t="n">
        <f aca="false">(H15+I15)/2</f>
        <v>61.0171661011997</v>
      </c>
      <c r="J18" s="24" t="n">
        <f aca="false">(I15+J15)/2</f>
        <v>90.5161094624939</v>
      </c>
      <c r="K18" s="24" t="n">
        <f aca="false">(J15+K15)/2</f>
        <v>123.245421574573</v>
      </c>
      <c r="L18" s="24" t="n">
        <f aca="false">(K15+L15)/2</f>
        <v>150.99057894828</v>
      </c>
      <c r="M18" s="24" t="n">
        <f aca="false">(L15+M15)/2</f>
        <v>172.828532596225</v>
      </c>
    </row>
    <row r="19" customFormat="false" ht="17.15" hidden="false" customHeight="false" outlineLevel="0" collapsed="false">
      <c r="A19" s="5" t="s">
        <v>1419</v>
      </c>
      <c r="B19" s="0" t="s">
        <v>1574</v>
      </c>
      <c r="C19" s="0" t="s">
        <v>1414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9.04912429484716</v>
      </c>
      <c r="G19" s="24" t="n">
        <f aca="false">G13-F13-G$6</f>
        <v>12.5153714610592</v>
      </c>
      <c r="H19" s="24" t="n">
        <f aca="false">H13-G13-H$6</f>
        <v>22.9572539260371</v>
      </c>
      <c r="I19" s="24" t="n">
        <f aca="false">I13-H13-I$6</f>
        <v>26.9232927993498</v>
      </c>
      <c r="J19" s="24" t="n">
        <f aca="false">J13-I13-J$6</f>
        <v>27.6634681049025</v>
      </c>
      <c r="K19" s="24" t="n">
        <f aca="false">K13-J13-K$6</f>
        <v>28.1039834110243</v>
      </c>
      <c r="L19" s="24" t="n">
        <f aca="false">L13-K13-L$6</f>
        <v>24.6492774813064</v>
      </c>
      <c r="M19" s="24" t="n">
        <f aca="false">M13-L13-M$6</f>
        <v>16.8149790517012</v>
      </c>
    </row>
    <row r="20" customFormat="false" ht="17.15" hidden="false" customHeight="false" outlineLevel="0" collapsed="false">
      <c r="A20" s="5" t="s">
        <v>1419</v>
      </c>
      <c r="B20" s="0" t="s">
        <v>1574</v>
      </c>
      <c r="C20" s="0" t="s">
        <v>1415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9.04912429484716</v>
      </c>
      <c r="G20" s="24" t="n">
        <f aca="false">G14-F14-G$6</f>
        <v>11.7062917618926</v>
      </c>
      <c r="H20" s="24" t="n">
        <f aca="false">H14-G14-H$6</f>
        <v>19.5495475214805</v>
      </c>
      <c r="I20" s="24" t="n">
        <f aca="false">I14-H14-I$6</f>
        <v>25.9581901631867</v>
      </c>
      <c r="J20" s="24" t="n">
        <f aca="false">J14-I14-J$6</f>
        <v>27.6446249264308</v>
      </c>
      <c r="K20" s="24" t="n">
        <f aca="false">K14-J14-K$6</f>
        <v>28.150443232453</v>
      </c>
      <c r="L20" s="24" t="n">
        <f aca="false">L14-K14-L$6</f>
        <v>25.2886760190071</v>
      </c>
      <c r="M20" s="24" t="n">
        <f aca="false">M14-L14-M$6</f>
        <v>18.3872312768821</v>
      </c>
    </row>
    <row r="21" customFormat="false" ht="17.15" hidden="false" customHeight="false" outlineLevel="0" collapsed="false">
      <c r="A21" s="5" t="s">
        <v>1419</v>
      </c>
      <c r="B21" s="0" t="s">
        <v>1574</v>
      </c>
      <c r="C21" s="0" t="s">
        <v>1416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9.04912429484716</v>
      </c>
      <c r="G21" s="24" t="n">
        <f aca="false">G15-F15-G$6</f>
        <v>11.7062917618926</v>
      </c>
      <c r="H21" s="24" t="n">
        <f aca="false">H15-G15-H$6</f>
        <v>12.1032803925549</v>
      </c>
      <c r="I21" s="24" t="n">
        <f aca="false">I15-H15-I$6</f>
        <v>23.7409012268376</v>
      </c>
      <c r="J21" s="24" t="n">
        <f aca="false">J15-I15-J$6</f>
        <v>35.256985495751</v>
      </c>
      <c r="K21" s="24" t="n">
        <f aca="false">K15-J15-K$6</f>
        <v>30.2016387284075</v>
      </c>
      <c r="L21" s="24" t="n">
        <f aca="false">L15-K15-L$6</f>
        <v>25.2886760190071</v>
      </c>
      <c r="M21" s="24" t="n">
        <f aca="false">M15-L15-M$6</f>
        <v>18.3872312768821</v>
      </c>
    </row>
    <row r="22" customFormat="false" ht="17.15" hidden="false" customHeight="false" outlineLevel="0" collapsed="false">
      <c r="A22" s="5" t="s">
        <v>1420</v>
      </c>
      <c r="B22" s="0" t="s">
        <v>1574</v>
      </c>
      <c r="C22" s="0" t="s">
        <v>1415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0.809079699166553</v>
      </c>
      <c r="H22" s="24" t="n">
        <f aca="false">H13-H14</f>
        <v>4.21678610372315</v>
      </c>
      <c r="I22" s="24" t="n">
        <f aca="false">I13-I14</f>
        <v>5.18188873988621</v>
      </c>
      <c r="J22" s="24" t="n">
        <f aca="false">J13-J14</f>
        <v>5.20073191835793</v>
      </c>
      <c r="K22" s="24" t="n">
        <f aca="false">K13-K14</f>
        <v>5.15427209692925</v>
      </c>
      <c r="L22" s="24" t="n">
        <f aca="false">L13-L14</f>
        <v>4.51487355922862</v>
      </c>
      <c r="M22" s="24" t="n">
        <f aca="false">M13-M14</f>
        <v>2.94262133404771</v>
      </c>
    </row>
    <row r="23" customFormat="false" ht="17.15" hidden="false" customHeight="false" outlineLevel="0" collapsed="false">
      <c r="A23" s="5" t="s">
        <v>1420</v>
      </c>
      <c r="B23" s="0" t="s">
        <v>1574</v>
      </c>
      <c r="C23" s="0" t="s">
        <v>1416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0.809079699166553</v>
      </c>
      <c r="H23" s="24" t="n">
        <f aca="false">H13-H15</f>
        <v>11.6630532326487</v>
      </c>
      <c r="I23" s="24" t="n">
        <f aca="false">I13-I15</f>
        <v>14.8454448051609</v>
      </c>
      <c r="J23" s="24" t="n">
        <f aca="false">J13-J15</f>
        <v>7.25192741431241</v>
      </c>
      <c r="K23" s="24" t="n">
        <f aca="false">K13-K15</f>
        <v>5.15427209692925</v>
      </c>
      <c r="L23" s="24" t="n">
        <f aca="false">L13-L15</f>
        <v>4.51487355922862</v>
      </c>
      <c r="M23" s="24" t="n">
        <f aca="false">M13-M15</f>
        <v>2.94262133404771</v>
      </c>
    </row>
    <row r="25" customFormat="false" ht="17.15" hidden="false" customHeight="false" outlineLevel="0" collapsed="false">
      <c r="A25" s="21" t="s">
        <v>1577</v>
      </c>
    </row>
    <row r="26" customFormat="false" ht="17.15" hidden="false" customHeight="false" outlineLevel="0" collapsed="false">
      <c r="A26" s="5" t="s">
        <v>1573</v>
      </c>
      <c r="B26" s="0" t="s">
        <v>1578</v>
      </c>
      <c r="C26" s="0" t="s">
        <v>1414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9.04912429484716</v>
      </c>
      <c r="G26" s="24" t="n">
        <f aca="false">(G$4+G$5)</f>
        <v>12.5153714610592</v>
      </c>
      <c r="H26" s="24" t="n">
        <f aca="false">(H$4+H$5)</f>
        <v>22.9572539260371</v>
      </c>
      <c r="I26" s="24" t="n">
        <f aca="false">(I$4+I$5)*SIL_In!$I$28</f>
        <v>21.5386342394798</v>
      </c>
      <c r="J26" s="24" t="n">
        <f aca="false">(J$4+J$5)*SIL_In!$J$28</f>
        <v>23.5139478891671</v>
      </c>
      <c r="K26" s="24" t="n">
        <f aca="false">(Pipeline!J180+SUM($E$28:J28))*K27</f>
        <v>23.6808606072918</v>
      </c>
      <c r="L26" s="24" t="n">
        <f aca="false">(Pipeline!K180+SUM($E$28:K28))*L27</f>
        <v>20.9662339237998</v>
      </c>
      <c r="M26" s="24" t="n">
        <f aca="false">(Pipeline!L180+SUM($E$28:L28))*M27</f>
        <v>15.0509445380168</v>
      </c>
    </row>
    <row r="27" customFormat="false" ht="17.15" hidden="false" customHeight="false" outlineLevel="0" collapsed="false">
      <c r="A27" s="5" t="s">
        <v>1575</v>
      </c>
      <c r="B27" s="0" t="s">
        <v>1578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IFERROR(J26/(Pipeline!I180+SUM($E$28:I28)),g_lt)</f>
        <v>0.285542245435102</v>
      </c>
      <c r="K27" s="23" t="n">
        <f aca="false">$J$27+(g_lt-$J$27)*(2030-2029)/3</f>
        <v>0.223694830290068</v>
      </c>
      <c r="L27" s="23" t="n">
        <f aca="false">$J$27+(g_lt-$J$27)*(2031-2029)/3</f>
        <v>0.161847415145034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1576</v>
      </c>
      <c r="B28" s="0" t="s">
        <v>1578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14.3056088015299</v>
      </c>
      <c r="I28" s="24" t="n">
        <f aca="false">I26-I$4</f>
        <v>2.94242017857078</v>
      </c>
      <c r="J28" s="24" t="n">
        <f aca="false">J26-J$4</f>
        <v>17.1849265581697</v>
      </c>
      <c r="K28" s="24" t="n">
        <f aca="false">K26-K$4</f>
        <v>17.8058055852439</v>
      </c>
      <c r="L28" s="24" t="n">
        <f aca="false">L26-L$4</f>
        <v>17.6623877699536</v>
      </c>
      <c r="M28" s="24" t="n">
        <f aca="false">M26-M$4</f>
        <v>12.681713768786</v>
      </c>
    </row>
    <row r="29" customFormat="false" ht="17.15" hidden="false" customHeight="false" outlineLevel="0" collapsed="false">
      <c r="A29" s="21" t="s">
        <v>1418</v>
      </c>
      <c r="B29" s="20" t="s">
        <v>1578</v>
      </c>
      <c r="C29" s="20" t="s">
        <v>1414</v>
      </c>
      <c r="D29" s="25" t="n">
        <f aca="false">Pipeline!D180+SUMPRODUCT($E$28:$M$28,Pipeline!$E$135:$M$135)</f>
        <v>0.630578355681972</v>
      </c>
      <c r="E29" s="25" t="n">
        <f aca="false">Pipeline!E180+SUMPRODUCT($E$28:$M$28,Pipeline!$E$136:$M$136)</f>
        <v>6.20938570515285</v>
      </c>
      <c r="F29" s="25" t="n">
        <f aca="false">Pipeline!F180+SUMPRODUCT($E$28:$M$28,Pipeline!$E$137:$M$137)</f>
        <v>25.3371433333333</v>
      </c>
      <c r="G29" s="25" t="n">
        <f aca="false">Pipeline!G180+SUMPRODUCT($E$28:$M$28,Pipeline!$E$138:$M$138)</f>
        <v>37.8525147943925</v>
      </c>
      <c r="H29" s="25" t="n">
        <f aca="false">Pipeline!H180+SUMPRODUCT($E$28:$M$28,Pipeline!$E$139:$M$139)</f>
        <v>60.8097687204296</v>
      </c>
      <c r="I29" s="25" t="n">
        <f aca="false">Pipeline!I180+SUMPRODUCT($E$28:$M$28,Pipeline!$E$140:$M$140)</f>
        <v>82.3484029599094</v>
      </c>
      <c r="J29" s="25" t="n">
        <f aca="false">Pipeline!J180+SUMPRODUCT($E$28:$M$28,Pipeline!$E$141:$M$141)</f>
        <v>105.862350849077</v>
      </c>
      <c r="K29" s="25" t="n">
        <f aca="false">Pipeline!K180+SUMPRODUCT($E$28:$M$28,Pipeline!$E$142:$M$142)</f>
        <v>129.543211456368</v>
      </c>
      <c r="L29" s="25" t="n">
        <f aca="false">Pipeline!L180+SUMPRODUCT($E$28:$M$28,Pipeline!$E$143:$M$143)</f>
        <v>150.509445380168</v>
      </c>
      <c r="M29" s="25" t="n">
        <f aca="false">Pipeline!M180+SUMPRODUCT($E$28:$M$28,Pipeline!$E$144:$M$144)</f>
        <v>165.560389918185</v>
      </c>
    </row>
    <row r="30" customFormat="false" ht="17.15" hidden="false" customHeight="false" outlineLevel="0" collapsed="false">
      <c r="A30" s="21" t="s">
        <v>1418</v>
      </c>
      <c r="B30" s="20" t="s">
        <v>1578</v>
      </c>
      <c r="C30" s="20" t="s">
        <v>1415</v>
      </c>
      <c r="D30" s="25" t="n">
        <f aca="false">Pipeline!D181+SUMPRODUCT($E$28:$M$28,Pipeline!$E$147:$M$147)</f>
        <v>0.630578355681972</v>
      </c>
      <c r="E30" s="25" t="n">
        <f aca="false">Pipeline!E181+SUMPRODUCT($E$28:$M$28,Pipeline!$E$148:$M$148)</f>
        <v>6.20938570515285</v>
      </c>
      <c r="F30" s="25" t="n">
        <f aca="false">Pipeline!F181+SUMPRODUCT($E$28:$M$28,Pipeline!$E$149:$M$149)</f>
        <v>25.3371433333333</v>
      </c>
      <c r="G30" s="25" t="n">
        <f aca="false">Pipeline!G181+SUMPRODUCT($E$28:$M$28,Pipeline!$E$150:$M$150)</f>
        <v>37.043435095226</v>
      </c>
      <c r="H30" s="25" t="n">
        <f aca="false">Pipeline!H181+SUMPRODUCT($E$28:$M$28,Pipeline!$E$151:$M$151)</f>
        <v>56.5929826167064</v>
      </c>
      <c r="I30" s="25" t="n">
        <f aca="false">Pipeline!I181+SUMPRODUCT($E$28:$M$28,Pipeline!$E$152:$M$152)</f>
        <v>78.1088294680004</v>
      </c>
      <c r="J30" s="25" t="n">
        <f aca="false">Pipeline!J181+SUMPRODUCT($E$28:$M$28,Pipeline!$E$153:$M$153)</f>
        <v>101.387784968472</v>
      </c>
      <c r="K30" s="25" t="n">
        <f aca="false">Pipeline!K181+SUMPRODUCT($E$28:$M$28,Pipeline!$E$154:$M$154)</f>
        <v>125.162985850092</v>
      </c>
      <c r="L30" s="25" t="n">
        <f aca="false">Pipeline!L181+SUMPRODUCT($E$28:$M$28,Pipeline!$E$155:$M$155)</f>
        <v>146.639104443503</v>
      </c>
      <c r="M30" s="25" t="n">
        <f aca="false">Pipeline!M181+SUMPRODUCT($E$28:$M$28,Pipeline!$E$156:$M$156)</f>
        <v>162.926474624032</v>
      </c>
    </row>
    <row r="31" customFormat="false" ht="17.15" hidden="false" customHeight="false" outlineLevel="0" collapsed="false">
      <c r="A31" s="21" t="s">
        <v>1418</v>
      </c>
      <c r="B31" s="20" t="s">
        <v>1578</v>
      </c>
      <c r="C31" s="20" t="s">
        <v>1416</v>
      </c>
      <c r="D31" s="25" t="n">
        <f aca="false">Pipeline!D182+SUMPRODUCT($E$28:$M$28,Pipeline!$E$159:$M$159)</f>
        <v>0.630578355681972</v>
      </c>
      <c r="E31" s="25" t="n">
        <f aca="false">Pipeline!E182+SUMPRODUCT($E$28:$M$28,Pipeline!$E$160:$M$160)</f>
        <v>6.20938570515285</v>
      </c>
      <c r="F31" s="25" t="n">
        <f aca="false">Pipeline!F182+SUMPRODUCT($E$28:$M$28,Pipeline!$E$161:$M$161)</f>
        <v>25.3371433333333</v>
      </c>
      <c r="G31" s="25" t="n">
        <f aca="false">Pipeline!G182+SUMPRODUCT($E$28:$M$28,Pipeline!$E$162:$M$162)</f>
        <v>37.043435095226</v>
      </c>
      <c r="H31" s="25" t="n">
        <f aca="false">Pipeline!H182+SUMPRODUCT($E$28:$M$28,Pipeline!$E$163:$M$163)</f>
        <v>49.1467154877809</v>
      </c>
      <c r="I31" s="25" t="n">
        <f aca="false">Pipeline!I182+SUMPRODUCT($E$28:$M$28,Pipeline!$E$164:$M$164)</f>
        <v>70.2222107274828</v>
      </c>
      <c r="J31" s="25" t="n">
        <f aca="false">Pipeline!J182+SUMPRODUCT($E$28:$M$28,Pipeline!$E$165:$M$165)</f>
        <v>99.7135155717087</v>
      </c>
      <c r="K31" s="25" t="n">
        <f aca="false">Pipeline!K182+SUMPRODUCT($E$28:$M$28,Pipeline!$E$166:$M$166)</f>
        <v>125.162985850092</v>
      </c>
      <c r="L31" s="25" t="n">
        <f aca="false">Pipeline!L182+SUMPRODUCT($E$28:$M$28,Pipeline!$E$167:$M$167)</f>
        <v>146.639104443503</v>
      </c>
      <c r="M31" s="25" t="n">
        <f aca="false">Pipeline!M182+SUMPRODUCT($E$28:$M$28,Pipeline!$E$168:$M$168)</f>
        <v>162.926474624032</v>
      </c>
    </row>
    <row r="32" customFormat="false" ht="17.15" hidden="false" customHeight="false" outlineLevel="0" collapsed="false">
      <c r="A32" s="5" t="s">
        <v>1310</v>
      </c>
      <c r="B32" s="0" t="s">
        <v>1578</v>
      </c>
      <c r="C32" s="0" t="s">
        <v>1414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31.5948290638629</v>
      </c>
      <c r="H32" s="24" t="n">
        <f aca="false">(G29+H29)/2</f>
        <v>49.3311417574111</v>
      </c>
      <c r="I32" s="24" t="n">
        <f aca="false">(H29+I29)/2</f>
        <v>71.5790858401695</v>
      </c>
      <c r="J32" s="24" t="n">
        <f aca="false">(I29+J29)/2</f>
        <v>94.1053769044929</v>
      </c>
      <c r="K32" s="24" t="n">
        <f aca="false">(J29+K29)/2</f>
        <v>117.702781152722</v>
      </c>
      <c r="L32" s="24" t="n">
        <f aca="false">(K29+L29)/2</f>
        <v>140.026328418268</v>
      </c>
      <c r="M32" s="24" t="n">
        <f aca="false">(L29+M29)/2</f>
        <v>158.034917649176</v>
      </c>
    </row>
    <row r="33" customFormat="false" ht="17.15" hidden="false" customHeight="false" outlineLevel="0" collapsed="false">
      <c r="A33" s="5" t="s">
        <v>1310</v>
      </c>
      <c r="B33" s="0" t="s">
        <v>1578</v>
      </c>
      <c r="C33" s="0" t="s">
        <v>1415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31.1902892142797</v>
      </c>
      <c r="H33" s="24" t="n">
        <f aca="false">(G30+H30)/2</f>
        <v>46.8182088559662</v>
      </c>
      <c r="I33" s="24" t="n">
        <f aca="false">(H30+I30)/2</f>
        <v>67.3509060423534</v>
      </c>
      <c r="J33" s="24" t="n">
        <f aca="false">(I30+J30)/2</f>
        <v>89.7483072182363</v>
      </c>
      <c r="K33" s="24" t="n">
        <f aca="false">(J30+K30)/2</f>
        <v>113.275385409282</v>
      </c>
      <c r="L33" s="24" t="n">
        <f aca="false">(K30+L30)/2</f>
        <v>135.901045146798</v>
      </c>
      <c r="M33" s="24" t="n">
        <f aca="false">(L30+M30)/2</f>
        <v>154.782789533768</v>
      </c>
    </row>
    <row r="34" customFormat="false" ht="17.15" hidden="false" customHeight="false" outlineLevel="0" collapsed="false">
      <c r="A34" s="5" t="s">
        <v>1310</v>
      </c>
      <c r="B34" s="0" t="s">
        <v>1578</v>
      </c>
      <c r="C34" s="0" t="s">
        <v>1416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31.1902892142797</v>
      </c>
      <c r="H34" s="24" t="n">
        <f aca="false">(G31+H31)/2</f>
        <v>43.0950752915034</v>
      </c>
      <c r="I34" s="24" t="n">
        <f aca="false">(H31+I31)/2</f>
        <v>59.6844631076318</v>
      </c>
      <c r="J34" s="24" t="n">
        <f aca="false">(I31+J31)/2</f>
        <v>84.9678631495957</v>
      </c>
      <c r="K34" s="24" t="n">
        <f aca="false">(J31+K31)/2</f>
        <v>112.4382507109</v>
      </c>
      <c r="L34" s="24" t="n">
        <f aca="false">(K31+L31)/2</f>
        <v>135.901045146798</v>
      </c>
      <c r="M34" s="24" t="n">
        <f aca="false">(L31+M31)/2</f>
        <v>154.782789533768</v>
      </c>
    </row>
    <row r="35" customFormat="false" ht="17.15" hidden="false" customHeight="false" outlineLevel="0" collapsed="false">
      <c r="A35" s="5" t="s">
        <v>1419</v>
      </c>
      <c r="B35" s="0" t="s">
        <v>1578</v>
      </c>
      <c r="C35" s="0" t="s">
        <v>1414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9.04912429484716</v>
      </c>
      <c r="G35" s="24" t="n">
        <f aca="false">G29-F29-G$6</f>
        <v>12.5153714610592</v>
      </c>
      <c r="H35" s="24" t="n">
        <f aca="false">H29-G29-H$6</f>
        <v>22.9572539260371</v>
      </c>
      <c r="I35" s="24" t="n">
        <f aca="false">I29-H29-I$6</f>
        <v>21.5386342394798</v>
      </c>
      <c r="J35" s="24" t="n">
        <f aca="false">J29-I29-J$6</f>
        <v>23.5139478891671</v>
      </c>
      <c r="K35" s="24" t="n">
        <f aca="false">K29-J29-K$6</f>
        <v>23.6808606072918</v>
      </c>
      <c r="L35" s="24" t="n">
        <f aca="false">L29-K29-L$6</f>
        <v>20.9662339237998</v>
      </c>
      <c r="M35" s="24" t="n">
        <f aca="false">M29-L29-M$6</f>
        <v>15.0509445380168</v>
      </c>
    </row>
    <row r="36" customFormat="false" ht="17.15" hidden="false" customHeight="false" outlineLevel="0" collapsed="false">
      <c r="A36" s="5" t="s">
        <v>1419</v>
      </c>
      <c r="B36" s="0" t="s">
        <v>1578</v>
      </c>
      <c r="C36" s="0" t="s">
        <v>1415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9.04912429484716</v>
      </c>
      <c r="G36" s="24" t="n">
        <f aca="false">G30-F30-G$6</f>
        <v>11.7062917618926</v>
      </c>
      <c r="H36" s="24" t="n">
        <f aca="false">H30-G30-H$6</f>
        <v>19.5495475214805</v>
      </c>
      <c r="I36" s="24" t="n">
        <f aca="false">I30-H30-I$6</f>
        <v>21.515846851294</v>
      </c>
      <c r="J36" s="24" t="n">
        <f aca="false">J30-I30-J$6</f>
        <v>23.2789555004718</v>
      </c>
      <c r="K36" s="24" t="n">
        <f aca="false">K30-J30-K$6</f>
        <v>23.77520088162</v>
      </c>
      <c r="L36" s="24" t="n">
        <f aca="false">L30-K30-L$6</f>
        <v>21.4761185934109</v>
      </c>
      <c r="M36" s="24" t="n">
        <f aca="false">M30-L30-M$6</f>
        <v>16.2873701805288</v>
      </c>
    </row>
    <row r="37" customFormat="false" ht="17.15" hidden="false" customHeight="false" outlineLevel="0" collapsed="false">
      <c r="A37" s="5" t="s">
        <v>1419</v>
      </c>
      <c r="B37" s="0" t="s">
        <v>1578</v>
      </c>
      <c r="C37" s="0" t="s">
        <v>1416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9.04912429484716</v>
      </c>
      <c r="G37" s="24" t="n">
        <f aca="false">G31-F31-G$6</f>
        <v>11.7062917618926</v>
      </c>
      <c r="H37" s="24" t="n">
        <f aca="false">H31-G31-H$6</f>
        <v>12.1032803925549</v>
      </c>
      <c r="I37" s="24" t="n">
        <f aca="false">I31-H31-I$6</f>
        <v>21.0754952397019</v>
      </c>
      <c r="J37" s="24" t="n">
        <f aca="false">J31-I31-J$6</f>
        <v>29.4913048442259</v>
      </c>
      <c r="K37" s="24" t="n">
        <f aca="false">K31-J31-K$6</f>
        <v>25.4494702783836</v>
      </c>
      <c r="L37" s="24" t="n">
        <f aca="false">L31-K31-L$6</f>
        <v>21.4761185934109</v>
      </c>
      <c r="M37" s="24" t="n">
        <f aca="false">M31-L31-M$6</f>
        <v>16.2873701805288</v>
      </c>
    </row>
    <row r="38" customFormat="false" ht="17.15" hidden="false" customHeight="false" outlineLevel="0" collapsed="false">
      <c r="A38" s="5" t="s">
        <v>1420</v>
      </c>
      <c r="B38" s="0" t="s">
        <v>1578</v>
      </c>
      <c r="C38" s="0" t="s">
        <v>1415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0.809079699166553</v>
      </c>
      <c r="H38" s="24" t="n">
        <f aca="false">H29-H30</f>
        <v>4.21678610372315</v>
      </c>
      <c r="I38" s="24" t="n">
        <f aca="false">I29-I30</f>
        <v>4.23957349190896</v>
      </c>
      <c r="J38" s="24" t="n">
        <f aca="false">J29-J30</f>
        <v>4.47456588060426</v>
      </c>
      <c r="K38" s="24" t="n">
        <f aca="false">K29-K30</f>
        <v>4.38022560627607</v>
      </c>
      <c r="L38" s="24" t="n">
        <f aca="false">L29-L30</f>
        <v>3.87034093666497</v>
      </c>
      <c r="M38" s="24" t="n">
        <f aca="false">M29-M30</f>
        <v>2.63391529415296</v>
      </c>
    </row>
    <row r="39" customFormat="false" ht="17.15" hidden="false" customHeight="false" outlineLevel="0" collapsed="false">
      <c r="A39" s="5" t="s">
        <v>1420</v>
      </c>
      <c r="B39" s="0" t="s">
        <v>1578</v>
      </c>
      <c r="C39" s="0" t="s">
        <v>1416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0.809079699166553</v>
      </c>
      <c r="H39" s="24" t="n">
        <f aca="false">H29-H31</f>
        <v>11.6630532326487</v>
      </c>
      <c r="I39" s="24" t="n">
        <f aca="false">I29-I31</f>
        <v>12.1261922324266</v>
      </c>
      <c r="J39" s="24" t="n">
        <f aca="false">J29-J31</f>
        <v>6.14883527736784</v>
      </c>
      <c r="K39" s="24" t="n">
        <f aca="false">K29-K31</f>
        <v>4.38022560627607</v>
      </c>
      <c r="L39" s="24" t="n">
        <f aca="false">L29-L31</f>
        <v>3.87034093666497</v>
      </c>
      <c r="M39" s="24" t="n">
        <f aca="false">M29-M31</f>
        <v>2.63391529415296</v>
      </c>
    </row>
    <row r="41" customFormat="false" ht="17.15" hidden="false" customHeight="false" outlineLevel="0" collapsed="false">
      <c r="A41" s="21" t="s">
        <v>1579</v>
      </c>
    </row>
    <row r="42" customFormat="false" ht="17.15" hidden="false" customHeight="false" outlineLevel="0" collapsed="false">
      <c r="A42" s="5" t="s">
        <v>1573</v>
      </c>
      <c r="B42" s="0" t="s">
        <v>1580</v>
      </c>
      <c r="C42" s="0" t="s">
        <v>1414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9.04912429484716</v>
      </c>
      <c r="G42" s="24" t="n">
        <f aca="false">(G$4+G$5)</f>
        <v>12.5153714610592</v>
      </c>
      <c r="H42" s="24" t="n">
        <f aca="false">(H$4+H$5)</f>
        <v>22.9572539260371</v>
      </c>
      <c r="I42" s="24" t="n">
        <f aca="false">(I$4+I$5)*SIL_In!$I$29</f>
        <v>16.1539756796099</v>
      </c>
      <c r="J42" s="24" t="n">
        <f aca="false">(J$4+J$5)*SIL_In!$J$29</f>
        <v>16.5980808629415</v>
      </c>
      <c r="K42" s="24" t="n">
        <f aca="false">(Pipeline!J180+SUM($E$44:J44))*K43</f>
        <v>16.5704876286783</v>
      </c>
      <c r="L42" s="24" t="n">
        <f aca="false">(Pipeline!K180+SUM($E$44:K44))*L43</f>
        <v>15.2592370965451</v>
      </c>
      <c r="M42" s="24" t="n">
        <f aca="false">(Pipeline!L180+SUM($E$44:L44))*M43</f>
        <v>12.5391549988204</v>
      </c>
    </row>
    <row r="43" customFormat="false" ht="17.15" hidden="false" customHeight="false" outlineLevel="0" collapsed="false">
      <c r="A43" s="5" t="s">
        <v>1575</v>
      </c>
      <c r="B43" s="0" t="s">
        <v>1580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IFERROR(J42/(Pipeline!I180+SUM($E$44:I44)),g_lt)</f>
        <v>0.21566103614539</v>
      </c>
      <c r="K43" s="23" t="n">
        <f aca="false">$J$43+(g_lt-$J$43)*(2030-2029)/3</f>
        <v>0.17710735743026</v>
      </c>
      <c r="L43" s="23" t="n">
        <f aca="false">$J$43+(g_lt-$J$43)*(2031-2029)/3</f>
        <v>0.13855367871513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1576</v>
      </c>
      <c r="B44" s="0" t="s">
        <v>1580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14.3056088015299</v>
      </c>
      <c r="I44" s="24" t="n">
        <f aca="false">I42-I$4</f>
        <v>-2.44223838129918</v>
      </c>
      <c r="J44" s="24" t="n">
        <f aca="false">J42-J$4</f>
        <v>10.269059531944</v>
      </c>
      <c r="K44" s="24" t="n">
        <f aca="false">K42-K$4</f>
        <v>10.6954326066304</v>
      </c>
      <c r="L44" s="24" t="n">
        <f aca="false">L42-L$4</f>
        <v>11.955390942699</v>
      </c>
      <c r="M44" s="24" t="n">
        <f aca="false">M42-M$4</f>
        <v>10.1699242295897</v>
      </c>
    </row>
    <row r="45" customFormat="false" ht="17.15" hidden="false" customHeight="false" outlineLevel="0" collapsed="false">
      <c r="A45" s="21" t="s">
        <v>1418</v>
      </c>
      <c r="B45" s="20" t="s">
        <v>1580</v>
      </c>
      <c r="C45" s="20" t="s">
        <v>1414</v>
      </c>
      <c r="D45" s="25" t="n">
        <f aca="false">Pipeline!D180+SUMPRODUCT($E$44:$M$44,Pipeline!$E$135:$M$135)</f>
        <v>0.630578355681972</v>
      </c>
      <c r="E45" s="25" t="n">
        <f aca="false">Pipeline!E180+SUMPRODUCT($E$44:$M$44,Pipeline!$E$136:$M$136)</f>
        <v>6.20938570515285</v>
      </c>
      <c r="F45" s="25" t="n">
        <f aca="false">Pipeline!F180+SUMPRODUCT($E$44:$M$44,Pipeline!$E$137:$M$137)</f>
        <v>25.3371433333333</v>
      </c>
      <c r="G45" s="25" t="n">
        <f aca="false">Pipeline!G180+SUMPRODUCT($E$44:$M$44,Pipeline!$E$138:$M$138)</f>
        <v>37.8525147943925</v>
      </c>
      <c r="H45" s="25" t="n">
        <f aca="false">Pipeline!H180+SUMPRODUCT($E$44:$M$44,Pipeline!$E$139:$M$139)</f>
        <v>60.8097687204296</v>
      </c>
      <c r="I45" s="25" t="n">
        <f aca="false">Pipeline!I180+SUMPRODUCT($E$44:$M$44,Pipeline!$E$140:$M$140)</f>
        <v>76.9637444000394</v>
      </c>
      <c r="J45" s="25" t="n">
        <f aca="false">Pipeline!J180+SUMPRODUCT($E$44:$M$44,Pipeline!$E$141:$M$141)</f>
        <v>93.5618252629809</v>
      </c>
      <c r="K45" s="25" t="n">
        <f aca="false">Pipeline!K180+SUMPRODUCT($E$44:$M$44,Pipeline!$E$142:$M$142)</f>
        <v>110.132312891659</v>
      </c>
      <c r="L45" s="25" t="n">
        <f aca="false">Pipeline!L180+SUMPRODUCT($E$44:$M$44,Pipeline!$E$143:$M$143)</f>
        <v>125.391549988204</v>
      </c>
      <c r="M45" s="25" t="n">
        <f aca="false">Pipeline!M180+SUMPRODUCT($E$44:$M$44,Pipeline!$E$144:$M$144)</f>
        <v>137.930704987025</v>
      </c>
    </row>
    <row r="46" customFormat="false" ht="17.15" hidden="false" customHeight="false" outlineLevel="0" collapsed="false">
      <c r="A46" s="21" t="s">
        <v>1418</v>
      </c>
      <c r="B46" s="20" t="s">
        <v>1580</v>
      </c>
      <c r="C46" s="20" t="s">
        <v>1415</v>
      </c>
      <c r="D46" s="25" t="n">
        <f aca="false">Pipeline!D181+SUMPRODUCT($E$44:$M$44,Pipeline!$E$147:$M$147)</f>
        <v>0.630578355681972</v>
      </c>
      <c r="E46" s="25" t="n">
        <f aca="false">Pipeline!E181+SUMPRODUCT($E$44:$M$44,Pipeline!$E$148:$M$148)</f>
        <v>6.20938570515285</v>
      </c>
      <c r="F46" s="25" t="n">
        <f aca="false">Pipeline!F181+SUMPRODUCT($E$44:$M$44,Pipeline!$E$149:$M$149)</f>
        <v>25.3371433333333</v>
      </c>
      <c r="G46" s="25" t="n">
        <f aca="false">Pipeline!G181+SUMPRODUCT($E$44:$M$44,Pipeline!$E$150:$M$150)</f>
        <v>37.043435095226</v>
      </c>
      <c r="H46" s="25" t="n">
        <f aca="false">Pipeline!H181+SUMPRODUCT($E$44:$M$44,Pipeline!$E$151:$M$151)</f>
        <v>56.5929826167064</v>
      </c>
      <c r="I46" s="25" t="n">
        <f aca="false">Pipeline!I181+SUMPRODUCT($E$44:$M$44,Pipeline!$E$152:$M$152)</f>
        <v>73.6664861561077</v>
      </c>
      <c r="J46" s="25" t="n">
        <f aca="false">Pipeline!J181+SUMPRODUCT($E$44:$M$44,Pipeline!$E$153:$M$153)</f>
        <v>90.2975361119662</v>
      </c>
      <c r="K46" s="25" t="n">
        <f aca="false">Pipeline!K181+SUMPRODUCT($E$44:$M$44,Pipeline!$E$154:$M$154)</f>
        <v>106.996402556641</v>
      </c>
      <c r="L46" s="25" t="n">
        <f aca="false">Pipeline!L181+SUMPRODUCT($E$44:$M$44,Pipeline!$E$155:$M$155)</f>
        <v>122.519933496309</v>
      </c>
      <c r="M46" s="25" t="n">
        <f aca="false">Pipeline!M181+SUMPRODUCT($E$44:$M$44,Pipeline!$E$156:$M$156)</f>
        <v>135.736352862231</v>
      </c>
    </row>
    <row r="47" customFormat="false" ht="17.15" hidden="false" customHeight="false" outlineLevel="0" collapsed="false">
      <c r="A47" s="21" t="s">
        <v>1418</v>
      </c>
      <c r="B47" s="20" t="s">
        <v>1580</v>
      </c>
      <c r="C47" s="20" t="s">
        <v>1416</v>
      </c>
      <c r="D47" s="25" t="n">
        <f aca="false">Pipeline!D182+SUMPRODUCT($E$44:$M$44,Pipeline!$E$159:$M$159)</f>
        <v>0.630578355681972</v>
      </c>
      <c r="E47" s="25" t="n">
        <f aca="false">Pipeline!E182+SUMPRODUCT($E$44:$M$44,Pipeline!$E$160:$M$160)</f>
        <v>6.20938570515285</v>
      </c>
      <c r="F47" s="25" t="n">
        <f aca="false">Pipeline!F182+SUMPRODUCT($E$44:$M$44,Pipeline!$E$161:$M$161)</f>
        <v>25.3371433333333</v>
      </c>
      <c r="G47" s="25" t="n">
        <f aca="false">Pipeline!G182+SUMPRODUCT($E$44:$M$44,Pipeline!$E$162:$M$162)</f>
        <v>37.043435095226</v>
      </c>
      <c r="H47" s="25" t="n">
        <f aca="false">Pipeline!H182+SUMPRODUCT($E$44:$M$44,Pipeline!$E$163:$M$163)</f>
        <v>49.1467154877809</v>
      </c>
      <c r="I47" s="25" t="n">
        <f aca="false">Pipeline!I182+SUMPRODUCT($E$44:$M$44,Pipeline!$E$164:$M$164)</f>
        <v>67.5568047403472</v>
      </c>
      <c r="J47" s="25" t="n">
        <f aca="false">Pipeline!J182+SUMPRODUCT($E$44:$M$44,Pipeline!$E$165:$M$165)</f>
        <v>89.0001928143935</v>
      </c>
      <c r="K47" s="25" t="n">
        <f aca="false">Pipeline!K182+SUMPRODUCT($E$44:$M$44,Pipeline!$E$166:$M$166)</f>
        <v>106.996402556641</v>
      </c>
      <c r="L47" s="25" t="n">
        <f aca="false">Pipeline!L182+SUMPRODUCT($E$44:$M$44,Pipeline!$E$167:$M$167)</f>
        <v>122.519933496309</v>
      </c>
      <c r="M47" s="25" t="n">
        <f aca="false">Pipeline!M182+SUMPRODUCT($E$44:$M$44,Pipeline!$E$168:$M$168)</f>
        <v>135.736352862231</v>
      </c>
    </row>
    <row r="48" customFormat="false" ht="17.15" hidden="false" customHeight="false" outlineLevel="0" collapsed="false">
      <c r="A48" s="5" t="s">
        <v>1310</v>
      </c>
      <c r="B48" s="0" t="s">
        <v>1580</v>
      </c>
      <c r="C48" s="0" t="s">
        <v>1414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31.5948290638629</v>
      </c>
      <c r="H48" s="24" t="n">
        <f aca="false">(G45+H45)/2</f>
        <v>49.3311417574111</v>
      </c>
      <c r="I48" s="24" t="n">
        <f aca="false">(H45+I45)/2</f>
        <v>68.8867565602345</v>
      </c>
      <c r="J48" s="24" t="n">
        <f aca="false">(I45+J45)/2</f>
        <v>85.2627848315102</v>
      </c>
      <c r="K48" s="24" t="n">
        <f aca="false">(J45+K45)/2</f>
        <v>101.84706907732</v>
      </c>
      <c r="L48" s="24" t="n">
        <f aca="false">(K45+L45)/2</f>
        <v>117.761931439932</v>
      </c>
      <c r="M48" s="24" t="n">
        <f aca="false">(L45+M45)/2</f>
        <v>131.661127487615</v>
      </c>
    </row>
    <row r="49" customFormat="false" ht="17.15" hidden="false" customHeight="false" outlineLevel="0" collapsed="false">
      <c r="A49" s="5" t="s">
        <v>1310</v>
      </c>
      <c r="B49" s="0" t="s">
        <v>1580</v>
      </c>
      <c r="C49" s="0" t="s">
        <v>1415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31.1902892142797</v>
      </c>
      <c r="H49" s="24" t="n">
        <f aca="false">(G46+H46)/2</f>
        <v>46.8182088559662</v>
      </c>
      <c r="I49" s="24" t="n">
        <f aca="false">(H46+I46)/2</f>
        <v>65.1297343864071</v>
      </c>
      <c r="J49" s="24" t="n">
        <f aca="false">(I46+J46)/2</f>
        <v>81.9820111340369</v>
      </c>
      <c r="K49" s="24" t="n">
        <f aca="false">(J46+K46)/2</f>
        <v>98.6469693343034</v>
      </c>
      <c r="L49" s="24" t="n">
        <f aca="false">(K46+L46)/2</f>
        <v>114.758168026475</v>
      </c>
      <c r="M49" s="24" t="n">
        <f aca="false">(L46+M46)/2</f>
        <v>129.12814317927</v>
      </c>
    </row>
    <row r="50" customFormat="false" ht="17.15" hidden="false" customHeight="false" outlineLevel="0" collapsed="false">
      <c r="A50" s="5" t="s">
        <v>1310</v>
      </c>
      <c r="B50" s="0" t="s">
        <v>1580</v>
      </c>
      <c r="C50" s="0" t="s">
        <v>1416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31.1902892142797</v>
      </c>
      <c r="H50" s="24" t="n">
        <f aca="false">(G47+H47)/2</f>
        <v>43.0950752915034</v>
      </c>
      <c r="I50" s="24" t="n">
        <f aca="false">(H47+I47)/2</f>
        <v>58.351760114064</v>
      </c>
      <c r="J50" s="24" t="n">
        <f aca="false">(I47+J47)/2</f>
        <v>78.2784987773703</v>
      </c>
      <c r="K50" s="24" t="n">
        <f aca="false">(J47+K47)/2</f>
        <v>97.998297685517</v>
      </c>
      <c r="L50" s="24" t="n">
        <f aca="false">(K47+L47)/2</f>
        <v>114.758168026475</v>
      </c>
      <c r="M50" s="24" t="n">
        <f aca="false">(L47+M47)/2</f>
        <v>129.12814317927</v>
      </c>
    </row>
    <row r="51" customFormat="false" ht="17.15" hidden="false" customHeight="false" outlineLevel="0" collapsed="false">
      <c r="A51" s="5" t="s">
        <v>1419</v>
      </c>
      <c r="B51" s="0" t="s">
        <v>1580</v>
      </c>
      <c r="C51" s="0" t="s">
        <v>1414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9.04912429484716</v>
      </c>
      <c r="G51" s="24" t="n">
        <f aca="false">G45-F45-G$6</f>
        <v>12.5153714610592</v>
      </c>
      <c r="H51" s="24" t="n">
        <f aca="false">H45-G45-H$6</f>
        <v>22.9572539260371</v>
      </c>
      <c r="I51" s="24" t="n">
        <f aca="false">I45-H45-I$6</f>
        <v>16.1539756796099</v>
      </c>
      <c r="J51" s="24" t="n">
        <f aca="false">J45-I45-J$6</f>
        <v>16.5980808629415</v>
      </c>
      <c r="K51" s="24" t="n">
        <f aca="false">K45-J45-K$6</f>
        <v>16.5704876286783</v>
      </c>
      <c r="L51" s="24" t="n">
        <f aca="false">L45-K45-L$6</f>
        <v>15.2592370965452</v>
      </c>
      <c r="M51" s="24" t="n">
        <f aca="false">M45-L45-M$6</f>
        <v>12.5391549988204</v>
      </c>
    </row>
    <row r="52" customFormat="false" ht="17.15" hidden="false" customHeight="false" outlineLevel="0" collapsed="false">
      <c r="A52" s="5" t="s">
        <v>1419</v>
      </c>
      <c r="B52" s="0" t="s">
        <v>1580</v>
      </c>
      <c r="C52" s="0" t="s">
        <v>1415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9.04912429484716</v>
      </c>
      <c r="G52" s="24" t="n">
        <f aca="false">G46-F46-G$6</f>
        <v>11.7062917618926</v>
      </c>
      <c r="H52" s="24" t="n">
        <f aca="false">H46-G46-H$6</f>
        <v>19.5495475214805</v>
      </c>
      <c r="I52" s="24" t="n">
        <f aca="false">I46-H46-I$6</f>
        <v>17.0735035394013</v>
      </c>
      <c r="J52" s="24" t="n">
        <f aca="false">J46-I46-J$6</f>
        <v>16.6310499558584</v>
      </c>
      <c r="K52" s="24" t="n">
        <f aca="false">K46-J46-K$6</f>
        <v>16.6988664446744</v>
      </c>
      <c r="L52" s="24" t="n">
        <f aca="false">L46-K46-L$6</f>
        <v>15.5235309396684</v>
      </c>
      <c r="M52" s="24" t="n">
        <f aca="false">M46-L46-M$6</f>
        <v>13.2164193659222</v>
      </c>
    </row>
    <row r="53" customFormat="false" ht="17.15" hidden="false" customHeight="false" outlineLevel="0" collapsed="false">
      <c r="A53" s="5" t="s">
        <v>1419</v>
      </c>
      <c r="B53" s="0" t="s">
        <v>1580</v>
      </c>
      <c r="C53" s="0" t="s">
        <v>1416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9.04912429484716</v>
      </c>
      <c r="G53" s="24" t="n">
        <f aca="false">G47-F47-G$6</f>
        <v>11.7062917618926</v>
      </c>
      <c r="H53" s="24" t="n">
        <f aca="false">H47-G47-H$6</f>
        <v>12.1032803925549</v>
      </c>
      <c r="I53" s="24" t="n">
        <f aca="false">I47-H47-I$6</f>
        <v>18.4100892525663</v>
      </c>
      <c r="J53" s="24" t="n">
        <f aca="false">J47-I47-J$6</f>
        <v>21.4433880740463</v>
      </c>
      <c r="K53" s="24" t="n">
        <f aca="false">K47-J47-K$6</f>
        <v>17.9962097422471</v>
      </c>
      <c r="L53" s="24" t="n">
        <f aca="false">L47-K47-L$6</f>
        <v>15.5235309396684</v>
      </c>
      <c r="M53" s="24" t="n">
        <f aca="false">M47-L47-M$6</f>
        <v>13.2164193659222</v>
      </c>
    </row>
    <row r="54" customFormat="false" ht="17.15" hidden="false" customHeight="false" outlineLevel="0" collapsed="false">
      <c r="A54" s="5" t="s">
        <v>1420</v>
      </c>
      <c r="B54" s="0" t="s">
        <v>1580</v>
      </c>
      <c r="C54" s="0" t="s">
        <v>1415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0.809079699166553</v>
      </c>
      <c r="H54" s="24" t="n">
        <f aca="false">H45-H46</f>
        <v>4.21678610372315</v>
      </c>
      <c r="I54" s="24" t="n">
        <f aca="false">I45-I46</f>
        <v>3.29725824393172</v>
      </c>
      <c r="J54" s="24" t="n">
        <f aca="false">J45-J46</f>
        <v>3.26428915101478</v>
      </c>
      <c r="K54" s="24" t="n">
        <f aca="false">K45-K46</f>
        <v>3.13591033501871</v>
      </c>
      <c r="L54" s="24" t="n">
        <f aca="false">L45-L46</f>
        <v>2.87161649189541</v>
      </c>
      <c r="M54" s="24" t="n">
        <f aca="false">M45-M46</f>
        <v>2.1943521247936</v>
      </c>
    </row>
    <row r="55" customFormat="false" ht="17.15" hidden="false" customHeight="false" outlineLevel="0" collapsed="false">
      <c r="A55" s="5" t="s">
        <v>1420</v>
      </c>
      <c r="B55" s="0" t="s">
        <v>1580</v>
      </c>
      <c r="C55" s="0" t="s">
        <v>1416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0.809079699166553</v>
      </c>
      <c r="H55" s="24" t="n">
        <f aca="false">H45-H47</f>
        <v>11.6630532326487</v>
      </c>
      <c r="I55" s="24" t="n">
        <f aca="false">I45-I47</f>
        <v>9.40693965969224</v>
      </c>
      <c r="J55" s="24" t="n">
        <f aca="false">J45-J47</f>
        <v>4.56163244858746</v>
      </c>
      <c r="K55" s="24" t="n">
        <f aca="false">K45-K47</f>
        <v>3.13591033501871</v>
      </c>
      <c r="L55" s="24" t="n">
        <f aca="false">L45-L47</f>
        <v>2.87161649189541</v>
      </c>
      <c r="M55" s="24" t="n">
        <f aca="false">M45-M47</f>
        <v>2.1943521247936</v>
      </c>
    </row>
    <row r="57" customFormat="false" ht="19.4" hidden="false" customHeight="false" outlineLevel="0" collapsed="false">
      <c r="A57" s="34" t="s">
        <v>1581</v>
      </c>
    </row>
    <row r="58" customFormat="false" ht="17.15" hidden="false" customHeight="false" outlineLevel="0" collapsed="false">
      <c r="A58" s="21" t="s">
        <v>1582</v>
      </c>
    </row>
    <row r="59" customFormat="false" ht="17.15" hidden="false" customHeight="false" outlineLevel="0" collapsed="false">
      <c r="A59" s="5" t="s">
        <v>1573</v>
      </c>
      <c r="B59" s="0" t="s">
        <v>1574</v>
      </c>
      <c r="C59" s="0" t="s">
        <v>1414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9.04912429484716</v>
      </c>
      <c r="G59" s="24" t="n">
        <f aca="false">G$4</f>
        <v>12.5153714610592</v>
      </c>
      <c r="H59" s="24" t="n">
        <f aca="false">H$4</f>
        <v>8.65164512450717</v>
      </c>
      <c r="I59" s="24" t="n">
        <f aca="false">I$4*SIL_In!$I$27</f>
        <v>18.596214060909</v>
      </c>
      <c r="J59" s="24" t="n">
        <f aca="false">J$4*SIL_In!$J$27</f>
        <v>6.32902133099745</v>
      </c>
      <c r="K59" s="24" t="n">
        <f aca="false">(Pipeline!J180+SUM($E$61:J61))*K60</f>
        <v>7.01052996704159</v>
      </c>
      <c r="L59" s="24" t="n">
        <f aca="false">(Pipeline!K180+SUM($E$61:K61))*L60</f>
        <v>7.77128999219631</v>
      </c>
      <c r="M59" s="24" t="n">
        <f aca="false">(Pipeline!L180+SUM($E$61:L61))*M60</f>
        <v>8.62112152700441</v>
      </c>
    </row>
    <row r="60" customFormat="false" ht="17.15" hidden="false" customHeight="false" outlineLevel="0" collapsed="false">
      <c r="A60" s="5" t="s">
        <v>1575</v>
      </c>
      <c r="B60" s="0" t="s">
        <v>1574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IFERROR(J59/(Pipeline!I180+SUM($E$61:I61)),g_lt)</f>
        <v>0.0972194312272374</v>
      </c>
      <c r="K60" s="23" t="n">
        <f aca="false">$J$60+(g_lt-$J$60)*(2030-2029)/3</f>
        <v>0.0981462874848249</v>
      </c>
      <c r="L60" s="23" t="n">
        <f aca="false">$J$60+(g_lt-$J$60)*(2031-2029)/3</f>
        <v>0.0990731437424125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1576</v>
      </c>
      <c r="B61" s="0" t="s">
        <v>1574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1.1354749449937</v>
      </c>
      <c r="L61" s="24" t="n">
        <f aca="false">L59-L$4</f>
        <v>4.46744383835014</v>
      </c>
      <c r="M61" s="24" t="n">
        <f aca="false">M59-M$4</f>
        <v>6.25189075777364</v>
      </c>
    </row>
    <row r="62" customFormat="false" ht="17.15" hidden="false" customHeight="false" outlineLevel="0" collapsed="false">
      <c r="A62" s="21" t="s">
        <v>1418</v>
      </c>
      <c r="B62" s="20" t="s">
        <v>1574</v>
      </c>
      <c r="C62" s="20" t="s">
        <v>1414</v>
      </c>
      <c r="D62" s="25" t="n">
        <f aca="false">Pipeline!D180+SUMPRODUCT($E$61:$M$61,Pipeline!$E$135:$M$135)</f>
        <v>0.630578355681972</v>
      </c>
      <c r="E62" s="25" t="n">
        <f aca="false">Pipeline!E180+SUMPRODUCT($E$61:$M$61,Pipeline!$E$136:$M$136)</f>
        <v>6.20938570515285</v>
      </c>
      <c r="F62" s="25" t="n">
        <f aca="false">Pipeline!F180+SUMPRODUCT($E$61:$M$61,Pipeline!$E$137:$M$137)</f>
        <v>25.3371433333333</v>
      </c>
      <c r="G62" s="25" t="n">
        <f aca="false">Pipeline!G180+SUMPRODUCT($E$61:$M$61,Pipeline!$E$138:$M$138)</f>
        <v>37.8525147943925</v>
      </c>
      <c r="H62" s="25" t="n">
        <f aca="false">Pipeline!H180+SUMPRODUCT($E$61:$M$61,Pipeline!$E$139:$M$139)</f>
        <v>46.5041599188997</v>
      </c>
      <c r="I62" s="25" t="n">
        <f aca="false">Pipeline!I180+SUMPRODUCT($E$61:$M$61,Pipeline!$E$140:$M$140)</f>
        <v>65.1003739798087</v>
      </c>
      <c r="J62" s="25" t="n">
        <f aca="false">Pipeline!J180+SUMPRODUCT($E$61:$M$61,Pipeline!$E$141:$M$141)</f>
        <v>71.4293953108062</v>
      </c>
      <c r="K62" s="25" t="n">
        <f aca="false">Pipeline!K180+SUMPRODUCT($E$61:$M$61,Pipeline!$E$142:$M$142)</f>
        <v>78.4399252778478</v>
      </c>
      <c r="L62" s="25" t="n">
        <f aca="false">Pipeline!L180+SUMPRODUCT($E$61:$M$61,Pipeline!$E$143:$M$143)</f>
        <v>86.2112152700441</v>
      </c>
      <c r="M62" s="25" t="n">
        <f aca="false">Pipeline!M180+SUMPRODUCT($E$61:$M$61,Pipeline!$E$144:$M$144)</f>
        <v>94.8323367970485</v>
      </c>
    </row>
    <row r="63" customFormat="false" ht="17.15" hidden="false" customHeight="false" outlineLevel="0" collapsed="false">
      <c r="A63" s="21" t="s">
        <v>1418</v>
      </c>
      <c r="B63" s="20" t="s">
        <v>1574</v>
      </c>
      <c r="C63" s="20" t="s">
        <v>1415</v>
      </c>
      <c r="D63" s="25" t="n">
        <f aca="false">Pipeline!D181+SUMPRODUCT($E$61:$M$61,Pipeline!$E$147:$M$147)</f>
        <v>0.630578355681972</v>
      </c>
      <c r="E63" s="25" t="n">
        <f aca="false">Pipeline!E181+SUMPRODUCT($E$61:$M$61,Pipeline!$E$148:$M$148)</f>
        <v>6.20938570515285</v>
      </c>
      <c r="F63" s="25" t="n">
        <f aca="false">Pipeline!F181+SUMPRODUCT($E$61:$M$61,Pipeline!$E$149:$M$149)</f>
        <v>25.3371433333333</v>
      </c>
      <c r="G63" s="25" t="n">
        <f aca="false">Pipeline!G181+SUMPRODUCT($E$61:$M$61,Pipeline!$E$150:$M$150)</f>
        <v>37.043435095226</v>
      </c>
      <c r="H63" s="25" t="n">
        <f aca="false">Pipeline!H181+SUMPRODUCT($E$61:$M$61,Pipeline!$E$151:$M$151)</f>
        <v>44.7908553554443</v>
      </c>
      <c r="I63" s="25" t="n">
        <f aca="false">Pipeline!I181+SUMPRODUCT($E$61:$M$61,Pipeline!$E$152:$M$152)</f>
        <v>61.3757240191496</v>
      </c>
      <c r="J63" s="25" t="n">
        <f aca="false">Pipeline!J181+SUMPRODUCT($E$61:$M$61,Pipeline!$E$153:$M$153)</f>
        <v>69.9621915778816</v>
      </c>
      <c r="K63" s="25" t="n">
        <f aca="false">Pipeline!K181+SUMPRODUCT($E$61:$M$61,Pipeline!$E$154:$M$154)</f>
        <v>76.9770075336155</v>
      </c>
      <c r="L63" s="25" t="n">
        <f aca="false">Pipeline!L181+SUMPRODUCT($E$61:$M$61,Pipeline!$E$155:$M$155)</f>
        <v>84.6499895214097</v>
      </c>
      <c r="M63" s="25" t="n">
        <f aca="false">Pipeline!M181+SUMPRODUCT($E$61:$M$61,Pipeline!$E$156:$M$156)</f>
        <v>93.3236405298227</v>
      </c>
    </row>
    <row r="64" customFormat="false" ht="17.15" hidden="false" customHeight="false" outlineLevel="0" collapsed="false">
      <c r="A64" s="21" t="s">
        <v>1418</v>
      </c>
      <c r="B64" s="20" t="s">
        <v>1574</v>
      </c>
      <c r="C64" s="20" t="s">
        <v>1416</v>
      </c>
      <c r="D64" s="25" t="n">
        <f aca="false">Pipeline!D182+SUMPRODUCT($E$61:$M$61,Pipeline!$E$159:$M$159)</f>
        <v>0.630578355681972</v>
      </c>
      <c r="E64" s="25" t="n">
        <f aca="false">Pipeline!E182+SUMPRODUCT($E$61:$M$61,Pipeline!$E$160:$M$160)</f>
        <v>6.20938570515285</v>
      </c>
      <c r="F64" s="25" t="n">
        <f aca="false">Pipeline!F182+SUMPRODUCT($E$61:$M$61,Pipeline!$E$161:$M$161)</f>
        <v>25.3371433333333</v>
      </c>
      <c r="G64" s="25" t="n">
        <f aca="false">Pipeline!G182+SUMPRODUCT($E$61:$M$61,Pipeline!$E$162:$M$162)</f>
        <v>37.043435095226</v>
      </c>
      <c r="H64" s="25" t="n">
        <f aca="false">Pipeline!H182+SUMPRODUCT($E$61:$M$61,Pipeline!$E$163:$M$163)</f>
        <v>42.0654391310236</v>
      </c>
      <c r="I64" s="25" t="n">
        <f aca="false">Pipeline!I182+SUMPRODUCT($E$61:$M$61,Pipeline!$E$164:$M$164)</f>
        <v>55.4614965536675</v>
      </c>
      <c r="J64" s="25" t="n">
        <f aca="false">Pipeline!J182+SUMPRODUCT($E$61:$M$61,Pipeline!$E$165:$M$165)</f>
        <v>68.493891593618</v>
      </c>
      <c r="K64" s="25" t="n">
        <f aca="false">Pipeline!K182+SUMPRODUCT($E$61:$M$61,Pipeline!$E$166:$M$166)</f>
        <v>76.9770075336155</v>
      </c>
      <c r="L64" s="25" t="n">
        <f aca="false">Pipeline!L182+SUMPRODUCT($E$61:$M$61,Pipeline!$E$167:$M$167)</f>
        <v>84.6499895214097</v>
      </c>
      <c r="M64" s="25" t="n">
        <f aca="false">Pipeline!M182+SUMPRODUCT($E$61:$M$61,Pipeline!$E$168:$M$168)</f>
        <v>93.3236405298227</v>
      </c>
    </row>
    <row r="65" customFormat="false" ht="17.15" hidden="false" customHeight="false" outlineLevel="0" collapsed="false">
      <c r="A65" s="5" t="s">
        <v>1310</v>
      </c>
      <c r="B65" s="0" t="s">
        <v>1574</v>
      </c>
      <c r="C65" s="0" t="s">
        <v>1414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31.5948290638629</v>
      </c>
      <c r="H65" s="24" t="n">
        <f aca="false">(G62+H62)/2</f>
        <v>42.1783373566461</v>
      </c>
      <c r="I65" s="24" t="n">
        <f aca="false">(H62+I62)/2</f>
        <v>55.8022669493542</v>
      </c>
      <c r="J65" s="24" t="n">
        <f aca="false">(I62+J62)/2</f>
        <v>68.2648846453075</v>
      </c>
      <c r="K65" s="24" t="n">
        <f aca="false">(J62+K62)/2</f>
        <v>74.934660294327</v>
      </c>
      <c r="L65" s="24" t="n">
        <f aca="false">(K62+L62)/2</f>
        <v>82.3255702739459</v>
      </c>
      <c r="M65" s="24" t="n">
        <f aca="false">(L62+M62)/2</f>
        <v>90.5217760335463</v>
      </c>
    </row>
    <row r="66" customFormat="false" ht="17.15" hidden="false" customHeight="false" outlineLevel="0" collapsed="false">
      <c r="A66" s="5" t="s">
        <v>1310</v>
      </c>
      <c r="B66" s="0" t="s">
        <v>1574</v>
      </c>
      <c r="C66" s="0" t="s">
        <v>1415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31.1902892142797</v>
      </c>
      <c r="H66" s="24" t="n">
        <f aca="false">(G63+H63)/2</f>
        <v>40.9171452253351</v>
      </c>
      <c r="I66" s="24" t="n">
        <f aca="false">(H63+I63)/2</f>
        <v>53.083289687297</v>
      </c>
      <c r="J66" s="24" t="n">
        <f aca="false">(I63+J63)/2</f>
        <v>65.6689577985156</v>
      </c>
      <c r="K66" s="24" t="n">
        <f aca="false">(J63+K63)/2</f>
        <v>73.4695995557485</v>
      </c>
      <c r="L66" s="24" t="n">
        <f aca="false">(K63+L63)/2</f>
        <v>80.8134985275126</v>
      </c>
      <c r="M66" s="24" t="n">
        <f aca="false">(L63+M63)/2</f>
        <v>88.9868150256162</v>
      </c>
    </row>
    <row r="67" customFormat="false" ht="17.15" hidden="false" customHeight="false" outlineLevel="0" collapsed="false">
      <c r="A67" s="5" t="s">
        <v>1310</v>
      </c>
      <c r="B67" s="0" t="s">
        <v>1574</v>
      </c>
      <c r="C67" s="0" t="s">
        <v>1416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31.1902892142797</v>
      </c>
      <c r="H67" s="24" t="n">
        <f aca="false">(G64+H64)/2</f>
        <v>39.5544371131248</v>
      </c>
      <c r="I67" s="24" t="n">
        <f aca="false">(H64+I64)/2</f>
        <v>48.7634678423455</v>
      </c>
      <c r="J67" s="24" t="n">
        <f aca="false">(I64+J64)/2</f>
        <v>61.9776940736427</v>
      </c>
      <c r="K67" s="24" t="n">
        <f aca="false">(J64+K64)/2</f>
        <v>72.7354495636167</v>
      </c>
      <c r="L67" s="24" t="n">
        <f aca="false">(K64+L64)/2</f>
        <v>80.8134985275126</v>
      </c>
      <c r="M67" s="24" t="n">
        <f aca="false">(L64+M64)/2</f>
        <v>88.9868150256162</v>
      </c>
    </row>
    <row r="68" customFormat="false" ht="17.15" hidden="false" customHeight="false" outlineLevel="0" collapsed="false">
      <c r="A68" s="5" t="s">
        <v>1419</v>
      </c>
      <c r="B68" s="0" t="s">
        <v>1574</v>
      </c>
      <c r="C68" s="0" t="s">
        <v>1414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9.04912429484716</v>
      </c>
      <c r="G68" s="24" t="n">
        <f aca="false">G62-F62-G$6</f>
        <v>12.5153714610592</v>
      </c>
      <c r="H68" s="24" t="n">
        <f aca="false">H62-G62-H$6</f>
        <v>8.65164512450717</v>
      </c>
      <c r="I68" s="24" t="n">
        <f aca="false">I62-H62-I$6</f>
        <v>18.596214060909</v>
      </c>
      <c r="J68" s="24" t="n">
        <f aca="false">J62-I62-J$6</f>
        <v>6.32902133099745</v>
      </c>
      <c r="K68" s="24" t="n">
        <f aca="false">K62-J62-K$6</f>
        <v>7.01052996704159</v>
      </c>
      <c r="L68" s="24" t="n">
        <f aca="false">L62-K62-L$6</f>
        <v>7.7712899921963</v>
      </c>
      <c r="M68" s="24" t="n">
        <f aca="false">M62-L62-M$6</f>
        <v>8.62112152700441</v>
      </c>
    </row>
    <row r="69" customFormat="false" ht="17.15" hidden="false" customHeight="false" outlineLevel="0" collapsed="false">
      <c r="A69" s="5" t="s">
        <v>1419</v>
      </c>
      <c r="B69" s="0" t="s">
        <v>1574</v>
      </c>
      <c r="C69" s="0" t="s">
        <v>1415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9.04912429484716</v>
      </c>
      <c r="G69" s="24" t="n">
        <f aca="false">G63-F63-G$6</f>
        <v>11.7062917618926</v>
      </c>
      <c r="H69" s="24" t="n">
        <f aca="false">H63-G63-H$6</f>
        <v>7.74742026021831</v>
      </c>
      <c r="I69" s="24" t="n">
        <f aca="false">I63-H63-I$6</f>
        <v>16.5848686637054</v>
      </c>
      <c r="J69" s="24" t="n">
        <f aca="false">J63-I63-J$6</f>
        <v>8.58646755873197</v>
      </c>
      <c r="K69" s="24" t="n">
        <f aca="false">K63-J63-K$6</f>
        <v>7.01481595573387</v>
      </c>
      <c r="L69" s="24" t="n">
        <f aca="false">L63-K63-L$6</f>
        <v>7.67298198779423</v>
      </c>
      <c r="M69" s="24" t="n">
        <f aca="false">M63-L63-M$6</f>
        <v>8.67365100841299</v>
      </c>
    </row>
    <row r="70" customFormat="false" ht="17.15" hidden="false" customHeight="false" outlineLevel="0" collapsed="false">
      <c r="A70" s="5" t="s">
        <v>1419</v>
      </c>
      <c r="B70" s="0" t="s">
        <v>1574</v>
      </c>
      <c r="C70" s="0" t="s">
        <v>1416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9.04912429484716</v>
      </c>
      <c r="G70" s="24" t="n">
        <f aca="false">G64-F64-G$6</f>
        <v>11.7062917618926</v>
      </c>
      <c r="H70" s="24" t="n">
        <f aca="false">H64-G64-H$6</f>
        <v>5.02200403579761</v>
      </c>
      <c r="I70" s="24" t="n">
        <f aca="false">I64-H64-I$6</f>
        <v>13.3960574226439</v>
      </c>
      <c r="J70" s="24" t="n">
        <f aca="false">J64-I64-J$6</f>
        <v>13.0323950399505</v>
      </c>
      <c r="K70" s="24" t="n">
        <f aca="false">K64-J64-K$6</f>
        <v>8.48311593999749</v>
      </c>
      <c r="L70" s="24" t="n">
        <f aca="false">L64-K64-L$6</f>
        <v>7.67298198779423</v>
      </c>
      <c r="M70" s="24" t="n">
        <f aca="false">M64-L64-M$6</f>
        <v>8.67365100841299</v>
      </c>
    </row>
    <row r="71" customFormat="false" ht="17.15" hidden="false" customHeight="false" outlineLevel="0" collapsed="false">
      <c r="A71" s="5" t="s">
        <v>1420</v>
      </c>
      <c r="B71" s="0" t="s">
        <v>1574</v>
      </c>
      <c r="C71" s="0" t="s">
        <v>1415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0.809079699166553</v>
      </c>
      <c r="H71" s="24" t="n">
        <f aca="false">H62-H63</f>
        <v>1.71330456345542</v>
      </c>
      <c r="I71" s="24" t="n">
        <f aca="false">I62-I63</f>
        <v>3.72464996065908</v>
      </c>
      <c r="J71" s="24" t="n">
        <f aca="false">J62-J63</f>
        <v>1.46720373292456</v>
      </c>
      <c r="K71" s="24" t="n">
        <f aca="false">K62-K63</f>
        <v>1.46291774423229</v>
      </c>
      <c r="L71" s="24" t="n">
        <f aca="false">L62-L63</f>
        <v>1.56122574863436</v>
      </c>
      <c r="M71" s="24" t="n">
        <f aca="false">M62-M63</f>
        <v>1.50869626722577</v>
      </c>
    </row>
    <row r="72" customFormat="false" ht="17.15" hidden="false" customHeight="false" outlineLevel="0" collapsed="false">
      <c r="A72" s="5" t="s">
        <v>1420</v>
      </c>
      <c r="B72" s="0" t="s">
        <v>1574</v>
      </c>
      <c r="C72" s="0" t="s">
        <v>1416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0.809079699166553</v>
      </c>
      <c r="H72" s="24" t="n">
        <f aca="false">H62-H64</f>
        <v>4.43872078787612</v>
      </c>
      <c r="I72" s="24" t="n">
        <f aca="false">I62-I64</f>
        <v>9.63887742614124</v>
      </c>
      <c r="J72" s="24" t="n">
        <f aca="false">J62-J64</f>
        <v>2.93550371718818</v>
      </c>
      <c r="K72" s="24" t="n">
        <f aca="false">K62-K64</f>
        <v>1.46291774423229</v>
      </c>
      <c r="L72" s="24" t="n">
        <f aca="false">L62-L64</f>
        <v>1.56122574863436</v>
      </c>
      <c r="M72" s="24" t="n">
        <f aca="false">M62-M64</f>
        <v>1.50869626722577</v>
      </c>
    </row>
    <row r="74" customFormat="false" ht="17.15" hidden="false" customHeight="false" outlineLevel="0" collapsed="false">
      <c r="A74" s="21" t="s">
        <v>1583</v>
      </c>
    </row>
    <row r="75" customFormat="false" ht="17.15" hidden="false" customHeight="false" outlineLevel="0" collapsed="false">
      <c r="A75" s="5" t="s">
        <v>1573</v>
      </c>
      <c r="B75" s="0" t="s">
        <v>1578</v>
      </c>
      <c r="C75" s="0" t="s">
        <v>1414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9.04912429484716</v>
      </c>
      <c r="G75" s="24" t="n">
        <f aca="false">G$4</f>
        <v>12.5153714610592</v>
      </c>
      <c r="H75" s="24" t="n">
        <f aca="false">H$4</f>
        <v>8.65164512450717</v>
      </c>
      <c r="I75" s="24" t="n">
        <f aca="false">I$4*SIL_In!$I$28</f>
        <v>14.8769712487272</v>
      </c>
      <c r="J75" s="24" t="n">
        <f aca="false">J$4*SIL_In!$J$28</f>
        <v>5.37966813134783</v>
      </c>
      <c r="K75" s="24" t="n">
        <f aca="false">(Pipeline!J180+SUM($E$77:J77))*K76</f>
        <v>6.12613466726927</v>
      </c>
      <c r="L75" s="24" t="n">
        <f aca="false">(Pipeline!K180+SUM($E$77:K77))*L76</f>
        <v>6.98848860232046</v>
      </c>
      <c r="M75" s="24" t="n">
        <f aca="false">(Pipeline!L180+SUM($E$77:L77))*M76</f>
        <v>7.98754225685645</v>
      </c>
    </row>
    <row r="76" customFormat="false" ht="17.15" hidden="false" customHeight="false" outlineLevel="0" collapsed="false">
      <c r="A76" s="5" t="s">
        <v>1575</v>
      </c>
      <c r="B76" s="0" t="s">
        <v>1578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IFERROR(J75/(Pipeline!I180+SUM($E$77:I77)),g_lt)</f>
        <v>0.0876436785867695</v>
      </c>
      <c r="K76" s="23" t="n">
        <f aca="false">$J$76+(g_lt-$J$76)*(2030-2029)/3</f>
        <v>0.0917624523911797</v>
      </c>
      <c r="L76" s="23" t="n">
        <f aca="false">$J$76+(g_lt-$J$76)*(2031-2029)/3</f>
        <v>0.0958812261955898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1576</v>
      </c>
      <c r="B77" s="0" t="s">
        <v>1578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-3.7192428121818</v>
      </c>
      <c r="J77" s="24" t="n">
        <f aca="false">J75-J$4</f>
        <v>-0.949353199649617</v>
      </c>
      <c r="K77" s="24" t="n">
        <f aca="false">K75-K$4</f>
        <v>0.251079645221382</v>
      </c>
      <c r="L77" s="24" t="n">
        <f aca="false">L75-L$4</f>
        <v>3.6846424484743</v>
      </c>
      <c r="M77" s="24" t="n">
        <f aca="false">M75-M$4</f>
        <v>5.61831148762568</v>
      </c>
    </row>
    <row r="78" customFormat="false" ht="17.15" hidden="false" customHeight="false" outlineLevel="0" collapsed="false">
      <c r="A78" s="21" t="s">
        <v>1418</v>
      </c>
      <c r="B78" s="20" t="s">
        <v>1578</v>
      </c>
      <c r="C78" s="20" t="s">
        <v>1414</v>
      </c>
      <c r="D78" s="25" t="n">
        <f aca="false">Pipeline!D180+SUMPRODUCT($E$77:$M$77,Pipeline!$E$135:$M$135)</f>
        <v>0.630578355681972</v>
      </c>
      <c r="E78" s="25" t="n">
        <f aca="false">Pipeline!E180+SUMPRODUCT($E$77:$M$77,Pipeline!$E$136:$M$136)</f>
        <v>6.20938570515285</v>
      </c>
      <c r="F78" s="25" t="n">
        <f aca="false">Pipeline!F180+SUMPRODUCT($E$77:$M$77,Pipeline!$E$137:$M$137)</f>
        <v>25.3371433333333</v>
      </c>
      <c r="G78" s="25" t="n">
        <f aca="false">Pipeline!G180+SUMPRODUCT($E$77:$M$77,Pipeline!$E$138:$M$138)</f>
        <v>37.8525147943925</v>
      </c>
      <c r="H78" s="25" t="n">
        <f aca="false">Pipeline!H180+SUMPRODUCT($E$77:$M$77,Pipeline!$E$139:$M$139)</f>
        <v>46.5041599188997</v>
      </c>
      <c r="I78" s="25" t="n">
        <f aca="false">Pipeline!I180+SUMPRODUCT($E$77:$M$77,Pipeline!$E$140:$M$140)</f>
        <v>61.3811311676269</v>
      </c>
      <c r="J78" s="25" t="n">
        <f aca="false">Pipeline!J180+SUMPRODUCT($E$77:$M$77,Pipeline!$E$141:$M$141)</f>
        <v>66.7607992989748</v>
      </c>
      <c r="K78" s="25" t="n">
        <f aca="false">Pipeline!K180+SUMPRODUCT($E$77:$M$77,Pipeline!$E$142:$M$142)</f>
        <v>72.886933966244</v>
      </c>
      <c r="L78" s="25" t="n">
        <f aca="false">Pipeline!L180+SUMPRODUCT($E$77:$M$77,Pipeline!$E$143:$M$143)</f>
        <v>79.8754225685645</v>
      </c>
      <c r="M78" s="25" t="n">
        <f aca="false">Pipeline!M180+SUMPRODUCT($E$77:$M$77,Pipeline!$E$144:$M$144)</f>
        <v>87.8629648254209</v>
      </c>
    </row>
    <row r="79" customFormat="false" ht="17.15" hidden="false" customHeight="false" outlineLevel="0" collapsed="false">
      <c r="A79" s="21" t="s">
        <v>1418</v>
      </c>
      <c r="B79" s="20" t="s">
        <v>1578</v>
      </c>
      <c r="C79" s="20" t="s">
        <v>1415</v>
      </c>
      <c r="D79" s="25" t="n">
        <f aca="false">Pipeline!D181+SUMPRODUCT($E$77:$M$77,Pipeline!$E$147:$M$147)</f>
        <v>0.630578355681972</v>
      </c>
      <c r="E79" s="25" t="n">
        <f aca="false">Pipeline!E181+SUMPRODUCT($E$77:$M$77,Pipeline!$E$148:$M$148)</f>
        <v>6.20938570515285</v>
      </c>
      <c r="F79" s="25" t="n">
        <f aca="false">Pipeline!F181+SUMPRODUCT($E$77:$M$77,Pipeline!$E$149:$M$149)</f>
        <v>25.3371433333333</v>
      </c>
      <c r="G79" s="25" t="n">
        <f aca="false">Pipeline!G181+SUMPRODUCT($E$77:$M$77,Pipeline!$E$150:$M$150)</f>
        <v>37.043435095226</v>
      </c>
      <c r="H79" s="25" t="n">
        <f aca="false">Pipeline!H181+SUMPRODUCT($E$77:$M$77,Pipeline!$E$151:$M$151)</f>
        <v>44.7908553554443</v>
      </c>
      <c r="I79" s="25" t="n">
        <f aca="false">Pipeline!I181+SUMPRODUCT($E$77:$M$77,Pipeline!$E$152:$M$152)</f>
        <v>58.3073486990997</v>
      </c>
      <c r="J79" s="25" t="n">
        <f aca="false">Pipeline!J181+SUMPRODUCT($E$77:$M$77,Pipeline!$E$153:$M$153)</f>
        <v>65.4597323759889</v>
      </c>
      <c r="K79" s="25" t="n">
        <f aca="false">Pipeline!K181+SUMPRODUCT($E$77:$M$77,Pipeline!$E$154:$M$154)</f>
        <v>71.5787853994719</v>
      </c>
      <c r="L79" s="25" t="n">
        <f aca="false">Pipeline!L181+SUMPRODUCT($E$77:$M$77,Pipeline!$E$155:$M$155)</f>
        <v>78.4511870631584</v>
      </c>
      <c r="M79" s="25" t="n">
        <f aca="false">Pipeline!M181+SUMPRODUCT($E$77:$M$77,Pipeline!$E$156:$M$156)</f>
        <v>86.4651449304711</v>
      </c>
    </row>
    <row r="80" customFormat="false" ht="17.15" hidden="false" customHeight="false" outlineLevel="0" collapsed="false">
      <c r="A80" s="21" t="s">
        <v>1418</v>
      </c>
      <c r="B80" s="20" t="s">
        <v>1578</v>
      </c>
      <c r="C80" s="20" t="s">
        <v>1416</v>
      </c>
      <c r="D80" s="25" t="n">
        <f aca="false">Pipeline!D182+SUMPRODUCT($E$77:$M$77,Pipeline!$E$159:$M$159)</f>
        <v>0.630578355681972</v>
      </c>
      <c r="E80" s="25" t="n">
        <f aca="false">Pipeline!E182+SUMPRODUCT($E$77:$M$77,Pipeline!$E$160:$M$160)</f>
        <v>6.20938570515285</v>
      </c>
      <c r="F80" s="25" t="n">
        <f aca="false">Pipeline!F182+SUMPRODUCT($E$77:$M$77,Pipeline!$E$161:$M$161)</f>
        <v>25.3371433333333</v>
      </c>
      <c r="G80" s="25" t="n">
        <f aca="false">Pipeline!G182+SUMPRODUCT($E$77:$M$77,Pipeline!$E$162:$M$162)</f>
        <v>37.043435095226</v>
      </c>
      <c r="H80" s="25" t="n">
        <f aca="false">Pipeline!H182+SUMPRODUCT($E$77:$M$77,Pipeline!$E$163:$M$163)</f>
        <v>42.0654391310236</v>
      </c>
      <c r="I80" s="25" t="n">
        <f aca="false">Pipeline!I182+SUMPRODUCT($E$77:$M$77,Pipeline!$E$164:$M$164)</f>
        <v>53.6204713616375</v>
      </c>
      <c r="J80" s="25" t="n">
        <f aca="false">Pipeline!J182+SUMPRODUCT($E$77:$M$77,Pipeline!$E$165:$M$165)</f>
        <v>64.251779388578</v>
      </c>
      <c r="K80" s="25" t="n">
        <f aca="false">Pipeline!K182+SUMPRODUCT($E$77:$M$77,Pipeline!$E$166:$M$166)</f>
        <v>71.5787853994719</v>
      </c>
      <c r="L80" s="25" t="n">
        <f aca="false">Pipeline!L182+SUMPRODUCT($E$77:$M$77,Pipeline!$E$167:$M$167)</f>
        <v>78.4511870631584</v>
      </c>
      <c r="M80" s="25" t="n">
        <f aca="false">Pipeline!M182+SUMPRODUCT($E$77:$M$77,Pipeline!$E$168:$M$168)</f>
        <v>86.4651449304711</v>
      </c>
    </row>
    <row r="81" customFormat="false" ht="17.15" hidden="false" customHeight="false" outlineLevel="0" collapsed="false">
      <c r="A81" s="5" t="s">
        <v>1310</v>
      </c>
      <c r="B81" s="0" t="s">
        <v>1578</v>
      </c>
      <c r="C81" s="0" t="s">
        <v>1414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31.5948290638629</v>
      </c>
      <c r="H81" s="24" t="n">
        <f aca="false">(G78+H78)/2</f>
        <v>42.1783373566461</v>
      </c>
      <c r="I81" s="24" t="n">
        <f aca="false">(H78+I78)/2</f>
        <v>53.9426455432633</v>
      </c>
      <c r="J81" s="24" t="n">
        <f aca="false">(I78+J78)/2</f>
        <v>64.0709652333008</v>
      </c>
      <c r="K81" s="24" t="n">
        <f aca="false">(J78+K78)/2</f>
        <v>69.8238666326094</v>
      </c>
      <c r="L81" s="24" t="n">
        <f aca="false">(K78+L78)/2</f>
        <v>76.3811782674043</v>
      </c>
      <c r="M81" s="24" t="n">
        <f aca="false">(L78+M78)/2</f>
        <v>83.8691936969927</v>
      </c>
    </row>
    <row r="82" customFormat="false" ht="17.15" hidden="false" customHeight="false" outlineLevel="0" collapsed="false">
      <c r="A82" s="5" t="s">
        <v>1310</v>
      </c>
      <c r="B82" s="0" t="s">
        <v>1578</v>
      </c>
      <c r="C82" s="0" t="s">
        <v>1415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31.1902892142797</v>
      </c>
      <c r="H82" s="24" t="n">
        <f aca="false">(G79+H79)/2</f>
        <v>40.9171452253351</v>
      </c>
      <c r="I82" s="24" t="n">
        <f aca="false">(H79+I79)/2</f>
        <v>51.549102027272</v>
      </c>
      <c r="J82" s="24" t="n">
        <f aca="false">(I79+J79)/2</f>
        <v>61.8835405375443</v>
      </c>
      <c r="K82" s="24" t="n">
        <f aca="false">(J79+K79)/2</f>
        <v>68.5192588877304</v>
      </c>
      <c r="L82" s="24" t="n">
        <f aca="false">(K79+L79)/2</f>
        <v>75.0149862313152</v>
      </c>
      <c r="M82" s="24" t="n">
        <f aca="false">(L79+M79)/2</f>
        <v>82.4581659968147</v>
      </c>
    </row>
    <row r="83" customFormat="false" ht="17.15" hidden="false" customHeight="false" outlineLevel="0" collapsed="false">
      <c r="A83" s="5" t="s">
        <v>1310</v>
      </c>
      <c r="B83" s="0" t="s">
        <v>1578</v>
      </c>
      <c r="C83" s="0" t="s">
        <v>1416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31.1902892142797</v>
      </c>
      <c r="H83" s="24" t="n">
        <f aca="false">(G80+H80)/2</f>
        <v>39.5544371131248</v>
      </c>
      <c r="I83" s="24" t="n">
        <f aca="false">(H80+I80)/2</f>
        <v>47.8429552463305</v>
      </c>
      <c r="J83" s="24" t="n">
        <f aca="false">(I80+J80)/2</f>
        <v>58.9361253751077</v>
      </c>
      <c r="K83" s="24" t="n">
        <f aca="false">(J80+K80)/2</f>
        <v>67.9152823940249</v>
      </c>
      <c r="L83" s="24" t="n">
        <f aca="false">(K80+L80)/2</f>
        <v>75.0149862313152</v>
      </c>
      <c r="M83" s="24" t="n">
        <f aca="false">(L80+M80)/2</f>
        <v>82.4581659968147</v>
      </c>
    </row>
    <row r="84" customFormat="false" ht="17.15" hidden="false" customHeight="false" outlineLevel="0" collapsed="false">
      <c r="A84" s="5" t="s">
        <v>1419</v>
      </c>
      <c r="B84" s="0" t="s">
        <v>1578</v>
      </c>
      <c r="C84" s="0" t="s">
        <v>1414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9.04912429484716</v>
      </c>
      <c r="G84" s="24" t="n">
        <f aca="false">G78-F78-G$6</f>
        <v>12.5153714610592</v>
      </c>
      <c r="H84" s="24" t="n">
        <f aca="false">H78-G78-H$6</f>
        <v>8.65164512450717</v>
      </c>
      <c r="I84" s="24" t="n">
        <f aca="false">I78-H78-I$6</f>
        <v>14.8769712487272</v>
      </c>
      <c r="J84" s="24" t="n">
        <f aca="false">J78-I78-J$6</f>
        <v>5.37966813134783</v>
      </c>
      <c r="K84" s="24" t="n">
        <f aca="false">K78-J78-K$6</f>
        <v>6.12613466726927</v>
      </c>
      <c r="L84" s="24" t="n">
        <f aca="false">L78-K78-L$6</f>
        <v>6.98848860232047</v>
      </c>
      <c r="M84" s="24" t="n">
        <f aca="false">M78-L78-M$6</f>
        <v>7.98754225685644</v>
      </c>
    </row>
    <row r="85" customFormat="false" ht="17.15" hidden="false" customHeight="false" outlineLevel="0" collapsed="false">
      <c r="A85" s="5" t="s">
        <v>1419</v>
      </c>
      <c r="B85" s="0" t="s">
        <v>1578</v>
      </c>
      <c r="C85" s="0" t="s">
        <v>1415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9.04912429484716</v>
      </c>
      <c r="G85" s="24" t="n">
        <f aca="false">G79-F79-G$6</f>
        <v>11.7062917618926</v>
      </c>
      <c r="H85" s="24" t="n">
        <f aca="false">H79-G79-H$6</f>
        <v>7.74742026021831</v>
      </c>
      <c r="I85" s="24" t="n">
        <f aca="false">I79-H79-I$6</f>
        <v>13.5164933436554</v>
      </c>
      <c r="J85" s="24" t="n">
        <f aca="false">J79-I79-J$6</f>
        <v>7.15238367688922</v>
      </c>
      <c r="K85" s="24" t="n">
        <f aca="false">K79-J79-K$6</f>
        <v>6.11905302348302</v>
      </c>
      <c r="L85" s="24" t="n">
        <f aca="false">L79-K79-L$6</f>
        <v>6.8724016636865</v>
      </c>
      <c r="M85" s="24" t="n">
        <f aca="false">M79-L79-M$6</f>
        <v>8.01395786731266</v>
      </c>
    </row>
    <row r="86" customFormat="false" ht="17.15" hidden="false" customHeight="false" outlineLevel="0" collapsed="false">
      <c r="A86" s="5" t="s">
        <v>1419</v>
      </c>
      <c r="B86" s="0" t="s">
        <v>1578</v>
      </c>
      <c r="C86" s="0" t="s">
        <v>1416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9.04912429484716</v>
      </c>
      <c r="G86" s="24" t="n">
        <f aca="false">G80-F80-G$6</f>
        <v>11.7062917618926</v>
      </c>
      <c r="H86" s="24" t="n">
        <f aca="false">H80-G80-H$6</f>
        <v>5.02200403579761</v>
      </c>
      <c r="I86" s="24" t="n">
        <f aca="false">I80-H80-I$6</f>
        <v>11.5550322306139</v>
      </c>
      <c r="J86" s="24" t="n">
        <f aca="false">J80-I80-J$6</f>
        <v>10.6313080269405</v>
      </c>
      <c r="K86" s="24" t="n">
        <f aca="false">K80-J80-K$6</f>
        <v>7.32700601089393</v>
      </c>
      <c r="L86" s="24" t="n">
        <f aca="false">L80-K80-L$6</f>
        <v>6.8724016636865</v>
      </c>
      <c r="M86" s="24" t="n">
        <f aca="false">M80-L80-M$6</f>
        <v>8.01395786731266</v>
      </c>
    </row>
    <row r="87" customFormat="false" ht="17.15" hidden="false" customHeight="false" outlineLevel="0" collapsed="false">
      <c r="A87" s="5" t="s">
        <v>1420</v>
      </c>
      <c r="B87" s="0" t="s">
        <v>1578</v>
      </c>
      <c r="C87" s="0" t="s">
        <v>1415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0.809079699166553</v>
      </c>
      <c r="H87" s="24" t="n">
        <f aca="false">H78-H79</f>
        <v>1.71330456345542</v>
      </c>
      <c r="I87" s="24" t="n">
        <f aca="false">I78-I79</f>
        <v>3.07378246852726</v>
      </c>
      <c r="J87" s="24" t="n">
        <f aca="false">J78-J79</f>
        <v>1.30106692298587</v>
      </c>
      <c r="K87" s="24" t="n">
        <f aca="false">K78-K79</f>
        <v>1.30814856677212</v>
      </c>
      <c r="L87" s="24" t="n">
        <f aca="false">L78-L79</f>
        <v>1.42423550540609</v>
      </c>
      <c r="M87" s="24" t="n">
        <f aca="false">M78-M79</f>
        <v>1.39781989494988</v>
      </c>
    </row>
    <row r="88" customFormat="false" ht="17.15" hidden="false" customHeight="false" outlineLevel="0" collapsed="false">
      <c r="A88" s="5" t="s">
        <v>1420</v>
      </c>
      <c r="B88" s="0" t="s">
        <v>1578</v>
      </c>
      <c r="C88" s="0" t="s">
        <v>1416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0.809079699166553</v>
      </c>
      <c r="H88" s="24" t="n">
        <f aca="false">H78-H80</f>
        <v>4.43872078787612</v>
      </c>
      <c r="I88" s="24" t="n">
        <f aca="false">I78-I80</f>
        <v>7.76065980598943</v>
      </c>
      <c r="J88" s="24" t="n">
        <f aca="false">J78-J80</f>
        <v>2.50901991039677</v>
      </c>
      <c r="K88" s="24" t="n">
        <f aca="false">K78-K80</f>
        <v>1.30814856677212</v>
      </c>
      <c r="L88" s="24" t="n">
        <f aca="false">L78-L80</f>
        <v>1.42423550540609</v>
      </c>
      <c r="M88" s="24" t="n">
        <f aca="false">M78-M80</f>
        <v>1.39781989494988</v>
      </c>
    </row>
    <row r="90" customFormat="false" ht="17.15" hidden="false" customHeight="false" outlineLevel="0" collapsed="false">
      <c r="A90" s="21" t="s">
        <v>1584</v>
      </c>
    </row>
    <row r="91" customFormat="false" ht="17.15" hidden="false" customHeight="false" outlineLevel="0" collapsed="false">
      <c r="A91" s="5" t="s">
        <v>1573</v>
      </c>
      <c r="B91" s="0" t="s">
        <v>1580</v>
      </c>
      <c r="C91" s="0" t="s">
        <v>1414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9.04912429484716</v>
      </c>
      <c r="G91" s="24" t="n">
        <f aca="false">G$4</f>
        <v>12.5153714610592</v>
      </c>
      <c r="H91" s="24" t="n">
        <f aca="false">H$4</f>
        <v>8.65164512450717</v>
      </c>
      <c r="I91" s="24" t="n">
        <f aca="false">I$4*SIL_In!$I$29</f>
        <v>11.1577284365454</v>
      </c>
      <c r="J91" s="24" t="n">
        <f aca="false">J$4*SIL_In!$J$29</f>
        <v>3.79741279859847</v>
      </c>
      <c r="K91" s="24" t="n">
        <f aca="false">(Pipeline!J180+SUM($E$93:J93))*K92</f>
        <v>4.74697489777831</v>
      </c>
      <c r="L91" s="24" t="n">
        <f aca="false">(Pipeline!K180+SUM($E$93:K93))*L92</f>
        <v>5.86712395656323</v>
      </c>
      <c r="M91" s="24" t="n">
        <f aca="false">(Pipeline!L180+SUM($E$93:L93))*M92</f>
        <v>7.20734000083851</v>
      </c>
    </row>
    <row r="92" customFormat="false" ht="17.15" hidden="false" customHeight="false" outlineLevel="0" collapsed="false">
      <c r="A92" s="5" t="s">
        <v>1575</v>
      </c>
      <c r="B92" s="0" t="s">
        <v>1580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IFERROR(J91/(Pipeline!I180+SUM($E$93:I93)),g_lt)</f>
        <v>0.0658565459249285</v>
      </c>
      <c r="K92" s="23" t="n">
        <f aca="false">$J$92+(g_lt-$J$92)*(2030-2029)/3</f>
        <v>0.0772376972832857</v>
      </c>
      <c r="L92" s="23" t="n">
        <f aca="false">$J$92+(g_lt-$J$92)*(2031-2029)/3</f>
        <v>0.0886188486416428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1576</v>
      </c>
      <c r="B93" s="0" t="s">
        <v>1580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-7.43848562436361</v>
      </c>
      <c r="J93" s="24" t="n">
        <f aca="false">J91-J$4</f>
        <v>-2.53160853239898</v>
      </c>
      <c r="K93" s="24" t="n">
        <f aca="false">K91-K$4</f>
        <v>-1.12808012426958</v>
      </c>
      <c r="L93" s="24" t="n">
        <f aca="false">L91-L$4</f>
        <v>2.56327780271706</v>
      </c>
      <c r="M93" s="24" t="n">
        <f aca="false">M91-M$4</f>
        <v>4.83810923160774</v>
      </c>
    </row>
    <row r="94" customFormat="false" ht="17.15" hidden="false" customHeight="false" outlineLevel="0" collapsed="false">
      <c r="A94" s="21" t="s">
        <v>1418</v>
      </c>
      <c r="B94" s="20" t="s">
        <v>1580</v>
      </c>
      <c r="C94" s="20" t="s">
        <v>1414</v>
      </c>
      <c r="D94" s="25" t="n">
        <f aca="false">Pipeline!D180+SUMPRODUCT($E$93:$M$93,Pipeline!$E$135:$M$135)</f>
        <v>0.630578355681972</v>
      </c>
      <c r="E94" s="25" t="n">
        <f aca="false">Pipeline!E180+SUMPRODUCT($E$93:$M$93,Pipeline!$E$136:$M$136)</f>
        <v>6.20938570515285</v>
      </c>
      <c r="F94" s="25" t="n">
        <f aca="false">Pipeline!F180+SUMPRODUCT($E$93:$M$93,Pipeline!$E$137:$M$137)</f>
        <v>25.3371433333333</v>
      </c>
      <c r="G94" s="25" t="n">
        <f aca="false">Pipeline!G180+SUMPRODUCT($E$93:$M$93,Pipeline!$E$138:$M$138)</f>
        <v>37.8525147943925</v>
      </c>
      <c r="H94" s="25" t="n">
        <f aca="false">Pipeline!H180+SUMPRODUCT($E$93:$M$93,Pipeline!$E$139:$M$139)</f>
        <v>46.5041599188997</v>
      </c>
      <c r="I94" s="25" t="n">
        <f aca="false">Pipeline!I180+SUMPRODUCT($E$93:$M$93,Pipeline!$E$140:$M$140)</f>
        <v>57.6618883554451</v>
      </c>
      <c r="J94" s="25" t="n">
        <f aca="false">Pipeline!J180+SUMPRODUCT($E$93:$M$93,Pipeline!$E$141:$M$141)</f>
        <v>61.4593011540436</v>
      </c>
      <c r="K94" s="25" t="n">
        <f aca="false">Pipeline!K180+SUMPRODUCT($E$93:$M$93,Pipeline!$E$142:$M$142)</f>
        <v>66.2062760518219</v>
      </c>
      <c r="L94" s="25" t="n">
        <f aca="false">Pipeline!L180+SUMPRODUCT($E$93:$M$93,Pipeline!$E$143:$M$143)</f>
        <v>72.0734000083851</v>
      </c>
      <c r="M94" s="25" t="n">
        <f aca="false">Pipeline!M180+SUMPRODUCT($E$93:$M$93,Pipeline!$E$144:$M$144)</f>
        <v>79.2807400092236</v>
      </c>
    </row>
    <row r="95" customFormat="false" ht="17.15" hidden="false" customHeight="false" outlineLevel="0" collapsed="false">
      <c r="A95" s="21" t="s">
        <v>1418</v>
      </c>
      <c r="B95" s="20" t="s">
        <v>1580</v>
      </c>
      <c r="C95" s="20" t="s">
        <v>1415</v>
      </c>
      <c r="D95" s="25" t="n">
        <f aca="false">Pipeline!D181+SUMPRODUCT($E$93:$M$93,Pipeline!$E$147:$M$147)</f>
        <v>0.630578355681972</v>
      </c>
      <c r="E95" s="25" t="n">
        <f aca="false">Pipeline!E181+SUMPRODUCT($E$93:$M$93,Pipeline!$E$148:$M$148)</f>
        <v>6.20938570515285</v>
      </c>
      <c r="F95" s="25" t="n">
        <f aca="false">Pipeline!F181+SUMPRODUCT($E$93:$M$93,Pipeline!$E$149:$M$149)</f>
        <v>25.3371433333333</v>
      </c>
      <c r="G95" s="25" t="n">
        <f aca="false">Pipeline!G181+SUMPRODUCT($E$93:$M$93,Pipeline!$E$150:$M$150)</f>
        <v>37.043435095226</v>
      </c>
      <c r="H95" s="25" t="n">
        <f aca="false">Pipeline!H181+SUMPRODUCT($E$93:$M$93,Pipeline!$E$151:$M$151)</f>
        <v>44.7908553554443</v>
      </c>
      <c r="I95" s="25" t="n">
        <f aca="false">Pipeline!I181+SUMPRODUCT($E$93:$M$93,Pipeline!$E$152:$M$152)</f>
        <v>55.2389733790497</v>
      </c>
      <c r="J95" s="25" t="n">
        <f aca="false">Pipeline!J181+SUMPRODUCT($E$93:$M$93,Pipeline!$E$153:$M$153)</f>
        <v>60.4351289142888</v>
      </c>
      <c r="K95" s="25" t="n">
        <f aca="false">Pipeline!K181+SUMPRODUCT($E$93:$M$93,Pipeline!$E$154:$M$154)</f>
        <v>65.1394804447107</v>
      </c>
      <c r="L95" s="25" t="n">
        <f aca="false">Pipeline!L181+SUMPRODUCT($E$93:$M$93,Pipeline!$E$155:$M$155)</f>
        <v>70.8454033159865</v>
      </c>
      <c r="M95" s="25" t="n">
        <f aca="false">Pipeline!M181+SUMPRODUCT($E$93:$M$93,Pipeline!$E$156:$M$156)</f>
        <v>78.0194555090769</v>
      </c>
    </row>
    <row r="96" customFormat="false" ht="17.15" hidden="false" customHeight="false" outlineLevel="0" collapsed="false">
      <c r="A96" s="21" t="s">
        <v>1418</v>
      </c>
      <c r="B96" s="20" t="s">
        <v>1580</v>
      </c>
      <c r="C96" s="20" t="s">
        <v>1416</v>
      </c>
      <c r="D96" s="25" t="n">
        <f aca="false">Pipeline!D182+SUMPRODUCT($E$93:$M$93,Pipeline!$E$159:$M$159)</f>
        <v>0.630578355681972</v>
      </c>
      <c r="E96" s="25" t="n">
        <f aca="false">Pipeline!E182+SUMPRODUCT($E$93:$M$93,Pipeline!$E$160:$M$160)</f>
        <v>6.20938570515285</v>
      </c>
      <c r="F96" s="25" t="n">
        <f aca="false">Pipeline!F182+SUMPRODUCT($E$93:$M$93,Pipeline!$E$161:$M$161)</f>
        <v>25.3371433333333</v>
      </c>
      <c r="G96" s="25" t="n">
        <f aca="false">Pipeline!G182+SUMPRODUCT($E$93:$M$93,Pipeline!$E$162:$M$162)</f>
        <v>37.043435095226</v>
      </c>
      <c r="H96" s="25" t="n">
        <f aca="false">Pipeline!H182+SUMPRODUCT($E$93:$M$93,Pipeline!$E$163:$M$163)</f>
        <v>42.0654391310236</v>
      </c>
      <c r="I96" s="25" t="n">
        <f aca="false">Pipeline!I182+SUMPRODUCT($E$93:$M$93,Pipeline!$E$164:$M$164)</f>
        <v>51.7794461696075</v>
      </c>
      <c r="J96" s="25" t="n">
        <f aca="false">Pipeline!J182+SUMPRODUCT($E$93:$M$93,Pipeline!$E$165:$M$165)</f>
        <v>59.4875229237307</v>
      </c>
      <c r="K96" s="25" t="n">
        <f aca="false">Pipeline!K182+SUMPRODUCT($E$93:$M$93,Pipeline!$E$166:$M$166)</f>
        <v>65.1394804447107</v>
      </c>
      <c r="L96" s="25" t="n">
        <f aca="false">Pipeline!L182+SUMPRODUCT($E$93:$M$93,Pipeline!$E$167:$M$167)</f>
        <v>70.8454033159865</v>
      </c>
      <c r="M96" s="25" t="n">
        <f aca="false">Pipeline!M182+SUMPRODUCT($E$93:$M$93,Pipeline!$E$168:$M$168)</f>
        <v>78.0194555090769</v>
      </c>
    </row>
    <row r="97" customFormat="false" ht="17.15" hidden="false" customHeight="false" outlineLevel="0" collapsed="false">
      <c r="A97" s="5" t="s">
        <v>1310</v>
      </c>
      <c r="B97" s="0" t="s">
        <v>1580</v>
      </c>
      <c r="C97" s="0" t="s">
        <v>1414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31.5948290638629</v>
      </c>
      <c r="H97" s="24" t="n">
        <f aca="false">(G94+H94)/2</f>
        <v>42.1783373566461</v>
      </c>
      <c r="I97" s="24" t="n">
        <f aca="false">(H94+I94)/2</f>
        <v>52.0830241371724</v>
      </c>
      <c r="J97" s="24" t="n">
        <f aca="false">(I94+J94)/2</f>
        <v>59.5605947547443</v>
      </c>
      <c r="K97" s="24" t="n">
        <f aca="false">(J94+K94)/2</f>
        <v>63.8327886029327</v>
      </c>
      <c r="L97" s="24" t="n">
        <f aca="false">(K94+L94)/2</f>
        <v>69.1398380301035</v>
      </c>
      <c r="M97" s="24" t="n">
        <f aca="false">(L94+M94)/2</f>
        <v>75.6770700088044</v>
      </c>
    </row>
    <row r="98" customFormat="false" ht="17.15" hidden="false" customHeight="false" outlineLevel="0" collapsed="false">
      <c r="A98" s="5" t="s">
        <v>1310</v>
      </c>
      <c r="B98" s="0" t="s">
        <v>1580</v>
      </c>
      <c r="C98" s="0" t="s">
        <v>1415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31.1902892142797</v>
      </c>
      <c r="H98" s="24" t="n">
        <f aca="false">(G95+H95)/2</f>
        <v>40.9171452253351</v>
      </c>
      <c r="I98" s="24" t="n">
        <f aca="false">(H95+I95)/2</f>
        <v>50.014914367247</v>
      </c>
      <c r="J98" s="24" t="n">
        <f aca="false">(I95+J95)/2</f>
        <v>57.8370511466693</v>
      </c>
      <c r="K98" s="24" t="n">
        <f aca="false">(J95+K95)/2</f>
        <v>62.7873046794998</v>
      </c>
      <c r="L98" s="24" t="n">
        <f aca="false">(K95+L95)/2</f>
        <v>67.9924418803486</v>
      </c>
      <c r="M98" s="24" t="n">
        <f aca="false">(L95+M95)/2</f>
        <v>74.4324294125317</v>
      </c>
    </row>
    <row r="99" customFormat="false" ht="17.15" hidden="false" customHeight="false" outlineLevel="0" collapsed="false">
      <c r="A99" s="5" t="s">
        <v>1310</v>
      </c>
      <c r="B99" s="0" t="s">
        <v>1580</v>
      </c>
      <c r="C99" s="0" t="s">
        <v>1416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31.1902892142797</v>
      </c>
      <c r="H99" s="24" t="n">
        <f aca="false">(G96+H96)/2</f>
        <v>39.5544371131248</v>
      </c>
      <c r="I99" s="24" t="n">
        <f aca="false">(H96+I96)/2</f>
        <v>46.9224426503155</v>
      </c>
      <c r="J99" s="24" t="n">
        <f aca="false">(I96+J96)/2</f>
        <v>55.6334845466691</v>
      </c>
      <c r="K99" s="24" t="n">
        <f aca="false">(J96+K96)/2</f>
        <v>62.3135016842207</v>
      </c>
      <c r="L99" s="24" t="n">
        <f aca="false">(K96+L96)/2</f>
        <v>67.9924418803486</v>
      </c>
      <c r="M99" s="24" t="n">
        <f aca="false">(L96+M96)/2</f>
        <v>74.4324294125317</v>
      </c>
    </row>
    <row r="100" customFormat="false" ht="17.15" hidden="false" customHeight="false" outlineLevel="0" collapsed="false">
      <c r="A100" s="5" t="s">
        <v>1419</v>
      </c>
      <c r="B100" s="0" t="s">
        <v>1580</v>
      </c>
      <c r="C100" s="0" t="s">
        <v>1414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9.04912429484716</v>
      </c>
      <c r="G100" s="24" t="n">
        <f aca="false">G94-F94-G$6</f>
        <v>12.5153714610592</v>
      </c>
      <c r="H100" s="24" t="n">
        <f aca="false">H94-G94-H$6</f>
        <v>8.65164512450717</v>
      </c>
      <c r="I100" s="24" t="n">
        <f aca="false">I94-H94-I$6</f>
        <v>11.1577284365454</v>
      </c>
      <c r="J100" s="24" t="n">
        <f aca="false">J94-I94-J$6</f>
        <v>3.79741279859847</v>
      </c>
      <c r="K100" s="24" t="n">
        <f aca="false">K94-J94-K$6</f>
        <v>4.74697489777831</v>
      </c>
      <c r="L100" s="24" t="n">
        <f aca="false">L94-K94-L$6</f>
        <v>5.86712395656322</v>
      </c>
      <c r="M100" s="24" t="n">
        <f aca="false">M94-L94-M$6</f>
        <v>7.20734000083851</v>
      </c>
    </row>
    <row r="101" customFormat="false" ht="17.15" hidden="false" customHeight="false" outlineLevel="0" collapsed="false">
      <c r="A101" s="5" t="s">
        <v>1419</v>
      </c>
      <c r="B101" s="0" t="s">
        <v>1580</v>
      </c>
      <c r="C101" s="0" t="s">
        <v>1415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9.04912429484716</v>
      </c>
      <c r="G101" s="24" t="n">
        <f aca="false">G95-F95-G$6</f>
        <v>11.7062917618926</v>
      </c>
      <c r="H101" s="24" t="n">
        <f aca="false">H95-G95-H$6</f>
        <v>7.74742026021831</v>
      </c>
      <c r="I101" s="24" t="n">
        <f aca="false">I95-H95-I$6</f>
        <v>10.4481180236054</v>
      </c>
      <c r="J101" s="24" t="n">
        <f aca="false">J95-I95-J$6</f>
        <v>5.19615553523917</v>
      </c>
      <c r="K101" s="24" t="n">
        <f aca="false">K95-J95-K$6</f>
        <v>4.70435153042185</v>
      </c>
      <c r="L101" s="24" t="n">
        <f aca="false">L95-K95-L$6</f>
        <v>5.70592287127586</v>
      </c>
      <c r="M101" s="24" t="n">
        <f aca="false">M95-L95-M$6</f>
        <v>7.17405219309033</v>
      </c>
    </row>
    <row r="102" customFormat="false" ht="17.15" hidden="false" customHeight="false" outlineLevel="0" collapsed="false">
      <c r="A102" s="5" t="s">
        <v>1419</v>
      </c>
      <c r="B102" s="0" t="s">
        <v>1580</v>
      </c>
      <c r="C102" s="0" t="s">
        <v>1416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9.04912429484716</v>
      </c>
      <c r="G102" s="24" t="n">
        <f aca="false">G96-F96-G$6</f>
        <v>11.7062917618926</v>
      </c>
      <c r="H102" s="24" t="n">
        <f aca="false">H96-G96-H$6</f>
        <v>5.02200403579761</v>
      </c>
      <c r="I102" s="24" t="n">
        <f aca="false">I96-H96-I$6</f>
        <v>9.71400703858392</v>
      </c>
      <c r="J102" s="24" t="n">
        <f aca="false">J96-I96-J$6</f>
        <v>7.70807675412317</v>
      </c>
      <c r="K102" s="24" t="n">
        <f aca="false">K96-J96-K$6</f>
        <v>5.65195752098001</v>
      </c>
      <c r="L102" s="24" t="n">
        <f aca="false">L96-K96-L$6</f>
        <v>5.70592287127586</v>
      </c>
      <c r="M102" s="24" t="n">
        <f aca="false">M96-L96-M$6</f>
        <v>7.17405219309033</v>
      </c>
    </row>
    <row r="103" customFormat="false" ht="17.15" hidden="false" customHeight="false" outlineLevel="0" collapsed="false">
      <c r="A103" s="5" t="s">
        <v>1420</v>
      </c>
      <c r="B103" s="0" t="s">
        <v>1580</v>
      </c>
      <c r="C103" s="0" t="s">
        <v>1415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0.809079699166553</v>
      </c>
      <c r="H103" s="24" t="n">
        <f aca="false">H94-H95</f>
        <v>1.71330456345542</v>
      </c>
      <c r="I103" s="24" t="n">
        <f aca="false">I94-I95</f>
        <v>2.42291497639545</v>
      </c>
      <c r="J103" s="24" t="n">
        <f aca="false">J94-J95</f>
        <v>1.02417223975474</v>
      </c>
      <c r="K103" s="24" t="n">
        <f aca="false">K94-K95</f>
        <v>1.0667956071112</v>
      </c>
      <c r="L103" s="24" t="n">
        <f aca="false">L94-L95</f>
        <v>1.22799669239856</v>
      </c>
      <c r="M103" s="24" t="n">
        <f aca="false">M94-M95</f>
        <v>1.26128450014674</v>
      </c>
    </row>
    <row r="104" customFormat="false" ht="17.15" hidden="false" customHeight="false" outlineLevel="0" collapsed="false">
      <c r="A104" s="5" t="s">
        <v>1420</v>
      </c>
      <c r="B104" s="0" t="s">
        <v>1580</v>
      </c>
      <c r="C104" s="0" t="s">
        <v>1416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0.809079699166553</v>
      </c>
      <c r="H104" s="24" t="n">
        <f aca="false">H94-H96</f>
        <v>4.43872078787612</v>
      </c>
      <c r="I104" s="24" t="n">
        <f aca="false">I94-I96</f>
        <v>5.88244218583761</v>
      </c>
      <c r="J104" s="24" t="n">
        <f aca="false">J94-J96</f>
        <v>1.97177823031291</v>
      </c>
      <c r="K104" s="24" t="n">
        <f aca="false">K94-K96</f>
        <v>1.0667956071112</v>
      </c>
      <c r="L104" s="24" t="n">
        <f aca="false">L94-L96</f>
        <v>1.22799669239856</v>
      </c>
      <c r="M104" s="24" t="n">
        <f aca="false">M94-M96</f>
        <v>1.26128450014674</v>
      </c>
    </row>
    <row r="106" customFormat="false" ht="17.15" hidden="false" customHeight="false" outlineLevel="0" collapsed="false">
      <c r="A106" s="21" t="s">
        <v>1585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0.376858885317066</v>
      </c>
      <c r="I106" s="29" t="n">
        <f aca="false">IF(2028&lt;=2026,1,IF(I19&lt;=0,1,MIN(1,MAX(0,I68)/I19)))</f>
        <v>0.690710983961002</v>
      </c>
      <c r="J106" s="29" t="n">
        <f aca="false">IF(2029&lt;=2026,1,IF(J19&lt;=0,1,MIN(1,MAX(0,J68)/J19)))</f>
        <v>0.228786257276102</v>
      </c>
      <c r="K106" s="29" t="n">
        <f aca="false">IF(2030&lt;=2026,1,IF(K19&lt;=0,1,MIN(1,MAX(0,K68)/K19)))</f>
        <v>0.249449690619002</v>
      </c>
      <c r="L106" s="29" t="n">
        <f aca="false">IF(2031&lt;=2026,1,IF(L19&lt;=0,1,MIN(1,MAX(0,L68)/L19)))</f>
        <v>0.315274555130061</v>
      </c>
      <c r="M106" s="29" t="n">
        <f aca="false">IF(2032&lt;=2026,1,IF(M19&lt;=0,1,MIN(1,MAX(0,M68)/M19)))</f>
        <v>0.512704862759384</v>
      </c>
    </row>
    <row r="108" customFormat="false" ht="17.15" hidden="false" customHeight="false" outlineLevel="0" collapsed="false">
      <c r="A108" s="21" t="s">
        <v>1586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1587</v>
      </c>
    </row>
    <row r="2" customFormat="false" ht="17.15" hidden="false" customHeight="false" outlineLevel="0" collapsed="false">
      <c r="A2" s="5" t="s">
        <v>1588</v>
      </c>
    </row>
    <row r="3" customFormat="false" ht="15" hidden="false" customHeight="false" outlineLevel="0" collapsed="false">
      <c r="A3" s="6" t="s">
        <v>16</v>
      </c>
      <c r="B3" s="6" t="s">
        <v>1589</v>
      </c>
      <c r="C3" s="6" t="s">
        <v>17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8" t="s">
        <v>1590</v>
      </c>
      <c r="B4" s="20" t="s">
        <v>1591</v>
      </c>
      <c r="D4" s="24" t="n">
        <f aca="false">Pipeline!D180</f>
        <v>0.630578355681972</v>
      </c>
      <c r="E4" s="24" t="n">
        <f aca="false">Pipeline!E180</f>
        <v>6.20938570515285</v>
      </c>
      <c r="F4" s="24" t="n">
        <f aca="false">Pipeline!F180</f>
        <v>25.3371433333333</v>
      </c>
      <c r="G4" s="24" t="n">
        <f aca="false">Pipeline!G180</f>
        <v>37.8525147943925</v>
      </c>
      <c r="H4" s="24" t="n">
        <f aca="false">Pipeline!H180</f>
        <v>46.5041599188997</v>
      </c>
      <c r="I4" s="24" t="n">
        <f aca="false">Pipeline!I180</f>
        <v>65.1003739798087</v>
      </c>
      <c r="J4" s="24" t="n">
        <f aca="false">Pipeline!J180</f>
        <v>71.4293953108062</v>
      </c>
      <c r="K4" s="24" t="n">
        <f aca="false">Pipeline!K180</f>
        <v>77.3044503328541</v>
      </c>
      <c r="L4" s="24" t="n">
        <f aca="false">Pipeline!L180</f>
        <v>80.6082964867002</v>
      </c>
      <c r="M4" s="24" t="n">
        <f aca="false">Pipeline!M180</f>
        <v>82.977527255931</v>
      </c>
    </row>
    <row r="5" customFormat="false" ht="17.15" hidden="false" customHeight="false" outlineLevel="0" collapsed="false">
      <c r="A5" s="5" t="s">
        <v>1592</v>
      </c>
      <c r="B5" s="0" t="s">
        <v>1593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34.5858481277259</v>
      </c>
      <c r="H5" s="24" t="n">
        <f aca="false">Players!H308</f>
        <v>46.5041599188997</v>
      </c>
      <c r="I5" s="24" t="n">
        <f aca="false">Players!I308</f>
        <v>65.1003739798087</v>
      </c>
      <c r="J5" s="24" t="n">
        <f aca="false">Players!J308</f>
        <v>71.4293953108062</v>
      </c>
      <c r="K5" s="24" t="n">
        <f aca="false">Players!K308</f>
        <v>77.3044503328541</v>
      </c>
      <c r="L5" s="24" t="n">
        <f aca="false">Players!L308</f>
        <v>80.6082964867002</v>
      </c>
      <c r="M5" s="24" t="n">
        <f aca="false">Players!M308</f>
        <v>82.977527255931</v>
      </c>
    </row>
    <row r="6" customFormat="false" ht="17.15" hidden="false" customHeight="false" outlineLevel="0" collapsed="false">
      <c r="A6" s="5" t="s">
        <v>1594</v>
      </c>
      <c r="B6" s="0" t="s">
        <v>1595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41.2191814610592</v>
      </c>
      <c r="H6" s="24" t="n">
        <f aca="false">Players!H309</f>
        <v>46.5041599188997</v>
      </c>
      <c r="I6" s="24" t="n">
        <f aca="false">Players!I309</f>
        <v>65.1003739798087</v>
      </c>
      <c r="J6" s="24" t="n">
        <f aca="false">Players!J309</f>
        <v>71.4293953108062</v>
      </c>
      <c r="K6" s="24" t="n">
        <f aca="false">Players!K309</f>
        <v>77.3044503328541</v>
      </c>
      <c r="L6" s="24" t="n">
        <f aca="false">Players!L309</f>
        <v>80.6082964867002</v>
      </c>
      <c r="M6" s="24" t="n">
        <f aca="false">Players!M309</f>
        <v>82.977527255931</v>
      </c>
    </row>
    <row r="7" customFormat="false" ht="17.15" hidden="false" customHeight="false" outlineLevel="0" collapsed="false">
      <c r="A7" s="8" t="s">
        <v>1596</v>
      </c>
      <c r="B7" s="20" t="s">
        <v>1597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26.1858481277259</v>
      </c>
      <c r="H7" s="24" t="n">
        <f aca="false">H4-N(Players!H277)</f>
        <v>32.8479887943925</v>
      </c>
      <c r="I7" s="24" t="n">
        <f aca="false">I4-N(Players!I277)</f>
        <v>49.1629887943925</v>
      </c>
      <c r="J7" s="24" t="n">
        <f aca="false">J4-N(Players!J277)</f>
        <v>52.8794887943925</v>
      </c>
      <c r="K7" s="24" t="n">
        <f aca="false">K4-N(Players!K277)</f>
        <v>55.7659887943925</v>
      </c>
      <c r="L7" s="24" t="n">
        <f aca="false">L4-N(Players!L277)</f>
        <v>56.9159887943925</v>
      </c>
      <c r="M7" s="24" t="n">
        <f aca="false">M4-N(Players!M277)</f>
        <v>56.9159887943925</v>
      </c>
    </row>
    <row r="8" customFormat="false" ht="17.15" hidden="false" customHeight="false" outlineLevel="0" collapsed="false">
      <c r="A8" s="5" t="s">
        <v>1598</v>
      </c>
      <c r="B8" s="0" t="s">
        <v>1599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24.5858481277259</v>
      </c>
      <c r="H8" s="24" t="n">
        <f aca="false">H5-N(Players!H279)</f>
        <v>32.8479887943925</v>
      </c>
      <c r="I8" s="24" t="n">
        <f aca="false">I5-N(Players!I279)</f>
        <v>49.1629887943925</v>
      </c>
      <c r="J8" s="24" t="n">
        <f aca="false">J5-N(Players!J279)</f>
        <v>52.8794887943925</v>
      </c>
      <c r="K8" s="24" t="n">
        <f aca="false">K5-N(Players!K279)</f>
        <v>55.7659887943925</v>
      </c>
      <c r="L8" s="24" t="n">
        <f aca="false">L5-N(Players!L279)</f>
        <v>56.9159887943925</v>
      </c>
      <c r="M8" s="24" t="n">
        <f aca="false">M5-N(Players!M279)</f>
        <v>56.9159887943925</v>
      </c>
    </row>
    <row r="9" customFormat="false" ht="17.15" hidden="false" customHeight="false" outlineLevel="0" collapsed="false">
      <c r="A9" s="5" t="s">
        <v>1600</v>
      </c>
      <c r="B9" s="0" t="s">
        <v>1601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27.8858481277259</v>
      </c>
      <c r="H9" s="24" t="n">
        <f aca="false">H6-N(Players!H280)</f>
        <v>32.8479887943925</v>
      </c>
      <c r="I9" s="24" t="n">
        <f aca="false">I6-N(Players!I280)</f>
        <v>49.1629887943925</v>
      </c>
      <c r="J9" s="24" t="n">
        <f aca="false">J6-N(Players!J280)</f>
        <v>52.8794887943925</v>
      </c>
      <c r="K9" s="24" t="n">
        <f aca="false">K6-N(Players!K280)</f>
        <v>55.7659887943925</v>
      </c>
      <c r="L9" s="24" t="n">
        <f aca="false">L6-N(Players!L280)</f>
        <v>56.9159887943925</v>
      </c>
      <c r="M9" s="24" t="n">
        <f aca="false">M6-N(Players!M280)</f>
        <v>56.9159887943925</v>
      </c>
    </row>
    <row r="10" customFormat="false" ht="17.15" hidden="false" customHeight="false" outlineLevel="0" collapsed="false">
      <c r="A10" s="5" t="s">
        <v>1602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1603</v>
      </c>
      <c r="B12" s="20" t="s">
        <v>476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1604</v>
      </c>
      <c r="D13" s="19" t="str">
        <f aca="false">IF(In!H159="","",In!H159)</f>
        <v/>
      </c>
      <c r="E13" s="19" t="str">
        <f aca="false">IF(In!I159="","",In!I159)</f>
        <v/>
      </c>
      <c r="F13" s="35" t="n">
        <f aca="false">IF(In!J159="","",In!J159)</f>
        <v>30</v>
      </c>
      <c r="G13" s="19" t="str">
        <f aca="false">IF(In!K159="","",In!K159)</f>
        <v/>
      </c>
      <c r="H13" s="19" t="str">
        <f aca="false">IF(In!L159="","",In!L159)</f>
        <v/>
      </c>
      <c r="I13" s="19" t="str">
        <f aca="false">IF(In!M159="","",In!M159)</f>
        <v/>
      </c>
      <c r="J13" s="19" t="str">
        <f aca="false">IF(In!N159="","",In!N159)</f>
        <v/>
      </c>
      <c r="K13" s="19" t="str">
        <f aca="false">IF(In!O159="","",In!O159)</f>
        <v/>
      </c>
      <c r="L13" s="19" t="str">
        <f aca="false">IF(In!P159="","",In!P159)</f>
        <v/>
      </c>
      <c r="M13" s="19" t="str">
        <f aca="false">IF(In!Q159="","",In!Q159)</f>
        <v/>
      </c>
    </row>
    <row r="14" customFormat="false" ht="17.15" hidden="false" customHeight="false" outlineLevel="0" collapsed="false">
      <c r="A14" s="5" t="s">
        <v>1605</v>
      </c>
      <c r="D14" s="24" t="str">
        <f aca="false">IF(D13="","",IF(In!$C$159="設施",D13/Players!D$13,D13))</f>
        <v/>
      </c>
      <c r="E14" s="24" t="str">
        <f aca="false">IF(E13="","",IF(In!$C$159="設施",E13/Players!E$13,E13))</f>
        <v/>
      </c>
      <c r="F14" s="24" t="n">
        <f aca="false">IF(F13="","",IF(In!$C$159="設施",F13/Players!F$13,F13))</f>
        <v>25</v>
      </c>
      <c r="G14" s="24" t="str">
        <f aca="false">IF(G13="","",IF(In!$C$159="設施",G13/Players!G$13,G13))</f>
        <v/>
      </c>
      <c r="H14" s="24" t="str">
        <f aca="false">IF(H13="","",IF(In!$C$159="設施",H13/Players!H$13,H13))</f>
        <v/>
      </c>
      <c r="I14" s="24" t="str">
        <f aca="false">IF(I13="","",IF(In!$C$159="設施",I13/Players!I$13,I13))</f>
        <v/>
      </c>
      <c r="J14" s="24" t="str">
        <f aca="false">IF(J13="","",IF(In!$C$159="設施",J13/Players!J$13,J13))</f>
        <v/>
      </c>
      <c r="K14" s="24" t="str">
        <f aca="false">IF(K13="","",IF(In!$C$159="設施",K13/Players!K$13,K13))</f>
        <v/>
      </c>
      <c r="L14" s="24" t="str">
        <f aca="false">IF(L13="","",IF(In!$C$159="設施",L13/Players!L$13,L13))</f>
        <v/>
      </c>
      <c r="M14" s="24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1606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1607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1608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1609</v>
      </c>
    </row>
    <row r="18" customFormat="false" ht="17.15" hidden="false" customHeight="false" outlineLevel="0" collapsed="false">
      <c r="A18" s="5" t="s">
        <v>1610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1611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1612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1609</v>
      </c>
    </row>
    <row r="22" customFormat="false" ht="17.15" hidden="false" customHeight="false" outlineLevel="0" collapsed="false">
      <c r="A22" s="8" t="s">
        <v>1613</v>
      </c>
      <c r="B22" s="20" t="s">
        <v>479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1604</v>
      </c>
      <c r="D23" s="19" t="str">
        <f aca="false">IF(In!H160="","",In!H160)</f>
        <v/>
      </c>
      <c r="E23" s="19" t="str">
        <f aca="false">IF(In!I160="","",In!I160)</f>
        <v/>
      </c>
      <c r="F23" s="35" t="n">
        <f aca="false">IF(In!J160="","",In!J160)</f>
        <v>31</v>
      </c>
      <c r="G23" s="19" t="str">
        <f aca="false">IF(In!K160="","",In!K160)</f>
        <v/>
      </c>
      <c r="H23" s="19" t="str">
        <f aca="false">IF(In!L160="","",In!L160)</f>
        <v/>
      </c>
      <c r="I23" s="19" t="str">
        <f aca="false">IF(In!M160="","",In!M160)</f>
        <v/>
      </c>
      <c r="J23" s="19" t="str">
        <f aca="false">IF(In!N160="","",In!N160)</f>
        <v/>
      </c>
      <c r="K23" s="19" t="str">
        <f aca="false">IF(In!O160="","",In!O160)</f>
        <v/>
      </c>
      <c r="L23" s="19" t="str">
        <f aca="false">IF(In!P160="","",In!P160)</f>
        <v/>
      </c>
      <c r="M23" s="19" t="str">
        <f aca="false">IF(In!Q160="","",In!Q160)</f>
        <v/>
      </c>
    </row>
    <row r="24" customFormat="false" ht="17.15" hidden="false" customHeight="false" outlineLevel="0" collapsed="false">
      <c r="A24" s="5" t="s">
        <v>1605</v>
      </c>
      <c r="D24" s="24" t="str">
        <f aca="false">IF(D23="","",IF(In!$C$160="設施",D23/Players!D$13,D23))</f>
        <v/>
      </c>
      <c r="E24" s="24" t="str">
        <f aca="false">IF(E23="","",IF(In!$C$160="設施",E23/Players!E$13,E23))</f>
        <v/>
      </c>
      <c r="F24" s="24" t="n">
        <f aca="false">IF(F23="","",IF(In!$C$160="設施",F23/Players!F$13,F23))</f>
        <v>25.8333333333333</v>
      </c>
      <c r="G24" s="24" t="str">
        <f aca="false">IF(G23="","",IF(In!$C$160="設施",G23/Players!G$13,G23))</f>
        <v/>
      </c>
      <c r="H24" s="24" t="str">
        <f aca="false">IF(H23="","",IF(In!$C$160="設施",H23/Players!H$13,H23))</f>
        <v/>
      </c>
      <c r="I24" s="24" t="str">
        <f aca="false">IF(I23="","",IF(In!$C$160="設施",I23/Players!I$13,I23))</f>
        <v/>
      </c>
      <c r="J24" s="24" t="str">
        <f aca="false">IF(J23="","",IF(In!$C$160="設施",J23/Players!J$13,J23))</f>
        <v/>
      </c>
      <c r="K24" s="24" t="str">
        <f aca="false">IF(K23="","",IF(In!$C$160="設施",K23/Players!K$13,K23))</f>
        <v/>
      </c>
      <c r="L24" s="24" t="str">
        <f aca="false">IF(L23="","",IF(In!$C$160="設施",L23/Players!L$13,L23))</f>
        <v/>
      </c>
      <c r="M24" s="24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1606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0.980792645161291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1607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1608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1609</v>
      </c>
    </row>
    <row r="28" customFormat="false" ht="17.15" hidden="false" customHeight="false" outlineLevel="0" collapsed="false">
      <c r="A28" s="5" t="s">
        <v>1610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1611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1612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1614</v>
      </c>
    </row>
    <row r="2" customFormat="false" ht="17.15" hidden="false" customHeight="false" outlineLevel="0" collapsed="false">
      <c r="A2" s="0" t="s">
        <v>1615</v>
      </c>
    </row>
    <row r="3" customFormat="false" ht="15" hidden="false" customHeight="false" outlineLevel="0" collapsed="false">
      <c r="A3" s="6" t="s">
        <v>16</v>
      </c>
      <c r="B3" s="6" t="s">
        <v>1364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1616</v>
      </c>
    </row>
    <row r="4" customFormat="false" ht="17.15" hidden="false" customHeight="false" outlineLevel="0" collapsed="false">
      <c r="A4" s="21" t="s">
        <v>1617</v>
      </c>
    </row>
    <row r="5" customFormat="false" ht="17.15" hidden="false" customHeight="false" outlineLevel="0" collapsed="false">
      <c r="A5" s="0" t="s">
        <v>1618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1619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1620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1621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1622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996</v>
      </c>
      <c r="B11" s="20" t="s">
        <v>507</v>
      </c>
      <c r="N11" s="5" t="s">
        <v>1623</v>
      </c>
    </row>
    <row r="12" customFormat="false" ht="17.15" hidden="false" customHeight="false" outlineLevel="0" collapsed="false">
      <c r="A12" s="5" t="s">
        <v>1624</v>
      </c>
      <c r="C12" s="0" t="s">
        <v>391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34.3220893294984</v>
      </c>
      <c r="I12" s="32" t="n">
        <f aca="false">Players!I36*((1-Players!I38)*I$8+Players!I38*TK_NonNV_Hold_Maia*TK_CapexIT_VR200)</f>
        <v>53.799899547728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1625</v>
      </c>
      <c r="C13" s="0" t="s">
        <v>391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11.3774956910595</v>
      </c>
      <c r="I13" s="32" t="n">
        <f aca="false">Players!I36*((1-Players!I38)*I$9+Players!I38*TK_NonNV_Hold_Maia*TK_CapexFacility_VR200)</f>
        <v>16.7279333431793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1626</v>
      </c>
      <c r="C14" s="0" t="s">
        <v>391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9.9910387954259</v>
      </c>
      <c r="G14" s="32" t="n">
        <f aca="false">G13*$D$5+H13*$D$6+I13*$D$7</f>
        <v>14.0527145171194</v>
      </c>
      <c r="H14" s="32" t="n">
        <f aca="false">H13*$D$5+I13*$D$6+J13*$D$7</f>
        <v>8.36396667158966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1627</v>
      </c>
      <c r="C15" s="0" t="s">
        <v>391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61.8571423718355</v>
      </c>
      <c r="G15" s="32" t="n">
        <f aca="false">G12+G14</f>
        <v>37.1283205249235</v>
      </c>
      <c r="H15" s="32" t="n">
        <f aca="false">H12+H14</f>
        <v>42.686056001088</v>
      </c>
      <c r="I15" s="32" t="n">
        <f aca="false">I12+I14</f>
        <v>53.799899547728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1628</v>
      </c>
      <c r="C16" s="0" t="s">
        <v>391</v>
      </c>
      <c r="D16" s="32" t="n">
        <f aca="false">D15*fye_msft/12+N(In!H140)</f>
        <v>5.9579046744523</v>
      </c>
      <c r="E16" s="32" t="n">
        <f aca="false">E15*fye_msft/12+D15*(12-fye_msft)/12+N(In!I140)</f>
        <v>14.0669548238527</v>
      </c>
      <c r="F16" s="32" t="n">
        <f aca="false">F15*fye_msft/12+E15*(12-fye_msft)/12+N(In!J140)</f>
        <v>39.0376213353181</v>
      </c>
      <c r="G16" s="32" t="n">
        <f aca="false">G15*fye_msft/12+F15*(12-fye_msft)/12+N(In!K140)</f>
        <v>49.4927314483795</v>
      </c>
      <c r="H16" s="32" t="n">
        <f aca="false">H15*fye_msft/12+G15*(12-fye_msft)/12+N(In!L140)</f>
        <v>39.9071882630058</v>
      </c>
      <c r="I16" s="32" t="n">
        <f aca="false">I15*fye_msft/12+H15*(12-fye_msft)/12+N(In!M140)</f>
        <v>48.242977774408</v>
      </c>
      <c r="J16" s="32" t="n">
        <f aca="false">J15*fye_msft/12+I15*(12-fye_msft)/12+N(In!N140)</f>
        <v>26.899949773864</v>
      </c>
      <c r="K16" s="32" t="n">
        <f aca="false">K15*fye_msft/12+J15*(12-fye_msft)/12+N(In!O140)</f>
        <v>0</v>
      </c>
      <c r="L16" s="32" t="n">
        <f aca="false">L15*fye_msft/12+K15*(12-fye_msft)/12+N(In!P140)</f>
        <v>0</v>
      </c>
      <c r="M16" s="32" t="n">
        <f aca="false">M15*fye_msft/12+L15*(12-fye_msft)/12+N(In!Q140)</f>
        <v>0</v>
      </c>
    </row>
    <row r="17" customFormat="false" ht="17.15" hidden="false" customHeight="false" outlineLevel="0" collapsed="false">
      <c r="A17" s="5" t="s">
        <v>1629</v>
      </c>
      <c r="C17" s="0" t="s">
        <v>391</v>
      </c>
      <c r="D17" s="19" t="str">
        <f aca="false">IF(In!H124="","",In!H124)</f>
        <v/>
      </c>
      <c r="E17" s="30" t="n">
        <f aca="false">IF(In!I124="","",In!I124)</f>
        <v>44.477</v>
      </c>
      <c r="F17" s="30" t="n">
        <f aca="false">IF(In!J124="","",In!J124)</f>
        <v>64.551</v>
      </c>
      <c r="G17" s="30" t="n">
        <f aca="false">IF(In!K124="","",In!K124)</f>
        <v>115.948</v>
      </c>
      <c r="H17" s="30" t="n">
        <f aca="false">IF(In!L124="","",In!L124)</f>
        <v>192.827</v>
      </c>
      <c r="I17" s="30" t="n">
        <f aca="false">IF(In!M124="","",In!M124)</f>
        <v>216.787</v>
      </c>
      <c r="J17" s="30" t="n">
        <f aca="false">IF(In!N124="","",In!N124)</f>
        <v>251.173</v>
      </c>
      <c r="K17" s="19" t="str">
        <f aca="false">IF(In!O124="","",In!O124)</f>
        <v/>
      </c>
      <c r="L17" s="19" t="str">
        <f aca="false">IF(In!P124="","",In!P124)</f>
        <v/>
      </c>
      <c r="M17" s="19" t="str">
        <f aca="false">IF(In!Q124="","",In!Q124)</f>
        <v/>
      </c>
    </row>
    <row r="18" customFormat="false" ht="17.15" hidden="false" customHeight="false" outlineLevel="0" collapsed="false">
      <c r="A18" s="5" t="s">
        <v>1630</v>
      </c>
      <c r="C18" s="0" t="s">
        <v>37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0.604756259938934</v>
      </c>
      <c r="G18" s="29" t="n">
        <f aca="false">IF(OR(G17="",N(G17)=0),"",G16/G17)</f>
        <v>0.426852825821743</v>
      </c>
      <c r="H18" s="29" t="n">
        <f aca="false">IF(OR(H17="",N(H17)=0),"",H16/H17)</f>
        <v>0.206958508212054</v>
      </c>
      <c r="I18" s="29" t="n">
        <f aca="false">IF(OR(I17="",N(I17)=0),"",I16/I17)</f>
        <v>0.222536304180638</v>
      </c>
      <c r="J18" s="29" t="n">
        <f aca="false">IF(OR(J17="",N(J17)=0),"",J16/J17)</f>
        <v>0.107097298570563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1631</v>
      </c>
      <c r="C19" s="0" t="s">
        <v>36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1032</v>
      </c>
      <c r="B21" s="20" t="s">
        <v>512</v>
      </c>
      <c r="N21" s="20" t="s">
        <v>1632</v>
      </c>
    </row>
    <row r="22" customFormat="false" ht="17.15" hidden="false" customHeight="false" outlineLevel="0" collapsed="false">
      <c r="A22" s="5" t="s">
        <v>1624</v>
      </c>
      <c r="C22" s="0" t="s">
        <v>391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3.66023028804787</v>
      </c>
      <c r="I22" s="32" t="n">
        <f aca="false">Players!I55*((1-Players!I57)*I$8+Players!I57*TK_NonNV_Hold_TPU*TK_CapexIT_VR200)</f>
        <v>0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1625</v>
      </c>
      <c r="C23" s="0" t="s">
        <v>391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1.225980875</v>
      </c>
      <c r="I23" s="32" t="n">
        <f aca="false">Players!I55*((1-Players!I57)*I$9+Players!I57*TK_NonNV_Hold_TPU*TK_CapexFacility_VR200)</f>
        <v>0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1626</v>
      </c>
      <c r="C24" s="0" t="s">
        <v>391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6.95218998991433</v>
      </c>
      <c r="G24" s="32" t="n">
        <f aca="false">G23*$D$5+H23*$D$6+I23*$D$7</f>
        <v>0.6129904375</v>
      </c>
      <c r="H24" s="32" t="n">
        <f aca="false">H23*$D$5+I23*$D$6+J23*$D$7</f>
        <v>0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1627</v>
      </c>
      <c r="C25" s="0" t="s">
        <v>391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70.1708307554177</v>
      </c>
      <c r="G25" s="32" t="n">
        <f aca="false">G22+G24</f>
        <v>36.8920716297887</v>
      </c>
      <c r="H25" s="32" t="n">
        <f aca="false">H22+H24</f>
        <v>3.66023028804787</v>
      </c>
      <c r="I25" s="32" t="n">
        <f aca="false">I22+I24</f>
        <v>0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1628</v>
      </c>
      <c r="C26" s="0" t="s">
        <v>391</v>
      </c>
      <c r="D26" s="32" t="n">
        <f aca="false">D25*fye_googl/12+N(In!H141)</f>
        <v>18.3378376779798</v>
      </c>
      <c r="E26" s="32" t="n">
        <f aca="false">E25*fye_googl/12+D25*(12-fye_googl)/12+N(In!I141)</f>
        <v>53.5376888462511</v>
      </c>
      <c r="F26" s="32" t="n">
        <f aca="false">F25*fye_googl/12+E25*(12-fye_googl)/12+N(In!J141)</f>
        <v>70.1708307554177</v>
      </c>
      <c r="G26" s="32" t="n">
        <f aca="false">G25*fye_googl/12+F25*(12-fye_googl)/12+N(In!K141)</f>
        <v>36.8920716297887</v>
      </c>
      <c r="H26" s="32" t="n">
        <f aca="false">H25*fye_googl/12+G25*(12-fye_googl)/12+N(In!L141)</f>
        <v>3.66023028804787</v>
      </c>
      <c r="I26" s="32" t="n">
        <f aca="false">I25*fye_googl/12+H25*(12-fye_googl)/12+N(In!M141)</f>
        <v>0</v>
      </c>
      <c r="J26" s="32" t="n">
        <f aca="false">J25*fye_googl/12+I25*(12-fye_googl)/12+N(In!N141)</f>
        <v>0</v>
      </c>
      <c r="K26" s="32" t="n">
        <f aca="false">K25*fye_googl/12+J25*(12-fye_googl)/12+N(In!O141)</f>
        <v>0</v>
      </c>
      <c r="L26" s="32" t="n">
        <f aca="false">L25*fye_googl/12+K25*(12-fye_googl)/12+N(In!P141)</f>
        <v>0</v>
      </c>
      <c r="M26" s="32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1629</v>
      </c>
      <c r="C27" s="0" t="s">
        <v>391</v>
      </c>
      <c r="D27" s="19" t="str">
        <f aca="false">IF(In!H125="","",In!H125)</f>
        <v/>
      </c>
      <c r="E27" s="19" t="str">
        <f aca="false">IF(In!I125="","",In!I125)</f>
        <v/>
      </c>
      <c r="F27" s="30" t="n">
        <f aca="false">IF(In!J125="","",In!J125)</f>
        <v>91.447</v>
      </c>
      <c r="G27" s="30" t="n">
        <f aca="false">IF(In!K125="","",In!K125)</f>
        <v>200</v>
      </c>
      <c r="H27" s="30" t="n">
        <f aca="false">IF(In!L125="","",In!L125)</f>
        <v>300.979</v>
      </c>
      <c r="I27" s="30" t="n">
        <f aca="false">IF(In!M125="","",In!M125)</f>
        <v>339.451</v>
      </c>
      <c r="J27" s="19" t="str">
        <f aca="false">IF(In!N125="","",In!N125)</f>
        <v/>
      </c>
      <c r="K27" s="19" t="str">
        <f aca="false">IF(In!O125="","",In!O125)</f>
        <v/>
      </c>
      <c r="L27" s="19" t="str">
        <f aca="false">IF(In!P125="","",In!P125)</f>
        <v/>
      </c>
      <c r="M27" s="19" t="str">
        <f aca="false">IF(In!Q125="","",In!Q125)</f>
        <v/>
      </c>
    </row>
    <row r="28" customFormat="false" ht="17.15" hidden="false" customHeight="false" outlineLevel="0" collapsed="false">
      <c r="A28" s="5" t="s">
        <v>1630</v>
      </c>
      <c r="C28" s="0" t="s">
        <v>37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0.767338794661582</v>
      </c>
      <c r="G28" s="29" t="n">
        <f aca="false">IF(OR(G27="",N(G27)=0),"",G26/G27)</f>
        <v>0.184460358148943</v>
      </c>
      <c r="H28" s="29" t="n">
        <f aca="false">IF(OR(H27="",N(H27)=0),"",H26/H27)</f>
        <v>0.012161081962688</v>
      </c>
      <c r="I28" s="29" t="n">
        <f aca="false">IF(OR(I27="",N(I27)=0),"",I26/I27)</f>
        <v>0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1631</v>
      </c>
      <c r="C29" s="0" t="s">
        <v>36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1051</v>
      </c>
      <c r="B31" s="20" t="s">
        <v>520</v>
      </c>
      <c r="N31" s="5" t="s">
        <v>1633</v>
      </c>
    </row>
    <row r="32" customFormat="false" ht="17.15" hidden="false" customHeight="false" outlineLevel="0" collapsed="false">
      <c r="A32" s="5" t="s">
        <v>1624</v>
      </c>
      <c r="C32" s="0" t="s">
        <v>391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1.14856869223016</v>
      </c>
      <c r="I32" s="32" t="n">
        <f aca="false">Players!I74*((1-Players!I76)*I$8+Players!I76*TK_NonNV_Hold_Trn*TK_CapexIT_VR200)</f>
        <v>41.8778872445254</v>
      </c>
      <c r="J32" s="32" t="n">
        <f aca="false">Players!J74*((1-Players!J76)*J$8+Players!J76*TK_NonNV_Hold_Trn*TK_CapexIT_VR200)</f>
        <v>1.79808103127464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1625</v>
      </c>
      <c r="C33" s="0" t="s">
        <v>391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0.383732488999999</v>
      </c>
      <c r="I33" s="32" t="n">
        <f aca="false">Players!I74*((1-Players!I76)*I$9+Players!I76*TK_NonNV_Hold_Trn*TK_CapexFacility_VR200)</f>
        <v>13.514871076</v>
      </c>
      <c r="J33" s="32" t="n">
        <f aca="false">Players!J74*((1-Players!J76)*J$9+Players!J76*TK_NonNV_Hold_Trn*TK_CapexFacility_VR200)</f>
        <v>0.580278398000003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1626</v>
      </c>
      <c r="C34" s="0" t="s">
        <v>391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2.658049436</v>
      </c>
      <c r="G34" s="32" t="n">
        <f aca="false">G33*$D$5+H33*$D$6+I33*$D$7</f>
        <v>6.9493017825</v>
      </c>
      <c r="H34" s="32" t="n">
        <f aca="false">H33*$D$5+I33*$D$6+J33*$D$7</f>
        <v>7.047574737</v>
      </c>
      <c r="I34" s="32" t="n">
        <f aca="false">I33*$D$5+J33*$D$6+K33*$D$7</f>
        <v>0.290139199000001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1627</v>
      </c>
      <c r="C35" s="0" t="s">
        <v>391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35.9341611754968</v>
      </c>
      <c r="G35" s="32" t="n">
        <f aca="false">G32+G34</f>
        <v>20.8558687823304</v>
      </c>
      <c r="H35" s="32" t="n">
        <f aca="false">H32+H34</f>
        <v>8.19614342923016</v>
      </c>
      <c r="I35" s="32" t="n">
        <f aca="false">I32+I34</f>
        <v>42.1680264435254</v>
      </c>
      <c r="J35" s="32" t="n">
        <f aca="false">J32+J34</f>
        <v>1.79808103127464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1628</v>
      </c>
      <c r="C36" s="0" t="s">
        <v>391</v>
      </c>
      <c r="D36" s="32" t="n">
        <f aca="false">D35*fye_amzn/12+N(In!H142)</f>
        <v>6.50340460230194</v>
      </c>
      <c r="E36" s="32" t="n">
        <f aca="false">E35*fye_amzn/12+D35*(12-fye_amzn)/12+N(In!I142)</f>
        <v>8.96958779380194</v>
      </c>
      <c r="F36" s="32" t="n">
        <f aca="false">F35*fye_amzn/12+E35*(12-fye_amzn)/12+N(In!J142)</f>
        <v>35.9341611754968</v>
      </c>
      <c r="G36" s="32" t="n">
        <f aca="false">G35*fye_amzn/12+F35*(12-fye_amzn)/12+N(In!K142)</f>
        <v>20.8558687823304</v>
      </c>
      <c r="H36" s="32" t="n">
        <f aca="false">H35*fye_amzn/12+G35*(12-fye_amzn)/12+N(In!L142)</f>
        <v>8.19614342923016</v>
      </c>
      <c r="I36" s="32" t="n">
        <f aca="false">I35*fye_amzn/12+H35*(12-fye_amzn)/12+N(In!M142)</f>
        <v>42.1680264435254</v>
      </c>
      <c r="J36" s="32" t="n">
        <f aca="false">J35*fye_amzn/12+I35*(12-fye_amzn)/12+N(In!N142)</f>
        <v>1.79808103127464</v>
      </c>
      <c r="K36" s="32" t="n">
        <f aca="false">K35*fye_amzn/12+J35*(12-fye_amzn)/12+N(In!O142)</f>
        <v>0</v>
      </c>
      <c r="L36" s="32" t="n">
        <f aca="false">L35*fye_amzn/12+K35*(12-fye_amzn)/12+N(In!P142)</f>
        <v>0</v>
      </c>
      <c r="M36" s="32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1629</v>
      </c>
      <c r="C37" s="0" t="s">
        <v>391</v>
      </c>
      <c r="D37" s="19" t="str">
        <f aca="false">IF(In!H126="","",In!H126)</f>
        <v/>
      </c>
      <c r="E37" s="19" t="str">
        <f aca="false">IF(In!I126="","",In!I126)</f>
        <v/>
      </c>
      <c r="F37" s="30" t="n">
        <f aca="false">IF(In!J126="","",In!J126)</f>
        <v>128.32</v>
      </c>
      <c r="G37" s="30" t="n">
        <f aca="false">IF(In!K126="","",In!K126)</f>
        <v>220</v>
      </c>
      <c r="H37" s="30" t="n">
        <f aca="false">IF(In!L126="","",In!L126)</f>
        <v>275.063</v>
      </c>
      <c r="I37" s="30" t="n">
        <f aca="false">IF(In!M126="","",In!M126)</f>
        <v>292.927</v>
      </c>
      <c r="J37" s="19" t="str">
        <f aca="false">IF(In!N126="","",In!N126)</f>
        <v/>
      </c>
      <c r="K37" s="19" t="str">
        <f aca="false">IF(In!O126="","",In!O126)</f>
        <v/>
      </c>
      <c r="L37" s="19" t="str">
        <f aca="false">IF(In!P126="","",In!P126)</f>
        <v/>
      </c>
      <c r="M37" s="19" t="str">
        <f aca="false">IF(In!Q126="","",In!Q126)</f>
        <v/>
      </c>
    </row>
    <row r="38" customFormat="false" ht="17.15" hidden="false" customHeight="false" outlineLevel="0" collapsed="false">
      <c r="A38" s="5" t="s">
        <v>1630</v>
      </c>
      <c r="C38" s="0" t="s">
        <v>37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0.280035545320268</v>
      </c>
      <c r="G38" s="29" t="n">
        <f aca="false">IF(OR(G37="",N(G37)=0),"",G36/G37)</f>
        <v>0.0947994035560473</v>
      </c>
      <c r="H38" s="29" t="n">
        <f aca="false">IF(OR(H37="",N(H37)=0),"",H36/H37)</f>
        <v>0.0297973316266825</v>
      </c>
      <c r="I38" s="29" t="n">
        <f aca="false">IF(OR(I37="",N(I37)=0),"",I36/I37)</f>
        <v>0.143954044671626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1631</v>
      </c>
      <c r="C39" s="0" t="s">
        <v>36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1070</v>
      </c>
      <c r="B41" s="20" t="s">
        <v>527</v>
      </c>
      <c r="N41" s="20" t="s">
        <v>1634</v>
      </c>
    </row>
    <row r="42" customFormat="false" ht="17.15" hidden="false" customHeight="false" outlineLevel="0" collapsed="false">
      <c r="A42" s="5" t="s">
        <v>1624</v>
      </c>
      <c r="C42" s="0" t="s">
        <v>391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7.02618718546409</v>
      </c>
      <c r="I42" s="32" t="n">
        <f aca="false">Players!I93*((1-Players!I95)*I$8+Players!I95*TK_NonNV_Hold_AMD*TK_CapexIT_VR200)</f>
        <v>116.187421349871</v>
      </c>
      <c r="J42" s="32" t="n">
        <f aca="false">Players!J93*((1-Players!J95)*J$8+Players!J95*TK_NonNV_Hold_AMD*TK_CapexIT_VR200)</f>
        <v>37.5374456656022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1625</v>
      </c>
      <c r="C43" s="0" t="s">
        <v>391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2.33298622288945</v>
      </c>
      <c r="I43" s="32" t="n">
        <f aca="false">Players!I93*((1-Players!I95)*I$9+Players!I95*TK_NonNV_Hold_AMD*TK_CapexFacility_VR200)</f>
        <v>36.4038606309598</v>
      </c>
      <c r="J43" s="32" t="n">
        <f aca="false">Players!J93*((1-Players!J95)*J$9+Players!J95*TK_NonNV_Hold_AMD*TK_CapexFacility_VR200)</f>
        <v>11.7638209939409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1626</v>
      </c>
      <c r="C44" s="0" t="s">
        <v>391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5.2959343488048</v>
      </c>
      <c r="G44" s="32" t="n">
        <f aca="false">G43*$D$5+H43*$D$6+I43*$D$7</f>
        <v>19.3684234269246</v>
      </c>
      <c r="H44" s="32" t="n">
        <f aca="false">H43*$D$5+I43*$D$6+J43*$D$7</f>
        <v>24.0838408124504</v>
      </c>
      <c r="I44" s="32" t="n">
        <f aca="false">I43*$D$5+J43*$D$6+K43*$D$7</f>
        <v>5.88191049697047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1627</v>
      </c>
      <c r="C45" s="0" t="s">
        <v>391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46.6544539294415</v>
      </c>
      <c r="G45" s="32" t="n">
        <f aca="false">G42+G44</f>
        <v>41.7202982836082</v>
      </c>
      <c r="H45" s="32" t="n">
        <f aca="false">H42+H44</f>
        <v>31.1100279979145</v>
      </c>
      <c r="I45" s="32" t="n">
        <f aca="false">I42+I44</f>
        <v>122.069331846841</v>
      </c>
      <c r="J45" s="32" t="n">
        <f aca="false">J42+J44</f>
        <v>37.5374456656022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1628</v>
      </c>
      <c r="C46" s="0" t="s">
        <v>391</v>
      </c>
      <c r="D46" s="32" t="n">
        <f aca="false">D45*fye_meta/12+N(In!H143)</f>
        <v>9.21256348947853</v>
      </c>
      <c r="E46" s="32" t="n">
        <f aca="false">E45*fye_meta/12+D45*(12-fye_meta)/12+N(In!I143)</f>
        <v>13.3420047268386</v>
      </c>
      <c r="F46" s="32" t="n">
        <f aca="false">F45*fye_meta/12+E45*(12-fye_meta)/12+N(In!J143)</f>
        <v>46.6544539294415</v>
      </c>
      <c r="G46" s="32" t="n">
        <f aca="false">G45*fye_meta/12+F45*(12-fye_meta)/12+N(In!K143)</f>
        <v>41.7202982836082</v>
      </c>
      <c r="H46" s="32" t="n">
        <f aca="false">H45*fye_meta/12+G45*(12-fye_meta)/12+N(In!L143)</f>
        <v>31.1100279979145</v>
      </c>
      <c r="I46" s="32" t="n">
        <f aca="false">I45*fye_meta/12+H45*(12-fye_meta)/12+N(In!M143)</f>
        <v>122.069331846841</v>
      </c>
      <c r="J46" s="32" t="n">
        <f aca="false">J45*fye_meta/12+I45*(12-fye_meta)/12+N(In!N143)</f>
        <v>37.5374456656022</v>
      </c>
      <c r="K46" s="32" t="n">
        <f aca="false">K45*fye_meta/12+J45*(12-fye_meta)/12+N(In!O143)</f>
        <v>0</v>
      </c>
      <c r="L46" s="32" t="n">
        <f aca="false">L45*fye_meta/12+K45*(12-fye_meta)/12+N(In!P143)</f>
        <v>0</v>
      </c>
      <c r="M46" s="32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1629</v>
      </c>
      <c r="C47" s="0" t="s">
        <v>391</v>
      </c>
      <c r="D47" s="19" t="str">
        <f aca="false">IF(In!H127="","",In!H127)</f>
        <v/>
      </c>
      <c r="E47" s="19" t="str">
        <f aca="false">IF(In!I127="","",In!I127)</f>
        <v/>
      </c>
      <c r="F47" s="19" t="str">
        <f aca="false">IF(In!J127="","",In!J127)</f>
        <v/>
      </c>
      <c r="G47" s="30" t="n">
        <f aca="false">IF(In!K127="","",In!K127)</f>
        <v>140</v>
      </c>
      <c r="H47" s="19" t="str">
        <f aca="false">IF(In!L127="","",In!L127)</f>
        <v/>
      </c>
      <c r="I47" s="19" t="str">
        <f aca="false">IF(In!M127="","",In!M127)</f>
        <v/>
      </c>
      <c r="J47" s="19" t="str">
        <f aca="false">IF(In!N127="","",In!N127)</f>
        <v/>
      </c>
      <c r="K47" s="19" t="str">
        <f aca="false">IF(In!O127="","",In!O127)</f>
        <v/>
      </c>
      <c r="L47" s="19" t="str">
        <f aca="false">IF(In!P127="","",In!P127)</f>
        <v/>
      </c>
      <c r="M47" s="19" t="str">
        <f aca="false">IF(In!Q127="","",In!Q127)</f>
        <v/>
      </c>
    </row>
    <row r="48" customFormat="false" ht="17.15" hidden="false" customHeight="false" outlineLevel="0" collapsed="false">
      <c r="A48" s="5" t="s">
        <v>1630</v>
      </c>
      <c r="C48" s="0" t="s">
        <v>37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0.298002130597201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1631</v>
      </c>
      <c r="C49" s="0" t="s">
        <v>36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1089</v>
      </c>
      <c r="B51" s="20" t="s">
        <v>531</v>
      </c>
      <c r="N51" s="20" t="s">
        <v>1635</v>
      </c>
    </row>
    <row r="52" customFormat="false" ht="17.15" hidden="false" customHeight="false" outlineLevel="0" collapsed="false">
      <c r="A52" s="5" t="s">
        <v>1624</v>
      </c>
      <c r="C52" s="0" t="s">
        <v>391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6.09912082071535</v>
      </c>
      <c r="I52" s="32" t="n">
        <f aca="false">Players!I112*((1-Players!I114)*I$8+Players!I114*TK_NonNV_Hold_AMD*TK_CapexIT_VR200)</f>
        <v>216.097221663471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1625</v>
      </c>
      <c r="C53" s="0" t="s">
        <v>391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2.02516165181376</v>
      </c>
      <c r="I53" s="32" t="n">
        <f aca="false">Players!I112*((1-Players!I114)*I$9+Players!I114*TK_NonNV_Hold_AMD*TK_CapexFacility_VR200)</f>
        <v>67.7076145487878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1626</v>
      </c>
      <c r="C54" s="0" t="s">
        <v>391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10.4573337553737</v>
      </c>
      <c r="G54" s="32" t="n">
        <f aca="false">G53*$D$5+H53*$D$6+I53*$D$7</f>
        <v>34.8663881003008</v>
      </c>
      <c r="H54" s="32" t="n">
        <f aca="false">H53*$D$5+I53*$D$6+J53*$D$7</f>
        <v>33.8538072743939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1627</v>
      </c>
      <c r="C55" s="0" t="s">
        <v>391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32.84633607497</v>
      </c>
      <c r="G55" s="32" t="n">
        <f aca="false">G52+G54</f>
        <v>85.9890275561649</v>
      </c>
      <c r="H55" s="32" t="n">
        <f aca="false">H52+H54</f>
        <v>39.9529280951093</v>
      </c>
      <c r="I55" s="32" t="n">
        <f aca="false">I52+I54</f>
        <v>216.097221663471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1628</v>
      </c>
      <c r="C56" s="0" t="s">
        <v>391</v>
      </c>
      <c r="D56" s="32" t="n">
        <f aca="false">D55*fye_orcl/12+N(In!H144)</f>
        <v>2.0779687335965</v>
      </c>
      <c r="E56" s="32" t="n">
        <f aca="false">E55*fye_orcl/12+D55*(12-fye_orcl)/12+N(In!I144)</f>
        <v>8.92243868124275</v>
      </c>
      <c r="F56" s="32" t="n">
        <f aca="false">F55*fye_orcl/12+E55*(12-fye_orcl)/12+N(In!J144)</f>
        <v>22.1045688004616</v>
      </c>
      <c r="G56" s="32" t="n">
        <f aca="false">G55*fye_orcl/12+F55*(12-fye_orcl)/12+N(In!K144)</f>
        <v>54.9891241921346</v>
      </c>
      <c r="H56" s="32" t="n">
        <f aca="false">H55*fye_orcl/12+G55*(12-fye_orcl)/12+N(In!L144)</f>
        <v>66.8073194473917</v>
      </c>
      <c r="I56" s="32" t="n">
        <f aca="false">I55*fye_orcl/12+H55*(12-fye_orcl)/12+N(In!M144)</f>
        <v>113.346383748594</v>
      </c>
      <c r="J56" s="32" t="n">
        <f aca="false">J55*fye_orcl/12+I55*(12-fye_orcl)/12+N(In!N144)</f>
        <v>126.056712637025</v>
      </c>
      <c r="K56" s="32" t="n">
        <f aca="false">K55*fye_orcl/12+J55*(12-fye_orcl)/12+N(In!O144)</f>
        <v>0</v>
      </c>
      <c r="L56" s="32" t="n">
        <f aca="false">L55*fye_orcl/12+K55*(12-fye_orcl)/12+N(In!P144)</f>
        <v>0</v>
      </c>
      <c r="M56" s="32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1629</v>
      </c>
      <c r="C57" s="0" t="s">
        <v>391</v>
      </c>
      <c r="D57" s="19" t="str">
        <f aca="false">IF(In!H128="","",In!H128)</f>
        <v/>
      </c>
      <c r="E57" s="19" t="str">
        <f aca="false">IF(In!I128="","",In!I128)</f>
        <v/>
      </c>
      <c r="F57" s="30" t="n">
        <f aca="false">IF(In!J128="","",In!J128)</f>
        <v>21.215</v>
      </c>
      <c r="G57" s="30" t="n">
        <f aca="false">IF(In!K128="","",In!K128)</f>
        <v>55.663</v>
      </c>
      <c r="H57" s="30" t="n">
        <f aca="false">IF(In!L128="","",In!L128)</f>
        <v>92.5</v>
      </c>
      <c r="I57" s="30" t="n">
        <f aca="false">IF(In!M128="","",In!M128)</f>
        <v>100.962</v>
      </c>
      <c r="J57" s="30" t="n">
        <f aca="false">IF(In!N128="","",In!N128)</f>
        <v>84.848</v>
      </c>
      <c r="K57" s="19" t="str">
        <f aca="false">IF(In!O128="","",In!O128)</f>
        <v/>
      </c>
      <c r="L57" s="19" t="str">
        <f aca="false">IF(In!P128="","",In!P128)</f>
        <v/>
      </c>
      <c r="M57" s="19" t="str">
        <f aca="false">IF(In!Q128="","",In!Q128)</f>
        <v/>
      </c>
    </row>
    <row r="58" customFormat="false" ht="17.15" hidden="false" customHeight="false" outlineLevel="0" collapsed="false">
      <c r="A58" s="5" t="s">
        <v>1630</v>
      </c>
      <c r="C58" s="0" t="s">
        <v>37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1.04193112422633</v>
      </c>
      <c r="G58" s="29" t="n">
        <f aca="false">IF(OR(G57="",N(G57)=0),"",G56/G57)</f>
        <v>0.987893649140984</v>
      </c>
      <c r="H58" s="29" t="n">
        <f aca="false">IF(OR(H57="",N(H57)=0),"",H56/H57)</f>
        <v>0.722241291323154</v>
      </c>
      <c r="I58" s="29" t="n">
        <f aca="false">IF(OR(I57="",N(I57)=0),"",I56/I57)</f>
        <v>1.12266381161817</v>
      </c>
      <c r="J58" s="29" t="n">
        <f aca="false">IF(OR(J57="",N(J57)=0),"",J56/J57)</f>
        <v>1.48567688851859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1631</v>
      </c>
      <c r="C59" s="0" t="s">
        <v>36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1108</v>
      </c>
      <c r="B61" s="20" t="s">
        <v>621</v>
      </c>
      <c r="N61" s="5" t="s">
        <v>1636</v>
      </c>
    </row>
    <row r="62" customFormat="false" ht="17.15" hidden="false" customHeight="false" outlineLevel="0" collapsed="false">
      <c r="A62" s="5" t="s">
        <v>1624</v>
      </c>
      <c r="C62" s="0" t="s">
        <v>391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1625</v>
      </c>
      <c r="C63" s="0" t="s">
        <v>391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1626</v>
      </c>
      <c r="C64" s="0" t="s">
        <v>391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1627</v>
      </c>
      <c r="C65" s="0" t="s">
        <v>391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1628</v>
      </c>
      <c r="C66" s="0" t="s">
        <v>391</v>
      </c>
      <c r="D66" s="32" t="n">
        <f aca="false">D65*fye_crwv/12+N(In!H145)</f>
        <v>4.9413</v>
      </c>
      <c r="E66" s="32" t="n">
        <f aca="false">E65*fye_crwv/12+D65*(12-fye_crwv)/12+N(In!I145)</f>
        <v>17.41711206</v>
      </c>
      <c r="F66" s="32" t="n">
        <f aca="false">F65*fye_crwv/12+E65*(12-fye_crwv)/12+N(In!J145)</f>
        <v>28.81951562</v>
      </c>
      <c r="G66" s="32" t="n">
        <f aca="false">G65*fye_crwv/12+F65*(12-fye_crwv)/12+N(In!K145)</f>
        <v>52.89415716</v>
      </c>
      <c r="H66" s="32" t="n">
        <f aca="false">H65*fye_crwv/12+G65*(12-fye_crwv)/12+N(In!L145)</f>
        <v>78.4284735990641</v>
      </c>
      <c r="I66" s="32" t="n">
        <f aca="false">I65*fye_crwv/12+H65*(12-fye_crwv)/12+N(In!M145)</f>
        <v>83.0290296181072</v>
      </c>
      <c r="J66" s="32" t="n">
        <f aca="false">J65*fye_crwv/12+I65*(12-fye_crwv)/12+N(In!N145)</f>
        <v>73.2889671181072</v>
      </c>
      <c r="K66" s="32" t="n">
        <f aca="false">K65*fye_crwv/12+J65*(12-fye_crwv)/12+N(In!O145)</f>
        <v>63.5489046181072</v>
      </c>
      <c r="L66" s="32" t="n">
        <f aca="false">L65*fye_crwv/12+K65*(12-fye_crwv)/12+N(In!P145)</f>
        <v>0</v>
      </c>
      <c r="M66" s="32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1629</v>
      </c>
      <c r="C67" s="0" t="s">
        <v>391</v>
      </c>
      <c r="D67" s="19" t="str">
        <f aca="false">IF(In!H129="","",In!H129)</f>
        <v/>
      </c>
      <c r="E67" s="19" t="str">
        <f aca="false">IF(In!I129="","",In!I129)</f>
        <v/>
      </c>
      <c r="F67" s="19" t="str">
        <f aca="false">IF(In!J129="","",In!J129)</f>
        <v/>
      </c>
      <c r="G67" s="30" t="n">
        <f aca="false">IF(In!K129="","",In!K129)</f>
        <v>37</v>
      </c>
      <c r="H67" s="30" t="n">
        <f aca="false">IF(In!L129="","",In!L129)</f>
        <v>46.476</v>
      </c>
      <c r="I67" s="30" t="n">
        <f aca="false">IF(In!M129="","",In!M129)</f>
        <v>50.129</v>
      </c>
      <c r="J67" s="19" t="str">
        <f aca="false">IF(In!N129="","",In!N129)</f>
        <v/>
      </c>
      <c r="K67" s="19" t="str">
        <f aca="false">IF(In!O129="","",In!O129)</f>
        <v/>
      </c>
      <c r="L67" s="19" t="str">
        <f aca="false">IF(In!P129="","",In!P129)</f>
        <v/>
      </c>
      <c r="M67" s="19" t="str">
        <f aca="false">IF(In!Q129="","",In!Q129)</f>
        <v/>
      </c>
    </row>
    <row r="68" customFormat="false" ht="17.15" hidden="false" customHeight="false" outlineLevel="0" collapsed="false">
      <c r="A68" s="5" t="s">
        <v>1630</v>
      </c>
      <c r="C68" s="0" t="s">
        <v>37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1631</v>
      </c>
      <c r="C69" s="0" t="s">
        <v>36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1127</v>
      </c>
      <c r="B71" s="20" t="s">
        <v>652</v>
      </c>
      <c r="N71" s="5" t="s">
        <v>1637</v>
      </c>
    </row>
    <row r="72" customFormat="false" ht="17.15" hidden="false" customHeight="false" outlineLevel="0" collapsed="false">
      <c r="A72" s="5" t="s">
        <v>1624</v>
      </c>
      <c r="C72" s="0" t="s">
        <v>391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2.22374258129803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1625</v>
      </c>
      <c r="C73" s="0" t="s">
        <v>391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0.734860000000001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1626</v>
      </c>
      <c r="C74" s="0" t="s">
        <v>391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4.99198</v>
      </c>
      <c r="G74" s="32" t="n">
        <f aca="false">G73*$D$5+H73*$D$6+I73*$D$7</f>
        <v>0.36743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1627</v>
      </c>
      <c r="C75" s="0" t="s">
        <v>391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4.99198</v>
      </c>
      <c r="G75" s="32" t="n">
        <f aca="false">G72+G74</f>
        <v>24.7596734768</v>
      </c>
      <c r="H75" s="32" t="n">
        <f aca="false">H72+H74</f>
        <v>2.22374258129803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1628</v>
      </c>
      <c r="C76" s="0" t="s">
        <v>391</v>
      </c>
      <c r="D76" s="32" t="n">
        <f aca="false">D75*fye_nbis/12+N(In!H146)</f>
        <v>0</v>
      </c>
      <c r="E76" s="32" t="n">
        <f aca="false">E75*fye_nbis/12+D75*(12-fye_nbis)/12+N(In!I146)</f>
        <v>4.62455</v>
      </c>
      <c r="F76" s="32" t="n">
        <f aca="false">F75*fye_nbis/12+E75*(12-fye_nbis)/12+N(In!J146)</f>
        <v>4.99198</v>
      </c>
      <c r="G76" s="32" t="n">
        <f aca="false">G75*fye_nbis/12+F75*(12-fye_nbis)/12+N(In!K146)</f>
        <v>24.7596734768</v>
      </c>
      <c r="H76" s="32" t="n">
        <f aca="false">H75*fye_nbis/12+G75*(12-fye_nbis)/12+N(In!L146)</f>
        <v>2.22374258129803</v>
      </c>
      <c r="I76" s="32" t="n">
        <f aca="false">I75*fye_nbis/12+H75*(12-fye_nbis)/12+N(In!M146)</f>
        <v>0</v>
      </c>
      <c r="J76" s="32" t="n">
        <f aca="false">J75*fye_nbis/12+I75*(12-fye_nbis)/12+N(In!N146)</f>
        <v>0</v>
      </c>
      <c r="K76" s="32" t="n">
        <f aca="false">K75*fye_nbis/12+J75*(12-fye_nbis)/12+N(In!O146)</f>
        <v>0</v>
      </c>
      <c r="L76" s="32" t="n">
        <f aca="false">L75*fye_nbis/12+K75*(12-fye_nbis)/12+N(In!P146)</f>
        <v>0</v>
      </c>
      <c r="M76" s="32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1629</v>
      </c>
      <c r="C77" s="0" t="s">
        <v>391</v>
      </c>
      <c r="D77" s="19" t="str">
        <f aca="false">IF(In!H130="","",In!H130)</f>
        <v/>
      </c>
      <c r="E77" s="19" t="str">
        <f aca="false">IF(In!I130="","",In!I130)</f>
        <v/>
      </c>
      <c r="F77" s="30" t="n">
        <f aca="false">IF(In!J130="","",In!J130)</f>
        <v>4.066</v>
      </c>
      <c r="G77" s="30" t="n">
        <f aca="false">IF(In!K130="","",In!K130)</f>
        <v>22.5</v>
      </c>
      <c r="H77" s="30" t="n">
        <f aca="false">IF(In!L130="","",In!L130)</f>
        <v>27.243</v>
      </c>
      <c r="I77" s="30" t="n">
        <f aca="false">IF(In!M130="","",In!M130)</f>
        <v>38.39</v>
      </c>
      <c r="J77" s="19" t="str">
        <f aca="false">IF(In!N130="","",In!N130)</f>
        <v/>
      </c>
      <c r="K77" s="19" t="str">
        <f aca="false">IF(In!O130="","",In!O130)</f>
        <v/>
      </c>
      <c r="L77" s="19" t="str">
        <f aca="false">IF(In!P130="","",In!P130)</f>
        <v/>
      </c>
      <c r="M77" s="19" t="str">
        <f aca="false">IF(In!Q130="","",In!Q130)</f>
        <v/>
      </c>
    </row>
    <row r="78" customFormat="false" ht="17.15" hidden="false" customHeight="false" outlineLevel="0" collapsed="false">
      <c r="A78" s="5" t="s">
        <v>1630</v>
      </c>
      <c r="C78" s="0" t="s">
        <v>37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1.22773733398918</v>
      </c>
      <c r="G78" s="29" t="n">
        <f aca="false">IF(OR(G77="",N(G77)=0),"",G76/G77)</f>
        <v>1.10042993230222</v>
      </c>
      <c r="H78" s="29" t="n">
        <f aca="false">IF(OR(H77="",N(H77)=0),"",H76/H77)</f>
        <v>0.0816262005395158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1631</v>
      </c>
      <c r="C79" s="0" t="s">
        <v>36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證據不足（帶外）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證據不足（帶內）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1146</v>
      </c>
      <c r="B81" s="20" t="s">
        <v>1147</v>
      </c>
      <c r="N81" s="5" t="s">
        <v>1638</v>
      </c>
    </row>
    <row r="82" customFormat="false" ht="17.15" hidden="false" customHeight="false" outlineLevel="0" collapsed="false">
      <c r="A82" s="5" t="s">
        <v>1624</v>
      </c>
      <c r="C82" s="0" t="s">
        <v>391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1625</v>
      </c>
      <c r="C83" s="0" t="s">
        <v>391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1626</v>
      </c>
      <c r="C84" s="0" t="s">
        <v>391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1627</v>
      </c>
      <c r="C85" s="0" t="s">
        <v>391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1628</v>
      </c>
      <c r="C86" s="0" t="s">
        <v>391</v>
      </c>
      <c r="D86" s="32" t="n">
        <f aca="false">D85*fye_wyfi/12+N(In!H147)</f>
        <v>0</v>
      </c>
      <c r="E86" s="32" t="n">
        <f aca="false">E85*fye_wyfi/12+D85*(12-fye_wyfi)/12+N(In!I147)</f>
        <v>0.05748379</v>
      </c>
      <c r="F86" s="32" t="n">
        <f aca="false">F85*fye_wyfi/12+E85*(12-fye_wyfi)/12+N(In!J147)</f>
        <v>0.06998908</v>
      </c>
      <c r="G86" s="32" t="n">
        <f aca="false">G85*fye_wyfi/12+F85*(12-fye_wyfi)/12+N(In!K147)</f>
        <v>0.31570421781984</v>
      </c>
      <c r="H86" s="32" t="n">
        <f aca="false">H85*fye_wyfi/12+G85*(12-fye_wyfi)/12+N(In!L147)</f>
        <v>0.0756839285427982</v>
      </c>
      <c r="I86" s="32" t="n">
        <f aca="false">I85*fye_wyfi/12+H85*(12-fye_wyfi)/12+N(In!M147)</f>
        <v>0</v>
      </c>
      <c r="J86" s="32" t="n">
        <f aca="false">J85*fye_wyfi/12+I85*(12-fye_wyfi)/12+N(In!N147)</f>
        <v>0</v>
      </c>
      <c r="K86" s="32" t="n">
        <f aca="false">K85*fye_wyfi/12+J85*(12-fye_wyfi)/12+N(In!O147)</f>
        <v>0</v>
      </c>
      <c r="L86" s="32" t="n">
        <f aca="false">L85*fye_wyfi/12+K85*(12-fye_wyfi)/12+N(In!P147)</f>
        <v>0</v>
      </c>
      <c r="M86" s="32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1629</v>
      </c>
      <c r="C87" s="0" t="s">
        <v>391</v>
      </c>
      <c r="D87" s="19" t="str">
        <f aca="false">IF(In!H131="","",In!H131)</f>
        <v/>
      </c>
      <c r="E87" s="19" t="str">
        <f aca="false">IF(In!I131="","",In!I131)</f>
        <v/>
      </c>
      <c r="F87" s="19" t="str">
        <f aca="false">IF(In!J131="","",In!J131)</f>
        <v/>
      </c>
      <c r="G87" s="19" t="str">
        <f aca="false">IF(In!K131="","",In!K131)</f>
        <v/>
      </c>
      <c r="H87" s="19" t="str">
        <f aca="false">IF(In!L131="","",In!L131)</f>
        <v/>
      </c>
      <c r="I87" s="19" t="str">
        <f aca="false">IF(In!M131="","",In!M131)</f>
        <v/>
      </c>
      <c r="J87" s="19" t="str">
        <f aca="false">IF(In!N131="","",In!N131)</f>
        <v/>
      </c>
      <c r="K87" s="19" t="str">
        <f aca="false">IF(In!O131="","",In!O131)</f>
        <v/>
      </c>
      <c r="L87" s="19" t="str">
        <f aca="false">IF(In!P131="","",In!P131)</f>
        <v/>
      </c>
      <c r="M87" s="19" t="str">
        <f aca="false">IF(In!Q131="","",In!Q131)</f>
        <v/>
      </c>
    </row>
    <row r="88" customFormat="false" ht="17.15" hidden="false" customHeight="false" outlineLevel="0" collapsed="false">
      <c r="A88" s="5" t="s">
        <v>1630</v>
      </c>
      <c r="C88" s="0" t="s">
        <v>37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1631</v>
      </c>
      <c r="C89" s="0" t="s">
        <v>36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1166</v>
      </c>
      <c r="B91" s="20" t="s">
        <v>536</v>
      </c>
      <c r="N91" s="20" t="s">
        <v>1639</v>
      </c>
    </row>
    <row r="92" customFormat="false" ht="17.15" hidden="false" customHeight="false" outlineLevel="0" collapsed="false">
      <c r="A92" s="5" t="s">
        <v>1624</v>
      </c>
      <c r="C92" s="0" t="s">
        <v>391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22.4291277596439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1625</v>
      </c>
      <c r="C93" s="0" t="s">
        <v>391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7.41195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1626</v>
      </c>
      <c r="C94" s="0" t="s">
        <v>391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12.766292</v>
      </c>
      <c r="G94" s="32" t="n">
        <f aca="false">G93*$D$5+H93*$D$6+I93*$D$7</f>
        <v>3.705975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1627</v>
      </c>
      <c r="C95" s="0" t="s">
        <v>391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12.766292</v>
      </c>
      <c r="G95" s="32" t="n">
        <f aca="false">G92+G94</f>
        <v>51.494723795232</v>
      </c>
      <c r="H95" s="32" t="n">
        <f aca="false">H92+H94</f>
        <v>22.4291277596439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1628</v>
      </c>
      <c r="C96" s="0" t="s">
        <v>391</v>
      </c>
      <c r="D96" s="32" t="n">
        <f aca="false">D95*12/12+N(In!H148)</f>
        <v>0</v>
      </c>
      <c r="E96" s="32" t="n">
        <f aca="false">E95*12/12+D95*(12-12)/12+N(In!I148)</f>
        <v>9.060317</v>
      </c>
      <c r="F96" s="32" t="n">
        <f aca="false">F95*12/12+E95*(12-12)/12+N(In!J148)</f>
        <v>12.766292</v>
      </c>
      <c r="G96" s="32" t="n">
        <f aca="false">G95*12/12+F95*(12-12)/12+N(In!K148)</f>
        <v>51.494723795232</v>
      </c>
      <c r="H96" s="32" t="n">
        <f aca="false">H95*12/12+G95*(12-12)/12+N(In!L148)</f>
        <v>22.4291277596439</v>
      </c>
      <c r="I96" s="32" t="n">
        <f aca="false">I95*12/12+H95*(12-12)/12+N(In!M148)</f>
        <v>0</v>
      </c>
      <c r="J96" s="32" t="n">
        <f aca="false">J95*12/12+I95*(12-12)/12+N(In!N148)</f>
        <v>0</v>
      </c>
      <c r="K96" s="32" t="n">
        <f aca="false">K95*12/12+J95*(12-12)/12+N(In!O148)</f>
        <v>0</v>
      </c>
      <c r="L96" s="32" t="n">
        <f aca="false">L95*12/12+K95*(12-12)/12+N(In!P148)</f>
        <v>0</v>
      </c>
      <c r="M96" s="32" t="n">
        <f aca="false">M95*12/12+L95*(12-12)/12+N(In!Q148)</f>
        <v>0</v>
      </c>
    </row>
    <row r="97" customFormat="false" ht="17.15" hidden="false" customHeight="false" outlineLevel="0" collapsed="false">
      <c r="A97" s="5" t="s">
        <v>1629</v>
      </c>
      <c r="C97" s="0" t="s">
        <v>391</v>
      </c>
      <c r="D97" s="19" t="str">
        <f aca="false">IF(In!H132="","",In!H132)</f>
        <v/>
      </c>
      <c r="E97" s="19" t="str">
        <f aca="false">IF(In!I132="","",In!I132)</f>
        <v/>
      </c>
      <c r="F97" s="19" t="str">
        <f aca="false">IF(In!J132="","",In!J132)</f>
        <v/>
      </c>
      <c r="G97" s="19" t="str">
        <f aca="false">IF(In!K132="","",In!K132)</f>
        <v/>
      </c>
      <c r="H97" s="19" t="str">
        <f aca="false">IF(In!L132="","",In!L132)</f>
        <v/>
      </c>
      <c r="I97" s="19" t="str">
        <f aca="false">IF(In!M132="","",In!M132)</f>
        <v/>
      </c>
      <c r="J97" s="19" t="str">
        <f aca="false">IF(In!N132="","",In!N132)</f>
        <v/>
      </c>
      <c r="K97" s="19" t="str">
        <f aca="false">IF(In!O132="","",In!O132)</f>
        <v/>
      </c>
      <c r="L97" s="19" t="str">
        <f aca="false">IF(In!P132="","",In!P132)</f>
        <v/>
      </c>
      <c r="M97" s="19" t="str">
        <f aca="false">IF(In!Q132="","",In!Q132)</f>
        <v/>
      </c>
    </row>
    <row r="98" customFormat="false" ht="17.15" hidden="false" customHeight="false" outlineLevel="0" collapsed="false">
      <c r="A98" s="5" t="s">
        <v>1630</v>
      </c>
      <c r="C98" s="0" t="s">
        <v>37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1631</v>
      </c>
      <c r="C99" s="0" t="s">
        <v>36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1185</v>
      </c>
      <c r="B101" s="20" t="s">
        <v>532</v>
      </c>
      <c r="N101" s="5" t="s">
        <v>1640</v>
      </c>
    </row>
    <row r="102" customFormat="false" ht="17.15" hidden="false" customHeight="false" outlineLevel="0" collapsed="false">
      <c r="A102" s="5" t="s">
        <v>1624</v>
      </c>
      <c r="C102" s="0" t="s">
        <v>391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11.1130957747227</v>
      </c>
      <c r="I102" s="32" t="n">
        <f aca="false">Players!I207*((1-Players!I209)*I$8+Players!I209*TK_NonNV_Hold_OAI*TK_CapexIT_VR200)</f>
        <v>47.6781834780054</v>
      </c>
      <c r="J102" s="32" t="n">
        <f aca="false">Players!J207*((1-Players!J209)*J$8+Players!J209*TK_NonNV_Hold_OAI*TK_CapexIT_VR200)</f>
        <v>43.9685832847277</v>
      </c>
      <c r="K102" s="32" t="n">
        <f aca="false">Players!K207*((1-Players!K209)*K$8+Players!K209*TK_NonNV_Hold_OAI*TK_CapexIT_VR200)</f>
        <v>43.9685832847277</v>
      </c>
      <c r="L102" s="32" t="n">
        <f aca="false">Players!L207*((1-Players!L209)*L$8+Players!L209*TK_NonNV_Hold_OAI*TK_CapexIT_VR200)</f>
        <v>44.0068501109111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1625</v>
      </c>
      <c r="C103" s="0" t="s">
        <v>391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3.68921164340243</v>
      </c>
      <c r="I103" s="32" t="n">
        <f aca="false">Players!I207*((1-Players!I209)*I$9+Players!I209*TK_NonNV_Hold_OAI*TK_CapexFacility_VR200)</f>
        <v>14.9235403308672</v>
      </c>
      <c r="J103" s="32" t="n">
        <f aca="false">Players!J207*((1-Players!J209)*J$9+Players!J209*TK_NonNV_Hold_OAI*TK_CapexFacility_VR200)</f>
        <v>13.7653381019809</v>
      </c>
      <c r="K103" s="32" t="n">
        <f aca="false">Players!K207*((1-Players!K209)*K$9+Players!K209*TK_NonNV_Hold_OAI*TK_CapexFacility_VR200)</f>
        <v>13.7653381019809</v>
      </c>
      <c r="L103" s="32" t="n">
        <f aca="false">Players!L207*((1-Players!L209)*L$9+Players!L209*TK_NonNV_Hold_OAI*TK_CapexFacility_VR200)</f>
        <v>13.7773183788321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1626</v>
      </c>
      <c r="C104" s="0" t="s">
        <v>391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1.84460582170122</v>
      </c>
      <c r="G104" s="32" t="n">
        <f aca="false">G103*$D$5+H103*$D$6+I103*$D$7</f>
        <v>9.3063759871348</v>
      </c>
      <c r="H104" s="32" t="n">
        <f aca="false">H103*$D$5+I103*$D$6+J103*$D$7</f>
        <v>14.344439216424</v>
      </c>
      <c r="I104" s="32" t="n">
        <f aca="false">I103*$D$5+J103*$D$6+K103*$D$7</f>
        <v>13.7653381019809</v>
      </c>
      <c r="J104" s="32" t="n">
        <f aca="false">J103*$D$5+K103*$D$6+L103*$D$7</f>
        <v>13.7713282404065</v>
      </c>
      <c r="K104" s="32" t="n">
        <f aca="false">K103*$D$5+L103*$D$6+M103*$D$7</f>
        <v>6.88865918941603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1627</v>
      </c>
      <c r="C105" s="0" t="s">
        <v>391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1.84460582170122</v>
      </c>
      <c r="G105" s="32" t="n">
        <f aca="false">G102+G104</f>
        <v>9.3063759871348</v>
      </c>
      <c r="H105" s="32" t="n">
        <f aca="false">H102+H104</f>
        <v>25.4575349911467</v>
      </c>
      <c r="I105" s="32" t="n">
        <f aca="false">I102+I104</f>
        <v>61.4435215799864</v>
      </c>
      <c r="J105" s="32" t="n">
        <f aca="false">J102+J104</f>
        <v>57.7399115251342</v>
      </c>
      <c r="K105" s="32" t="n">
        <f aca="false">K102+K104</f>
        <v>50.8572424741437</v>
      </c>
      <c r="L105" s="32" t="n">
        <f aca="false">L102+L104</f>
        <v>44.0068501109111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1628</v>
      </c>
      <c r="C106" s="0" t="s">
        <v>391</v>
      </c>
      <c r="D106" s="32" t="n">
        <f aca="false">D105*12/12+N(In!H149)</f>
        <v>0</v>
      </c>
      <c r="E106" s="32" t="n">
        <f aca="false">E105*12/12+D105*(12-12)/12+N(In!I149)</f>
        <v>0</v>
      </c>
      <c r="F106" s="32" t="n">
        <f aca="false">F105*12/12+E105*(12-12)/12+N(In!J149)</f>
        <v>1.84460582170122</v>
      </c>
      <c r="G106" s="32" t="n">
        <f aca="false">G105*12/12+F105*(12-12)/12+N(In!K149)</f>
        <v>9.3063759871348</v>
      </c>
      <c r="H106" s="32" t="n">
        <f aca="false">H105*12/12+G105*(12-12)/12+N(In!L149)</f>
        <v>25.4575349911467</v>
      </c>
      <c r="I106" s="32" t="n">
        <f aca="false">I105*12/12+H105*(12-12)/12+N(In!M149)</f>
        <v>61.4435215799864</v>
      </c>
      <c r="J106" s="32" t="n">
        <f aca="false">J105*12/12+I105*(12-12)/12+N(In!N149)</f>
        <v>57.7399115251342</v>
      </c>
      <c r="K106" s="32" t="n">
        <f aca="false">K105*12/12+J105*(12-12)/12+N(In!O149)</f>
        <v>50.8572424741437</v>
      </c>
      <c r="L106" s="32" t="n">
        <f aca="false">L105*12/12+K105*(12-12)/12+N(In!P149)</f>
        <v>44.0068501109111</v>
      </c>
      <c r="M106" s="32" t="n">
        <f aca="false">M105*12/12+L105*(12-12)/12+N(In!Q149)</f>
        <v>0</v>
      </c>
    </row>
    <row r="107" customFormat="false" ht="17.15" hidden="false" customHeight="false" outlineLevel="0" collapsed="false">
      <c r="A107" s="5" t="s">
        <v>1629</v>
      </c>
      <c r="C107" s="0" t="s">
        <v>391</v>
      </c>
      <c r="D107" s="19" t="str">
        <f aca="false">IF(In!H133="","",In!H133)</f>
        <v/>
      </c>
      <c r="E107" s="19" t="str">
        <f aca="false">IF(In!I133="","",In!I133)</f>
        <v/>
      </c>
      <c r="F107" s="19" t="str">
        <f aca="false">IF(In!J133="","",In!J133)</f>
        <v/>
      </c>
      <c r="G107" s="19" t="str">
        <f aca="false">IF(In!K133="","",In!K133)</f>
        <v/>
      </c>
      <c r="H107" s="19" t="str">
        <f aca="false">IF(In!L133="","",In!L133)</f>
        <v/>
      </c>
      <c r="I107" s="19" t="str">
        <f aca="false">IF(In!M133="","",In!M133)</f>
        <v/>
      </c>
      <c r="J107" s="19" t="str">
        <f aca="false">IF(In!N133="","",In!N133)</f>
        <v/>
      </c>
      <c r="K107" s="19" t="str">
        <f aca="false">IF(In!O133="","",In!O133)</f>
        <v/>
      </c>
      <c r="L107" s="19" t="str">
        <f aca="false">IF(In!P133="","",In!P133)</f>
        <v/>
      </c>
      <c r="M107" s="19" t="str">
        <f aca="false">IF(In!Q133="","",In!Q133)</f>
        <v/>
      </c>
    </row>
    <row r="108" customFormat="false" ht="17.15" hidden="false" customHeight="false" outlineLevel="0" collapsed="false">
      <c r="A108" s="5" t="s">
        <v>1630</v>
      </c>
      <c r="C108" s="0" t="s">
        <v>37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1631</v>
      </c>
      <c r="C109" s="0" t="s">
        <v>36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1204</v>
      </c>
      <c r="B111" s="20" t="s">
        <v>516</v>
      </c>
      <c r="N111" s="5" t="s">
        <v>1640</v>
      </c>
    </row>
    <row r="112" customFormat="false" ht="17.15" hidden="false" customHeight="false" outlineLevel="0" collapsed="false">
      <c r="A112" s="5" t="s">
        <v>1624</v>
      </c>
      <c r="C112" s="0" t="s">
        <v>391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1625</v>
      </c>
      <c r="C113" s="0" t="s">
        <v>391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1626</v>
      </c>
      <c r="C114" s="0" t="s">
        <v>391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1627</v>
      </c>
      <c r="C115" s="0" t="s">
        <v>391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1628</v>
      </c>
      <c r="C116" s="0" t="s">
        <v>391</v>
      </c>
      <c r="D116" s="32" t="n">
        <f aca="false">D115*12/12+N(In!H150)</f>
        <v>0</v>
      </c>
      <c r="E116" s="32" t="n">
        <f aca="false">E115*12/12+D115*(12-12)/12+N(In!I150)</f>
        <v>0</v>
      </c>
      <c r="F116" s="32" t="n">
        <f aca="false">F115*12/12+E115*(12-12)/12+N(In!J150)</f>
        <v>0</v>
      </c>
      <c r="G116" s="32" t="n">
        <f aca="false">G115*12/12+F115*(12-12)/12+N(In!K150)</f>
        <v>0</v>
      </c>
      <c r="H116" s="32" t="n">
        <f aca="false">H115*12/12+G115*(12-12)/12+N(In!L150)</f>
        <v>0</v>
      </c>
      <c r="I116" s="32" t="n">
        <f aca="false">I115*12/12+H115*(12-12)/12+N(In!M150)</f>
        <v>0</v>
      </c>
      <c r="J116" s="32" t="n">
        <f aca="false">J115*12/12+I115*(12-12)/12+N(In!N150)</f>
        <v>0</v>
      </c>
      <c r="K116" s="32" t="n">
        <f aca="false">K115*12/12+J115*(12-12)/12+N(In!O150)</f>
        <v>0</v>
      </c>
      <c r="L116" s="32" t="n">
        <f aca="false">L115*12/12+K115*(12-12)/12+N(In!P150)</f>
        <v>0</v>
      </c>
      <c r="M116" s="32" t="n">
        <f aca="false">M115*12/12+L115*(12-12)/12+N(In!Q150)</f>
        <v>0</v>
      </c>
    </row>
    <row r="117" customFormat="false" ht="17.15" hidden="false" customHeight="false" outlineLevel="0" collapsed="false">
      <c r="A117" s="5" t="s">
        <v>1629</v>
      </c>
      <c r="C117" s="0" t="s">
        <v>391</v>
      </c>
      <c r="D117" s="19" t="str">
        <f aca="false">IF(In!H134="","",In!H134)</f>
        <v/>
      </c>
      <c r="E117" s="19" t="str">
        <f aca="false">IF(In!I134="","",In!I134)</f>
        <v/>
      </c>
      <c r="F117" s="19" t="str">
        <f aca="false">IF(In!J134="","",In!J134)</f>
        <v/>
      </c>
      <c r="G117" s="19" t="str">
        <f aca="false">IF(In!K134="","",In!K134)</f>
        <v/>
      </c>
      <c r="H117" s="19" t="str">
        <f aca="false">IF(In!L134="","",In!L134)</f>
        <v/>
      </c>
      <c r="I117" s="19" t="str">
        <f aca="false">IF(In!M134="","",In!M134)</f>
        <v/>
      </c>
      <c r="J117" s="19" t="str">
        <f aca="false">IF(In!N134="","",In!N134)</f>
        <v/>
      </c>
      <c r="K117" s="19" t="str">
        <f aca="false">IF(In!O134="","",In!O134)</f>
        <v/>
      </c>
      <c r="L117" s="19" t="str">
        <f aca="false">IF(In!P134="","",In!P134)</f>
        <v/>
      </c>
      <c r="M117" s="19" t="str">
        <f aca="false">IF(In!Q134="","",In!Q134)</f>
        <v/>
      </c>
    </row>
    <row r="118" customFormat="false" ht="17.15" hidden="false" customHeight="false" outlineLevel="0" collapsed="false">
      <c r="A118" s="5" t="s">
        <v>1630</v>
      </c>
      <c r="C118" s="0" t="s">
        <v>37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1631</v>
      </c>
      <c r="C119" s="0" t="s">
        <v>36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1223</v>
      </c>
      <c r="B121" s="20" t="s">
        <v>546</v>
      </c>
      <c r="N121" s="5" t="s">
        <v>1640</v>
      </c>
    </row>
    <row r="122" customFormat="false" ht="17.15" hidden="false" customHeight="false" outlineLevel="0" collapsed="false">
      <c r="A122" s="5" t="s">
        <v>1624</v>
      </c>
      <c r="C122" s="0" t="s">
        <v>391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40.5103604911914</v>
      </c>
      <c r="I122" s="32" t="n">
        <f aca="false">Players!I245*((1-Players!I247)*I$8+Players!I247*TK_NonNV_Hold_AMD*TK_CapexIT_VR200)</f>
        <v>73.8410317807427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1625</v>
      </c>
      <c r="C123" s="0" t="s">
        <v>391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13.451123691347</v>
      </c>
      <c r="I123" s="32" t="n">
        <f aca="false">Players!I245*((1-Players!I247)*I$9+Players!I247*TK_NonNV_Hold_AMD*TK_CapexFacility_VR200)</f>
        <v>23.1358833732772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1626</v>
      </c>
      <c r="C124" s="0" t="s">
        <v>391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11.6124745526085</v>
      </c>
      <c r="G124" s="32" t="n">
        <f aca="false">G123*$D$5+H123*$D$6+I123*$D$7</f>
        <v>18.2935035323121</v>
      </c>
      <c r="H124" s="32" t="n">
        <f aca="false">H123*$D$5+I123*$D$6+J123*$D$7</f>
        <v>11.5679416866386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1627</v>
      </c>
      <c r="C125" s="0" t="s">
        <v>391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19.8396420685827</v>
      </c>
      <c r="G125" s="32" t="n">
        <f aca="false">G122+G124</f>
        <v>44.7454264396299</v>
      </c>
      <c r="H125" s="32" t="n">
        <f aca="false">H122+H124</f>
        <v>52.07830217783</v>
      </c>
      <c r="I125" s="32" t="n">
        <f aca="false">I122+I124</f>
        <v>73.8410317807427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1628</v>
      </c>
      <c r="C126" s="0" t="s">
        <v>391</v>
      </c>
      <c r="D126" s="32" t="n">
        <f aca="false">D125*12/12+N(In!H151)</f>
        <v>1.83259226510063</v>
      </c>
      <c r="E126" s="32" t="n">
        <f aca="false">E125*12/12+D125*(12-12)/12+N(In!I151)</f>
        <v>6.71950497203563</v>
      </c>
      <c r="F126" s="32" t="n">
        <f aca="false">F125*12/12+E125*(12-12)/12+N(In!J151)</f>
        <v>19.8396420685827</v>
      </c>
      <c r="G126" s="32" t="n">
        <f aca="false">G125*12/12+F125*(12-12)/12+N(In!K151)</f>
        <v>44.7454264396299</v>
      </c>
      <c r="H126" s="32" t="n">
        <f aca="false">H125*12/12+G125*(12-12)/12+N(In!L151)</f>
        <v>52.07830217783</v>
      </c>
      <c r="I126" s="32" t="n">
        <f aca="false">I125*12/12+H125*(12-12)/12+N(In!M151)</f>
        <v>73.8410317807427</v>
      </c>
      <c r="J126" s="32" t="n">
        <f aca="false">J125*12/12+I125*(12-12)/12+N(In!N151)</f>
        <v>0</v>
      </c>
      <c r="K126" s="32" t="n">
        <f aca="false">K125*12/12+J125*(12-12)/12+N(In!O151)</f>
        <v>0</v>
      </c>
      <c r="L126" s="32" t="n">
        <f aca="false">L125*12/12+K125*(12-12)/12+N(In!P151)</f>
        <v>0</v>
      </c>
      <c r="M126" s="32" t="n">
        <f aca="false">M125*12/12+L125*(12-12)/12+N(In!Q151)</f>
        <v>0</v>
      </c>
    </row>
    <row r="127" customFormat="false" ht="17.15" hidden="false" customHeight="false" outlineLevel="0" collapsed="false">
      <c r="A127" s="5" t="s">
        <v>1629</v>
      </c>
      <c r="C127" s="0" t="s">
        <v>391</v>
      </c>
      <c r="D127" s="19" t="str">
        <f aca="false">IF(In!H135="","",In!H135)</f>
        <v/>
      </c>
      <c r="E127" s="19" t="str">
        <f aca="false">IF(In!I135="","",In!I135)</f>
        <v/>
      </c>
      <c r="F127" s="19" t="str">
        <f aca="false">IF(In!J135="","",In!J135)</f>
        <v/>
      </c>
      <c r="G127" s="19" t="str">
        <f aca="false">IF(In!K135="","",In!K135)</f>
        <v/>
      </c>
      <c r="H127" s="19" t="str">
        <f aca="false">IF(In!L135="","",In!L135)</f>
        <v/>
      </c>
      <c r="I127" s="19" t="str">
        <f aca="false">IF(In!M135="","",In!M135)</f>
        <v/>
      </c>
      <c r="J127" s="19" t="str">
        <f aca="false">IF(In!N135="","",In!N135)</f>
        <v/>
      </c>
      <c r="K127" s="19" t="str">
        <f aca="false">IF(In!O135="","",In!O135)</f>
        <v/>
      </c>
      <c r="L127" s="19" t="str">
        <f aca="false">IF(In!P135="","",In!P135)</f>
        <v/>
      </c>
      <c r="M127" s="19" t="str">
        <f aca="false">IF(In!Q135="","",In!Q135)</f>
        <v/>
      </c>
    </row>
    <row r="128" customFormat="false" ht="17.15" hidden="false" customHeight="false" outlineLevel="0" collapsed="false">
      <c r="A128" s="5" t="s">
        <v>1630</v>
      </c>
      <c r="C128" s="0" t="s">
        <v>37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1631</v>
      </c>
      <c r="C129" s="0" t="s">
        <v>36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1242</v>
      </c>
      <c r="B131" s="20" t="s">
        <v>645</v>
      </c>
      <c r="N131" s="5" t="s">
        <v>1640</v>
      </c>
    </row>
    <row r="132" customFormat="false" ht="17.15" hidden="false" customHeight="false" outlineLevel="0" collapsed="false">
      <c r="A132" s="5" t="s">
        <v>1624</v>
      </c>
      <c r="C132" s="0" t="s">
        <v>391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13.2259614536589</v>
      </c>
      <c r="H132" s="32" t="n">
        <f aca="false">Players!H264*((1-Players!H266)*H$8+Players!H266*TK_NonNV_Hold_AMD*TK_CapexIT_VR200)</f>
        <v>54.8920873864382</v>
      </c>
      <c r="I132" s="32" t="n">
        <f aca="false">Players!I264*((1-Players!I266)*I$8+Players!I266*TK_NonNV_Hold_AMD*TK_CapexIT_VR200)</f>
        <v>3.72503365788298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7.75567059206659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1625</v>
      </c>
      <c r="C133" s="0" t="s">
        <v>391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4.886912706935</v>
      </c>
      <c r="H133" s="32" t="n">
        <f aca="false">Players!H264*((1-Players!H266)*H$9+Players!H266*TK_NonNV_Hold_AMD*TK_CapexFacility_VR200)</f>
        <v>18.2264548663238</v>
      </c>
      <c r="I133" s="32" t="n">
        <f aca="false">Players!I264*((1-Players!I266)*I$9+Players!I266*TK_NonNV_Hold_AMD*TK_CapexFacility_VR200)</f>
        <v>1.16712811552003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2.43054152767375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1626</v>
      </c>
      <c r="C134" s="0" t="s">
        <v>391</v>
      </c>
      <c r="D134" s="32" t="n">
        <f aca="false">D133*$D$5+E133*$D$6+F133*$D$7</f>
        <v>0</v>
      </c>
      <c r="E134" s="32" t="n">
        <f aca="false">E133*$D$5+F133*$D$6+G133*$D$7</f>
        <v>2.4434563534675</v>
      </c>
      <c r="F134" s="32" t="n">
        <f aca="false">F133*$D$5+G133*$D$6+H133*$D$7</f>
        <v>11.5566837866294</v>
      </c>
      <c r="G134" s="32" t="n">
        <f aca="false">G133*$D$5+H133*$D$6+I133*$D$7</f>
        <v>9.69679149092193</v>
      </c>
      <c r="H134" s="32" t="n">
        <f aca="false">H133*$D$5+I133*$D$6+J133*$D$7</f>
        <v>0.583564057760015</v>
      </c>
      <c r="I134" s="32" t="n">
        <f aca="false">I133*$D$5+J133*$D$6+K133*$D$7</f>
        <v>1.21527076383688</v>
      </c>
      <c r="J134" s="32" t="n">
        <f aca="false">J133*$D$5+K133*$D$6+L133*$D$7</f>
        <v>1.21527076383688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1627</v>
      </c>
      <c r="C135" s="0" t="s">
        <v>391</v>
      </c>
      <c r="D135" s="32" t="n">
        <f aca="false">D132+D134</f>
        <v>0</v>
      </c>
      <c r="E135" s="32" t="n">
        <f aca="false">E132+E134</f>
        <v>2.4434563534675</v>
      </c>
      <c r="F135" s="32" t="n">
        <f aca="false">F132+F134</f>
        <v>11.5566837866294</v>
      </c>
      <c r="G135" s="32" t="n">
        <f aca="false">G132+G134</f>
        <v>22.9227529445808</v>
      </c>
      <c r="H135" s="32" t="n">
        <f aca="false">H132+H134</f>
        <v>55.4756514441982</v>
      </c>
      <c r="I135" s="32" t="n">
        <f aca="false">I132+I134</f>
        <v>4.94030442171985</v>
      </c>
      <c r="J135" s="32" t="n">
        <f aca="false">J132+J134</f>
        <v>1.21527076383688</v>
      </c>
      <c r="K135" s="32" t="n">
        <f aca="false">K132+K134</f>
        <v>7.75567059206659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1628</v>
      </c>
      <c r="C136" s="0" t="s">
        <v>391</v>
      </c>
      <c r="D136" s="32" t="n">
        <f aca="false">D135*12/12+N(In!H152)</f>
        <v>0</v>
      </c>
      <c r="E136" s="32" t="n">
        <f aca="false">E135*12/12+D135*(12-12)/12+N(In!I152)</f>
        <v>2.4434563534675</v>
      </c>
      <c r="F136" s="32" t="n">
        <f aca="false">F135*12/12+E135*(12-12)/12+N(In!J152)</f>
        <v>11.5566837866294</v>
      </c>
      <c r="G136" s="32" t="n">
        <f aca="false">G135*12/12+F135*(12-12)/12+N(In!K152)</f>
        <v>22.9227529445808</v>
      </c>
      <c r="H136" s="32" t="n">
        <f aca="false">H135*12/12+G135*(12-12)/12+N(In!L152)</f>
        <v>55.4756514441982</v>
      </c>
      <c r="I136" s="32" t="n">
        <f aca="false">I135*12/12+H135*(12-12)/12+N(In!M152)</f>
        <v>4.94030442171985</v>
      </c>
      <c r="J136" s="32" t="n">
        <f aca="false">J135*12/12+I135*(12-12)/12+N(In!N152)</f>
        <v>1.21527076383688</v>
      </c>
      <c r="K136" s="32" t="n">
        <f aca="false">K135*12/12+J135*(12-12)/12+N(In!O152)</f>
        <v>7.75567059206659</v>
      </c>
      <c r="L136" s="32" t="n">
        <f aca="false">L135*12/12+K135*(12-12)/12+N(In!P152)</f>
        <v>0</v>
      </c>
      <c r="M136" s="32" t="n">
        <f aca="false">M135*12/12+L135*(12-12)/12+N(In!Q152)</f>
        <v>0</v>
      </c>
    </row>
    <row r="137" customFormat="false" ht="17.15" hidden="false" customHeight="false" outlineLevel="0" collapsed="false">
      <c r="A137" s="5" t="s">
        <v>1629</v>
      </c>
      <c r="C137" s="0" t="s">
        <v>391</v>
      </c>
      <c r="D137" s="19" t="str">
        <f aca="false">IF(In!H136="","",In!H136)</f>
        <v/>
      </c>
      <c r="E137" s="19" t="str">
        <f aca="false">IF(In!I136="","",In!I136)</f>
        <v/>
      </c>
      <c r="F137" s="19" t="str">
        <f aca="false">IF(In!J136="","",In!J136)</f>
        <v/>
      </c>
      <c r="G137" s="19" t="str">
        <f aca="false">IF(In!K136="","",In!K136)</f>
        <v/>
      </c>
      <c r="H137" s="19" t="str">
        <f aca="false">IF(In!L136="","",In!L136)</f>
        <v/>
      </c>
      <c r="I137" s="19" t="str">
        <f aca="false">IF(In!M136="","",In!M136)</f>
        <v/>
      </c>
      <c r="J137" s="19" t="str">
        <f aca="false">IF(In!N136="","",In!N136)</f>
        <v/>
      </c>
      <c r="K137" s="19" t="str">
        <f aca="false">IF(In!O136="","",In!O136)</f>
        <v/>
      </c>
      <c r="L137" s="19" t="str">
        <f aca="false">IF(In!P136="","",In!P136)</f>
        <v/>
      </c>
      <c r="M137" s="19" t="str">
        <f aca="false">IF(In!Q136="","",In!Q136)</f>
        <v/>
      </c>
    </row>
    <row r="138" customFormat="false" ht="17.15" hidden="false" customHeight="false" outlineLevel="0" collapsed="false">
      <c r="A138" s="5" t="s">
        <v>1630</v>
      </c>
      <c r="C138" s="0" t="s">
        <v>37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1631</v>
      </c>
      <c r="C139" s="0" t="s">
        <v>36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1261</v>
      </c>
      <c r="B141" s="20" t="s">
        <v>553</v>
      </c>
      <c r="N141" s="5" t="s">
        <v>1640</v>
      </c>
    </row>
    <row r="142" customFormat="false" ht="17.15" hidden="false" customHeight="false" outlineLevel="0" collapsed="false">
      <c r="A142" s="5" t="s">
        <v>1624</v>
      </c>
      <c r="C142" s="0" t="s">
        <v>391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1625</v>
      </c>
      <c r="C143" s="0" t="s">
        <v>391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1626</v>
      </c>
      <c r="C144" s="0" t="s">
        <v>391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1627</v>
      </c>
      <c r="C145" s="0" t="s">
        <v>391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1628</v>
      </c>
      <c r="C146" s="0" t="s">
        <v>391</v>
      </c>
      <c r="D146" s="32" t="n">
        <f aca="false">D145*12/12+N(In!H153)</f>
        <v>0</v>
      </c>
      <c r="E146" s="32" t="n">
        <f aca="false">E145*12/12+D145*(12-12)/12+N(In!I153)</f>
        <v>18.8530755033542</v>
      </c>
      <c r="F146" s="32" t="n">
        <f aca="false">F145*12/12+E145*(12-12)/12+N(In!J153)</f>
        <v>29.907667229695</v>
      </c>
      <c r="G146" s="32" t="n">
        <f aca="false">G145*12/12+F145*(12-12)/12+N(In!K153)</f>
        <v>125.015586774671</v>
      </c>
      <c r="H146" s="32" t="n">
        <f aca="false">H145*12/12+G145*(12-12)/12+N(In!L153)</f>
        <v>93.900011125409</v>
      </c>
      <c r="I146" s="32" t="n">
        <f aca="false">I145*12/12+H145*(12-12)/12+N(In!M153)</f>
        <v>112.717980613357</v>
      </c>
      <c r="J146" s="32" t="n">
        <f aca="false">J145*12/12+I145*(12-12)/12+N(In!N153)</f>
        <v>121.87795076934</v>
      </c>
      <c r="K146" s="32" t="n">
        <f aca="false">K145*12/12+J145*(12-12)/12+N(In!O153)</f>
        <v>131.862948570302</v>
      </c>
      <c r="L146" s="32" t="n">
        <f aca="false">L145*12/12+K145*(12-12)/12+N(In!P153)</f>
        <v>90.0828059428761</v>
      </c>
      <c r="M146" s="32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1629</v>
      </c>
      <c r="C147" s="0" t="s">
        <v>391</v>
      </c>
      <c r="D147" s="19" t="str">
        <f aca="false">IF(In!H137="","",In!H137)</f>
        <v/>
      </c>
      <c r="E147" s="19" t="str">
        <f aca="false">IF(In!I137="","",In!I137)</f>
        <v/>
      </c>
      <c r="F147" s="19" t="str">
        <f aca="false">IF(In!J137="","",In!J137)</f>
        <v/>
      </c>
      <c r="G147" s="19" t="str">
        <f aca="false">IF(In!K137="","",In!K137)</f>
        <v/>
      </c>
      <c r="H147" s="19" t="str">
        <f aca="false">IF(In!L137="","",In!L137)</f>
        <v/>
      </c>
      <c r="I147" s="19" t="str">
        <f aca="false">IF(In!M137="","",In!M137)</f>
        <v/>
      </c>
      <c r="J147" s="19" t="str">
        <f aca="false">IF(In!N137="","",In!N137)</f>
        <v/>
      </c>
      <c r="K147" s="19" t="str">
        <f aca="false">IF(In!O137="","",In!O137)</f>
        <v/>
      </c>
      <c r="L147" s="19" t="str">
        <f aca="false">IF(In!P137="","",In!P137)</f>
        <v/>
      </c>
      <c r="M147" s="19" t="str">
        <f aca="false">IF(In!Q137="","",In!Q137)</f>
        <v/>
      </c>
    </row>
    <row r="148" customFormat="false" ht="17.15" hidden="false" customHeight="false" outlineLevel="0" collapsed="false">
      <c r="A148" s="5" t="s">
        <v>1630</v>
      </c>
      <c r="C148" s="0" t="s">
        <v>37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1631</v>
      </c>
      <c r="C149" s="0" t="s">
        <v>36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1280</v>
      </c>
      <c r="B151" s="20" t="s">
        <v>738</v>
      </c>
      <c r="N151" s="5" t="s">
        <v>1640</v>
      </c>
    </row>
    <row r="152" customFormat="false" ht="17.15" hidden="false" customHeight="false" outlineLevel="0" collapsed="false">
      <c r="A152" s="5" t="s">
        <v>1624</v>
      </c>
      <c r="C152" s="0" t="s">
        <v>391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1625</v>
      </c>
      <c r="C153" s="0" t="s">
        <v>391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1626</v>
      </c>
      <c r="C154" s="0" t="s">
        <v>391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1627</v>
      </c>
      <c r="C155" s="0" t="s">
        <v>391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1628</v>
      </c>
      <c r="C156" s="0" t="s">
        <v>391</v>
      </c>
      <c r="D156" s="32" t="n">
        <f aca="false">D155*12/12+N(In!H154)</f>
        <v>0</v>
      </c>
      <c r="E156" s="32" t="n">
        <f aca="false">E155*12/12+D155*(12-12)/12+N(In!I154)</f>
        <v>0</v>
      </c>
      <c r="F156" s="32" t="n">
        <f aca="false">F155*12/12+E155*(12-12)/12+N(In!J154)</f>
        <v>0</v>
      </c>
      <c r="G156" s="32" t="n">
        <f aca="false">G155*12/12+F155*(12-12)/12+N(In!K154)</f>
        <v>0</v>
      </c>
      <c r="H156" s="32" t="n">
        <f aca="false">H155*12/12+G155*(12-12)/12+N(In!L154)</f>
        <v>0</v>
      </c>
      <c r="I156" s="32" t="n">
        <f aca="false">I155*12/12+H155*(12-12)/12+N(In!M154)</f>
        <v>0</v>
      </c>
      <c r="J156" s="32" t="n">
        <f aca="false">J155*12/12+I155*(12-12)/12+N(In!N154)</f>
        <v>0</v>
      </c>
      <c r="K156" s="32" t="n">
        <f aca="false">K155*12/12+J155*(12-12)/12+N(In!O154)</f>
        <v>0</v>
      </c>
      <c r="L156" s="32" t="n">
        <f aca="false">L155*12/12+K155*(12-12)/12+N(In!P154)</f>
        <v>0</v>
      </c>
      <c r="M156" s="32" t="n">
        <f aca="false">M155*12/12+L155*(12-12)/12+N(In!Q154)</f>
        <v>0</v>
      </c>
    </row>
    <row r="157" customFormat="false" ht="17.15" hidden="false" customHeight="false" outlineLevel="0" collapsed="false">
      <c r="A157" s="5" t="s">
        <v>1629</v>
      </c>
      <c r="C157" s="0" t="s">
        <v>391</v>
      </c>
      <c r="D157" s="19" t="str">
        <f aca="false">IF(In!H138="","",In!H138)</f>
        <v/>
      </c>
      <c r="E157" s="19" t="str">
        <f aca="false">IF(In!I138="","",In!I138)</f>
        <v/>
      </c>
      <c r="F157" s="19" t="str">
        <f aca="false">IF(In!J138="","",In!J138)</f>
        <v/>
      </c>
      <c r="G157" s="19" t="str">
        <f aca="false">IF(In!K138="","",In!K138)</f>
        <v/>
      </c>
      <c r="H157" s="19" t="str">
        <f aca="false">IF(In!L138="","",In!L138)</f>
        <v/>
      </c>
      <c r="I157" s="19" t="str">
        <f aca="false">IF(In!M138="","",In!M138)</f>
        <v/>
      </c>
      <c r="J157" s="19" t="str">
        <f aca="false">IF(In!N138="","",In!N138)</f>
        <v/>
      </c>
      <c r="K157" s="19" t="str">
        <f aca="false">IF(In!O138="","",In!O138)</f>
        <v/>
      </c>
      <c r="L157" s="19" t="str">
        <f aca="false">IF(In!P138="","",In!P138)</f>
        <v/>
      </c>
      <c r="M157" s="19" t="str">
        <f aca="false">IF(In!Q138="","",In!Q138)</f>
        <v/>
      </c>
    </row>
    <row r="158" customFormat="false" ht="17.15" hidden="false" customHeight="false" outlineLevel="0" collapsed="false">
      <c r="A158" s="5" t="s">
        <v>1630</v>
      </c>
      <c r="C158" s="0" t="s">
        <v>37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1631</v>
      </c>
      <c r="C159" s="0" t="s">
        <v>36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1641</v>
      </c>
    </row>
    <row r="163" customFormat="false" ht="17.15" hidden="false" customHeight="false" outlineLevel="0" collapsed="false">
      <c r="A163" s="6" t="s">
        <v>1364</v>
      </c>
      <c r="B163" s="6" t="s">
        <v>15</v>
      </c>
      <c r="C163" s="6" t="s">
        <v>1642</v>
      </c>
      <c r="D163" s="6" t="s">
        <v>1643</v>
      </c>
      <c r="E163" s="6" t="s">
        <v>1644</v>
      </c>
      <c r="F163" s="6" t="s">
        <v>1645</v>
      </c>
      <c r="G163" s="6" t="s">
        <v>1646</v>
      </c>
      <c r="H163" s="6" t="s">
        <v>1647</v>
      </c>
      <c r="I163" s="6" t="s">
        <v>1648</v>
      </c>
      <c r="J163" s="6" t="s">
        <v>1649</v>
      </c>
      <c r="K163" s="6" t="s">
        <v>1650</v>
      </c>
      <c r="L163" s="6" t="s">
        <v>21</v>
      </c>
    </row>
    <row r="164" customFormat="false" ht="17.15" hidden="false" customHeight="false" outlineLevel="0" collapsed="false">
      <c r="A164" s="0" t="s">
        <v>1333</v>
      </c>
      <c r="B164" s="0" t="s">
        <v>507</v>
      </c>
      <c r="C164" s="0" t="n">
        <v>2024</v>
      </c>
      <c r="D164" s="19" t="str">
        <f aca="false">Funding!D5</f>
        <v>FY2024</v>
      </c>
      <c r="E164" s="19" t="str">
        <f aca="false">Funding!W5</f>
        <v/>
      </c>
      <c r="F164" s="19" t="str">
        <f aca="false">""</f>
        <v/>
      </c>
      <c r="G164" s="19" t="str">
        <f aca="false">Funding!O5</f>
        <v/>
      </c>
      <c r="H164" s="32" t="str">
        <f aca="false">IF(OR(F164="",G164=""),"",G164-F164)</f>
        <v/>
      </c>
      <c r="I164" s="32" t="str">
        <f aca="false">IF(OR(E164="",H164=""),"",E164+H164)</f>
        <v/>
      </c>
      <c r="J164" s="30" t="n">
        <f aca="false">IF(In!I124="","",In!I124)</f>
        <v>44.477</v>
      </c>
      <c r="K164" s="29" t="str">
        <f aca="false">IF(OR(I164="",J164="",LEFT(D164,2)="20"),"",I164/J164)</f>
        <v/>
      </c>
      <c r="L164" s="5" t="s">
        <v>1651</v>
      </c>
    </row>
    <row r="165" customFormat="false" ht="17.15" hidden="false" customHeight="false" outlineLevel="0" collapsed="false">
      <c r="A165" s="0" t="s">
        <v>1333</v>
      </c>
      <c r="B165" s="0" t="s">
        <v>507</v>
      </c>
      <c r="C165" s="0" t="n">
        <v>2025</v>
      </c>
      <c r="D165" s="19" t="str">
        <f aca="false">Funding!D6</f>
        <v>FY2025</v>
      </c>
      <c r="E165" s="36" t="n">
        <f aca="false">Funding!W6</f>
        <v>85.062</v>
      </c>
      <c r="F165" s="19" t="str">
        <f aca="false">Funding!O5</f>
        <v/>
      </c>
      <c r="G165" s="36" t="n">
        <f aca="false">Funding!O6</f>
        <v>92.7</v>
      </c>
      <c r="H165" s="32" t="str">
        <f aca="false">IF(OR(F165="",G165=""),"",G165-F165)</f>
        <v/>
      </c>
      <c r="I165" s="32" t="str">
        <f aca="false">IF(OR(E165="",H165=""),"",E165+H165)</f>
        <v/>
      </c>
      <c r="J165" s="30" t="n">
        <f aca="false">IF(In!J124="","",In!J124)</f>
        <v>64.551</v>
      </c>
      <c r="K165" s="29" t="str">
        <f aca="false">IF(OR(I165="",J165="",LEFT(D165,2)="20"),"",I165/J165)</f>
        <v/>
      </c>
      <c r="L165" s="5" t="s">
        <v>1651</v>
      </c>
    </row>
    <row r="166" customFormat="false" ht="17.15" hidden="false" customHeight="false" outlineLevel="0" collapsed="false">
      <c r="A166" s="0" t="s">
        <v>1333</v>
      </c>
      <c r="B166" s="0" t="s">
        <v>507</v>
      </c>
      <c r="C166" s="0" t="n">
        <v>2026</v>
      </c>
      <c r="D166" s="19" t="str">
        <f aca="false">Funding!D7</f>
        <v>FY2026</v>
      </c>
      <c r="E166" s="36" t="n">
        <f aca="false">Funding!W7</f>
        <v>140.556</v>
      </c>
      <c r="F166" s="36" t="n">
        <f aca="false">Funding!O6</f>
        <v>92.7</v>
      </c>
      <c r="G166" s="36" t="n">
        <f aca="false">Funding!O7</f>
        <v>329.1</v>
      </c>
      <c r="H166" s="32" t="n">
        <f aca="false">IF(OR(F166="",G166=""),"",G166-F166)</f>
        <v>236.4</v>
      </c>
      <c r="I166" s="32" t="n">
        <f aca="false">IF(OR(E166="",H166=""),"",E166+H166)</f>
        <v>376.956</v>
      </c>
      <c r="J166" s="30" t="n">
        <f aca="false">IF(In!K124="","",In!K124)</f>
        <v>115.948</v>
      </c>
      <c r="K166" s="29" t="n">
        <f aca="false">IF(OR(I166="",J166="",LEFT(D166,2)="20"),"",I166/J166)</f>
        <v>3.25107806947942</v>
      </c>
      <c r="L166" s="5" t="s">
        <v>1651</v>
      </c>
    </row>
    <row r="167" customFormat="false" ht="17.15" hidden="false" customHeight="false" outlineLevel="0" collapsed="false">
      <c r="A167" s="0" t="s">
        <v>1334</v>
      </c>
      <c r="B167" s="0" t="s">
        <v>512</v>
      </c>
      <c r="C167" s="0" t="n">
        <v>2024</v>
      </c>
      <c r="D167" s="19" t="str">
        <f aca="false">Funding!D8</f>
        <v>CY2024</v>
      </c>
      <c r="E167" s="19" t="str">
        <f aca="false">Funding!W8</f>
        <v/>
      </c>
      <c r="F167" s="19" t="str">
        <f aca="false">""</f>
        <v/>
      </c>
      <c r="G167" s="19" t="str">
        <f aca="false">Funding!O8</f>
        <v/>
      </c>
      <c r="H167" s="32" t="str">
        <f aca="false">IF(OR(F167="",G167=""),"",G167-F167)</f>
        <v/>
      </c>
      <c r="I167" s="32" t="str">
        <f aca="false">IF(OR(E167="",H167=""),"",E167+H167)</f>
        <v/>
      </c>
      <c r="J167" s="19" t="str">
        <f aca="false">IF(In!I125="","",In!I125)</f>
        <v/>
      </c>
      <c r="K167" s="29" t="str">
        <f aca="false">IF(OR(I167="",J167="",LEFT(D167,2)="20"),"",I167/J167)</f>
        <v/>
      </c>
      <c r="L167" s="5" t="s">
        <v>1651</v>
      </c>
    </row>
    <row r="168" customFormat="false" ht="17.15" hidden="false" customHeight="false" outlineLevel="0" collapsed="false">
      <c r="A168" s="0" t="s">
        <v>1334</v>
      </c>
      <c r="B168" s="0" t="s">
        <v>512</v>
      </c>
      <c r="C168" s="0" t="n">
        <v>2025</v>
      </c>
      <c r="D168" s="19" t="str">
        <f aca="false">Funding!D9</f>
        <v>CY2025</v>
      </c>
      <c r="E168" s="36" t="n">
        <f aca="false">Funding!W9</f>
        <v>91.447</v>
      </c>
      <c r="F168" s="19" t="str">
        <f aca="false">Funding!O8</f>
        <v/>
      </c>
      <c r="G168" s="19" t="str">
        <f aca="false">Funding!O9</f>
        <v/>
      </c>
      <c r="H168" s="32" t="str">
        <f aca="false">IF(OR(F168="",G168=""),"",G168-F168)</f>
        <v/>
      </c>
      <c r="I168" s="32" t="str">
        <f aca="false">IF(OR(E168="",H168=""),"",E168+H168)</f>
        <v/>
      </c>
      <c r="J168" s="30" t="n">
        <f aca="false">IF(In!J125="","",In!J125)</f>
        <v>91.447</v>
      </c>
      <c r="K168" s="29" t="str">
        <f aca="false">IF(OR(I168="",J168="",LEFT(D168,2)="20"),"",I168/J168)</f>
        <v/>
      </c>
      <c r="L168" s="5" t="s">
        <v>1651</v>
      </c>
    </row>
    <row r="169" customFormat="false" ht="17.15" hidden="false" customHeight="false" outlineLevel="0" collapsed="false">
      <c r="A169" s="0" t="s">
        <v>1334</v>
      </c>
      <c r="B169" s="0" t="s">
        <v>512</v>
      </c>
      <c r="C169" s="0" t="n">
        <v>2026</v>
      </c>
      <c r="D169" s="19" t="str">
        <f aca="false">Funding!D10</f>
        <v>9M2026</v>
      </c>
      <c r="E169" s="36" t="n">
        <f aca="false">Funding!W10</f>
        <v>131.953</v>
      </c>
      <c r="F169" s="19" t="str">
        <f aca="false">Funding!O9</f>
        <v/>
      </c>
      <c r="G169" s="36" t="n">
        <f aca="false">Funding!O10</f>
        <v>85.2</v>
      </c>
      <c r="H169" s="32" t="str">
        <f aca="false">IF(OR(F169="",G169=""),"",G169-F169)</f>
        <v/>
      </c>
      <c r="I169" s="32" t="str">
        <f aca="false">IF(OR(E169="",H169=""),"",E169+H169)</f>
        <v/>
      </c>
      <c r="J169" s="30" t="n">
        <f aca="false">IF(In!K125="","",In!K125)</f>
        <v>200</v>
      </c>
      <c r="K169" s="29" t="str">
        <f aca="false">IF(OR(I169="",J169="",LEFT(D169,2)="20"),"",I169/J169)</f>
        <v/>
      </c>
      <c r="L169" s="5" t="s">
        <v>1651</v>
      </c>
    </row>
    <row r="170" customFormat="false" ht="17.15" hidden="false" customHeight="false" outlineLevel="0" collapsed="false">
      <c r="A170" s="0" t="s">
        <v>1335</v>
      </c>
      <c r="B170" s="0" t="s">
        <v>520</v>
      </c>
      <c r="C170" s="0" t="n">
        <v>2024</v>
      </c>
      <c r="D170" s="19" t="str">
        <f aca="false">Funding!D11</f>
        <v>CY2024</v>
      </c>
      <c r="E170" s="19" t="str">
        <f aca="false">Funding!W11</f>
        <v/>
      </c>
      <c r="F170" s="19" t="str">
        <f aca="false">""</f>
        <v/>
      </c>
      <c r="G170" s="19" t="str">
        <f aca="false">Funding!O11</f>
        <v/>
      </c>
      <c r="H170" s="32" t="str">
        <f aca="false">IF(OR(F170="",G170=""),"",G170-F170)</f>
        <v/>
      </c>
      <c r="I170" s="32" t="str">
        <f aca="false">IF(OR(E170="",H170=""),"",E170+H170)</f>
        <v/>
      </c>
      <c r="J170" s="19" t="str">
        <f aca="false">IF(In!I126="","",In!I126)</f>
        <v/>
      </c>
      <c r="K170" s="29" t="str">
        <f aca="false">IF(OR(I170="",J170="",LEFT(D170,2)="20"),"",I170/J170)</f>
        <v/>
      </c>
      <c r="L170" s="5" t="s">
        <v>1651</v>
      </c>
    </row>
    <row r="171" customFormat="false" ht="17.15" hidden="false" customHeight="false" outlineLevel="0" collapsed="false">
      <c r="A171" s="0" t="s">
        <v>1335</v>
      </c>
      <c r="B171" s="0" t="s">
        <v>520</v>
      </c>
      <c r="C171" s="0" t="n">
        <v>2025</v>
      </c>
      <c r="D171" s="19" t="str">
        <f aca="false">Funding!D12</f>
        <v>CY2025</v>
      </c>
      <c r="E171" s="36" t="n">
        <f aca="false">Funding!W12</f>
        <v>131.231</v>
      </c>
      <c r="F171" s="19" t="str">
        <f aca="false">Funding!O11</f>
        <v/>
      </c>
      <c r="G171" s="36" t="n">
        <f aca="false">Funding!O12</f>
        <v>96.4</v>
      </c>
      <c r="H171" s="32" t="str">
        <f aca="false">IF(OR(F171="",G171=""),"",G171-F171)</f>
        <v/>
      </c>
      <c r="I171" s="32" t="str">
        <f aca="false">IF(OR(E171="",H171=""),"",E171+H171)</f>
        <v/>
      </c>
      <c r="J171" s="30" t="n">
        <f aca="false">IF(In!J126="","",In!J126)</f>
        <v>128.32</v>
      </c>
      <c r="K171" s="29" t="str">
        <f aca="false">IF(OR(I171="",J171="",LEFT(D171,2)="20"),"",I171/J171)</f>
        <v/>
      </c>
      <c r="L171" s="5" t="s">
        <v>1651</v>
      </c>
    </row>
    <row r="172" customFormat="false" ht="17.15" hidden="false" customHeight="false" outlineLevel="0" collapsed="false">
      <c r="A172" s="0" t="s">
        <v>1335</v>
      </c>
      <c r="B172" s="0" t="s">
        <v>520</v>
      </c>
      <c r="C172" s="0" t="n">
        <v>2026</v>
      </c>
      <c r="D172" s="19" t="str">
        <f aca="false">Funding!D13</f>
        <v>9M2026</v>
      </c>
      <c r="E172" s="36" t="n">
        <f aca="false">Funding!W13</f>
        <v>175.788</v>
      </c>
      <c r="F172" s="36" t="n">
        <f aca="false">Funding!O12</f>
        <v>96.4</v>
      </c>
      <c r="G172" s="36" t="n">
        <f aca="false">Funding!O13</f>
        <v>137.214</v>
      </c>
      <c r="H172" s="32" t="n">
        <f aca="false">IF(OR(F172="",G172=""),"",G172-F172)</f>
        <v>40.814</v>
      </c>
      <c r="I172" s="32" t="n">
        <f aca="false">IF(OR(E172="",H172=""),"",E172+H172)</f>
        <v>216.602</v>
      </c>
      <c r="J172" s="30" t="n">
        <f aca="false">IF(In!K126="","",In!K126)</f>
        <v>220</v>
      </c>
      <c r="K172" s="29" t="n">
        <f aca="false">IF(OR(I172="",J172="",LEFT(D172,2)="20"),"",I172/J172)</f>
        <v>0.984554545454546</v>
      </c>
      <c r="L172" s="5" t="s">
        <v>1651</v>
      </c>
    </row>
    <row r="173" customFormat="false" ht="17.15" hidden="false" customHeight="false" outlineLevel="0" collapsed="false">
      <c r="A173" s="0" t="s">
        <v>1070</v>
      </c>
      <c r="B173" s="0" t="s">
        <v>527</v>
      </c>
      <c r="C173" s="0" t="n">
        <v>2024</v>
      </c>
      <c r="D173" s="19" t="str">
        <f aca="false">Funding!D14</f>
        <v>CY2024</v>
      </c>
      <c r="E173" s="19" t="str">
        <f aca="false">Funding!W14</f>
        <v/>
      </c>
      <c r="F173" s="19" t="str">
        <f aca="false">""</f>
        <v/>
      </c>
      <c r="G173" s="19" t="str">
        <f aca="false">Funding!O14</f>
        <v/>
      </c>
      <c r="H173" s="32" t="str">
        <f aca="false">IF(OR(F173="",G173=""),"",G173-F173)</f>
        <v/>
      </c>
      <c r="I173" s="32" t="str">
        <f aca="false">IF(OR(E173="",H173=""),"",E173+H173)</f>
        <v/>
      </c>
      <c r="J173" s="19" t="str">
        <f aca="false">IF(In!I127="","",In!I127)</f>
        <v/>
      </c>
      <c r="K173" s="29" t="str">
        <f aca="false">IF(OR(I173="",J173="",LEFT(D173,2)="20"),"",I173/J173)</f>
        <v/>
      </c>
      <c r="L173" s="5" t="s">
        <v>1651</v>
      </c>
    </row>
    <row r="174" customFormat="false" ht="17.15" hidden="false" customHeight="false" outlineLevel="0" collapsed="false">
      <c r="A174" s="0" t="s">
        <v>1070</v>
      </c>
      <c r="B174" s="0" t="s">
        <v>527</v>
      </c>
      <c r="C174" s="0" t="n">
        <v>2025</v>
      </c>
      <c r="D174" s="19" t="str">
        <f aca="false">Funding!D15</f>
        <v>CY2025</v>
      </c>
      <c r="E174" s="36" t="n">
        <f aca="false">Funding!W15</f>
        <v>72.215</v>
      </c>
      <c r="F174" s="19" t="str">
        <f aca="false">Funding!O14</f>
        <v/>
      </c>
      <c r="G174" s="19" t="str">
        <f aca="false">Funding!O15</f>
        <v/>
      </c>
      <c r="H174" s="32" t="str">
        <f aca="false">IF(OR(F174="",G174=""),"",G174-F174)</f>
        <v/>
      </c>
      <c r="I174" s="32" t="str">
        <f aca="false">IF(OR(E174="",H174=""),"",E174+H174)</f>
        <v/>
      </c>
      <c r="J174" s="19" t="str">
        <f aca="false">IF(In!J127="","",In!J127)</f>
        <v/>
      </c>
      <c r="K174" s="29" t="str">
        <f aca="false">IF(OR(I174="",J174="",LEFT(D174,2)="20"),"",I174/J174)</f>
        <v/>
      </c>
      <c r="L174" s="5" t="s">
        <v>1651</v>
      </c>
    </row>
    <row r="175" customFormat="false" ht="17.15" hidden="false" customHeight="false" outlineLevel="0" collapsed="false">
      <c r="A175" s="0" t="s">
        <v>1070</v>
      </c>
      <c r="B175" s="0" t="s">
        <v>527</v>
      </c>
      <c r="C175" s="0" t="n">
        <v>2026</v>
      </c>
      <c r="D175" s="19" t="str">
        <f aca="false">Funding!D16</f>
        <v>9M2026</v>
      </c>
      <c r="E175" s="36" t="n">
        <f aca="false">Funding!W16</f>
        <v>85.824</v>
      </c>
      <c r="F175" s="19" t="str">
        <f aca="false">Funding!O15</f>
        <v/>
      </c>
      <c r="G175" s="36" t="n">
        <f aca="false">Funding!O16</f>
        <v>355.73</v>
      </c>
      <c r="H175" s="32" t="str">
        <f aca="false">IF(OR(F175="",G175=""),"",G175-F175)</f>
        <v/>
      </c>
      <c r="I175" s="32" t="str">
        <f aca="false">IF(OR(E175="",H175=""),"",E175+H175)</f>
        <v/>
      </c>
      <c r="J175" s="30" t="n">
        <f aca="false">IF(In!K127="","",In!K127)</f>
        <v>140</v>
      </c>
      <c r="K175" s="29" t="str">
        <f aca="false">IF(OR(I175="",J175="",LEFT(D175,2)="20"),"",I175/J175)</f>
        <v/>
      </c>
      <c r="L175" s="5" t="s">
        <v>1651</v>
      </c>
    </row>
    <row r="176" customFormat="false" ht="17.15" hidden="false" customHeight="false" outlineLevel="0" collapsed="false">
      <c r="A176" s="0" t="s">
        <v>1336</v>
      </c>
      <c r="B176" s="0" t="s">
        <v>531</v>
      </c>
      <c r="C176" s="0" t="n">
        <v>2024</v>
      </c>
      <c r="D176" s="19" t="str">
        <f aca="false">Funding!D17</f>
        <v>FY2024</v>
      </c>
      <c r="E176" s="19" t="str">
        <f aca="false">Funding!W17</f>
        <v/>
      </c>
      <c r="F176" s="19" t="str">
        <f aca="false">""</f>
        <v/>
      </c>
      <c r="G176" s="19" t="str">
        <f aca="false">Funding!O17</f>
        <v/>
      </c>
      <c r="H176" s="32" t="str">
        <f aca="false">IF(OR(F176="",G176=""),"",G176-F176)</f>
        <v/>
      </c>
      <c r="I176" s="32" t="str">
        <f aca="false">IF(OR(E176="",H176=""),"",E176+H176)</f>
        <v/>
      </c>
      <c r="J176" s="19" t="str">
        <f aca="false">IF(In!I128="","",In!I128)</f>
        <v/>
      </c>
      <c r="K176" s="29" t="str">
        <f aca="false">IF(OR(I176="",J176="",LEFT(D176,2)="20"),"",I176/J176)</f>
        <v/>
      </c>
      <c r="L176" s="5" t="s">
        <v>1651</v>
      </c>
    </row>
    <row r="177" customFormat="false" ht="17.15" hidden="false" customHeight="false" outlineLevel="0" collapsed="false">
      <c r="A177" s="0" t="s">
        <v>1336</v>
      </c>
      <c r="B177" s="0" t="s">
        <v>531</v>
      </c>
      <c r="C177" s="0" t="n">
        <v>2025</v>
      </c>
      <c r="D177" s="19" t="str">
        <f aca="false">Funding!D18</f>
        <v>FY2025</v>
      </c>
      <c r="E177" s="19" t="str">
        <f aca="false">Funding!W18</f>
        <v/>
      </c>
      <c r="F177" s="19" t="str">
        <f aca="false">Funding!O17</f>
        <v/>
      </c>
      <c r="G177" s="19" t="str">
        <f aca="false">Funding!O18</f>
        <v/>
      </c>
      <c r="H177" s="32" t="str">
        <f aca="false">IF(OR(F177="",G177=""),"",G177-F177)</f>
        <v/>
      </c>
      <c r="I177" s="32" t="str">
        <f aca="false">IF(OR(E177="",H177=""),"",E177+H177)</f>
        <v/>
      </c>
      <c r="J177" s="30" t="n">
        <f aca="false">IF(In!J128="","",In!J128)</f>
        <v>21.215</v>
      </c>
      <c r="K177" s="29" t="str">
        <f aca="false">IF(OR(I177="",J177="",LEFT(D177,2)="20"),"",I177/J177)</f>
        <v/>
      </c>
      <c r="L177" s="5" t="s">
        <v>1651</v>
      </c>
    </row>
    <row r="178" customFormat="false" ht="17.15" hidden="false" customHeight="false" outlineLevel="0" collapsed="false">
      <c r="A178" s="0" t="s">
        <v>1336</v>
      </c>
      <c r="B178" s="0" t="s">
        <v>531</v>
      </c>
      <c r="C178" s="0" t="n">
        <v>2026</v>
      </c>
      <c r="D178" s="19" t="str">
        <f aca="false">Funding!D19</f>
        <v>FY2026</v>
      </c>
      <c r="E178" s="36" t="n">
        <f aca="false">Funding!W19</f>
        <v>55.663</v>
      </c>
      <c r="F178" s="19" t="str">
        <f aca="false">Funding!O18</f>
        <v/>
      </c>
      <c r="G178" s="36" t="n">
        <f aca="false">Funding!O19</f>
        <v>260</v>
      </c>
      <c r="H178" s="32" t="str">
        <f aca="false">IF(OR(F178="",G178=""),"",G178-F178)</f>
        <v/>
      </c>
      <c r="I178" s="32" t="str">
        <f aca="false">IF(OR(E178="",H178=""),"",E178+H178)</f>
        <v/>
      </c>
      <c r="J178" s="30" t="n">
        <f aca="false">IF(In!K128="","",In!K128)</f>
        <v>55.663</v>
      </c>
      <c r="K178" s="29" t="str">
        <f aca="false">IF(OR(I178="",J178="",LEFT(D178,2)="20"),"",I178/J178)</f>
        <v/>
      </c>
      <c r="L178" s="5" t="s">
        <v>1651</v>
      </c>
    </row>
    <row r="179" customFormat="false" ht="17.15" hidden="false" customHeight="false" outlineLevel="0" collapsed="false">
      <c r="A179" s="0" t="s">
        <v>1108</v>
      </c>
      <c r="B179" s="0" t="s">
        <v>621</v>
      </c>
      <c r="C179" s="0" t="n">
        <v>2024</v>
      </c>
      <c r="D179" s="19" t="str">
        <f aca="false">Funding!D20</f>
        <v>CY2024</v>
      </c>
      <c r="E179" s="36" t="n">
        <f aca="false">Funding!W20</f>
        <v>8.702</v>
      </c>
      <c r="F179" s="19" t="str">
        <f aca="false">""</f>
        <v/>
      </c>
      <c r="G179" s="19" t="str">
        <f aca="false">Funding!O20</f>
        <v/>
      </c>
      <c r="H179" s="32" t="str">
        <f aca="false">IF(OR(F179="",G179=""),"",G179-F179)</f>
        <v/>
      </c>
      <c r="I179" s="32" t="str">
        <f aca="false">IF(OR(E179="",H179=""),"",E179+H179)</f>
        <v/>
      </c>
      <c r="J179" s="19" t="str">
        <f aca="false">IF(In!I129="","",In!I129)</f>
        <v/>
      </c>
      <c r="K179" s="29" t="str">
        <f aca="false">IF(OR(I179="",J179="",LEFT(D179,2)="20"),"",I179/J179)</f>
        <v/>
      </c>
      <c r="L179" s="5" t="s">
        <v>1651</v>
      </c>
    </row>
    <row r="180" customFormat="false" ht="17.15" hidden="false" customHeight="false" outlineLevel="0" collapsed="false">
      <c r="A180" s="0" t="s">
        <v>1108</v>
      </c>
      <c r="B180" s="0" t="s">
        <v>621</v>
      </c>
      <c r="C180" s="0" t="n">
        <v>2025</v>
      </c>
      <c r="D180" s="19" t="str">
        <f aca="false">Funding!D21</f>
        <v>CY2025</v>
      </c>
      <c r="E180" s="36" t="n">
        <f aca="false">Funding!W21</f>
        <v>10.309</v>
      </c>
      <c r="F180" s="19" t="str">
        <f aca="false">Funding!O20</f>
        <v/>
      </c>
      <c r="G180" s="19" t="str">
        <f aca="false">Funding!O21</f>
        <v/>
      </c>
      <c r="H180" s="32" t="str">
        <f aca="false">IF(OR(F180="",G180=""),"",G180-F180)</f>
        <v/>
      </c>
      <c r="I180" s="32" t="str">
        <f aca="false">IF(OR(E180="",H180=""),"",E180+H180)</f>
        <v/>
      </c>
      <c r="J180" s="19" t="str">
        <f aca="false">IF(In!J129="","",In!J129)</f>
        <v/>
      </c>
      <c r="K180" s="29" t="str">
        <f aca="false">IF(OR(I180="",J180="",LEFT(D180,2)="20"),"",I180/J180)</f>
        <v/>
      </c>
      <c r="L180" s="5" t="s">
        <v>1651</v>
      </c>
    </row>
    <row r="181" customFormat="false" ht="17.15" hidden="false" customHeight="false" outlineLevel="0" collapsed="false">
      <c r="A181" s="0" t="s">
        <v>1108</v>
      </c>
      <c r="B181" s="0" t="s">
        <v>621</v>
      </c>
      <c r="C181" s="0" t="n">
        <v>2026</v>
      </c>
      <c r="D181" s="19" t="str">
        <f aca="false">Funding!D22</f>
        <v>2026H1</v>
      </c>
      <c r="E181" s="36" t="n">
        <f aca="false">Funding!W22</f>
        <v>14.117</v>
      </c>
      <c r="F181" s="19" t="str">
        <f aca="false">Funding!O21</f>
        <v/>
      </c>
      <c r="G181" s="19" t="str">
        <f aca="false">Funding!O22</f>
        <v/>
      </c>
      <c r="H181" s="32" t="str">
        <f aca="false">IF(OR(F181="",G181=""),"",G181-F181)</f>
        <v/>
      </c>
      <c r="I181" s="32" t="str">
        <f aca="false">IF(OR(E181="",H181=""),"",E181+H181)</f>
        <v/>
      </c>
      <c r="J181" s="30" t="n">
        <f aca="false">IF(In!K129="","",In!K129)</f>
        <v>37</v>
      </c>
      <c r="K181" s="29" t="str">
        <f aca="false">IF(OR(I181="",J181="",LEFT(D181,2)="20"),"",I181/J181)</f>
        <v/>
      </c>
      <c r="L181" s="5" t="s">
        <v>1651</v>
      </c>
    </row>
    <row r="182" customFormat="false" ht="17.15" hidden="false" customHeight="false" outlineLevel="0" collapsed="false">
      <c r="A182" s="0" t="s">
        <v>1127</v>
      </c>
      <c r="B182" s="0" t="s">
        <v>652</v>
      </c>
      <c r="C182" s="0" t="n">
        <v>2025</v>
      </c>
      <c r="D182" s="19" t="str">
        <f aca="false">Funding!D23</f>
        <v>CY2025</v>
      </c>
      <c r="E182" s="36" t="n">
        <f aca="false">Funding!W23</f>
        <v>4.1</v>
      </c>
      <c r="F182" s="19" t="str">
        <f aca="false">""</f>
        <v/>
      </c>
      <c r="G182" s="19" t="str">
        <f aca="false">Funding!O23</f>
        <v/>
      </c>
      <c r="H182" s="32" t="str">
        <f aca="false">IF(OR(F182="",G182=""),"",G182-F182)</f>
        <v/>
      </c>
      <c r="I182" s="32" t="str">
        <f aca="false">IF(OR(E182="",H182=""),"",E182+H182)</f>
        <v/>
      </c>
      <c r="J182" s="30" t="n">
        <f aca="false">IF(In!J130="","",In!J130)</f>
        <v>4.066</v>
      </c>
      <c r="K182" s="29" t="str">
        <f aca="false">IF(OR(I182="",J182="",LEFT(D182,2)="20"),"",I182/J182)</f>
        <v/>
      </c>
      <c r="L182" s="5" t="s">
        <v>1651</v>
      </c>
    </row>
    <row r="183" customFormat="false" ht="17.15" hidden="false" customHeight="false" outlineLevel="0" collapsed="false">
      <c r="A183" s="0" t="s">
        <v>1127</v>
      </c>
      <c r="B183" s="0" t="s">
        <v>652</v>
      </c>
      <c r="C183" s="0" t="n">
        <v>2026</v>
      </c>
      <c r="D183" s="19" t="str">
        <f aca="false">Funding!D24</f>
        <v>2026H1</v>
      </c>
      <c r="E183" s="36" t="n">
        <f aca="false">Funding!W24</f>
        <v>8.13</v>
      </c>
      <c r="F183" s="19" t="str">
        <f aca="false">Funding!O23</f>
        <v/>
      </c>
      <c r="G183" s="36" t="n">
        <f aca="false">Funding!O24</f>
        <v>12.054</v>
      </c>
      <c r="H183" s="32" t="str">
        <f aca="false">IF(OR(F183="",G183=""),"",G183-F183)</f>
        <v/>
      </c>
      <c r="I183" s="32" t="str">
        <f aca="false">IF(OR(E183="",H183=""),"",E183+H183)</f>
        <v/>
      </c>
      <c r="J183" s="30" t="n">
        <f aca="false">IF(In!K130="","",In!K130)</f>
        <v>22.5</v>
      </c>
      <c r="K183" s="29" t="str">
        <f aca="false">IF(OR(I183="",J183="",LEFT(D183,2)="20"),"",I183/J183)</f>
        <v/>
      </c>
      <c r="L183" s="5" t="s">
        <v>1651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1652</v>
      </c>
    </row>
    <row r="3" customFormat="false" ht="15" hidden="false" customHeight="false" outlineLevel="0" collapsed="false">
      <c r="A3" s="6" t="s">
        <v>16</v>
      </c>
      <c r="B3" s="6" t="s">
        <v>1410</v>
      </c>
      <c r="C3" s="6" t="s">
        <v>1567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0" t="s">
        <v>1653</v>
      </c>
      <c r="B4" s="0" t="s">
        <v>1574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1654</v>
      </c>
    </row>
    <row r="5" customFormat="false" ht="17.15" hidden="false" customHeight="false" outlineLevel="0" collapsed="false">
      <c r="A5" s="5" t="s">
        <v>1655</v>
      </c>
      <c r="B5" s="0" t="s">
        <v>1574</v>
      </c>
      <c r="C5" s="0" t="s">
        <v>1414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9.04912429484716</v>
      </c>
      <c r="G5" s="29" t="n">
        <f aca="false">Deploy!G19</f>
        <v>12.5153714610592</v>
      </c>
      <c r="H5" s="29" t="n">
        <f aca="false">Deploy!H19</f>
        <v>22.9572539260371</v>
      </c>
      <c r="I5" s="29" t="n">
        <f aca="false">Deploy!I19</f>
        <v>26.9232927993498</v>
      </c>
      <c r="J5" s="29" t="n">
        <f aca="false">Deploy!J19</f>
        <v>27.6634681049025</v>
      </c>
      <c r="K5" s="29" t="n">
        <f aca="false">Deploy!K19</f>
        <v>28.1039834110243</v>
      </c>
      <c r="L5" s="29" t="n">
        <f aca="false">Deploy!L19</f>
        <v>24.6492774813064</v>
      </c>
      <c r="M5" s="29" t="n">
        <f aca="false">Deploy!M19</f>
        <v>16.8149790517012</v>
      </c>
    </row>
    <row r="6" customFormat="false" ht="17.15" hidden="false" customHeight="false" outlineLevel="0" collapsed="false">
      <c r="A6" s="5" t="s">
        <v>1655</v>
      </c>
      <c r="B6" s="0" t="s">
        <v>1574</v>
      </c>
      <c r="C6" s="0" t="s">
        <v>1415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9.04912429484716</v>
      </c>
      <c r="G6" s="29" t="n">
        <f aca="false">Deploy!G20</f>
        <v>11.7062917618926</v>
      </c>
      <c r="H6" s="29" t="n">
        <f aca="false">Deploy!H20</f>
        <v>19.5495475214805</v>
      </c>
      <c r="I6" s="29" t="n">
        <f aca="false">Deploy!I20</f>
        <v>25.9581901631867</v>
      </c>
      <c r="J6" s="29" t="n">
        <f aca="false">Deploy!J20</f>
        <v>27.6446249264308</v>
      </c>
      <c r="K6" s="29" t="n">
        <f aca="false">Deploy!K20</f>
        <v>28.150443232453</v>
      </c>
      <c r="L6" s="29" t="n">
        <f aca="false">Deploy!L20</f>
        <v>25.2886760190071</v>
      </c>
      <c r="M6" s="29" t="n">
        <f aca="false">Deploy!M20</f>
        <v>18.3872312768821</v>
      </c>
    </row>
    <row r="7" customFormat="false" ht="17.15" hidden="false" customHeight="false" outlineLevel="0" collapsed="false">
      <c r="A7" s="5" t="s">
        <v>1656</v>
      </c>
      <c r="B7" s="0" t="s">
        <v>1574</v>
      </c>
      <c r="G7" s="29" t="n">
        <f aca="false">IF(N(G4)=0,"",G5/G4)</f>
        <v>0.534855493239272</v>
      </c>
      <c r="H7" s="29" t="n">
        <f aca="false">IF(N(H4)=0,"",H5/H4)</f>
        <v>0.551237376316741</v>
      </c>
      <c r="I7" s="29" t="n">
        <f aca="false">IF(N(I4)=0,"",I5/I4)</f>
        <v>0.509986784430208</v>
      </c>
      <c r="J7" s="29" t="n">
        <f aca="false">IF(N(J4)=0,"",J5/J4)</f>
        <v>0.459995276016604</v>
      </c>
    </row>
    <row r="8" customFormat="false" ht="17.15" hidden="false" customHeight="false" outlineLevel="0" collapsed="false">
      <c r="A8" s="5" t="s">
        <v>1657</v>
      </c>
      <c r="B8" s="0" t="s">
        <v>1574</v>
      </c>
      <c r="C8" s="0" t="s">
        <v>1414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9.04912429484716</v>
      </c>
      <c r="G8" s="29" t="n">
        <f aca="false">Deploy!G68</f>
        <v>12.5153714610592</v>
      </c>
      <c r="H8" s="29" t="n">
        <f aca="false">Deploy!H68</f>
        <v>8.65164512450717</v>
      </c>
      <c r="I8" s="29" t="n">
        <f aca="false">Deploy!I68</f>
        <v>18.596214060909</v>
      </c>
      <c r="J8" s="29" t="n">
        <f aca="false">Deploy!J68</f>
        <v>6.32902133099745</v>
      </c>
      <c r="K8" s="29" t="n">
        <f aca="false">Deploy!K68</f>
        <v>7.01052996704159</v>
      </c>
      <c r="L8" s="29" t="n">
        <f aca="false">Deploy!L68</f>
        <v>7.7712899921963</v>
      </c>
      <c r="M8" s="29" t="n">
        <f aca="false">Deploy!M68</f>
        <v>8.62112152700441</v>
      </c>
    </row>
    <row r="9" customFormat="false" ht="17.15" hidden="false" customHeight="false" outlineLevel="0" collapsed="false">
      <c r="A9" s="5" t="s">
        <v>1657</v>
      </c>
      <c r="B9" s="0" t="s">
        <v>1574</v>
      </c>
      <c r="C9" s="0" t="s">
        <v>1415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9.04912429484716</v>
      </c>
      <c r="G9" s="29" t="n">
        <f aca="false">Deploy!G69</f>
        <v>11.7062917618926</v>
      </c>
      <c r="H9" s="29" t="n">
        <f aca="false">Deploy!H69</f>
        <v>7.74742026021831</v>
      </c>
      <c r="I9" s="29" t="n">
        <f aca="false">Deploy!I69</f>
        <v>16.5848686637054</v>
      </c>
      <c r="J9" s="29" t="n">
        <f aca="false">Deploy!J69</f>
        <v>8.58646755873197</v>
      </c>
      <c r="K9" s="29" t="n">
        <f aca="false">Deploy!K69</f>
        <v>7.01481595573387</v>
      </c>
      <c r="L9" s="29" t="n">
        <f aca="false">Deploy!L69</f>
        <v>7.67298198779423</v>
      </c>
      <c r="M9" s="29" t="n">
        <f aca="false">Deploy!M69</f>
        <v>8.67365100841299</v>
      </c>
    </row>
    <row r="10" customFormat="false" ht="17.15" hidden="false" customHeight="false" outlineLevel="0" collapsed="false">
      <c r="A10" s="5" t="s">
        <v>1658</v>
      </c>
      <c r="B10" s="0" t="s">
        <v>1574</v>
      </c>
      <c r="G10" s="29" t="n">
        <f aca="false">IF(N(G4)=0,"",G8/G4)</f>
        <v>0.534855493239272</v>
      </c>
      <c r="H10" s="29" t="n">
        <f aca="false">IF(N(H4)=0,"",H8/H4)</f>
        <v>0.207738703183831</v>
      </c>
      <c r="I10" s="29" t="n">
        <f aca="false">IF(N(I4)=0,"",I8/I4)</f>
        <v>0.352253473680897</v>
      </c>
      <c r="J10" s="29" t="n">
        <f aca="false">IF(N(J4)=0,"",J8/J4)</f>
        <v>0.105240597564526</v>
      </c>
    </row>
    <row r="12" customFormat="false" ht="17.15" hidden="false" customHeight="false" outlineLevel="0" collapsed="false">
      <c r="A12" s="0" t="s">
        <v>1653</v>
      </c>
      <c r="B12" s="0" t="s">
        <v>1578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1654</v>
      </c>
    </row>
    <row r="13" customFormat="false" ht="17.15" hidden="false" customHeight="false" outlineLevel="0" collapsed="false">
      <c r="A13" s="5" t="s">
        <v>1655</v>
      </c>
      <c r="B13" s="0" t="s">
        <v>1578</v>
      </c>
      <c r="C13" s="0" t="s">
        <v>1414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9.04912429484716</v>
      </c>
      <c r="G13" s="29" t="n">
        <f aca="false">Deploy!G35</f>
        <v>12.5153714610592</v>
      </c>
      <c r="H13" s="29" t="n">
        <f aca="false">Deploy!H35</f>
        <v>22.9572539260371</v>
      </c>
      <c r="I13" s="29" t="n">
        <f aca="false">Deploy!I35</f>
        <v>21.5386342394798</v>
      </c>
      <c r="J13" s="29" t="n">
        <f aca="false">Deploy!J35</f>
        <v>23.5139478891671</v>
      </c>
      <c r="K13" s="29" t="n">
        <f aca="false">Deploy!K35</f>
        <v>23.6808606072918</v>
      </c>
      <c r="L13" s="29" t="n">
        <f aca="false">Deploy!L35</f>
        <v>20.9662339237998</v>
      </c>
      <c r="M13" s="29" t="n">
        <f aca="false">Deploy!M35</f>
        <v>15.0509445380168</v>
      </c>
    </row>
    <row r="14" customFormat="false" ht="17.15" hidden="false" customHeight="false" outlineLevel="0" collapsed="false">
      <c r="A14" s="5" t="s">
        <v>1655</v>
      </c>
      <c r="B14" s="0" t="s">
        <v>1578</v>
      </c>
      <c r="C14" s="0" t="s">
        <v>1415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9.04912429484716</v>
      </c>
      <c r="G14" s="29" t="n">
        <f aca="false">Deploy!G36</f>
        <v>11.7062917618926</v>
      </c>
      <c r="H14" s="29" t="n">
        <f aca="false">Deploy!H36</f>
        <v>19.5495475214805</v>
      </c>
      <c r="I14" s="29" t="n">
        <f aca="false">Deploy!I36</f>
        <v>21.515846851294</v>
      </c>
      <c r="J14" s="29" t="n">
        <f aca="false">Deploy!J36</f>
        <v>23.2789555004718</v>
      </c>
      <c r="K14" s="29" t="n">
        <f aca="false">Deploy!K36</f>
        <v>23.77520088162</v>
      </c>
      <c r="L14" s="29" t="n">
        <f aca="false">Deploy!L36</f>
        <v>21.4761185934109</v>
      </c>
      <c r="M14" s="29" t="n">
        <f aca="false">Deploy!M36</f>
        <v>16.2873701805288</v>
      </c>
    </row>
    <row r="15" customFormat="false" ht="17.15" hidden="false" customHeight="false" outlineLevel="0" collapsed="false">
      <c r="A15" s="5" t="s">
        <v>1656</v>
      </c>
      <c r="B15" s="0" t="s">
        <v>1578</v>
      </c>
      <c r="G15" s="29" t="n">
        <f aca="false">IF(N(G12)=0,"",G13/G12)</f>
        <v>0.534855493239272</v>
      </c>
      <c r="H15" s="29" t="n">
        <f aca="false">IF(N(H12)=0,"",H13/H12)</f>
        <v>0.551237376316741</v>
      </c>
      <c r="I15" s="29" t="n">
        <f aca="false">IF(N(I12)=0,"",I13/I12)</f>
        <v>0.509986784430208</v>
      </c>
      <c r="J15" s="29" t="n">
        <f aca="false">IF(N(J12)=0,"",J13/J12)</f>
        <v>0.459995276016604</v>
      </c>
    </row>
    <row r="16" customFormat="false" ht="17.15" hidden="false" customHeight="false" outlineLevel="0" collapsed="false">
      <c r="A16" s="5" t="s">
        <v>1657</v>
      </c>
      <c r="B16" s="0" t="s">
        <v>1578</v>
      </c>
      <c r="C16" s="0" t="s">
        <v>1414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9.04912429484716</v>
      </c>
      <c r="G16" s="29" t="n">
        <f aca="false">Deploy!G84</f>
        <v>12.5153714610592</v>
      </c>
      <c r="H16" s="29" t="n">
        <f aca="false">Deploy!H84</f>
        <v>8.65164512450717</v>
      </c>
      <c r="I16" s="29" t="n">
        <f aca="false">Deploy!I84</f>
        <v>14.8769712487272</v>
      </c>
      <c r="J16" s="29" t="n">
        <f aca="false">Deploy!J84</f>
        <v>5.37966813134783</v>
      </c>
      <c r="K16" s="29" t="n">
        <f aca="false">Deploy!K84</f>
        <v>6.12613466726927</v>
      </c>
      <c r="L16" s="29" t="n">
        <f aca="false">Deploy!L84</f>
        <v>6.98848860232047</v>
      </c>
      <c r="M16" s="29" t="n">
        <f aca="false">Deploy!M84</f>
        <v>7.98754225685644</v>
      </c>
    </row>
    <row r="17" customFormat="false" ht="17.15" hidden="false" customHeight="false" outlineLevel="0" collapsed="false">
      <c r="A17" s="5" t="s">
        <v>1657</v>
      </c>
      <c r="B17" s="0" t="s">
        <v>1578</v>
      </c>
      <c r="C17" s="0" t="s">
        <v>1415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9.04912429484716</v>
      </c>
      <c r="G17" s="29" t="n">
        <f aca="false">Deploy!G85</f>
        <v>11.7062917618926</v>
      </c>
      <c r="H17" s="29" t="n">
        <f aca="false">Deploy!H85</f>
        <v>7.74742026021831</v>
      </c>
      <c r="I17" s="29" t="n">
        <f aca="false">Deploy!I85</f>
        <v>13.5164933436554</v>
      </c>
      <c r="J17" s="29" t="n">
        <f aca="false">Deploy!J85</f>
        <v>7.15238367688922</v>
      </c>
      <c r="K17" s="29" t="n">
        <f aca="false">Deploy!K85</f>
        <v>6.11905302348302</v>
      </c>
      <c r="L17" s="29" t="n">
        <f aca="false">Deploy!L85</f>
        <v>6.8724016636865</v>
      </c>
      <c r="M17" s="29" t="n">
        <f aca="false">Deploy!M85</f>
        <v>8.01395786731266</v>
      </c>
    </row>
    <row r="18" customFormat="false" ht="17.15" hidden="false" customHeight="false" outlineLevel="0" collapsed="false">
      <c r="A18" s="5" t="s">
        <v>1658</v>
      </c>
      <c r="B18" s="0" t="s">
        <v>1578</v>
      </c>
      <c r="G18" s="29" t="n">
        <f aca="false">IF(N(G12)=0,"",G16/G12)</f>
        <v>0.534855493239272</v>
      </c>
      <c r="H18" s="29" t="n">
        <f aca="false">IF(N(H12)=0,"",H16/H12)</f>
        <v>0.207738703183831</v>
      </c>
      <c r="I18" s="29" t="n">
        <f aca="false">IF(N(I12)=0,"",I16/I12)</f>
        <v>0.352253473680897</v>
      </c>
      <c r="J18" s="29" t="n">
        <f aca="false">IF(N(J12)=0,"",J16/J12)</f>
        <v>0.105240597564526</v>
      </c>
    </row>
    <row r="20" customFormat="false" ht="17.15" hidden="false" customHeight="false" outlineLevel="0" collapsed="false">
      <c r="A20" s="0" t="s">
        <v>1653</v>
      </c>
      <c r="B20" s="0" t="s">
        <v>1580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1654</v>
      </c>
    </row>
    <row r="21" customFormat="false" ht="17.15" hidden="false" customHeight="false" outlineLevel="0" collapsed="false">
      <c r="A21" s="5" t="s">
        <v>1655</v>
      </c>
      <c r="B21" s="0" t="s">
        <v>1580</v>
      </c>
      <c r="C21" s="0" t="s">
        <v>1414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9.04912429484716</v>
      </c>
      <c r="G21" s="29" t="n">
        <f aca="false">Deploy!G51</f>
        <v>12.5153714610592</v>
      </c>
      <c r="H21" s="29" t="n">
        <f aca="false">Deploy!H51</f>
        <v>22.9572539260371</v>
      </c>
      <c r="I21" s="29" t="n">
        <f aca="false">Deploy!I51</f>
        <v>16.1539756796099</v>
      </c>
      <c r="J21" s="29" t="n">
        <f aca="false">Deploy!J51</f>
        <v>16.5980808629415</v>
      </c>
      <c r="K21" s="29" t="n">
        <f aca="false">Deploy!K51</f>
        <v>16.5704876286783</v>
      </c>
      <c r="L21" s="29" t="n">
        <f aca="false">Deploy!L51</f>
        <v>15.2592370965452</v>
      </c>
      <c r="M21" s="29" t="n">
        <f aca="false">Deploy!M51</f>
        <v>12.5391549988204</v>
      </c>
    </row>
    <row r="22" customFormat="false" ht="17.15" hidden="false" customHeight="false" outlineLevel="0" collapsed="false">
      <c r="A22" s="5" t="s">
        <v>1655</v>
      </c>
      <c r="B22" s="0" t="s">
        <v>1580</v>
      </c>
      <c r="C22" s="0" t="s">
        <v>1415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9.04912429484716</v>
      </c>
      <c r="G22" s="29" t="n">
        <f aca="false">Deploy!G52</f>
        <v>11.7062917618926</v>
      </c>
      <c r="H22" s="29" t="n">
        <f aca="false">Deploy!H52</f>
        <v>19.5495475214805</v>
      </c>
      <c r="I22" s="29" t="n">
        <f aca="false">Deploy!I52</f>
        <v>17.0735035394013</v>
      </c>
      <c r="J22" s="29" t="n">
        <f aca="false">Deploy!J52</f>
        <v>16.6310499558584</v>
      </c>
      <c r="K22" s="29" t="n">
        <f aca="false">Deploy!K52</f>
        <v>16.6988664446744</v>
      </c>
      <c r="L22" s="29" t="n">
        <f aca="false">Deploy!L52</f>
        <v>15.5235309396684</v>
      </c>
      <c r="M22" s="29" t="n">
        <f aca="false">Deploy!M52</f>
        <v>13.2164193659222</v>
      </c>
    </row>
    <row r="23" customFormat="false" ht="17.15" hidden="false" customHeight="false" outlineLevel="0" collapsed="false">
      <c r="A23" s="5" t="s">
        <v>1656</v>
      </c>
      <c r="B23" s="0" t="s">
        <v>1580</v>
      </c>
      <c r="G23" s="29" t="n">
        <f aca="false">IF(N(G20)=0,"",G21/G20)</f>
        <v>0.534855493239272</v>
      </c>
      <c r="H23" s="29" t="n">
        <f aca="false">IF(N(H20)=0,"",H21/H20)</f>
        <v>0.551237376316741</v>
      </c>
      <c r="I23" s="29" t="n">
        <f aca="false">IF(N(I20)=0,"",I21/I20)</f>
        <v>0.509986784430208</v>
      </c>
      <c r="J23" s="29" t="n">
        <f aca="false">IF(N(J20)=0,"",J21/J20)</f>
        <v>0.459995276016605</v>
      </c>
    </row>
    <row r="24" customFormat="false" ht="17.15" hidden="false" customHeight="false" outlineLevel="0" collapsed="false">
      <c r="A24" s="5" t="s">
        <v>1657</v>
      </c>
      <c r="B24" s="0" t="s">
        <v>1580</v>
      </c>
      <c r="C24" s="0" t="s">
        <v>1414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9.04912429484716</v>
      </c>
      <c r="G24" s="29" t="n">
        <f aca="false">Deploy!G100</f>
        <v>12.5153714610592</v>
      </c>
      <c r="H24" s="29" t="n">
        <f aca="false">Deploy!H100</f>
        <v>8.65164512450717</v>
      </c>
      <c r="I24" s="29" t="n">
        <f aca="false">Deploy!I100</f>
        <v>11.1577284365454</v>
      </c>
      <c r="J24" s="29" t="n">
        <f aca="false">Deploy!J100</f>
        <v>3.79741279859847</v>
      </c>
      <c r="K24" s="29" t="n">
        <f aca="false">Deploy!K100</f>
        <v>4.74697489777831</v>
      </c>
      <c r="L24" s="29" t="n">
        <f aca="false">Deploy!L100</f>
        <v>5.86712395656322</v>
      </c>
      <c r="M24" s="29" t="n">
        <f aca="false">Deploy!M100</f>
        <v>7.20734000083851</v>
      </c>
    </row>
    <row r="25" customFormat="false" ht="17.15" hidden="false" customHeight="false" outlineLevel="0" collapsed="false">
      <c r="A25" s="5" t="s">
        <v>1657</v>
      </c>
      <c r="B25" s="0" t="s">
        <v>1580</v>
      </c>
      <c r="C25" s="0" t="s">
        <v>1415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9.04912429484716</v>
      </c>
      <c r="G25" s="29" t="n">
        <f aca="false">Deploy!G101</f>
        <v>11.7062917618926</v>
      </c>
      <c r="H25" s="29" t="n">
        <f aca="false">Deploy!H101</f>
        <v>7.74742026021831</v>
      </c>
      <c r="I25" s="29" t="n">
        <f aca="false">Deploy!I101</f>
        <v>10.4481180236054</v>
      </c>
      <c r="J25" s="29" t="n">
        <f aca="false">Deploy!J101</f>
        <v>5.19615553523917</v>
      </c>
      <c r="K25" s="29" t="n">
        <f aca="false">Deploy!K101</f>
        <v>4.70435153042185</v>
      </c>
      <c r="L25" s="29" t="n">
        <f aca="false">Deploy!L101</f>
        <v>5.70592287127586</v>
      </c>
      <c r="M25" s="29" t="n">
        <f aca="false">Deploy!M101</f>
        <v>7.17405219309033</v>
      </c>
    </row>
    <row r="26" customFormat="false" ht="17.15" hidden="false" customHeight="false" outlineLevel="0" collapsed="false">
      <c r="A26" s="5" t="s">
        <v>1658</v>
      </c>
      <c r="B26" s="0" t="s">
        <v>1580</v>
      </c>
      <c r="G26" s="29" t="n">
        <f aca="false">IF(N(G20)=0,"",G24/G20)</f>
        <v>0.534855493239272</v>
      </c>
      <c r="H26" s="29" t="n">
        <f aca="false">IF(N(H20)=0,"",H24/H20)</f>
        <v>0.207738703183831</v>
      </c>
      <c r="I26" s="29" t="n">
        <f aca="false">IF(N(I20)=0,"",I24/I20)</f>
        <v>0.352253473680897</v>
      </c>
      <c r="J26" s="29" t="n">
        <f aca="false">IF(N(J20)=0,"",J24/J20)</f>
        <v>0.105240597564526</v>
      </c>
    </row>
    <row r="28" customFormat="false" ht="17.15" hidden="false" customHeight="false" outlineLevel="0" collapsed="false">
      <c r="A28" s="21" t="s">
        <v>1659</v>
      </c>
    </row>
    <row r="29" customFormat="false" ht="17.15" hidden="false" customHeight="false" outlineLevel="0" collapsed="false">
      <c r="A29" s="5" t="s">
        <v>1660</v>
      </c>
      <c r="B29" s="0" t="s">
        <v>1574</v>
      </c>
      <c r="C29" s="0" t="s">
        <v>1414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37.8525147943925</v>
      </c>
      <c r="H29" s="29" t="n">
        <f aca="false">Deploy!H13</f>
        <v>60.8097687204296</v>
      </c>
      <c r="I29" s="29" t="n">
        <f aca="false">Deploy!I13</f>
        <v>87.7330615197793</v>
      </c>
      <c r="J29" s="29" t="n">
        <f aca="false">Deploy!J13</f>
        <v>115.396529624682</v>
      </c>
      <c r="K29" s="29" t="n">
        <f aca="false">Deploy!K13</f>
        <v>143.500513035706</v>
      </c>
      <c r="L29" s="29" t="n">
        <f aca="false">Deploy!L13</f>
        <v>168.149790517013</v>
      </c>
      <c r="M29" s="29" t="n">
        <f aca="false">Deploy!M13</f>
        <v>184.964769568714</v>
      </c>
    </row>
    <row r="30" customFormat="false" ht="17.15" hidden="false" customHeight="false" outlineLevel="0" collapsed="false">
      <c r="A30" s="5" t="s">
        <v>1661</v>
      </c>
      <c r="B30" s="0" t="s">
        <v>1574</v>
      </c>
      <c r="C30" s="0" t="s">
        <v>1414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37.8525147943925</v>
      </c>
      <c r="H30" s="29" t="n">
        <f aca="false">H29+MAX(0,tgt_xai_27-N(Players!H182))</f>
        <v>68.2247687204296</v>
      </c>
      <c r="I30" s="29" t="n">
        <f aca="false">I29+MAX(0,tgt_xai_27-N(Players!H182))</f>
        <v>95.1480615197794</v>
      </c>
      <c r="J30" s="29" t="n">
        <f aca="false">J29+MAX(0,tgt_xai_27-N(Players!H182))</f>
        <v>122.811529624682</v>
      </c>
      <c r="K30" s="29" t="n">
        <f aca="false">K29+MAX(0,tgt_xai_27-N(Players!H182))</f>
        <v>150.915513035706</v>
      </c>
      <c r="L30" s="29" t="n">
        <f aca="false">L29+MAX(0,tgt_xai_27-N(Players!H182))</f>
        <v>175.564790517013</v>
      </c>
      <c r="M30" s="29" t="n">
        <f aca="false">M29+MAX(0,tgt_xai_27-N(Players!H182))</f>
        <v>192.379769568714</v>
      </c>
      <c r="N30" s="20" t="s">
        <v>1662</v>
      </c>
    </row>
    <row r="31" customFormat="false" ht="17.15" hidden="false" customHeight="false" outlineLevel="0" collapsed="false">
      <c r="A31" s="5" t="s">
        <v>1663</v>
      </c>
      <c r="B31" s="0" t="s">
        <v>1574</v>
      </c>
      <c r="C31" s="0" t="s">
        <v>1414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37.8525147943925</v>
      </c>
      <c r="H31" s="29" t="n">
        <f aca="false">H29+(CapexGW!H147-CapexGW!H144)</f>
        <v>58.9584421947594</v>
      </c>
      <c r="I31" s="29" t="n">
        <f aca="false">I29+(CapexGW!H147-CapexGW!H144)+(CapexGW!I147-CapexGW!I144)</f>
        <v>83.3643139660573</v>
      </c>
      <c r="J31" s="29" t="n">
        <f aca="false">J29+(CapexGW!H147-CapexGW!H144)+(CapexGW!I147-CapexGW!I144)+(CapexGW!J147-CapexGW!J144)</f>
        <v>108.215788332853</v>
      </c>
      <c r="K31" s="29" t="n">
        <f aca="false">K29+(CapexGW!H147-CapexGW!H144)+(CapexGW!I147-CapexGW!I144)+(CapexGW!J147-CapexGW!J144)</f>
        <v>136.319771743878</v>
      </c>
      <c r="L31" s="29" t="n">
        <f aca="false">L29+(CapexGW!H147-CapexGW!H144)+(CapexGW!I147-CapexGW!I144)+(CapexGW!J147-CapexGW!J144)</f>
        <v>160.969049225184</v>
      </c>
      <c r="M31" s="29" t="n">
        <f aca="false">M29+(CapexGW!H147-CapexGW!H144)+(CapexGW!I147-CapexGW!I144)+(CapexGW!J147-CapexGW!J144)</f>
        <v>177.784028276885</v>
      </c>
      <c r="N31" s="20" t="s">
        <v>1664</v>
      </c>
    </row>
    <row r="32" customFormat="false" ht="17.15" hidden="false" customHeight="false" outlineLevel="0" collapsed="false">
      <c r="A32" s="5" t="s">
        <v>1665</v>
      </c>
      <c r="B32" s="0" t="s">
        <v>1574</v>
      </c>
      <c r="C32" s="0" t="s">
        <v>1414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37.8525147943925</v>
      </c>
      <c r="H32" s="29" t="n">
        <f aca="false">H29+(CapexGW!H148-CapexGW!H144)</f>
        <v>62.5942575184125</v>
      </c>
      <c r="I32" s="29" t="n">
        <f aca="false">I29+(CapexGW!H148-CapexGW!H144)+(CapexGW!I148-CapexGW!I144)</f>
        <v>91.9614972546483</v>
      </c>
      <c r="J32" s="29" t="n">
        <f aca="false">J29+(CapexGW!H148-CapexGW!H144)+(CapexGW!I148-CapexGW!I144)+(CapexGW!J148-CapexGW!J144)</f>
        <v>122.355392791673</v>
      </c>
      <c r="K32" s="29" t="n">
        <f aca="false">K29+(CapexGW!H148-CapexGW!H144)+(CapexGW!I148-CapexGW!I144)+(CapexGW!J148-CapexGW!J144)</f>
        <v>150.459376202698</v>
      </c>
      <c r="L32" s="29" t="n">
        <f aca="false">L29+(CapexGW!H148-CapexGW!H144)+(CapexGW!I148-CapexGW!I144)+(CapexGW!J148-CapexGW!J144)</f>
        <v>175.108653684004</v>
      </c>
      <c r="M32" s="29" t="n">
        <f aca="false">M29+(CapexGW!H148-CapexGW!H144)+(CapexGW!I148-CapexGW!I144)+(CapexGW!J148-CapexGW!J144)</f>
        <v>191.923632735705</v>
      </c>
      <c r="N32" s="20" t="s">
        <v>1664</v>
      </c>
    </row>
    <row r="33" customFormat="false" ht="17.15" hidden="false" customHeight="false" outlineLevel="0" collapsed="false">
      <c r="A33" s="5" t="s">
        <v>1666</v>
      </c>
      <c r="B33" s="0" t="s">
        <v>1574</v>
      </c>
      <c r="C33" s="0" t="s">
        <v>1414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37.8525147943925</v>
      </c>
      <c r="H33" s="29" t="n">
        <f aca="false">H29+(CapexGW!H149-CapexGW!H144)</f>
        <v>61.5852514206776</v>
      </c>
      <c r="I33" s="29" t="n">
        <f aca="false">I29+(CapexGW!H149-CapexGW!H144)+(CapexGW!I149-CapexGW!I144)</f>
        <v>89.0973919256298</v>
      </c>
      <c r="J33" s="29" t="n">
        <f aca="false">J29+(CapexGW!H149-CapexGW!H144)+(CapexGW!I149-CapexGW!I144)+(CapexGW!J149-CapexGW!J144)</f>
        <v>117.01061402028</v>
      </c>
      <c r="K33" s="29" t="n">
        <f aca="false">K29+(CapexGW!H149-CapexGW!H144)+(CapexGW!I149-CapexGW!I144)+(CapexGW!J149-CapexGW!J144)</f>
        <v>145.114597431304</v>
      </c>
      <c r="L33" s="29" t="n">
        <f aca="false">L29+(CapexGW!H149-CapexGW!H144)+(CapexGW!I149-CapexGW!I144)+(CapexGW!J149-CapexGW!J144)</f>
        <v>169.76387491261</v>
      </c>
      <c r="M33" s="29" t="n">
        <f aca="false">M29+(CapexGW!H149-CapexGW!H144)+(CapexGW!I149-CapexGW!I144)+(CapexGW!J149-CapexGW!J144)</f>
        <v>186.578853964312</v>
      </c>
      <c r="N33" s="20" t="s">
        <v>1664</v>
      </c>
    </row>
    <row r="34" customFormat="false" ht="17.15" hidden="false" customHeight="false" outlineLevel="0" collapsed="false">
      <c r="A34" s="5" t="s">
        <v>1667</v>
      </c>
      <c r="B34" s="0" t="s">
        <v>1574</v>
      </c>
      <c r="C34" s="0" t="s">
        <v>1414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37.8525147943925</v>
      </c>
      <c r="H34" s="29" t="n">
        <f aca="false">H29+(CapexGW!H150-CapexGW!H144)</f>
        <v>60.0342860201816</v>
      </c>
      <c r="I34" s="29" t="n">
        <f aca="false">I29+(CapexGW!H150-CapexGW!H144)+(CapexGW!I150-CapexGW!I144)</f>
        <v>86.3687311139289</v>
      </c>
      <c r="J34" s="29" t="n">
        <f aca="false">J29+(CapexGW!H150-CapexGW!H144)+(CapexGW!I150-CapexGW!I144)+(CapexGW!J150-CapexGW!J144)</f>
        <v>113.782445229084</v>
      </c>
      <c r="K34" s="29" t="n">
        <f aca="false">K29+(CapexGW!H150-CapexGW!H144)+(CapexGW!I150-CapexGW!I144)+(CapexGW!J150-CapexGW!J144)</f>
        <v>141.886428640108</v>
      </c>
      <c r="L34" s="29" t="n">
        <f aca="false">L29+(CapexGW!H150-CapexGW!H144)+(CapexGW!I150-CapexGW!I144)+(CapexGW!J150-CapexGW!J144)</f>
        <v>166.535706121415</v>
      </c>
      <c r="M34" s="29" t="n">
        <f aca="false">M29+(CapexGW!H150-CapexGW!H144)+(CapexGW!I150-CapexGW!I144)+(CapexGW!J150-CapexGW!J144)</f>
        <v>183.350685173116</v>
      </c>
      <c r="N34" s="20" t="s">
        <v>1664</v>
      </c>
    </row>
    <row r="36" customFormat="false" ht="17.15" hidden="false" customHeight="false" outlineLevel="0" collapsed="false">
      <c r="A36" s="5" t="s">
        <v>1668</v>
      </c>
    </row>
    <row r="37" customFormat="false" ht="17.15" hidden="false" customHeight="false" outlineLevel="0" collapsed="false">
      <c r="A37" s="0" t="s">
        <v>1669</v>
      </c>
    </row>
    <row r="38" customFormat="false" ht="17.15" hidden="false" customHeight="false" outlineLevel="0" collapsed="false">
      <c r="A38" s="0" t="s">
        <v>1670</v>
      </c>
    </row>
    <row r="39" customFormat="false" ht="17.15" hidden="false" customHeight="false" outlineLevel="0" collapsed="false">
      <c r="A39" s="0" t="s">
        <v>1671</v>
      </c>
    </row>
    <row r="40" customFormat="false" ht="17.15" hidden="false" customHeight="false" outlineLevel="0" collapsed="false">
      <c r="A40" s="0" t="s">
        <v>1672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1673</v>
      </c>
    </row>
    <row r="2" customFormat="false" ht="17.15" hidden="false" customHeight="false" outlineLevel="0" collapsed="false">
      <c r="A2" s="5" t="s">
        <v>1674</v>
      </c>
    </row>
    <row r="3" customFormat="false" ht="17.15" hidden="false" customHeight="false" outlineLevel="0" collapsed="false">
      <c r="A3" s="5" t="s">
        <v>1675</v>
      </c>
    </row>
    <row r="4" customFormat="false" ht="17.15" hidden="false" customHeight="false" outlineLevel="0" collapsed="false">
      <c r="A4" s="6" t="s">
        <v>1364</v>
      </c>
      <c r="B4" s="6" t="s">
        <v>15</v>
      </c>
      <c r="C4" s="6" t="s">
        <v>1642</v>
      </c>
      <c r="D4" s="6" t="s">
        <v>1643</v>
      </c>
      <c r="E4" s="6" t="s">
        <v>1676</v>
      </c>
      <c r="F4" s="6" t="s">
        <v>1677</v>
      </c>
      <c r="G4" s="6" t="s">
        <v>1678</v>
      </c>
      <c r="H4" s="6" t="s">
        <v>1679</v>
      </c>
      <c r="I4" s="6" t="s">
        <v>1680</v>
      </c>
      <c r="J4" s="6" t="s">
        <v>1681</v>
      </c>
      <c r="K4" s="6" t="s">
        <v>1682</v>
      </c>
      <c r="L4" s="7" t="s">
        <v>1683</v>
      </c>
      <c r="M4" s="6" t="s">
        <v>1684</v>
      </c>
      <c r="N4" s="6" t="s">
        <v>1685</v>
      </c>
      <c r="O4" s="6" t="s">
        <v>1686</v>
      </c>
      <c r="P4" s="6" t="s">
        <v>1687</v>
      </c>
      <c r="Q4" s="6" t="s">
        <v>1688</v>
      </c>
      <c r="R4" s="6" t="s">
        <v>1689</v>
      </c>
      <c r="S4" s="6" t="s">
        <v>1690</v>
      </c>
      <c r="T4" s="6" t="s">
        <v>1691</v>
      </c>
      <c r="U4" s="6" t="s">
        <v>1692</v>
      </c>
      <c r="V4" s="6" t="s">
        <v>1693</v>
      </c>
      <c r="W4" s="6" t="s">
        <v>1694</v>
      </c>
      <c r="X4" s="6" t="s">
        <v>1695</v>
      </c>
      <c r="Y4" s="6" t="s">
        <v>1696</v>
      </c>
      <c r="Z4" s="6" t="s">
        <v>1697</v>
      </c>
      <c r="AA4" s="6" t="s">
        <v>1698</v>
      </c>
      <c r="AB4" s="6" t="s">
        <v>1699</v>
      </c>
      <c r="AC4" s="6" t="s">
        <v>1700</v>
      </c>
      <c r="AD4" s="6" t="s">
        <v>1701</v>
      </c>
      <c r="AE4" s="6" t="s">
        <v>1702</v>
      </c>
      <c r="AF4" s="6" t="s">
        <v>1703</v>
      </c>
      <c r="AG4" s="6" t="s">
        <v>1704</v>
      </c>
      <c r="AH4" s="6" t="s">
        <v>1705</v>
      </c>
      <c r="AI4" s="6" t="s">
        <v>1706</v>
      </c>
      <c r="AJ4" s="6" t="s">
        <v>1707</v>
      </c>
      <c r="AK4" s="6" t="s">
        <v>1708</v>
      </c>
      <c r="AL4" s="6" t="s">
        <v>1709</v>
      </c>
      <c r="AM4" s="6" t="s">
        <v>1710</v>
      </c>
      <c r="AN4" s="6" t="s">
        <v>1711</v>
      </c>
      <c r="AO4" s="6" t="s">
        <v>1712</v>
      </c>
      <c r="AP4" s="6" t="s">
        <v>1713</v>
      </c>
      <c r="AQ4" s="6" t="s">
        <v>1714</v>
      </c>
    </row>
    <row r="5" customFormat="false" ht="15" hidden="false" customHeight="false" outlineLevel="0" collapsed="false">
      <c r="A5" s="0" t="s">
        <v>1715</v>
      </c>
      <c r="B5" s="0" t="s">
        <v>507</v>
      </c>
      <c r="C5" s="0" t="n">
        <v>2024</v>
      </c>
      <c r="D5" s="0" t="s">
        <v>1716</v>
      </c>
      <c r="E5" s="32" t="str">
        <f aca="false">IF((COUNTIFS(FundRaw!$C$4:$C$260,"msft",FundRaw!$E$4:$E$260,"2024",FundRaw!$F$4:$F$260,"ocf",FundRaw!$O$4:$O$260,1))=0,"",SUMIFS(FundRaw!$G$4:$G$260,FundRaw!$C$4:$C$260,"msft",FundRaw!$E$4:$E$260,"2024",FundRaw!$F$4:$F$260,"ocf",FundRaw!$O$4:$O$260,1))</f>
        <v/>
      </c>
      <c r="F5" s="32" t="str">
        <f aca="false">IF((COUNTIFS(FundRaw!$C$4:$C$260,"msft",FundRaw!$E$4:$E$260,"2024",FundRaw!$F$4:$F$260,"capex_cash",FundRaw!$O$4:$O$260,1))=0,"",SUMIFS(FundRaw!$G$4:$G$260,FundRaw!$C$4:$C$260,"msft",FundRaw!$E$4:$E$260,"2024",FundRaw!$F$4:$F$260,"capex_cash",FundRaw!$O$4:$O$260,1))</f>
        <v/>
      </c>
      <c r="G5" s="32" t="str">
        <f aca="false">IF((COUNTIFS(FundRaw!$C$4:$C$260,"msft",FundRaw!$E$4:$E$260,"2024",FundRaw!$F$4:$F$260,"fin_lease_new",FundRaw!$O$4:$O$260,1))=0,"",SUMIFS(FundRaw!$G$4:$G$260,FundRaw!$C$4:$C$260,"msft",FundRaw!$E$4:$E$260,"2024",FundRaw!$F$4:$F$260,"fin_lease_new",FundRaw!$O$4:$O$260,1))</f>
        <v/>
      </c>
      <c r="H5" s="32" t="str">
        <f aca="false">IF((COUNTIFS(FundRaw!$C$4:$C$260,"msft",FundRaw!$E$4:$E$260,"2024",FundRaw!$F$4:$F$260,"capex_incl_fl",FundRaw!$O$4:$O$260,1))=0,"",SUMIFS(FundRaw!$G$4:$G$260,FundRaw!$C$4:$C$260,"msft",FundRaw!$E$4:$E$260,"2024",FundRaw!$F$4:$F$260,"capex_incl_fl",FundRaw!$O$4:$O$260,1))</f>
        <v/>
      </c>
      <c r="I5" s="32" t="str">
        <f aca="false">IF((COUNTIFS(FundRaw!$C$4:$C$260,"msft",FundRaw!$E$4:$E$260,"2024",FundRaw!$F$4:$F$260,"fcf",FundRaw!$O$4:$O$260,1))=0,"",SUMIFS(FundRaw!$G$4:$G$260,FundRaw!$C$4:$C$260,"msft",FundRaw!$E$4:$E$260,"2024",FundRaw!$F$4:$F$260,"fcf",FundRaw!$O$4:$O$260,1))</f>
        <v/>
      </c>
      <c r="J5" s="32" t="n">
        <f aca="false">IF((COUNTIFS(FundRaw!$C$4:$C$260,"msft",FundRaw!$E$4:$E$260,"2024",FundRaw!$F$4:$F$260,"bond_issue",FundRaw!$O$4:$O$260,1))=0,"",SUMIFS(FundRaw!$G$4:$G$260,FundRaw!$C$4:$C$260,"msft",FundRaw!$E$4:$E$260,"2024",FundRaw!$F$4:$F$260,"bond_issue",FundRaw!$O$4:$O$260,1))</f>
        <v>24.395</v>
      </c>
      <c r="K5" s="32" t="str">
        <f aca="false">IF((COUNTIFS(FundRaw!$C$4:$C$260,"msft",FundRaw!$E$4:$E$260,"2024",FundRaw!$F$4:$F$260,"term_loan",FundRaw!$O$4:$O$260,1))=0,"",SUMIFS(FundRaw!$G$4:$G$260,FundRaw!$C$4:$C$260,"msft",FundRaw!$E$4:$E$260,"2024",FundRaw!$F$4:$F$260,"term_loan",FundRaw!$O$4:$O$260,1))</f>
        <v/>
      </c>
      <c r="L5" s="32" t="str">
        <f aca="false">IF((COUNTIFS(FundRaw!$C$4:$C$260,"msft",FundRaw!$E$4:$E$260,"2024",FundRaw!$F$4:$F$260,"gpu_debt",FundRaw!$O$4:$O$260,1))=0,"",SUMIFS(FundRaw!$G$4:$G$260,FundRaw!$C$4:$C$260,"msft",FundRaw!$E$4:$E$260,"2024",FundRaw!$F$4:$F$260,"gpu_debt",FundRaw!$O$4:$O$260,1))</f>
        <v/>
      </c>
      <c r="M5" s="32" t="str">
        <f aca="false">IF((COUNTIFS(FundRaw!$C$4:$C$260,"msft",FundRaw!$E$4:$E$260,"2024",FundRaw!$F$4:$F$260,"private_credit",FundRaw!$O$4:$O$260,1))=0,"",SUMIFS(FundRaw!$G$4:$G$260,FundRaw!$C$4:$C$260,"msft",FundRaw!$E$4:$E$260,"2024",FundRaw!$F$4:$F$260,"private_credit",FundRaw!$O$4:$O$260,1))</f>
        <v/>
      </c>
      <c r="N5" s="32" t="str">
        <f aca="false">IF((COUNTIFS(FundRaw!$C$4:$C$260,"msft",FundRaw!$E$4:$E$260,"2024",FundRaw!$F$4:$F$260,"net_debt_change",FundRaw!$O$4:$O$260,1))=0,"",SUMIFS(FundRaw!$G$4:$G$260,FundRaw!$C$4:$C$260,"msft",FundRaw!$E$4:$E$260,"2024",FundRaw!$F$4:$F$260,"net_debt_change",FundRaw!$O$4:$O$260,1))</f>
        <v/>
      </c>
      <c r="O5" s="32" t="str">
        <f aca="false">IF((COUNTIFS(FundRaw!$C$4:$C$260,"msft",FundRaw!$E$4:$E$260,"2024",FundRaw!$F$4:$F$260,"lease_not_commenced",FundRaw!$O$4:$O$260,1))=0,"",SUMIFS(FundRaw!$G$4:$G$260,FundRaw!$C$4:$C$260,"msft",FundRaw!$E$4:$E$260,"2024",FundRaw!$F$4:$F$260,"lease_not_commenced",FundRaw!$O$4:$O$260,1))</f>
        <v/>
      </c>
      <c r="P5" s="32" t="str">
        <f aca="false">IF((COUNTIFS(FundRaw!$C$4:$C$260,"msft",FundRaw!$E$4:$E$260,"2024",FundRaw!$F$4:$F$260,"jv_offbalance",FundRaw!$O$4:$O$260,1))=0,"",SUMIFS(FundRaw!$G$4:$G$260,FundRaw!$C$4:$C$260,"msft",FundRaw!$E$4:$E$260,"2024",FundRaw!$F$4:$F$260,"jv_offbalance",FundRaw!$O$4:$O$260,1))</f>
        <v/>
      </c>
      <c r="Q5" s="32" t="str">
        <f aca="false">IF((COUNTIFS(FundRaw!$C$4:$C$260,"msft",FundRaw!$E$4:$E$260,"2024",FundRaw!$F$4:$F$260,"jv_exposure",FundRaw!$O$4:$O$260,1))=0,"",SUMIFS(FundRaw!$G$4:$G$260,FundRaw!$C$4:$C$260,"msft",FundRaw!$E$4:$E$260,"2024",FundRaw!$F$4:$F$260,"jv_exposure",FundRaw!$O$4:$O$260,1))</f>
        <v/>
      </c>
      <c r="R5" s="32" t="str">
        <f aca="false">IF((COUNTIFS(FundRaw!$C$4:$C$260,"msft",FundRaw!$E$4:$E$260,"2024",FundRaw!$F$4:$F$260,"equity_round",FundRaw!$O$4:$O$260,1))=0,"",SUMIFS(FundRaw!$G$4:$G$260,FundRaw!$C$4:$C$260,"msft",FundRaw!$E$4:$E$260,"2024",FundRaw!$F$4:$F$260,"equity_round",FundRaw!$O$4:$O$260,1))</f>
        <v/>
      </c>
      <c r="S5" s="32" t="str">
        <f aca="false">IF((COUNTIFS(FundRaw!$C$4:$C$260,"msft",FundRaw!$E$4:$E$260,"2024",FundRaw!$F$4:$F$260,"vendor_financing",FundRaw!$O$4:$O$260,1))=0,"",SUMIFS(FundRaw!$G$4:$G$260,FundRaw!$C$4:$C$260,"msft",FundRaw!$E$4:$E$260,"2024",FundRaw!$F$4:$F$260,"vendor_financing",FundRaw!$O$4:$O$260,1))</f>
        <v/>
      </c>
      <c r="T5" s="32" t="n">
        <f aca="false">IF((COUNTIFS(FundRaw!$C$4:$C$260,"msft",FundRaw!$E$4:$E$260,"2024",FundRaw!$F$4:$F$260,"buyback_div",FundRaw!$O$4:$O$260,1))=0,"",SUMIFS(FundRaw!$G$4:$G$260,FundRaw!$C$4:$C$260,"msft",FundRaw!$E$4:$E$260,"2024",FundRaw!$F$4:$F$260,"buyback_div",FundRaw!$O$4:$O$260,1))</f>
        <v>39.025</v>
      </c>
      <c r="U5" s="32" t="str">
        <f aca="false">IF((COUNTIFS(FundRaw!$C$4:$C$260,"msft",FundRaw!$E$4:$E$260,"2024",FundRaw!$F$4:$F$260,"gpu_debt_talks",FundRaw!$O$4:$O$260,1))=0,"",SUMIFS(FundRaw!$G$4:$G$260,FundRaw!$C$4:$C$260,"msft",FundRaw!$E$4:$E$260,"2024",FundRaw!$F$4:$F$260,"gpu_debt_talks",FundRaw!$O$4:$O$260,1))</f>
        <v/>
      </c>
      <c r="V5" s="32" t="str">
        <f aca="false">IF((COUNTIFS(FundRaw!$C$4:$C$260,"msft",FundRaw!$E$4:$E$260,"2024",FundRaw!$F$4:$F$260,"bridge_refi",FundRaw!$O$4:$O$260,1))=0,"",SUMIFS(FundRaw!$G$4:$G$260,FundRaw!$C$4:$C$260,"msft",FundRaw!$E$4:$E$260,"2024",FundRaw!$F$4:$F$260,"bridge_refi",FundRaw!$O$4:$O$260,1))</f>
        <v/>
      </c>
      <c r="W5" s="32" t="str">
        <f aca="false">IF(H5&lt;&gt;"",H5,IF(F5&lt;&gt;"",F5+N(G5),""))</f>
        <v/>
      </c>
      <c r="X5" s="32" t="str">
        <f aca="false">IF(OR(W5="",E5=""),"",MAX(0,MIN(N(E5),W5-N(Y5))))</f>
        <v/>
      </c>
      <c r="Y5" s="32" t="str">
        <f aca="false">IF(W5="","",IF(AND(H5&lt;&gt;"",F5&lt;&gt;""),MAX(0,H5-F5),N(G5)))</f>
        <v/>
      </c>
      <c r="Z5" s="32" t="str">
        <f aca="false">IF(W5="","",MAX(0,MIN(N(R5),W5-N(X5)-N(Y5))))</f>
        <v/>
      </c>
      <c r="AA5" s="32" t="str">
        <f aca="false">IF(W5="","",MAX(0,MIN(N(J5)+N(K5)+N(L5)+N(M5),W5-N(X5)-N(Y5)-N(Z5))))</f>
        <v/>
      </c>
      <c r="AB5" s="32" t="str">
        <f aca="false">IF(W5="","",W5-N(X5)-N(Y5)-N(Z5)-N(AA5))</f>
        <v/>
      </c>
      <c r="AC5" s="37" t="str">
        <f aca="false">IF(OR(W5="",N(W5)=0,X5=""),"",X5/W5)</f>
        <v/>
      </c>
      <c r="AD5" s="37" t="str">
        <f aca="false">IF(OR(W5="",N(W5)=0,Y5=""),"",Y5/W5)</f>
        <v/>
      </c>
      <c r="AE5" s="37" t="str">
        <f aca="false">IF(OR(W5="",N(W5)=0,Z5=""),"",Z5/W5)</f>
        <v/>
      </c>
      <c r="AF5" s="37" t="str">
        <f aca="false">IF(OR(W5="",N(W5)=0,AA5=""),"",AA5/W5)</f>
        <v/>
      </c>
      <c r="AG5" s="37" t="str">
        <f aca="false">IF(OR(W5="",N(W5)=0,AB5=""),"",AB5/W5)</f>
        <v/>
      </c>
      <c r="AH5" s="32" t="n">
        <f aca="false">N(J5)+N(K5)+N(L5)+N(M5)+N(R5)+N(G5)</f>
        <v>24.395</v>
      </c>
      <c r="AI5" s="22" t="n">
        <f aca="false">IF(N(AH5)=0,"",(N(J5)+N(K5)+N(L5)+N(M5))/AH5)</f>
        <v>1</v>
      </c>
      <c r="AJ5" s="22" t="n">
        <f aca="false">IF(N(AH5)=0,"",(N(R5))/AH5)</f>
        <v>0</v>
      </c>
      <c r="AK5" s="22" t="n">
        <f aca="false">IF(N(AH5)=0,"",(N(G5))/AH5)</f>
        <v>0</v>
      </c>
      <c r="AL5" s="32" t="n">
        <f aca="false">N(J5)+N(K5)+N(L5)+N(M5)+IF(AND(H5&lt;&gt;"",F5&lt;&gt;""),MAX(0,H5-F5),N(G5))+N(P5)+N(R5)</f>
        <v>24.395</v>
      </c>
      <c r="AM5" s="37" t="str">
        <f aca="false">IF(OR(W5="",N(W5)=0),"",AL5/W5)</f>
        <v/>
      </c>
      <c r="AN5" s="37" t="str">
        <f aca="false">IF(OR(W5="",N(W5)=0,E5=""),"",E5/W5)</f>
        <v/>
      </c>
      <c r="AO5" s="22" t="str">
        <f aca="false">IF(OR(W5="",N(W5)=0),"",(N(J5)+N(K5)+N(L5)+N(M5))/W5)</f>
        <v/>
      </c>
      <c r="AP5" s="22" t="str">
        <f aca="false">IF(OR(W5="",N(W5)=0),"",N(R5)/W5)</f>
        <v/>
      </c>
      <c r="AQ5" s="22" t="str">
        <f aca="false">IF(OR(W5="",N(W5)=0),"",(IF(AND(H5&lt;&gt;"",F5&lt;&gt;""),MAX(0,H5-F5),N(G5))+N(P5))/W5)</f>
        <v/>
      </c>
    </row>
    <row r="6" customFormat="false" ht="15" hidden="false" customHeight="false" outlineLevel="0" collapsed="false">
      <c r="A6" s="0" t="s">
        <v>1715</v>
      </c>
      <c r="B6" s="0" t="s">
        <v>507</v>
      </c>
      <c r="C6" s="0" t="n">
        <v>2025</v>
      </c>
      <c r="D6" s="0" t="s">
        <v>1717</v>
      </c>
      <c r="E6" s="32" t="n">
        <f aca="false">IF((COUNTIFS(FundRaw!$C$4:$C$260,"msft",FundRaw!$E$4:$E$260,"2025",FundRaw!$F$4:$F$260,"ocf",FundRaw!$O$4:$O$260,1))=0,"",SUMIFS(FundRaw!$G$4:$G$260,FundRaw!$C$4:$C$260,"msft",FundRaw!$E$4:$E$260,"2025",FundRaw!$F$4:$F$260,"ocf",FundRaw!$O$4:$O$260,1))</f>
        <v>136.162</v>
      </c>
      <c r="F6" s="32" t="n">
        <f aca="false">IF((COUNTIFS(FundRaw!$C$4:$C$260,"msft",FundRaw!$E$4:$E$260,"2025",FundRaw!$F$4:$F$260,"capex_cash",FundRaw!$O$4:$O$260,1))=0,"",SUMIFS(FundRaw!$G$4:$G$260,FundRaw!$C$4:$C$260,"msft",FundRaw!$E$4:$E$260,"2025",FundRaw!$F$4:$F$260,"capex_cash",FundRaw!$O$4:$O$260,1))</f>
        <v>64.551</v>
      </c>
      <c r="G6" s="32" t="n">
        <f aca="false">IF((COUNTIFS(FundRaw!$C$4:$C$260,"msft",FundRaw!$E$4:$E$260,"2025",FundRaw!$F$4:$F$260,"fin_lease_new",FundRaw!$O$4:$O$260,1))=0,"",SUMIFS(FundRaw!$G$4:$G$260,FundRaw!$C$4:$C$260,"msft",FundRaw!$E$4:$E$260,"2025",FundRaw!$F$4:$F$260,"fin_lease_new",FundRaw!$O$4:$O$260,1))</f>
        <v>20.511</v>
      </c>
      <c r="H6" s="32" t="n">
        <f aca="false">IF((COUNTIFS(FundRaw!$C$4:$C$260,"msft",FundRaw!$E$4:$E$260,"2025",FundRaw!$F$4:$F$260,"capex_incl_fl",FundRaw!$O$4:$O$260,1))=0,"",SUMIFS(FundRaw!$G$4:$G$260,FundRaw!$C$4:$C$260,"msft",FundRaw!$E$4:$E$260,"2025",FundRaw!$F$4:$F$260,"capex_incl_fl",FundRaw!$O$4:$O$260,1))</f>
        <v>85.062</v>
      </c>
      <c r="I6" s="32" t="str">
        <f aca="false">IF((COUNTIFS(FundRaw!$C$4:$C$260,"msft",FundRaw!$E$4:$E$260,"2025",FundRaw!$F$4:$F$260,"fcf",FundRaw!$O$4:$O$260,1))=0,"",SUMIFS(FundRaw!$G$4:$G$260,FundRaw!$C$4:$C$260,"msft",FundRaw!$E$4:$E$260,"2025",FundRaw!$F$4:$F$260,"fcf",FundRaw!$O$4:$O$260,1))</f>
        <v/>
      </c>
      <c r="J6" s="32" t="n">
        <f aca="false">IF((COUNTIFS(FundRaw!$C$4:$C$260,"msft",FundRaw!$E$4:$E$260,"2025",FundRaw!$F$4:$F$260,"bond_issue",FundRaw!$O$4:$O$260,1))=0,"",SUMIFS(FundRaw!$G$4:$G$260,FundRaw!$C$4:$C$260,"msft",FundRaw!$E$4:$E$260,"2025",FundRaw!$F$4:$F$260,"bond_issue",FundRaw!$O$4:$O$260,1))</f>
        <v>0</v>
      </c>
      <c r="K6" s="32" t="str">
        <f aca="false">IF((COUNTIFS(FundRaw!$C$4:$C$260,"msft",FundRaw!$E$4:$E$260,"2025",FundRaw!$F$4:$F$260,"term_loan",FundRaw!$O$4:$O$260,1))=0,"",SUMIFS(FundRaw!$G$4:$G$260,FundRaw!$C$4:$C$260,"msft",FundRaw!$E$4:$E$260,"2025",FundRaw!$F$4:$F$260,"term_loan",FundRaw!$O$4:$O$260,1))</f>
        <v/>
      </c>
      <c r="L6" s="32" t="str">
        <f aca="false">IF((COUNTIFS(FundRaw!$C$4:$C$260,"msft",FundRaw!$E$4:$E$260,"2025",FundRaw!$F$4:$F$260,"gpu_debt",FundRaw!$O$4:$O$260,1))=0,"",SUMIFS(FundRaw!$G$4:$G$260,FundRaw!$C$4:$C$260,"msft",FundRaw!$E$4:$E$260,"2025",FundRaw!$F$4:$F$260,"gpu_debt",FundRaw!$O$4:$O$260,1))</f>
        <v/>
      </c>
      <c r="M6" s="32" t="str">
        <f aca="false">IF((COUNTIFS(FundRaw!$C$4:$C$260,"msft",FundRaw!$E$4:$E$260,"2025",FundRaw!$F$4:$F$260,"private_credit",FundRaw!$O$4:$O$260,1))=0,"",SUMIFS(FundRaw!$G$4:$G$260,FundRaw!$C$4:$C$260,"msft",FundRaw!$E$4:$E$260,"2025",FundRaw!$F$4:$F$260,"private_credit",FundRaw!$O$4:$O$260,1))</f>
        <v/>
      </c>
      <c r="N6" s="32" t="str">
        <f aca="false">IF((COUNTIFS(FundRaw!$C$4:$C$260,"msft",FundRaw!$E$4:$E$260,"2025",FundRaw!$F$4:$F$260,"net_debt_change",FundRaw!$O$4:$O$260,1))=0,"",SUMIFS(FundRaw!$G$4:$G$260,FundRaw!$C$4:$C$260,"msft",FundRaw!$E$4:$E$260,"2025",FundRaw!$F$4:$F$260,"net_debt_change",FundRaw!$O$4:$O$260,1))</f>
        <v/>
      </c>
      <c r="O6" s="32" t="n">
        <f aca="false">IF((COUNTIFS(FundRaw!$C$4:$C$260,"msft",FundRaw!$E$4:$E$260,"2025",FundRaw!$F$4:$F$260,"lease_not_commenced",FundRaw!$O$4:$O$260,1))=0,"",SUMIFS(FundRaw!$G$4:$G$260,FundRaw!$C$4:$C$260,"msft",FundRaw!$E$4:$E$260,"2025",FundRaw!$F$4:$F$260,"lease_not_commenced",FundRaw!$O$4:$O$260,1))</f>
        <v>92.7</v>
      </c>
      <c r="P6" s="32" t="str">
        <f aca="false">IF((COUNTIFS(FundRaw!$C$4:$C$260,"msft",FundRaw!$E$4:$E$260,"2025",FundRaw!$F$4:$F$260,"jv_offbalance",FundRaw!$O$4:$O$260,1))=0,"",SUMIFS(FundRaw!$G$4:$G$260,FundRaw!$C$4:$C$260,"msft",FundRaw!$E$4:$E$260,"2025",FundRaw!$F$4:$F$260,"jv_offbalance",FundRaw!$O$4:$O$260,1))</f>
        <v/>
      </c>
      <c r="Q6" s="32" t="str">
        <f aca="false">IF((COUNTIFS(FundRaw!$C$4:$C$260,"msft",FundRaw!$E$4:$E$260,"2025",FundRaw!$F$4:$F$260,"jv_exposure",FundRaw!$O$4:$O$260,1))=0,"",SUMIFS(FundRaw!$G$4:$G$260,FundRaw!$C$4:$C$260,"msft",FundRaw!$E$4:$E$260,"2025",FundRaw!$F$4:$F$260,"jv_exposure",FundRaw!$O$4:$O$260,1))</f>
        <v/>
      </c>
      <c r="R6" s="32" t="str">
        <f aca="false">IF((COUNTIFS(FundRaw!$C$4:$C$260,"msft",FundRaw!$E$4:$E$260,"2025",FundRaw!$F$4:$F$260,"equity_round",FundRaw!$O$4:$O$260,1))=0,"",SUMIFS(FundRaw!$G$4:$G$260,FundRaw!$C$4:$C$260,"msft",FundRaw!$E$4:$E$260,"2025",FundRaw!$F$4:$F$260,"equity_round",FundRaw!$O$4:$O$260,1))</f>
        <v/>
      </c>
      <c r="S6" s="32" t="str">
        <f aca="false">IF((COUNTIFS(FundRaw!$C$4:$C$260,"msft",FundRaw!$E$4:$E$260,"2025",FundRaw!$F$4:$F$260,"vendor_financing",FundRaw!$O$4:$O$260,1))=0,"",SUMIFS(FundRaw!$G$4:$G$260,FundRaw!$C$4:$C$260,"msft",FundRaw!$E$4:$E$260,"2025",FundRaw!$F$4:$F$260,"vendor_financing",FundRaw!$O$4:$O$260,1))</f>
        <v/>
      </c>
      <c r="T6" s="32" t="n">
        <f aca="false">IF((COUNTIFS(FundRaw!$C$4:$C$260,"msft",FundRaw!$E$4:$E$260,"2025",FundRaw!$F$4:$F$260,"buyback_div",FundRaw!$O$4:$O$260,1))=0,"",SUMIFS(FundRaw!$G$4:$G$260,FundRaw!$C$4:$C$260,"msft",FundRaw!$E$4:$E$260,"2025",FundRaw!$F$4:$F$260,"buyback_div",FundRaw!$O$4:$O$260,1))</f>
        <v>42.502</v>
      </c>
      <c r="U6" s="32" t="str">
        <f aca="false">IF((COUNTIFS(FundRaw!$C$4:$C$260,"msft",FundRaw!$E$4:$E$260,"2025",FundRaw!$F$4:$F$260,"gpu_debt_talks",FundRaw!$O$4:$O$260,1))=0,"",SUMIFS(FundRaw!$G$4:$G$260,FundRaw!$C$4:$C$260,"msft",FundRaw!$E$4:$E$260,"2025",FundRaw!$F$4:$F$260,"gpu_debt_talks",FundRaw!$O$4:$O$260,1))</f>
        <v/>
      </c>
      <c r="V6" s="32" t="str">
        <f aca="false">IF((COUNTIFS(FundRaw!$C$4:$C$260,"msft",FundRaw!$E$4:$E$260,"2025",FundRaw!$F$4:$F$260,"bridge_refi",FundRaw!$O$4:$O$260,1))=0,"",SUMIFS(FundRaw!$G$4:$G$260,FundRaw!$C$4:$C$260,"msft",FundRaw!$E$4:$E$260,"2025",FundRaw!$F$4:$F$260,"bridge_refi",FundRaw!$O$4:$O$260,1))</f>
        <v/>
      </c>
      <c r="W6" s="32" t="n">
        <f aca="false">IF(H6&lt;&gt;"",H6,IF(F6&lt;&gt;"",F6+N(G6),""))</f>
        <v>85.062</v>
      </c>
      <c r="X6" s="32" t="n">
        <f aca="false">IF(OR(W6="",E6=""),"",MAX(0,MIN(N(E6),W6-N(Y6))))</f>
        <v>64.551</v>
      </c>
      <c r="Y6" s="32" t="n">
        <f aca="false">IF(W6="","",IF(AND(H6&lt;&gt;"",F6&lt;&gt;""),MAX(0,H6-F6),N(G6)))</f>
        <v>20.511</v>
      </c>
      <c r="Z6" s="32" t="n">
        <f aca="false">IF(W6="","",MAX(0,MIN(N(R6),W6-N(X6)-N(Y6))))</f>
        <v>0</v>
      </c>
      <c r="AA6" s="32" t="n">
        <f aca="false">IF(W6="","",MAX(0,MIN(N(J6)+N(K6)+N(L6)+N(M6),W6-N(X6)-N(Y6)-N(Z6))))</f>
        <v>0</v>
      </c>
      <c r="AB6" s="32" t="n">
        <f aca="false">IF(W6="","",W6-N(X6)-N(Y6)-N(Z6)-N(AA6))</f>
        <v>0</v>
      </c>
      <c r="AC6" s="37" t="n">
        <f aca="false">IF(OR(W6="",N(W6)=0,X6=""),"",X6/W6)</f>
        <v>0.758870000705368</v>
      </c>
      <c r="AD6" s="37" t="n">
        <f aca="false">IF(OR(W6="",N(W6)=0,Y6=""),"",Y6/W6)</f>
        <v>0.241129999294632</v>
      </c>
      <c r="AE6" s="37" t="n">
        <f aca="false">IF(OR(W6="",N(W6)=0,Z6=""),"",Z6/W6)</f>
        <v>0</v>
      </c>
      <c r="AF6" s="37" t="n">
        <f aca="false">IF(OR(W6="",N(W6)=0,AA6=""),"",AA6/W6)</f>
        <v>0</v>
      </c>
      <c r="AG6" s="37" t="n">
        <f aca="false">IF(OR(W6="",N(W6)=0,AB6=""),"",AB6/W6)</f>
        <v>0</v>
      </c>
      <c r="AH6" s="32" t="n">
        <f aca="false">N(J6)+N(K6)+N(L6)+N(M6)+N(R6)+N(G6)</f>
        <v>20.511</v>
      </c>
      <c r="AI6" s="22" t="n">
        <f aca="false">IF(N(AH6)=0,"",(N(J6)+N(K6)+N(L6)+N(M6))/AH6)</f>
        <v>0</v>
      </c>
      <c r="AJ6" s="22" t="n">
        <f aca="false">IF(N(AH6)=0,"",(N(R6))/AH6)</f>
        <v>0</v>
      </c>
      <c r="AK6" s="22" t="n">
        <f aca="false">IF(N(AH6)=0,"",(N(G6))/AH6)</f>
        <v>1</v>
      </c>
      <c r="AL6" s="32" t="n">
        <f aca="false">N(J6)+N(K6)+N(L6)+N(M6)+IF(AND(H6&lt;&gt;"",F6&lt;&gt;""),MAX(0,H6-F6),N(G6))+N(P6)+N(R6)</f>
        <v>20.511</v>
      </c>
      <c r="AM6" s="37" t="n">
        <f aca="false">IF(OR(W6="",N(W6)=0),"",AL6/W6)</f>
        <v>0.241129999294632</v>
      </c>
      <c r="AN6" s="37" t="n">
        <f aca="false">IF(OR(W6="",N(W6)=0,E6=""),"",E6/W6)</f>
        <v>1.60073828501564</v>
      </c>
      <c r="AO6" s="22" t="n">
        <f aca="false">IF(OR(W6="",N(W6)=0),"",(N(J6)+N(K6)+N(L6)+N(M6))/W6)</f>
        <v>0</v>
      </c>
      <c r="AP6" s="22" t="n">
        <f aca="false">IF(OR(W6="",N(W6)=0),"",N(R6)/W6)</f>
        <v>0</v>
      </c>
      <c r="AQ6" s="22" t="n">
        <f aca="false">IF(OR(W6="",N(W6)=0),"",(IF(AND(H6&lt;&gt;"",F6&lt;&gt;""),MAX(0,H6-F6),N(G6))+N(P6))/W6)</f>
        <v>0.241129999294632</v>
      </c>
    </row>
    <row r="7" customFormat="false" ht="15" hidden="false" customHeight="false" outlineLevel="0" collapsed="false">
      <c r="A7" s="0" t="s">
        <v>1715</v>
      </c>
      <c r="B7" s="0" t="s">
        <v>507</v>
      </c>
      <c r="C7" s="0" t="n">
        <v>2026</v>
      </c>
      <c r="D7" s="0" t="s">
        <v>1718</v>
      </c>
      <c r="E7" s="32" t="n">
        <f aca="false">IF((COUNTIFS(FundRaw!$C$4:$C$260,"msft",FundRaw!$E$4:$E$260,"2026",FundRaw!$F$4:$F$260,"ocf",FundRaw!$O$4:$O$260,1))=0,"",SUMIFS(FundRaw!$G$4:$G$260,FundRaw!$C$4:$C$260,"msft",FundRaw!$E$4:$E$260,"2026",FundRaw!$F$4:$F$260,"ocf",FundRaw!$O$4:$O$260,1))</f>
        <v>182.935</v>
      </c>
      <c r="F7" s="32" t="n">
        <f aca="false">IF((COUNTIFS(FundRaw!$C$4:$C$260,"msft",FundRaw!$E$4:$E$260,"2026",FundRaw!$F$4:$F$260,"capex_cash",FundRaw!$O$4:$O$260,1))=0,"",SUMIFS(FundRaw!$G$4:$G$260,FundRaw!$C$4:$C$260,"msft",FundRaw!$E$4:$E$260,"2026",FundRaw!$F$4:$F$260,"capex_cash",FundRaw!$O$4:$O$260,1))</f>
        <v>115.948</v>
      </c>
      <c r="G7" s="32" t="str">
        <f aca="false">IF((COUNTIFS(FundRaw!$C$4:$C$260,"msft",FundRaw!$E$4:$E$260,"2026",FundRaw!$F$4:$F$260,"fin_lease_new",FundRaw!$O$4:$O$260,1))=0,"",SUMIFS(FundRaw!$G$4:$G$260,FundRaw!$C$4:$C$260,"msft",FundRaw!$E$4:$E$260,"2026",FundRaw!$F$4:$F$260,"fin_lease_new",FundRaw!$O$4:$O$260,1))</f>
        <v/>
      </c>
      <c r="H7" s="32" t="n">
        <f aca="false">IF((COUNTIFS(FundRaw!$C$4:$C$260,"msft",FundRaw!$E$4:$E$260,"2026",FundRaw!$F$4:$F$260,"capex_incl_fl",FundRaw!$O$4:$O$260,1))=0,"",SUMIFS(FundRaw!$G$4:$G$260,FundRaw!$C$4:$C$260,"msft",FundRaw!$E$4:$E$260,"2026",FundRaw!$F$4:$F$260,"capex_incl_fl",FundRaw!$O$4:$O$260,1))</f>
        <v>140.556</v>
      </c>
      <c r="I7" s="32" t="str">
        <f aca="false">IF((COUNTIFS(FundRaw!$C$4:$C$260,"msft",FundRaw!$E$4:$E$260,"2026",FundRaw!$F$4:$F$260,"fcf",FundRaw!$O$4:$O$260,1))=0,"",SUMIFS(FundRaw!$G$4:$G$260,FundRaw!$C$4:$C$260,"msft",FundRaw!$E$4:$E$260,"2026",FundRaw!$F$4:$F$260,"fcf",FundRaw!$O$4:$O$260,1))</f>
        <v/>
      </c>
      <c r="J7" s="32" t="n">
        <f aca="false">IF((COUNTIFS(FundRaw!$C$4:$C$260,"msft",FundRaw!$E$4:$E$260,"2026",FundRaw!$F$4:$F$260,"bond_issue",FundRaw!$O$4:$O$260,1))=0,"",SUMIFS(FundRaw!$G$4:$G$260,FundRaw!$C$4:$C$260,"msft",FundRaw!$E$4:$E$260,"2026",FundRaw!$F$4:$F$260,"bond_issue",FundRaw!$O$4:$O$260,1))</f>
        <v>0</v>
      </c>
      <c r="K7" s="32" t="str">
        <f aca="false">IF((COUNTIFS(FundRaw!$C$4:$C$260,"msft",FundRaw!$E$4:$E$260,"2026",FundRaw!$F$4:$F$260,"term_loan",FundRaw!$O$4:$O$260,1))=0,"",SUMIFS(FundRaw!$G$4:$G$260,FundRaw!$C$4:$C$260,"msft",FundRaw!$E$4:$E$260,"2026",FundRaw!$F$4:$F$260,"term_loan",FundRaw!$O$4:$O$260,1))</f>
        <v/>
      </c>
      <c r="L7" s="32" t="str">
        <f aca="false">IF((COUNTIFS(FundRaw!$C$4:$C$260,"msft",FundRaw!$E$4:$E$260,"2026",FundRaw!$F$4:$F$260,"gpu_debt",FundRaw!$O$4:$O$260,1))=0,"",SUMIFS(FundRaw!$G$4:$G$260,FundRaw!$C$4:$C$260,"msft",FundRaw!$E$4:$E$260,"2026",FundRaw!$F$4:$F$260,"gpu_debt",FundRaw!$O$4:$O$260,1))</f>
        <v/>
      </c>
      <c r="M7" s="32" t="str">
        <f aca="false">IF((COUNTIFS(FundRaw!$C$4:$C$260,"msft",FundRaw!$E$4:$E$260,"2026",FundRaw!$F$4:$F$260,"private_credit",FundRaw!$O$4:$O$260,1))=0,"",SUMIFS(FundRaw!$G$4:$G$260,FundRaw!$C$4:$C$260,"msft",FundRaw!$E$4:$E$260,"2026",FundRaw!$F$4:$F$260,"private_credit",FundRaw!$O$4:$O$260,1))</f>
        <v/>
      </c>
      <c r="N7" s="32" t="str">
        <f aca="false">IF((COUNTIFS(FundRaw!$C$4:$C$260,"msft",FundRaw!$E$4:$E$260,"2026",FundRaw!$F$4:$F$260,"net_debt_change",FundRaw!$O$4:$O$260,1))=0,"",SUMIFS(FundRaw!$G$4:$G$260,FundRaw!$C$4:$C$260,"msft",FundRaw!$E$4:$E$260,"2026",FundRaw!$F$4:$F$260,"net_debt_change",FundRaw!$O$4:$O$260,1))</f>
        <v/>
      </c>
      <c r="O7" s="32" t="n">
        <f aca="false">IF((COUNTIFS(FundRaw!$C$4:$C$260,"msft",FundRaw!$E$4:$E$260,"2026",FundRaw!$F$4:$F$260,"lease_not_commenced",FundRaw!$O$4:$O$260,1))=0,"",SUMIFS(FundRaw!$G$4:$G$260,FundRaw!$C$4:$C$260,"msft",FundRaw!$E$4:$E$260,"2026",FundRaw!$F$4:$F$260,"lease_not_commenced",FundRaw!$O$4:$O$260,1))</f>
        <v>329.1</v>
      </c>
      <c r="P7" s="32" t="str">
        <f aca="false">IF((COUNTIFS(FundRaw!$C$4:$C$260,"msft",FundRaw!$E$4:$E$260,"2026",FundRaw!$F$4:$F$260,"jv_offbalance",FundRaw!$O$4:$O$260,1))=0,"",SUMIFS(FundRaw!$G$4:$G$260,FundRaw!$C$4:$C$260,"msft",FundRaw!$E$4:$E$260,"2026",FundRaw!$F$4:$F$260,"jv_offbalance",FundRaw!$O$4:$O$260,1))</f>
        <v/>
      </c>
      <c r="Q7" s="32" t="str">
        <f aca="false">IF((COUNTIFS(FundRaw!$C$4:$C$260,"msft",FundRaw!$E$4:$E$260,"2026",FundRaw!$F$4:$F$260,"jv_exposure",FundRaw!$O$4:$O$260,1))=0,"",SUMIFS(FundRaw!$G$4:$G$260,FundRaw!$C$4:$C$260,"msft",FundRaw!$E$4:$E$260,"2026",FundRaw!$F$4:$F$260,"jv_exposure",FundRaw!$O$4:$O$260,1))</f>
        <v/>
      </c>
      <c r="R7" s="32" t="str">
        <f aca="false">IF((COUNTIFS(FundRaw!$C$4:$C$260,"msft",FundRaw!$E$4:$E$260,"2026",FundRaw!$F$4:$F$260,"equity_round",FundRaw!$O$4:$O$260,1))=0,"",SUMIFS(FundRaw!$G$4:$G$260,FundRaw!$C$4:$C$260,"msft",FundRaw!$E$4:$E$260,"2026",FundRaw!$F$4:$F$260,"equity_round",FundRaw!$O$4:$O$260,1))</f>
        <v/>
      </c>
      <c r="S7" s="32" t="str">
        <f aca="false">IF((COUNTIFS(FundRaw!$C$4:$C$260,"msft",FundRaw!$E$4:$E$260,"2026",FundRaw!$F$4:$F$260,"vendor_financing",FundRaw!$O$4:$O$260,1))=0,"",SUMIFS(FundRaw!$G$4:$G$260,FundRaw!$C$4:$C$260,"msft",FundRaw!$E$4:$E$260,"2026",FundRaw!$F$4:$F$260,"vendor_financing",FundRaw!$O$4:$O$260,1))</f>
        <v/>
      </c>
      <c r="T7" s="32" t="n">
        <f aca="false">IF((COUNTIFS(FundRaw!$C$4:$C$260,"msft",FundRaw!$E$4:$E$260,"2026",FundRaw!$F$4:$F$260,"buyback_div",FundRaw!$O$4:$O$260,1))=0,"",SUMIFS(FundRaw!$G$4:$G$260,FundRaw!$C$4:$C$260,"msft",FundRaw!$E$4:$E$260,"2026",FundRaw!$F$4:$F$260,"buyback_div",FundRaw!$O$4:$O$260,1))</f>
        <v>48.716</v>
      </c>
      <c r="U7" s="32" t="str">
        <f aca="false">IF((COUNTIFS(FundRaw!$C$4:$C$260,"msft",FundRaw!$E$4:$E$260,"2026",FundRaw!$F$4:$F$260,"gpu_debt_talks",FundRaw!$O$4:$O$260,1))=0,"",SUMIFS(FundRaw!$G$4:$G$260,FundRaw!$C$4:$C$260,"msft",FundRaw!$E$4:$E$260,"2026",FundRaw!$F$4:$F$260,"gpu_debt_talks",FundRaw!$O$4:$O$260,1))</f>
        <v/>
      </c>
      <c r="V7" s="32" t="str">
        <f aca="false">IF((COUNTIFS(FundRaw!$C$4:$C$260,"msft",FundRaw!$E$4:$E$260,"2026",FundRaw!$F$4:$F$260,"bridge_refi",FundRaw!$O$4:$O$260,1))=0,"",SUMIFS(FundRaw!$G$4:$G$260,FundRaw!$C$4:$C$260,"msft",FundRaw!$E$4:$E$260,"2026",FundRaw!$F$4:$F$260,"bridge_refi",FundRaw!$O$4:$O$260,1))</f>
        <v/>
      </c>
      <c r="W7" s="32" t="n">
        <f aca="false">IF(H7&lt;&gt;"",H7,IF(F7&lt;&gt;"",F7+N(G7),""))</f>
        <v>140.556</v>
      </c>
      <c r="X7" s="32" t="n">
        <f aca="false">IF(OR(W7="",E7=""),"",MAX(0,MIN(N(E7),W7-N(Y7))))</f>
        <v>115.948</v>
      </c>
      <c r="Y7" s="32" t="n">
        <f aca="false">IF(W7="","",IF(AND(H7&lt;&gt;"",F7&lt;&gt;""),MAX(0,H7-F7),N(G7)))</f>
        <v>24.608</v>
      </c>
      <c r="Z7" s="32" t="n">
        <f aca="false">IF(W7="","",MAX(0,MIN(N(R7),W7-N(X7)-N(Y7))))</f>
        <v>0</v>
      </c>
      <c r="AA7" s="32" t="n">
        <f aca="false">IF(W7="","",MAX(0,MIN(N(J7)+N(K7)+N(L7)+N(M7),W7-N(X7)-N(Y7)-N(Z7))))</f>
        <v>0</v>
      </c>
      <c r="AB7" s="32" t="n">
        <f aca="false">IF(W7="","",W7-N(X7)-N(Y7)-N(Z7)-N(AA7))</f>
        <v>0</v>
      </c>
      <c r="AC7" s="37" t="n">
        <f aca="false">IF(OR(W7="",N(W7)=0,X7=""),"",X7/W7)</f>
        <v>0.824923873758502</v>
      </c>
      <c r="AD7" s="37" t="n">
        <f aca="false">IF(OR(W7="",N(W7)=0,Y7=""),"",Y7/W7)</f>
        <v>0.175076126241498</v>
      </c>
      <c r="AE7" s="37" t="n">
        <f aca="false">IF(OR(W7="",N(W7)=0,Z7=""),"",Z7/W7)</f>
        <v>0</v>
      </c>
      <c r="AF7" s="37" t="n">
        <f aca="false">IF(OR(W7="",N(W7)=0,AA7=""),"",AA7/W7)</f>
        <v>0</v>
      </c>
      <c r="AG7" s="37" t="n">
        <f aca="false">IF(OR(W7="",N(W7)=0,AB7=""),"",AB7/W7)</f>
        <v>0</v>
      </c>
      <c r="AH7" s="32" t="n">
        <f aca="false">N(J7)+N(K7)+N(L7)+N(M7)+N(R7)+N(G7)</f>
        <v>0</v>
      </c>
      <c r="AI7" s="22" t="str">
        <f aca="false">IF(N(AH7)=0,"",(N(J7)+N(K7)+N(L7)+N(M7))/AH7)</f>
        <v/>
      </c>
      <c r="AJ7" s="22" t="str">
        <f aca="false">IF(N(AH7)=0,"",(N(R7))/AH7)</f>
        <v/>
      </c>
      <c r="AK7" s="22" t="str">
        <f aca="false">IF(N(AH7)=0,"",(N(G7))/AH7)</f>
        <v/>
      </c>
      <c r="AL7" s="32" t="n">
        <f aca="false">N(J7)+N(K7)+N(L7)+N(M7)+IF(AND(H7&lt;&gt;"",F7&lt;&gt;""),MAX(0,H7-F7),N(G7))+N(P7)+N(R7)</f>
        <v>24.608</v>
      </c>
      <c r="AM7" s="37" t="n">
        <f aca="false">IF(OR(W7="",N(W7)=0),"",AL7/W7)</f>
        <v>0.175076126241498</v>
      </c>
      <c r="AN7" s="37" t="n">
        <f aca="false">IF(OR(W7="",N(W7)=0,E7=""),"",E7/W7)</f>
        <v>1.30150971854634</v>
      </c>
      <c r="AO7" s="22" t="n">
        <f aca="false">IF(OR(W7="",N(W7)=0),"",(N(J7)+N(K7)+N(L7)+N(M7))/W7)</f>
        <v>0</v>
      </c>
      <c r="AP7" s="22" t="n">
        <f aca="false">IF(OR(W7="",N(W7)=0),"",N(R7)/W7)</f>
        <v>0</v>
      </c>
      <c r="AQ7" s="22" t="n">
        <f aca="false">IF(OR(W7="",N(W7)=0),"",(IF(AND(H7&lt;&gt;"",F7&lt;&gt;""),MAX(0,H7-F7),N(G7))+N(P7))/W7)</f>
        <v>0.175076126241498</v>
      </c>
    </row>
    <row r="8" customFormat="false" ht="15" hidden="false" customHeight="false" outlineLevel="0" collapsed="false">
      <c r="A8" s="0" t="s">
        <v>1719</v>
      </c>
      <c r="B8" s="0" t="s">
        <v>512</v>
      </c>
      <c r="C8" s="0" t="n">
        <v>2024</v>
      </c>
      <c r="D8" s="0" t="s">
        <v>1720</v>
      </c>
      <c r="E8" s="32" t="str">
        <f aca="false">IF((COUNTIFS(FundRaw!$C$4:$C$260,"googl",FundRaw!$E$4:$E$260,"2024",FundRaw!$F$4:$F$260,"ocf",FundRaw!$O$4:$O$260,1))=0,"",SUMIFS(FundRaw!$G$4:$G$260,FundRaw!$C$4:$C$260,"googl",FundRaw!$E$4:$E$260,"2024",FundRaw!$F$4:$F$260,"ocf",FundRaw!$O$4:$O$260,1))</f>
        <v/>
      </c>
      <c r="F8" s="32" t="str">
        <f aca="false">IF((COUNTIFS(FundRaw!$C$4:$C$260,"googl",FundRaw!$E$4:$E$260,"2024",FundRaw!$F$4:$F$260,"capex_cash",FundRaw!$O$4:$O$260,1))=0,"",SUMIFS(FundRaw!$G$4:$G$260,FundRaw!$C$4:$C$260,"googl",FundRaw!$E$4:$E$260,"2024",FundRaw!$F$4:$F$260,"capex_cash",FundRaw!$O$4:$O$260,1))</f>
        <v/>
      </c>
      <c r="G8" s="32" t="str">
        <f aca="false">IF((COUNTIFS(FundRaw!$C$4:$C$260,"googl",FundRaw!$E$4:$E$260,"2024",FundRaw!$F$4:$F$260,"fin_lease_new",FundRaw!$O$4:$O$260,1))=0,"",SUMIFS(FundRaw!$G$4:$G$260,FundRaw!$C$4:$C$260,"googl",FundRaw!$E$4:$E$260,"2024",FundRaw!$F$4:$F$260,"fin_lease_new",FundRaw!$O$4:$O$260,1))</f>
        <v/>
      </c>
      <c r="H8" s="32" t="str">
        <f aca="false">IF((COUNTIFS(FundRaw!$C$4:$C$260,"googl",FundRaw!$E$4:$E$260,"2024",FundRaw!$F$4:$F$260,"capex_incl_fl",FundRaw!$O$4:$O$260,1))=0,"",SUMIFS(FundRaw!$G$4:$G$260,FundRaw!$C$4:$C$260,"googl",FundRaw!$E$4:$E$260,"2024",FundRaw!$F$4:$F$260,"capex_incl_fl",FundRaw!$O$4:$O$260,1))</f>
        <v/>
      </c>
      <c r="I8" s="32" t="str">
        <f aca="false">IF((COUNTIFS(FundRaw!$C$4:$C$260,"googl",FundRaw!$E$4:$E$260,"2024",FundRaw!$F$4:$F$260,"fcf",FundRaw!$O$4:$O$260,1))=0,"",SUMIFS(FundRaw!$G$4:$G$260,FundRaw!$C$4:$C$260,"googl",FundRaw!$E$4:$E$260,"2024",FundRaw!$F$4:$F$260,"fcf",FundRaw!$O$4:$O$260,1))</f>
        <v/>
      </c>
      <c r="J8" s="32" t="str">
        <f aca="false">IF((COUNTIFS(FundRaw!$C$4:$C$260,"googl",FundRaw!$E$4:$E$260,"2024",FundRaw!$F$4:$F$260,"bond_issue",FundRaw!$O$4:$O$260,1))=0,"",SUMIFS(FundRaw!$G$4:$G$260,FundRaw!$C$4:$C$260,"googl",FundRaw!$E$4:$E$260,"2024",FundRaw!$F$4:$F$260,"bond_issue",FundRaw!$O$4:$O$260,1))</f>
        <v/>
      </c>
      <c r="K8" s="32" t="str">
        <f aca="false">IF((COUNTIFS(FundRaw!$C$4:$C$260,"googl",FundRaw!$E$4:$E$260,"2024",FundRaw!$F$4:$F$260,"term_loan",FundRaw!$O$4:$O$260,1))=0,"",SUMIFS(FundRaw!$G$4:$G$260,FundRaw!$C$4:$C$260,"googl",FundRaw!$E$4:$E$260,"2024",FundRaw!$F$4:$F$260,"term_loan",FundRaw!$O$4:$O$260,1))</f>
        <v/>
      </c>
      <c r="L8" s="32" t="str">
        <f aca="false">IF((COUNTIFS(FundRaw!$C$4:$C$260,"googl",FundRaw!$E$4:$E$260,"2024",FundRaw!$F$4:$F$260,"gpu_debt",FundRaw!$O$4:$O$260,1))=0,"",SUMIFS(FundRaw!$G$4:$G$260,FundRaw!$C$4:$C$260,"googl",FundRaw!$E$4:$E$260,"2024",FundRaw!$F$4:$F$260,"gpu_debt",FundRaw!$O$4:$O$260,1))</f>
        <v/>
      </c>
      <c r="M8" s="32" t="str">
        <f aca="false">IF((COUNTIFS(FundRaw!$C$4:$C$260,"googl",FundRaw!$E$4:$E$260,"2024",FundRaw!$F$4:$F$260,"private_credit",FundRaw!$O$4:$O$260,1))=0,"",SUMIFS(FundRaw!$G$4:$G$260,FundRaw!$C$4:$C$260,"googl",FundRaw!$E$4:$E$260,"2024",FundRaw!$F$4:$F$260,"private_credit",FundRaw!$O$4:$O$260,1))</f>
        <v/>
      </c>
      <c r="N8" s="32" t="str">
        <f aca="false">IF((COUNTIFS(FundRaw!$C$4:$C$260,"googl",FundRaw!$E$4:$E$260,"2024",FundRaw!$F$4:$F$260,"net_debt_change",FundRaw!$O$4:$O$260,1))=0,"",SUMIFS(FundRaw!$G$4:$G$260,FundRaw!$C$4:$C$260,"googl",FundRaw!$E$4:$E$260,"2024",FundRaw!$F$4:$F$260,"net_debt_change",FundRaw!$O$4:$O$260,1))</f>
        <v/>
      </c>
      <c r="O8" s="32" t="str">
        <f aca="false">IF((COUNTIFS(FundRaw!$C$4:$C$260,"googl",FundRaw!$E$4:$E$260,"2024",FundRaw!$F$4:$F$260,"lease_not_commenced",FundRaw!$O$4:$O$260,1))=0,"",SUMIFS(FundRaw!$G$4:$G$260,FundRaw!$C$4:$C$260,"googl",FundRaw!$E$4:$E$260,"2024",FundRaw!$F$4:$F$260,"lease_not_commenced",FundRaw!$O$4:$O$260,1))</f>
        <v/>
      </c>
      <c r="P8" s="32" t="str">
        <f aca="false">IF((COUNTIFS(FundRaw!$C$4:$C$260,"googl",FundRaw!$E$4:$E$260,"2024",FundRaw!$F$4:$F$260,"jv_offbalance",FundRaw!$O$4:$O$260,1))=0,"",SUMIFS(FundRaw!$G$4:$G$260,FundRaw!$C$4:$C$260,"googl",FundRaw!$E$4:$E$260,"2024",FundRaw!$F$4:$F$260,"jv_offbalance",FundRaw!$O$4:$O$260,1))</f>
        <v/>
      </c>
      <c r="Q8" s="32" t="str">
        <f aca="false">IF((COUNTIFS(FundRaw!$C$4:$C$260,"googl",FundRaw!$E$4:$E$260,"2024",FundRaw!$F$4:$F$260,"jv_exposure",FundRaw!$O$4:$O$260,1))=0,"",SUMIFS(FundRaw!$G$4:$G$260,FundRaw!$C$4:$C$260,"googl",FundRaw!$E$4:$E$260,"2024",FundRaw!$F$4:$F$260,"jv_exposure",FundRaw!$O$4:$O$260,1))</f>
        <v/>
      </c>
      <c r="R8" s="32" t="str">
        <f aca="false">IF((COUNTIFS(FundRaw!$C$4:$C$260,"googl",FundRaw!$E$4:$E$260,"2024",FundRaw!$F$4:$F$260,"equity_round",FundRaw!$O$4:$O$260,1))=0,"",SUMIFS(FundRaw!$G$4:$G$260,FundRaw!$C$4:$C$260,"googl",FundRaw!$E$4:$E$260,"2024",FundRaw!$F$4:$F$260,"equity_round",FundRaw!$O$4:$O$260,1))</f>
        <v/>
      </c>
      <c r="S8" s="32" t="str">
        <f aca="false">IF((COUNTIFS(FundRaw!$C$4:$C$260,"googl",FundRaw!$E$4:$E$260,"2024",FundRaw!$F$4:$F$260,"vendor_financing",FundRaw!$O$4:$O$260,1))=0,"",SUMIFS(FundRaw!$G$4:$G$260,FundRaw!$C$4:$C$260,"googl",FundRaw!$E$4:$E$260,"2024",FundRaw!$F$4:$F$260,"vendor_financing",FundRaw!$O$4:$O$260,1))</f>
        <v/>
      </c>
      <c r="T8" s="32" t="str">
        <f aca="false">IF((COUNTIFS(FundRaw!$C$4:$C$260,"googl",FundRaw!$E$4:$E$260,"2024",FundRaw!$F$4:$F$260,"buyback_div",FundRaw!$O$4:$O$260,1))=0,"",SUMIFS(FundRaw!$G$4:$G$260,FundRaw!$C$4:$C$260,"googl",FundRaw!$E$4:$E$260,"2024",FundRaw!$F$4:$F$260,"buyback_div",FundRaw!$O$4:$O$260,1))</f>
        <v/>
      </c>
      <c r="U8" s="32" t="str">
        <f aca="false">IF((COUNTIFS(FundRaw!$C$4:$C$260,"googl",FundRaw!$E$4:$E$260,"2024",FundRaw!$F$4:$F$260,"gpu_debt_talks",FundRaw!$O$4:$O$260,1))=0,"",SUMIFS(FundRaw!$G$4:$G$260,FundRaw!$C$4:$C$260,"googl",FundRaw!$E$4:$E$260,"2024",FundRaw!$F$4:$F$260,"gpu_debt_talks",FundRaw!$O$4:$O$260,1))</f>
        <v/>
      </c>
      <c r="V8" s="32" t="str">
        <f aca="false">IF((COUNTIFS(FundRaw!$C$4:$C$260,"googl",FundRaw!$E$4:$E$260,"2024",FundRaw!$F$4:$F$260,"bridge_refi",FundRaw!$O$4:$O$260,1))=0,"",SUMIFS(FundRaw!$G$4:$G$260,FundRaw!$C$4:$C$260,"googl",FundRaw!$E$4:$E$260,"2024",FundRaw!$F$4:$F$260,"bridge_refi",FundRaw!$O$4:$O$260,1))</f>
        <v/>
      </c>
      <c r="W8" s="32" t="str">
        <f aca="false">IF(H8&lt;&gt;"",H8,IF(F8&lt;&gt;"",F8+N(G8),""))</f>
        <v/>
      </c>
      <c r="X8" s="32" t="str">
        <f aca="false">IF(OR(W8="",E8=""),"",MAX(0,MIN(N(E8),W8-N(Y8))))</f>
        <v/>
      </c>
      <c r="Y8" s="32" t="str">
        <f aca="false">IF(W8="","",IF(AND(H8&lt;&gt;"",F8&lt;&gt;""),MAX(0,H8-F8),N(G8)))</f>
        <v/>
      </c>
      <c r="Z8" s="32" t="str">
        <f aca="false">IF(W8="","",MAX(0,MIN(N(R8),W8-N(X8)-N(Y8))))</f>
        <v/>
      </c>
      <c r="AA8" s="32" t="str">
        <f aca="false">IF(W8="","",MAX(0,MIN(N(J8)+N(K8)+N(L8)+N(M8),W8-N(X8)-N(Y8)-N(Z8))))</f>
        <v/>
      </c>
      <c r="AB8" s="32" t="str">
        <f aca="false">IF(W8="","",W8-N(X8)-N(Y8)-N(Z8)-N(AA8))</f>
        <v/>
      </c>
      <c r="AC8" s="37" t="str">
        <f aca="false">IF(OR(W8="",N(W8)=0,X8=""),"",X8/W8)</f>
        <v/>
      </c>
      <c r="AD8" s="37" t="str">
        <f aca="false">IF(OR(W8="",N(W8)=0,Y8=""),"",Y8/W8)</f>
        <v/>
      </c>
      <c r="AE8" s="37" t="str">
        <f aca="false">IF(OR(W8="",N(W8)=0,Z8=""),"",Z8/W8)</f>
        <v/>
      </c>
      <c r="AF8" s="37" t="str">
        <f aca="false">IF(OR(W8="",N(W8)=0,AA8=""),"",AA8/W8)</f>
        <v/>
      </c>
      <c r="AG8" s="37" t="str">
        <f aca="false">IF(OR(W8="",N(W8)=0,AB8=""),"",AB8/W8)</f>
        <v/>
      </c>
      <c r="AH8" s="32" t="n">
        <f aca="false">N(J8)+N(K8)+N(L8)+N(M8)+N(R8)+N(G8)</f>
        <v>0</v>
      </c>
      <c r="AI8" s="22" t="str">
        <f aca="false">IF(N(AH8)=0,"",(N(J8)+N(K8)+N(L8)+N(M8))/AH8)</f>
        <v/>
      </c>
      <c r="AJ8" s="22" t="str">
        <f aca="false">IF(N(AH8)=0,"",(N(R8))/AH8)</f>
        <v/>
      </c>
      <c r="AK8" s="22" t="str">
        <f aca="false">IF(N(AH8)=0,"",(N(G8))/AH8)</f>
        <v/>
      </c>
      <c r="AL8" s="32" t="n">
        <f aca="false">N(J8)+N(K8)+N(L8)+N(M8)+IF(AND(H8&lt;&gt;"",F8&lt;&gt;""),MAX(0,H8-F8),N(G8))+N(P8)+N(R8)</f>
        <v>0</v>
      </c>
      <c r="AM8" s="37" t="str">
        <f aca="false">IF(OR(W8="",N(W8)=0),"",AL8/W8)</f>
        <v/>
      </c>
      <c r="AN8" s="37" t="str">
        <f aca="false">IF(OR(W8="",N(W8)=0,E8=""),"",E8/W8)</f>
        <v/>
      </c>
      <c r="AO8" s="22" t="str">
        <f aca="false">IF(OR(W8="",N(W8)=0),"",(N(J8)+N(K8)+N(L8)+N(M8))/W8)</f>
        <v/>
      </c>
      <c r="AP8" s="22" t="str">
        <f aca="false">IF(OR(W8="",N(W8)=0),"",N(R8)/W8)</f>
        <v/>
      </c>
      <c r="AQ8" s="22" t="str">
        <f aca="false">IF(OR(W8="",N(W8)=0),"",(IF(AND(H8&lt;&gt;"",F8&lt;&gt;""),MAX(0,H8-F8),N(G8))+N(P8))/W8)</f>
        <v/>
      </c>
    </row>
    <row r="9" customFormat="false" ht="15" hidden="false" customHeight="false" outlineLevel="0" collapsed="false">
      <c r="A9" s="0" t="s">
        <v>1719</v>
      </c>
      <c r="B9" s="0" t="s">
        <v>512</v>
      </c>
      <c r="C9" s="0" t="n">
        <v>2025</v>
      </c>
      <c r="D9" s="0" t="s">
        <v>1721</v>
      </c>
      <c r="E9" s="32" t="n">
        <f aca="false">IF((COUNTIFS(FundRaw!$C$4:$C$260,"googl",FundRaw!$E$4:$E$260,"2025",FundRaw!$F$4:$F$260,"ocf",FundRaw!$O$4:$O$260,1))=0,"",SUMIFS(FundRaw!$G$4:$G$260,FundRaw!$C$4:$C$260,"googl",FundRaw!$E$4:$E$260,"2025",FundRaw!$F$4:$F$260,"ocf",FundRaw!$O$4:$O$260,1))</f>
        <v>164.713</v>
      </c>
      <c r="F9" s="32" t="n">
        <f aca="false">IF((COUNTIFS(FundRaw!$C$4:$C$260,"googl",FundRaw!$E$4:$E$260,"2025",FundRaw!$F$4:$F$260,"capex_cash",FundRaw!$O$4:$O$260,1))=0,"",SUMIFS(FundRaw!$G$4:$G$260,FundRaw!$C$4:$C$260,"googl",FundRaw!$E$4:$E$260,"2025",FundRaw!$F$4:$F$260,"capex_cash",FundRaw!$O$4:$O$260,1))</f>
        <v>91.447</v>
      </c>
      <c r="G9" s="32" t="str">
        <f aca="false">IF((COUNTIFS(FundRaw!$C$4:$C$260,"googl",FundRaw!$E$4:$E$260,"2025",FundRaw!$F$4:$F$260,"fin_lease_new",FundRaw!$O$4:$O$260,1))=0,"",SUMIFS(FundRaw!$G$4:$G$260,FundRaw!$C$4:$C$260,"googl",FundRaw!$E$4:$E$260,"2025",FundRaw!$F$4:$F$260,"fin_lease_new",FundRaw!$O$4:$O$260,1))</f>
        <v/>
      </c>
      <c r="H9" s="32" t="str">
        <f aca="false">IF((COUNTIFS(FundRaw!$C$4:$C$260,"googl",FundRaw!$E$4:$E$260,"2025",FundRaw!$F$4:$F$260,"capex_incl_fl",FundRaw!$O$4:$O$260,1))=0,"",SUMIFS(FundRaw!$G$4:$G$260,FundRaw!$C$4:$C$260,"googl",FundRaw!$E$4:$E$260,"2025",FundRaw!$F$4:$F$260,"capex_incl_fl",FundRaw!$O$4:$O$260,1))</f>
        <v/>
      </c>
      <c r="I9" s="32" t="n">
        <f aca="false">IF((COUNTIFS(FundRaw!$C$4:$C$260,"googl",FundRaw!$E$4:$E$260,"2025",FundRaw!$F$4:$F$260,"fcf",FundRaw!$O$4:$O$260,1))=0,"",SUMIFS(FundRaw!$G$4:$G$260,FundRaw!$C$4:$C$260,"googl",FundRaw!$E$4:$E$260,"2025",FundRaw!$F$4:$F$260,"fcf",FundRaw!$O$4:$O$260,1))</f>
        <v>73.266</v>
      </c>
      <c r="J9" s="32" t="n">
        <f aca="false">IF((COUNTIFS(FundRaw!$C$4:$C$260,"googl",FundRaw!$E$4:$E$260,"2025",FundRaw!$F$4:$F$260,"bond_issue",FundRaw!$O$4:$O$260,1))=0,"",SUMIFS(FundRaw!$G$4:$G$260,FundRaw!$C$4:$C$260,"googl",FundRaw!$E$4:$E$260,"2025",FundRaw!$F$4:$F$260,"bond_issue",FundRaw!$O$4:$O$260,1))</f>
        <v>64.564</v>
      </c>
      <c r="K9" s="32" t="str">
        <f aca="false">IF((COUNTIFS(FundRaw!$C$4:$C$260,"googl",FundRaw!$E$4:$E$260,"2025",FundRaw!$F$4:$F$260,"term_loan",FundRaw!$O$4:$O$260,1))=0,"",SUMIFS(FundRaw!$G$4:$G$260,FundRaw!$C$4:$C$260,"googl",FundRaw!$E$4:$E$260,"2025",FundRaw!$F$4:$F$260,"term_loan",FundRaw!$O$4:$O$260,1))</f>
        <v/>
      </c>
      <c r="L9" s="32" t="str">
        <f aca="false">IF((COUNTIFS(FundRaw!$C$4:$C$260,"googl",FundRaw!$E$4:$E$260,"2025",FundRaw!$F$4:$F$260,"gpu_debt",FundRaw!$O$4:$O$260,1))=0,"",SUMIFS(FundRaw!$G$4:$G$260,FundRaw!$C$4:$C$260,"googl",FundRaw!$E$4:$E$260,"2025",FundRaw!$F$4:$F$260,"gpu_debt",FundRaw!$O$4:$O$260,1))</f>
        <v/>
      </c>
      <c r="M9" s="32" t="str">
        <f aca="false">IF((COUNTIFS(FundRaw!$C$4:$C$260,"googl",FundRaw!$E$4:$E$260,"2025",FundRaw!$F$4:$F$260,"private_credit",FundRaw!$O$4:$O$260,1))=0,"",SUMIFS(FundRaw!$G$4:$G$260,FundRaw!$C$4:$C$260,"googl",FundRaw!$E$4:$E$260,"2025",FundRaw!$F$4:$F$260,"private_credit",FundRaw!$O$4:$O$260,1))</f>
        <v/>
      </c>
      <c r="N9" s="32" t="str">
        <f aca="false">IF((COUNTIFS(FundRaw!$C$4:$C$260,"googl",FundRaw!$E$4:$E$260,"2025",FundRaw!$F$4:$F$260,"net_debt_change",FundRaw!$O$4:$O$260,1))=0,"",SUMIFS(FundRaw!$G$4:$G$260,FundRaw!$C$4:$C$260,"googl",FundRaw!$E$4:$E$260,"2025",FundRaw!$F$4:$F$260,"net_debt_change",FundRaw!$O$4:$O$260,1))</f>
        <v/>
      </c>
      <c r="O9" s="32" t="str">
        <f aca="false">IF((COUNTIFS(FundRaw!$C$4:$C$260,"googl",FundRaw!$E$4:$E$260,"2025",FundRaw!$F$4:$F$260,"lease_not_commenced",FundRaw!$O$4:$O$260,1))=0,"",SUMIFS(FundRaw!$G$4:$G$260,FundRaw!$C$4:$C$260,"googl",FundRaw!$E$4:$E$260,"2025",FundRaw!$F$4:$F$260,"lease_not_commenced",FundRaw!$O$4:$O$260,1))</f>
        <v/>
      </c>
      <c r="P9" s="32" t="str">
        <f aca="false">IF((COUNTIFS(FundRaw!$C$4:$C$260,"googl",FundRaw!$E$4:$E$260,"2025",FundRaw!$F$4:$F$260,"jv_offbalance",FundRaw!$O$4:$O$260,1))=0,"",SUMIFS(FundRaw!$G$4:$G$260,FundRaw!$C$4:$C$260,"googl",FundRaw!$E$4:$E$260,"2025",FundRaw!$F$4:$F$260,"jv_offbalance",FundRaw!$O$4:$O$260,1))</f>
        <v/>
      </c>
      <c r="Q9" s="32" t="str">
        <f aca="false">IF((COUNTIFS(FundRaw!$C$4:$C$260,"googl",FundRaw!$E$4:$E$260,"2025",FundRaw!$F$4:$F$260,"jv_exposure",FundRaw!$O$4:$O$260,1))=0,"",SUMIFS(FundRaw!$G$4:$G$260,FundRaw!$C$4:$C$260,"googl",FundRaw!$E$4:$E$260,"2025",FundRaw!$F$4:$F$260,"jv_exposure",FundRaw!$O$4:$O$260,1))</f>
        <v/>
      </c>
      <c r="R9" s="32" t="str">
        <f aca="false">IF((COUNTIFS(FundRaw!$C$4:$C$260,"googl",FundRaw!$E$4:$E$260,"2025",FundRaw!$F$4:$F$260,"equity_round",FundRaw!$O$4:$O$260,1))=0,"",SUMIFS(FundRaw!$G$4:$G$260,FundRaw!$C$4:$C$260,"googl",FundRaw!$E$4:$E$260,"2025",FundRaw!$F$4:$F$260,"equity_round",FundRaw!$O$4:$O$260,1))</f>
        <v/>
      </c>
      <c r="S9" s="32" t="str">
        <f aca="false">IF((COUNTIFS(FundRaw!$C$4:$C$260,"googl",FundRaw!$E$4:$E$260,"2025",FundRaw!$F$4:$F$260,"vendor_financing",FundRaw!$O$4:$O$260,1))=0,"",SUMIFS(FundRaw!$G$4:$G$260,FundRaw!$C$4:$C$260,"googl",FundRaw!$E$4:$E$260,"2025",FundRaw!$F$4:$F$260,"vendor_financing",FundRaw!$O$4:$O$260,1))</f>
        <v/>
      </c>
      <c r="T9" s="32" t="n">
        <f aca="false">IF((COUNTIFS(FundRaw!$C$4:$C$260,"googl",FundRaw!$E$4:$E$260,"2025",FundRaw!$F$4:$F$260,"buyback_div",FundRaw!$O$4:$O$260,1))=0,"",SUMIFS(FundRaw!$G$4:$G$260,FundRaw!$C$4:$C$260,"googl",FundRaw!$E$4:$E$260,"2025",FundRaw!$F$4:$F$260,"buyback_div",FundRaw!$O$4:$O$260,1))</f>
        <v>55.758</v>
      </c>
      <c r="U9" s="32" t="str">
        <f aca="false">IF((COUNTIFS(FundRaw!$C$4:$C$260,"googl",FundRaw!$E$4:$E$260,"2025",FundRaw!$F$4:$F$260,"gpu_debt_talks",FundRaw!$O$4:$O$260,1))=0,"",SUMIFS(FundRaw!$G$4:$G$260,FundRaw!$C$4:$C$260,"googl",FundRaw!$E$4:$E$260,"2025",FundRaw!$F$4:$F$260,"gpu_debt_talks",FundRaw!$O$4:$O$260,1))</f>
        <v/>
      </c>
      <c r="V9" s="32" t="str">
        <f aca="false">IF((COUNTIFS(FundRaw!$C$4:$C$260,"googl",FundRaw!$E$4:$E$260,"2025",FundRaw!$F$4:$F$260,"bridge_refi",FundRaw!$O$4:$O$260,1))=0,"",SUMIFS(FundRaw!$G$4:$G$260,FundRaw!$C$4:$C$260,"googl",FundRaw!$E$4:$E$260,"2025",FundRaw!$F$4:$F$260,"bridge_refi",FundRaw!$O$4:$O$260,1))</f>
        <v/>
      </c>
      <c r="W9" s="32" t="n">
        <f aca="false">IF(H9&lt;&gt;"",H9,IF(F9&lt;&gt;"",F9+N(G9),""))</f>
        <v>91.447</v>
      </c>
      <c r="X9" s="32" t="n">
        <f aca="false">IF(OR(W9="",E9=""),"",MAX(0,MIN(N(E9),W9-N(Y9))))</f>
        <v>91.447</v>
      </c>
      <c r="Y9" s="32" t="n">
        <f aca="false">IF(W9="","",IF(AND(H9&lt;&gt;"",F9&lt;&gt;""),MAX(0,H9-F9),N(G9)))</f>
        <v>0</v>
      </c>
      <c r="Z9" s="32" t="n">
        <f aca="false">IF(W9="","",MAX(0,MIN(N(R9),W9-N(X9)-N(Y9))))</f>
        <v>0</v>
      </c>
      <c r="AA9" s="32" t="n">
        <f aca="false">IF(W9="","",MAX(0,MIN(N(J9)+N(K9)+N(L9)+N(M9),W9-N(X9)-N(Y9)-N(Z9))))</f>
        <v>0</v>
      </c>
      <c r="AB9" s="32" t="n">
        <f aca="false">IF(W9="","",W9-N(X9)-N(Y9)-N(Z9)-N(AA9))</f>
        <v>0</v>
      </c>
      <c r="AC9" s="37" t="n">
        <f aca="false">IF(OR(W9="",N(W9)=0,X9=""),"",X9/W9)</f>
        <v>1</v>
      </c>
      <c r="AD9" s="37" t="n">
        <f aca="false">IF(OR(W9="",N(W9)=0,Y9=""),"",Y9/W9)</f>
        <v>0</v>
      </c>
      <c r="AE9" s="37" t="n">
        <f aca="false">IF(OR(W9="",N(W9)=0,Z9=""),"",Z9/W9)</f>
        <v>0</v>
      </c>
      <c r="AF9" s="37" t="n">
        <f aca="false">IF(OR(W9="",N(W9)=0,AA9=""),"",AA9/W9)</f>
        <v>0</v>
      </c>
      <c r="AG9" s="37" t="n">
        <f aca="false">IF(OR(W9="",N(W9)=0,AB9=""),"",AB9/W9)</f>
        <v>0</v>
      </c>
      <c r="AH9" s="32" t="n">
        <f aca="false">N(J9)+N(K9)+N(L9)+N(M9)+N(R9)+N(G9)</f>
        <v>64.564</v>
      </c>
      <c r="AI9" s="22" t="n">
        <f aca="false">IF(N(AH9)=0,"",(N(J9)+N(K9)+N(L9)+N(M9))/AH9)</f>
        <v>1</v>
      </c>
      <c r="AJ9" s="22" t="n">
        <f aca="false">IF(N(AH9)=0,"",(N(R9))/AH9)</f>
        <v>0</v>
      </c>
      <c r="AK9" s="22" t="n">
        <f aca="false">IF(N(AH9)=0,"",(N(G9))/AH9)</f>
        <v>0</v>
      </c>
      <c r="AL9" s="32" t="n">
        <f aca="false">N(J9)+N(K9)+N(L9)+N(M9)+IF(AND(H9&lt;&gt;"",F9&lt;&gt;""),MAX(0,H9-F9),N(G9))+N(P9)+N(R9)</f>
        <v>64.564</v>
      </c>
      <c r="AM9" s="37" t="n">
        <f aca="false">IF(OR(W9="",N(W9)=0),"",AL9/W9)</f>
        <v>0.706026441545376</v>
      </c>
      <c r="AN9" s="37" t="n">
        <f aca="false">IF(OR(W9="",N(W9)=0,E9=""),"",E9/W9)</f>
        <v>1.80118538607062</v>
      </c>
      <c r="AO9" s="22" t="n">
        <f aca="false">IF(OR(W9="",N(W9)=0),"",(N(J9)+N(K9)+N(L9)+N(M9))/W9)</f>
        <v>0.706026441545376</v>
      </c>
      <c r="AP9" s="22" t="n">
        <f aca="false">IF(OR(W9="",N(W9)=0),"",N(R9)/W9)</f>
        <v>0</v>
      </c>
      <c r="AQ9" s="22" t="n">
        <f aca="false">IF(OR(W9="",N(W9)=0),"",(IF(AND(H9&lt;&gt;"",F9&lt;&gt;""),MAX(0,H9-F9),N(G9))+N(P9))/W9)</f>
        <v>0</v>
      </c>
    </row>
    <row r="10" customFormat="false" ht="15" hidden="false" customHeight="false" outlineLevel="0" collapsed="false">
      <c r="A10" s="0" t="s">
        <v>1719</v>
      </c>
      <c r="B10" s="0" t="s">
        <v>512</v>
      </c>
      <c r="C10" s="0" t="n">
        <v>2026</v>
      </c>
      <c r="D10" s="0" t="s">
        <v>1722</v>
      </c>
      <c r="E10" s="32" t="n">
        <f aca="false">IF((COUNTIFS(FundRaw!$C$4:$C$260,"googl",FundRaw!$E$4:$E$260,"2026",FundRaw!$F$4:$F$260,"ocf",FundRaw!$O$4:$O$260,1))=0,"",SUMIFS(FundRaw!$G$4:$G$260,FundRaw!$C$4:$C$260,"googl",FundRaw!$E$4:$E$260,"2026",FundRaw!$F$4:$F$260,"ocf",FundRaw!$O$4:$O$260,1))</f>
        <v>127.149</v>
      </c>
      <c r="F10" s="32" t="n">
        <f aca="false">IF((COUNTIFS(FundRaw!$C$4:$C$260,"googl",FundRaw!$E$4:$E$260,"2026",FundRaw!$F$4:$F$260,"capex_cash",FundRaw!$O$4:$O$260,1))=0,"",SUMIFS(FundRaw!$G$4:$G$260,FundRaw!$C$4:$C$260,"googl",FundRaw!$E$4:$E$260,"2026",FundRaw!$F$4:$F$260,"capex_cash",FundRaw!$O$4:$O$260,1))</f>
        <v>131.953</v>
      </c>
      <c r="G10" s="32" t="str">
        <f aca="false">IF((COUNTIFS(FundRaw!$C$4:$C$260,"googl",FundRaw!$E$4:$E$260,"2026",FundRaw!$F$4:$F$260,"fin_lease_new",FundRaw!$O$4:$O$260,1))=0,"",SUMIFS(FundRaw!$G$4:$G$260,FundRaw!$C$4:$C$260,"googl",FundRaw!$E$4:$E$260,"2026",FundRaw!$F$4:$F$260,"fin_lease_new",FundRaw!$O$4:$O$260,1))</f>
        <v/>
      </c>
      <c r="H10" s="32" t="str">
        <f aca="false">IF((COUNTIFS(FundRaw!$C$4:$C$260,"googl",FundRaw!$E$4:$E$260,"2026",FundRaw!$F$4:$F$260,"capex_incl_fl",FundRaw!$O$4:$O$260,1))=0,"",SUMIFS(FundRaw!$G$4:$G$260,FundRaw!$C$4:$C$260,"googl",FundRaw!$E$4:$E$260,"2026",FundRaw!$F$4:$F$260,"capex_incl_fl",FundRaw!$O$4:$O$260,1))</f>
        <v/>
      </c>
      <c r="I10" s="32" t="n">
        <f aca="false">IF((COUNTIFS(FundRaw!$C$4:$C$260,"googl",FundRaw!$E$4:$E$260,"2026",FundRaw!$F$4:$F$260,"fcf",FundRaw!$O$4:$O$260,1))=0,"",SUMIFS(FundRaw!$G$4:$G$260,FundRaw!$C$4:$C$260,"googl",FundRaw!$E$4:$E$260,"2026",FundRaw!$F$4:$F$260,"fcf",FundRaw!$O$4:$O$260,1))</f>
        <v>-4.804</v>
      </c>
      <c r="J10" s="32" t="n">
        <f aca="false">IF((COUNTIFS(FundRaw!$C$4:$C$260,"googl",FundRaw!$E$4:$E$260,"2026",FundRaw!$F$4:$F$260,"bond_issue",FundRaw!$O$4:$O$260,1))=0,"",SUMIFS(FundRaw!$G$4:$G$260,FundRaw!$C$4:$C$260,"googl",FundRaw!$E$4:$E$260,"2026",FundRaw!$F$4:$F$260,"bond_issue",FundRaw!$O$4:$O$260,1))</f>
        <v>85.222</v>
      </c>
      <c r="K10" s="32" t="str">
        <f aca="false">IF((COUNTIFS(FundRaw!$C$4:$C$260,"googl",FundRaw!$E$4:$E$260,"2026",FundRaw!$F$4:$F$260,"term_loan",FundRaw!$O$4:$O$260,1))=0,"",SUMIFS(FundRaw!$G$4:$G$260,FundRaw!$C$4:$C$260,"googl",FundRaw!$E$4:$E$260,"2026",FundRaw!$F$4:$F$260,"term_loan",FundRaw!$O$4:$O$260,1))</f>
        <v/>
      </c>
      <c r="L10" s="32" t="str">
        <f aca="false">IF((COUNTIFS(FundRaw!$C$4:$C$260,"googl",FundRaw!$E$4:$E$260,"2026",FundRaw!$F$4:$F$260,"gpu_debt",FundRaw!$O$4:$O$260,1))=0,"",SUMIFS(FundRaw!$G$4:$G$260,FundRaw!$C$4:$C$260,"googl",FundRaw!$E$4:$E$260,"2026",FundRaw!$F$4:$F$260,"gpu_debt",FundRaw!$O$4:$O$260,1))</f>
        <v/>
      </c>
      <c r="M10" s="32" t="str">
        <f aca="false">IF((COUNTIFS(FundRaw!$C$4:$C$260,"googl",FundRaw!$E$4:$E$260,"2026",FundRaw!$F$4:$F$260,"private_credit",FundRaw!$O$4:$O$260,1))=0,"",SUMIFS(FundRaw!$G$4:$G$260,FundRaw!$C$4:$C$260,"googl",FundRaw!$E$4:$E$260,"2026",FundRaw!$F$4:$F$260,"private_credit",FundRaw!$O$4:$O$260,1))</f>
        <v/>
      </c>
      <c r="N10" s="32" t="str">
        <f aca="false">IF((COUNTIFS(FundRaw!$C$4:$C$260,"googl",FundRaw!$E$4:$E$260,"2026",FundRaw!$F$4:$F$260,"net_debt_change",FundRaw!$O$4:$O$260,1))=0,"",SUMIFS(FundRaw!$G$4:$G$260,FundRaw!$C$4:$C$260,"googl",FundRaw!$E$4:$E$260,"2026",FundRaw!$F$4:$F$260,"net_debt_change",FundRaw!$O$4:$O$260,1))</f>
        <v/>
      </c>
      <c r="O10" s="32" t="n">
        <f aca="false">IF((COUNTIFS(FundRaw!$C$4:$C$260,"googl",FundRaw!$E$4:$E$260,"2026",FundRaw!$F$4:$F$260,"lease_not_commenced",FundRaw!$O$4:$O$260,1))=0,"",SUMIFS(FundRaw!$G$4:$G$260,FundRaw!$C$4:$C$260,"googl",FundRaw!$E$4:$E$260,"2026",FundRaw!$F$4:$F$260,"lease_not_commenced",FundRaw!$O$4:$O$260,1))</f>
        <v>85.2</v>
      </c>
      <c r="P10" s="32" t="str">
        <f aca="false">IF((COUNTIFS(FundRaw!$C$4:$C$260,"googl",FundRaw!$E$4:$E$260,"2026",FundRaw!$F$4:$F$260,"jv_offbalance",FundRaw!$O$4:$O$260,1))=0,"",SUMIFS(FundRaw!$G$4:$G$260,FundRaw!$C$4:$C$260,"googl",FundRaw!$E$4:$E$260,"2026",FundRaw!$F$4:$F$260,"jv_offbalance",FundRaw!$O$4:$O$260,1))</f>
        <v/>
      </c>
      <c r="Q10" s="32" t="n">
        <f aca="false">IF((COUNTIFS(FundRaw!$C$4:$C$260,"googl",FundRaw!$E$4:$E$260,"2026",FundRaw!$F$4:$F$260,"jv_exposure",FundRaw!$O$4:$O$260,1))=0,"",SUMIFS(FundRaw!$G$4:$G$260,FundRaw!$C$4:$C$260,"googl",FundRaw!$E$4:$E$260,"2026",FundRaw!$F$4:$F$260,"jv_exposure",FundRaw!$O$4:$O$260,1))</f>
        <v>44</v>
      </c>
      <c r="R10" s="32" t="n">
        <f aca="false">IF((COUNTIFS(FundRaw!$C$4:$C$260,"googl",FundRaw!$E$4:$E$260,"2026",FundRaw!$F$4:$F$260,"equity_round",FundRaw!$O$4:$O$260,1))=0,"",SUMIFS(FundRaw!$G$4:$G$260,FundRaw!$C$4:$C$260,"googl",FundRaw!$E$4:$E$260,"2026",FundRaw!$F$4:$F$260,"equity_round",FundRaw!$O$4:$O$260,1))</f>
        <v>61.933</v>
      </c>
      <c r="S10" s="32" t="n">
        <f aca="false">IF((COUNTIFS(FundRaw!$C$4:$C$260,"googl",FundRaw!$E$4:$E$260,"2026",FundRaw!$F$4:$F$260,"vendor_financing",FundRaw!$O$4:$O$260,1))=0,"",SUMIFS(FundRaw!$G$4:$G$260,FundRaw!$C$4:$C$260,"googl",FundRaw!$E$4:$E$260,"2026",FundRaw!$F$4:$F$260,"vendor_financing",FundRaw!$O$4:$O$260,1))</f>
        <v>40</v>
      </c>
      <c r="T10" s="32" t="n">
        <f aca="false">IF((COUNTIFS(FundRaw!$C$4:$C$260,"googl",FundRaw!$E$4:$E$260,"2026",FundRaw!$F$4:$F$260,"buyback_div",FundRaw!$O$4:$O$260,1))=0,"",SUMIFS(FundRaw!$G$4:$G$260,FundRaw!$C$4:$C$260,"googl",FundRaw!$E$4:$E$260,"2026",FundRaw!$F$4:$F$260,"buyback_div",FundRaw!$O$4:$O$260,1))</f>
        <v>8.167</v>
      </c>
      <c r="U10" s="32" t="str">
        <f aca="false">IF((COUNTIFS(FundRaw!$C$4:$C$260,"googl",FundRaw!$E$4:$E$260,"2026",FundRaw!$F$4:$F$260,"gpu_debt_talks",FundRaw!$O$4:$O$260,1))=0,"",SUMIFS(FundRaw!$G$4:$G$260,FundRaw!$C$4:$C$260,"googl",FundRaw!$E$4:$E$260,"2026",FundRaw!$F$4:$F$260,"gpu_debt_talks",FundRaw!$O$4:$O$260,1))</f>
        <v/>
      </c>
      <c r="V10" s="32" t="str">
        <f aca="false">IF((COUNTIFS(FundRaw!$C$4:$C$260,"googl",FundRaw!$E$4:$E$260,"2026",FundRaw!$F$4:$F$260,"bridge_refi",FundRaw!$O$4:$O$260,1))=0,"",SUMIFS(FundRaw!$G$4:$G$260,FundRaw!$C$4:$C$260,"googl",FundRaw!$E$4:$E$260,"2026",FundRaw!$F$4:$F$260,"bridge_refi",FundRaw!$O$4:$O$260,1))</f>
        <v/>
      </c>
      <c r="W10" s="32" t="n">
        <f aca="false">IF(H10&lt;&gt;"",H10,IF(F10&lt;&gt;"",F10+N(G10),""))</f>
        <v>131.953</v>
      </c>
      <c r="X10" s="32" t="n">
        <f aca="false">IF(OR(W10="",E10=""),"",MAX(0,MIN(N(E10),W10-N(Y10))))</f>
        <v>127.149</v>
      </c>
      <c r="Y10" s="32" t="n">
        <f aca="false">IF(W10="","",IF(AND(H10&lt;&gt;"",F10&lt;&gt;""),MAX(0,H10-F10),N(G10)))</f>
        <v>0</v>
      </c>
      <c r="Z10" s="32" t="n">
        <f aca="false">IF(W10="","",MAX(0,MIN(N(R10),W10-N(X10)-N(Y10))))</f>
        <v>4.804</v>
      </c>
      <c r="AA10" s="32" t="n">
        <f aca="false">IF(W10="","",MAX(0,MIN(N(J10)+N(K10)+N(L10)+N(M10),W10-N(X10)-N(Y10)-N(Z10))))</f>
        <v>0</v>
      </c>
      <c r="AB10" s="32" t="n">
        <f aca="false">IF(W10="","",W10-N(X10)-N(Y10)-N(Z10)-N(AA10))</f>
        <v>0</v>
      </c>
      <c r="AC10" s="37" t="n">
        <f aca="false">IF(OR(W10="",N(W10)=0,X10=""),"",X10/W10)</f>
        <v>0.963593097542307</v>
      </c>
      <c r="AD10" s="37" t="n">
        <f aca="false">IF(OR(W10="",N(W10)=0,Y10=""),"",Y10/W10)</f>
        <v>0</v>
      </c>
      <c r="AE10" s="37" t="n">
        <f aca="false">IF(OR(W10="",N(W10)=0,Z10=""),"",Z10/W10)</f>
        <v>0.0364069024576933</v>
      </c>
      <c r="AF10" s="37" t="n">
        <f aca="false">IF(OR(W10="",N(W10)=0,AA10=""),"",AA10/W10)</f>
        <v>0</v>
      </c>
      <c r="AG10" s="37" t="n">
        <f aca="false">IF(OR(W10="",N(W10)=0,AB10=""),"",AB10/W10)</f>
        <v>0</v>
      </c>
      <c r="AH10" s="32" t="n">
        <f aca="false">N(J10)+N(K10)+N(L10)+N(M10)+N(R10)+N(G10)</f>
        <v>147.155</v>
      </c>
      <c r="AI10" s="22" t="n">
        <f aca="false">IF(N(AH10)=0,"",(N(J10)+N(K10)+N(L10)+N(M10))/AH10)</f>
        <v>0.57913084842513</v>
      </c>
      <c r="AJ10" s="22" t="n">
        <f aca="false">IF(N(AH10)=0,"",(N(R10))/AH10)</f>
        <v>0.42086915157487</v>
      </c>
      <c r="AK10" s="22" t="n">
        <f aca="false">IF(N(AH10)=0,"",(N(G10))/AH10)</f>
        <v>0</v>
      </c>
      <c r="AL10" s="32" t="n">
        <f aca="false">N(J10)+N(K10)+N(L10)+N(M10)+IF(AND(H10&lt;&gt;"",F10&lt;&gt;""),MAX(0,H10-F10),N(G10))+N(P10)+N(R10)</f>
        <v>147.155</v>
      </c>
      <c r="AM10" s="37" t="n">
        <f aca="false">IF(OR(W10="",N(W10)=0),"",AL10/W10)</f>
        <v>1.11520768758573</v>
      </c>
      <c r="AN10" s="37" t="n">
        <f aca="false">IF(OR(W10="",N(W10)=0,E10=""),"",E10/W10)</f>
        <v>0.963593097542307</v>
      </c>
      <c r="AO10" s="22" t="n">
        <f aca="false">IF(OR(W10="",N(W10)=0),"",(N(J10)+N(K10)+N(L10)+N(M10))/W10)</f>
        <v>0.645851174281752</v>
      </c>
      <c r="AP10" s="22" t="n">
        <f aca="false">IF(OR(W10="",N(W10)=0),"",N(R10)/W10)</f>
        <v>0.469356513303979</v>
      </c>
      <c r="AQ10" s="22" t="n">
        <f aca="false">IF(OR(W10="",N(W10)=0),"",(IF(AND(H10&lt;&gt;"",F10&lt;&gt;""),MAX(0,H10-F10),N(G10))+N(P10))/W10)</f>
        <v>0</v>
      </c>
    </row>
    <row r="11" customFormat="false" ht="15" hidden="false" customHeight="false" outlineLevel="0" collapsed="false">
      <c r="A11" s="0" t="s">
        <v>1723</v>
      </c>
      <c r="B11" s="0" t="s">
        <v>520</v>
      </c>
      <c r="C11" s="0" t="n">
        <v>2024</v>
      </c>
      <c r="D11" s="0" t="s">
        <v>1720</v>
      </c>
      <c r="E11" s="32" t="str">
        <f aca="false">IF((COUNTIFS(FundRaw!$C$4:$C$260,"amzn",FundRaw!$E$4:$E$260,"2024",FundRaw!$F$4:$F$260,"ocf",FundRaw!$O$4:$O$260,1))=0,"",SUMIFS(FundRaw!$G$4:$G$260,FundRaw!$C$4:$C$260,"amzn",FundRaw!$E$4:$E$260,"2024",FundRaw!$F$4:$F$260,"ocf",FundRaw!$O$4:$O$260,1))</f>
        <v/>
      </c>
      <c r="F11" s="32" t="str">
        <f aca="false">IF((COUNTIFS(FundRaw!$C$4:$C$260,"amzn",FundRaw!$E$4:$E$260,"2024",FundRaw!$F$4:$F$260,"capex_cash",FundRaw!$O$4:$O$260,1))=0,"",SUMIFS(FundRaw!$G$4:$G$260,FundRaw!$C$4:$C$260,"amzn",FundRaw!$E$4:$E$260,"2024",FundRaw!$F$4:$F$260,"capex_cash",FundRaw!$O$4:$O$260,1))</f>
        <v/>
      </c>
      <c r="G11" s="32" t="str">
        <f aca="false">IF((COUNTIFS(FundRaw!$C$4:$C$260,"amzn",FundRaw!$E$4:$E$260,"2024",FundRaw!$F$4:$F$260,"fin_lease_new",FundRaw!$O$4:$O$260,1))=0,"",SUMIFS(FundRaw!$G$4:$G$260,FundRaw!$C$4:$C$260,"amzn",FundRaw!$E$4:$E$260,"2024",FundRaw!$F$4:$F$260,"fin_lease_new",FundRaw!$O$4:$O$260,1))</f>
        <v/>
      </c>
      <c r="H11" s="32" t="str">
        <f aca="false">IF((COUNTIFS(FundRaw!$C$4:$C$260,"amzn",FundRaw!$E$4:$E$260,"2024",FundRaw!$F$4:$F$260,"capex_incl_fl",FundRaw!$O$4:$O$260,1))=0,"",SUMIFS(FundRaw!$G$4:$G$260,FundRaw!$C$4:$C$260,"amzn",FundRaw!$E$4:$E$260,"2024",FundRaw!$F$4:$F$260,"capex_incl_fl",FundRaw!$O$4:$O$260,1))</f>
        <v/>
      </c>
      <c r="I11" s="32" t="str">
        <f aca="false">IF((COUNTIFS(FundRaw!$C$4:$C$260,"amzn",FundRaw!$E$4:$E$260,"2024",FundRaw!$F$4:$F$260,"fcf",FundRaw!$O$4:$O$260,1))=0,"",SUMIFS(FundRaw!$G$4:$G$260,FundRaw!$C$4:$C$260,"amzn",FundRaw!$E$4:$E$260,"2024",FundRaw!$F$4:$F$260,"fcf",FundRaw!$O$4:$O$260,1))</f>
        <v/>
      </c>
      <c r="J11" s="32" t="str">
        <f aca="false">IF((COUNTIFS(FundRaw!$C$4:$C$260,"amzn",FundRaw!$E$4:$E$260,"2024",FundRaw!$F$4:$F$260,"bond_issue",FundRaw!$O$4:$O$260,1))=0,"",SUMIFS(FundRaw!$G$4:$G$260,FundRaw!$C$4:$C$260,"amzn",FundRaw!$E$4:$E$260,"2024",FundRaw!$F$4:$F$260,"bond_issue",FundRaw!$O$4:$O$260,1))</f>
        <v/>
      </c>
      <c r="K11" s="32" t="str">
        <f aca="false">IF((COUNTIFS(FundRaw!$C$4:$C$260,"amzn",FundRaw!$E$4:$E$260,"2024",FundRaw!$F$4:$F$260,"term_loan",FundRaw!$O$4:$O$260,1))=0,"",SUMIFS(FundRaw!$G$4:$G$260,FundRaw!$C$4:$C$260,"amzn",FundRaw!$E$4:$E$260,"2024",FundRaw!$F$4:$F$260,"term_loan",FundRaw!$O$4:$O$260,1))</f>
        <v/>
      </c>
      <c r="L11" s="32" t="str">
        <f aca="false">IF((COUNTIFS(FundRaw!$C$4:$C$260,"amzn",FundRaw!$E$4:$E$260,"2024",FundRaw!$F$4:$F$260,"gpu_debt",FundRaw!$O$4:$O$260,1))=0,"",SUMIFS(FundRaw!$G$4:$G$260,FundRaw!$C$4:$C$260,"amzn",FundRaw!$E$4:$E$260,"2024",FundRaw!$F$4:$F$260,"gpu_debt",FundRaw!$O$4:$O$260,1))</f>
        <v/>
      </c>
      <c r="M11" s="32" t="str">
        <f aca="false">IF((COUNTIFS(FundRaw!$C$4:$C$260,"amzn",FundRaw!$E$4:$E$260,"2024",FundRaw!$F$4:$F$260,"private_credit",FundRaw!$O$4:$O$260,1))=0,"",SUMIFS(FundRaw!$G$4:$G$260,FundRaw!$C$4:$C$260,"amzn",FundRaw!$E$4:$E$260,"2024",FundRaw!$F$4:$F$260,"private_credit",FundRaw!$O$4:$O$260,1))</f>
        <v/>
      </c>
      <c r="N11" s="32" t="str">
        <f aca="false">IF((COUNTIFS(FundRaw!$C$4:$C$260,"amzn",FundRaw!$E$4:$E$260,"2024",FundRaw!$F$4:$F$260,"net_debt_change",FundRaw!$O$4:$O$260,1))=0,"",SUMIFS(FundRaw!$G$4:$G$260,FundRaw!$C$4:$C$260,"amzn",FundRaw!$E$4:$E$260,"2024",FundRaw!$F$4:$F$260,"net_debt_change",FundRaw!$O$4:$O$260,1))</f>
        <v/>
      </c>
      <c r="O11" s="32" t="str">
        <f aca="false">IF((COUNTIFS(FundRaw!$C$4:$C$260,"amzn",FundRaw!$E$4:$E$260,"2024",FundRaw!$F$4:$F$260,"lease_not_commenced",FundRaw!$O$4:$O$260,1))=0,"",SUMIFS(FundRaw!$G$4:$G$260,FundRaw!$C$4:$C$260,"amzn",FundRaw!$E$4:$E$260,"2024",FundRaw!$F$4:$F$260,"lease_not_commenced",FundRaw!$O$4:$O$260,1))</f>
        <v/>
      </c>
      <c r="P11" s="32" t="str">
        <f aca="false">IF((COUNTIFS(FundRaw!$C$4:$C$260,"amzn",FundRaw!$E$4:$E$260,"2024",FundRaw!$F$4:$F$260,"jv_offbalance",FundRaw!$O$4:$O$260,1))=0,"",SUMIFS(FundRaw!$G$4:$G$260,FundRaw!$C$4:$C$260,"amzn",FundRaw!$E$4:$E$260,"2024",FundRaw!$F$4:$F$260,"jv_offbalance",FundRaw!$O$4:$O$260,1))</f>
        <v/>
      </c>
      <c r="Q11" s="32" t="str">
        <f aca="false">IF((COUNTIFS(FundRaw!$C$4:$C$260,"amzn",FundRaw!$E$4:$E$260,"2024",FundRaw!$F$4:$F$260,"jv_exposure",FundRaw!$O$4:$O$260,1))=0,"",SUMIFS(FundRaw!$G$4:$G$260,FundRaw!$C$4:$C$260,"amzn",FundRaw!$E$4:$E$260,"2024",FundRaw!$F$4:$F$260,"jv_exposure",FundRaw!$O$4:$O$260,1))</f>
        <v/>
      </c>
      <c r="R11" s="32" t="str">
        <f aca="false">IF((COUNTIFS(FundRaw!$C$4:$C$260,"amzn",FundRaw!$E$4:$E$260,"2024",FundRaw!$F$4:$F$260,"equity_round",FundRaw!$O$4:$O$260,1))=0,"",SUMIFS(FundRaw!$G$4:$G$260,FundRaw!$C$4:$C$260,"amzn",FundRaw!$E$4:$E$260,"2024",FundRaw!$F$4:$F$260,"equity_round",FundRaw!$O$4:$O$260,1))</f>
        <v/>
      </c>
      <c r="S11" s="32" t="str">
        <f aca="false">IF((COUNTIFS(FundRaw!$C$4:$C$260,"amzn",FundRaw!$E$4:$E$260,"2024",FundRaw!$F$4:$F$260,"vendor_financing",FundRaw!$O$4:$O$260,1))=0,"",SUMIFS(FundRaw!$G$4:$G$260,FundRaw!$C$4:$C$260,"amzn",FundRaw!$E$4:$E$260,"2024",FundRaw!$F$4:$F$260,"vendor_financing",FundRaw!$O$4:$O$260,1))</f>
        <v/>
      </c>
      <c r="T11" s="32" t="str">
        <f aca="false">IF((COUNTIFS(FundRaw!$C$4:$C$260,"amzn",FundRaw!$E$4:$E$260,"2024",FundRaw!$F$4:$F$260,"buyback_div",FundRaw!$O$4:$O$260,1))=0,"",SUMIFS(FundRaw!$G$4:$G$260,FundRaw!$C$4:$C$260,"amzn",FundRaw!$E$4:$E$260,"2024",FundRaw!$F$4:$F$260,"buyback_div",FundRaw!$O$4:$O$260,1))</f>
        <v/>
      </c>
      <c r="U11" s="32" t="str">
        <f aca="false">IF((COUNTIFS(FundRaw!$C$4:$C$260,"amzn",FundRaw!$E$4:$E$260,"2024",FundRaw!$F$4:$F$260,"gpu_debt_talks",FundRaw!$O$4:$O$260,1))=0,"",SUMIFS(FundRaw!$G$4:$G$260,FundRaw!$C$4:$C$260,"amzn",FundRaw!$E$4:$E$260,"2024",FundRaw!$F$4:$F$260,"gpu_debt_talks",FundRaw!$O$4:$O$260,1))</f>
        <v/>
      </c>
      <c r="V11" s="32" t="str">
        <f aca="false">IF((COUNTIFS(FundRaw!$C$4:$C$260,"amzn",FundRaw!$E$4:$E$260,"2024",FundRaw!$F$4:$F$260,"bridge_refi",FundRaw!$O$4:$O$260,1))=0,"",SUMIFS(FundRaw!$G$4:$G$260,FundRaw!$C$4:$C$260,"amzn",FundRaw!$E$4:$E$260,"2024",FundRaw!$F$4:$F$260,"bridge_refi",FundRaw!$O$4:$O$260,1))</f>
        <v/>
      </c>
      <c r="W11" s="32" t="str">
        <f aca="false">IF(H11&lt;&gt;"",H11,IF(F11&lt;&gt;"",F11+N(G11),""))</f>
        <v/>
      </c>
      <c r="X11" s="32" t="str">
        <f aca="false">IF(OR(W11="",E11=""),"",MAX(0,MIN(N(E11),W11-N(Y11))))</f>
        <v/>
      </c>
      <c r="Y11" s="32" t="str">
        <f aca="false">IF(W11="","",IF(AND(H11&lt;&gt;"",F11&lt;&gt;""),MAX(0,H11-F11),N(G11)))</f>
        <v/>
      </c>
      <c r="Z11" s="32" t="str">
        <f aca="false">IF(W11="","",MAX(0,MIN(N(R11),W11-N(X11)-N(Y11))))</f>
        <v/>
      </c>
      <c r="AA11" s="32" t="str">
        <f aca="false">IF(W11="","",MAX(0,MIN(N(J11)+N(K11)+N(L11)+N(M11),W11-N(X11)-N(Y11)-N(Z11))))</f>
        <v/>
      </c>
      <c r="AB11" s="32" t="str">
        <f aca="false">IF(W11="","",W11-N(X11)-N(Y11)-N(Z11)-N(AA11))</f>
        <v/>
      </c>
      <c r="AC11" s="37" t="str">
        <f aca="false">IF(OR(W11="",N(W11)=0,X11=""),"",X11/W11)</f>
        <v/>
      </c>
      <c r="AD11" s="37" t="str">
        <f aca="false">IF(OR(W11="",N(W11)=0,Y11=""),"",Y11/W11)</f>
        <v/>
      </c>
      <c r="AE11" s="37" t="str">
        <f aca="false">IF(OR(W11="",N(W11)=0,Z11=""),"",Z11/W11)</f>
        <v/>
      </c>
      <c r="AF11" s="37" t="str">
        <f aca="false">IF(OR(W11="",N(W11)=0,AA11=""),"",AA11/W11)</f>
        <v/>
      </c>
      <c r="AG11" s="37" t="str">
        <f aca="false">IF(OR(W11="",N(W11)=0,AB11=""),"",AB11/W11)</f>
        <v/>
      </c>
      <c r="AH11" s="32" t="n">
        <f aca="false">N(J11)+N(K11)+N(L11)+N(M11)+N(R11)+N(G11)</f>
        <v>0</v>
      </c>
      <c r="AI11" s="22" t="str">
        <f aca="false">IF(N(AH11)=0,"",(N(J11)+N(K11)+N(L11)+N(M11))/AH11)</f>
        <v/>
      </c>
      <c r="AJ11" s="22" t="str">
        <f aca="false">IF(N(AH11)=0,"",(N(R11))/AH11)</f>
        <v/>
      </c>
      <c r="AK11" s="22" t="str">
        <f aca="false">IF(N(AH11)=0,"",(N(G11))/AH11)</f>
        <v/>
      </c>
      <c r="AL11" s="32" t="n">
        <f aca="false">N(J11)+N(K11)+N(L11)+N(M11)+IF(AND(H11&lt;&gt;"",F11&lt;&gt;""),MAX(0,H11-F11),N(G11))+N(P11)+N(R11)</f>
        <v>0</v>
      </c>
      <c r="AM11" s="37" t="str">
        <f aca="false">IF(OR(W11="",N(W11)=0),"",AL11/W11)</f>
        <v/>
      </c>
      <c r="AN11" s="37" t="str">
        <f aca="false">IF(OR(W11="",N(W11)=0,E11=""),"",E11/W11)</f>
        <v/>
      </c>
      <c r="AO11" s="22" t="str">
        <f aca="false">IF(OR(W11="",N(W11)=0),"",(N(J11)+N(K11)+N(L11)+N(M11))/W11)</f>
        <v/>
      </c>
      <c r="AP11" s="22" t="str">
        <f aca="false">IF(OR(W11="",N(W11)=0),"",N(R11)/W11)</f>
        <v/>
      </c>
      <c r="AQ11" s="22" t="str">
        <f aca="false">IF(OR(W11="",N(W11)=0),"",(IF(AND(H11&lt;&gt;"",F11&lt;&gt;""),MAX(0,H11-F11),N(G11))+N(P11))/W11)</f>
        <v/>
      </c>
    </row>
    <row r="12" customFormat="false" ht="15" hidden="false" customHeight="false" outlineLevel="0" collapsed="false">
      <c r="A12" s="0" t="s">
        <v>1723</v>
      </c>
      <c r="B12" s="0" t="s">
        <v>520</v>
      </c>
      <c r="C12" s="0" t="n">
        <v>2025</v>
      </c>
      <c r="D12" s="0" t="s">
        <v>1721</v>
      </c>
      <c r="E12" s="32" t="n">
        <f aca="false">IF((COUNTIFS(FundRaw!$C$4:$C$260,"amzn",FundRaw!$E$4:$E$260,"2025",FundRaw!$F$4:$F$260,"ocf",FundRaw!$O$4:$O$260,1))=0,"",SUMIFS(FundRaw!$G$4:$G$260,FundRaw!$C$4:$C$260,"amzn",FundRaw!$E$4:$E$260,"2025",FundRaw!$F$4:$F$260,"ocf",FundRaw!$O$4:$O$260,1))</f>
        <v>139.514</v>
      </c>
      <c r="F12" s="32" t="n">
        <f aca="false">IF((COUNTIFS(FundRaw!$C$4:$C$260,"amzn",FundRaw!$E$4:$E$260,"2025",FundRaw!$F$4:$F$260,"capex_cash",FundRaw!$O$4:$O$260,1))=0,"",SUMIFS(FundRaw!$G$4:$G$260,FundRaw!$C$4:$C$260,"amzn",FundRaw!$E$4:$E$260,"2025",FundRaw!$F$4:$F$260,"capex_cash",FundRaw!$O$4:$O$260,1))</f>
        <v>128.32</v>
      </c>
      <c r="G12" s="32" t="str">
        <f aca="false">IF((COUNTIFS(FundRaw!$C$4:$C$260,"amzn",FundRaw!$E$4:$E$260,"2025",FundRaw!$F$4:$F$260,"fin_lease_new",FundRaw!$O$4:$O$260,1))=0,"",SUMIFS(FundRaw!$G$4:$G$260,FundRaw!$C$4:$C$260,"amzn",FundRaw!$E$4:$E$260,"2025",FundRaw!$F$4:$F$260,"fin_lease_new",FundRaw!$O$4:$O$260,1))</f>
        <v/>
      </c>
      <c r="H12" s="32" t="n">
        <f aca="false">IF((COUNTIFS(FundRaw!$C$4:$C$260,"amzn",FundRaw!$E$4:$E$260,"2025",FundRaw!$F$4:$F$260,"capex_incl_fl",FundRaw!$O$4:$O$260,1))=0,"",SUMIFS(FundRaw!$G$4:$G$260,FundRaw!$C$4:$C$260,"amzn",FundRaw!$E$4:$E$260,"2025",FundRaw!$F$4:$F$260,"capex_incl_fl",FundRaw!$O$4:$O$260,1))</f>
        <v>131.231</v>
      </c>
      <c r="I12" s="32" t="n">
        <f aca="false">IF((COUNTIFS(FundRaw!$C$4:$C$260,"amzn",FundRaw!$E$4:$E$260,"2025",FundRaw!$F$4:$F$260,"fcf",FundRaw!$O$4:$O$260,1))=0,"",SUMIFS(FundRaw!$G$4:$G$260,FundRaw!$C$4:$C$260,"amzn",FundRaw!$E$4:$E$260,"2025",FundRaw!$F$4:$F$260,"fcf",FundRaw!$O$4:$O$260,1))</f>
        <v>11.194</v>
      </c>
      <c r="J12" s="32" t="n">
        <f aca="false">IF((COUNTIFS(FundRaw!$C$4:$C$260,"amzn",FundRaw!$E$4:$E$260,"2025",FundRaw!$F$4:$F$260,"bond_issue",FundRaw!$O$4:$O$260,1))=0,"",SUMIFS(FundRaw!$G$4:$G$260,FundRaw!$C$4:$C$260,"amzn",FundRaw!$E$4:$E$260,"2025",FundRaw!$F$4:$F$260,"bond_issue",FundRaw!$O$4:$O$260,1))</f>
        <v>15</v>
      </c>
      <c r="K12" s="32" t="str">
        <f aca="false">IF((COUNTIFS(FundRaw!$C$4:$C$260,"amzn",FundRaw!$E$4:$E$260,"2025",FundRaw!$F$4:$F$260,"term_loan",FundRaw!$O$4:$O$260,1))=0,"",SUMIFS(FundRaw!$G$4:$G$260,FundRaw!$C$4:$C$260,"amzn",FundRaw!$E$4:$E$260,"2025",FundRaw!$F$4:$F$260,"term_loan",FundRaw!$O$4:$O$260,1))</f>
        <v/>
      </c>
      <c r="L12" s="32" t="str">
        <f aca="false">IF((COUNTIFS(FundRaw!$C$4:$C$260,"amzn",FundRaw!$E$4:$E$260,"2025",FundRaw!$F$4:$F$260,"gpu_debt",FundRaw!$O$4:$O$260,1))=0,"",SUMIFS(FundRaw!$G$4:$G$260,FundRaw!$C$4:$C$260,"amzn",FundRaw!$E$4:$E$260,"2025",FundRaw!$F$4:$F$260,"gpu_debt",FundRaw!$O$4:$O$260,1))</f>
        <v/>
      </c>
      <c r="M12" s="32" t="str">
        <f aca="false">IF((COUNTIFS(FundRaw!$C$4:$C$260,"amzn",FundRaw!$E$4:$E$260,"2025",FundRaw!$F$4:$F$260,"private_credit",FundRaw!$O$4:$O$260,1))=0,"",SUMIFS(FundRaw!$G$4:$G$260,FundRaw!$C$4:$C$260,"amzn",FundRaw!$E$4:$E$260,"2025",FundRaw!$F$4:$F$260,"private_credit",FundRaw!$O$4:$O$260,1))</f>
        <v/>
      </c>
      <c r="N12" s="32" t="str">
        <f aca="false">IF((COUNTIFS(FundRaw!$C$4:$C$260,"amzn",FundRaw!$E$4:$E$260,"2025",FundRaw!$F$4:$F$260,"net_debt_change",FundRaw!$O$4:$O$260,1))=0,"",SUMIFS(FundRaw!$G$4:$G$260,FundRaw!$C$4:$C$260,"amzn",FundRaw!$E$4:$E$260,"2025",FundRaw!$F$4:$F$260,"net_debt_change",FundRaw!$O$4:$O$260,1))</f>
        <v/>
      </c>
      <c r="O12" s="32" t="n">
        <f aca="false">IF((COUNTIFS(FundRaw!$C$4:$C$260,"amzn",FundRaw!$E$4:$E$260,"2025",FundRaw!$F$4:$F$260,"lease_not_commenced",FundRaw!$O$4:$O$260,1))=0,"",SUMIFS(FundRaw!$G$4:$G$260,FundRaw!$C$4:$C$260,"amzn",FundRaw!$E$4:$E$260,"2025",FundRaw!$F$4:$F$260,"lease_not_commenced",FundRaw!$O$4:$O$260,1))</f>
        <v>96.4</v>
      </c>
      <c r="P12" s="32" t="str">
        <f aca="false">IF((COUNTIFS(FundRaw!$C$4:$C$260,"amzn",FundRaw!$E$4:$E$260,"2025",FundRaw!$F$4:$F$260,"jv_offbalance",FundRaw!$O$4:$O$260,1))=0,"",SUMIFS(FundRaw!$G$4:$G$260,FundRaw!$C$4:$C$260,"amzn",FundRaw!$E$4:$E$260,"2025",FundRaw!$F$4:$F$260,"jv_offbalance",FundRaw!$O$4:$O$260,1))</f>
        <v/>
      </c>
      <c r="Q12" s="32" t="str">
        <f aca="false">IF((COUNTIFS(FundRaw!$C$4:$C$260,"amzn",FundRaw!$E$4:$E$260,"2025",FundRaw!$F$4:$F$260,"jv_exposure",FundRaw!$O$4:$O$260,1))=0,"",SUMIFS(FundRaw!$G$4:$G$260,FundRaw!$C$4:$C$260,"amzn",FundRaw!$E$4:$E$260,"2025",FundRaw!$F$4:$F$260,"jv_exposure",FundRaw!$O$4:$O$260,1))</f>
        <v/>
      </c>
      <c r="R12" s="32" t="str">
        <f aca="false">IF((COUNTIFS(FundRaw!$C$4:$C$260,"amzn",FundRaw!$E$4:$E$260,"2025",FundRaw!$F$4:$F$260,"equity_round",FundRaw!$O$4:$O$260,1))=0,"",SUMIFS(FundRaw!$G$4:$G$260,FundRaw!$C$4:$C$260,"amzn",FundRaw!$E$4:$E$260,"2025",FundRaw!$F$4:$F$260,"equity_round",FundRaw!$O$4:$O$260,1))</f>
        <v/>
      </c>
      <c r="S12" s="32" t="str">
        <f aca="false">IF((COUNTIFS(FundRaw!$C$4:$C$260,"amzn",FundRaw!$E$4:$E$260,"2025",FundRaw!$F$4:$F$260,"vendor_financing",FundRaw!$O$4:$O$260,1))=0,"",SUMIFS(FundRaw!$G$4:$G$260,FundRaw!$C$4:$C$260,"amzn",FundRaw!$E$4:$E$260,"2025",FundRaw!$F$4:$F$260,"vendor_financing",FundRaw!$O$4:$O$260,1))</f>
        <v/>
      </c>
      <c r="T12" s="32" t="n">
        <f aca="false">IF((COUNTIFS(FundRaw!$C$4:$C$260,"amzn",FundRaw!$E$4:$E$260,"2025",FundRaw!$F$4:$F$260,"buyback_div",FundRaw!$O$4:$O$260,1))=0,"",SUMIFS(FundRaw!$G$4:$G$260,FundRaw!$C$4:$C$260,"amzn",FundRaw!$E$4:$E$260,"2025",FundRaw!$F$4:$F$260,"buyback_div",FundRaw!$O$4:$O$260,1))</f>
        <v>0</v>
      </c>
      <c r="U12" s="32" t="str">
        <f aca="false">IF((COUNTIFS(FundRaw!$C$4:$C$260,"amzn",FundRaw!$E$4:$E$260,"2025",FundRaw!$F$4:$F$260,"gpu_debt_talks",FundRaw!$O$4:$O$260,1))=0,"",SUMIFS(FundRaw!$G$4:$G$260,FundRaw!$C$4:$C$260,"amzn",FundRaw!$E$4:$E$260,"2025",FundRaw!$F$4:$F$260,"gpu_debt_talks",FundRaw!$O$4:$O$260,1))</f>
        <v/>
      </c>
      <c r="V12" s="32" t="str">
        <f aca="false">IF((COUNTIFS(FundRaw!$C$4:$C$260,"amzn",FundRaw!$E$4:$E$260,"2025",FundRaw!$F$4:$F$260,"bridge_refi",FundRaw!$O$4:$O$260,1))=0,"",SUMIFS(FundRaw!$G$4:$G$260,FundRaw!$C$4:$C$260,"amzn",FundRaw!$E$4:$E$260,"2025",FundRaw!$F$4:$F$260,"bridge_refi",FundRaw!$O$4:$O$260,1))</f>
        <v/>
      </c>
      <c r="W12" s="32" t="n">
        <f aca="false">IF(H12&lt;&gt;"",H12,IF(F12&lt;&gt;"",F12+N(G12),""))</f>
        <v>131.231</v>
      </c>
      <c r="X12" s="32" t="n">
        <f aca="false">IF(OR(W12="",E12=""),"",MAX(0,MIN(N(E12),W12-N(Y12))))</f>
        <v>128.32</v>
      </c>
      <c r="Y12" s="32" t="n">
        <f aca="false">IF(W12="","",IF(AND(H12&lt;&gt;"",F12&lt;&gt;""),MAX(0,H12-F12),N(G12)))</f>
        <v>2.911</v>
      </c>
      <c r="Z12" s="32" t="n">
        <f aca="false">IF(W12="","",MAX(0,MIN(N(R12),W12-N(X12)-N(Y12))))</f>
        <v>0</v>
      </c>
      <c r="AA12" s="32" t="n">
        <f aca="false">IF(W12="","",MAX(0,MIN(N(J12)+N(K12)+N(L12)+N(M12),W12-N(X12)-N(Y12)-N(Z12))))</f>
        <v>0</v>
      </c>
      <c r="AB12" s="32" t="n">
        <f aca="false">IF(W12="","",W12-N(X12)-N(Y12)-N(Z12)-N(AA12))</f>
        <v>0</v>
      </c>
      <c r="AC12" s="37" t="n">
        <f aca="false">IF(OR(W12="",N(W12)=0,X12=""),"",X12/W12)</f>
        <v>0.977817741234922</v>
      </c>
      <c r="AD12" s="37" t="n">
        <f aca="false">IF(OR(W12="",N(W12)=0,Y12=""),"",Y12/W12)</f>
        <v>0.0221822587650784</v>
      </c>
      <c r="AE12" s="37" t="n">
        <f aca="false">IF(OR(W12="",N(W12)=0,Z12=""),"",Z12/W12)</f>
        <v>0</v>
      </c>
      <c r="AF12" s="37" t="n">
        <f aca="false">IF(OR(W12="",N(W12)=0,AA12=""),"",AA12/W12)</f>
        <v>0</v>
      </c>
      <c r="AG12" s="37" t="n">
        <f aca="false">IF(OR(W12="",N(W12)=0,AB12=""),"",AB12/W12)</f>
        <v>0</v>
      </c>
      <c r="AH12" s="32" t="n">
        <f aca="false">N(J12)+N(K12)+N(L12)+N(M12)+N(R12)+N(G12)</f>
        <v>15</v>
      </c>
      <c r="AI12" s="22" t="n">
        <f aca="false">IF(N(AH12)=0,"",(N(J12)+N(K12)+N(L12)+N(M12))/AH12)</f>
        <v>1</v>
      </c>
      <c r="AJ12" s="22" t="n">
        <f aca="false">IF(N(AH12)=0,"",(N(R12))/AH12)</f>
        <v>0</v>
      </c>
      <c r="AK12" s="22" t="n">
        <f aca="false">IF(N(AH12)=0,"",(N(G12))/AH12)</f>
        <v>0</v>
      </c>
      <c r="AL12" s="32" t="n">
        <f aca="false">N(J12)+N(K12)+N(L12)+N(M12)+IF(AND(H12&lt;&gt;"",F12&lt;&gt;""),MAX(0,H12-F12),N(G12))+N(P12)+N(R12)</f>
        <v>17.911</v>
      </c>
      <c r="AM12" s="37" t="n">
        <f aca="false">IF(OR(W12="",N(W12)=0),"",AL12/W12)</f>
        <v>0.136484519663799</v>
      </c>
      <c r="AN12" s="37" t="n">
        <f aca="false">IF(OR(W12="",N(W12)=0,E12=""),"",E12/W12)</f>
        <v>1.06311770846827</v>
      </c>
      <c r="AO12" s="22" t="n">
        <f aca="false">IF(OR(W12="",N(W12)=0),"",(N(J12)+N(K12)+N(L12)+N(M12))/W12)</f>
        <v>0.114302260898721</v>
      </c>
      <c r="AP12" s="22" t="n">
        <f aca="false">IF(OR(W12="",N(W12)=0),"",N(R12)/W12)</f>
        <v>0</v>
      </c>
      <c r="AQ12" s="22" t="n">
        <f aca="false">IF(OR(W12="",N(W12)=0),"",(IF(AND(H12&lt;&gt;"",F12&lt;&gt;""),MAX(0,H12-F12),N(G12))+N(P12))/W12)</f>
        <v>0.0221822587650784</v>
      </c>
    </row>
    <row r="13" customFormat="false" ht="15" hidden="false" customHeight="false" outlineLevel="0" collapsed="false">
      <c r="A13" s="0" t="s">
        <v>1723</v>
      </c>
      <c r="B13" s="0" t="s">
        <v>520</v>
      </c>
      <c r="C13" s="0" t="n">
        <v>2026</v>
      </c>
      <c r="D13" s="0" t="s">
        <v>1722</v>
      </c>
      <c r="E13" s="32" t="n">
        <f aca="false">IF((COUNTIFS(FundRaw!$C$4:$C$260,"amzn",FundRaw!$E$4:$E$260,"2026",FundRaw!$F$4:$F$260,"ocf",FundRaw!$O$4:$O$260,1))=0,"",SUMIFS(FundRaw!$G$4:$G$260,FundRaw!$C$4:$C$260,"amzn",FundRaw!$E$4:$E$260,"2026",FundRaw!$F$4:$F$260,"ocf",FundRaw!$O$4:$O$260,1))</f>
        <v>113.841</v>
      </c>
      <c r="F13" s="32" t="n">
        <f aca="false">IF((COUNTIFS(FundRaw!$C$4:$C$260,"amzn",FundRaw!$E$4:$E$260,"2026",FundRaw!$F$4:$F$260,"capex_cash",FundRaw!$O$4:$O$260,1))=0,"",SUMIFS(FundRaw!$G$4:$G$260,FundRaw!$C$4:$C$260,"amzn",FundRaw!$E$4:$E$260,"2026",FundRaw!$F$4:$F$260,"capex_cash",FundRaw!$O$4:$O$260,1))</f>
        <v>172.188</v>
      </c>
      <c r="G13" s="32" t="n">
        <f aca="false">IF((COUNTIFS(FundRaw!$C$4:$C$260,"amzn",FundRaw!$E$4:$E$260,"2026",FundRaw!$F$4:$F$260,"fin_lease_new",FundRaw!$O$4:$O$260,1))=0,"",SUMIFS(FundRaw!$G$4:$G$260,FundRaw!$C$4:$C$260,"amzn",FundRaw!$E$4:$E$260,"2026",FundRaw!$F$4:$F$260,"fin_lease_new",FundRaw!$O$4:$O$260,1))</f>
        <v>3.6</v>
      </c>
      <c r="H13" s="32" t="n">
        <f aca="false">IF((COUNTIFS(FundRaw!$C$4:$C$260,"amzn",FundRaw!$E$4:$E$260,"2026",FundRaw!$F$4:$F$260,"capex_incl_fl",FundRaw!$O$4:$O$260,1))=0,"",SUMIFS(FundRaw!$G$4:$G$260,FundRaw!$C$4:$C$260,"amzn",FundRaw!$E$4:$E$260,"2026",FundRaw!$F$4:$F$260,"capex_incl_fl",FundRaw!$O$4:$O$260,1))</f>
        <v>175.788</v>
      </c>
      <c r="I13" s="32" t="n">
        <f aca="false">IF((COUNTIFS(FundRaw!$C$4:$C$260,"amzn",FundRaw!$E$4:$E$260,"2026",FundRaw!$F$4:$F$260,"fcf",FundRaw!$O$4:$O$260,1))=0,"",SUMIFS(FundRaw!$G$4:$G$260,FundRaw!$C$4:$C$260,"amzn",FundRaw!$E$4:$E$260,"2026",FundRaw!$F$4:$F$260,"fcf",FundRaw!$O$4:$O$260,1))</f>
        <v>-58.347</v>
      </c>
      <c r="J13" s="32" t="n">
        <f aca="false">IF((COUNTIFS(FundRaw!$C$4:$C$260,"amzn",FundRaw!$E$4:$E$260,"2026",FundRaw!$F$4:$F$260,"bond_issue",FundRaw!$O$4:$O$260,1))=0,"",SUMIFS(FundRaw!$G$4:$G$260,FundRaw!$C$4:$C$260,"amzn",FundRaw!$E$4:$E$260,"2026",FundRaw!$F$4:$F$260,"bond_issue",FundRaw!$O$4:$O$260,1))</f>
        <v>115.1</v>
      </c>
      <c r="K13" s="32" t="str">
        <f aca="false">IF((COUNTIFS(FundRaw!$C$4:$C$260,"amzn",FundRaw!$E$4:$E$260,"2026",FundRaw!$F$4:$F$260,"term_loan",FundRaw!$O$4:$O$260,1))=0,"",SUMIFS(FundRaw!$G$4:$G$260,FundRaw!$C$4:$C$260,"amzn",FundRaw!$E$4:$E$260,"2026",FundRaw!$F$4:$F$260,"term_loan",FundRaw!$O$4:$O$260,1))</f>
        <v/>
      </c>
      <c r="L13" s="32" t="str">
        <f aca="false">IF((COUNTIFS(FundRaw!$C$4:$C$260,"amzn",FundRaw!$E$4:$E$260,"2026",FundRaw!$F$4:$F$260,"gpu_debt",FundRaw!$O$4:$O$260,1))=0,"",SUMIFS(FundRaw!$G$4:$G$260,FundRaw!$C$4:$C$260,"amzn",FundRaw!$E$4:$E$260,"2026",FundRaw!$F$4:$F$260,"gpu_debt",FundRaw!$O$4:$O$260,1))</f>
        <v/>
      </c>
      <c r="M13" s="32" t="str">
        <f aca="false">IF((COUNTIFS(FundRaw!$C$4:$C$260,"amzn",FundRaw!$E$4:$E$260,"2026",FundRaw!$F$4:$F$260,"private_credit",FundRaw!$O$4:$O$260,1))=0,"",SUMIFS(FundRaw!$G$4:$G$260,FundRaw!$C$4:$C$260,"amzn",FundRaw!$E$4:$E$260,"2026",FundRaw!$F$4:$F$260,"private_credit",FundRaw!$O$4:$O$260,1))</f>
        <v/>
      </c>
      <c r="N13" s="32" t="str">
        <f aca="false">IF((COUNTIFS(FundRaw!$C$4:$C$260,"amzn",FundRaw!$E$4:$E$260,"2026",FundRaw!$F$4:$F$260,"net_debt_change",FundRaw!$O$4:$O$260,1))=0,"",SUMIFS(FundRaw!$G$4:$G$260,FundRaw!$C$4:$C$260,"amzn",FundRaw!$E$4:$E$260,"2026",FundRaw!$F$4:$F$260,"net_debt_change",FundRaw!$O$4:$O$260,1))</f>
        <v/>
      </c>
      <c r="O13" s="32" t="n">
        <f aca="false">IF((COUNTIFS(FundRaw!$C$4:$C$260,"amzn",FundRaw!$E$4:$E$260,"2026",FundRaw!$F$4:$F$260,"lease_not_commenced",FundRaw!$O$4:$O$260,1))=0,"",SUMIFS(FundRaw!$G$4:$G$260,FundRaw!$C$4:$C$260,"amzn",FundRaw!$E$4:$E$260,"2026",FundRaw!$F$4:$F$260,"lease_not_commenced",FundRaw!$O$4:$O$260,1))</f>
        <v>137.214</v>
      </c>
      <c r="P13" s="32" t="str">
        <f aca="false">IF((COUNTIFS(FundRaw!$C$4:$C$260,"amzn",FundRaw!$E$4:$E$260,"2026",FundRaw!$F$4:$F$260,"jv_offbalance",FundRaw!$O$4:$O$260,1))=0,"",SUMIFS(FundRaw!$G$4:$G$260,FundRaw!$C$4:$C$260,"amzn",FundRaw!$E$4:$E$260,"2026",FundRaw!$F$4:$F$260,"jv_offbalance",FundRaw!$O$4:$O$260,1))</f>
        <v/>
      </c>
      <c r="Q13" s="32" t="str">
        <f aca="false">IF((COUNTIFS(FundRaw!$C$4:$C$260,"amzn",FundRaw!$E$4:$E$260,"2026",FundRaw!$F$4:$F$260,"jv_exposure",FundRaw!$O$4:$O$260,1))=0,"",SUMIFS(FundRaw!$G$4:$G$260,FundRaw!$C$4:$C$260,"amzn",FundRaw!$E$4:$E$260,"2026",FundRaw!$F$4:$F$260,"jv_exposure",FundRaw!$O$4:$O$260,1))</f>
        <v/>
      </c>
      <c r="R13" s="32" t="str">
        <f aca="false">IF((COUNTIFS(FundRaw!$C$4:$C$260,"amzn",FundRaw!$E$4:$E$260,"2026",FundRaw!$F$4:$F$260,"equity_round",FundRaw!$O$4:$O$260,1))=0,"",SUMIFS(FundRaw!$G$4:$G$260,FundRaw!$C$4:$C$260,"amzn",FundRaw!$E$4:$E$260,"2026",FundRaw!$F$4:$F$260,"equity_round",FundRaw!$O$4:$O$260,1))</f>
        <v/>
      </c>
      <c r="S13" s="32" t="n">
        <f aca="false">IF((COUNTIFS(FundRaw!$C$4:$C$260,"amzn",FundRaw!$E$4:$E$260,"2026",FundRaw!$F$4:$F$260,"vendor_financing",FundRaw!$O$4:$O$260,1))=0,"",SUMIFS(FundRaw!$G$4:$G$260,FundRaw!$C$4:$C$260,"amzn",FundRaw!$E$4:$E$260,"2026",FundRaw!$F$4:$F$260,"vendor_financing",FundRaw!$O$4:$O$260,1))</f>
        <v>68</v>
      </c>
      <c r="T13" s="32" t="n">
        <f aca="false">IF((COUNTIFS(FundRaw!$C$4:$C$260,"amzn",FundRaw!$E$4:$E$260,"2026",FundRaw!$F$4:$F$260,"buyback_div",FundRaw!$O$4:$O$260,1))=0,"",SUMIFS(FundRaw!$G$4:$G$260,FundRaw!$C$4:$C$260,"amzn",FundRaw!$E$4:$E$260,"2026",FundRaw!$F$4:$F$260,"buyback_div",FundRaw!$O$4:$O$260,1))</f>
        <v>0</v>
      </c>
      <c r="U13" s="32" t="str">
        <f aca="false">IF((COUNTIFS(FundRaw!$C$4:$C$260,"amzn",FundRaw!$E$4:$E$260,"2026",FundRaw!$F$4:$F$260,"gpu_debt_talks",FundRaw!$O$4:$O$260,1))=0,"",SUMIFS(FundRaw!$G$4:$G$260,FundRaw!$C$4:$C$260,"amzn",FundRaw!$E$4:$E$260,"2026",FundRaw!$F$4:$F$260,"gpu_debt_talks",FundRaw!$O$4:$O$260,1))</f>
        <v/>
      </c>
      <c r="V13" s="32" t="str">
        <f aca="false">IF((COUNTIFS(FundRaw!$C$4:$C$260,"amzn",FundRaw!$E$4:$E$260,"2026",FundRaw!$F$4:$F$260,"bridge_refi",FundRaw!$O$4:$O$260,1))=0,"",SUMIFS(FundRaw!$G$4:$G$260,FundRaw!$C$4:$C$260,"amzn",FundRaw!$E$4:$E$260,"2026",FundRaw!$F$4:$F$260,"bridge_refi",FundRaw!$O$4:$O$260,1))</f>
        <v/>
      </c>
      <c r="W13" s="32" t="n">
        <f aca="false">IF(H13&lt;&gt;"",H13,IF(F13&lt;&gt;"",F13+N(G13),""))</f>
        <v>175.788</v>
      </c>
      <c r="X13" s="32" t="n">
        <f aca="false">IF(OR(W13="",E13=""),"",MAX(0,MIN(N(E13),W13-N(Y13))))</f>
        <v>113.841</v>
      </c>
      <c r="Y13" s="32" t="n">
        <f aca="false">IF(W13="","",IF(AND(H13&lt;&gt;"",F13&lt;&gt;""),MAX(0,H13-F13),N(G13)))</f>
        <v>3.60000000000002</v>
      </c>
      <c r="Z13" s="32" t="n">
        <f aca="false">IF(W13="","",MAX(0,MIN(N(R13),W13-N(X13)-N(Y13))))</f>
        <v>0</v>
      </c>
      <c r="AA13" s="32" t="n">
        <f aca="false">IF(W13="","",MAX(0,MIN(N(J13)+N(K13)+N(L13)+N(M13),W13-N(X13)-N(Y13)-N(Z13))))</f>
        <v>58.347</v>
      </c>
      <c r="AB13" s="32" t="n">
        <f aca="false">IF(W13="","",W13-N(X13)-N(Y13)-N(Z13)-N(AA13))</f>
        <v>0</v>
      </c>
      <c r="AC13" s="37" t="n">
        <f aca="false">IF(OR(W13="",N(W13)=0,X13=""),"",X13/W13)</f>
        <v>0.647603932009011</v>
      </c>
      <c r="AD13" s="37" t="n">
        <f aca="false">IF(OR(W13="",N(W13)=0,Y13=""),"",Y13/W13)</f>
        <v>0.020479213598198</v>
      </c>
      <c r="AE13" s="37" t="n">
        <f aca="false">IF(OR(W13="",N(W13)=0,Z13=""),"",Z13/W13)</f>
        <v>0</v>
      </c>
      <c r="AF13" s="37" t="n">
        <f aca="false">IF(OR(W13="",N(W13)=0,AA13=""),"",AA13/W13)</f>
        <v>0.331916854392791</v>
      </c>
      <c r="AG13" s="37" t="n">
        <f aca="false">IF(OR(W13="",N(W13)=0,AB13=""),"",AB13/W13)</f>
        <v>0</v>
      </c>
      <c r="AH13" s="32" t="n">
        <f aca="false">N(J13)+N(K13)+N(L13)+N(M13)+N(R13)+N(G13)</f>
        <v>118.7</v>
      </c>
      <c r="AI13" s="22" t="n">
        <f aca="false">IF(N(AH13)=0,"",(N(J13)+N(K13)+N(L13)+N(M13))/AH13)</f>
        <v>0.969671440606571</v>
      </c>
      <c r="AJ13" s="22" t="n">
        <f aca="false">IF(N(AH13)=0,"",(N(R13))/AH13)</f>
        <v>0</v>
      </c>
      <c r="AK13" s="22" t="n">
        <f aca="false">IF(N(AH13)=0,"",(N(G13))/AH13)</f>
        <v>0.0303285593934288</v>
      </c>
      <c r="AL13" s="32" t="n">
        <f aca="false">N(J13)+N(K13)+N(L13)+N(M13)+IF(AND(H13&lt;&gt;"",F13&lt;&gt;""),MAX(0,H13-F13),N(G13))+N(P13)+N(R13)</f>
        <v>118.7</v>
      </c>
      <c r="AM13" s="37" t="n">
        <f aca="false">IF(OR(W13="",N(W13)=0),"",AL13/W13)</f>
        <v>0.675245181696134</v>
      </c>
      <c r="AN13" s="37" t="n">
        <f aca="false">IF(OR(W13="",N(W13)=0,E13=""),"",E13/W13)</f>
        <v>0.647603932009011</v>
      </c>
      <c r="AO13" s="22" t="n">
        <f aca="false">IF(OR(W13="",N(W13)=0),"",(N(J13)+N(K13)+N(L13)+N(M13))/W13)</f>
        <v>0.654765968097936</v>
      </c>
      <c r="AP13" s="22" t="n">
        <f aca="false">IF(OR(W13="",N(W13)=0),"",N(R13)/W13)</f>
        <v>0</v>
      </c>
      <c r="AQ13" s="22" t="n">
        <f aca="false">IF(OR(W13="",N(W13)=0),"",(IF(AND(H13&lt;&gt;"",F13&lt;&gt;""),MAX(0,H13-F13),N(G13))+N(P13))/W13)</f>
        <v>0.020479213598198</v>
      </c>
    </row>
    <row r="14" customFormat="false" ht="15" hidden="false" customHeight="false" outlineLevel="0" collapsed="false">
      <c r="A14" s="0" t="s">
        <v>1070</v>
      </c>
      <c r="B14" s="0" t="s">
        <v>527</v>
      </c>
      <c r="C14" s="0" t="n">
        <v>2024</v>
      </c>
      <c r="D14" s="0" t="s">
        <v>1720</v>
      </c>
      <c r="E14" s="32" t="str">
        <f aca="false">IF((COUNTIFS(FundRaw!$C$4:$C$260,"meta",FundRaw!$E$4:$E$260,"2024",FundRaw!$F$4:$F$260,"ocf",FundRaw!$O$4:$O$260,1))=0,"",SUMIFS(FundRaw!$G$4:$G$260,FundRaw!$C$4:$C$260,"meta",FundRaw!$E$4:$E$260,"2024",FundRaw!$F$4:$F$260,"ocf",FundRaw!$O$4:$O$260,1))</f>
        <v/>
      </c>
      <c r="F14" s="32" t="str">
        <f aca="false">IF((COUNTIFS(FundRaw!$C$4:$C$260,"meta",FundRaw!$E$4:$E$260,"2024",FundRaw!$F$4:$F$260,"capex_cash",FundRaw!$O$4:$O$260,1))=0,"",SUMIFS(FundRaw!$G$4:$G$260,FundRaw!$C$4:$C$260,"meta",FundRaw!$E$4:$E$260,"2024",FundRaw!$F$4:$F$260,"capex_cash",FundRaw!$O$4:$O$260,1))</f>
        <v/>
      </c>
      <c r="G14" s="32" t="str">
        <f aca="false">IF((COUNTIFS(FundRaw!$C$4:$C$260,"meta",FundRaw!$E$4:$E$260,"2024",FundRaw!$F$4:$F$260,"fin_lease_new",FundRaw!$O$4:$O$260,1))=0,"",SUMIFS(FundRaw!$G$4:$G$260,FundRaw!$C$4:$C$260,"meta",FundRaw!$E$4:$E$260,"2024",FundRaw!$F$4:$F$260,"fin_lease_new",FundRaw!$O$4:$O$260,1))</f>
        <v/>
      </c>
      <c r="H14" s="32" t="str">
        <f aca="false">IF((COUNTIFS(FundRaw!$C$4:$C$260,"meta",FundRaw!$E$4:$E$260,"2024",FundRaw!$F$4:$F$260,"capex_incl_fl",FundRaw!$O$4:$O$260,1))=0,"",SUMIFS(FundRaw!$G$4:$G$260,FundRaw!$C$4:$C$260,"meta",FundRaw!$E$4:$E$260,"2024",FundRaw!$F$4:$F$260,"capex_incl_fl",FundRaw!$O$4:$O$260,1))</f>
        <v/>
      </c>
      <c r="I14" s="32" t="str">
        <f aca="false">IF((COUNTIFS(FundRaw!$C$4:$C$260,"meta",FundRaw!$E$4:$E$260,"2024",FundRaw!$F$4:$F$260,"fcf",FundRaw!$O$4:$O$260,1))=0,"",SUMIFS(FundRaw!$G$4:$G$260,FundRaw!$C$4:$C$260,"meta",FundRaw!$E$4:$E$260,"2024",FundRaw!$F$4:$F$260,"fcf",FundRaw!$O$4:$O$260,1))</f>
        <v/>
      </c>
      <c r="J14" s="32" t="str">
        <f aca="false">IF((COUNTIFS(FundRaw!$C$4:$C$260,"meta",FundRaw!$E$4:$E$260,"2024",FundRaw!$F$4:$F$260,"bond_issue",FundRaw!$O$4:$O$260,1))=0,"",SUMIFS(FundRaw!$G$4:$G$260,FundRaw!$C$4:$C$260,"meta",FundRaw!$E$4:$E$260,"2024",FundRaw!$F$4:$F$260,"bond_issue",FundRaw!$O$4:$O$260,1))</f>
        <v/>
      </c>
      <c r="K14" s="32" t="str">
        <f aca="false">IF((COUNTIFS(FundRaw!$C$4:$C$260,"meta",FundRaw!$E$4:$E$260,"2024",FundRaw!$F$4:$F$260,"term_loan",FundRaw!$O$4:$O$260,1))=0,"",SUMIFS(FundRaw!$G$4:$G$260,FundRaw!$C$4:$C$260,"meta",FundRaw!$E$4:$E$260,"2024",FundRaw!$F$4:$F$260,"term_loan",FundRaw!$O$4:$O$260,1))</f>
        <v/>
      </c>
      <c r="L14" s="32" t="str">
        <f aca="false">IF((COUNTIFS(FundRaw!$C$4:$C$260,"meta",FundRaw!$E$4:$E$260,"2024",FundRaw!$F$4:$F$260,"gpu_debt",FundRaw!$O$4:$O$260,1))=0,"",SUMIFS(FundRaw!$G$4:$G$260,FundRaw!$C$4:$C$260,"meta",FundRaw!$E$4:$E$260,"2024",FundRaw!$F$4:$F$260,"gpu_debt",FundRaw!$O$4:$O$260,1))</f>
        <v/>
      </c>
      <c r="M14" s="32" t="str">
        <f aca="false">IF((COUNTIFS(FundRaw!$C$4:$C$260,"meta",FundRaw!$E$4:$E$260,"2024",FundRaw!$F$4:$F$260,"private_credit",FundRaw!$O$4:$O$260,1))=0,"",SUMIFS(FundRaw!$G$4:$G$260,FundRaw!$C$4:$C$260,"meta",FundRaw!$E$4:$E$260,"2024",FundRaw!$F$4:$F$260,"private_credit",FundRaw!$O$4:$O$260,1))</f>
        <v/>
      </c>
      <c r="N14" s="32" t="str">
        <f aca="false">IF((COUNTIFS(FundRaw!$C$4:$C$260,"meta",FundRaw!$E$4:$E$260,"2024",FundRaw!$F$4:$F$260,"net_debt_change",FundRaw!$O$4:$O$260,1))=0,"",SUMIFS(FundRaw!$G$4:$G$260,FundRaw!$C$4:$C$260,"meta",FundRaw!$E$4:$E$260,"2024",FundRaw!$F$4:$F$260,"net_debt_change",FundRaw!$O$4:$O$260,1))</f>
        <v/>
      </c>
      <c r="O14" s="32" t="str">
        <f aca="false">IF((COUNTIFS(FundRaw!$C$4:$C$260,"meta",FundRaw!$E$4:$E$260,"2024",FundRaw!$F$4:$F$260,"lease_not_commenced",FundRaw!$O$4:$O$260,1))=0,"",SUMIFS(FundRaw!$G$4:$G$260,FundRaw!$C$4:$C$260,"meta",FundRaw!$E$4:$E$260,"2024",FundRaw!$F$4:$F$260,"lease_not_commenced",FundRaw!$O$4:$O$260,1))</f>
        <v/>
      </c>
      <c r="P14" s="32" t="str">
        <f aca="false">IF((COUNTIFS(FundRaw!$C$4:$C$260,"meta",FundRaw!$E$4:$E$260,"2024",FundRaw!$F$4:$F$260,"jv_offbalance",FundRaw!$O$4:$O$260,1))=0,"",SUMIFS(FundRaw!$G$4:$G$260,FundRaw!$C$4:$C$260,"meta",FundRaw!$E$4:$E$260,"2024",FundRaw!$F$4:$F$260,"jv_offbalance",FundRaw!$O$4:$O$260,1))</f>
        <v/>
      </c>
      <c r="Q14" s="32" t="str">
        <f aca="false">IF((COUNTIFS(FundRaw!$C$4:$C$260,"meta",FundRaw!$E$4:$E$260,"2024",FundRaw!$F$4:$F$260,"jv_exposure",FundRaw!$O$4:$O$260,1))=0,"",SUMIFS(FundRaw!$G$4:$G$260,FundRaw!$C$4:$C$260,"meta",FundRaw!$E$4:$E$260,"2024",FundRaw!$F$4:$F$260,"jv_exposure",FundRaw!$O$4:$O$260,1))</f>
        <v/>
      </c>
      <c r="R14" s="32" t="str">
        <f aca="false">IF((COUNTIFS(FundRaw!$C$4:$C$260,"meta",FundRaw!$E$4:$E$260,"2024",FundRaw!$F$4:$F$260,"equity_round",FundRaw!$O$4:$O$260,1))=0,"",SUMIFS(FundRaw!$G$4:$G$260,FundRaw!$C$4:$C$260,"meta",FundRaw!$E$4:$E$260,"2024",FundRaw!$F$4:$F$260,"equity_round",FundRaw!$O$4:$O$260,1))</f>
        <v/>
      </c>
      <c r="S14" s="32" t="str">
        <f aca="false">IF((COUNTIFS(FundRaw!$C$4:$C$260,"meta",FundRaw!$E$4:$E$260,"2024",FundRaw!$F$4:$F$260,"vendor_financing",FundRaw!$O$4:$O$260,1))=0,"",SUMIFS(FundRaw!$G$4:$G$260,FundRaw!$C$4:$C$260,"meta",FundRaw!$E$4:$E$260,"2024",FundRaw!$F$4:$F$260,"vendor_financing",FundRaw!$O$4:$O$260,1))</f>
        <v/>
      </c>
      <c r="T14" s="32" t="str">
        <f aca="false">IF((COUNTIFS(FundRaw!$C$4:$C$260,"meta",FundRaw!$E$4:$E$260,"2024",FundRaw!$F$4:$F$260,"buyback_div",FundRaw!$O$4:$O$260,1))=0,"",SUMIFS(FundRaw!$G$4:$G$260,FundRaw!$C$4:$C$260,"meta",FundRaw!$E$4:$E$260,"2024",FundRaw!$F$4:$F$260,"buyback_div",FundRaw!$O$4:$O$260,1))</f>
        <v/>
      </c>
      <c r="U14" s="32" t="str">
        <f aca="false">IF((COUNTIFS(FundRaw!$C$4:$C$260,"meta",FundRaw!$E$4:$E$260,"2024",FundRaw!$F$4:$F$260,"gpu_debt_talks",FundRaw!$O$4:$O$260,1))=0,"",SUMIFS(FundRaw!$G$4:$G$260,FundRaw!$C$4:$C$260,"meta",FundRaw!$E$4:$E$260,"2024",FundRaw!$F$4:$F$260,"gpu_debt_talks",FundRaw!$O$4:$O$260,1))</f>
        <v/>
      </c>
      <c r="V14" s="32" t="str">
        <f aca="false">IF((COUNTIFS(FundRaw!$C$4:$C$260,"meta",FundRaw!$E$4:$E$260,"2024",FundRaw!$F$4:$F$260,"bridge_refi",FundRaw!$O$4:$O$260,1))=0,"",SUMIFS(FundRaw!$G$4:$G$260,FundRaw!$C$4:$C$260,"meta",FundRaw!$E$4:$E$260,"2024",FundRaw!$F$4:$F$260,"bridge_refi",FundRaw!$O$4:$O$260,1))</f>
        <v/>
      </c>
      <c r="W14" s="32" t="str">
        <f aca="false">IF(H14&lt;&gt;"",H14,IF(F14&lt;&gt;"",F14+N(G14),""))</f>
        <v/>
      </c>
      <c r="X14" s="32" t="str">
        <f aca="false">IF(OR(W14="",E14=""),"",MAX(0,MIN(N(E14),W14-N(Y14))))</f>
        <v/>
      </c>
      <c r="Y14" s="32" t="str">
        <f aca="false">IF(W14="","",IF(AND(H14&lt;&gt;"",F14&lt;&gt;""),MAX(0,H14-F14),N(G14)))</f>
        <v/>
      </c>
      <c r="Z14" s="32" t="str">
        <f aca="false">IF(W14="","",MAX(0,MIN(N(R14),W14-N(X14)-N(Y14))))</f>
        <v/>
      </c>
      <c r="AA14" s="32" t="str">
        <f aca="false">IF(W14="","",MAX(0,MIN(N(J14)+N(K14)+N(L14)+N(M14),W14-N(X14)-N(Y14)-N(Z14))))</f>
        <v/>
      </c>
      <c r="AB14" s="32" t="str">
        <f aca="false">IF(W14="","",W14-N(X14)-N(Y14)-N(Z14)-N(AA14))</f>
        <v/>
      </c>
      <c r="AC14" s="37" t="str">
        <f aca="false">IF(OR(W14="",N(W14)=0,X14=""),"",X14/W14)</f>
        <v/>
      </c>
      <c r="AD14" s="37" t="str">
        <f aca="false">IF(OR(W14="",N(W14)=0,Y14=""),"",Y14/W14)</f>
        <v/>
      </c>
      <c r="AE14" s="37" t="str">
        <f aca="false">IF(OR(W14="",N(W14)=0,Z14=""),"",Z14/W14)</f>
        <v/>
      </c>
      <c r="AF14" s="37" t="str">
        <f aca="false">IF(OR(W14="",N(W14)=0,AA14=""),"",AA14/W14)</f>
        <v/>
      </c>
      <c r="AG14" s="37" t="str">
        <f aca="false">IF(OR(W14="",N(W14)=0,AB14=""),"",AB14/W14)</f>
        <v/>
      </c>
      <c r="AH14" s="32" t="n">
        <f aca="false">N(J14)+N(K14)+N(L14)+N(M14)+N(R14)+N(G14)</f>
        <v>0</v>
      </c>
      <c r="AI14" s="22" t="str">
        <f aca="false">IF(N(AH14)=0,"",(N(J14)+N(K14)+N(L14)+N(M14))/AH14)</f>
        <v/>
      </c>
      <c r="AJ14" s="22" t="str">
        <f aca="false">IF(N(AH14)=0,"",(N(R14))/AH14)</f>
        <v/>
      </c>
      <c r="AK14" s="22" t="str">
        <f aca="false">IF(N(AH14)=0,"",(N(G14))/AH14)</f>
        <v/>
      </c>
      <c r="AL14" s="32" t="n">
        <f aca="false">N(J14)+N(K14)+N(L14)+N(M14)+IF(AND(H14&lt;&gt;"",F14&lt;&gt;""),MAX(0,H14-F14),N(G14))+N(P14)+N(R14)</f>
        <v>0</v>
      </c>
      <c r="AM14" s="37" t="str">
        <f aca="false">IF(OR(W14="",N(W14)=0),"",AL14/W14)</f>
        <v/>
      </c>
      <c r="AN14" s="37" t="str">
        <f aca="false">IF(OR(W14="",N(W14)=0,E14=""),"",E14/W14)</f>
        <v/>
      </c>
      <c r="AO14" s="22" t="str">
        <f aca="false">IF(OR(W14="",N(W14)=0),"",(N(J14)+N(K14)+N(L14)+N(M14))/W14)</f>
        <v/>
      </c>
      <c r="AP14" s="22" t="str">
        <f aca="false">IF(OR(W14="",N(W14)=0),"",N(R14)/W14)</f>
        <v/>
      </c>
      <c r="AQ14" s="22" t="str">
        <f aca="false">IF(OR(W14="",N(W14)=0),"",(IF(AND(H14&lt;&gt;"",F14&lt;&gt;""),MAX(0,H14-F14),N(G14))+N(P14))/W14)</f>
        <v/>
      </c>
    </row>
    <row r="15" customFormat="false" ht="15" hidden="false" customHeight="false" outlineLevel="0" collapsed="false">
      <c r="A15" s="0" t="s">
        <v>1070</v>
      </c>
      <c r="B15" s="0" t="s">
        <v>527</v>
      </c>
      <c r="C15" s="0" t="n">
        <v>2025</v>
      </c>
      <c r="D15" s="0" t="s">
        <v>1721</v>
      </c>
      <c r="E15" s="32" t="n">
        <f aca="false">IF((COUNTIFS(FundRaw!$C$4:$C$260,"meta",FundRaw!$E$4:$E$260,"2025",FundRaw!$F$4:$F$260,"ocf",FundRaw!$O$4:$O$260,1))=0,"",SUMIFS(FundRaw!$G$4:$G$260,FundRaw!$C$4:$C$260,"meta",FundRaw!$E$4:$E$260,"2025",FundRaw!$F$4:$F$260,"ocf",FundRaw!$O$4:$O$260,1))</f>
        <v>115.8</v>
      </c>
      <c r="F15" s="32" t="str">
        <f aca="false">IF((COUNTIFS(FundRaw!$C$4:$C$260,"meta",FundRaw!$E$4:$E$260,"2025",FundRaw!$F$4:$F$260,"capex_cash",FundRaw!$O$4:$O$260,1))=0,"",SUMIFS(FundRaw!$G$4:$G$260,FundRaw!$C$4:$C$260,"meta",FundRaw!$E$4:$E$260,"2025",FundRaw!$F$4:$F$260,"capex_cash",FundRaw!$O$4:$O$260,1))</f>
        <v/>
      </c>
      <c r="G15" s="32" t="str">
        <f aca="false">IF((COUNTIFS(FundRaw!$C$4:$C$260,"meta",FundRaw!$E$4:$E$260,"2025",FundRaw!$F$4:$F$260,"fin_lease_new",FundRaw!$O$4:$O$260,1))=0,"",SUMIFS(FundRaw!$G$4:$G$260,FundRaw!$C$4:$C$260,"meta",FundRaw!$E$4:$E$260,"2025",FundRaw!$F$4:$F$260,"fin_lease_new",FundRaw!$O$4:$O$260,1))</f>
        <v/>
      </c>
      <c r="H15" s="32" t="n">
        <f aca="false">IF((COUNTIFS(FundRaw!$C$4:$C$260,"meta",FundRaw!$E$4:$E$260,"2025",FundRaw!$F$4:$F$260,"capex_incl_fl",FundRaw!$O$4:$O$260,1))=0,"",SUMIFS(FundRaw!$G$4:$G$260,FundRaw!$C$4:$C$260,"meta",FundRaw!$E$4:$E$260,"2025",FundRaw!$F$4:$F$260,"capex_incl_fl",FundRaw!$O$4:$O$260,1))</f>
        <v>72.215</v>
      </c>
      <c r="I15" s="32" t="n">
        <f aca="false">IF((COUNTIFS(FundRaw!$C$4:$C$260,"meta",FundRaw!$E$4:$E$260,"2025",FundRaw!$F$4:$F$260,"fcf",FundRaw!$O$4:$O$260,1))=0,"",SUMIFS(FundRaw!$G$4:$G$260,FundRaw!$C$4:$C$260,"meta",FundRaw!$E$4:$E$260,"2025",FundRaw!$F$4:$F$260,"fcf",FundRaw!$O$4:$O$260,1))</f>
        <v>43.585</v>
      </c>
      <c r="J15" s="32" t="n">
        <f aca="false">IF((COUNTIFS(FundRaw!$C$4:$C$260,"meta",FundRaw!$E$4:$E$260,"2025",FundRaw!$F$4:$F$260,"bond_issue",FundRaw!$O$4:$O$260,1))=0,"",SUMIFS(FundRaw!$G$4:$G$260,FundRaw!$C$4:$C$260,"meta",FundRaw!$E$4:$E$260,"2025",FundRaw!$F$4:$F$260,"bond_issue",FundRaw!$O$4:$O$260,1))</f>
        <v>30</v>
      </c>
      <c r="K15" s="32" t="str">
        <f aca="false">IF((COUNTIFS(FundRaw!$C$4:$C$260,"meta",FundRaw!$E$4:$E$260,"2025",FundRaw!$F$4:$F$260,"term_loan",FundRaw!$O$4:$O$260,1))=0,"",SUMIFS(FundRaw!$G$4:$G$260,FundRaw!$C$4:$C$260,"meta",FundRaw!$E$4:$E$260,"2025",FundRaw!$F$4:$F$260,"term_loan",FundRaw!$O$4:$O$260,1))</f>
        <v/>
      </c>
      <c r="L15" s="32" t="str">
        <f aca="false">IF((COUNTIFS(FundRaw!$C$4:$C$260,"meta",FundRaw!$E$4:$E$260,"2025",FundRaw!$F$4:$F$260,"gpu_debt",FundRaw!$O$4:$O$260,1))=0,"",SUMIFS(FundRaw!$G$4:$G$260,FundRaw!$C$4:$C$260,"meta",FundRaw!$E$4:$E$260,"2025",FundRaw!$F$4:$F$260,"gpu_debt",FundRaw!$O$4:$O$260,1))</f>
        <v/>
      </c>
      <c r="M15" s="32" t="str">
        <f aca="false">IF((COUNTIFS(FundRaw!$C$4:$C$260,"meta",FundRaw!$E$4:$E$260,"2025",FundRaw!$F$4:$F$260,"private_credit",FundRaw!$O$4:$O$260,1))=0,"",SUMIFS(FundRaw!$G$4:$G$260,FundRaw!$C$4:$C$260,"meta",FundRaw!$E$4:$E$260,"2025",FundRaw!$F$4:$F$260,"private_credit",FundRaw!$O$4:$O$260,1))</f>
        <v/>
      </c>
      <c r="N15" s="32" t="str">
        <f aca="false">IF((COUNTIFS(FundRaw!$C$4:$C$260,"meta",FundRaw!$E$4:$E$260,"2025",FundRaw!$F$4:$F$260,"net_debt_change",FundRaw!$O$4:$O$260,1))=0,"",SUMIFS(FundRaw!$G$4:$G$260,FundRaw!$C$4:$C$260,"meta",FundRaw!$E$4:$E$260,"2025",FundRaw!$F$4:$F$260,"net_debt_change",FundRaw!$O$4:$O$260,1))</f>
        <v/>
      </c>
      <c r="O15" s="32" t="str">
        <f aca="false">IF((COUNTIFS(FundRaw!$C$4:$C$260,"meta",FundRaw!$E$4:$E$260,"2025",FundRaw!$F$4:$F$260,"lease_not_commenced",FundRaw!$O$4:$O$260,1))=0,"",SUMIFS(FundRaw!$G$4:$G$260,FundRaw!$C$4:$C$260,"meta",FundRaw!$E$4:$E$260,"2025",FundRaw!$F$4:$F$260,"lease_not_commenced",FundRaw!$O$4:$O$260,1))</f>
        <v/>
      </c>
      <c r="P15" s="32" t="n">
        <f aca="false">IF((COUNTIFS(FundRaw!$C$4:$C$260,"meta",FundRaw!$E$4:$E$260,"2025",FundRaw!$F$4:$F$260,"jv_offbalance",FundRaw!$O$4:$O$260,1))=0,"",SUMIFS(FundRaw!$G$4:$G$260,FundRaw!$C$4:$C$260,"meta",FundRaw!$E$4:$E$260,"2025",FundRaw!$F$4:$F$260,"jv_offbalance",FundRaw!$O$4:$O$260,1))</f>
        <v>27.3</v>
      </c>
      <c r="Q15" s="32" t="str">
        <f aca="false">IF((COUNTIFS(FundRaw!$C$4:$C$260,"meta",FundRaw!$E$4:$E$260,"2025",FundRaw!$F$4:$F$260,"jv_exposure",FundRaw!$O$4:$O$260,1))=0,"",SUMIFS(FundRaw!$G$4:$G$260,FundRaw!$C$4:$C$260,"meta",FundRaw!$E$4:$E$260,"2025",FundRaw!$F$4:$F$260,"jv_exposure",FundRaw!$O$4:$O$260,1))</f>
        <v/>
      </c>
      <c r="R15" s="32" t="str">
        <f aca="false">IF((COUNTIFS(FundRaw!$C$4:$C$260,"meta",FundRaw!$E$4:$E$260,"2025",FundRaw!$F$4:$F$260,"equity_round",FundRaw!$O$4:$O$260,1))=0,"",SUMIFS(FundRaw!$G$4:$G$260,FundRaw!$C$4:$C$260,"meta",FundRaw!$E$4:$E$260,"2025",FundRaw!$F$4:$F$260,"equity_round",FundRaw!$O$4:$O$260,1))</f>
        <v/>
      </c>
      <c r="S15" s="32" t="str">
        <f aca="false">IF((COUNTIFS(FundRaw!$C$4:$C$260,"meta",FundRaw!$E$4:$E$260,"2025",FundRaw!$F$4:$F$260,"vendor_financing",FundRaw!$O$4:$O$260,1))=0,"",SUMIFS(FundRaw!$G$4:$G$260,FundRaw!$C$4:$C$260,"meta",FundRaw!$E$4:$E$260,"2025",FundRaw!$F$4:$F$260,"vendor_financing",FundRaw!$O$4:$O$260,1))</f>
        <v/>
      </c>
      <c r="T15" s="32" t="n">
        <f aca="false">IF((COUNTIFS(FundRaw!$C$4:$C$260,"meta",FundRaw!$E$4:$E$260,"2025",FundRaw!$F$4:$F$260,"buyback_div",FundRaw!$O$4:$O$260,1))=0,"",SUMIFS(FundRaw!$G$4:$G$260,FundRaw!$C$4:$C$260,"meta",FundRaw!$E$4:$E$260,"2025",FundRaw!$F$4:$F$260,"buyback_div",FundRaw!$O$4:$O$260,1))</f>
        <v>31.572</v>
      </c>
      <c r="U15" s="32" t="str">
        <f aca="false">IF((COUNTIFS(FundRaw!$C$4:$C$260,"meta",FundRaw!$E$4:$E$260,"2025",FundRaw!$F$4:$F$260,"gpu_debt_talks",FundRaw!$O$4:$O$260,1))=0,"",SUMIFS(FundRaw!$G$4:$G$260,FundRaw!$C$4:$C$260,"meta",FundRaw!$E$4:$E$260,"2025",FundRaw!$F$4:$F$260,"gpu_debt_talks",FundRaw!$O$4:$O$260,1))</f>
        <v/>
      </c>
      <c r="V15" s="32" t="str">
        <f aca="false">IF((COUNTIFS(FundRaw!$C$4:$C$260,"meta",FundRaw!$E$4:$E$260,"2025",FundRaw!$F$4:$F$260,"bridge_refi",FundRaw!$O$4:$O$260,1))=0,"",SUMIFS(FundRaw!$G$4:$G$260,FundRaw!$C$4:$C$260,"meta",FundRaw!$E$4:$E$260,"2025",FundRaw!$F$4:$F$260,"bridge_refi",FundRaw!$O$4:$O$260,1))</f>
        <v/>
      </c>
      <c r="W15" s="32" t="n">
        <f aca="false">IF(H15&lt;&gt;"",H15,IF(F15&lt;&gt;"",F15+N(G15),""))</f>
        <v>72.215</v>
      </c>
      <c r="X15" s="32" t="n">
        <f aca="false">IF(OR(W15="",E15=""),"",MAX(0,MIN(N(E15),W15-N(Y15))))</f>
        <v>72.215</v>
      </c>
      <c r="Y15" s="32" t="n">
        <f aca="false">IF(W15="","",IF(AND(H15&lt;&gt;"",F15&lt;&gt;""),MAX(0,H15-F15),N(G15)))</f>
        <v>0</v>
      </c>
      <c r="Z15" s="32" t="n">
        <f aca="false">IF(W15="","",MAX(0,MIN(N(R15),W15-N(X15)-N(Y15))))</f>
        <v>0</v>
      </c>
      <c r="AA15" s="32" t="n">
        <f aca="false">IF(W15="","",MAX(0,MIN(N(J15)+N(K15)+N(L15)+N(M15),W15-N(X15)-N(Y15)-N(Z15))))</f>
        <v>0</v>
      </c>
      <c r="AB15" s="32" t="n">
        <f aca="false">IF(W15="","",W15-N(X15)-N(Y15)-N(Z15)-N(AA15))</f>
        <v>0</v>
      </c>
      <c r="AC15" s="37" t="n">
        <f aca="false">IF(OR(W15="",N(W15)=0,X15=""),"",X15/W15)</f>
        <v>1</v>
      </c>
      <c r="AD15" s="37" t="n">
        <f aca="false">IF(OR(W15="",N(W15)=0,Y15=""),"",Y15/W15)</f>
        <v>0</v>
      </c>
      <c r="AE15" s="37" t="n">
        <f aca="false">IF(OR(W15="",N(W15)=0,Z15=""),"",Z15/W15)</f>
        <v>0</v>
      </c>
      <c r="AF15" s="37" t="n">
        <f aca="false">IF(OR(W15="",N(W15)=0,AA15=""),"",AA15/W15)</f>
        <v>0</v>
      </c>
      <c r="AG15" s="37" t="n">
        <f aca="false">IF(OR(W15="",N(W15)=0,AB15=""),"",AB15/W15)</f>
        <v>0</v>
      </c>
      <c r="AH15" s="32" t="n">
        <f aca="false">N(J15)+N(K15)+N(L15)+N(M15)+N(R15)+N(G15)</f>
        <v>30</v>
      </c>
      <c r="AI15" s="22" t="n">
        <f aca="false">IF(N(AH15)=0,"",(N(J15)+N(K15)+N(L15)+N(M15))/AH15)</f>
        <v>1</v>
      </c>
      <c r="AJ15" s="22" t="n">
        <f aca="false">IF(N(AH15)=0,"",(N(R15))/AH15)</f>
        <v>0</v>
      </c>
      <c r="AK15" s="22" t="n">
        <f aca="false">IF(N(AH15)=0,"",(N(G15))/AH15)</f>
        <v>0</v>
      </c>
      <c r="AL15" s="32" t="n">
        <f aca="false">N(J15)+N(K15)+N(L15)+N(M15)+IF(AND(H15&lt;&gt;"",F15&lt;&gt;""),MAX(0,H15-F15),N(G15))+N(P15)+N(R15)</f>
        <v>57.3</v>
      </c>
      <c r="AM15" s="37" t="n">
        <f aca="false">IF(OR(W15="",N(W15)=0),"",AL15/W15)</f>
        <v>0.793463961780793</v>
      </c>
      <c r="AN15" s="37" t="n">
        <f aca="false">IF(OR(W15="",N(W15)=0,E15=""),"",E15/W15)</f>
        <v>1.6035449698816</v>
      </c>
      <c r="AO15" s="22" t="n">
        <f aca="false">IF(OR(W15="",N(W15)=0),"",(N(J15)+N(K15)+N(L15)+N(M15))/W15)</f>
        <v>0.415426158000415</v>
      </c>
      <c r="AP15" s="22" t="n">
        <f aca="false">IF(OR(W15="",N(W15)=0),"",N(R15)/W15)</f>
        <v>0</v>
      </c>
      <c r="AQ15" s="22" t="n">
        <f aca="false">IF(OR(W15="",N(W15)=0),"",(IF(AND(H15&lt;&gt;"",F15&lt;&gt;""),MAX(0,H15-F15),N(G15))+N(P15))/W15)</f>
        <v>0.378037803780378</v>
      </c>
    </row>
    <row r="16" customFormat="false" ht="15" hidden="false" customHeight="false" outlineLevel="0" collapsed="false">
      <c r="A16" s="0" t="s">
        <v>1070</v>
      </c>
      <c r="B16" s="0" t="s">
        <v>527</v>
      </c>
      <c r="C16" s="0" t="n">
        <v>2026</v>
      </c>
      <c r="D16" s="0" t="s">
        <v>1722</v>
      </c>
      <c r="E16" s="32" t="n">
        <f aca="false">IF((COUNTIFS(FundRaw!$C$4:$C$260,"meta",FundRaw!$E$4:$E$260,"2026",FundRaw!$F$4:$F$260,"ocf",FundRaw!$O$4:$O$260,1))=0,"",SUMIFS(FundRaw!$G$4:$G$260,FundRaw!$C$4:$C$260,"meta",FundRaw!$E$4:$E$260,"2026",FundRaw!$F$4:$F$260,"ocf",FundRaw!$O$4:$O$260,1))</f>
        <v>96.873</v>
      </c>
      <c r="F16" s="32" t="n">
        <f aca="false">IF((COUNTIFS(FundRaw!$C$4:$C$260,"meta",FundRaw!$E$4:$E$260,"2026",FundRaw!$F$4:$F$260,"capex_cash",FundRaw!$O$4:$O$260,1))=0,"",SUMIFS(FundRaw!$G$4:$G$260,FundRaw!$C$4:$C$260,"meta",FundRaw!$E$4:$E$260,"2026",FundRaw!$F$4:$F$260,"capex_cash",FundRaw!$O$4:$O$260,1))</f>
        <v>83.055</v>
      </c>
      <c r="G16" s="32" t="str">
        <f aca="false">IF((COUNTIFS(FundRaw!$C$4:$C$260,"meta",FundRaw!$E$4:$E$260,"2026",FundRaw!$F$4:$F$260,"fin_lease_new",FundRaw!$O$4:$O$260,1))=0,"",SUMIFS(FundRaw!$G$4:$G$260,FundRaw!$C$4:$C$260,"meta",FundRaw!$E$4:$E$260,"2026",FundRaw!$F$4:$F$260,"fin_lease_new",FundRaw!$O$4:$O$260,1))</f>
        <v/>
      </c>
      <c r="H16" s="32" t="n">
        <f aca="false">IF((COUNTIFS(FundRaw!$C$4:$C$260,"meta",FundRaw!$E$4:$E$260,"2026",FundRaw!$F$4:$F$260,"capex_incl_fl",FundRaw!$O$4:$O$260,1))=0,"",SUMIFS(FundRaw!$G$4:$G$260,FundRaw!$C$4:$C$260,"meta",FundRaw!$E$4:$E$260,"2026",FundRaw!$F$4:$F$260,"capex_incl_fl",FundRaw!$O$4:$O$260,1))</f>
        <v>85.824</v>
      </c>
      <c r="I16" s="32" t="n">
        <f aca="false">IF((COUNTIFS(FundRaw!$C$4:$C$260,"meta",FundRaw!$E$4:$E$260,"2026",FundRaw!$F$4:$F$260,"fcf",FundRaw!$O$4:$O$260,1))=0,"",SUMIFS(FundRaw!$G$4:$G$260,FundRaw!$C$4:$C$260,"meta",FundRaw!$E$4:$E$260,"2026",FundRaw!$F$4:$F$260,"fcf",FundRaw!$O$4:$O$260,1))</f>
        <v>11.049</v>
      </c>
      <c r="J16" s="32" t="n">
        <f aca="false">IF((COUNTIFS(FundRaw!$C$4:$C$260,"meta",FundRaw!$E$4:$E$260,"2026",FundRaw!$F$4:$F$260,"bond_issue",FundRaw!$O$4:$O$260,1))=0,"",SUMIFS(FundRaw!$G$4:$G$260,FundRaw!$C$4:$C$260,"meta",FundRaw!$E$4:$E$260,"2026",FundRaw!$F$4:$F$260,"bond_issue",FundRaw!$O$4:$O$260,1))</f>
        <v>25</v>
      </c>
      <c r="K16" s="32" t="str">
        <f aca="false">IF((COUNTIFS(FundRaw!$C$4:$C$260,"meta",FundRaw!$E$4:$E$260,"2026",FundRaw!$F$4:$F$260,"term_loan",FundRaw!$O$4:$O$260,1))=0,"",SUMIFS(FundRaw!$G$4:$G$260,FundRaw!$C$4:$C$260,"meta",FundRaw!$E$4:$E$260,"2026",FundRaw!$F$4:$F$260,"term_loan",FundRaw!$O$4:$O$260,1))</f>
        <v/>
      </c>
      <c r="L16" s="32" t="str">
        <f aca="false">IF((COUNTIFS(FundRaw!$C$4:$C$260,"meta",FundRaw!$E$4:$E$260,"2026",FundRaw!$F$4:$F$260,"gpu_debt",FundRaw!$O$4:$O$260,1))=0,"",SUMIFS(FundRaw!$G$4:$G$260,FundRaw!$C$4:$C$260,"meta",FundRaw!$E$4:$E$260,"2026",FundRaw!$F$4:$F$260,"gpu_debt",FundRaw!$O$4:$O$260,1))</f>
        <v/>
      </c>
      <c r="M16" s="32" t="str">
        <f aca="false">IF((COUNTIFS(FundRaw!$C$4:$C$260,"meta",FundRaw!$E$4:$E$260,"2026",FundRaw!$F$4:$F$260,"private_credit",FundRaw!$O$4:$O$260,1))=0,"",SUMIFS(FundRaw!$G$4:$G$260,FundRaw!$C$4:$C$260,"meta",FundRaw!$E$4:$E$260,"2026",FundRaw!$F$4:$F$260,"private_credit",FundRaw!$O$4:$O$260,1))</f>
        <v/>
      </c>
      <c r="N16" s="32" t="n">
        <f aca="false">IF((COUNTIFS(FundRaw!$C$4:$C$260,"meta",FundRaw!$E$4:$E$260,"2026",FundRaw!$F$4:$F$260,"net_debt_change",FundRaw!$O$4:$O$260,1))=0,"",SUMIFS(FundRaw!$G$4:$G$260,FundRaw!$C$4:$C$260,"meta",FundRaw!$E$4:$E$260,"2026",FundRaw!$F$4:$F$260,"net_debt_change",FundRaw!$O$4:$O$260,1))</f>
        <v>22.178</v>
      </c>
      <c r="O16" s="32" t="n">
        <f aca="false">IF((COUNTIFS(FundRaw!$C$4:$C$260,"meta",FundRaw!$E$4:$E$260,"2026",FundRaw!$F$4:$F$260,"lease_not_commenced",FundRaw!$O$4:$O$260,1))=0,"",SUMIFS(FundRaw!$G$4:$G$260,FundRaw!$C$4:$C$260,"meta",FundRaw!$E$4:$E$260,"2026",FundRaw!$F$4:$F$260,"lease_not_commenced",FundRaw!$O$4:$O$260,1))</f>
        <v>355.73</v>
      </c>
      <c r="P16" s="32" t="n">
        <f aca="false">IF((COUNTIFS(FundRaw!$C$4:$C$260,"meta",FundRaw!$E$4:$E$260,"2026",FundRaw!$F$4:$F$260,"jv_offbalance",FundRaw!$O$4:$O$260,1))=0,"",SUMIFS(FundRaw!$G$4:$G$260,FundRaw!$C$4:$C$260,"meta",FundRaw!$E$4:$E$260,"2026",FundRaw!$F$4:$F$260,"jv_offbalance",FundRaw!$O$4:$O$260,1))</f>
        <v>14</v>
      </c>
      <c r="Q16" s="32" t="n">
        <f aca="false">IF((COUNTIFS(FundRaw!$C$4:$C$260,"meta",FundRaw!$E$4:$E$260,"2026",FundRaw!$F$4:$F$260,"jv_exposure",FundRaw!$O$4:$O$260,1))=0,"",SUMIFS(FundRaw!$G$4:$G$260,FundRaw!$C$4:$C$260,"meta",FundRaw!$E$4:$E$260,"2026",FundRaw!$F$4:$F$260,"jv_exposure",FundRaw!$O$4:$O$260,1))</f>
        <v>68.404</v>
      </c>
      <c r="R16" s="32" t="str">
        <f aca="false">IF((COUNTIFS(FundRaw!$C$4:$C$260,"meta",FundRaw!$E$4:$E$260,"2026",FundRaw!$F$4:$F$260,"equity_round",FundRaw!$O$4:$O$260,1))=0,"",SUMIFS(FundRaw!$G$4:$G$260,FundRaw!$C$4:$C$260,"meta",FundRaw!$E$4:$E$260,"2026",FundRaw!$F$4:$F$260,"equity_round",FundRaw!$O$4:$O$260,1))</f>
        <v/>
      </c>
      <c r="S16" s="32" t="str">
        <f aca="false">IF((COUNTIFS(FundRaw!$C$4:$C$260,"meta",FundRaw!$E$4:$E$260,"2026",FundRaw!$F$4:$F$260,"vendor_financing",FundRaw!$O$4:$O$260,1))=0,"",SUMIFS(FundRaw!$G$4:$G$260,FundRaw!$C$4:$C$260,"meta",FundRaw!$E$4:$E$260,"2026",FundRaw!$F$4:$F$260,"vendor_financing",FundRaw!$O$4:$O$260,1))</f>
        <v/>
      </c>
      <c r="T16" s="32" t="n">
        <f aca="false">IF((COUNTIFS(FundRaw!$C$4:$C$260,"meta",FundRaw!$E$4:$E$260,"2026",FundRaw!$F$4:$F$260,"buyback_div",FundRaw!$O$4:$O$260,1))=0,"",SUMIFS(FundRaw!$G$4:$G$260,FundRaw!$C$4:$C$260,"meta",FundRaw!$E$4:$E$260,"2026",FundRaw!$F$4:$F$260,"buyback_div",FundRaw!$O$4:$O$260,1))</f>
        <v>4.06</v>
      </c>
      <c r="U16" s="32" t="str">
        <f aca="false">IF((COUNTIFS(FundRaw!$C$4:$C$260,"meta",FundRaw!$E$4:$E$260,"2026",FundRaw!$F$4:$F$260,"gpu_debt_talks",FundRaw!$O$4:$O$260,1))=0,"",SUMIFS(FundRaw!$G$4:$G$260,FundRaw!$C$4:$C$260,"meta",FundRaw!$E$4:$E$260,"2026",FundRaw!$F$4:$F$260,"gpu_debt_talks",FundRaw!$O$4:$O$260,1))</f>
        <v/>
      </c>
      <c r="V16" s="32" t="str">
        <f aca="false">IF((COUNTIFS(FundRaw!$C$4:$C$260,"meta",FundRaw!$E$4:$E$260,"2026",FundRaw!$F$4:$F$260,"bridge_refi",FundRaw!$O$4:$O$260,1))=0,"",SUMIFS(FundRaw!$G$4:$G$260,FundRaw!$C$4:$C$260,"meta",FundRaw!$E$4:$E$260,"2026",FundRaw!$F$4:$F$260,"bridge_refi",FundRaw!$O$4:$O$260,1))</f>
        <v/>
      </c>
      <c r="W16" s="32" t="n">
        <f aca="false">IF(H16&lt;&gt;"",H16,IF(F16&lt;&gt;"",F16+N(G16),""))</f>
        <v>85.824</v>
      </c>
      <c r="X16" s="32" t="n">
        <f aca="false">IF(OR(W16="",E16=""),"",MAX(0,MIN(N(E16),W16-N(Y16))))</f>
        <v>83.055</v>
      </c>
      <c r="Y16" s="32" t="n">
        <f aca="false">IF(W16="","",IF(AND(H16&lt;&gt;"",F16&lt;&gt;""),MAX(0,H16-F16),N(G16)))</f>
        <v>2.76899999999999</v>
      </c>
      <c r="Z16" s="32" t="n">
        <f aca="false">IF(W16="","",MAX(0,MIN(N(R16),W16-N(X16)-N(Y16))))</f>
        <v>0</v>
      </c>
      <c r="AA16" s="32" t="n">
        <f aca="false">IF(W16="","",MAX(0,MIN(N(J16)+N(K16)+N(L16)+N(M16),W16-N(X16)-N(Y16)-N(Z16))))</f>
        <v>0</v>
      </c>
      <c r="AB16" s="32" t="n">
        <f aca="false">IF(W16="","",W16-N(X16)-N(Y16)-N(Z16)-N(AA16))</f>
        <v>0</v>
      </c>
      <c r="AC16" s="37" t="n">
        <f aca="false">IF(OR(W16="",N(W16)=0,X16=""),"",X16/W16)</f>
        <v>0.96773629753915</v>
      </c>
      <c r="AD16" s="37" t="n">
        <f aca="false">IF(OR(W16="",N(W16)=0,Y16=""),"",Y16/W16)</f>
        <v>0.03226370246085</v>
      </c>
      <c r="AE16" s="37" t="n">
        <f aca="false">IF(OR(W16="",N(W16)=0,Z16=""),"",Z16/W16)</f>
        <v>0</v>
      </c>
      <c r="AF16" s="37" t="n">
        <f aca="false">IF(OR(W16="",N(W16)=0,AA16=""),"",AA16/W16)</f>
        <v>0</v>
      </c>
      <c r="AG16" s="37" t="n">
        <f aca="false">IF(OR(W16="",N(W16)=0,AB16=""),"",AB16/W16)</f>
        <v>0</v>
      </c>
      <c r="AH16" s="32" t="n">
        <f aca="false">N(J16)+N(K16)+N(L16)+N(M16)+N(R16)+N(G16)</f>
        <v>25</v>
      </c>
      <c r="AI16" s="22" t="n">
        <f aca="false">IF(N(AH16)=0,"",(N(J16)+N(K16)+N(L16)+N(M16))/AH16)</f>
        <v>1</v>
      </c>
      <c r="AJ16" s="22" t="n">
        <f aca="false">IF(N(AH16)=0,"",(N(R16))/AH16)</f>
        <v>0</v>
      </c>
      <c r="AK16" s="22" t="n">
        <f aca="false">IF(N(AH16)=0,"",(N(G16))/AH16)</f>
        <v>0</v>
      </c>
      <c r="AL16" s="32" t="n">
        <f aca="false">N(J16)+N(K16)+N(L16)+N(M16)+IF(AND(H16&lt;&gt;"",F16&lt;&gt;""),MAX(0,H16-F16),N(G16))+N(P16)+N(R16)</f>
        <v>41.769</v>
      </c>
      <c r="AM16" s="37" t="n">
        <f aca="false">IF(OR(W16="",N(W16)=0),"",AL16/W16)</f>
        <v>0.486682046979866</v>
      </c>
      <c r="AN16" s="37" t="n">
        <f aca="false">IF(OR(W16="",N(W16)=0,E16=""),"",E16/W16)</f>
        <v>1.12874021252796</v>
      </c>
      <c r="AO16" s="22" t="n">
        <f aca="false">IF(OR(W16="",N(W16)=0),"",(N(J16)+N(K16)+N(L16)+N(M16))/W16)</f>
        <v>0.291293810589113</v>
      </c>
      <c r="AP16" s="22" t="n">
        <f aca="false">IF(OR(W16="",N(W16)=0),"",N(R16)/W16)</f>
        <v>0</v>
      </c>
      <c r="AQ16" s="22" t="n">
        <f aca="false">IF(OR(W16="",N(W16)=0),"",(IF(AND(H16&lt;&gt;"",F16&lt;&gt;""),MAX(0,H16-F16),N(G16))+N(P16))/W16)</f>
        <v>0.195388236390753</v>
      </c>
    </row>
    <row r="17" customFormat="false" ht="15" hidden="false" customHeight="false" outlineLevel="0" collapsed="false">
      <c r="A17" s="0" t="s">
        <v>1724</v>
      </c>
      <c r="B17" s="0" t="s">
        <v>531</v>
      </c>
      <c r="C17" s="0" t="n">
        <v>2024</v>
      </c>
      <c r="D17" s="0" t="s">
        <v>1716</v>
      </c>
      <c r="E17" s="32" t="str">
        <f aca="false">IF((COUNTIFS(FundRaw!$C$4:$C$260,"orcl",FundRaw!$E$4:$E$260,"2024",FundRaw!$F$4:$F$260,"ocf",FundRaw!$O$4:$O$260,1))=0,"",SUMIFS(FundRaw!$G$4:$G$260,FundRaw!$C$4:$C$260,"orcl",FundRaw!$E$4:$E$260,"2024",FundRaw!$F$4:$F$260,"ocf",FundRaw!$O$4:$O$260,1))</f>
        <v/>
      </c>
      <c r="F17" s="32" t="str">
        <f aca="false">IF((COUNTIFS(FundRaw!$C$4:$C$260,"orcl",FundRaw!$E$4:$E$260,"2024",FundRaw!$F$4:$F$260,"capex_cash",FundRaw!$O$4:$O$260,1))=0,"",SUMIFS(FundRaw!$G$4:$G$260,FundRaw!$C$4:$C$260,"orcl",FundRaw!$E$4:$E$260,"2024",FundRaw!$F$4:$F$260,"capex_cash",FundRaw!$O$4:$O$260,1))</f>
        <v/>
      </c>
      <c r="G17" s="32" t="str">
        <f aca="false">IF((COUNTIFS(FundRaw!$C$4:$C$260,"orcl",FundRaw!$E$4:$E$260,"2024",FundRaw!$F$4:$F$260,"fin_lease_new",FundRaw!$O$4:$O$260,1))=0,"",SUMIFS(FundRaw!$G$4:$G$260,FundRaw!$C$4:$C$260,"orcl",FundRaw!$E$4:$E$260,"2024",FundRaw!$F$4:$F$260,"fin_lease_new",FundRaw!$O$4:$O$260,1))</f>
        <v/>
      </c>
      <c r="H17" s="32" t="str">
        <f aca="false">IF((COUNTIFS(FundRaw!$C$4:$C$260,"orcl",FundRaw!$E$4:$E$260,"2024",FundRaw!$F$4:$F$260,"capex_incl_fl",FundRaw!$O$4:$O$260,1))=0,"",SUMIFS(FundRaw!$G$4:$G$260,FundRaw!$C$4:$C$260,"orcl",FundRaw!$E$4:$E$260,"2024",FundRaw!$F$4:$F$260,"capex_incl_fl",FundRaw!$O$4:$O$260,1))</f>
        <v/>
      </c>
      <c r="I17" s="32" t="str">
        <f aca="false">IF((COUNTIFS(FundRaw!$C$4:$C$260,"orcl",FundRaw!$E$4:$E$260,"2024",FundRaw!$F$4:$F$260,"fcf",FundRaw!$O$4:$O$260,1))=0,"",SUMIFS(FundRaw!$G$4:$G$260,FundRaw!$C$4:$C$260,"orcl",FundRaw!$E$4:$E$260,"2024",FundRaw!$F$4:$F$260,"fcf",FundRaw!$O$4:$O$260,1))</f>
        <v/>
      </c>
      <c r="J17" s="32" t="str">
        <f aca="false">IF((COUNTIFS(FundRaw!$C$4:$C$260,"orcl",FundRaw!$E$4:$E$260,"2024",FundRaw!$F$4:$F$260,"bond_issue",FundRaw!$O$4:$O$260,1))=0,"",SUMIFS(FundRaw!$G$4:$G$260,FundRaw!$C$4:$C$260,"orcl",FundRaw!$E$4:$E$260,"2024",FundRaw!$F$4:$F$260,"bond_issue",FundRaw!$O$4:$O$260,1))</f>
        <v/>
      </c>
      <c r="K17" s="32" t="str">
        <f aca="false">IF((COUNTIFS(FundRaw!$C$4:$C$260,"orcl",FundRaw!$E$4:$E$260,"2024",FundRaw!$F$4:$F$260,"term_loan",FundRaw!$O$4:$O$260,1))=0,"",SUMIFS(FundRaw!$G$4:$G$260,FundRaw!$C$4:$C$260,"orcl",FundRaw!$E$4:$E$260,"2024",FundRaw!$F$4:$F$260,"term_loan",FundRaw!$O$4:$O$260,1))</f>
        <v/>
      </c>
      <c r="L17" s="32" t="str">
        <f aca="false">IF((COUNTIFS(FundRaw!$C$4:$C$260,"orcl",FundRaw!$E$4:$E$260,"2024",FundRaw!$F$4:$F$260,"gpu_debt",FundRaw!$O$4:$O$260,1))=0,"",SUMIFS(FundRaw!$G$4:$G$260,FundRaw!$C$4:$C$260,"orcl",FundRaw!$E$4:$E$260,"2024",FundRaw!$F$4:$F$260,"gpu_debt",FundRaw!$O$4:$O$260,1))</f>
        <v/>
      </c>
      <c r="M17" s="32" t="str">
        <f aca="false">IF((COUNTIFS(FundRaw!$C$4:$C$260,"orcl",FundRaw!$E$4:$E$260,"2024",FundRaw!$F$4:$F$260,"private_credit",FundRaw!$O$4:$O$260,1))=0,"",SUMIFS(FundRaw!$G$4:$G$260,FundRaw!$C$4:$C$260,"orcl",FundRaw!$E$4:$E$260,"2024",FundRaw!$F$4:$F$260,"private_credit",FundRaw!$O$4:$O$260,1))</f>
        <v/>
      </c>
      <c r="N17" s="32" t="str">
        <f aca="false">IF((COUNTIFS(FundRaw!$C$4:$C$260,"orcl",FundRaw!$E$4:$E$260,"2024",FundRaw!$F$4:$F$260,"net_debt_change",FundRaw!$O$4:$O$260,1))=0,"",SUMIFS(FundRaw!$G$4:$G$260,FundRaw!$C$4:$C$260,"orcl",FundRaw!$E$4:$E$260,"2024",FundRaw!$F$4:$F$260,"net_debt_change",FundRaw!$O$4:$O$260,1))</f>
        <v/>
      </c>
      <c r="O17" s="32" t="str">
        <f aca="false">IF((COUNTIFS(FundRaw!$C$4:$C$260,"orcl",FundRaw!$E$4:$E$260,"2024",FundRaw!$F$4:$F$260,"lease_not_commenced",FundRaw!$O$4:$O$260,1))=0,"",SUMIFS(FundRaw!$G$4:$G$260,FundRaw!$C$4:$C$260,"orcl",FundRaw!$E$4:$E$260,"2024",FundRaw!$F$4:$F$260,"lease_not_commenced",FundRaw!$O$4:$O$260,1))</f>
        <v/>
      </c>
      <c r="P17" s="32" t="str">
        <f aca="false">IF((COUNTIFS(FundRaw!$C$4:$C$260,"orcl",FundRaw!$E$4:$E$260,"2024",FundRaw!$F$4:$F$260,"jv_offbalance",FundRaw!$O$4:$O$260,1))=0,"",SUMIFS(FundRaw!$G$4:$G$260,FundRaw!$C$4:$C$260,"orcl",FundRaw!$E$4:$E$260,"2024",FundRaw!$F$4:$F$260,"jv_offbalance",FundRaw!$O$4:$O$260,1))</f>
        <v/>
      </c>
      <c r="Q17" s="32" t="str">
        <f aca="false">IF((COUNTIFS(FundRaw!$C$4:$C$260,"orcl",FundRaw!$E$4:$E$260,"2024",FundRaw!$F$4:$F$260,"jv_exposure",FundRaw!$O$4:$O$260,1))=0,"",SUMIFS(FundRaw!$G$4:$G$260,FundRaw!$C$4:$C$260,"orcl",FundRaw!$E$4:$E$260,"2024",FundRaw!$F$4:$F$260,"jv_exposure",FundRaw!$O$4:$O$260,1))</f>
        <v/>
      </c>
      <c r="R17" s="32" t="str">
        <f aca="false">IF((COUNTIFS(FundRaw!$C$4:$C$260,"orcl",FundRaw!$E$4:$E$260,"2024",FundRaw!$F$4:$F$260,"equity_round",FundRaw!$O$4:$O$260,1))=0,"",SUMIFS(FundRaw!$G$4:$G$260,FundRaw!$C$4:$C$260,"orcl",FundRaw!$E$4:$E$260,"2024",FundRaw!$F$4:$F$260,"equity_round",FundRaw!$O$4:$O$260,1))</f>
        <v/>
      </c>
      <c r="S17" s="32" t="str">
        <f aca="false">IF((COUNTIFS(FundRaw!$C$4:$C$260,"orcl",FundRaw!$E$4:$E$260,"2024",FundRaw!$F$4:$F$260,"vendor_financing",FundRaw!$O$4:$O$260,1))=0,"",SUMIFS(FundRaw!$G$4:$G$260,FundRaw!$C$4:$C$260,"orcl",FundRaw!$E$4:$E$260,"2024",FundRaw!$F$4:$F$260,"vendor_financing",FundRaw!$O$4:$O$260,1))</f>
        <v/>
      </c>
      <c r="T17" s="32" t="str">
        <f aca="false">IF((COUNTIFS(FundRaw!$C$4:$C$260,"orcl",FundRaw!$E$4:$E$260,"2024",FundRaw!$F$4:$F$260,"buyback_div",FundRaw!$O$4:$O$260,1))=0,"",SUMIFS(FundRaw!$G$4:$G$260,FundRaw!$C$4:$C$260,"orcl",FundRaw!$E$4:$E$260,"2024",FundRaw!$F$4:$F$260,"buyback_div",FundRaw!$O$4:$O$260,1))</f>
        <v/>
      </c>
      <c r="U17" s="32" t="str">
        <f aca="false">IF((COUNTIFS(FundRaw!$C$4:$C$260,"orcl",FundRaw!$E$4:$E$260,"2024",FundRaw!$F$4:$F$260,"gpu_debt_talks",FundRaw!$O$4:$O$260,1))=0,"",SUMIFS(FundRaw!$G$4:$G$260,FundRaw!$C$4:$C$260,"orcl",FundRaw!$E$4:$E$260,"2024",FundRaw!$F$4:$F$260,"gpu_debt_talks",FundRaw!$O$4:$O$260,1))</f>
        <v/>
      </c>
      <c r="V17" s="32" t="str">
        <f aca="false">IF((COUNTIFS(FundRaw!$C$4:$C$260,"orcl",FundRaw!$E$4:$E$260,"2024",FundRaw!$F$4:$F$260,"bridge_refi",FundRaw!$O$4:$O$260,1))=0,"",SUMIFS(FundRaw!$G$4:$G$260,FundRaw!$C$4:$C$260,"orcl",FundRaw!$E$4:$E$260,"2024",FundRaw!$F$4:$F$260,"bridge_refi",FundRaw!$O$4:$O$260,1))</f>
        <v/>
      </c>
      <c r="W17" s="32" t="str">
        <f aca="false">IF(H17&lt;&gt;"",H17,IF(F17&lt;&gt;"",F17+N(G17),""))</f>
        <v/>
      </c>
      <c r="X17" s="32" t="str">
        <f aca="false">IF(OR(W17="",E17=""),"",MAX(0,MIN(N(E17),W17-N(Y17))))</f>
        <v/>
      </c>
      <c r="Y17" s="32" t="str">
        <f aca="false">IF(W17="","",IF(AND(H17&lt;&gt;"",F17&lt;&gt;""),MAX(0,H17-F17),N(G17)))</f>
        <v/>
      </c>
      <c r="Z17" s="32" t="str">
        <f aca="false">IF(W17="","",MAX(0,MIN(N(R17),W17-N(X17)-N(Y17))))</f>
        <v/>
      </c>
      <c r="AA17" s="32" t="str">
        <f aca="false">IF(W17="","",MAX(0,MIN(N(J17)+N(K17)+N(L17)+N(M17),W17-N(X17)-N(Y17)-N(Z17))))</f>
        <v/>
      </c>
      <c r="AB17" s="32" t="str">
        <f aca="false">IF(W17="","",W17-N(X17)-N(Y17)-N(Z17)-N(AA17))</f>
        <v/>
      </c>
      <c r="AC17" s="37" t="str">
        <f aca="false">IF(OR(W17="",N(W17)=0,X17=""),"",X17/W17)</f>
        <v/>
      </c>
      <c r="AD17" s="37" t="str">
        <f aca="false">IF(OR(W17="",N(W17)=0,Y17=""),"",Y17/W17)</f>
        <v/>
      </c>
      <c r="AE17" s="37" t="str">
        <f aca="false">IF(OR(W17="",N(W17)=0,Z17=""),"",Z17/W17)</f>
        <v/>
      </c>
      <c r="AF17" s="37" t="str">
        <f aca="false">IF(OR(W17="",N(W17)=0,AA17=""),"",AA17/W17)</f>
        <v/>
      </c>
      <c r="AG17" s="37" t="str">
        <f aca="false">IF(OR(W17="",N(W17)=0,AB17=""),"",AB17/W17)</f>
        <v/>
      </c>
      <c r="AH17" s="32" t="n">
        <f aca="false">N(J17)+N(K17)+N(L17)+N(M17)+N(R17)+N(G17)</f>
        <v>0</v>
      </c>
      <c r="AI17" s="22" t="str">
        <f aca="false">IF(N(AH17)=0,"",(N(J17)+N(K17)+N(L17)+N(M17))/AH17)</f>
        <v/>
      </c>
      <c r="AJ17" s="22" t="str">
        <f aca="false">IF(N(AH17)=0,"",(N(R17))/AH17)</f>
        <v/>
      </c>
      <c r="AK17" s="22" t="str">
        <f aca="false">IF(N(AH17)=0,"",(N(G17))/AH17)</f>
        <v/>
      </c>
      <c r="AL17" s="32" t="n">
        <f aca="false">N(J17)+N(K17)+N(L17)+N(M17)+IF(AND(H17&lt;&gt;"",F17&lt;&gt;""),MAX(0,H17-F17),N(G17))+N(P17)+N(R17)</f>
        <v>0</v>
      </c>
      <c r="AM17" s="37" t="str">
        <f aca="false">IF(OR(W17="",N(W17)=0),"",AL17/W17)</f>
        <v/>
      </c>
      <c r="AN17" s="37" t="str">
        <f aca="false">IF(OR(W17="",N(W17)=0,E17=""),"",E17/W17)</f>
        <v/>
      </c>
      <c r="AO17" s="22" t="str">
        <f aca="false">IF(OR(W17="",N(W17)=0),"",(N(J17)+N(K17)+N(L17)+N(M17))/W17)</f>
        <v/>
      </c>
      <c r="AP17" s="22" t="str">
        <f aca="false">IF(OR(W17="",N(W17)=0),"",N(R17)/W17)</f>
        <v/>
      </c>
      <c r="AQ17" s="22" t="str">
        <f aca="false">IF(OR(W17="",N(W17)=0),"",(IF(AND(H17&lt;&gt;"",F17&lt;&gt;""),MAX(0,H17-F17),N(G17))+N(P17))/W17)</f>
        <v/>
      </c>
    </row>
    <row r="18" customFormat="false" ht="15" hidden="false" customHeight="false" outlineLevel="0" collapsed="false">
      <c r="A18" s="0" t="s">
        <v>1724</v>
      </c>
      <c r="B18" s="0" t="s">
        <v>531</v>
      </c>
      <c r="C18" s="0" t="n">
        <v>2025</v>
      </c>
      <c r="D18" s="0" t="s">
        <v>1717</v>
      </c>
      <c r="E18" s="32" t="str">
        <f aca="false">IF((COUNTIFS(FundRaw!$C$4:$C$260,"orcl",FundRaw!$E$4:$E$260,"2025",FundRaw!$F$4:$F$260,"ocf",FundRaw!$O$4:$O$260,1))=0,"",SUMIFS(FundRaw!$G$4:$G$260,FundRaw!$C$4:$C$260,"orcl",FundRaw!$E$4:$E$260,"2025",FundRaw!$F$4:$F$260,"ocf",FundRaw!$O$4:$O$260,1))</f>
        <v/>
      </c>
      <c r="F18" s="32" t="str">
        <f aca="false">IF((COUNTIFS(FundRaw!$C$4:$C$260,"orcl",FundRaw!$E$4:$E$260,"2025",FundRaw!$F$4:$F$260,"capex_cash",FundRaw!$O$4:$O$260,1))=0,"",SUMIFS(FundRaw!$G$4:$G$260,FundRaw!$C$4:$C$260,"orcl",FundRaw!$E$4:$E$260,"2025",FundRaw!$F$4:$F$260,"capex_cash",FundRaw!$O$4:$O$260,1))</f>
        <v/>
      </c>
      <c r="G18" s="32" t="str">
        <f aca="false">IF((COUNTIFS(FundRaw!$C$4:$C$260,"orcl",FundRaw!$E$4:$E$260,"2025",FundRaw!$F$4:$F$260,"fin_lease_new",FundRaw!$O$4:$O$260,1))=0,"",SUMIFS(FundRaw!$G$4:$G$260,FundRaw!$C$4:$C$260,"orcl",FundRaw!$E$4:$E$260,"2025",FundRaw!$F$4:$F$260,"fin_lease_new",FundRaw!$O$4:$O$260,1))</f>
        <v/>
      </c>
      <c r="H18" s="32" t="str">
        <f aca="false">IF((COUNTIFS(FundRaw!$C$4:$C$260,"orcl",FundRaw!$E$4:$E$260,"2025",FundRaw!$F$4:$F$260,"capex_incl_fl",FundRaw!$O$4:$O$260,1))=0,"",SUMIFS(FundRaw!$G$4:$G$260,FundRaw!$C$4:$C$260,"orcl",FundRaw!$E$4:$E$260,"2025",FundRaw!$F$4:$F$260,"capex_incl_fl",FundRaw!$O$4:$O$260,1))</f>
        <v/>
      </c>
      <c r="I18" s="32" t="str">
        <f aca="false">IF((COUNTIFS(FundRaw!$C$4:$C$260,"orcl",FundRaw!$E$4:$E$260,"2025",FundRaw!$F$4:$F$260,"fcf",FundRaw!$O$4:$O$260,1))=0,"",SUMIFS(FundRaw!$G$4:$G$260,FundRaw!$C$4:$C$260,"orcl",FundRaw!$E$4:$E$260,"2025",FundRaw!$F$4:$F$260,"fcf",FundRaw!$O$4:$O$260,1))</f>
        <v/>
      </c>
      <c r="J18" s="32" t="str">
        <f aca="false">IF((COUNTIFS(FundRaw!$C$4:$C$260,"orcl",FundRaw!$E$4:$E$260,"2025",FundRaw!$F$4:$F$260,"bond_issue",FundRaw!$O$4:$O$260,1))=0,"",SUMIFS(FundRaw!$G$4:$G$260,FundRaw!$C$4:$C$260,"orcl",FundRaw!$E$4:$E$260,"2025",FundRaw!$F$4:$F$260,"bond_issue",FundRaw!$O$4:$O$260,1))</f>
        <v/>
      </c>
      <c r="K18" s="32" t="str">
        <f aca="false">IF((COUNTIFS(FundRaw!$C$4:$C$260,"orcl",FundRaw!$E$4:$E$260,"2025",FundRaw!$F$4:$F$260,"term_loan",FundRaw!$O$4:$O$260,1))=0,"",SUMIFS(FundRaw!$G$4:$G$260,FundRaw!$C$4:$C$260,"orcl",FundRaw!$E$4:$E$260,"2025",FundRaw!$F$4:$F$260,"term_loan",FundRaw!$O$4:$O$260,1))</f>
        <v/>
      </c>
      <c r="L18" s="32" t="str">
        <f aca="false">IF((COUNTIFS(FundRaw!$C$4:$C$260,"orcl",FundRaw!$E$4:$E$260,"2025",FundRaw!$F$4:$F$260,"gpu_debt",FundRaw!$O$4:$O$260,1))=0,"",SUMIFS(FundRaw!$G$4:$G$260,FundRaw!$C$4:$C$260,"orcl",FundRaw!$E$4:$E$260,"2025",FundRaw!$F$4:$F$260,"gpu_debt",FundRaw!$O$4:$O$260,1))</f>
        <v/>
      </c>
      <c r="M18" s="32" t="str">
        <f aca="false">IF((COUNTIFS(FundRaw!$C$4:$C$260,"orcl",FundRaw!$E$4:$E$260,"2025",FundRaw!$F$4:$F$260,"private_credit",FundRaw!$O$4:$O$260,1))=0,"",SUMIFS(FundRaw!$G$4:$G$260,FundRaw!$C$4:$C$260,"orcl",FundRaw!$E$4:$E$260,"2025",FundRaw!$F$4:$F$260,"private_credit",FundRaw!$O$4:$O$260,1))</f>
        <v/>
      </c>
      <c r="N18" s="32" t="str">
        <f aca="false">IF((COUNTIFS(FundRaw!$C$4:$C$260,"orcl",FundRaw!$E$4:$E$260,"2025",FundRaw!$F$4:$F$260,"net_debt_change",FundRaw!$O$4:$O$260,1))=0,"",SUMIFS(FundRaw!$G$4:$G$260,FundRaw!$C$4:$C$260,"orcl",FundRaw!$E$4:$E$260,"2025",FundRaw!$F$4:$F$260,"net_debt_change",FundRaw!$O$4:$O$260,1))</f>
        <v/>
      </c>
      <c r="O18" s="32" t="str">
        <f aca="false">IF((COUNTIFS(FundRaw!$C$4:$C$260,"orcl",FundRaw!$E$4:$E$260,"2025",FundRaw!$F$4:$F$260,"lease_not_commenced",FundRaw!$O$4:$O$260,1))=0,"",SUMIFS(FundRaw!$G$4:$G$260,FundRaw!$C$4:$C$260,"orcl",FundRaw!$E$4:$E$260,"2025",FundRaw!$F$4:$F$260,"lease_not_commenced",FundRaw!$O$4:$O$260,1))</f>
        <v/>
      </c>
      <c r="P18" s="32" t="n">
        <f aca="false">IF((COUNTIFS(FundRaw!$C$4:$C$260,"orcl",FundRaw!$E$4:$E$260,"2025",FundRaw!$F$4:$F$260,"jv_offbalance",FundRaw!$O$4:$O$260,1))=0,"",SUMIFS(FundRaw!$G$4:$G$260,FundRaw!$C$4:$C$260,"orcl",FundRaw!$E$4:$E$260,"2025",FundRaw!$F$4:$F$260,"jv_offbalance",FundRaw!$O$4:$O$260,1))</f>
        <v>15</v>
      </c>
      <c r="Q18" s="32" t="str">
        <f aca="false">IF((COUNTIFS(FundRaw!$C$4:$C$260,"orcl",FundRaw!$E$4:$E$260,"2025",FundRaw!$F$4:$F$260,"jv_exposure",FundRaw!$O$4:$O$260,1))=0,"",SUMIFS(FundRaw!$G$4:$G$260,FundRaw!$C$4:$C$260,"orcl",FundRaw!$E$4:$E$260,"2025",FundRaw!$F$4:$F$260,"jv_exposure",FundRaw!$O$4:$O$260,1))</f>
        <v/>
      </c>
      <c r="R18" s="32" t="str">
        <f aca="false">IF((COUNTIFS(FundRaw!$C$4:$C$260,"orcl",FundRaw!$E$4:$E$260,"2025",FundRaw!$F$4:$F$260,"equity_round",FundRaw!$O$4:$O$260,1))=0,"",SUMIFS(FundRaw!$G$4:$G$260,FundRaw!$C$4:$C$260,"orcl",FundRaw!$E$4:$E$260,"2025",FundRaw!$F$4:$F$260,"equity_round",FundRaw!$O$4:$O$260,1))</f>
        <v/>
      </c>
      <c r="S18" s="32" t="str">
        <f aca="false">IF((COUNTIFS(FundRaw!$C$4:$C$260,"orcl",FundRaw!$E$4:$E$260,"2025",FundRaw!$F$4:$F$260,"vendor_financing",FundRaw!$O$4:$O$260,1))=0,"",SUMIFS(FundRaw!$G$4:$G$260,FundRaw!$C$4:$C$260,"orcl",FundRaw!$E$4:$E$260,"2025",FundRaw!$F$4:$F$260,"vendor_financing",FundRaw!$O$4:$O$260,1))</f>
        <v/>
      </c>
      <c r="T18" s="32" t="str">
        <f aca="false">IF((COUNTIFS(FundRaw!$C$4:$C$260,"orcl",FundRaw!$E$4:$E$260,"2025",FundRaw!$F$4:$F$260,"buyback_div",FundRaw!$O$4:$O$260,1))=0,"",SUMIFS(FundRaw!$G$4:$G$260,FundRaw!$C$4:$C$260,"orcl",FundRaw!$E$4:$E$260,"2025",FundRaw!$F$4:$F$260,"buyback_div",FundRaw!$O$4:$O$260,1))</f>
        <v/>
      </c>
      <c r="U18" s="32" t="str">
        <f aca="false">IF((COUNTIFS(FundRaw!$C$4:$C$260,"orcl",FundRaw!$E$4:$E$260,"2025",FundRaw!$F$4:$F$260,"gpu_debt_talks",FundRaw!$O$4:$O$260,1))=0,"",SUMIFS(FundRaw!$G$4:$G$260,FundRaw!$C$4:$C$260,"orcl",FundRaw!$E$4:$E$260,"2025",FundRaw!$F$4:$F$260,"gpu_debt_talks",FundRaw!$O$4:$O$260,1))</f>
        <v/>
      </c>
      <c r="V18" s="32" t="str">
        <f aca="false">IF((COUNTIFS(FundRaw!$C$4:$C$260,"orcl",FundRaw!$E$4:$E$260,"2025",FundRaw!$F$4:$F$260,"bridge_refi",FundRaw!$O$4:$O$260,1))=0,"",SUMIFS(FundRaw!$G$4:$G$260,FundRaw!$C$4:$C$260,"orcl",FundRaw!$E$4:$E$260,"2025",FundRaw!$F$4:$F$260,"bridge_refi",FundRaw!$O$4:$O$260,1))</f>
        <v/>
      </c>
      <c r="W18" s="32" t="str">
        <f aca="false">IF(H18&lt;&gt;"",H18,IF(F18&lt;&gt;"",F18+N(G18),""))</f>
        <v/>
      </c>
      <c r="X18" s="32" t="str">
        <f aca="false">IF(OR(W18="",E18=""),"",MAX(0,MIN(N(E18),W18-N(Y18))))</f>
        <v/>
      </c>
      <c r="Y18" s="32" t="str">
        <f aca="false">IF(W18="","",IF(AND(H18&lt;&gt;"",F18&lt;&gt;""),MAX(0,H18-F18),N(G18)))</f>
        <v/>
      </c>
      <c r="Z18" s="32" t="str">
        <f aca="false">IF(W18="","",MAX(0,MIN(N(R18),W18-N(X18)-N(Y18))))</f>
        <v/>
      </c>
      <c r="AA18" s="32" t="str">
        <f aca="false">IF(W18="","",MAX(0,MIN(N(J18)+N(K18)+N(L18)+N(M18),W18-N(X18)-N(Y18)-N(Z18))))</f>
        <v/>
      </c>
      <c r="AB18" s="32" t="str">
        <f aca="false">IF(W18="","",W18-N(X18)-N(Y18)-N(Z18)-N(AA18))</f>
        <v/>
      </c>
      <c r="AC18" s="37" t="str">
        <f aca="false">IF(OR(W18="",N(W18)=0,X18=""),"",X18/W18)</f>
        <v/>
      </c>
      <c r="AD18" s="37" t="str">
        <f aca="false">IF(OR(W18="",N(W18)=0,Y18=""),"",Y18/W18)</f>
        <v/>
      </c>
      <c r="AE18" s="37" t="str">
        <f aca="false">IF(OR(W18="",N(W18)=0,Z18=""),"",Z18/W18)</f>
        <v/>
      </c>
      <c r="AF18" s="37" t="str">
        <f aca="false">IF(OR(W18="",N(W18)=0,AA18=""),"",AA18/W18)</f>
        <v/>
      </c>
      <c r="AG18" s="37" t="str">
        <f aca="false">IF(OR(W18="",N(W18)=0,AB18=""),"",AB18/W18)</f>
        <v/>
      </c>
      <c r="AH18" s="32" t="n">
        <f aca="false">N(J18)+N(K18)+N(L18)+N(M18)+N(R18)+N(G18)</f>
        <v>0</v>
      </c>
      <c r="AI18" s="22" t="str">
        <f aca="false">IF(N(AH18)=0,"",(N(J18)+N(K18)+N(L18)+N(M18))/AH18)</f>
        <v/>
      </c>
      <c r="AJ18" s="22" t="str">
        <f aca="false">IF(N(AH18)=0,"",(N(R18))/AH18)</f>
        <v/>
      </c>
      <c r="AK18" s="22" t="str">
        <f aca="false">IF(N(AH18)=0,"",(N(G18))/AH18)</f>
        <v/>
      </c>
      <c r="AL18" s="32" t="n">
        <f aca="false">N(J18)+N(K18)+N(L18)+N(M18)+IF(AND(H18&lt;&gt;"",F18&lt;&gt;""),MAX(0,H18-F18),N(G18))+N(P18)+N(R18)</f>
        <v>15</v>
      </c>
      <c r="AM18" s="37" t="str">
        <f aca="false">IF(OR(W18="",N(W18)=0),"",AL18/W18)</f>
        <v/>
      </c>
      <c r="AN18" s="37" t="str">
        <f aca="false">IF(OR(W18="",N(W18)=0,E18=""),"",E18/W18)</f>
        <v/>
      </c>
      <c r="AO18" s="22" t="str">
        <f aca="false">IF(OR(W18="",N(W18)=0),"",(N(J18)+N(K18)+N(L18)+N(M18))/W18)</f>
        <v/>
      </c>
      <c r="AP18" s="22" t="str">
        <f aca="false">IF(OR(W18="",N(W18)=0),"",N(R18)/W18)</f>
        <v/>
      </c>
      <c r="AQ18" s="22" t="str">
        <f aca="false">IF(OR(W18="",N(W18)=0),"",(IF(AND(H18&lt;&gt;"",F18&lt;&gt;""),MAX(0,H18-F18),N(G18))+N(P18))/W18)</f>
        <v/>
      </c>
    </row>
    <row r="19" customFormat="false" ht="15" hidden="false" customHeight="false" outlineLevel="0" collapsed="false">
      <c r="A19" s="0" t="s">
        <v>1724</v>
      </c>
      <c r="B19" s="0" t="s">
        <v>531</v>
      </c>
      <c r="C19" s="0" t="n">
        <v>2026</v>
      </c>
      <c r="D19" s="0" t="s">
        <v>1718</v>
      </c>
      <c r="E19" s="32" t="n">
        <f aca="false">IF((COUNTIFS(FundRaw!$C$4:$C$260,"orcl",FundRaw!$E$4:$E$260,"2026",FundRaw!$F$4:$F$260,"ocf",FundRaw!$O$4:$O$260,1))=0,"",SUMIFS(FundRaw!$G$4:$G$260,FundRaw!$C$4:$C$260,"orcl",FundRaw!$E$4:$E$260,"2026",FundRaw!$F$4:$F$260,"ocf",FundRaw!$O$4:$O$260,1))</f>
        <v>31.977</v>
      </c>
      <c r="F19" s="32" t="n">
        <f aca="false">IF((COUNTIFS(FundRaw!$C$4:$C$260,"orcl",FundRaw!$E$4:$E$260,"2026",FundRaw!$F$4:$F$260,"capex_cash",FundRaw!$O$4:$O$260,1))=0,"",SUMIFS(FundRaw!$G$4:$G$260,FundRaw!$C$4:$C$260,"orcl",FundRaw!$E$4:$E$260,"2026",FundRaw!$F$4:$F$260,"capex_cash",FundRaw!$O$4:$O$260,1))</f>
        <v>55.663</v>
      </c>
      <c r="G19" s="32" t="str">
        <f aca="false">IF((COUNTIFS(FundRaw!$C$4:$C$260,"orcl",FundRaw!$E$4:$E$260,"2026",FundRaw!$F$4:$F$260,"fin_lease_new",FundRaw!$O$4:$O$260,1))=0,"",SUMIFS(FundRaw!$G$4:$G$260,FundRaw!$C$4:$C$260,"orcl",FundRaw!$E$4:$E$260,"2026",FundRaw!$F$4:$F$260,"fin_lease_new",FundRaw!$O$4:$O$260,1))</f>
        <v/>
      </c>
      <c r="H19" s="32" t="str">
        <f aca="false">IF((COUNTIFS(FundRaw!$C$4:$C$260,"orcl",FundRaw!$E$4:$E$260,"2026",FundRaw!$F$4:$F$260,"capex_incl_fl",FundRaw!$O$4:$O$260,1))=0,"",SUMIFS(FundRaw!$G$4:$G$260,FundRaw!$C$4:$C$260,"orcl",FundRaw!$E$4:$E$260,"2026",FundRaw!$F$4:$F$260,"capex_incl_fl",FundRaw!$O$4:$O$260,1))</f>
        <v/>
      </c>
      <c r="I19" s="32" t="n">
        <f aca="false">IF((COUNTIFS(FundRaw!$C$4:$C$260,"orcl",FundRaw!$E$4:$E$260,"2026",FundRaw!$F$4:$F$260,"fcf",FundRaw!$O$4:$O$260,1))=0,"",SUMIFS(FundRaw!$G$4:$G$260,FundRaw!$C$4:$C$260,"orcl",FundRaw!$E$4:$E$260,"2026",FundRaw!$F$4:$F$260,"fcf",FundRaw!$O$4:$O$260,1))</f>
        <v>-23.686</v>
      </c>
      <c r="J19" s="32" t="n">
        <f aca="false">IF((COUNTIFS(FundRaw!$C$4:$C$260,"orcl",FundRaw!$E$4:$E$260,"2026",FundRaw!$F$4:$F$260,"bond_issue",FundRaw!$O$4:$O$260,1))=0,"",SUMIFS(FundRaw!$G$4:$G$260,FundRaw!$C$4:$C$260,"orcl",FundRaw!$E$4:$E$260,"2026",FundRaw!$F$4:$F$260,"bond_issue",FundRaw!$O$4:$O$260,1))</f>
        <v>43</v>
      </c>
      <c r="K19" s="32" t="str">
        <f aca="false">IF((COUNTIFS(FundRaw!$C$4:$C$260,"orcl",FundRaw!$E$4:$E$260,"2026",FundRaw!$F$4:$F$260,"term_loan",FundRaw!$O$4:$O$260,1))=0,"",SUMIFS(FundRaw!$G$4:$G$260,FundRaw!$C$4:$C$260,"orcl",FundRaw!$E$4:$E$260,"2026",FundRaw!$F$4:$F$260,"term_loan",FundRaw!$O$4:$O$260,1))</f>
        <v/>
      </c>
      <c r="L19" s="32" t="str">
        <f aca="false">IF((COUNTIFS(FundRaw!$C$4:$C$260,"orcl",FundRaw!$E$4:$E$260,"2026",FundRaw!$F$4:$F$260,"gpu_debt",FundRaw!$O$4:$O$260,1))=0,"",SUMIFS(FundRaw!$G$4:$G$260,FundRaw!$C$4:$C$260,"orcl",FundRaw!$E$4:$E$260,"2026",FundRaw!$F$4:$F$260,"gpu_debt",FundRaw!$O$4:$O$260,1))</f>
        <v/>
      </c>
      <c r="M19" s="32" t="str">
        <f aca="false">IF((COUNTIFS(FundRaw!$C$4:$C$260,"orcl",FundRaw!$E$4:$E$260,"2026",FundRaw!$F$4:$F$260,"private_credit",FundRaw!$O$4:$O$260,1))=0,"",SUMIFS(FundRaw!$G$4:$G$260,FundRaw!$C$4:$C$260,"orcl",FundRaw!$E$4:$E$260,"2026",FundRaw!$F$4:$F$260,"private_credit",FundRaw!$O$4:$O$260,1))</f>
        <v/>
      </c>
      <c r="N19" s="32" t="str">
        <f aca="false">IF((COUNTIFS(FundRaw!$C$4:$C$260,"orcl",FundRaw!$E$4:$E$260,"2026",FundRaw!$F$4:$F$260,"net_debt_change",FundRaw!$O$4:$O$260,1))=0,"",SUMIFS(FundRaw!$G$4:$G$260,FundRaw!$C$4:$C$260,"orcl",FundRaw!$E$4:$E$260,"2026",FundRaw!$F$4:$F$260,"net_debt_change",FundRaw!$O$4:$O$260,1))</f>
        <v/>
      </c>
      <c r="O19" s="32" t="n">
        <f aca="false">IF((COUNTIFS(FundRaw!$C$4:$C$260,"orcl",FundRaw!$E$4:$E$260,"2026",FundRaw!$F$4:$F$260,"lease_not_commenced",FundRaw!$O$4:$O$260,1))=0,"",SUMIFS(FundRaw!$G$4:$G$260,FundRaw!$C$4:$C$260,"orcl",FundRaw!$E$4:$E$260,"2026",FundRaw!$F$4:$F$260,"lease_not_commenced",FundRaw!$O$4:$O$260,1))</f>
        <v>260</v>
      </c>
      <c r="P19" s="32" t="n">
        <f aca="false">IF((COUNTIFS(FundRaw!$C$4:$C$260,"orcl",FundRaw!$E$4:$E$260,"2026",FundRaw!$F$4:$F$260,"jv_offbalance",FundRaw!$O$4:$O$260,1))=0,"",SUMIFS(FundRaw!$G$4:$G$260,FundRaw!$C$4:$C$260,"orcl",FundRaw!$E$4:$E$260,"2026",FundRaw!$F$4:$F$260,"jv_offbalance",FundRaw!$O$4:$O$260,1))</f>
        <v>56</v>
      </c>
      <c r="Q19" s="32" t="str">
        <f aca="false">IF((COUNTIFS(FundRaw!$C$4:$C$260,"orcl",FundRaw!$E$4:$E$260,"2026",FundRaw!$F$4:$F$260,"jv_exposure",FundRaw!$O$4:$O$260,1))=0,"",SUMIFS(FundRaw!$G$4:$G$260,FundRaw!$C$4:$C$260,"orcl",FundRaw!$E$4:$E$260,"2026",FundRaw!$F$4:$F$260,"jv_exposure",FundRaw!$O$4:$O$260,1))</f>
        <v/>
      </c>
      <c r="R19" s="32" t="n">
        <f aca="false">IF((COUNTIFS(FundRaw!$C$4:$C$260,"orcl",FundRaw!$E$4:$E$260,"2026",FundRaw!$F$4:$F$260,"equity_round",FundRaw!$O$4:$O$260,1))=0,"",SUMIFS(FundRaw!$G$4:$G$260,FundRaw!$C$4:$C$260,"orcl",FundRaw!$E$4:$E$260,"2026",FundRaw!$F$4:$F$260,"equity_round",FundRaw!$O$4:$O$260,1))</f>
        <v>5</v>
      </c>
      <c r="S19" s="32" t="str">
        <f aca="false">IF((COUNTIFS(FundRaw!$C$4:$C$260,"orcl",FundRaw!$E$4:$E$260,"2026",FundRaw!$F$4:$F$260,"vendor_financing",FundRaw!$O$4:$O$260,1))=0,"",SUMIFS(FundRaw!$G$4:$G$260,FundRaw!$C$4:$C$260,"orcl",FundRaw!$E$4:$E$260,"2026",FundRaw!$F$4:$F$260,"vendor_financing",FundRaw!$O$4:$O$260,1))</f>
        <v/>
      </c>
      <c r="T19" s="32" t="str">
        <f aca="false">IF((COUNTIFS(FundRaw!$C$4:$C$260,"orcl",FundRaw!$E$4:$E$260,"2026",FundRaw!$F$4:$F$260,"buyback_div",FundRaw!$O$4:$O$260,1))=0,"",SUMIFS(FundRaw!$G$4:$G$260,FundRaw!$C$4:$C$260,"orcl",FundRaw!$E$4:$E$260,"2026",FundRaw!$F$4:$F$260,"buyback_div",FundRaw!$O$4:$O$260,1))</f>
        <v/>
      </c>
      <c r="U19" s="32" t="str">
        <f aca="false">IF((COUNTIFS(FundRaw!$C$4:$C$260,"orcl",FundRaw!$E$4:$E$260,"2026",FundRaw!$F$4:$F$260,"gpu_debt_talks",FundRaw!$O$4:$O$260,1))=0,"",SUMIFS(FundRaw!$G$4:$G$260,FundRaw!$C$4:$C$260,"orcl",FundRaw!$E$4:$E$260,"2026",FundRaw!$F$4:$F$260,"gpu_debt_talks",FundRaw!$O$4:$O$260,1))</f>
        <v/>
      </c>
      <c r="V19" s="32" t="str">
        <f aca="false">IF((COUNTIFS(FundRaw!$C$4:$C$260,"orcl",FundRaw!$E$4:$E$260,"2026",FundRaw!$F$4:$F$260,"bridge_refi",FundRaw!$O$4:$O$260,1))=0,"",SUMIFS(FundRaw!$G$4:$G$260,FundRaw!$C$4:$C$260,"orcl",FundRaw!$E$4:$E$260,"2026",FundRaw!$F$4:$F$260,"bridge_refi",FundRaw!$O$4:$O$260,1))</f>
        <v/>
      </c>
      <c r="W19" s="32" t="n">
        <f aca="false">IF(H19&lt;&gt;"",H19,IF(F19&lt;&gt;"",F19+N(G19),""))</f>
        <v>55.663</v>
      </c>
      <c r="X19" s="32" t="n">
        <f aca="false">IF(OR(W19="",E19=""),"",MAX(0,MIN(N(E19),W19-N(Y19))))</f>
        <v>31.977</v>
      </c>
      <c r="Y19" s="32" t="n">
        <f aca="false">IF(W19="","",IF(AND(H19&lt;&gt;"",F19&lt;&gt;""),MAX(0,H19-F19),N(G19)))</f>
        <v>0</v>
      </c>
      <c r="Z19" s="32" t="n">
        <f aca="false">IF(W19="","",MAX(0,MIN(N(R19),W19-N(X19)-N(Y19))))</f>
        <v>5</v>
      </c>
      <c r="AA19" s="32" t="n">
        <f aca="false">IF(W19="","",MAX(0,MIN(N(J19)+N(K19)+N(L19)+N(M19),W19-N(X19)-N(Y19)-N(Z19))))</f>
        <v>18.686</v>
      </c>
      <c r="AB19" s="32" t="n">
        <f aca="false">IF(W19="","",W19-N(X19)-N(Y19)-N(Z19)-N(AA19))</f>
        <v>0</v>
      </c>
      <c r="AC19" s="37" t="n">
        <f aca="false">IF(OR(W19="",N(W19)=0,X19=""),"",X19/W19)</f>
        <v>0.574474965416884</v>
      </c>
      <c r="AD19" s="37" t="n">
        <f aca="false">IF(OR(W19="",N(W19)=0,Y19=""),"",Y19/W19)</f>
        <v>0</v>
      </c>
      <c r="AE19" s="37" t="n">
        <f aca="false">IF(OR(W19="",N(W19)=0,Z19=""),"",Z19/W19)</f>
        <v>0.0898262759822503</v>
      </c>
      <c r="AF19" s="37" t="n">
        <f aca="false">IF(OR(W19="",N(W19)=0,AA19=""),"",AA19/W19)</f>
        <v>0.335698758600866</v>
      </c>
      <c r="AG19" s="37" t="n">
        <f aca="false">IF(OR(W19="",N(W19)=0,AB19=""),"",AB19/W19)</f>
        <v>0</v>
      </c>
      <c r="AH19" s="32" t="n">
        <f aca="false">N(J19)+N(K19)+N(L19)+N(M19)+N(R19)+N(G19)</f>
        <v>48</v>
      </c>
      <c r="AI19" s="22" t="n">
        <f aca="false">IF(N(AH19)=0,"",(N(J19)+N(K19)+N(L19)+N(M19))/AH19)</f>
        <v>0.895833333333333</v>
      </c>
      <c r="AJ19" s="22" t="n">
        <f aca="false">IF(N(AH19)=0,"",(N(R19))/AH19)</f>
        <v>0.104166666666667</v>
      </c>
      <c r="AK19" s="22" t="n">
        <f aca="false">IF(N(AH19)=0,"",(N(G19))/AH19)</f>
        <v>0</v>
      </c>
      <c r="AL19" s="32" t="n">
        <f aca="false">N(J19)+N(K19)+N(L19)+N(M19)+IF(AND(H19&lt;&gt;"",F19&lt;&gt;""),MAX(0,H19-F19),N(G19))+N(P19)+N(R19)</f>
        <v>104</v>
      </c>
      <c r="AM19" s="37" t="n">
        <f aca="false">IF(OR(W19="",N(W19)=0),"",AL19/W19)</f>
        <v>1.86838654043081</v>
      </c>
      <c r="AN19" s="37" t="n">
        <f aca="false">IF(OR(W19="",N(W19)=0,E19=""),"",E19/W19)</f>
        <v>0.574474965416884</v>
      </c>
      <c r="AO19" s="22" t="n">
        <f aca="false">IF(OR(W19="",N(W19)=0),"",(N(J19)+N(K19)+N(L19)+N(M19))/W19)</f>
        <v>0.772505973447353</v>
      </c>
      <c r="AP19" s="22" t="n">
        <f aca="false">IF(OR(W19="",N(W19)=0),"",N(R19)/W19)</f>
        <v>0.0898262759822503</v>
      </c>
      <c r="AQ19" s="22" t="n">
        <f aca="false">IF(OR(W19="",N(W19)=0),"",(IF(AND(H19&lt;&gt;"",F19&lt;&gt;""),MAX(0,H19-F19),N(G19))+N(P19))/W19)</f>
        <v>1.0060542910012</v>
      </c>
    </row>
    <row r="20" customFormat="false" ht="15" hidden="false" customHeight="false" outlineLevel="0" collapsed="false">
      <c r="A20" s="0" t="s">
        <v>1108</v>
      </c>
      <c r="B20" s="0" t="s">
        <v>621</v>
      </c>
      <c r="C20" s="0" t="n">
        <v>2024</v>
      </c>
      <c r="D20" s="0" t="s">
        <v>1720</v>
      </c>
      <c r="E20" s="32" t="n">
        <f aca="false">IF((COUNTIFS(FundRaw!$C$4:$C$260,"crwv",FundRaw!$E$4:$E$260,"2024",FundRaw!$F$4:$F$260,"ocf",FundRaw!$O$4:$O$260,1))=0,"",SUMIFS(FundRaw!$G$4:$G$260,FundRaw!$C$4:$C$260,"crwv",FundRaw!$E$4:$E$260,"2024",FundRaw!$F$4:$F$260,"ocf",FundRaw!$O$4:$O$260,1))</f>
        <v>2.749</v>
      </c>
      <c r="F20" s="32" t="n">
        <f aca="false">IF((COUNTIFS(FundRaw!$C$4:$C$260,"crwv",FundRaw!$E$4:$E$260,"2024",FundRaw!$F$4:$F$260,"capex_cash",FundRaw!$O$4:$O$260,1))=0,"",SUMIFS(FundRaw!$G$4:$G$260,FundRaw!$C$4:$C$260,"crwv",FundRaw!$E$4:$E$260,"2024",FundRaw!$F$4:$F$260,"capex_cash",FundRaw!$O$4:$O$260,1))</f>
        <v>8.702</v>
      </c>
      <c r="G20" s="32" t="str">
        <f aca="false">IF((COUNTIFS(FundRaw!$C$4:$C$260,"crwv",FundRaw!$E$4:$E$260,"2024",FundRaw!$F$4:$F$260,"fin_lease_new",FundRaw!$O$4:$O$260,1))=0,"",SUMIFS(FundRaw!$G$4:$G$260,FundRaw!$C$4:$C$260,"crwv",FundRaw!$E$4:$E$260,"2024",FundRaw!$F$4:$F$260,"fin_lease_new",FundRaw!$O$4:$O$260,1))</f>
        <v/>
      </c>
      <c r="H20" s="32" t="str">
        <f aca="false">IF((COUNTIFS(FundRaw!$C$4:$C$260,"crwv",FundRaw!$E$4:$E$260,"2024",FundRaw!$F$4:$F$260,"capex_incl_fl",FundRaw!$O$4:$O$260,1))=0,"",SUMIFS(FundRaw!$G$4:$G$260,FundRaw!$C$4:$C$260,"crwv",FundRaw!$E$4:$E$260,"2024",FundRaw!$F$4:$F$260,"capex_incl_fl",FundRaw!$O$4:$O$260,1))</f>
        <v/>
      </c>
      <c r="I20" s="32" t="str">
        <f aca="false">IF((COUNTIFS(FundRaw!$C$4:$C$260,"crwv",FundRaw!$E$4:$E$260,"2024",FundRaw!$F$4:$F$260,"fcf",FundRaw!$O$4:$O$260,1))=0,"",SUMIFS(FundRaw!$G$4:$G$260,FundRaw!$C$4:$C$260,"crwv",FundRaw!$E$4:$E$260,"2024",FundRaw!$F$4:$F$260,"fcf",FundRaw!$O$4:$O$260,1))</f>
        <v/>
      </c>
      <c r="J20" s="32" t="str">
        <f aca="false">IF((COUNTIFS(FundRaw!$C$4:$C$260,"crwv",FundRaw!$E$4:$E$260,"2024",FundRaw!$F$4:$F$260,"bond_issue",FundRaw!$O$4:$O$260,1))=0,"",SUMIFS(FundRaw!$G$4:$G$260,FundRaw!$C$4:$C$260,"crwv",FundRaw!$E$4:$E$260,"2024",FundRaw!$F$4:$F$260,"bond_issue",FundRaw!$O$4:$O$260,1))</f>
        <v/>
      </c>
      <c r="K20" s="32" t="str">
        <f aca="false">IF((COUNTIFS(FundRaw!$C$4:$C$260,"crwv",FundRaw!$E$4:$E$260,"2024",FundRaw!$F$4:$F$260,"term_loan",FundRaw!$O$4:$O$260,1))=0,"",SUMIFS(FundRaw!$G$4:$G$260,FundRaw!$C$4:$C$260,"crwv",FundRaw!$E$4:$E$260,"2024",FundRaw!$F$4:$F$260,"term_loan",FundRaw!$O$4:$O$260,1))</f>
        <v/>
      </c>
      <c r="L20" s="32" t="n">
        <f aca="false">IF((COUNTIFS(FundRaw!$C$4:$C$260,"crwv",FundRaw!$E$4:$E$260,"2024",FundRaw!$F$4:$F$260,"gpu_debt",FundRaw!$O$4:$O$260,1))=0,"",SUMIFS(FundRaw!$G$4:$G$260,FundRaw!$C$4:$C$260,"crwv",FundRaw!$E$4:$E$260,"2024",FundRaw!$F$4:$F$260,"gpu_debt",FundRaw!$O$4:$O$260,1))</f>
        <v>7.018</v>
      </c>
      <c r="M20" s="32" t="str">
        <f aca="false">IF((COUNTIFS(FundRaw!$C$4:$C$260,"crwv",FundRaw!$E$4:$E$260,"2024",FundRaw!$F$4:$F$260,"private_credit",FundRaw!$O$4:$O$260,1))=0,"",SUMIFS(FundRaw!$G$4:$G$260,FundRaw!$C$4:$C$260,"crwv",FundRaw!$E$4:$E$260,"2024",FundRaw!$F$4:$F$260,"private_credit",FundRaw!$O$4:$O$260,1))</f>
        <v/>
      </c>
      <c r="N20" s="32" t="str">
        <f aca="false">IF((COUNTIFS(FundRaw!$C$4:$C$260,"crwv",FundRaw!$E$4:$E$260,"2024",FundRaw!$F$4:$F$260,"net_debt_change",FundRaw!$O$4:$O$260,1))=0,"",SUMIFS(FundRaw!$G$4:$G$260,FundRaw!$C$4:$C$260,"crwv",FundRaw!$E$4:$E$260,"2024",FundRaw!$F$4:$F$260,"net_debt_change",FundRaw!$O$4:$O$260,1))</f>
        <v/>
      </c>
      <c r="O20" s="32" t="str">
        <f aca="false">IF((COUNTIFS(FundRaw!$C$4:$C$260,"crwv",FundRaw!$E$4:$E$260,"2024",FundRaw!$F$4:$F$260,"lease_not_commenced",FundRaw!$O$4:$O$260,1))=0,"",SUMIFS(FundRaw!$G$4:$G$260,FundRaw!$C$4:$C$260,"crwv",FundRaw!$E$4:$E$260,"2024",FundRaw!$F$4:$F$260,"lease_not_commenced",FundRaw!$O$4:$O$260,1))</f>
        <v/>
      </c>
      <c r="P20" s="32" t="str">
        <f aca="false">IF((COUNTIFS(FundRaw!$C$4:$C$260,"crwv",FundRaw!$E$4:$E$260,"2024",FundRaw!$F$4:$F$260,"jv_offbalance",FundRaw!$O$4:$O$260,1))=0,"",SUMIFS(FundRaw!$G$4:$G$260,FundRaw!$C$4:$C$260,"crwv",FundRaw!$E$4:$E$260,"2024",FundRaw!$F$4:$F$260,"jv_offbalance",FundRaw!$O$4:$O$260,1))</f>
        <v/>
      </c>
      <c r="Q20" s="32" t="str">
        <f aca="false">IF((COUNTIFS(FundRaw!$C$4:$C$260,"crwv",FundRaw!$E$4:$E$260,"2024",FundRaw!$F$4:$F$260,"jv_exposure",FundRaw!$O$4:$O$260,1))=0,"",SUMIFS(FundRaw!$G$4:$G$260,FundRaw!$C$4:$C$260,"crwv",FundRaw!$E$4:$E$260,"2024",FundRaw!$F$4:$F$260,"jv_exposure",FundRaw!$O$4:$O$260,1))</f>
        <v/>
      </c>
      <c r="R20" s="32" t="str">
        <f aca="false">IF((COUNTIFS(FundRaw!$C$4:$C$260,"crwv",FundRaw!$E$4:$E$260,"2024",FundRaw!$F$4:$F$260,"equity_round",FundRaw!$O$4:$O$260,1))=0,"",SUMIFS(FundRaw!$G$4:$G$260,FundRaw!$C$4:$C$260,"crwv",FundRaw!$E$4:$E$260,"2024",FundRaw!$F$4:$F$260,"equity_round",FundRaw!$O$4:$O$260,1))</f>
        <v/>
      </c>
      <c r="S20" s="32" t="str">
        <f aca="false">IF((COUNTIFS(FundRaw!$C$4:$C$260,"crwv",FundRaw!$E$4:$E$260,"2024",FundRaw!$F$4:$F$260,"vendor_financing",FundRaw!$O$4:$O$260,1))=0,"",SUMIFS(FundRaw!$G$4:$G$260,FundRaw!$C$4:$C$260,"crwv",FundRaw!$E$4:$E$260,"2024",FundRaw!$F$4:$F$260,"vendor_financing",FundRaw!$O$4:$O$260,1))</f>
        <v/>
      </c>
      <c r="T20" s="32" t="str">
        <f aca="false">IF((COUNTIFS(FundRaw!$C$4:$C$260,"crwv",FundRaw!$E$4:$E$260,"2024",FundRaw!$F$4:$F$260,"buyback_div",FundRaw!$O$4:$O$260,1))=0,"",SUMIFS(FundRaw!$G$4:$G$260,FundRaw!$C$4:$C$260,"crwv",FundRaw!$E$4:$E$260,"2024",FundRaw!$F$4:$F$260,"buyback_div",FundRaw!$O$4:$O$260,1))</f>
        <v/>
      </c>
      <c r="U20" s="32" t="str">
        <f aca="false">IF((COUNTIFS(FundRaw!$C$4:$C$260,"crwv",FundRaw!$E$4:$E$260,"2024",FundRaw!$F$4:$F$260,"gpu_debt_talks",FundRaw!$O$4:$O$260,1))=0,"",SUMIFS(FundRaw!$G$4:$G$260,FundRaw!$C$4:$C$260,"crwv",FundRaw!$E$4:$E$260,"2024",FundRaw!$F$4:$F$260,"gpu_debt_talks",FundRaw!$O$4:$O$260,1))</f>
        <v/>
      </c>
      <c r="V20" s="32" t="str">
        <f aca="false">IF((COUNTIFS(FundRaw!$C$4:$C$260,"crwv",FundRaw!$E$4:$E$260,"2024",FundRaw!$F$4:$F$260,"bridge_refi",FundRaw!$O$4:$O$260,1))=0,"",SUMIFS(FundRaw!$G$4:$G$260,FundRaw!$C$4:$C$260,"crwv",FundRaw!$E$4:$E$260,"2024",FundRaw!$F$4:$F$260,"bridge_refi",FundRaw!$O$4:$O$260,1))</f>
        <v/>
      </c>
      <c r="W20" s="32" t="n">
        <f aca="false">IF(H20&lt;&gt;"",H20,IF(F20&lt;&gt;"",F20+N(G20),""))</f>
        <v>8.702</v>
      </c>
      <c r="X20" s="32" t="n">
        <f aca="false">IF(OR(W20="",E20=""),"",MAX(0,MIN(N(E20),W20-N(Y20))))</f>
        <v>2.749</v>
      </c>
      <c r="Y20" s="32" t="n">
        <f aca="false">IF(W20="","",IF(AND(H20&lt;&gt;"",F20&lt;&gt;""),MAX(0,H20-F20),N(G20)))</f>
        <v>0</v>
      </c>
      <c r="Z20" s="32" t="n">
        <f aca="false">IF(W20="","",MAX(0,MIN(N(R20),W20-N(X20)-N(Y20))))</f>
        <v>0</v>
      </c>
      <c r="AA20" s="32" t="n">
        <f aca="false">IF(W20="","",MAX(0,MIN(N(J20)+N(K20)+N(L20)+N(M20),W20-N(X20)-N(Y20)-N(Z20))))</f>
        <v>5.953</v>
      </c>
      <c r="AB20" s="32" t="n">
        <f aca="false">IF(W20="","",W20-N(X20)-N(Y20)-N(Z20)-N(AA20))</f>
        <v>0</v>
      </c>
      <c r="AC20" s="37" t="n">
        <f aca="false">IF(OR(W20="",N(W20)=0,X20=""),"",X20/W20)</f>
        <v>0.315904389795449</v>
      </c>
      <c r="AD20" s="37" t="n">
        <f aca="false">IF(OR(W20="",N(W20)=0,Y20=""),"",Y20/W20)</f>
        <v>0</v>
      </c>
      <c r="AE20" s="37" t="n">
        <f aca="false">IF(OR(W20="",N(W20)=0,Z20=""),"",Z20/W20)</f>
        <v>0</v>
      </c>
      <c r="AF20" s="37" t="n">
        <f aca="false">IF(OR(W20="",N(W20)=0,AA20=""),"",AA20/W20)</f>
        <v>0.684095610204551</v>
      </c>
      <c r="AG20" s="37" t="n">
        <f aca="false">IF(OR(W20="",N(W20)=0,AB20=""),"",AB20/W20)</f>
        <v>0</v>
      </c>
      <c r="AH20" s="32" t="n">
        <f aca="false">N(J20)+N(K20)+N(L20)+N(M20)+N(R20)+N(G20)</f>
        <v>7.018</v>
      </c>
      <c r="AI20" s="22" t="n">
        <f aca="false">IF(N(AH20)=0,"",(N(J20)+N(K20)+N(L20)+N(M20))/AH20)</f>
        <v>1</v>
      </c>
      <c r="AJ20" s="22" t="n">
        <f aca="false">IF(N(AH20)=0,"",(N(R20))/AH20)</f>
        <v>0</v>
      </c>
      <c r="AK20" s="22" t="n">
        <f aca="false">IF(N(AH20)=0,"",(N(G20))/AH20)</f>
        <v>0</v>
      </c>
      <c r="AL20" s="32" t="n">
        <f aca="false">N(J20)+N(K20)+N(L20)+N(M20)+IF(AND(H20&lt;&gt;"",F20&lt;&gt;""),MAX(0,H20-F20),N(G20))+N(P20)+N(R20)</f>
        <v>7.018</v>
      </c>
      <c r="AM20" s="37" t="n">
        <f aca="false">IF(OR(W20="",N(W20)=0),"",AL20/W20)</f>
        <v>0.806481268673868</v>
      </c>
      <c r="AN20" s="37" t="n">
        <f aca="false">IF(OR(W20="",N(W20)=0,E20=""),"",E20/W20)</f>
        <v>0.315904389795449</v>
      </c>
      <c r="AO20" s="22" t="n">
        <f aca="false">IF(OR(W20="",N(W20)=0),"",(N(J20)+N(K20)+N(L20)+N(M20))/W20)</f>
        <v>0.806481268673868</v>
      </c>
      <c r="AP20" s="22" t="n">
        <f aca="false">IF(OR(W20="",N(W20)=0),"",N(R20)/W20)</f>
        <v>0</v>
      </c>
      <c r="AQ20" s="22" t="n">
        <f aca="false">IF(OR(W20="",N(W20)=0),"",(IF(AND(H20&lt;&gt;"",F20&lt;&gt;""),MAX(0,H20-F20),N(G20))+N(P20))/W20)</f>
        <v>0</v>
      </c>
    </row>
    <row r="21" customFormat="false" ht="15" hidden="false" customHeight="false" outlineLevel="0" collapsed="false">
      <c r="A21" s="0" t="s">
        <v>1108</v>
      </c>
      <c r="B21" s="0" t="s">
        <v>621</v>
      </c>
      <c r="C21" s="0" t="n">
        <v>2025</v>
      </c>
      <c r="D21" s="0" t="s">
        <v>1721</v>
      </c>
      <c r="E21" s="32" t="n">
        <f aca="false">IF((COUNTIFS(FundRaw!$C$4:$C$260,"crwv",FundRaw!$E$4:$E$260,"2025",FundRaw!$F$4:$F$260,"ocf",FundRaw!$O$4:$O$260,1))=0,"",SUMIFS(FundRaw!$G$4:$G$260,FundRaw!$C$4:$C$260,"crwv",FundRaw!$E$4:$E$260,"2025",FundRaw!$F$4:$F$260,"ocf",FundRaw!$O$4:$O$260,1))</f>
        <v>3.058</v>
      </c>
      <c r="F21" s="32" t="n">
        <f aca="false">IF((COUNTIFS(FundRaw!$C$4:$C$260,"crwv",FundRaw!$E$4:$E$260,"2025",FundRaw!$F$4:$F$260,"capex_cash",FundRaw!$O$4:$O$260,1))=0,"",SUMIFS(FundRaw!$G$4:$G$260,FundRaw!$C$4:$C$260,"crwv",FundRaw!$E$4:$E$260,"2025",FundRaw!$F$4:$F$260,"capex_cash",FundRaw!$O$4:$O$260,1))</f>
        <v>10.309</v>
      </c>
      <c r="G21" s="32" t="str">
        <f aca="false">IF((COUNTIFS(FundRaw!$C$4:$C$260,"crwv",FundRaw!$E$4:$E$260,"2025",FundRaw!$F$4:$F$260,"fin_lease_new",FundRaw!$O$4:$O$260,1))=0,"",SUMIFS(FundRaw!$G$4:$G$260,FundRaw!$C$4:$C$260,"crwv",FundRaw!$E$4:$E$260,"2025",FundRaw!$F$4:$F$260,"fin_lease_new",FundRaw!$O$4:$O$260,1))</f>
        <v/>
      </c>
      <c r="H21" s="32" t="str">
        <f aca="false">IF((COUNTIFS(FundRaw!$C$4:$C$260,"crwv",FundRaw!$E$4:$E$260,"2025",FundRaw!$F$4:$F$260,"capex_incl_fl",FundRaw!$O$4:$O$260,1))=0,"",SUMIFS(FundRaw!$G$4:$G$260,FundRaw!$C$4:$C$260,"crwv",FundRaw!$E$4:$E$260,"2025",FundRaw!$F$4:$F$260,"capex_incl_fl",FundRaw!$O$4:$O$260,1))</f>
        <v/>
      </c>
      <c r="I21" s="32" t="str">
        <f aca="false">IF((COUNTIFS(FundRaw!$C$4:$C$260,"crwv",FundRaw!$E$4:$E$260,"2025",FundRaw!$F$4:$F$260,"fcf",FundRaw!$O$4:$O$260,1))=0,"",SUMIFS(FundRaw!$G$4:$G$260,FundRaw!$C$4:$C$260,"crwv",FundRaw!$E$4:$E$260,"2025",FundRaw!$F$4:$F$260,"fcf",FundRaw!$O$4:$O$260,1))</f>
        <v/>
      </c>
      <c r="J21" s="32" t="str">
        <f aca="false">IF((COUNTIFS(FundRaw!$C$4:$C$260,"crwv",FundRaw!$E$4:$E$260,"2025",FundRaw!$F$4:$F$260,"bond_issue",FundRaw!$O$4:$O$260,1))=0,"",SUMIFS(FundRaw!$G$4:$G$260,FundRaw!$C$4:$C$260,"crwv",FundRaw!$E$4:$E$260,"2025",FundRaw!$F$4:$F$260,"bond_issue",FundRaw!$O$4:$O$260,1))</f>
        <v/>
      </c>
      <c r="K21" s="32" t="str">
        <f aca="false">IF((COUNTIFS(FundRaw!$C$4:$C$260,"crwv",FundRaw!$E$4:$E$260,"2025",FundRaw!$F$4:$F$260,"term_loan",FundRaw!$O$4:$O$260,1))=0,"",SUMIFS(FundRaw!$G$4:$G$260,FundRaw!$C$4:$C$260,"crwv",FundRaw!$E$4:$E$260,"2025",FundRaw!$F$4:$F$260,"term_loan",FundRaw!$O$4:$O$260,1))</f>
        <v/>
      </c>
      <c r="L21" s="32" t="n">
        <f aca="false">IF((COUNTIFS(FundRaw!$C$4:$C$260,"crwv",FundRaw!$E$4:$E$260,"2025",FundRaw!$F$4:$F$260,"gpu_debt",FundRaw!$O$4:$O$260,1))=0,"",SUMIFS(FundRaw!$G$4:$G$260,FundRaw!$C$4:$C$260,"crwv",FundRaw!$E$4:$E$260,"2025",FundRaw!$F$4:$F$260,"gpu_debt",FundRaw!$O$4:$O$260,1))</f>
        <v>11.829</v>
      </c>
      <c r="M21" s="32" t="str">
        <f aca="false">IF((COUNTIFS(FundRaw!$C$4:$C$260,"crwv",FundRaw!$E$4:$E$260,"2025",FundRaw!$F$4:$F$260,"private_credit",FundRaw!$O$4:$O$260,1))=0,"",SUMIFS(FundRaw!$G$4:$G$260,FundRaw!$C$4:$C$260,"crwv",FundRaw!$E$4:$E$260,"2025",FundRaw!$F$4:$F$260,"private_credit",FundRaw!$O$4:$O$260,1))</f>
        <v/>
      </c>
      <c r="N21" s="32" t="n">
        <f aca="false">IF((COUNTIFS(FundRaw!$C$4:$C$260,"crwv",FundRaw!$E$4:$E$260,"2025",FundRaw!$F$4:$F$260,"net_debt_change",FundRaw!$O$4:$O$260,1))=0,"",SUMIFS(FundRaw!$G$4:$G$260,FundRaw!$C$4:$C$260,"crwv",FundRaw!$E$4:$E$260,"2025",FundRaw!$F$4:$F$260,"net_debt_change",FundRaw!$O$4:$O$260,1))</f>
        <v>13.447</v>
      </c>
      <c r="O21" s="32" t="str">
        <f aca="false">IF((COUNTIFS(FundRaw!$C$4:$C$260,"crwv",FundRaw!$E$4:$E$260,"2025",FundRaw!$F$4:$F$260,"lease_not_commenced",FundRaw!$O$4:$O$260,1))=0,"",SUMIFS(FundRaw!$G$4:$G$260,FundRaw!$C$4:$C$260,"crwv",FundRaw!$E$4:$E$260,"2025",FundRaw!$F$4:$F$260,"lease_not_commenced",FundRaw!$O$4:$O$260,1))</f>
        <v/>
      </c>
      <c r="P21" s="32" t="str">
        <f aca="false">IF((COUNTIFS(FundRaw!$C$4:$C$260,"crwv",FundRaw!$E$4:$E$260,"2025",FundRaw!$F$4:$F$260,"jv_offbalance",FundRaw!$O$4:$O$260,1))=0,"",SUMIFS(FundRaw!$G$4:$G$260,FundRaw!$C$4:$C$260,"crwv",FundRaw!$E$4:$E$260,"2025",FundRaw!$F$4:$F$260,"jv_offbalance",FundRaw!$O$4:$O$260,1))</f>
        <v/>
      </c>
      <c r="Q21" s="32" t="str">
        <f aca="false">IF((COUNTIFS(FundRaw!$C$4:$C$260,"crwv",FundRaw!$E$4:$E$260,"2025",FundRaw!$F$4:$F$260,"jv_exposure",FundRaw!$O$4:$O$260,1))=0,"",SUMIFS(FundRaw!$G$4:$G$260,FundRaw!$C$4:$C$260,"crwv",FundRaw!$E$4:$E$260,"2025",FundRaw!$F$4:$F$260,"jv_exposure",FundRaw!$O$4:$O$260,1))</f>
        <v/>
      </c>
      <c r="R21" s="32" t="n">
        <f aca="false">IF((COUNTIFS(FundRaw!$C$4:$C$260,"crwv",FundRaw!$E$4:$E$260,"2025",FundRaw!$F$4:$F$260,"equity_round",FundRaw!$O$4:$O$260,1))=0,"",SUMIFS(FundRaw!$G$4:$G$260,FundRaw!$C$4:$C$260,"crwv",FundRaw!$E$4:$E$260,"2025",FundRaw!$F$4:$F$260,"equity_round",FundRaw!$O$4:$O$260,1))</f>
        <v>1.491</v>
      </c>
      <c r="S21" s="32" t="str">
        <f aca="false">IF((COUNTIFS(FundRaw!$C$4:$C$260,"crwv",FundRaw!$E$4:$E$260,"2025",FundRaw!$F$4:$F$260,"vendor_financing",FundRaw!$O$4:$O$260,1))=0,"",SUMIFS(FundRaw!$G$4:$G$260,FundRaw!$C$4:$C$260,"crwv",FundRaw!$E$4:$E$260,"2025",FundRaw!$F$4:$F$260,"vendor_financing",FundRaw!$O$4:$O$260,1))</f>
        <v/>
      </c>
      <c r="T21" s="32" t="str">
        <f aca="false">IF((COUNTIFS(FundRaw!$C$4:$C$260,"crwv",FundRaw!$E$4:$E$260,"2025",FundRaw!$F$4:$F$260,"buyback_div",FundRaw!$O$4:$O$260,1))=0,"",SUMIFS(FundRaw!$G$4:$G$260,FundRaw!$C$4:$C$260,"crwv",FundRaw!$E$4:$E$260,"2025",FundRaw!$F$4:$F$260,"buyback_div",FundRaw!$O$4:$O$260,1))</f>
        <v/>
      </c>
      <c r="U21" s="32" t="str">
        <f aca="false">IF((COUNTIFS(FundRaw!$C$4:$C$260,"crwv",FundRaw!$E$4:$E$260,"2025",FundRaw!$F$4:$F$260,"gpu_debt_talks",FundRaw!$O$4:$O$260,1))=0,"",SUMIFS(FundRaw!$G$4:$G$260,FundRaw!$C$4:$C$260,"crwv",FundRaw!$E$4:$E$260,"2025",FundRaw!$F$4:$F$260,"gpu_debt_talks",FundRaw!$O$4:$O$260,1))</f>
        <v/>
      </c>
      <c r="V21" s="32" t="str">
        <f aca="false">IF((COUNTIFS(FundRaw!$C$4:$C$260,"crwv",FundRaw!$E$4:$E$260,"2025",FundRaw!$F$4:$F$260,"bridge_refi",FundRaw!$O$4:$O$260,1))=0,"",SUMIFS(FundRaw!$G$4:$G$260,FundRaw!$C$4:$C$260,"crwv",FundRaw!$E$4:$E$260,"2025",FundRaw!$F$4:$F$260,"bridge_refi",FundRaw!$O$4:$O$260,1))</f>
        <v/>
      </c>
      <c r="W21" s="32" t="n">
        <f aca="false">IF(H21&lt;&gt;"",H21,IF(F21&lt;&gt;"",F21+N(G21),""))</f>
        <v>10.309</v>
      </c>
      <c r="X21" s="32" t="n">
        <f aca="false">IF(OR(W21="",E21=""),"",MAX(0,MIN(N(E21),W21-N(Y21))))</f>
        <v>3.058</v>
      </c>
      <c r="Y21" s="32" t="n">
        <f aca="false">IF(W21="","",IF(AND(H21&lt;&gt;"",F21&lt;&gt;""),MAX(0,H21-F21),N(G21)))</f>
        <v>0</v>
      </c>
      <c r="Z21" s="32" t="n">
        <f aca="false">IF(W21="","",MAX(0,MIN(N(R21),W21-N(X21)-N(Y21))))</f>
        <v>1.491</v>
      </c>
      <c r="AA21" s="32" t="n">
        <f aca="false">IF(W21="","",MAX(0,MIN(N(J21)+N(K21)+N(L21)+N(M21),W21-N(X21)-N(Y21)-N(Z21))))</f>
        <v>5.76</v>
      </c>
      <c r="AB21" s="32" t="n">
        <f aca="false">IF(W21="","",W21-N(X21)-N(Y21)-N(Z21)-N(AA21))</f>
        <v>0</v>
      </c>
      <c r="AC21" s="37" t="n">
        <f aca="false">IF(OR(W21="",N(W21)=0,X21=""),"",X21/W21)</f>
        <v>0.296634009118246</v>
      </c>
      <c r="AD21" s="37" t="n">
        <f aca="false">IF(OR(W21="",N(W21)=0,Y21=""),"",Y21/W21)</f>
        <v>0</v>
      </c>
      <c r="AE21" s="37" t="n">
        <f aca="false">IF(OR(W21="",N(W21)=0,Z21=""),"",Z21/W21)</f>
        <v>0.144630905034436</v>
      </c>
      <c r="AF21" s="37" t="n">
        <f aca="false">IF(OR(W21="",N(W21)=0,AA21=""),"",AA21/W21)</f>
        <v>0.558735085847318</v>
      </c>
      <c r="AG21" s="37" t="n">
        <f aca="false">IF(OR(W21="",N(W21)=0,AB21=""),"",AB21/W21)</f>
        <v>0</v>
      </c>
      <c r="AH21" s="32" t="n">
        <f aca="false">N(J21)+N(K21)+N(L21)+N(M21)+N(R21)+N(G21)</f>
        <v>13.32</v>
      </c>
      <c r="AI21" s="22" t="n">
        <f aca="false">IF(N(AH21)=0,"",(N(J21)+N(K21)+N(L21)+N(M21))/AH21)</f>
        <v>0.888063063063063</v>
      </c>
      <c r="AJ21" s="22" t="n">
        <f aca="false">IF(N(AH21)=0,"",(N(R21))/AH21)</f>
        <v>0.111936936936937</v>
      </c>
      <c r="AK21" s="22" t="n">
        <f aca="false">IF(N(AH21)=0,"",(N(G21))/AH21)</f>
        <v>0</v>
      </c>
      <c r="AL21" s="32" t="n">
        <f aca="false">N(J21)+N(K21)+N(L21)+N(M21)+IF(AND(H21&lt;&gt;"",F21&lt;&gt;""),MAX(0,H21-F21),N(G21))+N(P21)+N(R21)</f>
        <v>13.32</v>
      </c>
      <c r="AM21" s="37" t="n">
        <f aca="false">IF(OR(W21="",N(W21)=0),"",AL21/W21)</f>
        <v>1.29207488602192</v>
      </c>
      <c r="AN21" s="37" t="n">
        <f aca="false">IF(OR(W21="",N(W21)=0,E21=""),"",E21/W21)</f>
        <v>0.296634009118246</v>
      </c>
      <c r="AO21" s="22" t="n">
        <f aca="false">IF(OR(W21="",N(W21)=0),"",(N(J21)+N(K21)+N(L21)+N(M21))/W21)</f>
        <v>1.14744398098749</v>
      </c>
      <c r="AP21" s="22" t="n">
        <f aca="false">IF(OR(W21="",N(W21)=0),"",N(R21)/W21)</f>
        <v>0.144630905034436</v>
      </c>
      <c r="AQ21" s="22" t="n">
        <f aca="false">IF(OR(W21="",N(W21)=0),"",(IF(AND(H21&lt;&gt;"",F21&lt;&gt;""),MAX(0,H21-F21),N(G21))+N(P21))/W21)</f>
        <v>0</v>
      </c>
    </row>
    <row r="22" customFormat="false" ht="15" hidden="false" customHeight="false" outlineLevel="0" collapsed="false">
      <c r="A22" s="0" t="s">
        <v>1108</v>
      </c>
      <c r="B22" s="0" t="s">
        <v>621</v>
      </c>
      <c r="C22" s="0" t="n">
        <v>2026</v>
      </c>
      <c r="D22" s="0" t="s">
        <v>1725</v>
      </c>
      <c r="E22" s="32" t="n">
        <f aca="false">IF((COUNTIFS(FundRaw!$C$4:$C$260,"crwv",FundRaw!$E$4:$E$260,"2026",FundRaw!$F$4:$F$260,"ocf",FundRaw!$O$4:$O$260,1))=0,"",SUMIFS(FundRaw!$G$4:$G$260,FundRaw!$C$4:$C$260,"crwv",FundRaw!$E$4:$E$260,"2026",FundRaw!$F$4:$F$260,"ocf",FundRaw!$O$4:$O$260,1))</f>
        <v>3.663</v>
      </c>
      <c r="F22" s="32" t="n">
        <f aca="false">IF((COUNTIFS(FundRaw!$C$4:$C$260,"crwv",FundRaw!$E$4:$E$260,"2026",FundRaw!$F$4:$F$260,"capex_cash",FundRaw!$O$4:$O$260,1))=0,"",SUMIFS(FundRaw!$G$4:$G$260,FundRaw!$C$4:$C$260,"crwv",FundRaw!$E$4:$E$260,"2026",FundRaw!$F$4:$F$260,"capex_cash",FundRaw!$O$4:$O$260,1))</f>
        <v>14.117</v>
      </c>
      <c r="G22" s="32" t="str">
        <f aca="false">IF((COUNTIFS(FundRaw!$C$4:$C$260,"crwv",FundRaw!$E$4:$E$260,"2026",FundRaw!$F$4:$F$260,"fin_lease_new",FundRaw!$O$4:$O$260,1))=0,"",SUMIFS(FundRaw!$G$4:$G$260,FundRaw!$C$4:$C$260,"crwv",FundRaw!$E$4:$E$260,"2026",FundRaw!$F$4:$F$260,"fin_lease_new",FundRaw!$O$4:$O$260,1))</f>
        <v/>
      </c>
      <c r="H22" s="32" t="str">
        <f aca="false">IF((COUNTIFS(FundRaw!$C$4:$C$260,"crwv",FundRaw!$E$4:$E$260,"2026",FundRaw!$F$4:$F$260,"capex_incl_fl",FundRaw!$O$4:$O$260,1))=0,"",SUMIFS(FundRaw!$G$4:$G$260,FundRaw!$C$4:$C$260,"crwv",FundRaw!$E$4:$E$260,"2026",FundRaw!$F$4:$F$260,"capex_incl_fl",FundRaw!$O$4:$O$260,1))</f>
        <v/>
      </c>
      <c r="I22" s="32" t="str">
        <f aca="false">IF((COUNTIFS(FundRaw!$C$4:$C$260,"crwv",FundRaw!$E$4:$E$260,"2026",FundRaw!$F$4:$F$260,"fcf",FundRaw!$O$4:$O$260,1))=0,"",SUMIFS(FundRaw!$G$4:$G$260,FundRaw!$C$4:$C$260,"crwv",FundRaw!$E$4:$E$260,"2026",FundRaw!$F$4:$F$260,"fcf",FundRaw!$O$4:$O$260,1))</f>
        <v/>
      </c>
      <c r="J22" s="32" t="str">
        <f aca="false">IF((COUNTIFS(FundRaw!$C$4:$C$260,"crwv",FundRaw!$E$4:$E$260,"2026",FundRaw!$F$4:$F$260,"bond_issue",FundRaw!$O$4:$O$260,1))=0,"",SUMIFS(FundRaw!$G$4:$G$260,FundRaw!$C$4:$C$260,"crwv",FundRaw!$E$4:$E$260,"2026",FundRaw!$F$4:$F$260,"bond_issue",FundRaw!$O$4:$O$260,1))</f>
        <v/>
      </c>
      <c r="K22" s="32" t="str">
        <f aca="false">IF((COUNTIFS(FundRaw!$C$4:$C$260,"crwv",FundRaw!$E$4:$E$260,"2026",FundRaw!$F$4:$F$260,"term_loan",FundRaw!$O$4:$O$260,1))=0,"",SUMIFS(FundRaw!$G$4:$G$260,FundRaw!$C$4:$C$260,"crwv",FundRaw!$E$4:$E$260,"2026",FundRaw!$F$4:$F$260,"term_loan",FundRaw!$O$4:$O$260,1))</f>
        <v/>
      </c>
      <c r="L22" s="32" t="n">
        <f aca="false">IF((COUNTIFS(FundRaw!$C$4:$C$260,"crwv",FundRaw!$E$4:$E$260,"2026",FundRaw!$F$4:$F$260,"gpu_debt",FundRaw!$O$4:$O$260,1))=0,"",SUMIFS(FundRaw!$G$4:$G$260,FundRaw!$C$4:$C$260,"crwv",FundRaw!$E$4:$E$260,"2026",FundRaw!$F$4:$F$260,"gpu_debt",FundRaw!$O$4:$O$260,1))</f>
        <v>16.747</v>
      </c>
      <c r="M22" s="32" t="str">
        <f aca="false">IF((COUNTIFS(FundRaw!$C$4:$C$260,"crwv",FundRaw!$E$4:$E$260,"2026",FundRaw!$F$4:$F$260,"private_credit",FundRaw!$O$4:$O$260,1))=0,"",SUMIFS(FundRaw!$G$4:$G$260,FundRaw!$C$4:$C$260,"crwv",FundRaw!$E$4:$E$260,"2026",FundRaw!$F$4:$F$260,"private_credit",FundRaw!$O$4:$O$260,1))</f>
        <v/>
      </c>
      <c r="N22" s="32" t="str">
        <f aca="false">IF((COUNTIFS(FundRaw!$C$4:$C$260,"crwv",FundRaw!$E$4:$E$260,"2026",FundRaw!$F$4:$F$260,"net_debt_change",FundRaw!$O$4:$O$260,1))=0,"",SUMIFS(FundRaw!$G$4:$G$260,FundRaw!$C$4:$C$260,"crwv",FundRaw!$E$4:$E$260,"2026",FundRaw!$F$4:$F$260,"net_debt_change",FundRaw!$O$4:$O$260,1))</f>
        <v/>
      </c>
      <c r="O22" s="32" t="str">
        <f aca="false">IF((COUNTIFS(FundRaw!$C$4:$C$260,"crwv",FundRaw!$E$4:$E$260,"2026",FundRaw!$F$4:$F$260,"lease_not_commenced",FundRaw!$O$4:$O$260,1))=0,"",SUMIFS(FundRaw!$G$4:$G$260,FundRaw!$C$4:$C$260,"crwv",FundRaw!$E$4:$E$260,"2026",FundRaw!$F$4:$F$260,"lease_not_commenced",FundRaw!$O$4:$O$260,1))</f>
        <v/>
      </c>
      <c r="P22" s="32" t="str">
        <f aca="false">IF((COUNTIFS(FundRaw!$C$4:$C$260,"crwv",FundRaw!$E$4:$E$260,"2026",FundRaw!$F$4:$F$260,"jv_offbalance",FundRaw!$O$4:$O$260,1))=0,"",SUMIFS(FundRaw!$G$4:$G$260,FundRaw!$C$4:$C$260,"crwv",FundRaw!$E$4:$E$260,"2026",FundRaw!$F$4:$F$260,"jv_offbalance",FundRaw!$O$4:$O$260,1))</f>
        <v/>
      </c>
      <c r="Q22" s="32" t="str">
        <f aca="false">IF((COUNTIFS(FundRaw!$C$4:$C$260,"crwv",FundRaw!$E$4:$E$260,"2026",FundRaw!$F$4:$F$260,"jv_exposure",FundRaw!$O$4:$O$260,1))=0,"",SUMIFS(FundRaw!$G$4:$G$260,FundRaw!$C$4:$C$260,"crwv",FundRaw!$E$4:$E$260,"2026",FundRaw!$F$4:$F$260,"jv_exposure",FundRaw!$O$4:$O$260,1))</f>
        <v/>
      </c>
      <c r="R22" s="32" t="n">
        <f aca="false">IF((COUNTIFS(FundRaw!$C$4:$C$260,"crwv",FundRaw!$E$4:$E$260,"2026",FundRaw!$F$4:$F$260,"equity_round",FundRaw!$O$4:$O$260,1))=0,"",SUMIFS(FundRaw!$G$4:$G$260,FundRaw!$C$4:$C$260,"crwv",FundRaw!$E$4:$E$260,"2026",FundRaw!$F$4:$F$260,"equity_round",FundRaw!$O$4:$O$260,1))</f>
        <v>2.982</v>
      </c>
      <c r="S22" s="32" t="str">
        <f aca="false">IF((COUNTIFS(FundRaw!$C$4:$C$260,"crwv",FundRaw!$E$4:$E$260,"2026",FundRaw!$F$4:$F$260,"vendor_financing",FundRaw!$O$4:$O$260,1))=0,"",SUMIFS(FundRaw!$G$4:$G$260,FundRaw!$C$4:$C$260,"crwv",FundRaw!$E$4:$E$260,"2026",FundRaw!$F$4:$F$260,"vendor_financing",FundRaw!$O$4:$O$260,1))</f>
        <v/>
      </c>
      <c r="T22" s="32" t="str">
        <f aca="false">IF((COUNTIFS(FundRaw!$C$4:$C$260,"crwv",FundRaw!$E$4:$E$260,"2026",FundRaw!$F$4:$F$260,"buyback_div",FundRaw!$O$4:$O$260,1))=0,"",SUMIFS(FundRaw!$G$4:$G$260,FundRaw!$C$4:$C$260,"crwv",FundRaw!$E$4:$E$260,"2026",FundRaw!$F$4:$F$260,"buyback_div",FundRaw!$O$4:$O$260,1))</f>
        <v/>
      </c>
      <c r="U22" s="32" t="str">
        <f aca="false">IF((COUNTIFS(FundRaw!$C$4:$C$260,"crwv",FundRaw!$E$4:$E$260,"2026",FundRaw!$F$4:$F$260,"gpu_debt_talks",FundRaw!$O$4:$O$260,1))=0,"",SUMIFS(FundRaw!$G$4:$G$260,FundRaw!$C$4:$C$260,"crwv",FundRaw!$E$4:$E$260,"2026",FundRaw!$F$4:$F$260,"gpu_debt_talks",FundRaw!$O$4:$O$260,1))</f>
        <v/>
      </c>
      <c r="V22" s="32" t="str">
        <f aca="false">IF((COUNTIFS(FundRaw!$C$4:$C$260,"crwv",FundRaw!$E$4:$E$260,"2026",FundRaw!$F$4:$F$260,"bridge_refi",FundRaw!$O$4:$O$260,1))=0,"",SUMIFS(FundRaw!$G$4:$G$260,FundRaw!$C$4:$C$260,"crwv",FundRaw!$E$4:$E$260,"2026",FundRaw!$F$4:$F$260,"bridge_refi",FundRaw!$O$4:$O$260,1))</f>
        <v/>
      </c>
      <c r="W22" s="32" t="n">
        <f aca="false">IF(H22&lt;&gt;"",H22,IF(F22&lt;&gt;"",F22+N(G22),""))</f>
        <v>14.117</v>
      </c>
      <c r="X22" s="32" t="n">
        <f aca="false">IF(OR(W22="",E22=""),"",MAX(0,MIN(N(E22),W22-N(Y22))))</f>
        <v>3.663</v>
      </c>
      <c r="Y22" s="32" t="n">
        <f aca="false">IF(W22="","",IF(AND(H22&lt;&gt;"",F22&lt;&gt;""),MAX(0,H22-F22),N(G22)))</f>
        <v>0</v>
      </c>
      <c r="Z22" s="32" t="n">
        <f aca="false">IF(W22="","",MAX(0,MIN(N(R22),W22-N(X22)-N(Y22))))</f>
        <v>2.982</v>
      </c>
      <c r="AA22" s="32" t="n">
        <f aca="false">IF(W22="","",MAX(0,MIN(N(J22)+N(K22)+N(L22)+N(M22),W22-N(X22)-N(Y22)-N(Z22))))</f>
        <v>7.472</v>
      </c>
      <c r="AB22" s="32" t="n">
        <f aca="false">IF(W22="","",W22-N(X22)-N(Y22)-N(Z22)-N(AA22))</f>
        <v>0</v>
      </c>
      <c r="AC22" s="37" t="n">
        <f aca="false">IF(OR(W22="",N(W22)=0,X22=""),"",X22/W22)</f>
        <v>0.259474392576326</v>
      </c>
      <c r="AD22" s="37" t="n">
        <f aca="false">IF(OR(W22="",N(W22)=0,Y22=""),"",Y22/W22)</f>
        <v>0</v>
      </c>
      <c r="AE22" s="37" t="n">
        <f aca="false">IF(OR(W22="",N(W22)=0,Z22=""),"",Z22/W22)</f>
        <v>0.211234681589573</v>
      </c>
      <c r="AF22" s="37" t="n">
        <f aca="false">IF(OR(W22="",N(W22)=0,AA22=""),"",AA22/W22)</f>
        <v>0.529290925834101</v>
      </c>
      <c r="AG22" s="37" t="n">
        <f aca="false">IF(OR(W22="",N(W22)=0,AB22=""),"",AB22/W22)</f>
        <v>0</v>
      </c>
      <c r="AH22" s="32" t="n">
        <f aca="false">N(J22)+N(K22)+N(L22)+N(M22)+N(R22)+N(G22)</f>
        <v>19.729</v>
      </c>
      <c r="AI22" s="22" t="n">
        <f aca="false">IF(N(AH22)=0,"",(N(J22)+N(K22)+N(L22)+N(M22))/AH22)</f>
        <v>0.848851943839019</v>
      </c>
      <c r="AJ22" s="22" t="n">
        <f aca="false">IF(N(AH22)=0,"",(N(R22))/AH22)</f>
        <v>0.151148056160981</v>
      </c>
      <c r="AK22" s="22" t="n">
        <f aca="false">IF(N(AH22)=0,"",(N(G22))/AH22)</f>
        <v>0</v>
      </c>
      <c r="AL22" s="32" t="n">
        <f aca="false">N(J22)+N(K22)+N(L22)+N(M22)+IF(AND(H22&lt;&gt;"",F22&lt;&gt;""),MAX(0,H22-F22),N(G22))+N(P22)+N(R22)</f>
        <v>19.729</v>
      </c>
      <c r="AM22" s="37" t="n">
        <f aca="false">IF(OR(W22="",N(W22)=0),"",AL22/W22)</f>
        <v>1.39753488701565</v>
      </c>
      <c r="AN22" s="37" t="n">
        <f aca="false">IF(OR(W22="",N(W22)=0,E22=""),"",E22/W22)</f>
        <v>0.259474392576326</v>
      </c>
      <c r="AO22" s="22" t="n">
        <f aca="false">IF(OR(W22="",N(W22)=0),"",(N(J22)+N(K22)+N(L22)+N(M22))/W22)</f>
        <v>1.18630020542608</v>
      </c>
      <c r="AP22" s="22" t="n">
        <f aca="false">IF(OR(W22="",N(W22)=0),"",N(R22)/W22)</f>
        <v>0.211234681589573</v>
      </c>
      <c r="AQ22" s="22" t="n">
        <f aca="false">IF(OR(W22="",N(W22)=0),"",(IF(AND(H22&lt;&gt;"",F22&lt;&gt;""),MAX(0,H22-F22),N(G22))+N(P22))/W22)</f>
        <v>0</v>
      </c>
    </row>
    <row r="23" customFormat="false" ht="15" hidden="false" customHeight="false" outlineLevel="0" collapsed="false">
      <c r="A23" s="0" t="s">
        <v>1127</v>
      </c>
      <c r="B23" s="0" t="s">
        <v>652</v>
      </c>
      <c r="C23" s="0" t="n">
        <v>2025</v>
      </c>
      <c r="D23" s="0" t="s">
        <v>1721</v>
      </c>
      <c r="E23" s="32" t="str">
        <f aca="false">IF((COUNTIFS(FundRaw!$C$4:$C$260,"nbis",FundRaw!$E$4:$E$260,"2025",FundRaw!$F$4:$F$260,"ocf",FundRaw!$O$4:$O$260,1))=0,"",SUMIFS(FundRaw!$G$4:$G$260,FundRaw!$C$4:$C$260,"nbis",FundRaw!$E$4:$E$260,"2025",FundRaw!$F$4:$F$260,"ocf",FundRaw!$O$4:$O$260,1))</f>
        <v/>
      </c>
      <c r="F23" s="32" t="n">
        <f aca="false">IF((COUNTIFS(FundRaw!$C$4:$C$260,"nbis",FundRaw!$E$4:$E$260,"2025",FundRaw!$F$4:$F$260,"capex_cash",FundRaw!$O$4:$O$260,1))=0,"",SUMIFS(FundRaw!$G$4:$G$260,FundRaw!$C$4:$C$260,"nbis",FundRaw!$E$4:$E$260,"2025",FundRaw!$F$4:$F$260,"capex_cash",FundRaw!$O$4:$O$260,1))</f>
        <v>4.1</v>
      </c>
      <c r="G23" s="32" t="str">
        <f aca="false">IF((COUNTIFS(FundRaw!$C$4:$C$260,"nbis",FundRaw!$E$4:$E$260,"2025",FundRaw!$F$4:$F$260,"fin_lease_new",FundRaw!$O$4:$O$260,1))=0,"",SUMIFS(FundRaw!$G$4:$G$260,FundRaw!$C$4:$C$260,"nbis",FundRaw!$E$4:$E$260,"2025",FundRaw!$F$4:$F$260,"fin_lease_new",FundRaw!$O$4:$O$260,1))</f>
        <v/>
      </c>
      <c r="H23" s="32" t="str">
        <f aca="false">IF((COUNTIFS(FundRaw!$C$4:$C$260,"nbis",FundRaw!$E$4:$E$260,"2025",FundRaw!$F$4:$F$260,"capex_incl_fl",FundRaw!$O$4:$O$260,1))=0,"",SUMIFS(FundRaw!$G$4:$G$260,FundRaw!$C$4:$C$260,"nbis",FundRaw!$E$4:$E$260,"2025",FundRaw!$F$4:$F$260,"capex_incl_fl",FundRaw!$O$4:$O$260,1))</f>
        <v/>
      </c>
      <c r="I23" s="32" t="str">
        <f aca="false">IF((COUNTIFS(FundRaw!$C$4:$C$260,"nbis",FundRaw!$E$4:$E$260,"2025",FundRaw!$F$4:$F$260,"fcf",FundRaw!$O$4:$O$260,1))=0,"",SUMIFS(FundRaw!$G$4:$G$260,FundRaw!$C$4:$C$260,"nbis",FundRaw!$E$4:$E$260,"2025",FundRaw!$F$4:$F$260,"fcf",FundRaw!$O$4:$O$260,1))</f>
        <v/>
      </c>
      <c r="J23" s="32" t="str">
        <f aca="false">IF((COUNTIFS(FundRaw!$C$4:$C$260,"nbis",FundRaw!$E$4:$E$260,"2025",FundRaw!$F$4:$F$260,"bond_issue",FundRaw!$O$4:$O$260,1))=0,"",SUMIFS(FundRaw!$G$4:$G$260,FundRaw!$C$4:$C$260,"nbis",FundRaw!$E$4:$E$260,"2025",FundRaw!$F$4:$F$260,"bond_issue",FundRaw!$O$4:$O$260,1))</f>
        <v/>
      </c>
      <c r="K23" s="32" t="str">
        <f aca="false">IF((COUNTIFS(FundRaw!$C$4:$C$260,"nbis",FundRaw!$E$4:$E$260,"2025",FundRaw!$F$4:$F$260,"term_loan",FundRaw!$O$4:$O$260,1))=0,"",SUMIFS(FundRaw!$G$4:$G$260,FundRaw!$C$4:$C$260,"nbis",FundRaw!$E$4:$E$260,"2025",FundRaw!$F$4:$F$260,"term_loan",FundRaw!$O$4:$O$260,1))</f>
        <v/>
      </c>
      <c r="L23" s="32" t="str">
        <f aca="false">IF((COUNTIFS(FundRaw!$C$4:$C$260,"nbis",FundRaw!$E$4:$E$260,"2025",FundRaw!$F$4:$F$260,"gpu_debt",FundRaw!$O$4:$O$260,1))=0,"",SUMIFS(FundRaw!$G$4:$G$260,FundRaw!$C$4:$C$260,"nbis",FundRaw!$E$4:$E$260,"2025",FundRaw!$F$4:$F$260,"gpu_debt",FundRaw!$O$4:$O$260,1))</f>
        <v/>
      </c>
      <c r="M23" s="32" t="str">
        <f aca="false">IF((COUNTIFS(FundRaw!$C$4:$C$260,"nbis",FundRaw!$E$4:$E$260,"2025",FundRaw!$F$4:$F$260,"private_credit",FundRaw!$O$4:$O$260,1))=0,"",SUMIFS(FundRaw!$G$4:$G$260,FundRaw!$C$4:$C$260,"nbis",FundRaw!$E$4:$E$260,"2025",FundRaw!$F$4:$F$260,"private_credit",FundRaw!$O$4:$O$260,1))</f>
        <v/>
      </c>
      <c r="N23" s="32" t="str">
        <f aca="false">IF((COUNTIFS(FundRaw!$C$4:$C$260,"nbis",FundRaw!$E$4:$E$260,"2025",FundRaw!$F$4:$F$260,"net_debt_change",FundRaw!$O$4:$O$260,1))=0,"",SUMIFS(FundRaw!$G$4:$G$260,FundRaw!$C$4:$C$260,"nbis",FundRaw!$E$4:$E$260,"2025",FundRaw!$F$4:$F$260,"net_debt_change",FundRaw!$O$4:$O$260,1))</f>
        <v/>
      </c>
      <c r="O23" s="32" t="str">
        <f aca="false">IF((COUNTIFS(FundRaw!$C$4:$C$260,"nbis",FundRaw!$E$4:$E$260,"2025",FundRaw!$F$4:$F$260,"lease_not_commenced",FundRaw!$O$4:$O$260,1))=0,"",SUMIFS(FundRaw!$G$4:$G$260,FundRaw!$C$4:$C$260,"nbis",FundRaw!$E$4:$E$260,"2025",FundRaw!$F$4:$F$260,"lease_not_commenced",FundRaw!$O$4:$O$260,1))</f>
        <v/>
      </c>
      <c r="P23" s="32" t="str">
        <f aca="false">IF((COUNTIFS(FundRaw!$C$4:$C$260,"nbis",FundRaw!$E$4:$E$260,"2025",FundRaw!$F$4:$F$260,"jv_offbalance",FundRaw!$O$4:$O$260,1))=0,"",SUMIFS(FundRaw!$G$4:$G$260,FundRaw!$C$4:$C$260,"nbis",FundRaw!$E$4:$E$260,"2025",FundRaw!$F$4:$F$260,"jv_offbalance",FundRaw!$O$4:$O$260,1))</f>
        <v/>
      </c>
      <c r="Q23" s="32" t="str">
        <f aca="false">IF((COUNTIFS(FundRaw!$C$4:$C$260,"nbis",FundRaw!$E$4:$E$260,"2025",FundRaw!$F$4:$F$260,"jv_exposure",FundRaw!$O$4:$O$260,1))=0,"",SUMIFS(FundRaw!$G$4:$G$260,FundRaw!$C$4:$C$260,"nbis",FundRaw!$E$4:$E$260,"2025",FundRaw!$F$4:$F$260,"jv_exposure",FundRaw!$O$4:$O$260,1))</f>
        <v/>
      </c>
      <c r="R23" s="32" t="str">
        <f aca="false">IF((COUNTIFS(FundRaw!$C$4:$C$260,"nbis",FundRaw!$E$4:$E$260,"2025",FundRaw!$F$4:$F$260,"equity_round",FundRaw!$O$4:$O$260,1))=0,"",SUMIFS(FundRaw!$G$4:$G$260,FundRaw!$C$4:$C$260,"nbis",FundRaw!$E$4:$E$260,"2025",FundRaw!$F$4:$F$260,"equity_round",FundRaw!$O$4:$O$260,1))</f>
        <v/>
      </c>
      <c r="S23" s="32" t="str">
        <f aca="false">IF((COUNTIFS(FundRaw!$C$4:$C$260,"nbis",FundRaw!$E$4:$E$260,"2025",FundRaw!$F$4:$F$260,"vendor_financing",FundRaw!$O$4:$O$260,1))=0,"",SUMIFS(FundRaw!$G$4:$G$260,FundRaw!$C$4:$C$260,"nbis",FundRaw!$E$4:$E$260,"2025",FundRaw!$F$4:$F$260,"vendor_financing",FundRaw!$O$4:$O$260,1))</f>
        <v/>
      </c>
      <c r="T23" s="32" t="str">
        <f aca="false">IF((COUNTIFS(FundRaw!$C$4:$C$260,"nbis",FundRaw!$E$4:$E$260,"2025",FundRaw!$F$4:$F$260,"buyback_div",FundRaw!$O$4:$O$260,1))=0,"",SUMIFS(FundRaw!$G$4:$G$260,FundRaw!$C$4:$C$260,"nbis",FundRaw!$E$4:$E$260,"2025",FundRaw!$F$4:$F$260,"buyback_div",FundRaw!$O$4:$O$260,1))</f>
        <v/>
      </c>
      <c r="U23" s="32" t="str">
        <f aca="false">IF((COUNTIFS(FundRaw!$C$4:$C$260,"nbis",FundRaw!$E$4:$E$260,"2025",FundRaw!$F$4:$F$260,"gpu_debt_talks",FundRaw!$O$4:$O$260,1))=0,"",SUMIFS(FundRaw!$G$4:$G$260,FundRaw!$C$4:$C$260,"nbis",FundRaw!$E$4:$E$260,"2025",FundRaw!$F$4:$F$260,"gpu_debt_talks",FundRaw!$O$4:$O$260,1))</f>
        <v/>
      </c>
      <c r="V23" s="32" t="str">
        <f aca="false">IF((COUNTIFS(FundRaw!$C$4:$C$260,"nbis",FundRaw!$E$4:$E$260,"2025",FundRaw!$F$4:$F$260,"bridge_refi",FundRaw!$O$4:$O$260,1))=0,"",SUMIFS(FundRaw!$G$4:$G$260,FundRaw!$C$4:$C$260,"nbis",FundRaw!$E$4:$E$260,"2025",FundRaw!$F$4:$F$260,"bridge_refi",FundRaw!$O$4:$O$260,1))</f>
        <v/>
      </c>
      <c r="W23" s="32" t="n">
        <f aca="false">IF(H23&lt;&gt;"",H23,IF(F23&lt;&gt;"",F23+N(G23),""))</f>
        <v>4.1</v>
      </c>
      <c r="X23" s="32" t="str">
        <f aca="false">IF(OR(W23="",E23=""),"",MAX(0,MIN(N(E23),W23-N(Y23))))</f>
        <v/>
      </c>
      <c r="Y23" s="32" t="n">
        <f aca="false">IF(W23="","",IF(AND(H23&lt;&gt;"",F23&lt;&gt;""),MAX(0,H23-F23),N(G23)))</f>
        <v>0</v>
      </c>
      <c r="Z23" s="32" t="n">
        <f aca="false">IF(W23="","",MAX(0,MIN(N(R23),W23-N(X23)-N(Y23))))</f>
        <v>0</v>
      </c>
      <c r="AA23" s="32" t="n">
        <f aca="false">IF(W23="","",MAX(0,MIN(N(J23)+N(K23)+N(L23)+N(M23),W23-N(X23)-N(Y23)-N(Z23))))</f>
        <v>0</v>
      </c>
      <c r="AB23" s="32" t="n">
        <f aca="false">IF(W23="","",W23-N(X23)-N(Y23)-N(Z23)-N(AA23))</f>
        <v>4.1</v>
      </c>
      <c r="AC23" s="37" t="str">
        <f aca="false">IF(OR(W23="",N(W23)=0,X23=""),"",X23/W23)</f>
        <v/>
      </c>
      <c r="AD23" s="37" t="n">
        <f aca="false">IF(OR(W23="",N(W23)=0,Y23=""),"",Y23/W23)</f>
        <v>0</v>
      </c>
      <c r="AE23" s="37" t="n">
        <f aca="false">IF(OR(W23="",N(W23)=0,Z23=""),"",Z23/W23)</f>
        <v>0</v>
      </c>
      <c r="AF23" s="37" t="n">
        <f aca="false">IF(OR(W23="",N(W23)=0,AA23=""),"",AA23/W23)</f>
        <v>0</v>
      </c>
      <c r="AG23" s="37" t="n">
        <f aca="false">IF(OR(W23="",N(W23)=0,AB23=""),"",AB23/W23)</f>
        <v>1</v>
      </c>
      <c r="AH23" s="32" t="n">
        <f aca="false">N(J23)+N(K23)+N(L23)+N(M23)+N(R23)+N(G23)</f>
        <v>0</v>
      </c>
      <c r="AI23" s="22" t="str">
        <f aca="false">IF(N(AH23)=0,"",(N(J23)+N(K23)+N(L23)+N(M23))/AH23)</f>
        <v/>
      </c>
      <c r="AJ23" s="22" t="str">
        <f aca="false">IF(N(AH23)=0,"",(N(R23))/AH23)</f>
        <v/>
      </c>
      <c r="AK23" s="22" t="str">
        <f aca="false">IF(N(AH23)=0,"",(N(G23))/AH23)</f>
        <v/>
      </c>
      <c r="AL23" s="32" t="n">
        <f aca="false">N(J23)+N(K23)+N(L23)+N(M23)+IF(AND(H23&lt;&gt;"",F23&lt;&gt;""),MAX(0,H23-F23),N(G23))+N(P23)+N(R23)</f>
        <v>0</v>
      </c>
      <c r="AM23" s="37" t="n">
        <f aca="false">IF(OR(W23="",N(W23)=0),"",AL23/W23)</f>
        <v>0</v>
      </c>
      <c r="AN23" s="37" t="str">
        <f aca="false">IF(OR(W23="",N(W23)=0,E23=""),"",E23/W23)</f>
        <v/>
      </c>
      <c r="AO23" s="22" t="n">
        <f aca="false">IF(OR(W23="",N(W23)=0),"",(N(J23)+N(K23)+N(L23)+N(M23))/W23)</f>
        <v>0</v>
      </c>
      <c r="AP23" s="22" t="n">
        <f aca="false">IF(OR(W23="",N(W23)=0),"",N(R23)/W23)</f>
        <v>0</v>
      </c>
      <c r="AQ23" s="22" t="n">
        <f aca="false">IF(OR(W23="",N(W23)=0),"",(IF(AND(H23&lt;&gt;"",F23&lt;&gt;""),MAX(0,H23-F23),N(G23))+N(P23))/W23)</f>
        <v>0</v>
      </c>
    </row>
    <row r="24" customFormat="false" ht="15" hidden="false" customHeight="false" outlineLevel="0" collapsed="false">
      <c r="A24" s="0" t="s">
        <v>1127</v>
      </c>
      <c r="B24" s="0" t="s">
        <v>652</v>
      </c>
      <c r="C24" s="0" t="n">
        <v>2026</v>
      </c>
      <c r="D24" s="0" t="s">
        <v>1725</v>
      </c>
      <c r="E24" s="32" t="str">
        <f aca="false">IF((COUNTIFS(FundRaw!$C$4:$C$260,"nbis",FundRaw!$E$4:$E$260,"2026",FundRaw!$F$4:$F$260,"ocf",FundRaw!$O$4:$O$260,1))=0,"",SUMIFS(FundRaw!$G$4:$G$260,FundRaw!$C$4:$C$260,"nbis",FundRaw!$E$4:$E$260,"2026",FundRaw!$F$4:$F$260,"ocf",FundRaw!$O$4:$O$260,1))</f>
        <v/>
      </c>
      <c r="F24" s="32" t="n">
        <f aca="false">IF((COUNTIFS(FundRaw!$C$4:$C$260,"nbis",FundRaw!$E$4:$E$260,"2026",FundRaw!$F$4:$F$260,"capex_cash",FundRaw!$O$4:$O$260,1))=0,"",SUMIFS(FundRaw!$G$4:$G$260,FundRaw!$C$4:$C$260,"nbis",FundRaw!$E$4:$E$260,"2026",FundRaw!$F$4:$F$260,"capex_cash",FundRaw!$O$4:$O$260,1))</f>
        <v>8.13</v>
      </c>
      <c r="G24" s="32" t="str">
        <f aca="false">IF((COUNTIFS(FundRaw!$C$4:$C$260,"nbis",FundRaw!$E$4:$E$260,"2026",FundRaw!$F$4:$F$260,"fin_lease_new",FundRaw!$O$4:$O$260,1))=0,"",SUMIFS(FundRaw!$G$4:$G$260,FundRaw!$C$4:$C$260,"nbis",FundRaw!$E$4:$E$260,"2026",FundRaw!$F$4:$F$260,"fin_lease_new",FundRaw!$O$4:$O$260,1))</f>
        <v/>
      </c>
      <c r="H24" s="32" t="str">
        <f aca="false">IF((COUNTIFS(FundRaw!$C$4:$C$260,"nbis",FundRaw!$E$4:$E$260,"2026",FundRaw!$F$4:$F$260,"capex_incl_fl",FundRaw!$O$4:$O$260,1))=0,"",SUMIFS(FundRaw!$G$4:$G$260,FundRaw!$C$4:$C$260,"nbis",FundRaw!$E$4:$E$260,"2026",FundRaw!$F$4:$F$260,"capex_incl_fl",FundRaw!$O$4:$O$260,1))</f>
        <v/>
      </c>
      <c r="I24" s="32" t="n">
        <f aca="false">IF((COUNTIFS(FundRaw!$C$4:$C$260,"nbis",FundRaw!$E$4:$E$260,"2026",FundRaw!$F$4:$F$260,"fcf",FundRaw!$O$4:$O$260,1))=0,"",SUMIFS(FundRaw!$G$4:$G$260,FundRaw!$C$4:$C$260,"nbis",FundRaw!$E$4:$E$260,"2026",FundRaw!$F$4:$F$260,"fcf",FundRaw!$O$4:$O$260,1))</f>
        <v>-3.626</v>
      </c>
      <c r="J24" s="32" t="n">
        <f aca="false">IF((COUNTIFS(FundRaw!$C$4:$C$260,"nbis",FundRaw!$E$4:$E$260,"2026",FundRaw!$F$4:$F$260,"bond_issue",FundRaw!$O$4:$O$260,1))=0,"",SUMIFS(FundRaw!$G$4:$G$260,FundRaw!$C$4:$C$260,"nbis",FundRaw!$E$4:$E$260,"2026",FundRaw!$F$4:$F$260,"bond_issue",FundRaw!$O$4:$O$260,1))</f>
        <v>4.338</v>
      </c>
      <c r="K24" s="32" t="str">
        <f aca="false">IF((COUNTIFS(FundRaw!$C$4:$C$260,"nbis",FundRaw!$E$4:$E$260,"2026",FundRaw!$F$4:$F$260,"term_loan",FundRaw!$O$4:$O$260,1))=0,"",SUMIFS(FundRaw!$G$4:$G$260,FundRaw!$C$4:$C$260,"nbis",FundRaw!$E$4:$E$260,"2026",FundRaw!$F$4:$F$260,"term_loan",FundRaw!$O$4:$O$260,1))</f>
        <v/>
      </c>
      <c r="L24" s="32" t="str">
        <f aca="false">IF((COUNTIFS(FundRaw!$C$4:$C$260,"nbis",FundRaw!$E$4:$E$260,"2026",FundRaw!$F$4:$F$260,"gpu_debt",FundRaw!$O$4:$O$260,1))=0,"",SUMIFS(FundRaw!$G$4:$G$260,FundRaw!$C$4:$C$260,"nbis",FundRaw!$E$4:$E$260,"2026",FundRaw!$F$4:$F$260,"gpu_debt",FundRaw!$O$4:$O$260,1))</f>
        <v/>
      </c>
      <c r="M24" s="32" t="str">
        <f aca="false">IF((COUNTIFS(FundRaw!$C$4:$C$260,"nbis",FundRaw!$E$4:$E$260,"2026",FundRaw!$F$4:$F$260,"private_credit",FundRaw!$O$4:$O$260,1))=0,"",SUMIFS(FundRaw!$G$4:$G$260,FundRaw!$C$4:$C$260,"nbis",FundRaw!$E$4:$E$260,"2026",FundRaw!$F$4:$F$260,"private_credit",FundRaw!$O$4:$O$260,1))</f>
        <v/>
      </c>
      <c r="N24" s="32" t="str">
        <f aca="false">IF((COUNTIFS(FundRaw!$C$4:$C$260,"nbis",FundRaw!$E$4:$E$260,"2026",FundRaw!$F$4:$F$260,"net_debt_change",FundRaw!$O$4:$O$260,1))=0,"",SUMIFS(FundRaw!$G$4:$G$260,FundRaw!$C$4:$C$260,"nbis",FundRaw!$E$4:$E$260,"2026",FundRaw!$F$4:$F$260,"net_debt_change",FundRaw!$O$4:$O$260,1))</f>
        <v/>
      </c>
      <c r="O24" s="32" t="n">
        <f aca="false">IF((COUNTIFS(FundRaw!$C$4:$C$260,"nbis",FundRaw!$E$4:$E$260,"2026",FundRaw!$F$4:$F$260,"lease_not_commenced",FundRaw!$O$4:$O$260,1))=0,"",SUMIFS(FundRaw!$G$4:$G$260,FundRaw!$C$4:$C$260,"nbis",FundRaw!$E$4:$E$260,"2026",FundRaw!$F$4:$F$260,"lease_not_commenced",FundRaw!$O$4:$O$260,1))</f>
        <v>12.054</v>
      </c>
      <c r="P24" s="32" t="str">
        <f aca="false">IF((COUNTIFS(FundRaw!$C$4:$C$260,"nbis",FundRaw!$E$4:$E$260,"2026",FundRaw!$F$4:$F$260,"jv_offbalance",FundRaw!$O$4:$O$260,1))=0,"",SUMIFS(FundRaw!$G$4:$G$260,FundRaw!$C$4:$C$260,"nbis",FundRaw!$E$4:$E$260,"2026",FundRaw!$F$4:$F$260,"jv_offbalance",FundRaw!$O$4:$O$260,1))</f>
        <v/>
      </c>
      <c r="Q24" s="32" t="str">
        <f aca="false">IF((COUNTIFS(FundRaw!$C$4:$C$260,"nbis",FundRaw!$E$4:$E$260,"2026",FundRaw!$F$4:$F$260,"jv_exposure",FundRaw!$O$4:$O$260,1))=0,"",SUMIFS(FundRaw!$G$4:$G$260,FundRaw!$C$4:$C$260,"nbis",FundRaw!$E$4:$E$260,"2026",FundRaw!$F$4:$F$260,"jv_exposure",FundRaw!$O$4:$O$260,1))</f>
        <v/>
      </c>
      <c r="R24" s="32" t="n">
        <f aca="false">IF((COUNTIFS(FundRaw!$C$4:$C$260,"nbis",FundRaw!$E$4:$E$260,"2026",FundRaw!$F$4:$F$260,"equity_round",FundRaw!$O$4:$O$260,1))=0,"",SUMIFS(FundRaw!$G$4:$G$260,FundRaw!$C$4:$C$260,"nbis",FundRaw!$E$4:$E$260,"2026",FundRaw!$F$4:$F$260,"equity_round",FundRaw!$O$4:$O$260,1))</f>
        <v>4.811</v>
      </c>
      <c r="S24" s="32" t="str">
        <f aca="false">IF((COUNTIFS(FundRaw!$C$4:$C$260,"nbis",FundRaw!$E$4:$E$260,"2026",FundRaw!$F$4:$F$260,"vendor_financing",FundRaw!$O$4:$O$260,1))=0,"",SUMIFS(FundRaw!$G$4:$G$260,FundRaw!$C$4:$C$260,"nbis",FundRaw!$E$4:$E$260,"2026",FundRaw!$F$4:$F$260,"vendor_financing",FundRaw!$O$4:$O$260,1))</f>
        <v/>
      </c>
      <c r="T24" s="32" t="str">
        <f aca="false">IF((COUNTIFS(FundRaw!$C$4:$C$260,"nbis",FundRaw!$E$4:$E$260,"2026",FundRaw!$F$4:$F$260,"buyback_div",FundRaw!$O$4:$O$260,1))=0,"",SUMIFS(FundRaw!$G$4:$G$260,FundRaw!$C$4:$C$260,"nbis",FundRaw!$E$4:$E$260,"2026",FundRaw!$F$4:$F$260,"buyback_div",FundRaw!$O$4:$O$260,1))</f>
        <v/>
      </c>
      <c r="U24" s="32" t="str">
        <f aca="false">IF((COUNTIFS(FundRaw!$C$4:$C$260,"nbis",FundRaw!$E$4:$E$260,"2026",FundRaw!$F$4:$F$260,"gpu_debt_talks",FundRaw!$O$4:$O$260,1))=0,"",SUMIFS(FundRaw!$G$4:$G$260,FundRaw!$C$4:$C$260,"nbis",FundRaw!$E$4:$E$260,"2026",FundRaw!$F$4:$F$260,"gpu_debt_talks",FundRaw!$O$4:$O$260,1))</f>
        <v/>
      </c>
      <c r="V24" s="32" t="str">
        <f aca="false">IF((COUNTIFS(FundRaw!$C$4:$C$260,"nbis",FundRaw!$E$4:$E$260,"2026",FundRaw!$F$4:$F$260,"bridge_refi",FundRaw!$O$4:$O$260,1))=0,"",SUMIFS(FundRaw!$G$4:$G$260,FundRaw!$C$4:$C$260,"nbis",FundRaw!$E$4:$E$260,"2026",FundRaw!$F$4:$F$260,"bridge_refi",FundRaw!$O$4:$O$260,1))</f>
        <v/>
      </c>
      <c r="W24" s="32" t="n">
        <f aca="false">IF(H24&lt;&gt;"",H24,IF(F24&lt;&gt;"",F24+N(G24),""))</f>
        <v>8.13</v>
      </c>
      <c r="X24" s="32" t="str">
        <f aca="false">IF(OR(W24="",E24=""),"",MAX(0,MIN(N(E24),W24-N(Y24))))</f>
        <v/>
      </c>
      <c r="Y24" s="32" t="n">
        <f aca="false">IF(W24="","",IF(AND(H24&lt;&gt;"",F24&lt;&gt;""),MAX(0,H24-F24),N(G24)))</f>
        <v>0</v>
      </c>
      <c r="Z24" s="32" t="n">
        <f aca="false">IF(W24="","",MAX(0,MIN(N(R24),W24-N(X24)-N(Y24))))</f>
        <v>4.811</v>
      </c>
      <c r="AA24" s="32" t="n">
        <f aca="false">IF(W24="","",MAX(0,MIN(N(J24)+N(K24)+N(L24)+N(M24),W24-N(X24)-N(Y24)-N(Z24))))</f>
        <v>3.319</v>
      </c>
      <c r="AB24" s="32" t="n">
        <f aca="false">IF(W24="","",W24-N(X24)-N(Y24)-N(Z24)-N(AA24))</f>
        <v>0</v>
      </c>
      <c r="AC24" s="37" t="str">
        <f aca="false">IF(OR(W24="",N(W24)=0,X24=""),"",X24/W24)</f>
        <v/>
      </c>
      <c r="AD24" s="37" t="n">
        <f aca="false">IF(OR(W24="",N(W24)=0,Y24=""),"",Y24/W24)</f>
        <v>0</v>
      </c>
      <c r="AE24" s="37" t="n">
        <f aca="false">IF(OR(W24="",N(W24)=0,Z24=""),"",Z24/W24)</f>
        <v>0.591758917589176</v>
      </c>
      <c r="AF24" s="37" t="n">
        <f aca="false">IF(OR(W24="",N(W24)=0,AA24=""),"",AA24/W24)</f>
        <v>0.408241082410824</v>
      </c>
      <c r="AG24" s="37" t="n">
        <f aca="false">IF(OR(W24="",N(W24)=0,AB24=""),"",AB24/W24)</f>
        <v>0</v>
      </c>
      <c r="AH24" s="32" t="n">
        <f aca="false">N(J24)+N(K24)+N(L24)+N(M24)+N(R24)+N(G24)</f>
        <v>9.149</v>
      </c>
      <c r="AI24" s="22" t="n">
        <f aca="false">IF(N(AH24)=0,"",(N(J24)+N(K24)+N(L24)+N(M24))/AH24)</f>
        <v>0.474150180347579</v>
      </c>
      <c r="AJ24" s="22" t="n">
        <f aca="false">IF(N(AH24)=0,"",(N(R24))/AH24)</f>
        <v>0.525849819652421</v>
      </c>
      <c r="AK24" s="22" t="n">
        <f aca="false">IF(N(AH24)=0,"",(N(G24))/AH24)</f>
        <v>0</v>
      </c>
      <c r="AL24" s="32" t="n">
        <f aca="false">N(J24)+N(K24)+N(L24)+N(M24)+IF(AND(H24&lt;&gt;"",F24&lt;&gt;""),MAX(0,H24-F24),N(G24))+N(P24)+N(R24)</f>
        <v>9.149</v>
      </c>
      <c r="AM24" s="37" t="n">
        <f aca="false">IF(OR(W24="",N(W24)=0),"",AL24/W24)</f>
        <v>1.12533825338253</v>
      </c>
      <c r="AN24" s="37" t="str">
        <f aca="false">IF(OR(W24="",N(W24)=0,E24=""),"",E24/W24)</f>
        <v/>
      </c>
      <c r="AO24" s="22" t="n">
        <f aca="false">IF(OR(W24="",N(W24)=0),"",(N(J24)+N(K24)+N(L24)+N(M24))/W24)</f>
        <v>0.533579335793358</v>
      </c>
      <c r="AP24" s="22" t="n">
        <f aca="false">IF(OR(W24="",N(W24)=0),"",N(R24)/W24)</f>
        <v>0.591758917589176</v>
      </c>
      <c r="AQ24" s="22" t="n">
        <f aca="false">IF(OR(W24="",N(W24)=0),"",(IF(AND(H24&lt;&gt;"",F24&lt;&gt;""),MAX(0,H24-F24),N(G24))+N(P24))/W24)</f>
        <v>0</v>
      </c>
    </row>
    <row r="25" customFormat="false" ht="17.15" hidden="false" customHeight="false" outlineLevel="0" collapsed="false">
      <c r="A25" s="0" t="s">
        <v>1726</v>
      </c>
      <c r="B25" s="0" t="s">
        <v>536</v>
      </c>
      <c r="C25" s="0" t="n">
        <v>2025</v>
      </c>
      <c r="D25" s="0" t="s">
        <v>1721</v>
      </c>
      <c r="E25" s="32" t="n">
        <f aca="false">IF((COUNTIFS(FundRaw!$C$4:$C$260,"xai",FundRaw!$E$4:$E$260,"2025",FundRaw!$F$4:$F$260,"ocf",FundRaw!$O$4:$O$260,1))=0,"",SUMIFS(FundRaw!$G$4:$G$260,FundRaw!$C$4:$C$260,"xai",FundRaw!$E$4:$E$260,"2025",FundRaw!$F$4:$F$260,"ocf",FundRaw!$O$4:$O$260,1))</f>
        <v>6.8</v>
      </c>
      <c r="F25" s="32" t="n">
        <f aca="false">IF((COUNTIFS(FundRaw!$C$4:$C$260,"xai",FundRaw!$E$4:$E$260,"2025",FundRaw!$F$4:$F$260,"capex_cash",FundRaw!$O$4:$O$260,1))=0,"",SUMIFS(FundRaw!$G$4:$G$260,FundRaw!$C$4:$C$260,"xai",FundRaw!$E$4:$E$260,"2025",FundRaw!$F$4:$F$260,"capex_cash",FundRaw!$O$4:$O$260,1))</f>
        <v>20.7</v>
      </c>
      <c r="G25" s="32" t="str">
        <f aca="false">IF((COUNTIFS(FundRaw!$C$4:$C$260,"xai",FundRaw!$E$4:$E$260,"2025",FundRaw!$F$4:$F$260,"fin_lease_new",FundRaw!$O$4:$O$260,1))=0,"",SUMIFS(FundRaw!$G$4:$G$260,FundRaw!$C$4:$C$260,"xai",FundRaw!$E$4:$E$260,"2025",FundRaw!$F$4:$F$260,"fin_lease_new",FundRaw!$O$4:$O$260,1))</f>
        <v/>
      </c>
      <c r="H25" s="32" t="str">
        <f aca="false">IF((COUNTIFS(FundRaw!$C$4:$C$260,"xai",FundRaw!$E$4:$E$260,"2025",FundRaw!$F$4:$F$260,"capex_incl_fl",FundRaw!$O$4:$O$260,1))=0,"",SUMIFS(FundRaw!$G$4:$G$260,FundRaw!$C$4:$C$260,"xai",FundRaw!$E$4:$E$260,"2025",FundRaw!$F$4:$F$260,"capex_incl_fl",FundRaw!$O$4:$O$260,1))</f>
        <v/>
      </c>
      <c r="I25" s="32" t="n">
        <f aca="false">IF((COUNTIFS(FundRaw!$C$4:$C$260,"xai",FundRaw!$E$4:$E$260,"2025",FundRaw!$F$4:$F$260,"fcf",FundRaw!$O$4:$O$260,1))=0,"",SUMIFS(FundRaw!$G$4:$G$260,FundRaw!$C$4:$C$260,"xai",FundRaw!$E$4:$E$260,"2025",FundRaw!$F$4:$F$260,"fcf",FundRaw!$O$4:$O$260,1))</f>
        <v>-13.9</v>
      </c>
      <c r="J25" s="32" t="str">
        <f aca="false">IF((COUNTIFS(FundRaw!$C$4:$C$260,"xai",FundRaw!$E$4:$E$260,"2025",FundRaw!$F$4:$F$260,"bond_issue",FundRaw!$O$4:$O$260,1))=0,"",SUMIFS(FundRaw!$G$4:$G$260,FundRaw!$C$4:$C$260,"xai",FundRaw!$E$4:$E$260,"2025",FundRaw!$F$4:$F$260,"bond_issue",FundRaw!$O$4:$O$260,1))</f>
        <v/>
      </c>
      <c r="K25" s="32" t="str">
        <f aca="false">IF((COUNTIFS(FundRaw!$C$4:$C$260,"xai",FundRaw!$E$4:$E$260,"2025",FundRaw!$F$4:$F$260,"term_loan",FundRaw!$O$4:$O$260,1))=0,"",SUMIFS(FundRaw!$G$4:$G$260,FundRaw!$C$4:$C$260,"xai",FundRaw!$E$4:$E$260,"2025",FundRaw!$F$4:$F$260,"term_loan",FundRaw!$O$4:$O$260,1))</f>
        <v/>
      </c>
      <c r="L25" s="32" t="n">
        <f aca="false">IF((COUNTIFS(FundRaw!$C$4:$C$260,"xai",FundRaw!$E$4:$E$260,"2025",FundRaw!$F$4:$F$260,"gpu_debt",FundRaw!$O$4:$O$260,1))=0,"",SUMIFS(FundRaw!$G$4:$G$260,FundRaw!$C$4:$C$260,"xai",FundRaw!$E$4:$E$260,"2025",FundRaw!$F$4:$F$260,"gpu_debt",FundRaw!$O$4:$O$260,1))</f>
        <v>16</v>
      </c>
      <c r="M25" s="32" t="str">
        <f aca="false">IF((COUNTIFS(FundRaw!$C$4:$C$260,"xai",FundRaw!$E$4:$E$260,"2025",FundRaw!$F$4:$F$260,"private_credit",FundRaw!$O$4:$O$260,1))=0,"",SUMIFS(FundRaw!$G$4:$G$260,FundRaw!$C$4:$C$260,"xai",FundRaw!$E$4:$E$260,"2025",FundRaw!$F$4:$F$260,"private_credit",FundRaw!$O$4:$O$260,1))</f>
        <v/>
      </c>
      <c r="N25" s="32" t="str">
        <f aca="false">IF((COUNTIFS(FundRaw!$C$4:$C$260,"xai",FundRaw!$E$4:$E$260,"2025",FundRaw!$F$4:$F$260,"net_debt_change",FundRaw!$O$4:$O$260,1))=0,"",SUMIFS(FundRaw!$G$4:$G$260,FundRaw!$C$4:$C$260,"xai",FundRaw!$E$4:$E$260,"2025",FundRaw!$F$4:$F$260,"net_debt_change",FundRaw!$O$4:$O$260,1))</f>
        <v/>
      </c>
      <c r="O25" s="32" t="str">
        <f aca="false">IF((COUNTIFS(FundRaw!$C$4:$C$260,"xai",FundRaw!$E$4:$E$260,"2025",FundRaw!$F$4:$F$260,"lease_not_commenced",FundRaw!$O$4:$O$260,1))=0,"",SUMIFS(FundRaw!$G$4:$G$260,FundRaw!$C$4:$C$260,"xai",FundRaw!$E$4:$E$260,"2025",FundRaw!$F$4:$F$260,"lease_not_commenced",FundRaw!$O$4:$O$260,1))</f>
        <v/>
      </c>
      <c r="P25" s="32" t="str">
        <f aca="false">IF((COUNTIFS(FundRaw!$C$4:$C$260,"xai",FundRaw!$E$4:$E$260,"2025",FundRaw!$F$4:$F$260,"jv_offbalance",FundRaw!$O$4:$O$260,1))=0,"",SUMIFS(FundRaw!$G$4:$G$260,FundRaw!$C$4:$C$260,"xai",FundRaw!$E$4:$E$260,"2025",FundRaw!$F$4:$F$260,"jv_offbalance",FundRaw!$O$4:$O$260,1))</f>
        <v/>
      </c>
      <c r="Q25" s="32" t="str">
        <f aca="false">IF((COUNTIFS(FundRaw!$C$4:$C$260,"xai",FundRaw!$E$4:$E$260,"2025",FundRaw!$F$4:$F$260,"jv_exposure",FundRaw!$O$4:$O$260,1))=0,"",SUMIFS(FundRaw!$G$4:$G$260,FundRaw!$C$4:$C$260,"xai",FundRaw!$E$4:$E$260,"2025",FundRaw!$F$4:$F$260,"jv_exposure",FundRaw!$O$4:$O$260,1))</f>
        <v/>
      </c>
      <c r="R25" s="32" t="str">
        <f aca="false">IF((COUNTIFS(FundRaw!$C$4:$C$260,"xai",FundRaw!$E$4:$E$260,"2025",FundRaw!$F$4:$F$260,"equity_round",FundRaw!$O$4:$O$260,1))=0,"",SUMIFS(FundRaw!$G$4:$G$260,FundRaw!$C$4:$C$260,"xai",FundRaw!$E$4:$E$260,"2025",FundRaw!$F$4:$F$260,"equity_round",FundRaw!$O$4:$O$260,1))</f>
        <v/>
      </c>
      <c r="S25" s="32" t="str">
        <f aca="false">IF((COUNTIFS(FundRaw!$C$4:$C$260,"xai",FundRaw!$E$4:$E$260,"2025",FundRaw!$F$4:$F$260,"vendor_financing",FundRaw!$O$4:$O$260,1))=0,"",SUMIFS(FundRaw!$G$4:$G$260,FundRaw!$C$4:$C$260,"xai",FundRaw!$E$4:$E$260,"2025",FundRaw!$F$4:$F$260,"vendor_financing",FundRaw!$O$4:$O$260,1))</f>
        <v/>
      </c>
      <c r="T25" s="32" t="str">
        <f aca="false">IF((COUNTIFS(FundRaw!$C$4:$C$260,"xai",FundRaw!$E$4:$E$260,"2025",FundRaw!$F$4:$F$260,"buyback_div",FundRaw!$O$4:$O$260,1))=0,"",SUMIFS(FundRaw!$G$4:$G$260,FundRaw!$C$4:$C$260,"xai",FundRaw!$E$4:$E$260,"2025",FundRaw!$F$4:$F$260,"buyback_div",FundRaw!$O$4:$O$260,1))</f>
        <v/>
      </c>
      <c r="U25" s="32" t="str">
        <f aca="false">IF((COUNTIFS(FundRaw!$C$4:$C$260,"xai",FundRaw!$E$4:$E$260,"2025",FundRaw!$F$4:$F$260,"gpu_debt_talks",FundRaw!$O$4:$O$260,1))=0,"",SUMIFS(FundRaw!$G$4:$G$260,FundRaw!$C$4:$C$260,"xai",FundRaw!$E$4:$E$260,"2025",FundRaw!$F$4:$F$260,"gpu_debt_talks",FundRaw!$O$4:$O$260,1))</f>
        <v/>
      </c>
      <c r="V25" s="32" t="str">
        <f aca="false">IF((COUNTIFS(FundRaw!$C$4:$C$260,"xai",FundRaw!$E$4:$E$260,"2025",FundRaw!$F$4:$F$260,"bridge_refi",FundRaw!$O$4:$O$260,1))=0,"",SUMIFS(FundRaw!$G$4:$G$260,FundRaw!$C$4:$C$260,"xai",FundRaw!$E$4:$E$260,"2025",FundRaw!$F$4:$F$260,"bridge_refi",FundRaw!$O$4:$O$260,1))</f>
        <v/>
      </c>
      <c r="W25" s="32" t="n">
        <f aca="false">IF(H25&lt;&gt;"",H25,IF(F25&lt;&gt;"",F25+N(G25),""))</f>
        <v>20.7</v>
      </c>
      <c r="X25" s="32" t="n">
        <f aca="false">IF(OR(W25="",E25=""),"",MAX(0,MIN(N(E25),W25-N(Y25))))</f>
        <v>6.8</v>
      </c>
      <c r="Y25" s="32" t="n">
        <f aca="false">IF(W25="","",IF(AND(H25&lt;&gt;"",F25&lt;&gt;""),MAX(0,H25-F25),N(G25)))</f>
        <v>0</v>
      </c>
      <c r="Z25" s="32" t="n">
        <f aca="false">IF(W25="","",MAX(0,MIN(N(R25),W25-N(X25)-N(Y25))))</f>
        <v>0</v>
      </c>
      <c r="AA25" s="32" t="n">
        <f aca="false">IF(W25="","",MAX(0,MIN(N(J25)+N(K25)+N(L25)+N(M25),W25-N(X25)-N(Y25)-N(Z25))))</f>
        <v>13.9</v>
      </c>
      <c r="AB25" s="32" t="n">
        <f aca="false">IF(W25="","",W25-N(X25)-N(Y25)-N(Z25)-N(AA25))</f>
        <v>0</v>
      </c>
      <c r="AC25" s="37" t="n">
        <f aca="false">IF(OR(W25="",N(W25)=0,X25=""),"",X25/W25)</f>
        <v>0.328502415458937</v>
      </c>
      <c r="AD25" s="37" t="n">
        <f aca="false">IF(OR(W25="",N(W25)=0,Y25=""),"",Y25/W25)</f>
        <v>0</v>
      </c>
      <c r="AE25" s="37" t="n">
        <f aca="false">IF(OR(W25="",N(W25)=0,Z25=""),"",Z25/W25)</f>
        <v>0</v>
      </c>
      <c r="AF25" s="37" t="n">
        <f aca="false">IF(OR(W25="",N(W25)=0,AA25=""),"",AA25/W25)</f>
        <v>0.671497584541063</v>
      </c>
      <c r="AG25" s="37" t="n">
        <f aca="false">IF(OR(W25="",N(W25)=0,AB25=""),"",AB25/W25)</f>
        <v>0</v>
      </c>
      <c r="AH25" s="32" t="n">
        <f aca="false">N(J25)+N(K25)+N(L25)+N(M25)+N(R25)+N(G25)</f>
        <v>16</v>
      </c>
      <c r="AI25" s="22" t="n">
        <f aca="false">IF(N(AH25)=0,"",(N(J25)+N(K25)+N(L25)+N(M25))/AH25)</f>
        <v>1</v>
      </c>
      <c r="AJ25" s="22" t="n">
        <f aca="false">IF(N(AH25)=0,"",(N(R25))/AH25)</f>
        <v>0</v>
      </c>
      <c r="AK25" s="22" t="n">
        <f aca="false">IF(N(AH25)=0,"",(N(G25))/AH25)</f>
        <v>0</v>
      </c>
      <c r="AL25" s="32" t="n">
        <f aca="false">N(J25)+N(K25)+N(L25)+N(M25)+IF(AND(H25&lt;&gt;"",F25&lt;&gt;""),MAX(0,H25-F25),N(G25))+N(P25)+N(R25)</f>
        <v>16</v>
      </c>
      <c r="AM25" s="37" t="n">
        <f aca="false">IF(OR(W25="",N(W25)=0),"",AL25/W25)</f>
        <v>0.772946859903382</v>
      </c>
      <c r="AN25" s="37" t="n">
        <f aca="false">IF(OR(W25="",N(W25)=0,E25=""),"",E25/W25)</f>
        <v>0.328502415458937</v>
      </c>
      <c r="AO25" s="22" t="n">
        <f aca="false">IF(OR(W25="",N(W25)=0),"",(N(J25)+N(K25)+N(L25)+N(M25))/W25)</f>
        <v>0.772946859903382</v>
      </c>
      <c r="AP25" s="22" t="n">
        <f aca="false">IF(OR(W25="",N(W25)=0),"",N(R25)/W25)</f>
        <v>0</v>
      </c>
      <c r="AQ25" s="22" t="n">
        <f aca="false">IF(OR(W25="",N(W25)=0),"",(IF(AND(H25&lt;&gt;"",F25&lt;&gt;""),MAX(0,H25-F25),N(G25))+N(P25))/W25)</f>
        <v>0</v>
      </c>
    </row>
    <row r="26" customFormat="false" ht="17.15" hidden="false" customHeight="false" outlineLevel="0" collapsed="false">
      <c r="A26" s="0" t="s">
        <v>1726</v>
      </c>
      <c r="B26" s="0" t="s">
        <v>536</v>
      </c>
      <c r="C26" s="0" t="n">
        <v>2026</v>
      </c>
      <c r="D26" s="0" t="s">
        <v>1725</v>
      </c>
      <c r="E26" s="32" t="n">
        <f aca="false">IF((COUNTIFS(FundRaw!$C$4:$C$260,"xai",FundRaw!$E$4:$E$260,"2026",FundRaw!$F$4:$F$260,"ocf",FundRaw!$O$4:$O$260,1))=0,"",SUMIFS(FundRaw!$G$4:$G$260,FundRaw!$C$4:$C$260,"xai",FundRaw!$E$4:$E$260,"2026",FundRaw!$F$4:$F$260,"ocf",FundRaw!$O$4:$O$260,1))</f>
        <v>3.47</v>
      </c>
      <c r="F26" s="32" t="n">
        <f aca="false">IF((COUNTIFS(FundRaw!$C$4:$C$260,"xai",FundRaw!$E$4:$E$260,"2026",FundRaw!$F$4:$F$260,"capex_cash",FundRaw!$O$4:$O$260,1))=0,"",SUMIFS(FundRaw!$G$4:$G$260,FundRaw!$C$4:$C$260,"xai",FundRaw!$E$4:$E$260,"2026",FundRaw!$F$4:$F$260,"capex_cash",FundRaw!$O$4:$O$260,1))</f>
        <v>28.5</v>
      </c>
      <c r="G26" s="32" t="str">
        <f aca="false">IF((COUNTIFS(FundRaw!$C$4:$C$260,"xai",FundRaw!$E$4:$E$260,"2026",FundRaw!$F$4:$F$260,"fin_lease_new",FundRaw!$O$4:$O$260,1))=0,"",SUMIFS(FundRaw!$G$4:$G$260,FundRaw!$C$4:$C$260,"xai",FundRaw!$E$4:$E$260,"2026",FundRaw!$F$4:$F$260,"fin_lease_new",FundRaw!$O$4:$O$260,1))</f>
        <v/>
      </c>
      <c r="H26" s="32" t="str">
        <f aca="false">IF((COUNTIFS(FundRaw!$C$4:$C$260,"xai",FundRaw!$E$4:$E$260,"2026",FundRaw!$F$4:$F$260,"capex_incl_fl",FundRaw!$O$4:$O$260,1))=0,"",SUMIFS(FundRaw!$G$4:$G$260,FundRaw!$C$4:$C$260,"xai",FundRaw!$E$4:$E$260,"2026",FundRaw!$F$4:$F$260,"capex_incl_fl",FundRaw!$O$4:$O$260,1))</f>
        <v/>
      </c>
      <c r="I26" s="32" t="str">
        <f aca="false">IF((COUNTIFS(FundRaw!$C$4:$C$260,"xai",FundRaw!$E$4:$E$260,"2026",FundRaw!$F$4:$F$260,"fcf",FundRaw!$O$4:$O$260,1))=0,"",SUMIFS(FundRaw!$G$4:$G$260,FundRaw!$C$4:$C$260,"xai",FundRaw!$E$4:$E$260,"2026",FundRaw!$F$4:$F$260,"fcf",FundRaw!$O$4:$O$260,1))</f>
        <v/>
      </c>
      <c r="J26" s="32" t="n">
        <f aca="false">IF((COUNTIFS(FundRaw!$C$4:$C$260,"xai",FundRaw!$E$4:$E$260,"2026",FundRaw!$F$4:$F$260,"bond_issue",FundRaw!$O$4:$O$260,1))=0,"",SUMIFS(FundRaw!$G$4:$G$260,FundRaw!$C$4:$C$260,"xai",FundRaw!$E$4:$E$260,"2026",FundRaw!$F$4:$F$260,"bond_issue",FundRaw!$O$4:$O$260,1))</f>
        <v>25</v>
      </c>
      <c r="K26" s="32" t="str">
        <f aca="false">IF((COUNTIFS(FundRaw!$C$4:$C$260,"xai",FundRaw!$E$4:$E$260,"2026",FundRaw!$F$4:$F$260,"term_loan",FundRaw!$O$4:$O$260,1))=0,"",SUMIFS(FundRaw!$G$4:$G$260,FundRaw!$C$4:$C$260,"xai",FundRaw!$E$4:$E$260,"2026",FundRaw!$F$4:$F$260,"term_loan",FundRaw!$O$4:$O$260,1))</f>
        <v/>
      </c>
      <c r="L26" s="32" t="str">
        <f aca="false">IF((COUNTIFS(FundRaw!$C$4:$C$260,"xai",FundRaw!$E$4:$E$260,"2026",FundRaw!$F$4:$F$260,"gpu_debt",FundRaw!$O$4:$O$260,1))=0,"",SUMIFS(FundRaw!$G$4:$G$260,FundRaw!$C$4:$C$260,"xai",FundRaw!$E$4:$E$260,"2026",FundRaw!$F$4:$F$260,"gpu_debt",FundRaw!$O$4:$O$260,1))</f>
        <v/>
      </c>
      <c r="M26" s="32" t="str">
        <f aca="false">IF((COUNTIFS(FundRaw!$C$4:$C$260,"xai",FundRaw!$E$4:$E$260,"2026",FundRaw!$F$4:$F$260,"private_credit",FundRaw!$O$4:$O$260,1))=0,"",SUMIFS(FundRaw!$G$4:$G$260,FundRaw!$C$4:$C$260,"xai",FundRaw!$E$4:$E$260,"2026",FundRaw!$F$4:$F$260,"private_credit",FundRaw!$O$4:$O$260,1))</f>
        <v/>
      </c>
      <c r="N26" s="32" t="str">
        <f aca="false">IF((COUNTIFS(FundRaw!$C$4:$C$260,"xai",FundRaw!$E$4:$E$260,"2026",FundRaw!$F$4:$F$260,"net_debt_change",FundRaw!$O$4:$O$260,1))=0,"",SUMIFS(FundRaw!$G$4:$G$260,FundRaw!$C$4:$C$260,"xai",FundRaw!$E$4:$E$260,"2026",FundRaw!$F$4:$F$260,"net_debt_change",FundRaw!$O$4:$O$260,1))</f>
        <v/>
      </c>
      <c r="O26" s="32" t="str">
        <f aca="false">IF((COUNTIFS(FundRaw!$C$4:$C$260,"xai",FundRaw!$E$4:$E$260,"2026",FundRaw!$F$4:$F$260,"lease_not_commenced",FundRaw!$O$4:$O$260,1))=0,"",SUMIFS(FundRaw!$G$4:$G$260,FundRaw!$C$4:$C$260,"xai",FundRaw!$E$4:$E$260,"2026",FundRaw!$F$4:$F$260,"lease_not_commenced",FundRaw!$O$4:$O$260,1))</f>
        <v/>
      </c>
      <c r="P26" s="32" t="str">
        <f aca="false">IF((COUNTIFS(FundRaw!$C$4:$C$260,"xai",FundRaw!$E$4:$E$260,"2026",FundRaw!$F$4:$F$260,"jv_offbalance",FundRaw!$O$4:$O$260,1))=0,"",SUMIFS(FundRaw!$G$4:$G$260,FundRaw!$C$4:$C$260,"xai",FundRaw!$E$4:$E$260,"2026",FundRaw!$F$4:$F$260,"jv_offbalance",FundRaw!$O$4:$O$260,1))</f>
        <v/>
      </c>
      <c r="Q26" s="32" t="str">
        <f aca="false">IF((COUNTIFS(FundRaw!$C$4:$C$260,"xai",FundRaw!$E$4:$E$260,"2026",FundRaw!$F$4:$F$260,"jv_exposure",FundRaw!$O$4:$O$260,1))=0,"",SUMIFS(FundRaw!$G$4:$G$260,FundRaw!$C$4:$C$260,"xai",FundRaw!$E$4:$E$260,"2026",FundRaw!$F$4:$F$260,"jv_exposure",FundRaw!$O$4:$O$260,1))</f>
        <v/>
      </c>
      <c r="R26" s="32" t="n">
        <f aca="false">IF((COUNTIFS(FundRaw!$C$4:$C$260,"xai",FundRaw!$E$4:$E$260,"2026",FundRaw!$F$4:$F$260,"equity_round",FundRaw!$O$4:$O$260,1))=0,"",SUMIFS(FundRaw!$G$4:$G$260,FundRaw!$C$4:$C$260,"xai",FundRaw!$E$4:$E$260,"2026",FundRaw!$F$4:$F$260,"equity_round",FundRaw!$O$4:$O$260,1))</f>
        <v>75</v>
      </c>
      <c r="S26" s="32" t="str">
        <f aca="false">IF((COUNTIFS(FundRaw!$C$4:$C$260,"xai",FundRaw!$E$4:$E$260,"2026",FundRaw!$F$4:$F$260,"vendor_financing",FundRaw!$O$4:$O$260,1))=0,"",SUMIFS(FundRaw!$G$4:$G$260,FundRaw!$C$4:$C$260,"xai",FundRaw!$E$4:$E$260,"2026",FundRaw!$F$4:$F$260,"vendor_financing",FundRaw!$O$4:$O$260,1))</f>
        <v/>
      </c>
      <c r="T26" s="32" t="str">
        <f aca="false">IF((COUNTIFS(FundRaw!$C$4:$C$260,"xai",FundRaw!$E$4:$E$260,"2026",FundRaw!$F$4:$F$260,"buyback_div",FundRaw!$O$4:$O$260,1))=0,"",SUMIFS(FundRaw!$G$4:$G$260,FundRaw!$C$4:$C$260,"xai",FundRaw!$E$4:$E$260,"2026",FundRaw!$F$4:$F$260,"buyback_div",FundRaw!$O$4:$O$260,1))</f>
        <v/>
      </c>
      <c r="U26" s="32" t="str">
        <f aca="false">IF((COUNTIFS(FundRaw!$C$4:$C$260,"xai",FundRaw!$E$4:$E$260,"2026",FundRaw!$F$4:$F$260,"gpu_debt_talks",FundRaw!$O$4:$O$260,1))=0,"",SUMIFS(FundRaw!$G$4:$G$260,FundRaw!$C$4:$C$260,"xai",FundRaw!$E$4:$E$260,"2026",FundRaw!$F$4:$F$260,"gpu_debt_talks",FundRaw!$O$4:$O$260,1))</f>
        <v/>
      </c>
      <c r="V26" s="32" t="n">
        <f aca="false">IF((COUNTIFS(FundRaw!$C$4:$C$260,"xai",FundRaw!$E$4:$E$260,"2026",FundRaw!$F$4:$F$260,"bridge_refi",FundRaw!$O$4:$O$260,1))=0,"",SUMIFS(FundRaw!$G$4:$G$260,FundRaw!$C$4:$C$260,"xai",FundRaw!$E$4:$E$260,"2026",FundRaw!$F$4:$F$260,"bridge_refi",FundRaw!$O$4:$O$260,1))</f>
        <v>20</v>
      </c>
      <c r="W26" s="32" t="n">
        <f aca="false">IF(H26&lt;&gt;"",H26,IF(F26&lt;&gt;"",F26+N(G26),""))</f>
        <v>28.5</v>
      </c>
      <c r="X26" s="32" t="n">
        <f aca="false">IF(OR(W26="",E26=""),"",MAX(0,MIN(N(E26),W26-N(Y26))))</f>
        <v>3.47</v>
      </c>
      <c r="Y26" s="32" t="n">
        <f aca="false">IF(W26="","",IF(AND(H26&lt;&gt;"",F26&lt;&gt;""),MAX(0,H26-F26),N(G26)))</f>
        <v>0</v>
      </c>
      <c r="Z26" s="32" t="n">
        <f aca="false">IF(W26="","",MAX(0,MIN(N(R26),W26-N(X26)-N(Y26))))</f>
        <v>25.03</v>
      </c>
      <c r="AA26" s="32" t="n">
        <f aca="false">IF(W26="","",MAX(0,MIN(N(J26)+N(K26)+N(L26)+N(M26),W26-N(X26)-N(Y26)-N(Z26))))</f>
        <v>0</v>
      </c>
      <c r="AB26" s="32" t="n">
        <f aca="false">IF(W26="","",W26-N(X26)-N(Y26)-N(Z26)-N(AA26))</f>
        <v>0</v>
      </c>
      <c r="AC26" s="37" t="n">
        <f aca="false">IF(OR(W26="",N(W26)=0,X26=""),"",X26/W26)</f>
        <v>0.121754385964912</v>
      </c>
      <c r="AD26" s="37" t="n">
        <f aca="false">IF(OR(W26="",N(W26)=0,Y26=""),"",Y26/W26)</f>
        <v>0</v>
      </c>
      <c r="AE26" s="37" t="n">
        <f aca="false">IF(OR(W26="",N(W26)=0,Z26=""),"",Z26/W26)</f>
        <v>0.878245614035088</v>
      </c>
      <c r="AF26" s="37" t="n">
        <f aca="false">IF(OR(W26="",N(W26)=0,AA26=""),"",AA26/W26)</f>
        <v>0</v>
      </c>
      <c r="AG26" s="37" t="n">
        <f aca="false">IF(OR(W26="",N(W26)=0,AB26=""),"",AB26/W26)</f>
        <v>0</v>
      </c>
      <c r="AH26" s="32" t="n">
        <f aca="false">N(J26)+N(K26)+N(L26)+N(M26)+N(R26)+N(G26)</f>
        <v>100</v>
      </c>
      <c r="AI26" s="22" t="n">
        <f aca="false">IF(N(AH26)=0,"",(N(J26)+N(K26)+N(L26)+N(M26))/AH26)</f>
        <v>0.25</v>
      </c>
      <c r="AJ26" s="22" t="n">
        <f aca="false">IF(N(AH26)=0,"",(N(R26))/AH26)</f>
        <v>0.75</v>
      </c>
      <c r="AK26" s="22" t="n">
        <f aca="false">IF(N(AH26)=0,"",(N(G26))/AH26)</f>
        <v>0</v>
      </c>
      <c r="AL26" s="32" t="n">
        <f aca="false">N(J26)+N(K26)+N(L26)+N(M26)+IF(AND(H26&lt;&gt;"",F26&lt;&gt;""),MAX(0,H26-F26),N(G26))+N(P26)+N(R26)</f>
        <v>100</v>
      </c>
      <c r="AM26" s="37" t="n">
        <f aca="false">IF(OR(W26="",N(W26)=0),"",AL26/W26)</f>
        <v>3.50877192982456</v>
      </c>
      <c r="AN26" s="37" t="n">
        <f aca="false">IF(OR(W26="",N(W26)=0,E26=""),"",E26/W26)</f>
        <v>0.121754385964912</v>
      </c>
      <c r="AO26" s="22" t="n">
        <f aca="false">IF(OR(W26="",N(W26)=0),"",(N(J26)+N(K26)+N(L26)+N(M26))/W26)</f>
        <v>0.87719298245614</v>
      </c>
      <c r="AP26" s="22" t="n">
        <f aca="false">IF(OR(W26="",N(W26)=0),"",N(R26)/W26)</f>
        <v>2.63157894736842</v>
      </c>
      <c r="AQ26" s="22" t="n">
        <f aca="false">IF(OR(W26="",N(W26)=0),"",(IF(AND(H26&lt;&gt;"",F26&lt;&gt;""),MAX(0,H26-F26),N(G26))+N(P26))/W26)</f>
        <v>0</v>
      </c>
    </row>
    <row r="27" customFormat="false" ht="15" hidden="false" customHeight="false" outlineLevel="0" collapsed="false">
      <c r="A27" s="0" t="s">
        <v>1323</v>
      </c>
      <c r="B27" s="0" t="s">
        <v>532</v>
      </c>
      <c r="C27" s="0" t="n">
        <v>2025</v>
      </c>
      <c r="D27" s="0" t="s">
        <v>1721</v>
      </c>
      <c r="E27" s="32" t="str">
        <f aca="false">IF((COUNTIFS(FundRaw!$C$4:$C$260,"oai",FundRaw!$E$4:$E$260,"2025",FundRaw!$F$4:$F$260,"ocf",FundRaw!$O$4:$O$260,1))=0,"",SUMIFS(FundRaw!$G$4:$G$260,FundRaw!$C$4:$C$260,"oai",FundRaw!$E$4:$E$260,"2025",FundRaw!$F$4:$F$260,"ocf",FundRaw!$O$4:$O$260,1))</f>
        <v/>
      </c>
      <c r="F27" s="32" t="str">
        <f aca="false">IF((COUNTIFS(FundRaw!$C$4:$C$260,"oai",FundRaw!$E$4:$E$260,"2025",FundRaw!$F$4:$F$260,"capex_cash",FundRaw!$O$4:$O$260,1))=0,"",SUMIFS(FundRaw!$G$4:$G$260,FundRaw!$C$4:$C$260,"oai",FundRaw!$E$4:$E$260,"2025",FundRaw!$F$4:$F$260,"capex_cash",FundRaw!$O$4:$O$260,1))</f>
        <v/>
      </c>
      <c r="G27" s="32" t="str">
        <f aca="false">IF((COUNTIFS(FundRaw!$C$4:$C$260,"oai",FundRaw!$E$4:$E$260,"2025",FundRaw!$F$4:$F$260,"fin_lease_new",FundRaw!$O$4:$O$260,1))=0,"",SUMIFS(FundRaw!$G$4:$G$260,FundRaw!$C$4:$C$260,"oai",FundRaw!$E$4:$E$260,"2025",FundRaw!$F$4:$F$260,"fin_lease_new",FundRaw!$O$4:$O$260,1))</f>
        <v/>
      </c>
      <c r="H27" s="32" t="str">
        <f aca="false">IF((COUNTIFS(FundRaw!$C$4:$C$260,"oai",FundRaw!$E$4:$E$260,"2025",FundRaw!$F$4:$F$260,"capex_incl_fl",FundRaw!$O$4:$O$260,1))=0,"",SUMIFS(FundRaw!$G$4:$G$260,FundRaw!$C$4:$C$260,"oai",FundRaw!$E$4:$E$260,"2025",FundRaw!$F$4:$F$260,"capex_incl_fl",FundRaw!$O$4:$O$260,1))</f>
        <v/>
      </c>
      <c r="I27" s="32" t="n">
        <f aca="false">IF((COUNTIFS(FundRaw!$C$4:$C$260,"oai",FundRaw!$E$4:$E$260,"2025",FundRaw!$F$4:$F$260,"fcf",FundRaw!$O$4:$O$260,1))=0,"",SUMIFS(FundRaw!$G$4:$G$260,FundRaw!$C$4:$C$260,"oai",FundRaw!$E$4:$E$260,"2025",FundRaw!$F$4:$F$260,"fcf",FundRaw!$O$4:$O$260,1))</f>
        <v>-8</v>
      </c>
      <c r="J27" s="32" t="str">
        <f aca="false">IF((COUNTIFS(FundRaw!$C$4:$C$260,"oai",FundRaw!$E$4:$E$260,"2025",FundRaw!$F$4:$F$260,"bond_issue",FundRaw!$O$4:$O$260,1))=0,"",SUMIFS(FundRaw!$G$4:$G$260,FundRaw!$C$4:$C$260,"oai",FundRaw!$E$4:$E$260,"2025",FundRaw!$F$4:$F$260,"bond_issue",FundRaw!$O$4:$O$260,1))</f>
        <v/>
      </c>
      <c r="K27" s="32" t="str">
        <f aca="false">IF((COUNTIFS(FundRaw!$C$4:$C$260,"oai",FundRaw!$E$4:$E$260,"2025",FundRaw!$F$4:$F$260,"term_loan",FundRaw!$O$4:$O$260,1))=0,"",SUMIFS(FundRaw!$G$4:$G$260,FundRaw!$C$4:$C$260,"oai",FundRaw!$E$4:$E$260,"2025",FundRaw!$F$4:$F$260,"term_loan",FundRaw!$O$4:$O$260,1))</f>
        <v/>
      </c>
      <c r="L27" s="32" t="str">
        <f aca="false">IF((COUNTIFS(FundRaw!$C$4:$C$260,"oai",FundRaw!$E$4:$E$260,"2025",FundRaw!$F$4:$F$260,"gpu_debt",FundRaw!$O$4:$O$260,1))=0,"",SUMIFS(FundRaw!$G$4:$G$260,FundRaw!$C$4:$C$260,"oai",FundRaw!$E$4:$E$260,"2025",FundRaw!$F$4:$F$260,"gpu_debt",FundRaw!$O$4:$O$260,1))</f>
        <v/>
      </c>
      <c r="M27" s="32" t="str">
        <f aca="false">IF((COUNTIFS(FundRaw!$C$4:$C$260,"oai",FundRaw!$E$4:$E$260,"2025",FundRaw!$F$4:$F$260,"private_credit",FundRaw!$O$4:$O$260,1))=0,"",SUMIFS(FundRaw!$G$4:$G$260,FundRaw!$C$4:$C$260,"oai",FundRaw!$E$4:$E$260,"2025",FundRaw!$F$4:$F$260,"private_credit",FundRaw!$O$4:$O$260,1))</f>
        <v/>
      </c>
      <c r="N27" s="32" t="str">
        <f aca="false">IF((COUNTIFS(FundRaw!$C$4:$C$260,"oai",FundRaw!$E$4:$E$260,"2025",FundRaw!$F$4:$F$260,"net_debt_change",FundRaw!$O$4:$O$260,1))=0,"",SUMIFS(FundRaw!$G$4:$G$260,FundRaw!$C$4:$C$260,"oai",FundRaw!$E$4:$E$260,"2025",FundRaw!$F$4:$F$260,"net_debt_change",FundRaw!$O$4:$O$260,1))</f>
        <v/>
      </c>
      <c r="O27" s="32" t="str">
        <f aca="false">IF((COUNTIFS(FundRaw!$C$4:$C$260,"oai",FundRaw!$E$4:$E$260,"2025",FundRaw!$F$4:$F$260,"lease_not_commenced",FundRaw!$O$4:$O$260,1))=0,"",SUMIFS(FundRaw!$G$4:$G$260,FundRaw!$C$4:$C$260,"oai",FundRaw!$E$4:$E$260,"2025",FundRaw!$F$4:$F$260,"lease_not_commenced",FundRaw!$O$4:$O$260,1))</f>
        <v/>
      </c>
      <c r="P27" s="32" t="str">
        <f aca="false">IF((COUNTIFS(FundRaw!$C$4:$C$260,"oai",FundRaw!$E$4:$E$260,"2025",FundRaw!$F$4:$F$260,"jv_offbalance",FundRaw!$O$4:$O$260,1))=0,"",SUMIFS(FundRaw!$G$4:$G$260,FundRaw!$C$4:$C$260,"oai",FundRaw!$E$4:$E$260,"2025",FundRaw!$F$4:$F$260,"jv_offbalance",FundRaw!$O$4:$O$260,1))</f>
        <v/>
      </c>
      <c r="Q27" s="32" t="str">
        <f aca="false">IF((COUNTIFS(FundRaw!$C$4:$C$260,"oai",FundRaw!$E$4:$E$260,"2025",FundRaw!$F$4:$F$260,"jv_exposure",FundRaw!$O$4:$O$260,1))=0,"",SUMIFS(FundRaw!$G$4:$G$260,FundRaw!$C$4:$C$260,"oai",FundRaw!$E$4:$E$260,"2025",FundRaw!$F$4:$F$260,"jv_exposure",FundRaw!$O$4:$O$260,1))</f>
        <v/>
      </c>
      <c r="R27" s="32" t="str">
        <f aca="false">IF((COUNTIFS(FundRaw!$C$4:$C$260,"oai",FundRaw!$E$4:$E$260,"2025",FundRaw!$F$4:$F$260,"equity_round",FundRaw!$O$4:$O$260,1))=0,"",SUMIFS(FundRaw!$G$4:$G$260,FundRaw!$C$4:$C$260,"oai",FundRaw!$E$4:$E$260,"2025",FundRaw!$F$4:$F$260,"equity_round",FundRaw!$O$4:$O$260,1))</f>
        <v/>
      </c>
      <c r="S27" s="32" t="str">
        <f aca="false">IF((COUNTIFS(FundRaw!$C$4:$C$260,"oai",FundRaw!$E$4:$E$260,"2025",FundRaw!$F$4:$F$260,"vendor_financing",FundRaw!$O$4:$O$260,1))=0,"",SUMIFS(FundRaw!$G$4:$G$260,FundRaw!$C$4:$C$260,"oai",FundRaw!$E$4:$E$260,"2025",FundRaw!$F$4:$F$260,"vendor_financing",FundRaw!$O$4:$O$260,1))</f>
        <v/>
      </c>
      <c r="T27" s="32" t="str">
        <f aca="false">IF((COUNTIFS(FundRaw!$C$4:$C$260,"oai",FundRaw!$E$4:$E$260,"2025",FundRaw!$F$4:$F$260,"buyback_div",FundRaw!$O$4:$O$260,1))=0,"",SUMIFS(FundRaw!$G$4:$G$260,FundRaw!$C$4:$C$260,"oai",FundRaw!$E$4:$E$260,"2025",FundRaw!$F$4:$F$260,"buyback_div",FundRaw!$O$4:$O$260,1))</f>
        <v/>
      </c>
      <c r="U27" s="32" t="str">
        <f aca="false">IF((COUNTIFS(FundRaw!$C$4:$C$260,"oai",FundRaw!$E$4:$E$260,"2025",FundRaw!$F$4:$F$260,"gpu_debt_talks",FundRaw!$O$4:$O$260,1))=0,"",SUMIFS(FundRaw!$G$4:$G$260,FundRaw!$C$4:$C$260,"oai",FundRaw!$E$4:$E$260,"2025",FundRaw!$F$4:$F$260,"gpu_debt_talks",FundRaw!$O$4:$O$260,1))</f>
        <v/>
      </c>
      <c r="V27" s="32" t="str">
        <f aca="false">IF((COUNTIFS(FundRaw!$C$4:$C$260,"oai",FundRaw!$E$4:$E$260,"2025",FundRaw!$F$4:$F$260,"bridge_refi",FundRaw!$O$4:$O$260,1))=0,"",SUMIFS(FundRaw!$G$4:$G$260,FundRaw!$C$4:$C$260,"oai",FundRaw!$E$4:$E$260,"2025",FundRaw!$F$4:$F$260,"bridge_refi",FundRaw!$O$4:$O$260,1))</f>
        <v/>
      </c>
      <c r="W27" s="32" t="str">
        <f aca="false">IF(H27&lt;&gt;"",H27,IF(F27&lt;&gt;"",F27+N(G27),""))</f>
        <v/>
      </c>
      <c r="X27" s="32" t="str">
        <f aca="false">IF(OR(W27="",E27=""),"",MAX(0,MIN(N(E27),W27-N(Y27))))</f>
        <v/>
      </c>
      <c r="Y27" s="32" t="str">
        <f aca="false">IF(W27="","",IF(AND(H27&lt;&gt;"",F27&lt;&gt;""),MAX(0,H27-F27),N(G27)))</f>
        <v/>
      </c>
      <c r="Z27" s="32" t="str">
        <f aca="false">IF(W27="","",MAX(0,MIN(N(R27),W27-N(X27)-N(Y27))))</f>
        <v/>
      </c>
      <c r="AA27" s="32" t="str">
        <f aca="false">IF(W27="","",MAX(0,MIN(N(J27)+N(K27)+N(L27)+N(M27),W27-N(X27)-N(Y27)-N(Z27))))</f>
        <v/>
      </c>
      <c r="AB27" s="32" t="str">
        <f aca="false">IF(W27="","",W27-N(X27)-N(Y27)-N(Z27)-N(AA27))</f>
        <v/>
      </c>
      <c r="AC27" s="37" t="str">
        <f aca="false">IF(OR(W27="",N(W27)=0,X27=""),"",X27/W27)</f>
        <v/>
      </c>
      <c r="AD27" s="37" t="str">
        <f aca="false">IF(OR(W27="",N(W27)=0,Y27=""),"",Y27/W27)</f>
        <v/>
      </c>
      <c r="AE27" s="37" t="str">
        <f aca="false">IF(OR(W27="",N(W27)=0,Z27=""),"",Z27/W27)</f>
        <v/>
      </c>
      <c r="AF27" s="37" t="str">
        <f aca="false">IF(OR(W27="",N(W27)=0,AA27=""),"",AA27/W27)</f>
        <v/>
      </c>
      <c r="AG27" s="37" t="str">
        <f aca="false">IF(OR(W27="",N(W27)=0,AB27=""),"",AB27/W27)</f>
        <v/>
      </c>
      <c r="AH27" s="32" t="n">
        <f aca="false">N(J27)+N(K27)+N(L27)+N(M27)+N(R27)+N(G27)</f>
        <v>0</v>
      </c>
      <c r="AI27" s="22" t="str">
        <f aca="false">IF(N(AH27)=0,"",(N(J27)+N(K27)+N(L27)+N(M27))/AH27)</f>
        <v/>
      </c>
      <c r="AJ27" s="22" t="str">
        <f aca="false">IF(N(AH27)=0,"",(N(R27))/AH27)</f>
        <v/>
      </c>
      <c r="AK27" s="22" t="str">
        <f aca="false">IF(N(AH27)=0,"",(N(G27))/AH27)</f>
        <v/>
      </c>
      <c r="AL27" s="32" t="n">
        <f aca="false">N(J27)+N(K27)+N(L27)+N(M27)+IF(AND(H27&lt;&gt;"",F27&lt;&gt;""),MAX(0,H27-F27),N(G27))+N(P27)+N(R27)</f>
        <v>0</v>
      </c>
      <c r="AM27" s="37" t="str">
        <f aca="false">IF(OR(W27="",N(W27)=0),"",AL27/W27)</f>
        <v/>
      </c>
      <c r="AN27" s="37" t="str">
        <f aca="false">IF(OR(W27="",N(W27)=0,E27=""),"",E27/W27)</f>
        <v/>
      </c>
      <c r="AO27" s="22" t="str">
        <f aca="false">IF(OR(W27="",N(W27)=0),"",(N(J27)+N(K27)+N(L27)+N(M27))/W27)</f>
        <v/>
      </c>
      <c r="AP27" s="22" t="str">
        <f aca="false">IF(OR(W27="",N(W27)=0),"",N(R27)/W27)</f>
        <v/>
      </c>
      <c r="AQ27" s="22" t="str">
        <f aca="false">IF(OR(W27="",N(W27)=0),"",(IF(AND(H27&lt;&gt;"",F27&lt;&gt;""),MAX(0,H27-F27),N(G27))+N(P27))/W27)</f>
        <v/>
      </c>
    </row>
    <row r="28" customFormat="false" ht="17.15" hidden="false" customHeight="false" outlineLevel="0" collapsed="false">
      <c r="A28" s="0" t="s">
        <v>1323</v>
      </c>
      <c r="B28" s="0" t="s">
        <v>532</v>
      </c>
      <c r="C28" s="0" t="n">
        <v>2026</v>
      </c>
      <c r="D28" s="0" t="s">
        <v>1727</v>
      </c>
      <c r="E28" s="32" t="str">
        <f aca="false">IF((COUNTIFS(FundRaw!$C$4:$C$260,"oai",FundRaw!$E$4:$E$260,"2026",FundRaw!$F$4:$F$260,"ocf",FundRaw!$O$4:$O$260,1))=0,"",SUMIFS(FundRaw!$G$4:$G$260,FundRaw!$C$4:$C$260,"oai",FundRaw!$E$4:$E$260,"2026",FundRaw!$F$4:$F$260,"ocf",FundRaw!$O$4:$O$260,1))</f>
        <v/>
      </c>
      <c r="F28" s="32" t="str">
        <f aca="false">IF((COUNTIFS(FundRaw!$C$4:$C$260,"oai",FundRaw!$E$4:$E$260,"2026",FundRaw!$F$4:$F$260,"capex_cash",FundRaw!$O$4:$O$260,1))=0,"",SUMIFS(FundRaw!$G$4:$G$260,FundRaw!$C$4:$C$260,"oai",FundRaw!$E$4:$E$260,"2026",FundRaw!$F$4:$F$260,"capex_cash",FundRaw!$O$4:$O$260,1))</f>
        <v/>
      </c>
      <c r="G28" s="32" t="str">
        <f aca="false">IF((COUNTIFS(FundRaw!$C$4:$C$260,"oai",FundRaw!$E$4:$E$260,"2026",FundRaw!$F$4:$F$260,"fin_lease_new",FundRaw!$O$4:$O$260,1))=0,"",SUMIFS(FundRaw!$G$4:$G$260,FundRaw!$C$4:$C$260,"oai",FundRaw!$E$4:$E$260,"2026",FundRaw!$F$4:$F$260,"fin_lease_new",FundRaw!$O$4:$O$260,1))</f>
        <v/>
      </c>
      <c r="H28" s="32" t="str">
        <f aca="false">IF((COUNTIFS(FundRaw!$C$4:$C$260,"oai",FundRaw!$E$4:$E$260,"2026",FundRaw!$F$4:$F$260,"capex_incl_fl",FundRaw!$O$4:$O$260,1))=0,"",SUMIFS(FundRaw!$G$4:$G$260,FundRaw!$C$4:$C$260,"oai",FundRaw!$E$4:$E$260,"2026",FundRaw!$F$4:$F$260,"capex_incl_fl",FundRaw!$O$4:$O$260,1))</f>
        <v/>
      </c>
      <c r="I28" s="32" t="str">
        <f aca="false">IF((COUNTIFS(FundRaw!$C$4:$C$260,"oai",FundRaw!$E$4:$E$260,"2026",FundRaw!$F$4:$F$260,"fcf",FundRaw!$O$4:$O$260,1))=0,"",SUMIFS(FundRaw!$G$4:$G$260,FundRaw!$C$4:$C$260,"oai",FundRaw!$E$4:$E$260,"2026",FundRaw!$F$4:$F$260,"fcf",FundRaw!$O$4:$O$260,1))</f>
        <v/>
      </c>
      <c r="J28" s="32" t="str">
        <f aca="false">IF((COUNTIFS(FundRaw!$C$4:$C$260,"oai",FundRaw!$E$4:$E$260,"2026",FundRaw!$F$4:$F$260,"bond_issue",FundRaw!$O$4:$O$260,1))=0,"",SUMIFS(FundRaw!$G$4:$G$260,FundRaw!$C$4:$C$260,"oai",FundRaw!$E$4:$E$260,"2026",FundRaw!$F$4:$F$260,"bond_issue",FundRaw!$O$4:$O$260,1))</f>
        <v/>
      </c>
      <c r="K28" s="32" t="str">
        <f aca="false">IF((COUNTIFS(FundRaw!$C$4:$C$260,"oai",FundRaw!$E$4:$E$260,"2026",FundRaw!$F$4:$F$260,"term_loan",FundRaw!$O$4:$O$260,1))=0,"",SUMIFS(FundRaw!$G$4:$G$260,FundRaw!$C$4:$C$260,"oai",FundRaw!$E$4:$E$260,"2026",FundRaw!$F$4:$F$260,"term_loan",FundRaw!$O$4:$O$260,1))</f>
        <v/>
      </c>
      <c r="L28" s="32" t="str">
        <f aca="false">IF((COUNTIFS(FundRaw!$C$4:$C$260,"oai",FundRaw!$E$4:$E$260,"2026",FundRaw!$F$4:$F$260,"gpu_debt",FundRaw!$O$4:$O$260,1))=0,"",SUMIFS(FundRaw!$G$4:$G$260,FundRaw!$C$4:$C$260,"oai",FundRaw!$E$4:$E$260,"2026",FundRaw!$F$4:$F$260,"gpu_debt",FundRaw!$O$4:$O$260,1))</f>
        <v/>
      </c>
      <c r="M28" s="32" t="str">
        <f aca="false">IF((COUNTIFS(FundRaw!$C$4:$C$260,"oai",FundRaw!$E$4:$E$260,"2026",FundRaw!$F$4:$F$260,"private_credit",FundRaw!$O$4:$O$260,1))=0,"",SUMIFS(FundRaw!$G$4:$G$260,FundRaw!$C$4:$C$260,"oai",FundRaw!$E$4:$E$260,"2026",FundRaw!$F$4:$F$260,"private_credit",FundRaw!$O$4:$O$260,1))</f>
        <v/>
      </c>
      <c r="N28" s="32" t="str">
        <f aca="false">IF((COUNTIFS(FundRaw!$C$4:$C$260,"oai",FundRaw!$E$4:$E$260,"2026",FundRaw!$F$4:$F$260,"net_debt_change",FundRaw!$O$4:$O$260,1))=0,"",SUMIFS(FundRaw!$G$4:$G$260,FundRaw!$C$4:$C$260,"oai",FundRaw!$E$4:$E$260,"2026",FundRaw!$F$4:$F$260,"net_debt_change",FundRaw!$O$4:$O$260,1))</f>
        <v/>
      </c>
      <c r="O28" s="32" t="str">
        <f aca="false">IF((COUNTIFS(FundRaw!$C$4:$C$260,"oai",FundRaw!$E$4:$E$260,"2026",FundRaw!$F$4:$F$260,"lease_not_commenced",FundRaw!$O$4:$O$260,1))=0,"",SUMIFS(FundRaw!$G$4:$G$260,FundRaw!$C$4:$C$260,"oai",FundRaw!$E$4:$E$260,"2026",FundRaw!$F$4:$F$260,"lease_not_commenced",FundRaw!$O$4:$O$260,1))</f>
        <v/>
      </c>
      <c r="P28" s="32" t="n">
        <f aca="false">IF((COUNTIFS(FundRaw!$C$4:$C$260,"oai",FundRaw!$E$4:$E$260,"2026",FundRaw!$F$4:$F$260,"jv_offbalance",FundRaw!$O$4:$O$260,1))=0,"",SUMIFS(FundRaw!$G$4:$G$260,FundRaw!$C$4:$C$260,"oai",FundRaw!$E$4:$E$260,"2026",FundRaw!$F$4:$F$260,"jv_offbalance",FundRaw!$O$4:$O$260,1))</f>
        <v>105</v>
      </c>
      <c r="Q28" s="32" t="str">
        <f aca="false">IF((COUNTIFS(FundRaw!$C$4:$C$260,"oai",FundRaw!$E$4:$E$260,"2026",FundRaw!$F$4:$F$260,"jv_exposure",FundRaw!$O$4:$O$260,1))=0,"",SUMIFS(FundRaw!$G$4:$G$260,FundRaw!$C$4:$C$260,"oai",FundRaw!$E$4:$E$260,"2026",FundRaw!$F$4:$F$260,"jv_exposure",FundRaw!$O$4:$O$260,1))</f>
        <v/>
      </c>
      <c r="R28" s="32" t="n">
        <f aca="false">IF((COUNTIFS(FundRaw!$C$4:$C$260,"oai",FundRaw!$E$4:$E$260,"2026",FundRaw!$F$4:$F$260,"equity_round",FundRaw!$O$4:$O$260,1))=0,"",SUMIFS(FundRaw!$G$4:$G$260,FundRaw!$C$4:$C$260,"oai",FundRaw!$E$4:$E$260,"2026",FundRaw!$F$4:$F$260,"equity_round",FundRaw!$O$4:$O$260,1))</f>
        <v>122</v>
      </c>
      <c r="S28" s="32" t="n">
        <f aca="false">IF((COUNTIFS(FundRaw!$C$4:$C$260,"oai",FundRaw!$E$4:$E$260,"2026",FundRaw!$F$4:$F$260,"vendor_financing",FundRaw!$O$4:$O$260,1))=0,"",SUMIFS(FundRaw!$G$4:$G$260,FundRaw!$C$4:$C$260,"oai",FundRaw!$E$4:$E$260,"2026",FundRaw!$F$4:$F$260,"vendor_financing",FundRaw!$O$4:$O$260,1))</f>
        <v>40</v>
      </c>
      <c r="T28" s="32" t="str">
        <f aca="false">IF((COUNTIFS(FundRaw!$C$4:$C$260,"oai",FundRaw!$E$4:$E$260,"2026",FundRaw!$F$4:$F$260,"buyback_div",FundRaw!$O$4:$O$260,1))=0,"",SUMIFS(FundRaw!$G$4:$G$260,FundRaw!$C$4:$C$260,"oai",FundRaw!$E$4:$E$260,"2026",FundRaw!$F$4:$F$260,"buyback_div",FundRaw!$O$4:$O$260,1))</f>
        <v/>
      </c>
      <c r="U28" s="32" t="str">
        <f aca="false">IF((COUNTIFS(FundRaw!$C$4:$C$260,"oai",FundRaw!$E$4:$E$260,"2026",FundRaw!$F$4:$F$260,"gpu_debt_talks",FundRaw!$O$4:$O$260,1))=0,"",SUMIFS(FundRaw!$G$4:$G$260,FundRaw!$C$4:$C$260,"oai",FundRaw!$E$4:$E$260,"2026",FundRaw!$F$4:$F$260,"gpu_debt_talks",FundRaw!$O$4:$O$260,1))</f>
        <v/>
      </c>
      <c r="V28" s="32" t="str">
        <f aca="false">IF((COUNTIFS(FundRaw!$C$4:$C$260,"oai",FundRaw!$E$4:$E$260,"2026",FundRaw!$F$4:$F$260,"bridge_refi",FundRaw!$O$4:$O$260,1))=0,"",SUMIFS(FundRaw!$G$4:$G$260,FundRaw!$C$4:$C$260,"oai",FundRaw!$E$4:$E$260,"2026",FundRaw!$F$4:$F$260,"bridge_refi",FundRaw!$O$4:$O$260,1))</f>
        <v/>
      </c>
      <c r="W28" s="32" t="str">
        <f aca="false">IF(H28&lt;&gt;"",H28,IF(F28&lt;&gt;"",F28+N(G28),""))</f>
        <v/>
      </c>
      <c r="X28" s="32" t="str">
        <f aca="false">IF(OR(W28="",E28=""),"",MAX(0,MIN(N(E28),W28-N(Y28))))</f>
        <v/>
      </c>
      <c r="Y28" s="32" t="str">
        <f aca="false">IF(W28="","",IF(AND(H28&lt;&gt;"",F28&lt;&gt;""),MAX(0,H28-F28),N(G28)))</f>
        <v/>
      </c>
      <c r="Z28" s="32" t="str">
        <f aca="false">IF(W28="","",MAX(0,MIN(N(R28),W28-N(X28)-N(Y28))))</f>
        <v/>
      </c>
      <c r="AA28" s="32" t="str">
        <f aca="false">IF(W28="","",MAX(0,MIN(N(J28)+N(K28)+N(L28)+N(M28),W28-N(X28)-N(Y28)-N(Z28))))</f>
        <v/>
      </c>
      <c r="AB28" s="32" t="str">
        <f aca="false">IF(W28="","",W28-N(X28)-N(Y28)-N(Z28)-N(AA28))</f>
        <v/>
      </c>
      <c r="AC28" s="37" t="str">
        <f aca="false">IF(OR(W28="",N(W28)=0,X28=""),"",X28/W28)</f>
        <v/>
      </c>
      <c r="AD28" s="37" t="str">
        <f aca="false">IF(OR(W28="",N(W28)=0,Y28=""),"",Y28/W28)</f>
        <v/>
      </c>
      <c r="AE28" s="37" t="str">
        <f aca="false">IF(OR(W28="",N(W28)=0,Z28=""),"",Z28/W28)</f>
        <v/>
      </c>
      <c r="AF28" s="37" t="str">
        <f aca="false">IF(OR(W28="",N(W28)=0,AA28=""),"",AA28/W28)</f>
        <v/>
      </c>
      <c r="AG28" s="37" t="str">
        <f aca="false">IF(OR(W28="",N(W28)=0,AB28=""),"",AB28/W28)</f>
        <v/>
      </c>
      <c r="AH28" s="32" t="n">
        <f aca="false">N(J28)+N(K28)+N(L28)+N(M28)+N(R28)+N(G28)</f>
        <v>122</v>
      </c>
      <c r="AI28" s="22" t="n">
        <f aca="false">IF(N(AH28)=0,"",(N(J28)+N(K28)+N(L28)+N(M28))/AH28)</f>
        <v>0</v>
      </c>
      <c r="AJ28" s="22" t="n">
        <f aca="false">IF(N(AH28)=0,"",(N(R28))/AH28)</f>
        <v>1</v>
      </c>
      <c r="AK28" s="22" t="n">
        <f aca="false">IF(N(AH28)=0,"",(N(G28))/AH28)</f>
        <v>0</v>
      </c>
      <c r="AL28" s="32" t="n">
        <f aca="false">N(J28)+N(K28)+N(L28)+N(M28)+IF(AND(H28&lt;&gt;"",F28&lt;&gt;""),MAX(0,H28-F28),N(G28))+N(P28)+N(R28)</f>
        <v>227</v>
      </c>
      <c r="AM28" s="37" t="str">
        <f aca="false">IF(OR(W28="",N(W28)=0),"",AL28/W28)</f>
        <v/>
      </c>
      <c r="AN28" s="37" t="str">
        <f aca="false">IF(OR(W28="",N(W28)=0,E28=""),"",E28/W28)</f>
        <v/>
      </c>
      <c r="AO28" s="22" t="str">
        <f aca="false">IF(OR(W28="",N(W28)=0),"",(N(J28)+N(K28)+N(L28)+N(M28))/W28)</f>
        <v/>
      </c>
      <c r="AP28" s="22" t="str">
        <f aca="false">IF(OR(W28="",N(W28)=0),"",N(R28)/W28)</f>
        <v/>
      </c>
      <c r="AQ28" s="22" t="str">
        <f aca="false">IF(OR(W28="",N(W28)=0),"",(IF(AND(H28&lt;&gt;"",F28&lt;&gt;""),MAX(0,H28-F28),N(G28))+N(P28))/W28)</f>
        <v/>
      </c>
    </row>
    <row r="29" customFormat="false" ht="15" hidden="false" customHeight="false" outlineLevel="0" collapsed="false">
      <c r="A29" s="0" t="s">
        <v>1324</v>
      </c>
      <c r="B29" s="0" t="s">
        <v>516</v>
      </c>
      <c r="C29" s="0" t="n">
        <v>2025</v>
      </c>
      <c r="D29" s="0" t="s">
        <v>1721</v>
      </c>
      <c r="E29" s="32" t="str">
        <f aca="false">IF((COUNTIFS(FundRaw!$C$4:$C$260,"ant",FundRaw!$E$4:$E$260,"2025",FundRaw!$F$4:$F$260,"ocf",FundRaw!$O$4:$O$260,1))=0,"",SUMIFS(FundRaw!$G$4:$G$260,FundRaw!$C$4:$C$260,"ant",FundRaw!$E$4:$E$260,"2025",FundRaw!$F$4:$F$260,"ocf",FundRaw!$O$4:$O$260,1))</f>
        <v/>
      </c>
      <c r="F29" s="32" t="str">
        <f aca="false">IF((COUNTIFS(FundRaw!$C$4:$C$260,"ant",FundRaw!$E$4:$E$260,"2025",FundRaw!$F$4:$F$260,"capex_cash",FundRaw!$O$4:$O$260,1))=0,"",SUMIFS(FundRaw!$G$4:$G$260,FundRaw!$C$4:$C$260,"ant",FundRaw!$E$4:$E$260,"2025",FundRaw!$F$4:$F$260,"capex_cash",FundRaw!$O$4:$O$260,1))</f>
        <v/>
      </c>
      <c r="G29" s="32" t="str">
        <f aca="false">IF((COUNTIFS(FundRaw!$C$4:$C$260,"ant",FundRaw!$E$4:$E$260,"2025",FundRaw!$F$4:$F$260,"fin_lease_new",FundRaw!$O$4:$O$260,1))=0,"",SUMIFS(FundRaw!$G$4:$G$260,FundRaw!$C$4:$C$260,"ant",FundRaw!$E$4:$E$260,"2025",FundRaw!$F$4:$F$260,"fin_lease_new",FundRaw!$O$4:$O$260,1))</f>
        <v/>
      </c>
      <c r="H29" s="32" t="str">
        <f aca="false">IF((COUNTIFS(FundRaw!$C$4:$C$260,"ant",FundRaw!$E$4:$E$260,"2025",FundRaw!$F$4:$F$260,"capex_incl_fl",FundRaw!$O$4:$O$260,1))=0,"",SUMIFS(FundRaw!$G$4:$G$260,FundRaw!$C$4:$C$260,"ant",FundRaw!$E$4:$E$260,"2025",FundRaw!$F$4:$F$260,"capex_incl_fl",FundRaw!$O$4:$O$260,1))</f>
        <v/>
      </c>
      <c r="I29" s="32" t="str">
        <f aca="false">IF((COUNTIFS(FundRaw!$C$4:$C$260,"ant",FundRaw!$E$4:$E$260,"2025",FundRaw!$F$4:$F$260,"fcf",FundRaw!$O$4:$O$260,1))=0,"",SUMIFS(FundRaw!$G$4:$G$260,FundRaw!$C$4:$C$260,"ant",FundRaw!$E$4:$E$260,"2025",FundRaw!$F$4:$F$260,"fcf",FundRaw!$O$4:$O$260,1))</f>
        <v/>
      </c>
      <c r="J29" s="32" t="str">
        <f aca="false">IF((COUNTIFS(FundRaw!$C$4:$C$260,"ant",FundRaw!$E$4:$E$260,"2025",FundRaw!$F$4:$F$260,"bond_issue",FundRaw!$O$4:$O$260,1))=0,"",SUMIFS(FundRaw!$G$4:$G$260,FundRaw!$C$4:$C$260,"ant",FundRaw!$E$4:$E$260,"2025",FundRaw!$F$4:$F$260,"bond_issue",FundRaw!$O$4:$O$260,1))</f>
        <v/>
      </c>
      <c r="K29" s="32" t="str">
        <f aca="false">IF((COUNTIFS(FundRaw!$C$4:$C$260,"ant",FundRaw!$E$4:$E$260,"2025",FundRaw!$F$4:$F$260,"term_loan",FundRaw!$O$4:$O$260,1))=0,"",SUMIFS(FundRaw!$G$4:$G$260,FundRaw!$C$4:$C$260,"ant",FundRaw!$E$4:$E$260,"2025",FundRaw!$F$4:$F$260,"term_loan",FundRaw!$O$4:$O$260,1))</f>
        <v/>
      </c>
      <c r="L29" s="32" t="str">
        <f aca="false">IF((COUNTIFS(FundRaw!$C$4:$C$260,"ant",FundRaw!$E$4:$E$260,"2025",FundRaw!$F$4:$F$260,"gpu_debt",FundRaw!$O$4:$O$260,1))=0,"",SUMIFS(FundRaw!$G$4:$G$260,FundRaw!$C$4:$C$260,"ant",FundRaw!$E$4:$E$260,"2025",FundRaw!$F$4:$F$260,"gpu_debt",FundRaw!$O$4:$O$260,1))</f>
        <v/>
      </c>
      <c r="M29" s="32" t="str">
        <f aca="false">IF((COUNTIFS(FundRaw!$C$4:$C$260,"ant",FundRaw!$E$4:$E$260,"2025",FundRaw!$F$4:$F$260,"private_credit",FundRaw!$O$4:$O$260,1))=0,"",SUMIFS(FundRaw!$G$4:$G$260,FundRaw!$C$4:$C$260,"ant",FundRaw!$E$4:$E$260,"2025",FundRaw!$F$4:$F$260,"private_credit",FundRaw!$O$4:$O$260,1))</f>
        <v/>
      </c>
      <c r="N29" s="32" t="str">
        <f aca="false">IF((COUNTIFS(FundRaw!$C$4:$C$260,"ant",FundRaw!$E$4:$E$260,"2025",FundRaw!$F$4:$F$260,"net_debt_change",FundRaw!$O$4:$O$260,1))=0,"",SUMIFS(FundRaw!$G$4:$G$260,FundRaw!$C$4:$C$260,"ant",FundRaw!$E$4:$E$260,"2025",FundRaw!$F$4:$F$260,"net_debt_change",FundRaw!$O$4:$O$260,1))</f>
        <v/>
      </c>
      <c r="O29" s="32" t="str">
        <f aca="false">IF((COUNTIFS(FundRaw!$C$4:$C$260,"ant",FundRaw!$E$4:$E$260,"2025",FundRaw!$F$4:$F$260,"lease_not_commenced",FundRaw!$O$4:$O$260,1))=0,"",SUMIFS(FundRaw!$G$4:$G$260,FundRaw!$C$4:$C$260,"ant",FundRaw!$E$4:$E$260,"2025",FundRaw!$F$4:$F$260,"lease_not_commenced",FundRaw!$O$4:$O$260,1))</f>
        <v/>
      </c>
      <c r="P29" s="32" t="str">
        <f aca="false">IF((COUNTIFS(FundRaw!$C$4:$C$260,"ant",FundRaw!$E$4:$E$260,"2025",FundRaw!$F$4:$F$260,"jv_offbalance",FundRaw!$O$4:$O$260,1))=0,"",SUMIFS(FundRaw!$G$4:$G$260,FundRaw!$C$4:$C$260,"ant",FundRaw!$E$4:$E$260,"2025",FundRaw!$F$4:$F$260,"jv_offbalance",FundRaw!$O$4:$O$260,1))</f>
        <v/>
      </c>
      <c r="Q29" s="32" t="str">
        <f aca="false">IF((COUNTIFS(FundRaw!$C$4:$C$260,"ant",FundRaw!$E$4:$E$260,"2025",FundRaw!$F$4:$F$260,"jv_exposure",FundRaw!$O$4:$O$260,1))=0,"",SUMIFS(FundRaw!$G$4:$G$260,FundRaw!$C$4:$C$260,"ant",FundRaw!$E$4:$E$260,"2025",FundRaw!$F$4:$F$260,"jv_exposure",FundRaw!$O$4:$O$260,1))</f>
        <v/>
      </c>
      <c r="R29" s="32" t="str">
        <f aca="false">IF((COUNTIFS(FundRaw!$C$4:$C$260,"ant",FundRaw!$E$4:$E$260,"2025",FundRaw!$F$4:$F$260,"equity_round",FundRaw!$O$4:$O$260,1))=0,"",SUMIFS(FundRaw!$G$4:$G$260,FundRaw!$C$4:$C$260,"ant",FundRaw!$E$4:$E$260,"2025",FundRaw!$F$4:$F$260,"equity_round",FundRaw!$O$4:$O$260,1))</f>
        <v/>
      </c>
      <c r="S29" s="32" t="str">
        <f aca="false">IF((COUNTIFS(FundRaw!$C$4:$C$260,"ant",FundRaw!$E$4:$E$260,"2025",FundRaw!$F$4:$F$260,"vendor_financing",FundRaw!$O$4:$O$260,1))=0,"",SUMIFS(FundRaw!$G$4:$G$260,FundRaw!$C$4:$C$260,"ant",FundRaw!$E$4:$E$260,"2025",FundRaw!$F$4:$F$260,"vendor_financing",FundRaw!$O$4:$O$260,1))</f>
        <v/>
      </c>
      <c r="T29" s="32" t="str">
        <f aca="false">IF((COUNTIFS(FundRaw!$C$4:$C$260,"ant",FundRaw!$E$4:$E$260,"2025",FundRaw!$F$4:$F$260,"buyback_div",FundRaw!$O$4:$O$260,1))=0,"",SUMIFS(FundRaw!$G$4:$G$260,FundRaw!$C$4:$C$260,"ant",FundRaw!$E$4:$E$260,"2025",FundRaw!$F$4:$F$260,"buyback_div",FundRaw!$O$4:$O$260,1))</f>
        <v/>
      </c>
      <c r="U29" s="32" t="str">
        <f aca="false">IF((COUNTIFS(FundRaw!$C$4:$C$260,"ant",FundRaw!$E$4:$E$260,"2025",FundRaw!$F$4:$F$260,"gpu_debt_talks",FundRaw!$O$4:$O$260,1))=0,"",SUMIFS(FundRaw!$G$4:$G$260,FundRaw!$C$4:$C$260,"ant",FundRaw!$E$4:$E$260,"2025",FundRaw!$F$4:$F$260,"gpu_debt_talks",FundRaw!$O$4:$O$260,1))</f>
        <v/>
      </c>
      <c r="V29" s="32" t="str">
        <f aca="false">IF((COUNTIFS(FundRaw!$C$4:$C$260,"ant",FundRaw!$E$4:$E$260,"2025",FundRaw!$F$4:$F$260,"bridge_refi",FundRaw!$O$4:$O$260,1))=0,"",SUMIFS(FundRaw!$G$4:$G$260,FundRaw!$C$4:$C$260,"ant",FundRaw!$E$4:$E$260,"2025",FundRaw!$F$4:$F$260,"bridge_refi",FundRaw!$O$4:$O$260,1))</f>
        <v/>
      </c>
      <c r="W29" s="32" t="str">
        <f aca="false">IF(H29&lt;&gt;"",H29,IF(F29&lt;&gt;"",F29+N(G29),""))</f>
        <v/>
      </c>
      <c r="X29" s="32" t="str">
        <f aca="false">IF(OR(W29="",E29=""),"",MAX(0,MIN(N(E29),W29-N(Y29))))</f>
        <v/>
      </c>
      <c r="Y29" s="32" t="str">
        <f aca="false">IF(W29="","",IF(AND(H29&lt;&gt;"",F29&lt;&gt;""),MAX(0,H29-F29),N(G29)))</f>
        <v/>
      </c>
      <c r="Z29" s="32" t="str">
        <f aca="false">IF(W29="","",MAX(0,MIN(N(R29),W29-N(X29)-N(Y29))))</f>
        <v/>
      </c>
      <c r="AA29" s="32" t="str">
        <f aca="false">IF(W29="","",MAX(0,MIN(N(J29)+N(K29)+N(L29)+N(M29),W29-N(X29)-N(Y29)-N(Z29))))</f>
        <v/>
      </c>
      <c r="AB29" s="32" t="str">
        <f aca="false">IF(W29="","",W29-N(X29)-N(Y29)-N(Z29)-N(AA29))</f>
        <v/>
      </c>
      <c r="AC29" s="37" t="str">
        <f aca="false">IF(OR(W29="",N(W29)=0,X29=""),"",X29/W29)</f>
        <v/>
      </c>
      <c r="AD29" s="37" t="str">
        <f aca="false">IF(OR(W29="",N(W29)=0,Y29=""),"",Y29/W29)</f>
        <v/>
      </c>
      <c r="AE29" s="37" t="str">
        <f aca="false">IF(OR(W29="",N(W29)=0,Z29=""),"",Z29/W29)</f>
        <v/>
      </c>
      <c r="AF29" s="37" t="str">
        <f aca="false">IF(OR(W29="",N(W29)=0,AA29=""),"",AA29/W29)</f>
        <v/>
      </c>
      <c r="AG29" s="37" t="str">
        <f aca="false">IF(OR(W29="",N(W29)=0,AB29=""),"",AB29/W29)</f>
        <v/>
      </c>
      <c r="AH29" s="32" t="n">
        <f aca="false">N(J29)+N(K29)+N(L29)+N(M29)+N(R29)+N(G29)</f>
        <v>0</v>
      </c>
      <c r="AI29" s="22" t="str">
        <f aca="false">IF(N(AH29)=0,"",(N(J29)+N(K29)+N(L29)+N(M29))/AH29)</f>
        <v/>
      </c>
      <c r="AJ29" s="22" t="str">
        <f aca="false">IF(N(AH29)=0,"",(N(R29))/AH29)</f>
        <v/>
      </c>
      <c r="AK29" s="22" t="str">
        <f aca="false">IF(N(AH29)=0,"",(N(G29))/AH29)</f>
        <v/>
      </c>
      <c r="AL29" s="32" t="n">
        <f aca="false">N(J29)+N(K29)+N(L29)+N(M29)+IF(AND(H29&lt;&gt;"",F29&lt;&gt;""),MAX(0,H29-F29),N(G29))+N(P29)+N(R29)</f>
        <v>0</v>
      </c>
      <c r="AM29" s="37" t="str">
        <f aca="false">IF(OR(W29="",N(W29)=0),"",AL29/W29)</f>
        <v/>
      </c>
      <c r="AN29" s="37" t="str">
        <f aca="false">IF(OR(W29="",N(W29)=0,E29=""),"",E29/W29)</f>
        <v/>
      </c>
      <c r="AO29" s="22" t="str">
        <f aca="false">IF(OR(W29="",N(W29)=0),"",(N(J29)+N(K29)+N(L29)+N(M29))/W29)</f>
        <v/>
      </c>
      <c r="AP29" s="22" t="str">
        <f aca="false">IF(OR(W29="",N(W29)=0),"",N(R29)/W29)</f>
        <v/>
      </c>
      <c r="AQ29" s="22" t="str">
        <f aca="false">IF(OR(W29="",N(W29)=0),"",(IF(AND(H29&lt;&gt;"",F29&lt;&gt;""),MAX(0,H29-F29),N(G29))+N(P29))/W29)</f>
        <v/>
      </c>
    </row>
    <row r="30" customFormat="false" ht="17.15" hidden="false" customHeight="false" outlineLevel="0" collapsed="false">
      <c r="A30" s="0" t="s">
        <v>1324</v>
      </c>
      <c r="B30" s="0" t="s">
        <v>516</v>
      </c>
      <c r="C30" s="0" t="n">
        <v>2026</v>
      </c>
      <c r="D30" s="0" t="s">
        <v>1727</v>
      </c>
      <c r="E30" s="32" t="str">
        <f aca="false">IF((COUNTIFS(FundRaw!$C$4:$C$260,"ant",FundRaw!$E$4:$E$260,"2026",FundRaw!$F$4:$F$260,"ocf",FundRaw!$O$4:$O$260,1))=0,"",SUMIFS(FundRaw!$G$4:$G$260,FundRaw!$C$4:$C$260,"ant",FundRaw!$E$4:$E$260,"2026",FundRaw!$F$4:$F$260,"ocf",FundRaw!$O$4:$O$260,1))</f>
        <v/>
      </c>
      <c r="F30" s="32" t="str">
        <f aca="false">IF((COUNTIFS(FundRaw!$C$4:$C$260,"ant",FundRaw!$E$4:$E$260,"2026",FundRaw!$F$4:$F$260,"capex_cash",FundRaw!$O$4:$O$260,1))=0,"",SUMIFS(FundRaw!$G$4:$G$260,FundRaw!$C$4:$C$260,"ant",FundRaw!$E$4:$E$260,"2026",FundRaw!$F$4:$F$260,"capex_cash",FundRaw!$O$4:$O$260,1))</f>
        <v/>
      </c>
      <c r="G30" s="32" t="str">
        <f aca="false">IF((COUNTIFS(FundRaw!$C$4:$C$260,"ant",FundRaw!$E$4:$E$260,"2026",FundRaw!$F$4:$F$260,"fin_lease_new",FundRaw!$O$4:$O$260,1))=0,"",SUMIFS(FundRaw!$G$4:$G$260,FundRaw!$C$4:$C$260,"ant",FundRaw!$E$4:$E$260,"2026",FundRaw!$F$4:$F$260,"fin_lease_new",FundRaw!$O$4:$O$260,1))</f>
        <v/>
      </c>
      <c r="H30" s="32" t="str">
        <f aca="false">IF((COUNTIFS(FundRaw!$C$4:$C$260,"ant",FundRaw!$E$4:$E$260,"2026",FundRaw!$F$4:$F$260,"capex_incl_fl",FundRaw!$O$4:$O$260,1))=0,"",SUMIFS(FundRaw!$G$4:$G$260,FundRaw!$C$4:$C$260,"ant",FundRaw!$E$4:$E$260,"2026",FundRaw!$F$4:$F$260,"capex_incl_fl",FundRaw!$O$4:$O$260,1))</f>
        <v/>
      </c>
      <c r="I30" s="32" t="str">
        <f aca="false">IF((COUNTIFS(FundRaw!$C$4:$C$260,"ant",FundRaw!$E$4:$E$260,"2026",FundRaw!$F$4:$F$260,"fcf",FundRaw!$O$4:$O$260,1))=0,"",SUMIFS(FundRaw!$G$4:$G$260,FundRaw!$C$4:$C$260,"ant",FundRaw!$E$4:$E$260,"2026",FundRaw!$F$4:$F$260,"fcf",FundRaw!$O$4:$O$260,1))</f>
        <v/>
      </c>
      <c r="J30" s="32" t="str">
        <f aca="false">IF((COUNTIFS(FundRaw!$C$4:$C$260,"ant",FundRaw!$E$4:$E$260,"2026",FundRaw!$F$4:$F$260,"bond_issue",FundRaw!$O$4:$O$260,1))=0,"",SUMIFS(FundRaw!$G$4:$G$260,FundRaw!$C$4:$C$260,"ant",FundRaw!$E$4:$E$260,"2026",FundRaw!$F$4:$F$260,"bond_issue",FundRaw!$O$4:$O$260,1))</f>
        <v/>
      </c>
      <c r="K30" s="32" t="str">
        <f aca="false">IF((COUNTIFS(FundRaw!$C$4:$C$260,"ant",FundRaw!$E$4:$E$260,"2026",FundRaw!$F$4:$F$260,"term_loan",FundRaw!$O$4:$O$260,1))=0,"",SUMIFS(FundRaw!$G$4:$G$260,FundRaw!$C$4:$C$260,"ant",FundRaw!$E$4:$E$260,"2026",FundRaw!$F$4:$F$260,"term_loan",FundRaw!$O$4:$O$260,1))</f>
        <v/>
      </c>
      <c r="L30" s="32" t="n">
        <f aca="false">IF((COUNTIFS(FundRaw!$C$4:$C$260,"ant",FundRaw!$E$4:$E$260,"2026",FundRaw!$F$4:$F$260,"gpu_debt",FundRaw!$O$4:$O$260,1))=0,"",SUMIFS(FundRaw!$G$4:$G$260,FundRaw!$C$4:$C$260,"ant",FundRaw!$E$4:$E$260,"2026",FundRaw!$F$4:$F$260,"gpu_debt",FundRaw!$O$4:$O$260,1))</f>
        <v>35</v>
      </c>
      <c r="M30" s="32" t="str">
        <f aca="false">IF((COUNTIFS(FundRaw!$C$4:$C$260,"ant",FundRaw!$E$4:$E$260,"2026",FundRaw!$F$4:$F$260,"private_credit",FundRaw!$O$4:$O$260,1))=0,"",SUMIFS(FundRaw!$G$4:$G$260,FundRaw!$C$4:$C$260,"ant",FundRaw!$E$4:$E$260,"2026",FundRaw!$F$4:$F$260,"private_credit",FundRaw!$O$4:$O$260,1))</f>
        <v/>
      </c>
      <c r="N30" s="32" t="str">
        <f aca="false">IF((COUNTIFS(FundRaw!$C$4:$C$260,"ant",FundRaw!$E$4:$E$260,"2026",FundRaw!$F$4:$F$260,"net_debt_change",FundRaw!$O$4:$O$260,1))=0,"",SUMIFS(FundRaw!$G$4:$G$260,FundRaw!$C$4:$C$260,"ant",FundRaw!$E$4:$E$260,"2026",FundRaw!$F$4:$F$260,"net_debt_change",FundRaw!$O$4:$O$260,1))</f>
        <v/>
      </c>
      <c r="O30" s="32" t="str">
        <f aca="false">IF((COUNTIFS(FundRaw!$C$4:$C$260,"ant",FundRaw!$E$4:$E$260,"2026",FundRaw!$F$4:$F$260,"lease_not_commenced",FundRaw!$O$4:$O$260,1))=0,"",SUMIFS(FundRaw!$G$4:$G$260,FundRaw!$C$4:$C$260,"ant",FundRaw!$E$4:$E$260,"2026",FundRaw!$F$4:$F$260,"lease_not_commenced",FundRaw!$O$4:$O$260,1))</f>
        <v/>
      </c>
      <c r="P30" s="32" t="str">
        <f aca="false">IF((COUNTIFS(FundRaw!$C$4:$C$260,"ant",FundRaw!$E$4:$E$260,"2026",FundRaw!$F$4:$F$260,"jv_offbalance",FundRaw!$O$4:$O$260,1))=0,"",SUMIFS(FundRaw!$G$4:$G$260,FundRaw!$C$4:$C$260,"ant",FundRaw!$E$4:$E$260,"2026",FundRaw!$F$4:$F$260,"jv_offbalance",FundRaw!$O$4:$O$260,1))</f>
        <v/>
      </c>
      <c r="Q30" s="32" t="str">
        <f aca="false">IF((COUNTIFS(FundRaw!$C$4:$C$260,"ant",FundRaw!$E$4:$E$260,"2026",FundRaw!$F$4:$F$260,"jv_exposure",FundRaw!$O$4:$O$260,1))=0,"",SUMIFS(FundRaw!$G$4:$G$260,FundRaw!$C$4:$C$260,"ant",FundRaw!$E$4:$E$260,"2026",FundRaw!$F$4:$F$260,"jv_exposure",FundRaw!$O$4:$O$260,1))</f>
        <v/>
      </c>
      <c r="R30" s="32" t="n">
        <f aca="false">IF((COUNTIFS(FundRaw!$C$4:$C$260,"ant",FundRaw!$E$4:$E$260,"2026",FundRaw!$F$4:$F$260,"equity_round",FundRaw!$O$4:$O$260,1))=0,"",SUMIFS(FundRaw!$G$4:$G$260,FundRaw!$C$4:$C$260,"ant",FundRaw!$E$4:$E$260,"2026",FundRaw!$F$4:$F$260,"equity_round",FundRaw!$O$4:$O$260,1))</f>
        <v>95</v>
      </c>
      <c r="S30" s="32" t="n">
        <f aca="false">IF((COUNTIFS(FundRaw!$C$4:$C$260,"ant",FundRaw!$E$4:$E$260,"2026",FundRaw!$F$4:$F$260,"vendor_financing",FundRaw!$O$4:$O$260,1))=0,"",SUMIFS(FundRaw!$G$4:$G$260,FundRaw!$C$4:$C$260,"ant",FundRaw!$E$4:$E$260,"2026",FundRaw!$F$4:$F$260,"vendor_financing",FundRaw!$O$4:$O$260,1))</f>
        <v>42</v>
      </c>
      <c r="T30" s="32" t="str">
        <f aca="false">IF((COUNTIFS(FundRaw!$C$4:$C$260,"ant",FundRaw!$E$4:$E$260,"2026",FundRaw!$F$4:$F$260,"buyback_div",FundRaw!$O$4:$O$260,1))=0,"",SUMIFS(FundRaw!$G$4:$G$260,FundRaw!$C$4:$C$260,"ant",FundRaw!$E$4:$E$260,"2026",FundRaw!$F$4:$F$260,"buyback_div",FundRaw!$O$4:$O$260,1))</f>
        <v/>
      </c>
      <c r="U30" s="32" t="n">
        <f aca="false">IF((COUNTIFS(FundRaw!$C$4:$C$260,"ant",FundRaw!$E$4:$E$260,"2026",FundRaw!$F$4:$F$260,"gpu_debt_talks",FundRaw!$O$4:$O$260,1))=0,"",SUMIFS(FundRaw!$G$4:$G$260,FundRaw!$C$4:$C$260,"ant",FundRaw!$E$4:$E$260,"2026",FundRaw!$F$4:$F$260,"gpu_debt_talks",FundRaw!$O$4:$O$260,1))</f>
        <v>36</v>
      </c>
      <c r="V30" s="32" t="str">
        <f aca="false">IF((COUNTIFS(FundRaw!$C$4:$C$260,"ant",FundRaw!$E$4:$E$260,"2026",FundRaw!$F$4:$F$260,"bridge_refi",FundRaw!$O$4:$O$260,1))=0,"",SUMIFS(FundRaw!$G$4:$G$260,FundRaw!$C$4:$C$260,"ant",FundRaw!$E$4:$E$260,"2026",FundRaw!$F$4:$F$260,"bridge_refi",FundRaw!$O$4:$O$260,1))</f>
        <v/>
      </c>
      <c r="W30" s="32" t="str">
        <f aca="false">IF(H30&lt;&gt;"",H30,IF(F30&lt;&gt;"",F30+N(G30),""))</f>
        <v/>
      </c>
      <c r="X30" s="32" t="str">
        <f aca="false">IF(OR(W30="",E30=""),"",MAX(0,MIN(N(E30),W30-N(Y30))))</f>
        <v/>
      </c>
      <c r="Y30" s="32" t="str">
        <f aca="false">IF(W30="","",IF(AND(H30&lt;&gt;"",F30&lt;&gt;""),MAX(0,H30-F30),N(G30)))</f>
        <v/>
      </c>
      <c r="Z30" s="32" t="str">
        <f aca="false">IF(W30="","",MAX(0,MIN(N(R30),W30-N(X30)-N(Y30))))</f>
        <v/>
      </c>
      <c r="AA30" s="32" t="str">
        <f aca="false">IF(W30="","",MAX(0,MIN(N(J30)+N(K30)+N(L30)+N(M30),W30-N(X30)-N(Y30)-N(Z30))))</f>
        <v/>
      </c>
      <c r="AB30" s="32" t="str">
        <f aca="false">IF(W30="","",W30-N(X30)-N(Y30)-N(Z30)-N(AA30))</f>
        <v/>
      </c>
      <c r="AC30" s="37" t="str">
        <f aca="false">IF(OR(W30="",N(W30)=0,X30=""),"",X30/W30)</f>
        <v/>
      </c>
      <c r="AD30" s="37" t="str">
        <f aca="false">IF(OR(W30="",N(W30)=0,Y30=""),"",Y30/W30)</f>
        <v/>
      </c>
      <c r="AE30" s="37" t="str">
        <f aca="false">IF(OR(W30="",N(W30)=0,Z30=""),"",Z30/W30)</f>
        <v/>
      </c>
      <c r="AF30" s="37" t="str">
        <f aca="false">IF(OR(W30="",N(W30)=0,AA30=""),"",AA30/W30)</f>
        <v/>
      </c>
      <c r="AG30" s="37" t="str">
        <f aca="false">IF(OR(W30="",N(W30)=0,AB30=""),"",AB30/W30)</f>
        <v/>
      </c>
      <c r="AH30" s="32" t="n">
        <f aca="false">N(J30)+N(K30)+N(L30)+N(M30)+N(R30)+N(G30)</f>
        <v>130</v>
      </c>
      <c r="AI30" s="22" t="n">
        <f aca="false">IF(N(AH30)=0,"",(N(J30)+N(K30)+N(L30)+N(M30))/AH30)</f>
        <v>0.269230769230769</v>
      </c>
      <c r="AJ30" s="22" t="n">
        <f aca="false">IF(N(AH30)=0,"",(N(R30))/AH30)</f>
        <v>0.730769230769231</v>
      </c>
      <c r="AK30" s="22" t="n">
        <f aca="false">IF(N(AH30)=0,"",(N(G30))/AH30)</f>
        <v>0</v>
      </c>
      <c r="AL30" s="32" t="n">
        <f aca="false">N(J30)+N(K30)+N(L30)+N(M30)+IF(AND(H30&lt;&gt;"",F30&lt;&gt;""),MAX(0,H30-F30),N(G30))+N(P30)+N(R30)</f>
        <v>130</v>
      </c>
      <c r="AM30" s="37" t="str">
        <f aca="false">IF(OR(W30="",N(W30)=0),"",AL30/W30)</f>
        <v/>
      </c>
      <c r="AN30" s="37" t="str">
        <f aca="false">IF(OR(W30="",N(W30)=0,E30=""),"",E30/W30)</f>
        <v/>
      </c>
      <c r="AO30" s="22" t="str">
        <f aca="false">IF(OR(W30="",N(W30)=0),"",(N(J30)+N(K30)+N(L30)+N(M30))/W30)</f>
        <v/>
      </c>
      <c r="AP30" s="22" t="str">
        <f aca="false">IF(OR(W30="",N(W30)=0),"",N(R30)/W30)</f>
        <v/>
      </c>
      <c r="AQ30" s="22" t="str">
        <f aca="false">IF(OR(W30="",N(W30)=0),"",(IF(AND(H30&lt;&gt;"",F30&lt;&gt;""),MAX(0,H30-F30),N(G30))+N(P30))/W30)</f>
        <v/>
      </c>
    </row>
    <row r="32" customFormat="false" ht="17.15" hidden="false" customHeight="false" outlineLevel="0" collapsed="false">
      <c r="A32" s="21" t="s">
        <v>1728</v>
      </c>
    </row>
    <row r="33" customFormat="false" ht="17.15" hidden="false" customHeight="false" outlineLevel="0" collapsed="false">
      <c r="A33" s="6" t="s">
        <v>1364</v>
      </c>
      <c r="B33" s="6" t="s">
        <v>1642</v>
      </c>
      <c r="C33" s="6" t="s">
        <v>16</v>
      </c>
      <c r="D33" s="6" t="s">
        <v>1729</v>
      </c>
      <c r="E33" s="6" t="s">
        <v>21</v>
      </c>
      <c r="F33" s="7" t="s">
        <v>1730</v>
      </c>
      <c r="G33" s="7" t="s">
        <v>1731</v>
      </c>
    </row>
    <row r="34" customFormat="false" ht="17.15" hidden="false" customHeight="false" outlineLevel="0" collapsed="false">
      <c r="A34" s="0" t="s">
        <v>1070</v>
      </c>
      <c r="B34" s="0" t="s">
        <v>1732</v>
      </c>
      <c r="C34" s="0" t="s">
        <v>1733</v>
      </c>
      <c r="D34" s="0" t="n">
        <v>140</v>
      </c>
      <c r="E34" s="5" t="s">
        <v>1734</v>
      </c>
      <c r="F34" s="0" t="s">
        <v>1735</v>
      </c>
      <c r="G34" s="5" t="s">
        <v>1736</v>
      </c>
    </row>
    <row r="35" customFormat="false" ht="17.15" hidden="false" customHeight="false" outlineLevel="0" collapsed="false">
      <c r="A35" s="0" t="s">
        <v>1070</v>
      </c>
      <c r="B35" s="0" t="s">
        <v>1737</v>
      </c>
      <c r="C35" s="0" t="s">
        <v>1738</v>
      </c>
      <c r="D35" s="0" t="n">
        <v>25</v>
      </c>
      <c r="E35" s="0" t="s">
        <v>1739</v>
      </c>
      <c r="F35" s="0" t="s">
        <v>1740</v>
      </c>
      <c r="G35" s="5" t="s">
        <v>1736</v>
      </c>
    </row>
    <row r="36" customFormat="false" ht="17.15" hidden="false" customHeight="false" outlineLevel="0" collapsed="false">
      <c r="A36" s="0" t="s">
        <v>1070</v>
      </c>
      <c r="B36" s="0" t="s">
        <v>1737</v>
      </c>
      <c r="C36" s="0" t="s">
        <v>1738</v>
      </c>
      <c r="D36" s="0" t="n">
        <v>12.5</v>
      </c>
      <c r="E36" s="0" t="s">
        <v>1741</v>
      </c>
      <c r="F36" s="0" t="s">
        <v>1742</v>
      </c>
      <c r="G36" s="5" t="s">
        <v>1736</v>
      </c>
    </row>
    <row r="37" customFormat="false" ht="17.15" hidden="false" customHeight="false" outlineLevel="0" collapsed="false">
      <c r="A37" s="0" t="s">
        <v>1724</v>
      </c>
      <c r="B37" s="0" t="s">
        <v>1743</v>
      </c>
      <c r="C37" s="0" t="s">
        <v>1744</v>
      </c>
      <c r="D37" s="0" t="n">
        <v>23.103</v>
      </c>
      <c r="E37" s="5" t="s">
        <v>1745</v>
      </c>
      <c r="F37" s="0" t="s">
        <v>1746</v>
      </c>
      <c r="G37" s="5" t="s">
        <v>1736</v>
      </c>
    </row>
    <row r="38" customFormat="false" ht="17.15" hidden="false" customHeight="false" outlineLevel="0" collapsed="false">
      <c r="A38" s="0" t="s">
        <v>1724</v>
      </c>
      <c r="B38" s="0" t="s">
        <v>1743</v>
      </c>
      <c r="C38" s="0" t="s">
        <v>1747</v>
      </c>
      <c r="D38" s="0" t="n">
        <v>28.499</v>
      </c>
      <c r="E38" s="5" t="s">
        <v>1748</v>
      </c>
      <c r="F38" s="0" t="s">
        <v>1749</v>
      </c>
      <c r="G38" s="5" t="s">
        <v>1736</v>
      </c>
    </row>
    <row r="39" customFormat="false" ht="17.15" hidden="false" customHeight="false" outlineLevel="0" collapsed="false">
      <c r="A39" s="0" t="s">
        <v>1724</v>
      </c>
      <c r="B39" s="0" t="s">
        <v>1743</v>
      </c>
      <c r="C39" s="0" t="s">
        <v>1750</v>
      </c>
      <c r="D39" s="0" t="n">
        <v>-5.396</v>
      </c>
      <c r="E39" s="5" t="s">
        <v>1751</v>
      </c>
      <c r="F39" s="0" t="s">
        <v>1752</v>
      </c>
      <c r="G39" s="5" t="s">
        <v>1736</v>
      </c>
    </row>
    <row r="40" customFormat="false" ht="17.15" hidden="false" customHeight="false" outlineLevel="0" collapsed="false">
      <c r="A40" s="0" t="s">
        <v>1724</v>
      </c>
      <c r="B40" s="0" t="s">
        <v>1753</v>
      </c>
      <c r="C40" s="0" t="s">
        <v>1747</v>
      </c>
      <c r="D40" s="0" t="n">
        <v>92.5</v>
      </c>
      <c r="E40" s="5" t="s">
        <v>1754</v>
      </c>
      <c r="F40" s="0" t="s">
        <v>1755</v>
      </c>
      <c r="G40" s="5" t="s">
        <v>1756</v>
      </c>
    </row>
    <row r="41" customFormat="false" ht="17.15" hidden="false" customHeight="false" outlineLevel="0" collapsed="false">
      <c r="A41" s="0" t="s">
        <v>1724</v>
      </c>
      <c r="B41" s="0" t="s">
        <v>1743</v>
      </c>
      <c r="C41" s="0" t="s">
        <v>1738</v>
      </c>
      <c r="D41" s="0" t="n">
        <v>20</v>
      </c>
      <c r="E41" s="0" t="s">
        <v>1757</v>
      </c>
      <c r="F41" s="0" t="s">
        <v>1758</v>
      </c>
      <c r="G41" s="5" t="s">
        <v>1736</v>
      </c>
    </row>
    <row r="42" customFormat="false" ht="17.15" hidden="false" customHeight="false" outlineLevel="0" collapsed="false">
      <c r="A42" s="0" t="s">
        <v>1724</v>
      </c>
      <c r="B42" s="0" t="s">
        <v>139</v>
      </c>
      <c r="C42" s="0" t="s">
        <v>1759</v>
      </c>
      <c r="D42" s="0" t="n">
        <v>88.26</v>
      </c>
      <c r="E42" s="5" t="s">
        <v>1760</v>
      </c>
      <c r="F42" s="0" t="s">
        <v>1761</v>
      </c>
      <c r="G42" s="5" t="s">
        <v>1736</v>
      </c>
    </row>
    <row r="43" customFormat="false" ht="17.15" hidden="false" customHeight="false" outlineLevel="0" collapsed="false">
      <c r="A43" s="0" t="s">
        <v>1724</v>
      </c>
      <c r="B43" s="0" t="s">
        <v>139</v>
      </c>
      <c r="C43" s="0" t="s">
        <v>1762</v>
      </c>
      <c r="D43" s="0" t="n">
        <v>288</v>
      </c>
      <c r="E43" s="5" t="s">
        <v>1763</v>
      </c>
      <c r="F43" s="0" t="s">
        <v>1764</v>
      </c>
      <c r="G43" s="5" t="s">
        <v>1736</v>
      </c>
    </row>
    <row r="44" customFormat="false" ht="17.15" hidden="false" customHeight="false" outlineLevel="0" collapsed="false">
      <c r="A44" s="0" t="s">
        <v>1724</v>
      </c>
      <c r="B44" s="0" t="s">
        <v>139</v>
      </c>
      <c r="C44" s="0" t="s">
        <v>1765</v>
      </c>
      <c r="D44" s="0" t="n">
        <v>34.621</v>
      </c>
      <c r="E44" s="5" t="s">
        <v>1766</v>
      </c>
      <c r="F44" s="0" t="s">
        <v>1767</v>
      </c>
      <c r="G44" s="5" t="s">
        <v>1736</v>
      </c>
    </row>
    <row r="45" customFormat="false" ht="17.15" hidden="false" customHeight="false" outlineLevel="0" collapsed="false">
      <c r="A45" s="0" t="s">
        <v>1724</v>
      </c>
      <c r="B45" s="0" t="s">
        <v>1743</v>
      </c>
      <c r="C45" s="0" t="s">
        <v>1768</v>
      </c>
      <c r="D45" s="0" t="n">
        <v>11.363</v>
      </c>
      <c r="E45" s="5" t="s">
        <v>1769</v>
      </c>
      <c r="F45" s="0" t="s">
        <v>1770</v>
      </c>
      <c r="G45" s="5" t="s">
        <v>1736</v>
      </c>
    </row>
    <row r="46" customFormat="false" ht="17.15" hidden="false" customHeight="false" outlineLevel="0" collapsed="false">
      <c r="A46" s="0" t="s">
        <v>1724</v>
      </c>
      <c r="B46" s="0" t="s">
        <v>1753</v>
      </c>
      <c r="C46" s="0" t="s">
        <v>1750</v>
      </c>
      <c r="D46" s="0" t="n">
        <v>-42</v>
      </c>
      <c r="E46" s="0" t="s">
        <v>1771</v>
      </c>
      <c r="F46" s="0" t="s">
        <v>1772</v>
      </c>
      <c r="G46" s="5" t="s">
        <v>1736</v>
      </c>
    </row>
    <row r="47" customFormat="false" ht="17.15" hidden="false" customHeight="false" outlineLevel="0" collapsed="false">
      <c r="A47" s="0" t="s">
        <v>1108</v>
      </c>
      <c r="B47" s="0" t="s">
        <v>1732</v>
      </c>
      <c r="C47" s="0" t="s">
        <v>1733</v>
      </c>
      <c r="D47" s="0" t="n">
        <v>37</v>
      </c>
      <c r="E47" s="5" t="s">
        <v>1773</v>
      </c>
      <c r="F47" s="0" t="s">
        <v>1774</v>
      </c>
      <c r="G47" s="5" t="s">
        <v>1736</v>
      </c>
    </row>
    <row r="48" customFormat="false" ht="17.15" hidden="false" customHeight="false" outlineLevel="0" collapsed="false">
      <c r="A48" s="0" t="s">
        <v>1108</v>
      </c>
      <c r="B48" s="0" t="s">
        <v>1775</v>
      </c>
      <c r="C48" s="0" t="s">
        <v>1768</v>
      </c>
      <c r="D48" s="0" t="n">
        <v>6.3</v>
      </c>
      <c r="E48" s="0" t="s">
        <v>1776</v>
      </c>
      <c r="F48" s="0" t="s">
        <v>1777</v>
      </c>
      <c r="G48" s="5" t="s">
        <v>1736</v>
      </c>
    </row>
    <row r="49" customFormat="false" ht="17.15" hidden="false" customHeight="false" outlineLevel="0" collapsed="false">
      <c r="A49" s="0" t="s">
        <v>1127</v>
      </c>
      <c r="B49" s="0" t="s">
        <v>1778</v>
      </c>
      <c r="C49" s="0" t="s">
        <v>1779</v>
      </c>
      <c r="D49" s="0" t="n">
        <v>5.75</v>
      </c>
      <c r="E49" s="5" t="s">
        <v>1780</v>
      </c>
      <c r="F49" s="0" t="s">
        <v>1781</v>
      </c>
      <c r="G49" s="0" t="s">
        <v>1782</v>
      </c>
    </row>
    <row r="50" customFormat="false" ht="17.15" hidden="false" customHeight="false" outlineLevel="0" collapsed="false">
      <c r="A50" s="0" t="s">
        <v>1127</v>
      </c>
      <c r="B50" s="0" t="s">
        <v>1783</v>
      </c>
      <c r="C50" s="0" t="s">
        <v>1784</v>
      </c>
      <c r="D50" s="0" t="n">
        <v>0.775</v>
      </c>
      <c r="E50" s="5" t="s">
        <v>1785</v>
      </c>
      <c r="F50" s="0" t="s">
        <v>1786</v>
      </c>
      <c r="G50" s="5" t="s">
        <v>1787</v>
      </c>
    </row>
    <row r="51" customFormat="false" ht="17.15" hidden="false" customHeight="false" outlineLevel="0" collapsed="false">
      <c r="A51" s="0" t="s">
        <v>1127</v>
      </c>
      <c r="B51" s="0" t="s">
        <v>1732</v>
      </c>
      <c r="C51" s="0" t="s">
        <v>1747</v>
      </c>
      <c r="D51" s="0" t="n">
        <v>22.5</v>
      </c>
      <c r="E51" s="5" t="s">
        <v>1788</v>
      </c>
      <c r="F51" s="0" t="s">
        <v>1789</v>
      </c>
      <c r="G51" s="5" t="s">
        <v>1756</v>
      </c>
    </row>
    <row r="52" customFormat="false" ht="17.15" hidden="false" customHeight="false" outlineLevel="0" collapsed="false">
      <c r="A52" s="0" t="s">
        <v>1323</v>
      </c>
      <c r="B52" s="0" t="s">
        <v>1732</v>
      </c>
      <c r="C52" s="0" t="s">
        <v>1750</v>
      </c>
      <c r="D52" s="0" t="n">
        <v>-25</v>
      </c>
      <c r="E52" s="5" t="s">
        <v>1790</v>
      </c>
      <c r="F52" s="0" t="s">
        <v>1791</v>
      </c>
      <c r="G52" s="5" t="s">
        <v>1736</v>
      </c>
    </row>
    <row r="53" customFormat="false" ht="17.15" hidden="false" customHeight="false" outlineLevel="0" collapsed="false">
      <c r="A53" s="0" t="s">
        <v>1715</v>
      </c>
      <c r="B53" s="0" t="s">
        <v>1743</v>
      </c>
      <c r="C53" s="0" t="s">
        <v>1744</v>
      </c>
      <c r="D53" s="0" t="n">
        <v>58</v>
      </c>
      <c r="E53" s="5" t="s">
        <v>1792</v>
      </c>
      <c r="F53" s="0" t="s">
        <v>1793</v>
      </c>
      <c r="G53" s="0" t="s">
        <v>1794</v>
      </c>
    </row>
    <row r="54" customFormat="false" ht="17.15" hidden="false" customHeight="false" outlineLevel="0" collapsed="false">
      <c r="A54" s="0" t="s">
        <v>1715</v>
      </c>
      <c r="B54" s="0" t="s">
        <v>1743</v>
      </c>
      <c r="C54" s="0" t="s">
        <v>1747</v>
      </c>
      <c r="D54" s="0" t="n">
        <v>39.367</v>
      </c>
      <c r="E54" s="0" t="s">
        <v>1795</v>
      </c>
      <c r="F54" s="0" t="s">
        <v>1796</v>
      </c>
      <c r="G54" s="0" t="s">
        <v>1794</v>
      </c>
    </row>
    <row r="55" customFormat="false" ht="17.15" hidden="false" customHeight="false" outlineLevel="0" collapsed="false">
      <c r="A55" s="0" t="s">
        <v>1715</v>
      </c>
      <c r="B55" s="0" t="s">
        <v>1743</v>
      </c>
      <c r="C55" s="0" t="s">
        <v>1797</v>
      </c>
      <c r="D55" s="0" t="n">
        <v>5.192</v>
      </c>
      <c r="E55" s="5" t="s">
        <v>1798</v>
      </c>
      <c r="F55" s="0" t="s">
        <v>1799</v>
      </c>
      <c r="G55" s="0" t="s">
        <v>1794</v>
      </c>
    </row>
    <row r="56" customFormat="false" ht="17.15" hidden="false" customHeight="false" outlineLevel="0" collapsed="false">
      <c r="A56" s="0" t="s">
        <v>1715</v>
      </c>
      <c r="B56" s="0" t="s">
        <v>1743</v>
      </c>
      <c r="C56" s="0" t="s">
        <v>1733</v>
      </c>
      <c r="D56" s="0" t="n">
        <v>45.2</v>
      </c>
      <c r="E56" s="5" t="s">
        <v>1800</v>
      </c>
      <c r="F56" s="0" t="s">
        <v>1801</v>
      </c>
      <c r="G56" s="0" t="s">
        <v>1794</v>
      </c>
    </row>
    <row r="57" customFormat="false" ht="17.15" hidden="false" customHeight="false" outlineLevel="0" collapsed="false">
      <c r="A57" s="0" t="s">
        <v>1715</v>
      </c>
      <c r="B57" s="0" t="s">
        <v>1743</v>
      </c>
      <c r="C57" s="0" t="s">
        <v>1750</v>
      </c>
      <c r="D57" s="0" t="n">
        <v>18.633</v>
      </c>
      <c r="E57" s="5" t="s">
        <v>1802</v>
      </c>
      <c r="F57" s="0" t="s">
        <v>1803</v>
      </c>
      <c r="G57" s="0" t="s">
        <v>1794</v>
      </c>
    </row>
    <row r="58" customFormat="false" ht="17.15" hidden="false" customHeight="false" outlineLevel="0" collapsed="false">
      <c r="A58" s="0" t="s">
        <v>1715</v>
      </c>
      <c r="B58" s="0" t="s">
        <v>1743</v>
      </c>
      <c r="C58" s="0" t="s">
        <v>1804</v>
      </c>
      <c r="D58" s="0" t="n">
        <v>11.136</v>
      </c>
      <c r="E58" s="5" t="s">
        <v>1805</v>
      </c>
      <c r="F58" s="0" t="s">
        <v>1806</v>
      </c>
      <c r="G58" s="0" t="s">
        <v>1794</v>
      </c>
    </row>
    <row r="59" customFormat="false" ht="17.15" hidden="false" customHeight="false" outlineLevel="0" collapsed="false">
      <c r="A59" s="0" t="s">
        <v>1715</v>
      </c>
      <c r="B59" s="0" t="s">
        <v>1743</v>
      </c>
      <c r="C59" s="0" t="s">
        <v>1779</v>
      </c>
      <c r="D59" s="0" t="n">
        <v>0</v>
      </c>
      <c r="E59" s="5" t="s">
        <v>1807</v>
      </c>
      <c r="F59" s="0" t="s">
        <v>1808</v>
      </c>
      <c r="G59" s="0" t="s">
        <v>1794</v>
      </c>
    </row>
    <row r="60" customFormat="false" ht="17.15" hidden="false" customHeight="false" outlineLevel="0" collapsed="false">
      <c r="A60" s="0" t="s">
        <v>1715</v>
      </c>
      <c r="B60" s="0" t="s">
        <v>1809</v>
      </c>
      <c r="C60" s="0" t="s">
        <v>1762</v>
      </c>
      <c r="D60" s="0" t="n">
        <v>364.6</v>
      </c>
      <c r="E60" s="5" t="s">
        <v>1810</v>
      </c>
      <c r="F60" s="0" t="s">
        <v>1811</v>
      </c>
      <c r="G60" s="0" t="s">
        <v>1794</v>
      </c>
    </row>
    <row r="61" customFormat="false" ht="17.15" hidden="false" customHeight="false" outlineLevel="0" collapsed="false">
      <c r="A61" s="0" t="s">
        <v>1715</v>
      </c>
      <c r="B61" s="0" t="s">
        <v>1809</v>
      </c>
      <c r="C61" s="0" t="s">
        <v>1812</v>
      </c>
      <c r="D61" s="0" t="n">
        <v>70.973</v>
      </c>
      <c r="E61" s="5" t="s">
        <v>1813</v>
      </c>
      <c r="F61" s="0" t="s">
        <v>1814</v>
      </c>
      <c r="G61" s="0" t="s">
        <v>1794</v>
      </c>
    </row>
    <row r="62" customFormat="false" ht="17.15" hidden="false" customHeight="false" outlineLevel="0" collapsed="false">
      <c r="A62" s="0" t="s">
        <v>1715</v>
      </c>
      <c r="B62" s="0" t="s">
        <v>1732</v>
      </c>
      <c r="C62" s="0" t="s">
        <v>1733</v>
      </c>
      <c r="D62" s="0" t="n">
        <v>170</v>
      </c>
      <c r="E62" s="5" t="s">
        <v>1815</v>
      </c>
      <c r="F62" s="0" t="s">
        <v>1816</v>
      </c>
      <c r="G62" s="0" t="s">
        <v>1794</v>
      </c>
    </row>
    <row r="63" customFormat="false" ht="17.15" hidden="false" customHeight="false" outlineLevel="0" collapsed="false">
      <c r="A63" s="0" t="s">
        <v>1715</v>
      </c>
      <c r="B63" s="0" t="s">
        <v>1817</v>
      </c>
      <c r="C63" s="0" t="s">
        <v>1733</v>
      </c>
      <c r="D63" s="0" t="n">
        <v>50</v>
      </c>
      <c r="E63" s="5" t="s">
        <v>1818</v>
      </c>
      <c r="F63" s="0" t="s">
        <v>1819</v>
      </c>
      <c r="G63" s="0" t="s">
        <v>1794</v>
      </c>
    </row>
    <row r="64" customFormat="false" ht="17.15" hidden="false" customHeight="false" outlineLevel="0" collapsed="false">
      <c r="A64" s="0" t="s">
        <v>1719</v>
      </c>
      <c r="B64" s="0" t="s">
        <v>1732</v>
      </c>
      <c r="C64" s="0" t="s">
        <v>1747</v>
      </c>
      <c r="D64" s="0" t="n">
        <v>200</v>
      </c>
      <c r="E64" s="5" t="s">
        <v>1820</v>
      </c>
      <c r="F64" s="0" t="s">
        <v>1821</v>
      </c>
      <c r="G64" s="0" t="s">
        <v>1794</v>
      </c>
    </row>
    <row r="65" customFormat="false" ht="17.15" hidden="false" customHeight="false" outlineLevel="0" collapsed="false">
      <c r="A65" s="0" t="s">
        <v>1723</v>
      </c>
      <c r="B65" s="0" t="s">
        <v>1732</v>
      </c>
      <c r="C65" s="0" t="s">
        <v>1747</v>
      </c>
      <c r="D65" s="0" t="n">
        <v>220</v>
      </c>
      <c r="E65" s="5" t="s">
        <v>1822</v>
      </c>
      <c r="F65" s="0" t="s">
        <v>1823</v>
      </c>
      <c r="G65" s="0" t="s">
        <v>1794</v>
      </c>
    </row>
    <row r="67" customFormat="false" ht="17.15" hidden="false" customHeight="false" outlineLevel="0" collapsed="false">
      <c r="A67" s="21" t="s">
        <v>1824</v>
      </c>
    </row>
    <row r="69" customFormat="false" ht="17.15" hidden="false" customHeight="false" outlineLevel="0" collapsed="false">
      <c r="A69" s="21" t="s">
        <v>1825</v>
      </c>
    </row>
    <row r="70" customFormat="false" ht="17.15" hidden="false" customHeight="false" outlineLevel="0" collapsed="false">
      <c r="A70" s="7" t="s">
        <v>1826</v>
      </c>
      <c r="B70" s="6" t="s">
        <v>1827</v>
      </c>
      <c r="C70" s="6" t="s">
        <v>1828</v>
      </c>
      <c r="D70" s="6" t="s">
        <v>1829</v>
      </c>
      <c r="E70" s="6" t="s">
        <v>1830</v>
      </c>
      <c r="F70" s="6" t="s">
        <v>1831</v>
      </c>
    </row>
    <row r="71" customFormat="false" ht="124.6" hidden="false" customHeight="false" outlineLevel="0" collapsed="false">
      <c r="A71" s="0" t="n">
        <v>1</v>
      </c>
      <c r="B71" s="3" t="s">
        <v>1832</v>
      </c>
      <c r="C71" s="3" t="s">
        <v>1323</v>
      </c>
      <c r="D71" s="2" t="s">
        <v>1833</v>
      </c>
      <c r="E71" s="3" t="s">
        <v>1834</v>
      </c>
      <c r="F71" s="3" t="s">
        <v>1835</v>
      </c>
    </row>
    <row r="72" customFormat="false" ht="151.45" hidden="false" customHeight="false" outlineLevel="0" collapsed="false">
      <c r="A72" s="0" t="n">
        <v>2</v>
      </c>
      <c r="B72" s="3" t="s">
        <v>1832</v>
      </c>
      <c r="C72" s="2" t="s">
        <v>1836</v>
      </c>
      <c r="D72" s="2" t="s">
        <v>1837</v>
      </c>
      <c r="E72" s="2" t="s">
        <v>1838</v>
      </c>
      <c r="F72" s="3" t="s">
        <v>1839</v>
      </c>
    </row>
    <row r="73" customFormat="false" ht="79.85" hidden="false" customHeight="false" outlineLevel="0" collapsed="false">
      <c r="A73" s="0" t="n">
        <v>3</v>
      </c>
      <c r="B73" s="3" t="s">
        <v>1832</v>
      </c>
      <c r="C73" s="3" t="s">
        <v>1325</v>
      </c>
      <c r="D73" s="2" t="s">
        <v>1840</v>
      </c>
      <c r="E73" s="3" t="s">
        <v>1841</v>
      </c>
      <c r="F73" s="3" t="s">
        <v>1842</v>
      </c>
    </row>
    <row r="74" customFormat="false" ht="75.35" hidden="false" customHeight="false" outlineLevel="0" collapsed="false">
      <c r="A74" s="0" t="n">
        <v>4</v>
      </c>
      <c r="B74" s="3" t="s">
        <v>1832</v>
      </c>
      <c r="C74" s="3" t="s">
        <v>1324</v>
      </c>
      <c r="D74" s="2" t="s">
        <v>1843</v>
      </c>
      <c r="E74" s="3" t="s">
        <v>1844</v>
      </c>
      <c r="F74" s="3" t="s">
        <v>1845</v>
      </c>
    </row>
    <row r="75" customFormat="false" ht="64.15" hidden="false" customHeight="false" outlineLevel="0" collapsed="false">
      <c r="A75" s="0" t="n">
        <v>5</v>
      </c>
      <c r="B75" s="3" t="s">
        <v>1846</v>
      </c>
      <c r="C75" s="3" t="s">
        <v>1323</v>
      </c>
      <c r="D75" s="2" t="s">
        <v>1847</v>
      </c>
      <c r="E75" s="3" t="s">
        <v>1848</v>
      </c>
      <c r="F75" s="3" t="s">
        <v>1849</v>
      </c>
    </row>
    <row r="76" customFormat="false" ht="48.5" hidden="false" customHeight="false" outlineLevel="0" collapsed="false">
      <c r="A76" s="0" t="n">
        <v>6</v>
      </c>
      <c r="B76" s="3" t="s">
        <v>1846</v>
      </c>
      <c r="C76" s="3" t="s">
        <v>1324</v>
      </c>
      <c r="D76" s="2" t="s">
        <v>1850</v>
      </c>
      <c r="E76" s="2" t="s">
        <v>1851</v>
      </c>
      <c r="F76" s="3" t="s">
        <v>1852</v>
      </c>
    </row>
    <row r="77" customFormat="false" ht="77.6" hidden="false" customHeight="false" outlineLevel="0" collapsed="false">
      <c r="A77" s="0" t="n">
        <v>7</v>
      </c>
      <c r="B77" s="3" t="s">
        <v>1715</v>
      </c>
      <c r="C77" s="3" t="s">
        <v>1323</v>
      </c>
      <c r="D77" s="2" t="s">
        <v>1853</v>
      </c>
      <c r="E77" s="3" t="s">
        <v>1854</v>
      </c>
      <c r="F77" s="3" t="s">
        <v>1855</v>
      </c>
    </row>
    <row r="78" customFormat="false" ht="44" hidden="false" customHeight="false" outlineLevel="0" collapsed="false">
      <c r="A78" s="0" t="n">
        <v>8</v>
      </c>
      <c r="B78" s="3" t="s">
        <v>1715</v>
      </c>
      <c r="C78" s="3" t="s">
        <v>1324</v>
      </c>
      <c r="D78" s="2" t="s">
        <v>1856</v>
      </c>
      <c r="E78" s="3" t="s">
        <v>1857</v>
      </c>
      <c r="F78" s="3" t="s">
        <v>1845</v>
      </c>
    </row>
    <row r="79" customFormat="false" ht="108.95" hidden="false" customHeight="false" outlineLevel="0" collapsed="false">
      <c r="A79" s="0" t="n">
        <v>9</v>
      </c>
      <c r="B79" s="3" t="s">
        <v>1715</v>
      </c>
      <c r="C79" s="3" t="s">
        <v>1858</v>
      </c>
      <c r="D79" s="2" t="s">
        <v>1859</v>
      </c>
      <c r="E79" s="2" t="s">
        <v>1860</v>
      </c>
      <c r="F79" s="3" t="s">
        <v>1861</v>
      </c>
    </row>
    <row r="80" customFormat="false" ht="91" hidden="false" customHeight="false" outlineLevel="0" collapsed="false">
      <c r="A80" s="0" t="n">
        <v>10</v>
      </c>
      <c r="B80" s="3" t="s">
        <v>1723</v>
      </c>
      <c r="C80" s="3" t="s">
        <v>1323</v>
      </c>
      <c r="D80" s="3" t="s">
        <v>1862</v>
      </c>
      <c r="E80" s="3" t="s">
        <v>1863</v>
      </c>
      <c r="F80" s="3" t="s">
        <v>1864</v>
      </c>
    </row>
    <row r="81" customFormat="false" ht="61.9" hidden="false" customHeight="false" outlineLevel="0" collapsed="false">
      <c r="A81" s="0" t="n">
        <v>11</v>
      </c>
      <c r="B81" s="3" t="s">
        <v>1723</v>
      </c>
      <c r="C81" s="3" t="s">
        <v>1324</v>
      </c>
      <c r="D81" s="2" t="s">
        <v>1865</v>
      </c>
      <c r="E81" s="3" t="s">
        <v>1866</v>
      </c>
      <c r="F81" s="3" t="s">
        <v>1867</v>
      </c>
    </row>
    <row r="82" customFormat="false" ht="211.9" hidden="false" customHeight="false" outlineLevel="0" collapsed="false">
      <c r="A82" s="0" t="n">
        <v>12</v>
      </c>
      <c r="B82" s="3" t="s">
        <v>1868</v>
      </c>
      <c r="C82" s="3" t="s">
        <v>1324</v>
      </c>
      <c r="D82" s="2" t="s">
        <v>1869</v>
      </c>
      <c r="E82" s="3" t="s">
        <v>1870</v>
      </c>
      <c r="F82" s="3" t="s">
        <v>1871</v>
      </c>
    </row>
    <row r="83" customFormat="false" ht="79.85" hidden="false" customHeight="false" outlineLevel="0" collapsed="false">
      <c r="A83" s="0" t="n">
        <v>13</v>
      </c>
      <c r="B83" s="3" t="s">
        <v>1872</v>
      </c>
      <c r="C83" s="3" t="s">
        <v>1324</v>
      </c>
      <c r="D83" s="2" t="s">
        <v>1873</v>
      </c>
      <c r="E83" s="3" t="s">
        <v>1874</v>
      </c>
      <c r="F83" s="3" t="s">
        <v>1875</v>
      </c>
    </row>
    <row r="84" customFormat="false" ht="106.7" hidden="false" customHeight="false" outlineLevel="0" collapsed="false">
      <c r="A84" s="0" t="n">
        <v>14</v>
      </c>
      <c r="B84" s="3" t="s">
        <v>1876</v>
      </c>
      <c r="C84" s="3" t="s">
        <v>1323</v>
      </c>
      <c r="D84" s="2" t="s">
        <v>1877</v>
      </c>
      <c r="E84" s="3" t="s">
        <v>1878</v>
      </c>
      <c r="F84" s="3" t="s">
        <v>1879</v>
      </c>
    </row>
    <row r="85" customFormat="false" ht="111.15" hidden="false" customHeight="false" outlineLevel="0" collapsed="false">
      <c r="A85" s="0" t="n">
        <v>15</v>
      </c>
      <c r="B85" s="3" t="s">
        <v>1724</v>
      </c>
      <c r="C85" s="3" t="s">
        <v>1323</v>
      </c>
      <c r="D85" s="2" t="s">
        <v>1880</v>
      </c>
      <c r="E85" s="3" t="s">
        <v>1881</v>
      </c>
      <c r="F85" s="3" t="s">
        <v>1882</v>
      </c>
    </row>
    <row r="86" customFormat="false" ht="93.25" hidden="false" customHeight="false" outlineLevel="0" collapsed="false">
      <c r="A86" s="0" t="n">
        <v>16</v>
      </c>
      <c r="B86" s="3" t="s">
        <v>1883</v>
      </c>
      <c r="C86" s="3" t="s">
        <v>1324</v>
      </c>
      <c r="D86" s="3" t="s">
        <v>36</v>
      </c>
      <c r="E86" s="3" t="s">
        <v>1884</v>
      </c>
      <c r="F86" s="3" t="s">
        <v>1885</v>
      </c>
    </row>
    <row r="87" customFormat="false" ht="64.15" hidden="false" customHeight="false" outlineLevel="0" collapsed="false">
      <c r="A87" s="0" t="n">
        <v>17</v>
      </c>
      <c r="B87" s="3" t="s">
        <v>1886</v>
      </c>
      <c r="C87" s="3" t="s">
        <v>1070</v>
      </c>
      <c r="D87" s="2" t="s">
        <v>1887</v>
      </c>
      <c r="E87" s="3" t="s">
        <v>1888</v>
      </c>
      <c r="F87" s="3" t="s">
        <v>1889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1890</v>
      </c>
    </row>
    <row r="3" customFormat="false" ht="17.15" hidden="false" customHeight="false" outlineLevel="0" collapsed="false">
      <c r="A3" s="7" t="s">
        <v>1730</v>
      </c>
      <c r="B3" s="6" t="s">
        <v>1364</v>
      </c>
      <c r="C3" s="6" t="s">
        <v>15</v>
      </c>
      <c r="D3" s="6" t="s">
        <v>1642</v>
      </c>
      <c r="E3" s="6" t="s">
        <v>1891</v>
      </c>
      <c r="F3" s="6" t="s">
        <v>16</v>
      </c>
      <c r="G3" s="6" t="s">
        <v>1729</v>
      </c>
      <c r="H3" s="6" t="s">
        <v>18</v>
      </c>
      <c r="I3" s="6" t="s">
        <v>21</v>
      </c>
      <c r="J3" s="6" t="s">
        <v>19</v>
      </c>
      <c r="K3" s="6" t="s">
        <v>1892</v>
      </c>
      <c r="L3" s="6" t="s">
        <v>1893</v>
      </c>
      <c r="M3" s="7" t="s">
        <v>1731</v>
      </c>
      <c r="N3" s="7" t="s">
        <v>1894</v>
      </c>
      <c r="O3" s="6" t="s">
        <v>1895</v>
      </c>
    </row>
    <row r="4" customFormat="false" ht="17.15" hidden="false" customHeight="false" outlineLevel="0" collapsed="false">
      <c r="A4" s="17" t="s">
        <v>1896</v>
      </c>
      <c r="B4" s="17" t="s">
        <v>1715</v>
      </c>
      <c r="C4" s="17" t="s">
        <v>507</v>
      </c>
      <c r="D4" s="17" t="s">
        <v>1716</v>
      </c>
      <c r="E4" s="17" t="s">
        <v>23</v>
      </c>
      <c r="F4" s="17" t="s">
        <v>1744</v>
      </c>
      <c r="G4" s="17" t="n">
        <v>118.548</v>
      </c>
      <c r="H4" s="17" t="s">
        <v>1897</v>
      </c>
      <c r="I4" s="18" t="s">
        <v>1898</v>
      </c>
      <c r="J4" s="17" t="s">
        <v>1899</v>
      </c>
      <c r="K4" s="17" t="s">
        <v>1900</v>
      </c>
      <c r="L4" s="17" t="s">
        <v>1901</v>
      </c>
      <c r="M4" s="18" t="s">
        <v>1902</v>
      </c>
      <c r="N4" s="17"/>
      <c r="O4" s="17" t="n">
        <v>0</v>
      </c>
    </row>
    <row r="5" customFormat="false" ht="17.15" hidden="false" customHeight="false" outlineLevel="0" collapsed="false">
      <c r="A5" s="17" t="s">
        <v>1903</v>
      </c>
      <c r="B5" s="17" t="s">
        <v>1715</v>
      </c>
      <c r="C5" s="17" t="s">
        <v>507</v>
      </c>
      <c r="D5" s="17" t="s">
        <v>1716</v>
      </c>
      <c r="E5" s="17" t="s">
        <v>23</v>
      </c>
      <c r="F5" s="17" t="s">
        <v>1747</v>
      </c>
      <c r="G5" s="17" t="n">
        <v>44.477</v>
      </c>
      <c r="H5" s="17" t="s">
        <v>1897</v>
      </c>
      <c r="I5" s="17" t="s">
        <v>1904</v>
      </c>
      <c r="J5" s="17" t="s">
        <v>1899</v>
      </c>
      <c r="K5" s="17" t="s">
        <v>1900</v>
      </c>
      <c r="L5" s="17" t="s">
        <v>1901</v>
      </c>
      <c r="M5" s="18" t="s">
        <v>1902</v>
      </c>
      <c r="N5" s="17"/>
      <c r="O5" s="17" t="n">
        <v>0</v>
      </c>
    </row>
    <row r="6" customFormat="false" ht="17.15" hidden="false" customHeight="false" outlineLevel="0" collapsed="false">
      <c r="A6" s="17" t="s">
        <v>1905</v>
      </c>
      <c r="B6" s="17" t="s">
        <v>1715</v>
      </c>
      <c r="C6" s="17" t="s">
        <v>507</v>
      </c>
      <c r="D6" s="17" t="s">
        <v>1716</v>
      </c>
      <c r="E6" s="17" t="s">
        <v>23</v>
      </c>
      <c r="F6" s="17" t="s">
        <v>1797</v>
      </c>
      <c r="G6" s="17" t="n">
        <v>11.633</v>
      </c>
      <c r="H6" s="17" t="s">
        <v>1897</v>
      </c>
      <c r="I6" s="18" t="s">
        <v>1906</v>
      </c>
      <c r="J6" s="17" t="s">
        <v>1899</v>
      </c>
      <c r="K6" s="17" t="s">
        <v>1900</v>
      </c>
      <c r="L6" s="17" t="s">
        <v>1901</v>
      </c>
      <c r="M6" s="18" t="s">
        <v>1902</v>
      </c>
      <c r="N6" s="17"/>
      <c r="O6" s="17" t="n">
        <v>0</v>
      </c>
    </row>
    <row r="7" customFormat="false" ht="17.15" hidden="false" customHeight="false" outlineLevel="0" collapsed="false">
      <c r="A7" s="17" t="s">
        <v>1907</v>
      </c>
      <c r="B7" s="17" t="s">
        <v>1715</v>
      </c>
      <c r="C7" s="17" t="s">
        <v>507</v>
      </c>
      <c r="D7" s="17" t="s">
        <v>1716</v>
      </c>
      <c r="E7" s="17" t="s">
        <v>23</v>
      </c>
      <c r="F7" s="17" t="s">
        <v>1733</v>
      </c>
      <c r="G7" s="17" t="n">
        <v>56.11</v>
      </c>
      <c r="H7" s="17" t="s">
        <v>1897</v>
      </c>
      <c r="I7" s="18" t="s">
        <v>1908</v>
      </c>
      <c r="J7" s="17" t="s">
        <v>1909</v>
      </c>
      <c r="K7" s="17" t="s">
        <v>1900</v>
      </c>
      <c r="L7" s="17" t="s">
        <v>1901</v>
      </c>
      <c r="M7" s="18" t="s">
        <v>1902</v>
      </c>
      <c r="N7" s="17"/>
      <c r="O7" s="17" t="n">
        <v>0</v>
      </c>
    </row>
    <row r="8" customFormat="false" ht="17.15" hidden="false" customHeight="false" outlineLevel="0" collapsed="false">
      <c r="A8" s="17" t="s">
        <v>1910</v>
      </c>
      <c r="B8" s="17" t="s">
        <v>1715</v>
      </c>
      <c r="C8" s="17" t="s">
        <v>507</v>
      </c>
      <c r="D8" s="17" t="s">
        <v>1716</v>
      </c>
      <c r="E8" s="17" t="s">
        <v>23</v>
      </c>
      <c r="F8" s="17" t="s">
        <v>1750</v>
      </c>
      <c r="G8" s="17" t="n">
        <v>74.071</v>
      </c>
      <c r="H8" s="17" t="s">
        <v>1897</v>
      </c>
      <c r="I8" s="18" t="s">
        <v>1911</v>
      </c>
      <c r="J8" s="17" t="s">
        <v>1909</v>
      </c>
      <c r="K8" s="17" t="s">
        <v>1900</v>
      </c>
      <c r="L8" s="17" t="s">
        <v>1901</v>
      </c>
      <c r="M8" s="18" t="s">
        <v>1902</v>
      </c>
      <c r="N8" s="17"/>
      <c r="O8" s="17" t="n">
        <v>0</v>
      </c>
    </row>
    <row r="9" customFormat="false" ht="17.15" hidden="false" customHeight="false" outlineLevel="0" collapsed="false">
      <c r="A9" s="0" t="s">
        <v>1912</v>
      </c>
      <c r="B9" s="0" t="s">
        <v>1715</v>
      </c>
      <c r="C9" s="0" t="s">
        <v>507</v>
      </c>
      <c r="D9" s="0" t="s">
        <v>1716</v>
      </c>
      <c r="E9" s="0" t="s">
        <v>23</v>
      </c>
      <c r="F9" s="0" t="s">
        <v>1804</v>
      </c>
      <c r="G9" s="9" t="n">
        <v>39.025</v>
      </c>
      <c r="H9" s="20" t="s">
        <v>1897</v>
      </c>
      <c r="I9" s="5" t="s">
        <v>1913</v>
      </c>
      <c r="J9" s="20" t="s">
        <v>1899</v>
      </c>
      <c r="K9" s="20" t="s">
        <v>1914</v>
      </c>
      <c r="L9" s="20" t="s">
        <v>1901</v>
      </c>
      <c r="M9" s="5" t="s">
        <v>1736</v>
      </c>
      <c r="O9" s="0" t="n">
        <v>1</v>
      </c>
    </row>
    <row r="10" customFormat="false" ht="17.15" hidden="false" customHeight="false" outlineLevel="0" collapsed="false">
      <c r="A10" s="0" t="s">
        <v>1915</v>
      </c>
      <c r="B10" s="0" t="s">
        <v>1715</v>
      </c>
      <c r="C10" s="0" t="s">
        <v>507</v>
      </c>
      <c r="D10" s="0" t="s">
        <v>1717</v>
      </c>
      <c r="E10" s="0" t="s">
        <v>24</v>
      </c>
      <c r="F10" s="0" t="s">
        <v>1744</v>
      </c>
      <c r="G10" s="9" t="n">
        <v>136.162</v>
      </c>
      <c r="H10" s="20" t="s">
        <v>1897</v>
      </c>
      <c r="I10" s="5" t="s">
        <v>1916</v>
      </c>
      <c r="J10" s="20" t="s">
        <v>1899</v>
      </c>
      <c r="K10" s="20" t="s">
        <v>1914</v>
      </c>
      <c r="L10" s="20" t="s">
        <v>1901</v>
      </c>
      <c r="M10" s="5" t="s">
        <v>1736</v>
      </c>
      <c r="O10" s="0" t="n">
        <v>1</v>
      </c>
    </row>
    <row r="11" customFormat="false" ht="17.15" hidden="false" customHeight="false" outlineLevel="0" collapsed="false">
      <c r="A11" s="0" t="s">
        <v>1917</v>
      </c>
      <c r="B11" s="0" t="s">
        <v>1715</v>
      </c>
      <c r="C11" s="0" t="s">
        <v>507</v>
      </c>
      <c r="D11" s="0" t="s">
        <v>1717</v>
      </c>
      <c r="E11" s="0" t="s">
        <v>24</v>
      </c>
      <c r="F11" s="0" t="s">
        <v>1747</v>
      </c>
      <c r="G11" s="9" t="n">
        <v>64.551</v>
      </c>
      <c r="H11" s="20" t="s">
        <v>1897</v>
      </c>
      <c r="I11" s="20" t="s">
        <v>1918</v>
      </c>
      <c r="J11" s="20" t="s">
        <v>1899</v>
      </c>
      <c r="K11" s="20" t="s">
        <v>1914</v>
      </c>
      <c r="L11" s="20" t="s">
        <v>1901</v>
      </c>
      <c r="M11" s="5" t="s">
        <v>1736</v>
      </c>
      <c r="O11" s="0" t="n">
        <v>1</v>
      </c>
    </row>
    <row r="12" customFormat="false" ht="17.15" hidden="false" customHeight="false" outlineLevel="0" collapsed="false">
      <c r="A12" s="0" t="s">
        <v>1919</v>
      </c>
      <c r="B12" s="0" t="s">
        <v>1715</v>
      </c>
      <c r="C12" s="0" t="s">
        <v>507</v>
      </c>
      <c r="D12" s="0" t="s">
        <v>1717</v>
      </c>
      <c r="E12" s="0" t="s">
        <v>24</v>
      </c>
      <c r="F12" s="0" t="s">
        <v>1797</v>
      </c>
      <c r="G12" s="9" t="n">
        <v>20.511</v>
      </c>
      <c r="H12" s="20" t="s">
        <v>1897</v>
      </c>
      <c r="I12" s="5" t="s">
        <v>1920</v>
      </c>
      <c r="J12" s="20" t="s">
        <v>1899</v>
      </c>
      <c r="K12" s="20" t="s">
        <v>1914</v>
      </c>
      <c r="L12" s="20" t="s">
        <v>1901</v>
      </c>
      <c r="M12" s="20" t="s">
        <v>1782</v>
      </c>
      <c r="O12" s="0" t="n">
        <v>1</v>
      </c>
    </row>
    <row r="13" customFormat="false" ht="17.15" hidden="false" customHeight="false" outlineLevel="0" collapsed="false">
      <c r="A13" s="0" t="s">
        <v>1921</v>
      </c>
      <c r="B13" s="0" t="s">
        <v>1715</v>
      </c>
      <c r="C13" s="0" t="s">
        <v>507</v>
      </c>
      <c r="D13" s="0" t="s">
        <v>1717</v>
      </c>
      <c r="E13" s="0" t="s">
        <v>24</v>
      </c>
      <c r="F13" s="0" t="s">
        <v>1733</v>
      </c>
      <c r="G13" s="9" t="n">
        <v>85.062</v>
      </c>
      <c r="H13" s="20" t="s">
        <v>1897</v>
      </c>
      <c r="I13" s="5" t="s">
        <v>1922</v>
      </c>
      <c r="J13" s="20" t="s">
        <v>1909</v>
      </c>
      <c r="K13" s="20" t="s">
        <v>1914</v>
      </c>
      <c r="L13" s="20" t="s">
        <v>1901</v>
      </c>
      <c r="M13" s="20" t="s">
        <v>1782</v>
      </c>
      <c r="O13" s="0" t="n">
        <v>1</v>
      </c>
    </row>
    <row r="14" customFormat="false" ht="17.15" hidden="false" customHeight="false" outlineLevel="0" collapsed="false">
      <c r="A14" s="17" t="s">
        <v>1923</v>
      </c>
      <c r="B14" s="17" t="s">
        <v>1715</v>
      </c>
      <c r="C14" s="17" t="s">
        <v>507</v>
      </c>
      <c r="D14" s="17" t="s">
        <v>1717</v>
      </c>
      <c r="E14" s="17" t="s">
        <v>24</v>
      </c>
      <c r="F14" s="17" t="s">
        <v>1750</v>
      </c>
      <c r="G14" s="17" t="n">
        <v>71.611</v>
      </c>
      <c r="H14" s="17" t="s">
        <v>1897</v>
      </c>
      <c r="I14" s="18" t="s">
        <v>1911</v>
      </c>
      <c r="J14" s="17" t="s">
        <v>1909</v>
      </c>
      <c r="K14" s="17" t="s">
        <v>1900</v>
      </c>
      <c r="L14" s="17" t="s">
        <v>1901</v>
      </c>
      <c r="M14" s="18" t="s">
        <v>1902</v>
      </c>
      <c r="N14" s="17"/>
      <c r="O14" s="17" t="n">
        <v>0</v>
      </c>
    </row>
    <row r="15" customFormat="false" ht="17.15" hidden="false" customHeight="false" outlineLevel="0" collapsed="false">
      <c r="A15" s="0" t="s">
        <v>1924</v>
      </c>
      <c r="B15" s="0" t="s">
        <v>1715</v>
      </c>
      <c r="C15" s="0" t="s">
        <v>507</v>
      </c>
      <c r="D15" s="0" t="s">
        <v>1717</v>
      </c>
      <c r="E15" s="0" t="s">
        <v>24</v>
      </c>
      <c r="F15" s="0" t="s">
        <v>1804</v>
      </c>
      <c r="G15" s="9" t="n">
        <v>42.502</v>
      </c>
      <c r="H15" s="20" t="s">
        <v>1897</v>
      </c>
      <c r="I15" s="5" t="s">
        <v>1925</v>
      </c>
      <c r="J15" s="20" t="s">
        <v>1899</v>
      </c>
      <c r="K15" s="20" t="s">
        <v>1914</v>
      </c>
      <c r="L15" s="20" t="s">
        <v>1901</v>
      </c>
      <c r="M15" s="5" t="s">
        <v>1736</v>
      </c>
      <c r="O15" s="0" t="n">
        <v>1</v>
      </c>
    </row>
    <row r="16" customFormat="false" ht="17.15" hidden="false" customHeight="false" outlineLevel="0" collapsed="false">
      <c r="A16" s="0" t="s">
        <v>1926</v>
      </c>
      <c r="B16" s="0" t="s">
        <v>1715</v>
      </c>
      <c r="C16" s="0" t="s">
        <v>507</v>
      </c>
      <c r="D16" s="0" t="s">
        <v>1718</v>
      </c>
      <c r="E16" s="0" t="s">
        <v>25</v>
      </c>
      <c r="F16" s="0" t="s">
        <v>1744</v>
      </c>
      <c r="G16" s="9" t="n">
        <v>182.935</v>
      </c>
      <c r="H16" s="20" t="s">
        <v>1897</v>
      </c>
      <c r="I16" s="5" t="s">
        <v>1916</v>
      </c>
      <c r="J16" s="20" t="s">
        <v>1899</v>
      </c>
      <c r="K16" s="20" t="s">
        <v>1914</v>
      </c>
      <c r="L16" s="20" t="s">
        <v>1901</v>
      </c>
      <c r="M16" s="5" t="s">
        <v>1736</v>
      </c>
      <c r="O16" s="0" t="n">
        <v>1</v>
      </c>
    </row>
    <row r="17" customFormat="false" ht="17.15" hidden="false" customHeight="false" outlineLevel="0" collapsed="false">
      <c r="A17" s="0" t="s">
        <v>1927</v>
      </c>
      <c r="B17" s="0" t="s">
        <v>1715</v>
      </c>
      <c r="C17" s="0" t="s">
        <v>507</v>
      </c>
      <c r="D17" s="0" t="s">
        <v>1718</v>
      </c>
      <c r="E17" s="0" t="s">
        <v>25</v>
      </c>
      <c r="F17" s="0" t="s">
        <v>1747</v>
      </c>
      <c r="G17" s="9" t="n">
        <v>115.948</v>
      </c>
      <c r="H17" s="20" t="s">
        <v>1897</v>
      </c>
      <c r="I17" s="20" t="s">
        <v>1918</v>
      </c>
      <c r="J17" s="20" t="s">
        <v>1899</v>
      </c>
      <c r="K17" s="20" t="s">
        <v>1914</v>
      </c>
      <c r="L17" s="20" t="s">
        <v>1901</v>
      </c>
      <c r="M17" s="5" t="s">
        <v>1736</v>
      </c>
      <c r="O17" s="0" t="n">
        <v>1</v>
      </c>
    </row>
    <row r="18" customFormat="false" ht="17.15" hidden="false" customHeight="false" outlineLevel="0" collapsed="false">
      <c r="A18" s="17" t="s">
        <v>1928</v>
      </c>
      <c r="B18" s="17" t="s">
        <v>1715</v>
      </c>
      <c r="C18" s="17" t="s">
        <v>507</v>
      </c>
      <c r="D18" s="17" t="s">
        <v>1718</v>
      </c>
      <c r="E18" s="17" t="s">
        <v>25</v>
      </c>
      <c r="F18" s="17" t="s">
        <v>1797</v>
      </c>
      <c r="G18" s="17" t="n">
        <v>24.608</v>
      </c>
      <c r="H18" s="17" t="s">
        <v>1897</v>
      </c>
      <c r="I18" s="18" t="s">
        <v>1906</v>
      </c>
      <c r="J18" s="17" t="s">
        <v>1899</v>
      </c>
      <c r="K18" s="17" t="s">
        <v>1900</v>
      </c>
      <c r="L18" s="17" t="s">
        <v>1901</v>
      </c>
      <c r="M18" s="18" t="s">
        <v>1929</v>
      </c>
      <c r="N18" s="17"/>
      <c r="O18" s="17" t="n">
        <v>0</v>
      </c>
    </row>
    <row r="19" customFormat="false" ht="17.15" hidden="false" customHeight="false" outlineLevel="0" collapsed="false">
      <c r="A19" s="0" t="s">
        <v>1930</v>
      </c>
      <c r="B19" s="0" t="s">
        <v>1715</v>
      </c>
      <c r="C19" s="0" t="s">
        <v>507</v>
      </c>
      <c r="D19" s="0" t="s">
        <v>1718</v>
      </c>
      <c r="E19" s="0" t="s">
        <v>25</v>
      </c>
      <c r="F19" s="0" t="s">
        <v>1733</v>
      </c>
      <c r="G19" s="9" t="n">
        <v>140.556</v>
      </c>
      <c r="H19" s="20" t="s">
        <v>1897</v>
      </c>
      <c r="I19" s="5" t="s">
        <v>1922</v>
      </c>
      <c r="J19" s="20" t="s">
        <v>1909</v>
      </c>
      <c r="K19" s="20" t="s">
        <v>1914</v>
      </c>
      <c r="L19" s="20" t="s">
        <v>1901</v>
      </c>
      <c r="M19" s="20" t="s">
        <v>1782</v>
      </c>
      <c r="O19" s="0" t="n">
        <v>1</v>
      </c>
    </row>
    <row r="20" customFormat="false" ht="17.15" hidden="false" customHeight="false" outlineLevel="0" collapsed="false">
      <c r="A20" s="17" t="s">
        <v>1931</v>
      </c>
      <c r="B20" s="17" t="s">
        <v>1715</v>
      </c>
      <c r="C20" s="17" t="s">
        <v>507</v>
      </c>
      <c r="D20" s="17" t="s">
        <v>1718</v>
      </c>
      <c r="E20" s="17" t="s">
        <v>25</v>
      </c>
      <c r="F20" s="17" t="s">
        <v>1750</v>
      </c>
      <c r="G20" s="17" t="n">
        <v>66.987</v>
      </c>
      <c r="H20" s="17" t="s">
        <v>1897</v>
      </c>
      <c r="I20" s="18" t="s">
        <v>1911</v>
      </c>
      <c r="J20" s="17" t="s">
        <v>1909</v>
      </c>
      <c r="K20" s="17" t="s">
        <v>1900</v>
      </c>
      <c r="L20" s="17" t="s">
        <v>1901</v>
      </c>
      <c r="M20" s="18" t="s">
        <v>1902</v>
      </c>
      <c r="N20" s="17"/>
      <c r="O20" s="17" t="n">
        <v>0</v>
      </c>
    </row>
    <row r="21" customFormat="false" ht="17.15" hidden="false" customHeight="false" outlineLevel="0" collapsed="false">
      <c r="A21" s="0" t="s">
        <v>1932</v>
      </c>
      <c r="B21" s="0" t="s">
        <v>1715</v>
      </c>
      <c r="C21" s="0" t="s">
        <v>507</v>
      </c>
      <c r="D21" s="0" t="s">
        <v>1718</v>
      </c>
      <c r="E21" s="0" t="s">
        <v>25</v>
      </c>
      <c r="F21" s="0" t="s">
        <v>1804</v>
      </c>
      <c r="G21" s="9" t="n">
        <v>48.716</v>
      </c>
      <c r="H21" s="20" t="s">
        <v>1897</v>
      </c>
      <c r="I21" s="5" t="s">
        <v>1933</v>
      </c>
      <c r="J21" s="20" t="s">
        <v>1899</v>
      </c>
      <c r="K21" s="20" t="s">
        <v>1914</v>
      </c>
      <c r="L21" s="20" t="s">
        <v>1901</v>
      </c>
      <c r="M21" s="5" t="s">
        <v>1736</v>
      </c>
      <c r="O21" s="0" t="n">
        <v>1</v>
      </c>
    </row>
    <row r="22" customFormat="false" ht="17.15" hidden="false" customHeight="false" outlineLevel="0" collapsed="false">
      <c r="A22" s="0" t="s">
        <v>1934</v>
      </c>
      <c r="B22" s="0" t="s">
        <v>1715</v>
      </c>
      <c r="C22" s="0" t="s">
        <v>507</v>
      </c>
      <c r="D22" s="0" t="s">
        <v>1716</v>
      </c>
      <c r="E22" s="0" t="s">
        <v>23</v>
      </c>
      <c r="F22" s="0" t="s">
        <v>1779</v>
      </c>
      <c r="G22" s="9" t="n">
        <v>24.395</v>
      </c>
      <c r="H22" s="20" t="s">
        <v>1897</v>
      </c>
      <c r="I22" s="5" t="s">
        <v>1935</v>
      </c>
      <c r="J22" s="20" t="s">
        <v>1899</v>
      </c>
      <c r="K22" s="20" t="s">
        <v>1914</v>
      </c>
      <c r="L22" s="20" t="s">
        <v>1901</v>
      </c>
      <c r="M22" s="5" t="s">
        <v>1736</v>
      </c>
      <c r="O22" s="0" t="n">
        <v>1</v>
      </c>
    </row>
    <row r="23" customFormat="false" ht="17.15" hidden="false" customHeight="false" outlineLevel="0" collapsed="false">
      <c r="A23" s="0" t="s">
        <v>1936</v>
      </c>
      <c r="B23" s="0" t="s">
        <v>1715</v>
      </c>
      <c r="C23" s="0" t="s">
        <v>507</v>
      </c>
      <c r="D23" s="0" t="s">
        <v>1717</v>
      </c>
      <c r="E23" s="0" t="s">
        <v>24</v>
      </c>
      <c r="F23" s="0" t="s">
        <v>1779</v>
      </c>
      <c r="G23" s="9" t="n">
        <v>0</v>
      </c>
      <c r="H23" s="20" t="s">
        <v>1897</v>
      </c>
      <c r="I23" s="5" t="s">
        <v>1935</v>
      </c>
      <c r="J23" s="20" t="s">
        <v>1899</v>
      </c>
      <c r="K23" s="20" t="s">
        <v>1914</v>
      </c>
      <c r="L23" s="20" t="s">
        <v>1901</v>
      </c>
      <c r="M23" s="5" t="s">
        <v>1736</v>
      </c>
      <c r="O23" s="0" t="n">
        <v>1</v>
      </c>
    </row>
    <row r="24" customFormat="false" ht="17.15" hidden="false" customHeight="false" outlineLevel="0" collapsed="false">
      <c r="A24" s="0" t="s">
        <v>1937</v>
      </c>
      <c r="B24" s="0" t="s">
        <v>1715</v>
      </c>
      <c r="C24" s="0" t="s">
        <v>507</v>
      </c>
      <c r="D24" s="0" t="s">
        <v>1718</v>
      </c>
      <c r="E24" s="0" t="s">
        <v>25</v>
      </c>
      <c r="F24" s="0" t="s">
        <v>1779</v>
      </c>
      <c r="G24" s="9" t="n">
        <v>0</v>
      </c>
      <c r="H24" s="20" t="s">
        <v>1897</v>
      </c>
      <c r="I24" s="5" t="s">
        <v>1935</v>
      </c>
      <c r="J24" s="20" t="s">
        <v>1899</v>
      </c>
      <c r="K24" s="20" t="s">
        <v>1914</v>
      </c>
      <c r="L24" s="20" t="s">
        <v>1901</v>
      </c>
      <c r="M24" s="5" t="s">
        <v>1736</v>
      </c>
      <c r="O24" s="0" t="n">
        <v>1</v>
      </c>
    </row>
    <row r="25" customFormat="false" ht="17.15" hidden="false" customHeight="false" outlineLevel="0" collapsed="false">
      <c r="A25" s="17" t="s">
        <v>1938</v>
      </c>
      <c r="B25" s="17" t="s">
        <v>1715</v>
      </c>
      <c r="C25" s="17" t="s">
        <v>507</v>
      </c>
      <c r="D25" s="17" t="s">
        <v>1718</v>
      </c>
      <c r="E25" s="17" t="s">
        <v>25</v>
      </c>
      <c r="F25" s="17" t="s">
        <v>1939</v>
      </c>
      <c r="G25" s="17" t="n">
        <v>-2.857</v>
      </c>
      <c r="H25" s="17" t="s">
        <v>1897</v>
      </c>
      <c r="I25" s="18" t="s">
        <v>1940</v>
      </c>
      <c r="J25" s="17" t="s">
        <v>1909</v>
      </c>
      <c r="K25" s="17" t="s">
        <v>1900</v>
      </c>
      <c r="L25" s="17" t="s">
        <v>1901</v>
      </c>
      <c r="M25" s="18" t="s">
        <v>1902</v>
      </c>
      <c r="N25" s="17"/>
      <c r="O25" s="17" t="n">
        <v>0</v>
      </c>
    </row>
    <row r="26" customFormat="false" ht="17.15" hidden="false" customHeight="false" outlineLevel="0" collapsed="false">
      <c r="A26" s="17" t="s">
        <v>1941</v>
      </c>
      <c r="B26" s="17" t="s">
        <v>1715</v>
      </c>
      <c r="C26" s="17" t="s">
        <v>507</v>
      </c>
      <c r="D26" s="17" t="s">
        <v>1716</v>
      </c>
      <c r="E26" s="17" t="s">
        <v>23</v>
      </c>
      <c r="F26" s="17" t="s">
        <v>1765</v>
      </c>
      <c r="G26" s="17" t="n">
        <v>6.703</v>
      </c>
      <c r="H26" s="17" t="s">
        <v>1897</v>
      </c>
      <c r="I26" s="18" t="s">
        <v>1942</v>
      </c>
      <c r="J26" s="17" t="s">
        <v>1899</v>
      </c>
      <c r="K26" s="17" t="s">
        <v>1900</v>
      </c>
      <c r="L26" s="17" t="s">
        <v>1901</v>
      </c>
      <c r="M26" s="18" t="s">
        <v>1902</v>
      </c>
      <c r="N26" s="17"/>
      <c r="O26" s="17" t="n">
        <v>0</v>
      </c>
    </row>
    <row r="27" customFormat="false" ht="17.15" hidden="false" customHeight="false" outlineLevel="0" collapsed="false">
      <c r="A27" s="17" t="s">
        <v>1943</v>
      </c>
      <c r="B27" s="17" t="s">
        <v>1715</v>
      </c>
      <c r="C27" s="17" t="s">
        <v>507</v>
      </c>
      <c r="D27" s="17" t="s">
        <v>1717</v>
      </c>
      <c r="E27" s="17" t="s">
        <v>24</v>
      </c>
      <c r="F27" s="17" t="s">
        <v>1765</v>
      </c>
      <c r="G27" s="17" t="n">
        <v>7.826</v>
      </c>
      <c r="H27" s="17" t="s">
        <v>1897</v>
      </c>
      <c r="I27" s="18" t="s">
        <v>1942</v>
      </c>
      <c r="J27" s="17" t="s">
        <v>1899</v>
      </c>
      <c r="K27" s="17" t="s">
        <v>1900</v>
      </c>
      <c r="L27" s="17" t="s">
        <v>1901</v>
      </c>
      <c r="M27" s="18" t="s">
        <v>1902</v>
      </c>
      <c r="N27" s="17"/>
      <c r="O27" s="17" t="n">
        <v>0</v>
      </c>
    </row>
    <row r="28" customFormat="false" ht="17.15" hidden="false" customHeight="false" outlineLevel="0" collapsed="false">
      <c r="A28" s="17" t="s">
        <v>1944</v>
      </c>
      <c r="B28" s="17" t="s">
        <v>1715</v>
      </c>
      <c r="C28" s="17" t="s">
        <v>507</v>
      </c>
      <c r="D28" s="17" t="s">
        <v>1718</v>
      </c>
      <c r="E28" s="17" t="s">
        <v>25</v>
      </c>
      <c r="F28" s="17" t="s">
        <v>1765</v>
      </c>
      <c r="G28" s="17" t="n">
        <v>4.555</v>
      </c>
      <c r="H28" s="17" t="s">
        <v>1897</v>
      </c>
      <c r="I28" s="18" t="s">
        <v>1942</v>
      </c>
      <c r="J28" s="17" t="s">
        <v>1899</v>
      </c>
      <c r="K28" s="17" t="s">
        <v>1900</v>
      </c>
      <c r="L28" s="17" t="s">
        <v>1901</v>
      </c>
      <c r="M28" s="18" t="s">
        <v>1902</v>
      </c>
      <c r="N28" s="17"/>
      <c r="O28" s="17" t="n">
        <v>0</v>
      </c>
    </row>
    <row r="29" customFormat="false" ht="17.15" hidden="false" customHeight="false" outlineLevel="0" collapsed="false">
      <c r="A29" s="0" t="s">
        <v>1945</v>
      </c>
      <c r="B29" s="0" t="s">
        <v>1715</v>
      </c>
      <c r="C29" s="0" t="s">
        <v>507</v>
      </c>
      <c r="D29" s="0" t="s">
        <v>120</v>
      </c>
      <c r="E29" s="0" t="s">
        <v>25</v>
      </c>
      <c r="F29" s="0" t="s">
        <v>1762</v>
      </c>
      <c r="G29" s="9" t="n">
        <v>329.1</v>
      </c>
      <c r="H29" s="20" t="s">
        <v>1897</v>
      </c>
      <c r="I29" s="5" t="s">
        <v>1946</v>
      </c>
      <c r="J29" s="20" t="s">
        <v>1899</v>
      </c>
      <c r="K29" s="20" t="s">
        <v>1914</v>
      </c>
      <c r="L29" s="20" t="s">
        <v>1901</v>
      </c>
      <c r="M29" s="5" t="s">
        <v>1736</v>
      </c>
      <c r="O29" s="0" t="n">
        <v>1</v>
      </c>
    </row>
    <row r="30" customFormat="false" ht="17.15" hidden="false" customHeight="false" outlineLevel="0" collapsed="false">
      <c r="A30" s="17" t="s">
        <v>1947</v>
      </c>
      <c r="B30" s="17" t="s">
        <v>1715</v>
      </c>
      <c r="C30" s="17" t="s">
        <v>507</v>
      </c>
      <c r="D30" s="17" t="s">
        <v>120</v>
      </c>
      <c r="E30" s="17" t="s">
        <v>25</v>
      </c>
      <c r="F30" s="17" t="s">
        <v>1948</v>
      </c>
      <c r="G30" s="17" t="n">
        <v>194.06</v>
      </c>
      <c r="H30" s="17" t="s">
        <v>1897</v>
      </c>
      <c r="I30" s="18" t="s">
        <v>1949</v>
      </c>
      <c r="J30" s="17" t="s">
        <v>1899</v>
      </c>
      <c r="K30" s="17" t="s">
        <v>1900</v>
      </c>
      <c r="L30" s="17" t="s">
        <v>1901</v>
      </c>
      <c r="M30" s="18" t="s">
        <v>1902</v>
      </c>
      <c r="N30" s="17"/>
      <c r="O30" s="17" t="n">
        <v>0</v>
      </c>
    </row>
    <row r="31" customFormat="false" ht="17.15" hidden="false" customHeight="false" outlineLevel="0" collapsed="false">
      <c r="A31" s="17" t="s">
        <v>1950</v>
      </c>
      <c r="B31" s="17" t="s">
        <v>1715</v>
      </c>
      <c r="C31" s="17" t="s">
        <v>507</v>
      </c>
      <c r="D31" s="17" t="s">
        <v>1732</v>
      </c>
      <c r="E31" s="17" t="s">
        <v>1951</v>
      </c>
      <c r="F31" s="17" t="s">
        <v>1733</v>
      </c>
      <c r="G31" s="17" t="n">
        <v>175</v>
      </c>
      <c r="H31" s="17" t="s">
        <v>1897</v>
      </c>
      <c r="I31" s="18" t="s">
        <v>1952</v>
      </c>
      <c r="J31" s="17" t="s">
        <v>1953</v>
      </c>
      <c r="K31" s="17" t="s">
        <v>1954</v>
      </c>
      <c r="L31" s="17" t="s">
        <v>1955</v>
      </c>
      <c r="M31" s="18" t="s">
        <v>1956</v>
      </c>
      <c r="N31" s="17"/>
      <c r="O31" s="17" t="n">
        <v>0</v>
      </c>
    </row>
    <row r="32" customFormat="false" ht="17.15" hidden="false" customHeight="false" outlineLevel="0" collapsed="false">
      <c r="A32" s="17" t="s">
        <v>1957</v>
      </c>
      <c r="B32" s="17" t="s">
        <v>1715</v>
      </c>
      <c r="C32" s="17" t="s">
        <v>507</v>
      </c>
      <c r="D32" s="17" t="s">
        <v>1743</v>
      </c>
      <c r="E32" s="17" t="s">
        <v>1958</v>
      </c>
      <c r="F32" s="17" t="s">
        <v>1733</v>
      </c>
      <c r="G32" s="17" t="n">
        <v>50</v>
      </c>
      <c r="H32" s="17" t="s">
        <v>1897</v>
      </c>
      <c r="I32" s="17" t="s">
        <v>1959</v>
      </c>
      <c r="J32" s="17" t="s">
        <v>1953</v>
      </c>
      <c r="K32" s="17" t="s">
        <v>1954</v>
      </c>
      <c r="L32" s="17" t="s">
        <v>1960</v>
      </c>
      <c r="M32" s="18" t="s">
        <v>1961</v>
      </c>
      <c r="N32" s="17"/>
      <c r="O32" s="17" t="n">
        <v>0</v>
      </c>
    </row>
    <row r="33" customFormat="false" ht="17.15" hidden="false" customHeight="false" outlineLevel="0" collapsed="false">
      <c r="A33" s="17" t="s">
        <v>1962</v>
      </c>
      <c r="B33" s="17" t="s">
        <v>1715</v>
      </c>
      <c r="C33" s="17" t="s">
        <v>507</v>
      </c>
      <c r="D33" s="17" t="s">
        <v>1963</v>
      </c>
      <c r="E33" s="17" t="s">
        <v>25</v>
      </c>
      <c r="F33" s="17" t="s">
        <v>1964</v>
      </c>
      <c r="G33" s="17" t="n">
        <v>60</v>
      </c>
      <c r="H33" s="17" t="s">
        <v>1897</v>
      </c>
      <c r="I33" s="17" t="s">
        <v>1965</v>
      </c>
      <c r="J33" s="17" t="s">
        <v>1966</v>
      </c>
      <c r="K33" s="17" t="s">
        <v>1967</v>
      </c>
      <c r="L33" s="17" t="s">
        <v>1968</v>
      </c>
      <c r="M33" s="17" t="s">
        <v>1969</v>
      </c>
      <c r="N33" s="17" t="s">
        <v>1970</v>
      </c>
      <c r="O33" s="17" t="n">
        <v>0</v>
      </c>
    </row>
    <row r="34" customFormat="false" ht="17.15" hidden="false" customHeight="false" outlineLevel="0" collapsed="false">
      <c r="A34" s="17" t="s">
        <v>1971</v>
      </c>
      <c r="B34" s="17" t="s">
        <v>1715</v>
      </c>
      <c r="C34" s="17" t="s">
        <v>507</v>
      </c>
      <c r="D34" s="17" t="s">
        <v>120</v>
      </c>
      <c r="E34" s="17" t="s">
        <v>25</v>
      </c>
      <c r="F34" s="17" t="s">
        <v>1768</v>
      </c>
      <c r="G34" s="17" t="n">
        <v>11.9</v>
      </c>
      <c r="H34" s="17" t="s">
        <v>1897</v>
      </c>
      <c r="I34" s="18" t="s">
        <v>1972</v>
      </c>
      <c r="J34" s="17" t="s">
        <v>1899</v>
      </c>
      <c r="K34" s="17" t="s">
        <v>1900</v>
      </c>
      <c r="L34" s="17" t="s">
        <v>1901</v>
      </c>
      <c r="M34" s="18" t="s">
        <v>1902</v>
      </c>
      <c r="N34" s="17"/>
      <c r="O34" s="17" t="n">
        <v>0</v>
      </c>
    </row>
    <row r="35" customFormat="false" ht="17.15" hidden="false" customHeight="false" outlineLevel="0" collapsed="false">
      <c r="A35" s="17" t="s">
        <v>1973</v>
      </c>
      <c r="B35" s="17" t="s">
        <v>1715</v>
      </c>
      <c r="C35" s="17" t="s">
        <v>507</v>
      </c>
      <c r="D35" s="17" t="s">
        <v>1974</v>
      </c>
      <c r="E35" s="17" t="s">
        <v>25</v>
      </c>
      <c r="F35" s="17" t="s">
        <v>1768</v>
      </c>
      <c r="G35" s="17" t="n">
        <v>250</v>
      </c>
      <c r="H35" s="17" t="s">
        <v>1897</v>
      </c>
      <c r="I35" s="17" t="s">
        <v>1975</v>
      </c>
      <c r="J35" s="17" t="s">
        <v>1953</v>
      </c>
      <c r="K35" s="17" t="s">
        <v>1976</v>
      </c>
      <c r="L35" s="17" t="s">
        <v>1977</v>
      </c>
      <c r="M35" s="18" t="s">
        <v>1902</v>
      </c>
      <c r="N35" s="17"/>
      <c r="O35" s="17" t="n">
        <v>0</v>
      </c>
    </row>
    <row r="36" customFormat="false" ht="17.15" hidden="false" customHeight="false" outlineLevel="0" collapsed="false">
      <c r="A36" s="17" t="s">
        <v>1978</v>
      </c>
      <c r="B36" s="17" t="s">
        <v>1719</v>
      </c>
      <c r="C36" s="17" t="s">
        <v>512</v>
      </c>
      <c r="D36" s="17" t="s">
        <v>1720</v>
      </c>
      <c r="E36" s="17" t="s">
        <v>23</v>
      </c>
      <c r="F36" s="17" t="s">
        <v>1744</v>
      </c>
      <c r="G36" s="17" t="n">
        <v>125.299</v>
      </c>
      <c r="H36" s="17" t="s">
        <v>1897</v>
      </c>
      <c r="I36" s="18" t="s">
        <v>1979</v>
      </c>
      <c r="J36" s="17" t="s">
        <v>1899</v>
      </c>
      <c r="K36" s="17" t="s">
        <v>1980</v>
      </c>
      <c r="L36" s="17" t="s">
        <v>1981</v>
      </c>
      <c r="M36" s="18" t="s">
        <v>1902</v>
      </c>
      <c r="N36" s="17"/>
      <c r="O36" s="17" t="n">
        <v>0</v>
      </c>
    </row>
    <row r="37" customFormat="false" ht="17.15" hidden="false" customHeight="false" outlineLevel="0" collapsed="false">
      <c r="A37" s="17" t="s">
        <v>1982</v>
      </c>
      <c r="B37" s="17" t="s">
        <v>1719</v>
      </c>
      <c r="C37" s="17" t="s">
        <v>512</v>
      </c>
      <c r="D37" s="17" t="s">
        <v>1720</v>
      </c>
      <c r="E37" s="17" t="s">
        <v>23</v>
      </c>
      <c r="F37" s="17" t="s">
        <v>1747</v>
      </c>
      <c r="G37" s="17" t="n">
        <v>52.535</v>
      </c>
      <c r="H37" s="17" t="s">
        <v>1897</v>
      </c>
      <c r="I37" s="17" t="s">
        <v>1983</v>
      </c>
      <c r="J37" s="17" t="s">
        <v>1899</v>
      </c>
      <c r="K37" s="17" t="s">
        <v>1980</v>
      </c>
      <c r="L37" s="17" t="s">
        <v>1981</v>
      </c>
      <c r="M37" s="18" t="s">
        <v>1902</v>
      </c>
      <c r="N37" s="17"/>
      <c r="O37" s="17" t="n">
        <v>0</v>
      </c>
    </row>
    <row r="38" customFormat="false" ht="17.15" hidden="false" customHeight="false" outlineLevel="0" collapsed="false">
      <c r="A38" s="17" t="s">
        <v>1984</v>
      </c>
      <c r="B38" s="17" t="s">
        <v>1719</v>
      </c>
      <c r="C38" s="17" t="s">
        <v>512</v>
      </c>
      <c r="D38" s="17" t="s">
        <v>1720</v>
      </c>
      <c r="E38" s="17" t="s">
        <v>23</v>
      </c>
      <c r="F38" s="17" t="s">
        <v>1750</v>
      </c>
      <c r="G38" s="17" t="n">
        <v>72.764</v>
      </c>
      <c r="H38" s="17" t="s">
        <v>1897</v>
      </c>
      <c r="I38" s="17" t="s">
        <v>1985</v>
      </c>
      <c r="J38" s="17" t="s">
        <v>1909</v>
      </c>
      <c r="K38" s="17" t="s">
        <v>1980</v>
      </c>
      <c r="L38" s="17" t="s">
        <v>1981</v>
      </c>
      <c r="M38" s="18" t="s">
        <v>1902</v>
      </c>
      <c r="N38" s="17"/>
      <c r="O38" s="17" t="n">
        <v>0</v>
      </c>
    </row>
    <row r="39" customFormat="false" ht="17.15" hidden="false" customHeight="false" outlineLevel="0" collapsed="false">
      <c r="A39" s="17" t="s">
        <v>1986</v>
      </c>
      <c r="B39" s="17" t="s">
        <v>1719</v>
      </c>
      <c r="C39" s="17" t="s">
        <v>512</v>
      </c>
      <c r="D39" s="17" t="s">
        <v>1720</v>
      </c>
      <c r="E39" s="17" t="s">
        <v>23</v>
      </c>
      <c r="F39" s="17" t="s">
        <v>1804</v>
      </c>
      <c r="G39" s="17" t="n">
        <v>69.585</v>
      </c>
      <c r="H39" s="17" t="s">
        <v>1897</v>
      </c>
      <c r="I39" s="18" t="s">
        <v>1987</v>
      </c>
      <c r="J39" s="17" t="s">
        <v>1899</v>
      </c>
      <c r="K39" s="17" t="s">
        <v>1980</v>
      </c>
      <c r="L39" s="17" t="s">
        <v>1981</v>
      </c>
      <c r="M39" s="18" t="s">
        <v>1902</v>
      </c>
      <c r="N39" s="17"/>
      <c r="O39" s="17" t="n">
        <v>0</v>
      </c>
    </row>
    <row r="40" customFormat="false" ht="17.15" hidden="false" customHeight="false" outlineLevel="0" collapsed="false">
      <c r="A40" s="17" t="s">
        <v>1988</v>
      </c>
      <c r="B40" s="17" t="s">
        <v>1719</v>
      </c>
      <c r="C40" s="17" t="s">
        <v>512</v>
      </c>
      <c r="D40" s="17" t="s">
        <v>1720</v>
      </c>
      <c r="E40" s="17" t="s">
        <v>23</v>
      </c>
      <c r="F40" s="17" t="s">
        <v>1779</v>
      </c>
      <c r="G40" s="17" t="n">
        <v>13.589</v>
      </c>
      <c r="H40" s="17" t="s">
        <v>1897</v>
      </c>
      <c r="I40" s="18" t="s">
        <v>1989</v>
      </c>
      <c r="J40" s="17" t="s">
        <v>1899</v>
      </c>
      <c r="K40" s="17" t="s">
        <v>1980</v>
      </c>
      <c r="L40" s="17" t="s">
        <v>1981</v>
      </c>
      <c r="M40" s="18" t="s">
        <v>1902</v>
      </c>
      <c r="N40" s="17"/>
      <c r="O40" s="17" t="n">
        <v>0</v>
      </c>
    </row>
    <row r="41" customFormat="false" ht="17.15" hidden="false" customHeight="false" outlineLevel="0" collapsed="false">
      <c r="A41" s="0" t="s">
        <v>1990</v>
      </c>
      <c r="B41" s="0" t="s">
        <v>1719</v>
      </c>
      <c r="C41" s="0" t="s">
        <v>512</v>
      </c>
      <c r="D41" s="0" t="s">
        <v>1721</v>
      </c>
      <c r="E41" s="0" t="s">
        <v>24</v>
      </c>
      <c r="F41" s="0" t="s">
        <v>1744</v>
      </c>
      <c r="G41" s="9" t="n">
        <v>164.713</v>
      </c>
      <c r="H41" s="20" t="s">
        <v>1897</v>
      </c>
      <c r="I41" s="5" t="s">
        <v>1979</v>
      </c>
      <c r="J41" s="20" t="s">
        <v>1899</v>
      </c>
      <c r="K41" s="20" t="s">
        <v>1991</v>
      </c>
      <c r="L41" s="20" t="s">
        <v>1981</v>
      </c>
      <c r="M41" s="20" t="s">
        <v>1782</v>
      </c>
      <c r="O41" s="0" t="n">
        <v>1</v>
      </c>
    </row>
    <row r="42" customFormat="false" ht="17.15" hidden="false" customHeight="false" outlineLevel="0" collapsed="false">
      <c r="A42" s="0" t="s">
        <v>1992</v>
      </c>
      <c r="B42" s="0" t="s">
        <v>1719</v>
      </c>
      <c r="C42" s="0" t="s">
        <v>512</v>
      </c>
      <c r="D42" s="0" t="s">
        <v>1721</v>
      </c>
      <c r="E42" s="0" t="s">
        <v>24</v>
      </c>
      <c r="F42" s="0" t="s">
        <v>1747</v>
      </c>
      <c r="G42" s="9" t="n">
        <v>91.447</v>
      </c>
      <c r="H42" s="20" t="s">
        <v>1897</v>
      </c>
      <c r="I42" s="20" t="s">
        <v>1993</v>
      </c>
      <c r="J42" s="20" t="s">
        <v>1899</v>
      </c>
      <c r="K42" s="20" t="s">
        <v>1991</v>
      </c>
      <c r="L42" s="20" t="s">
        <v>1981</v>
      </c>
      <c r="M42" s="20" t="s">
        <v>1782</v>
      </c>
      <c r="O42" s="0" t="n">
        <v>1</v>
      </c>
    </row>
    <row r="43" customFormat="false" ht="17.15" hidden="false" customHeight="false" outlineLevel="0" collapsed="false">
      <c r="A43" s="0" t="s">
        <v>1994</v>
      </c>
      <c r="B43" s="0" t="s">
        <v>1719</v>
      </c>
      <c r="C43" s="0" t="s">
        <v>512</v>
      </c>
      <c r="D43" s="0" t="s">
        <v>1721</v>
      </c>
      <c r="E43" s="0" t="s">
        <v>24</v>
      </c>
      <c r="F43" s="0" t="s">
        <v>1750</v>
      </c>
      <c r="G43" s="9" t="n">
        <v>73.266</v>
      </c>
      <c r="H43" s="20" t="s">
        <v>1897</v>
      </c>
      <c r="I43" s="20" t="s">
        <v>1995</v>
      </c>
      <c r="J43" s="20" t="s">
        <v>1909</v>
      </c>
      <c r="K43" s="20" t="s">
        <v>1991</v>
      </c>
      <c r="L43" s="20" t="s">
        <v>1981</v>
      </c>
      <c r="M43" s="20" t="s">
        <v>1782</v>
      </c>
      <c r="O43" s="0" t="n">
        <v>1</v>
      </c>
    </row>
    <row r="44" customFormat="false" ht="17.15" hidden="false" customHeight="false" outlineLevel="0" collapsed="false">
      <c r="A44" s="0" t="s">
        <v>1996</v>
      </c>
      <c r="B44" s="0" t="s">
        <v>1719</v>
      </c>
      <c r="C44" s="0" t="s">
        <v>512</v>
      </c>
      <c r="D44" s="0" t="s">
        <v>1721</v>
      </c>
      <c r="E44" s="0" t="s">
        <v>24</v>
      </c>
      <c r="F44" s="0" t="s">
        <v>1804</v>
      </c>
      <c r="G44" s="9" t="n">
        <v>55.758</v>
      </c>
      <c r="H44" s="20" t="s">
        <v>1897</v>
      </c>
      <c r="I44" s="5" t="s">
        <v>1997</v>
      </c>
      <c r="J44" s="20" t="s">
        <v>1899</v>
      </c>
      <c r="K44" s="20" t="s">
        <v>1991</v>
      </c>
      <c r="L44" s="20" t="s">
        <v>1981</v>
      </c>
      <c r="M44" s="20" t="s">
        <v>1782</v>
      </c>
      <c r="O44" s="0" t="n">
        <v>1</v>
      </c>
    </row>
    <row r="45" customFormat="false" ht="17.15" hidden="false" customHeight="false" outlineLevel="0" collapsed="false">
      <c r="A45" s="0" t="s">
        <v>1998</v>
      </c>
      <c r="B45" s="0" t="s">
        <v>1719</v>
      </c>
      <c r="C45" s="0" t="s">
        <v>512</v>
      </c>
      <c r="D45" s="0" t="s">
        <v>1721</v>
      </c>
      <c r="E45" s="0" t="s">
        <v>24</v>
      </c>
      <c r="F45" s="0" t="s">
        <v>1779</v>
      </c>
      <c r="G45" s="9" t="n">
        <v>64.564</v>
      </c>
      <c r="H45" s="20" t="s">
        <v>1897</v>
      </c>
      <c r="I45" s="5" t="s">
        <v>1999</v>
      </c>
      <c r="J45" s="20" t="s">
        <v>1899</v>
      </c>
      <c r="K45" s="20" t="s">
        <v>1991</v>
      </c>
      <c r="L45" s="20" t="s">
        <v>1981</v>
      </c>
      <c r="M45" s="20" t="s">
        <v>1782</v>
      </c>
      <c r="O45" s="0" t="n">
        <v>1</v>
      </c>
    </row>
    <row r="46" customFormat="false" ht="17.15" hidden="false" customHeight="false" outlineLevel="0" collapsed="false">
      <c r="A46" s="17" t="s">
        <v>2000</v>
      </c>
      <c r="B46" s="17" t="s">
        <v>1719</v>
      </c>
      <c r="C46" s="17" t="s">
        <v>512</v>
      </c>
      <c r="D46" s="17" t="s">
        <v>1725</v>
      </c>
      <c r="E46" s="17" t="s">
        <v>25</v>
      </c>
      <c r="F46" s="17" t="s">
        <v>1744</v>
      </c>
      <c r="G46" s="17" t="n">
        <v>84.859</v>
      </c>
      <c r="H46" s="17" t="s">
        <v>1897</v>
      </c>
      <c r="I46" s="17" t="s">
        <v>2001</v>
      </c>
      <c r="J46" s="17" t="s">
        <v>1953</v>
      </c>
      <c r="K46" s="17" t="s">
        <v>2002</v>
      </c>
      <c r="L46" s="17" t="s">
        <v>2003</v>
      </c>
      <c r="M46" s="18" t="s">
        <v>2004</v>
      </c>
      <c r="N46" s="17"/>
      <c r="O46" s="17" t="n">
        <v>0</v>
      </c>
    </row>
    <row r="47" customFormat="false" ht="17.15" hidden="false" customHeight="false" outlineLevel="0" collapsed="false">
      <c r="A47" s="17" t="s">
        <v>2005</v>
      </c>
      <c r="B47" s="17" t="s">
        <v>1719</v>
      </c>
      <c r="C47" s="17" t="s">
        <v>512</v>
      </c>
      <c r="D47" s="17" t="s">
        <v>1725</v>
      </c>
      <c r="E47" s="17" t="s">
        <v>25</v>
      </c>
      <c r="F47" s="17" t="s">
        <v>1747</v>
      </c>
      <c r="G47" s="17" t="n">
        <v>80.598</v>
      </c>
      <c r="H47" s="17" t="s">
        <v>1897</v>
      </c>
      <c r="I47" s="17" t="s">
        <v>2006</v>
      </c>
      <c r="J47" s="17" t="s">
        <v>1953</v>
      </c>
      <c r="K47" s="17" t="s">
        <v>2002</v>
      </c>
      <c r="L47" s="17" t="s">
        <v>2003</v>
      </c>
      <c r="M47" s="18" t="s">
        <v>2004</v>
      </c>
      <c r="N47" s="17"/>
      <c r="O47" s="17" t="n">
        <v>0</v>
      </c>
    </row>
    <row r="48" customFormat="false" ht="17.15" hidden="false" customHeight="false" outlineLevel="0" collapsed="false">
      <c r="A48" s="17" t="s">
        <v>2007</v>
      </c>
      <c r="B48" s="17" t="s">
        <v>1719</v>
      </c>
      <c r="C48" s="17" t="s">
        <v>512</v>
      </c>
      <c r="D48" s="17" t="s">
        <v>1725</v>
      </c>
      <c r="E48" s="17" t="s">
        <v>25</v>
      </c>
      <c r="F48" s="17" t="s">
        <v>1750</v>
      </c>
      <c r="G48" s="17" t="n">
        <v>4.261</v>
      </c>
      <c r="H48" s="17" t="s">
        <v>1897</v>
      </c>
      <c r="I48" s="17" t="s">
        <v>2008</v>
      </c>
      <c r="J48" s="17" t="s">
        <v>1909</v>
      </c>
      <c r="K48" s="17" t="s">
        <v>2002</v>
      </c>
      <c r="L48" s="17" t="s">
        <v>2003</v>
      </c>
      <c r="M48" s="18" t="s">
        <v>2004</v>
      </c>
      <c r="N48" s="17"/>
      <c r="O48" s="17" t="n">
        <v>0</v>
      </c>
    </row>
    <row r="49" customFormat="false" ht="17.15" hidden="false" customHeight="false" outlineLevel="0" collapsed="false">
      <c r="A49" s="17" t="s">
        <v>2009</v>
      </c>
      <c r="B49" s="17" t="s">
        <v>1719</v>
      </c>
      <c r="C49" s="17" t="s">
        <v>512</v>
      </c>
      <c r="D49" s="17" t="s">
        <v>1725</v>
      </c>
      <c r="E49" s="17" t="s">
        <v>25</v>
      </c>
      <c r="F49" s="17" t="s">
        <v>1804</v>
      </c>
      <c r="G49" s="17" t="n">
        <v>5.231</v>
      </c>
      <c r="H49" s="17" t="s">
        <v>1897</v>
      </c>
      <c r="I49" s="18" t="s">
        <v>2010</v>
      </c>
      <c r="J49" s="17" t="s">
        <v>1953</v>
      </c>
      <c r="K49" s="17" t="s">
        <v>2002</v>
      </c>
      <c r="L49" s="17" t="s">
        <v>2003</v>
      </c>
      <c r="M49" s="18" t="s">
        <v>2004</v>
      </c>
      <c r="N49" s="17"/>
      <c r="O49" s="17" t="n">
        <v>0</v>
      </c>
    </row>
    <row r="50" customFormat="false" ht="17.15" hidden="false" customHeight="false" outlineLevel="0" collapsed="false">
      <c r="A50" s="17" t="s">
        <v>2011</v>
      </c>
      <c r="B50" s="17" t="s">
        <v>1719</v>
      </c>
      <c r="C50" s="17" t="s">
        <v>512</v>
      </c>
      <c r="D50" s="17" t="s">
        <v>1725</v>
      </c>
      <c r="E50" s="17" t="s">
        <v>25</v>
      </c>
      <c r="F50" s="17" t="s">
        <v>1779</v>
      </c>
      <c r="G50" s="17" t="n">
        <v>51.8</v>
      </c>
      <c r="H50" s="17" t="s">
        <v>1897</v>
      </c>
      <c r="I50" s="17" t="s">
        <v>2012</v>
      </c>
      <c r="J50" s="17" t="s">
        <v>1953</v>
      </c>
      <c r="K50" s="17" t="s">
        <v>2013</v>
      </c>
      <c r="L50" s="17" t="s">
        <v>2014</v>
      </c>
      <c r="M50" s="18" t="s">
        <v>2004</v>
      </c>
      <c r="N50" s="17"/>
      <c r="O50" s="17" t="n">
        <v>0</v>
      </c>
    </row>
    <row r="51" customFormat="false" ht="17.15" hidden="false" customHeight="false" outlineLevel="0" collapsed="false">
      <c r="A51" s="17" t="s">
        <v>2015</v>
      </c>
      <c r="B51" s="17" t="s">
        <v>1719</v>
      </c>
      <c r="C51" s="17" t="s">
        <v>512</v>
      </c>
      <c r="D51" s="17" t="s">
        <v>2016</v>
      </c>
      <c r="E51" s="17" t="s">
        <v>25</v>
      </c>
      <c r="F51" s="17" t="s">
        <v>1779</v>
      </c>
      <c r="G51" s="17" t="n">
        <v>25</v>
      </c>
      <c r="H51" s="17" t="s">
        <v>1897</v>
      </c>
      <c r="I51" s="17" t="s">
        <v>2017</v>
      </c>
      <c r="J51" s="17" t="s">
        <v>1899</v>
      </c>
      <c r="K51" s="17" t="s">
        <v>2018</v>
      </c>
      <c r="L51" s="17" t="s">
        <v>2019</v>
      </c>
      <c r="M51" s="18" t="s">
        <v>2020</v>
      </c>
      <c r="N51" s="17" t="s">
        <v>2021</v>
      </c>
      <c r="O51" s="17" t="n">
        <v>0</v>
      </c>
    </row>
    <row r="52" customFormat="false" ht="17.15" hidden="false" customHeight="false" outlineLevel="0" collapsed="false">
      <c r="A52" s="17" t="s">
        <v>2022</v>
      </c>
      <c r="B52" s="17" t="s">
        <v>1719</v>
      </c>
      <c r="C52" s="17" t="s">
        <v>512</v>
      </c>
      <c r="D52" s="17" t="s">
        <v>120</v>
      </c>
      <c r="E52" s="17" t="s">
        <v>25</v>
      </c>
      <c r="F52" s="17" t="s">
        <v>1939</v>
      </c>
      <c r="G52" s="17" t="n">
        <v>52</v>
      </c>
      <c r="H52" s="17" t="s">
        <v>1897</v>
      </c>
      <c r="I52" s="18" t="s">
        <v>2023</v>
      </c>
      <c r="J52" s="17" t="s">
        <v>1909</v>
      </c>
      <c r="K52" s="17" t="s">
        <v>2024</v>
      </c>
      <c r="L52" s="17" t="s">
        <v>2014</v>
      </c>
      <c r="M52" s="18" t="s">
        <v>1929</v>
      </c>
      <c r="N52" s="17"/>
      <c r="O52" s="17" t="n">
        <v>0</v>
      </c>
    </row>
    <row r="53" customFormat="false" ht="17.15" hidden="false" customHeight="false" outlineLevel="0" collapsed="false">
      <c r="A53" s="17" t="s">
        <v>2025</v>
      </c>
      <c r="B53" s="17" t="s">
        <v>1719</v>
      </c>
      <c r="C53" s="17" t="s">
        <v>512</v>
      </c>
      <c r="D53" s="17" t="s">
        <v>2026</v>
      </c>
      <c r="E53" s="17" t="s">
        <v>25</v>
      </c>
      <c r="F53" s="17" t="s">
        <v>1738</v>
      </c>
      <c r="G53" s="17" t="n">
        <v>84.75</v>
      </c>
      <c r="H53" s="17" t="s">
        <v>1897</v>
      </c>
      <c r="I53" s="18" t="s">
        <v>2027</v>
      </c>
      <c r="J53" s="17" t="s">
        <v>1899</v>
      </c>
      <c r="K53" s="17" t="s">
        <v>2028</v>
      </c>
      <c r="L53" s="17" t="s">
        <v>2029</v>
      </c>
      <c r="M53" s="18" t="s">
        <v>2030</v>
      </c>
      <c r="N53" s="17" t="s">
        <v>2031</v>
      </c>
      <c r="O53" s="17" t="n">
        <v>0</v>
      </c>
    </row>
    <row r="54" customFormat="false" ht="17.15" hidden="false" customHeight="false" outlineLevel="0" collapsed="false">
      <c r="A54" s="0" t="s">
        <v>2032</v>
      </c>
      <c r="B54" s="0" t="s">
        <v>1719</v>
      </c>
      <c r="C54" s="0" t="s">
        <v>512</v>
      </c>
      <c r="D54" s="0" t="s">
        <v>120</v>
      </c>
      <c r="E54" s="0" t="s">
        <v>25</v>
      </c>
      <c r="F54" s="0" t="s">
        <v>1762</v>
      </c>
      <c r="G54" s="9" t="n">
        <v>85.2</v>
      </c>
      <c r="H54" s="20" t="s">
        <v>1897</v>
      </c>
      <c r="I54" s="5" t="s">
        <v>2033</v>
      </c>
      <c r="J54" s="20" t="s">
        <v>1953</v>
      </c>
      <c r="K54" s="20" t="s">
        <v>2034</v>
      </c>
      <c r="L54" s="20" t="s">
        <v>2014</v>
      </c>
      <c r="M54" s="5" t="s">
        <v>1736</v>
      </c>
      <c r="O54" s="0" t="n">
        <v>1</v>
      </c>
    </row>
    <row r="55" customFormat="false" ht="17.15" hidden="false" customHeight="false" outlineLevel="0" collapsed="false">
      <c r="A55" s="17" t="s">
        <v>2035</v>
      </c>
      <c r="B55" s="17" t="s">
        <v>1719</v>
      </c>
      <c r="C55" s="17" t="s">
        <v>512</v>
      </c>
      <c r="D55" s="17" t="s">
        <v>120</v>
      </c>
      <c r="E55" s="17" t="s">
        <v>25</v>
      </c>
      <c r="F55" s="17" t="s">
        <v>1765</v>
      </c>
      <c r="G55" s="17" t="n">
        <v>18.037</v>
      </c>
      <c r="H55" s="17" t="s">
        <v>1897</v>
      </c>
      <c r="I55" s="18" t="s">
        <v>2036</v>
      </c>
      <c r="J55" s="17" t="s">
        <v>1953</v>
      </c>
      <c r="K55" s="17" t="s">
        <v>2034</v>
      </c>
      <c r="L55" s="17" t="s">
        <v>2014</v>
      </c>
      <c r="M55" s="18" t="s">
        <v>1902</v>
      </c>
      <c r="N55" s="17"/>
      <c r="O55" s="17" t="n">
        <v>0</v>
      </c>
    </row>
    <row r="56" customFormat="false" ht="17.15" hidden="false" customHeight="false" outlineLevel="0" collapsed="false">
      <c r="A56" s="17" t="s">
        <v>2037</v>
      </c>
      <c r="B56" s="17" t="s">
        <v>1719</v>
      </c>
      <c r="C56" s="17" t="s">
        <v>512</v>
      </c>
      <c r="D56" s="17" t="s">
        <v>120</v>
      </c>
      <c r="E56" s="17" t="s">
        <v>25</v>
      </c>
      <c r="F56" s="17" t="s">
        <v>1948</v>
      </c>
      <c r="G56" s="17" t="n">
        <v>811</v>
      </c>
      <c r="H56" s="17" t="s">
        <v>1897</v>
      </c>
      <c r="I56" s="18" t="s">
        <v>2038</v>
      </c>
      <c r="J56" s="17" t="s">
        <v>1953</v>
      </c>
      <c r="K56" s="17" t="s">
        <v>2034</v>
      </c>
      <c r="L56" s="17" t="s">
        <v>2014</v>
      </c>
      <c r="M56" s="18" t="s">
        <v>1902</v>
      </c>
      <c r="N56" s="17"/>
      <c r="O56" s="17" t="n">
        <v>0</v>
      </c>
    </row>
    <row r="57" customFormat="false" ht="17.15" hidden="false" customHeight="false" outlineLevel="0" collapsed="false">
      <c r="A57" s="17" t="s">
        <v>2039</v>
      </c>
      <c r="B57" s="17" t="s">
        <v>1719</v>
      </c>
      <c r="C57" s="17" t="s">
        <v>512</v>
      </c>
      <c r="D57" s="17" t="s">
        <v>1732</v>
      </c>
      <c r="E57" s="17" t="s">
        <v>1951</v>
      </c>
      <c r="F57" s="17" t="s">
        <v>1747</v>
      </c>
      <c r="G57" s="17" t="n">
        <v>200</v>
      </c>
      <c r="H57" s="17" t="s">
        <v>1897</v>
      </c>
      <c r="I57" s="18" t="s">
        <v>2040</v>
      </c>
      <c r="J57" s="17" t="s">
        <v>1953</v>
      </c>
      <c r="K57" s="17" t="s">
        <v>2041</v>
      </c>
      <c r="L57" s="17" t="s">
        <v>2042</v>
      </c>
      <c r="M57" s="18" t="s">
        <v>2043</v>
      </c>
      <c r="N57" s="17" t="s">
        <v>2044</v>
      </c>
      <c r="O57" s="17" t="n">
        <v>0</v>
      </c>
    </row>
    <row r="58" customFormat="false" ht="17.15" hidden="false" customHeight="false" outlineLevel="0" collapsed="false">
      <c r="A58" s="0" t="s">
        <v>2045</v>
      </c>
      <c r="B58" s="0" t="s">
        <v>1719</v>
      </c>
      <c r="C58" s="0" t="s">
        <v>512</v>
      </c>
      <c r="D58" s="0" t="s">
        <v>2046</v>
      </c>
      <c r="E58" s="0" t="s">
        <v>25</v>
      </c>
      <c r="F58" s="0" t="s">
        <v>1768</v>
      </c>
      <c r="G58" s="9" t="n">
        <v>40</v>
      </c>
      <c r="H58" s="20" t="s">
        <v>1897</v>
      </c>
      <c r="I58" s="5" t="s">
        <v>2047</v>
      </c>
      <c r="J58" s="20" t="s">
        <v>1953</v>
      </c>
      <c r="K58" s="20" t="s">
        <v>2048</v>
      </c>
      <c r="L58" s="20" t="s">
        <v>2049</v>
      </c>
      <c r="M58" s="5" t="s">
        <v>1736</v>
      </c>
      <c r="O58" s="0" t="n">
        <v>1</v>
      </c>
    </row>
    <row r="59" customFormat="false" ht="17.15" hidden="false" customHeight="false" outlineLevel="0" collapsed="false">
      <c r="A59" s="17" t="s">
        <v>2050</v>
      </c>
      <c r="B59" s="17" t="s">
        <v>1719</v>
      </c>
      <c r="C59" s="17" t="s">
        <v>512</v>
      </c>
      <c r="D59" s="17" t="s">
        <v>120</v>
      </c>
      <c r="E59" s="17" t="s">
        <v>25</v>
      </c>
      <c r="F59" s="17" t="s">
        <v>1768</v>
      </c>
      <c r="G59" s="17" t="n">
        <v>124.259</v>
      </c>
      <c r="H59" s="17" t="s">
        <v>1897</v>
      </c>
      <c r="I59" s="18" t="s">
        <v>2051</v>
      </c>
      <c r="J59" s="17" t="s">
        <v>1953</v>
      </c>
      <c r="K59" s="17" t="s">
        <v>2052</v>
      </c>
      <c r="L59" s="17" t="s">
        <v>2014</v>
      </c>
      <c r="M59" s="18" t="s">
        <v>1929</v>
      </c>
      <c r="N59" s="17"/>
      <c r="O59" s="17" t="n">
        <v>0</v>
      </c>
    </row>
    <row r="60" customFormat="false" ht="17.15" hidden="false" customHeight="false" outlineLevel="0" collapsed="false">
      <c r="A60" s="0" t="s">
        <v>2053</v>
      </c>
      <c r="B60" s="0" t="s">
        <v>1719</v>
      </c>
      <c r="C60" s="0" t="s">
        <v>512</v>
      </c>
      <c r="D60" s="0" t="s">
        <v>1778</v>
      </c>
      <c r="E60" s="0" t="s">
        <v>25</v>
      </c>
      <c r="F60" s="0" t="s">
        <v>2054</v>
      </c>
      <c r="G60" s="9" t="n">
        <v>44</v>
      </c>
      <c r="H60" s="20" t="s">
        <v>1897</v>
      </c>
      <c r="I60" s="20" t="s">
        <v>2055</v>
      </c>
      <c r="J60" s="20" t="s">
        <v>1953</v>
      </c>
      <c r="K60" s="20" t="s">
        <v>2056</v>
      </c>
      <c r="L60" s="20" t="s">
        <v>2057</v>
      </c>
      <c r="M60" s="5" t="s">
        <v>1736</v>
      </c>
      <c r="O60" s="0" t="n">
        <v>1</v>
      </c>
    </row>
    <row r="61" customFormat="false" ht="17.15" hidden="false" customHeight="false" outlineLevel="0" collapsed="false">
      <c r="A61" s="17" t="s">
        <v>2058</v>
      </c>
      <c r="B61" s="17" t="s">
        <v>1723</v>
      </c>
      <c r="C61" s="17" t="s">
        <v>520</v>
      </c>
      <c r="D61" s="17" t="s">
        <v>1720</v>
      </c>
      <c r="E61" s="17" t="s">
        <v>23</v>
      </c>
      <c r="F61" s="17" t="s">
        <v>1744</v>
      </c>
      <c r="G61" s="17" t="n">
        <v>115.877</v>
      </c>
      <c r="H61" s="17" t="s">
        <v>1897</v>
      </c>
      <c r="I61" s="18" t="s">
        <v>1979</v>
      </c>
      <c r="J61" s="17" t="s">
        <v>1899</v>
      </c>
      <c r="K61" s="17" t="s">
        <v>2059</v>
      </c>
      <c r="L61" s="17" t="s">
        <v>2060</v>
      </c>
      <c r="M61" s="18" t="s">
        <v>1902</v>
      </c>
      <c r="N61" s="17"/>
      <c r="O61" s="17" t="n">
        <v>0</v>
      </c>
    </row>
    <row r="62" customFormat="false" ht="17.15" hidden="false" customHeight="false" outlineLevel="0" collapsed="false">
      <c r="A62" s="17" t="s">
        <v>2061</v>
      </c>
      <c r="B62" s="17" t="s">
        <v>1723</v>
      </c>
      <c r="C62" s="17" t="s">
        <v>520</v>
      </c>
      <c r="D62" s="17" t="s">
        <v>1720</v>
      </c>
      <c r="E62" s="17" t="s">
        <v>23</v>
      </c>
      <c r="F62" s="17" t="s">
        <v>1747</v>
      </c>
      <c r="G62" s="17" t="n">
        <v>77.658</v>
      </c>
      <c r="H62" s="17" t="s">
        <v>1897</v>
      </c>
      <c r="I62" s="18" t="s">
        <v>2062</v>
      </c>
      <c r="J62" s="17" t="s">
        <v>1909</v>
      </c>
      <c r="K62" s="17" t="s">
        <v>2059</v>
      </c>
      <c r="L62" s="17" t="s">
        <v>2060</v>
      </c>
      <c r="M62" s="18" t="s">
        <v>1902</v>
      </c>
      <c r="N62" s="17"/>
      <c r="O62" s="17" t="n">
        <v>0</v>
      </c>
    </row>
    <row r="63" customFormat="false" ht="17.15" hidden="false" customHeight="false" outlineLevel="0" collapsed="false">
      <c r="A63" s="17" t="s">
        <v>2063</v>
      </c>
      <c r="B63" s="17" t="s">
        <v>1723</v>
      </c>
      <c r="C63" s="17" t="s">
        <v>520</v>
      </c>
      <c r="D63" s="17" t="s">
        <v>1720</v>
      </c>
      <c r="E63" s="17" t="s">
        <v>23</v>
      </c>
      <c r="F63" s="17" t="s">
        <v>1733</v>
      </c>
      <c r="G63" s="17" t="n">
        <v>78.512</v>
      </c>
      <c r="H63" s="17" t="s">
        <v>1897</v>
      </c>
      <c r="I63" s="18" t="s">
        <v>2064</v>
      </c>
      <c r="J63" s="17" t="s">
        <v>1909</v>
      </c>
      <c r="K63" s="17" t="s">
        <v>2059</v>
      </c>
      <c r="L63" s="17" t="s">
        <v>2060</v>
      </c>
      <c r="M63" s="18" t="s">
        <v>1902</v>
      </c>
      <c r="N63" s="17"/>
      <c r="O63" s="17" t="n">
        <v>0</v>
      </c>
    </row>
    <row r="64" customFormat="false" ht="17.15" hidden="false" customHeight="false" outlineLevel="0" collapsed="false">
      <c r="A64" s="17" t="s">
        <v>2065</v>
      </c>
      <c r="B64" s="17" t="s">
        <v>1723</v>
      </c>
      <c r="C64" s="17" t="s">
        <v>520</v>
      </c>
      <c r="D64" s="17" t="s">
        <v>1720</v>
      </c>
      <c r="E64" s="17" t="s">
        <v>23</v>
      </c>
      <c r="F64" s="17" t="s">
        <v>1750</v>
      </c>
      <c r="G64" s="17" t="n">
        <v>38.219</v>
      </c>
      <c r="H64" s="17" t="s">
        <v>1897</v>
      </c>
      <c r="I64" s="17" t="s">
        <v>2066</v>
      </c>
      <c r="J64" s="17" t="s">
        <v>1909</v>
      </c>
      <c r="K64" s="17" t="s">
        <v>2059</v>
      </c>
      <c r="L64" s="17" t="s">
        <v>2060</v>
      </c>
      <c r="M64" s="18" t="s">
        <v>1902</v>
      </c>
      <c r="N64" s="17"/>
      <c r="O64" s="17" t="n">
        <v>0</v>
      </c>
    </row>
    <row r="65" customFormat="false" ht="17.15" hidden="false" customHeight="false" outlineLevel="0" collapsed="false">
      <c r="A65" s="17" t="s">
        <v>2067</v>
      </c>
      <c r="B65" s="17" t="s">
        <v>1723</v>
      </c>
      <c r="C65" s="17" t="s">
        <v>520</v>
      </c>
      <c r="D65" s="17" t="s">
        <v>1720</v>
      </c>
      <c r="E65" s="17" t="s">
        <v>23</v>
      </c>
      <c r="F65" s="17" t="s">
        <v>1804</v>
      </c>
      <c r="G65" s="17" t="n">
        <v>0</v>
      </c>
      <c r="H65" s="17" t="s">
        <v>1897</v>
      </c>
      <c r="I65" s="17" t="s">
        <v>2068</v>
      </c>
      <c r="J65" s="17" t="s">
        <v>1899</v>
      </c>
      <c r="K65" s="17" t="s">
        <v>2059</v>
      </c>
      <c r="L65" s="17" t="s">
        <v>2060</v>
      </c>
      <c r="M65" s="18" t="s">
        <v>1902</v>
      </c>
      <c r="N65" s="17"/>
      <c r="O65" s="17" t="n">
        <v>0</v>
      </c>
    </row>
    <row r="66" customFormat="false" ht="17.15" hidden="false" customHeight="false" outlineLevel="0" collapsed="false">
      <c r="A66" s="0" t="s">
        <v>2069</v>
      </c>
      <c r="B66" s="0" t="s">
        <v>1723</v>
      </c>
      <c r="C66" s="0" t="s">
        <v>520</v>
      </c>
      <c r="D66" s="0" t="s">
        <v>1721</v>
      </c>
      <c r="E66" s="0" t="s">
        <v>24</v>
      </c>
      <c r="F66" s="0" t="s">
        <v>1744</v>
      </c>
      <c r="G66" s="9" t="n">
        <v>139.514</v>
      </c>
      <c r="H66" s="20" t="s">
        <v>1897</v>
      </c>
      <c r="I66" s="5" t="s">
        <v>1979</v>
      </c>
      <c r="J66" s="20" t="s">
        <v>1899</v>
      </c>
      <c r="K66" s="20" t="s">
        <v>2070</v>
      </c>
      <c r="L66" s="20" t="s">
        <v>2060</v>
      </c>
      <c r="M66" s="20" t="s">
        <v>1782</v>
      </c>
      <c r="O66" s="0" t="n">
        <v>1</v>
      </c>
    </row>
    <row r="67" customFormat="false" ht="17.15" hidden="false" customHeight="false" outlineLevel="0" collapsed="false">
      <c r="A67" s="0" t="s">
        <v>2071</v>
      </c>
      <c r="B67" s="0" t="s">
        <v>1723</v>
      </c>
      <c r="C67" s="0" t="s">
        <v>520</v>
      </c>
      <c r="D67" s="0" t="s">
        <v>1721</v>
      </c>
      <c r="E67" s="0" t="s">
        <v>24</v>
      </c>
      <c r="F67" s="0" t="s">
        <v>1747</v>
      </c>
      <c r="G67" s="9" t="n">
        <v>128.32</v>
      </c>
      <c r="H67" s="20" t="s">
        <v>1897</v>
      </c>
      <c r="I67" s="5" t="s">
        <v>2072</v>
      </c>
      <c r="J67" s="20" t="s">
        <v>1909</v>
      </c>
      <c r="K67" s="20" t="s">
        <v>2070</v>
      </c>
      <c r="L67" s="20" t="s">
        <v>2060</v>
      </c>
      <c r="M67" s="20" t="s">
        <v>1782</v>
      </c>
      <c r="O67" s="0" t="n">
        <v>1</v>
      </c>
    </row>
    <row r="68" customFormat="false" ht="17.15" hidden="false" customHeight="false" outlineLevel="0" collapsed="false">
      <c r="A68" s="0" t="s">
        <v>2073</v>
      </c>
      <c r="B68" s="0" t="s">
        <v>1723</v>
      </c>
      <c r="C68" s="0" t="s">
        <v>520</v>
      </c>
      <c r="D68" s="0" t="s">
        <v>1721</v>
      </c>
      <c r="E68" s="0" t="s">
        <v>24</v>
      </c>
      <c r="F68" s="0" t="s">
        <v>1733</v>
      </c>
      <c r="G68" s="9" t="n">
        <v>131.231</v>
      </c>
      <c r="H68" s="20" t="s">
        <v>1897</v>
      </c>
      <c r="I68" s="5" t="s">
        <v>2074</v>
      </c>
      <c r="J68" s="20" t="s">
        <v>1909</v>
      </c>
      <c r="K68" s="20" t="s">
        <v>2070</v>
      </c>
      <c r="L68" s="20" t="s">
        <v>2060</v>
      </c>
      <c r="M68" s="20" t="s">
        <v>1782</v>
      </c>
      <c r="O68" s="0" t="n">
        <v>1</v>
      </c>
    </row>
    <row r="69" customFormat="false" ht="17.15" hidden="false" customHeight="false" outlineLevel="0" collapsed="false">
      <c r="A69" s="0" t="s">
        <v>2075</v>
      </c>
      <c r="B69" s="0" t="s">
        <v>1723</v>
      </c>
      <c r="C69" s="0" t="s">
        <v>520</v>
      </c>
      <c r="D69" s="0" t="s">
        <v>1721</v>
      </c>
      <c r="E69" s="0" t="s">
        <v>24</v>
      </c>
      <c r="F69" s="0" t="s">
        <v>1750</v>
      </c>
      <c r="G69" s="9" t="n">
        <v>11.194</v>
      </c>
      <c r="H69" s="20" t="s">
        <v>1897</v>
      </c>
      <c r="I69" s="20" t="s">
        <v>2076</v>
      </c>
      <c r="J69" s="20" t="s">
        <v>1909</v>
      </c>
      <c r="K69" s="20" t="s">
        <v>2070</v>
      </c>
      <c r="L69" s="20" t="s">
        <v>2060</v>
      </c>
      <c r="M69" s="20" t="s">
        <v>1782</v>
      </c>
      <c r="O69" s="0" t="n">
        <v>1</v>
      </c>
    </row>
    <row r="70" customFormat="false" ht="17.15" hidden="false" customHeight="false" outlineLevel="0" collapsed="false">
      <c r="A70" s="0" t="s">
        <v>2077</v>
      </c>
      <c r="B70" s="0" t="s">
        <v>1723</v>
      </c>
      <c r="C70" s="0" t="s">
        <v>520</v>
      </c>
      <c r="D70" s="0" t="s">
        <v>1721</v>
      </c>
      <c r="E70" s="0" t="s">
        <v>24</v>
      </c>
      <c r="F70" s="0" t="s">
        <v>1804</v>
      </c>
      <c r="G70" s="9" t="n">
        <v>0</v>
      </c>
      <c r="H70" s="20" t="s">
        <v>1897</v>
      </c>
      <c r="I70" s="20" t="s">
        <v>2078</v>
      </c>
      <c r="J70" s="20" t="s">
        <v>1899</v>
      </c>
      <c r="K70" s="20" t="s">
        <v>2070</v>
      </c>
      <c r="L70" s="20" t="s">
        <v>2060</v>
      </c>
      <c r="M70" s="20" t="s">
        <v>1782</v>
      </c>
      <c r="O70" s="0" t="n">
        <v>1</v>
      </c>
    </row>
    <row r="71" customFormat="false" ht="17.15" hidden="false" customHeight="false" outlineLevel="0" collapsed="false">
      <c r="A71" s="17" t="s">
        <v>2079</v>
      </c>
      <c r="B71" s="17" t="s">
        <v>1723</v>
      </c>
      <c r="C71" s="17" t="s">
        <v>520</v>
      </c>
      <c r="D71" s="17" t="s">
        <v>1725</v>
      </c>
      <c r="E71" s="17" t="s">
        <v>25</v>
      </c>
      <c r="F71" s="17" t="s">
        <v>1744</v>
      </c>
      <c r="G71" s="17" t="n">
        <v>71.419</v>
      </c>
      <c r="H71" s="17" t="s">
        <v>1897</v>
      </c>
      <c r="I71" s="17" t="s">
        <v>2080</v>
      </c>
      <c r="J71" s="17" t="s">
        <v>1953</v>
      </c>
      <c r="K71" s="17" t="s">
        <v>2081</v>
      </c>
      <c r="L71" s="17" t="s">
        <v>2082</v>
      </c>
      <c r="M71" s="18" t="s">
        <v>2083</v>
      </c>
      <c r="N71" s="17"/>
      <c r="O71" s="17" t="n">
        <v>0</v>
      </c>
    </row>
    <row r="72" customFormat="false" ht="17.15" hidden="false" customHeight="false" outlineLevel="0" collapsed="false">
      <c r="A72" s="17" t="s">
        <v>2084</v>
      </c>
      <c r="B72" s="17" t="s">
        <v>1723</v>
      </c>
      <c r="C72" s="17" t="s">
        <v>520</v>
      </c>
      <c r="D72" s="17" t="s">
        <v>1725</v>
      </c>
      <c r="E72" s="17" t="s">
        <v>25</v>
      </c>
      <c r="F72" s="17" t="s">
        <v>1747</v>
      </c>
      <c r="G72" s="17" t="n">
        <v>96.31</v>
      </c>
      <c r="H72" s="17" t="s">
        <v>1897</v>
      </c>
      <c r="I72" s="18" t="s">
        <v>2085</v>
      </c>
      <c r="J72" s="17" t="s">
        <v>1909</v>
      </c>
      <c r="K72" s="17" t="s">
        <v>2081</v>
      </c>
      <c r="L72" s="17" t="s">
        <v>2082</v>
      </c>
      <c r="M72" s="18" t="s">
        <v>2086</v>
      </c>
      <c r="N72" s="17"/>
      <c r="O72" s="17" t="n">
        <v>0</v>
      </c>
    </row>
    <row r="73" customFormat="false" ht="17.15" hidden="false" customHeight="false" outlineLevel="0" collapsed="false">
      <c r="A73" s="17" t="s">
        <v>2087</v>
      </c>
      <c r="B73" s="17" t="s">
        <v>1723</v>
      </c>
      <c r="C73" s="17" t="s">
        <v>520</v>
      </c>
      <c r="D73" s="17" t="s">
        <v>1725</v>
      </c>
      <c r="E73" s="17" t="s">
        <v>25</v>
      </c>
      <c r="F73" s="17" t="s">
        <v>1797</v>
      </c>
      <c r="G73" s="17" t="n">
        <v>2.128</v>
      </c>
      <c r="H73" s="17" t="s">
        <v>1897</v>
      </c>
      <c r="I73" s="18" t="s">
        <v>2088</v>
      </c>
      <c r="J73" s="17" t="s">
        <v>1953</v>
      </c>
      <c r="K73" s="17" t="s">
        <v>2081</v>
      </c>
      <c r="L73" s="17" t="s">
        <v>2082</v>
      </c>
      <c r="M73" s="18" t="s">
        <v>2089</v>
      </c>
      <c r="N73" s="17"/>
      <c r="O73" s="17" t="n">
        <v>0</v>
      </c>
    </row>
    <row r="74" customFormat="false" ht="17.15" hidden="false" customHeight="false" outlineLevel="0" collapsed="false">
      <c r="A74" s="17" t="s">
        <v>2090</v>
      </c>
      <c r="B74" s="17" t="s">
        <v>1723</v>
      </c>
      <c r="C74" s="17" t="s">
        <v>520</v>
      </c>
      <c r="D74" s="17" t="s">
        <v>1725</v>
      </c>
      <c r="E74" s="17" t="s">
        <v>25</v>
      </c>
      <c r="F74" s="17" t="s">
        <v>1750</v>
      </c>
      <c r="G74" s="17" t="n">
        <v>-24.891</v>
      </c>
      <c r="H74" s="17" t="s">
        <v>1897</v>
      </c>
      <c r="I74" s="17" t="s">
        <v>2091</v>
      </c>
      <c r="J74" s="17" t="s">
        <v>1909</v>
      </c>
      <c r="K74" s="17" t="s">
        <v>2081</v>
      </c>
      <c r="L74" s="17" t="s">
        <v>2082</v>
      </c>
      <c r="M74" s="18" t="s">
        <v>2092</v>
      </c>
      <c r="N74" s="17"/>
      <c r="O74" s="17" t="n">
        <v>0</v>
      </c>
    </row>
    <row r="75" customFormat="false" ht="17.15" hidden="false" customHeight="false" outlineLevel="0" collapsed="false">
      <c r="A75" s="0" t="s">
        <v>2093</v>
      </c>
      <c r="B75" s="0" t="s">
        <v>1723</v>
      </c>
      <c r="C75" s="0" t="s">
        <v>520</v>
      </c>
      <c r="D75" s="0" t="s">
        <v>1963</v>
      </c>
      <c r="E75" s="0" t="s">
        <v>24</v>
      </c>
      <c r="F75" s="0" t="s">
        <v>1779</v>
      </c>
      <c r="G75" s="9" t="n">
        <v>15</v>
      </c>
      <c r="H75" s="20" t="s">
        <v>1897</v>
      </c>
      <c r="I75" s="20" t="s">
        <v>2094</v>
      </c>
      <c r="J75" s="20" t="s">
        <v>1953</v>
      </c>
      <c r="K75" s="20" t="s">
        <v>2095</v>
      </c>
      <c r="L75" s="20" t="s">
        <v>2096</v>
      </c>
      <c r="M75" s="20" t="s">
        <v>1782</v>
      </c>
      <c r="O75" s="0" t="n">
        <v>1</v>
      </c>
    </row>
    <row r="76" customFormat="false" ht="17.15" hidden="false" customHeight="false" outlineLevel="0" collapsed="false">
      <c r="A76" s="17" t="s">
        <v>2097</v>
      </c>
      <c r="B76" s="17" t="s">
        <v>1723</v>
      </c>
      <c r="C76" s="17" t="s">
        <v>520</v>
      </c>
      <c r="D76" s="17" t="s">
        <v>2098</v>
      </c>
      <c r="E76" s="17" t="s">
        <v>25</v>
      </c>
      <c r="F76" s="17" t="s">
        <v>1779</v>
      </c>
      <c r="G76" s="17" t="n">
        <v>53.8</v>
      </c>
      <c r="H76" s="17" t="s">
        <v>1897</v>
      </c>
      <c r="I76" s="17" t="s">
        <v>2099</v>
      </c>
      <c r="J76" s="17" t="s">
        <v>1953</v>
      </c>
      <c r="K76" s="17" t="s">
        <v>2100</v>
      </c>
      <c r="L76" s="17" t="s">
        <v>2101</v>
      </c>
      <c r="M76" s="18" t="s">
        <v>2102</v>
      </c>
      <c r="N76" s="17"/>
      <c r="O76" s="17" t="n">
        <v>0</v>
      </c>
    </row>
    <row r="77" customFormat="false" ht="17.15" hidden="false" customHeight="false" outlineLevel="0" collapsed="false">
      <c r="A77" s="17" t="s">
        <v>2103</v>
      </c>
      <c r="B77" s="17" t="s">
        <v>1723</v>
      </c>
      <c r="C77" s="17" t="s">
        <v>520</v>
      </c>
      <c r="D77" s="17" t="s">
        <v>2104</v>
      </c>
      <c r="E77" s="17" t="s">
        <v>25</v>
      </c>
      <c r="F77" s="17" t="s">
        <v>1779</v>
      </c>
      <c r="G77" s="17" t="n">
        <v>25</v>
      </c>
      <c r="H77" s="17" t="s">
        <v>1897</v>
      </c>
      <c r="I77" s="17" t="s">
        <v>2105</v>
      </c>
      <c r="J77" s="17" t="s">
        <v>1953</v>
      </c>
      <c r="K77" s="17" t="s">
        <v>2106</v>
      </c>
      <c r="L77" s="17" t="s">
        <v>2107</v>
      </c>
      <c r="M77" s="18" t="s">
        <v>2102</v>
      </c>
      <c r="N77" s="17"/>
      <c r="O77" s="17" t="n">
        <v>0</v>
      </c>
    </row>
    <row r="78" customFormat="false" ht="17.15" hidden="false" customHeight="false" outlineLevel="0" collapsed="false">
      <c r="A78" s="17" t="s">
        <v>2108</v>
      </c>
      <c r="B78" s="17" t="s">
        <v>1723</v>
      </c>
      <c r="C78" s="17" t="s">
        <v>520</v>
      </c>
      <c r="D78" s="17" t="s">
        <v>120</v>
      </c>
      <c r="E78" s="17" t="s">
        <v>25</v>
      </c>
      <c r="F78" s="17" t="s">
        <v>1939</v>
      </c>
      <c r="G78" s="17" t="n">
        <v>64.159</v>
      </c>
      <c r="H78" s="17" t="s">
        <v>1897</v>
      </c>
      <c r="I78" s="18" t="s">
        <v>2109</v>
      </c>
      <c r="J78" s="17" t="s">
        <v>1909</v>
      </c>
      <c r="K78" s="17" t="s">
        <v>2110</v>
      </c>
      <c r="L78" s="17" t="s">
        <v>2111</v>
      </c>
      <c r="M78" s="18" t="s">
        <v>1902</v>
      </c>
      <c r="N78" s="17"/>
      <c r="O78" s="17" t="n">
        <v>0</v>
      </c>
    </row>
    <row r="79" customFormat="false" ht="17.15" hidden="false" customHeight="false" outlineLevel="0" collapsed="false">
      <c r="A79" s="0" t="s">
        <v>2112</v>
      </c>
      <c r="B79" s="0" t="s">
        <v>1723</v>
      </c>
      <c r="C79" s="0" t="s">
        <v>520</v>
      </c>
      <c r="D79" s="0" t="s">
        <v>120</v>
      </c>
      <c r="E79" s="0" t="s">
        <v>25</v>
      </c>
      <c r="F79" s="0" t="s">
        <v>1762</v>
      </c>
      <c r="G79" s="9" t="n">
        <v>137.214</v>
      </c>
      <c r="H79" s="20" t="s">
        <v>1897</v>
      </c>
      <c r="I79" s="5" t="s">
        <v>2113</v>
      </c>
      <c r="J79" s="20" t="s">
        <v>1953</v>
      </c>
      <c r="K79" s="20" t="s">
        <v>2114</v>
      </c>
      <c r="L79" s="20" t="s">
        <v>2111</v>
      </c>
      <c r="M79" s="5" t="s">
        <v>1736</v>
      </c>
      <c r="O79" s="0" t="n">
        <v>1</v>
      </c>
    </row>
    <row r="80" customFormat="false" ht="15" hidden="false" customHeight="false" outlineLevel="0" collapsed="false">
      <c r="A80" s="17" t="s">
        <v>2115</v>
      </c>
      <c r="B80" s="17" t="s">
        <v>1723</v>
      </c>
      <c r="C80" s="17" t="s">
        <v>520</v>
      </c>
      <c r="D80" s="17" t="s">
        <v>120</v>
      </c>
      <c r="E80" s="17" t="s">
        <v>25</v>
      </c>
      <c r="F80" s="17" t="s">
        <v>1765</v>
      </c>
      <c r="G80" s="17" t="n">
        <v>96.32</v>
      </c>
      <c r="H80" s="17" t="s">
        <v>1897</v>
      </c>
      <c r="I80" s="18" t="s">
        <v>2116</v>
      </c>
      <c r="J80" s="17" t="s">
        <v>1953</v>
      </c>
      <c r="K80" s="17" t="s">
        <v>2114</v>
      </c>
      <c r="L80" s="17" t="s">
        <v>2111</v>
      </c>
      <c r="M80" s="18" t="s">
        <v>1902</v>
      </c>
      <c r="N80" s="17"/>
      <c r="O80" s="17" t="n">
        <v>0</v>
      </c>
    </row>
    <row r="81" customFormat="false" ht="17.15" hidden="false" customHeight="false" outlineLevel="0" collapsed="false">
      <c r="A81" s="17" t="s">
        <v>2117</v>
      </c>
      <c r="B81" s="17" t="s">
        <v>1723</v>
      </c>
      <c r="C81" s="17" t="s">
        <v>520</v>
      </c>
      <c r="D81" s="17" t="s">
        <v>1732</v>
      </c>
      <c r="E81" s="17" t="s">
        <v>1951</v>
      </c>
      <c r="F81" s="17" t="s">
        <v>1747</v>
      </c>
      <c r="G81" s="17" t="n">
        <v>220</v>
      </c>
      <c r="H81" s="17" t="s">
        <v>1897</v>
      </c>
      <c r="I81" s="18" t="s">
        <v>2118</v>
      </c>
      <c r="J81" s="17" t="s">
        <v>1953</v>
      </c>
      <c r="K81" s="17" t="s">
        <v>2119</v>
      </c>
      <c r="L81" s="17" t="s">
        <v>2120</v>
      </c>
      <c r="M81" s="18" t="s">
        <v>2121</v>
      </c>
      <c r="N81" s="17" t="s">
        <v>2122</v>
      </c>
      <c r="O81" s="17" t="n">
        <v>0</v>
      </c>
    </row>
    <row r="82" customFormat="false" ht="17.15" hidden="false" customHeight="false" outlineLevel="0" collapsed="false">
      <c r="A82" s="0" t="s">
        <v>2123</v>
      </c>
      <c r="B82" s="0" t="s">
        <v>1723</v>
      </c>
      <c r="C82" s="0" t="s">
        <v>520</v>
      </c>
      <c r="D82" s="0" t="s">
        <v>2124</v>
      </c>
      <c r="E82" s="0" t="s">
        <v>25</v>
      </c>
      <c r="F82" s="0" t="s">
        <v>1768</v>
      </c>
      <c r="G82" s="9" t="n">
        <v>50</v>
      </c>
      <c r="H82" s="20" t="s">
        <v>1897</v>
      </c>
      <c r="I82" s="5" t="s">
        <v>2125</v>
      </c>
      <c r="J82" s="20" t="s">
        <v>1953</v>
      </c>
      <c r="K82" s="20" t="s">
        <v>2126</v>
      </c>
      <c r="L82" s="20" t="s">
        <v>2111</v>
      </c>
      <c r="M82" s="5" t="s">
        <v>1736</v>
      </c>
      <c r="O82" s="0" t="n">
        <v>1</v>
      </c>
    </row>
    <row r="83" customFormat="false" ht="17.15" hidden="false" customHeight="false" outlineLevel="0" collapsed="false">
      <c r="A83" s="0" t="s">
        <v>2127</v>
      </c>
      <c r="B83" s="0" t="s">
        <v>1723</v>
      </c>
      <c r="C83" s="0" t="s">
        <v>520</v>
      </c>
      <c r="D83" s="0" t="s">
        <v>120</v>
      </c>
      <c r="E83" s="0" t="s">
        <v>25</v>
      </c>
      <c r="F83" s="0" t="s">
        <v>1768</v>
      </c>
      <c r="G83" s="9" t="n">
        <v>18</v>
      </c>
      <c r="H83" s="20" t="s">
        <v>1897</v>
      </c>
      <c r="I83" s="5" t="s">
        <v>2128</v>
      </c>
      <c r="J83" s="20" t="s">
        <v>1899</v>
      </c>
      <c r="K83" s="20" t="s">
        <v>2129</v>
      </c>
      <c r="L83" s="20" t="s">
        <v>2111</v>
      </c>
      <c r="M83" s="5" t="s">
        <v>1736</v>
      </c>
      <c r="O83" s="0" t="n">
        <v>1</v>
      </c>
    </row>
    <row r="84" customFormat="false" ht="17.15" hidden="false" customHeight="false" outlineLevel="0" collapsed="false">
      <c r="A84" s="17" t="s">
        <v>2130</v>
      </c>
      <c r="B84" s="17" t="s">
        <v>1070</v>
      </c>
      <c r="C84" s="17" t="s">
        <v>527</v>
      </c>
      <c r="D84" s="17" t="s">
        <v>1720</v>
      </c>
      <c r="E84" s="17" t="s">
        <v>23</v>
      </c>
      <c r="F84" s="17" t="s">
        <v>1744</v>
      </c>
      <c r="G84" s="17" t="n">
        <v>91.328</v>
      </c>
      <c r="H84" s="17" t="s">
        <v>1897</v>
      </c>
      <c r="I84" s="18" t="s">
        <v>1979</v>
      </c>
      <c r="J84" s="17" t="s">
        <v>1899</v>
      </c>
      <c r="K84" s="17" t="s">
        <v>2131</v>
      </c>
      <c r="L84" s="17" t="s">
        <v>2132</v>
      </c>
      <c r="M84" s="18" t="s">
        <v>1902</v>
      </c>
      <c r="N84" s="17"/>
      <c r="O84" s="17" t="n">
        <v>0</v>
      </c>
    </row>
    <row r="85" customFormat="false" ht="17.15" hidden="false" customHeight="false" outlineLevel="0" collapsed="false">
      <c r="A85" s="17" t="s">
        <v>2133</v>
      </c>
      <c r="B85" s="17" t="s">
        <v>1070</v>
      </c>
      <c r="C85" s="17" t="s">
        <v>527</v>
      </c>
      <c r="D85" s="17" t="s">
        <v>1720</v>
      </c>
      <c r="E85" s="17" t="s">
        <v>23</v>
      </c>
      <c r="F85" s="17" t="s">
        <v>1747</v>
      </c>
      <c r="G85" s="17" t="n">
        <v>37.256</v>
      </c>
      <c r="H85" s="17" t="s">
        <v>1897</v>
      </c>
      <c r="I85" s="17" t="s">
        <v>2134</v>
      </c>
      <c r="J85" s="17" t="s">
        <v>1899</v>
      </c>
      <c r="K85" s="17" t="s">
        <v>2131</v>
      </c>
      <c r="L85" s="17" t="s">
        <v>2132</v>
      </c>
      <c r="M85" s="18" t="s">
        <v>1902</v>
      </c>
      <c r="N85" s="17"/>
      <c r="O85" s="17" t="n">
        <v>0</v>
      </c>
    </row>
    <row r="86" customFormat="false" ht="17.15" hidden="false" customHeight="false" outlineLevel="0" collapsed="false">
      <c r="A86" s="17" t="s">
        <v>2135</v>
      </c>
      <c r="B86" s="17" t="s">
        <v>1070</v>
      </c>
      <c r="C86" s="17" t="s">
        <v>527</v>
      </c>
      <c r="D86" s="17" t="s">
        <v>1720</v>
      </c>
      <c r="E86" s="17" t="s">
        <v>23</v>
      </c>
      <c r="F86" s="17" t="s">
        <v>1733</v>
      </c>
      <c r="G86" s="17" t="n">
        <v>39.225</v>
      </c>
      <c r="H86" s="17" t="s">
        <v>1897</v>
      </c>
      <c r="I86" s="17" t="s">
        <v>2136</v>
      </c>
      <c r="J86" s="17" t="s">
        <v>1909</v>
      </c>
      <c r="K86" s="17" t="s">
        <v>2131</v>
      </c>
      <c r="L86" s="17" t="s">
        <v>2132</v>
      </c>
      <c r="M86" s="18" t="s">
        <v>1902</v>
      </c>
      <c r="N86" s="17"/>
      <c r="O86" s="17" t="n">
        <v>0</v>
      </c>
    </row>
    <row r="87" customFormat="false" ht="17.15" hidden="false" customHeight="false" outlineLevel="0" collapsed="false">
      <c r="A87" s="17" t="s">
        <v>2137</v>
      </c>
      <c r="B87" s="17" t="s">
        <v>1070</v>
      </c>
      <c r="C87" s="17" t="s">
        <v>527</v>
      </c>
      <c r="D87" s="17" t="s">
        <v>1720</v>
      </c>
      <c r="E87" s="17" t="s">
        <v>23</v>
      </c>
      <c r="F87" s="17" t="s">
        <v>1750</v>
      </c>
      <c r="G87" s="17" t="n">
        <v>52.103</v>
      </c>
      <c r="H87" s="17" t="s">
        <v>1897</v>
      </c>
      <c r="I87" s="18" t="s">
        <v>2138</v>
      </c>
      <c r="J87" s="17" t="s">
        <v>1899</v>
      </c>
      <c r="K87" s="17" t="s">
        <v>2131</v>
      </c>
      <c r="L87" s="17" t="s">
        <v>2132</v>
      </c>
      <c r="M87" s="18" t="s">
        <v>1902</v>
      </c>
      <c r="N87" s="17"/>
      <c r="O87" s="17" t="n">
        <v>0</v>
      </c>
    </row>
    <row r="88" customFormat="false" ht="17.15" hidden="false" customHeight="false" outlineLevel="0" collapsed="false">
      <c r="A88" s="17" t="s">
        <v>2139</v>
      </c>
      <c r="B88" s="17" t="s">
        <v>1070</v>
      </c>
      <c r="C88" s="17" t="s">
        <v>527</v>
      </c>
      <c r="D88" s="17" t="s">
        <v>1720</v>
      </c>
      <c r="E88" s="17" t="s">
        <v>23</v>
      </c>
      <c r="F88" s="17" t="s">
        <v>1804</v>
      </c>
      <c r="G88" s="17" t="n">
        <v>35.197</v>
      </c>
      <c r="H88" s="17" t="s">
        <v>1897</v>
      </c>
      <c r="I88" s="18" t="s">
        <v>2140</v>
      </c>
      <c r="J88" s="17" t="s">
        <v>1899</v>
      </c>
      <c r="K88" s="17" t="s">
        <v>2131</v>
      </c>
      <c r="L88" s="17" t="s">
        <v>2132</v>
      </c>
      <c r="M88" s="18" t="s">
        <v>1902</v>
      </c>
      <c r="N88" s="17"/>
      <c r="O88" s="17" t="n">
        <v>0</v>
      </c>
    </row>
    <row r="89" customFormat="false" ht="17.15" hidden="false" customHeight="false" outlineLevel="0" collapsed="false">
      <c r="A89" s="0" t="s">
        <v>2141</v>
      </c>
      <c r="B89" s="0" t="s">
        <v>1070</v>
      </c>
      <c r="C89" s="0" t="s">
        <v>527</v>
      </c>
      <c r="D89" s="0" t="s">
        <v>1721</v>
      </c>
      <c r="E89" s="0" t="s">
        <v>24</v>
      </c>
      <c r="F89" s="0" t="s">
        <v>1744</v>
      </c>
      <c r="G89" s="9" t="n">
        <v>115.8</v>
      </c>
      <c r="H89" s="20" t="s">
        <v>1897</v>
      </c>
      <c r="I89" s="5" t="s">
        <v>1979</v>
      </c>
      <c r="J89" s="20" t="s">
        <v>1899</v>
      </c>
      <c r="K89" s="20" t="s">
        <v>2142</v>
      </c>
      <c r="L89" s="20" t="s">
        <v>2132</v>
      </c>
      <c r="M89" s="5" t="s">
        <v>1736</v>
      </c>
      <c r="O89" s="0" t="n">
        <v>1</v>
      </c>
    </row>
    <row r="90" customFormat="false" ht="17.15" hidden="false" customHeight="false" outlineLevel="0" collapsed="false">
      <c r="A90" s="17" t="s">
        <v>2143</v>
      </c>
      <c r="B90" s="17" t="s">
        <v>1070</v>
      </c>
      <c r="C90" s="17" t="s">
        <v>527</v>
      </c>
      <c r="D90" s="17" t="s">
        <v>1721</v>
      </c>
      <c r="E90" s="17" t="s">
        <v>24</v>
      </c>
      <c r="F90" s="17" t="s">
        <v>1747</v>
      </c>
      <c r="G90" s="17" t="n">
        <v>69.691</v>
      </c>
      <c r="H90" s="17" t="s">
        <v>1897</v>
      </c>
      <c r="I90" s="17" t="s">
        <v>2134</v>
      </c>
      <c r="J90" s="17" t="s">
        <v>1899</v>
      </c>
      <c r="K90" s="17" t="s">
        <v>2131</v>
      </c>
      <c r="L90" s="17" t="s">
        <v>2132</v>
      </c>
      <c r="M90" s="18" t="s">
        <v>1902</v>
      </c>
      <c r="N90" s="17"/>
      <c r="O90" s="17" t="n">
        <v>0</v>
      </c>
    </row>
    <row r="91" customFormat="false" ht="17.15" hidden="false" customHeight="false" outlineLevel="0" collapsed="false">
      <c r="A91" s="0" t="s">
        <v>2144</v>
      </c>
      <c r="B91" s="0" t="s">
        <v>1070</v>
      </c>
      <c r="C91" s="0" t="s">
        <v>527</v>
      </c>
      <c r="D91" s="0" t="s">
        <v>1721</v>
      </c>
      <c r="E91" s="0" t="s">
        <v>24</v>
      </c>
      <c r="F91" s="0" t="s">
        <v>1733</v>
      </c>
      <c r="G91" s="9" t="n">
        <v>72.215</v>
      </c>
      <c r="H91" s="20" t="s">
        <v>1897</v>
      </c>
      <c r="I91" s="20" t="s">
        <v>2145</v>
      </c>
      <c r="J91" s="20" t="s">
        <v>1909</v>
      </c>
      <c r="K91" s="20" t="s">
        <v>2142</v>
      </c>
      <c r="L91" s="20" t="s">
        <v>2132</v>
      </c>
      <c r="M91" s="5" t="s">
        <v>1736</v>
      </c>
      <c r="O91" s="0" t="n">
        <v>1</v>
      </c>
    </row>
    <row r="92" customFormat="false" ht="17.15" hidden="false" customHeight="false" outlineLevel="0" collapsed="false">
      <c r="A92" s="0" t="s">
        <v>2146</v>
      </c>
      <c r="B92" s="0" t="s">
        <v>1070</v>
      </c>
      <c r="C92" s="0" t="s">
        <v>527</v>
      </c>
      <c r="D92" s="0" t="s">
        <v>1721</v>
      </c>
      <c r="E92" s="0" t="s">
        <v>24</v>
      </c>
      <c r="F92" s="0" t="s">
        <v>1750</v>
      </c>
      <c r="G92" s="9" t="n">
        <v>43.585</v>
      </c>
      <c r="H92" s="20" t="s">
        <v>1897</v>
      </c>
      <c r="I92" s="5" t="s">
        <v>2147</v>
      </c>
      <c r="J92" s="20" t="s">
        <v>1899</v>
      </c>
      <c r="K92" s="20" t="s">
        <v>2142</v>
      </c>
      <c r="L92" s="20" t="s">
        <v>2132</v>
      </c>
      <c r="M92" s="5" t="s">
        <v>1736</v>
      </c>
      <c r="O92" s="0" t="n">
        <v>1</v>
      </c>
    </row>
    <row r="93" customFormat="false" ht="17.15" hidden="false" customHeight="false" outlineLevel="0" collapsed="false">
      <c r="A93" s="0" t="s">
        <v>2148</v>
      </c>
      <c r="B93" s="0" t="s">
        <v>1070</v>
      </c>
      <c r="C93" s="0" t="s">
        <v>527</v>
      </c>
      <c r="D93" s="0" t="s">
        <v>1721</v>
      </c>
      <c r="E93" s="0" t="s">
        <v>24</v>
      </c>
      <c r="F93" s="0" t="s">
        <v>1804</v>
      </c>
      <c r="G93" s="9" t="n">
        <v>31.572</v>
      </c>
      <c r="H93" s="20" t="s">
        <v>1897</v>
      </c>
      <c r="I93" s="5" t="s">
        <v>2149</v>
      </c>
      <c r="J93" s="20" t="s">
        <v>1899</v>
      </c>
      <c r="K93" s="20" t="s">
        <v>2142</v>
      </c>
      <c r="L93" s="20" t="s">
        <v>2132</v>
      </c>
      <c r="M93" s="5" t="s">
        <v>1736</v>
      </c>
      <c r="O93" s="0" t="n">
        <v>1</v>
      </c>
    </row>
    <row r="94" customFormat="false" ht="15" hidden="false" customHeight="false" outlineLevel="0" collapsed="false">
      <c r="A94" s="0" t="s">
        <v>2150</v>
      </c>
      <c r="B94" s="0" t="s">
        <v>1070</v>
      </c>
      <c r="C94" s="0" t="s">
        <v>527</v>
      </c>
      <c r="D94" s="0" t="s">
        <v>1722</v>
      </c>
      <c r="E94" s="0" t="s">
        <v>25</v>
      </c>
      <c r="F94" s="0" t="s">
        <v>1744</v>
      </c>
      <c r="G94" s="9" t="n">
        <v>96.873</v>
      </c>
      <c r="H94" s="20" t="s">
        <v>1897</v>
      </c>
      <c r="I94" s="5" t="s">
        <v>2151</v>
      </c>
      <c r="J94" s="20" t="s">
        <v>1899</v>
      </c>
      <c r="K94" s="20" t="s">
        <v>2152</v>
      </c>
      <c r="L94" s="20" t="s">
        <v>2153</v>
      </c>
      <c r="M94" s="5" t="s">
        <v>1736</v>
      </c>
      <c r="O94" s="0" t="n">
        <v>1</v>
      </c>
    </row>
    <row r="95" customFormat="false" ht="17.15" hidden="false" customHeight="false" outlineLevel="0" collapsed="false">
      <c r="A95" s="0" t="s">
        <v>2154</v>
      </c>
      <c r="B95" s="0" t="s">
        <v>1070</v>
      </c>
      <c r="C95" s="0" t="s">
        <v>527</v>
      </c>
      <c r="D95" s="0" t="s">
        <v>1722</v>
      </c>
      <c r="E95" s="0" t="s">
        <v>25</v>
      </c>
      <c r="F95" s="0" t="s">
        <v>1747</v>
      </c>
      <c r="G95" s="9" t="n">
        <v>83.055</v>
      </c>
      <c r="H95" s="20" t="s">
        <v>1897</v>
      </c>
      <c r="I95" s="20" t="s">
        <v>2155</v>
      </c>
      <c r="J95" s="20" t="s">
        <v>1899</v>
      </c>
      <c r="K95" s="20" t="s">
        <v>2152</v>
      </c>
      <c r="L95" s="20" t="s">
        <v>2153</v>
      </c>
      <c r="M95" s="5" t="s">
        <v>1736</v>
      </c>
      <c r="O95" s="0" t="n">
        <v>1</v>
      </c>
    </row>
    <row r="96" customFormat="false" ht="17.15" hidden="false" customHeight="false" outlineLevel="0" collapsed="false">
      <c r="A96" s="0" t="s">
        <v>2156</v>
      </c>
      <c r="B96" s="0" t="s">
        <v>1070</v>
      </c>
      <c r="C96" s="0" t="s">
        <v>527</v>
      </c>
      <c r="D96" s="0" t="s">
        <v>1722</v>
      </c>
      <c r="E96" s="0" t="s">
        <v>25</v>
      </c>
      <c r="F96" s="0" t="s">
        <v>1733</v>
      </c>
      <c r="G96" s="9" t="n">
        <v>85.824</v>
      </c>
      <c r="H96" s="20" t="s">
        <v>1897</v>
      </c>
      <c r="I96" s="5" t="s">
        <v>2157</v>
      </c>
      <c r="J96" s="20" t="s">
        <v>1909</v>
      </c>
      <c r="K96" s="20" t="s">
        <v>2152</v>
      </c>
      <c r="L96" s="20" t="s">
        <v>2153</v>
      </c>
      <c r="M96" s="5" t="s">
        <v>1736</v>
      </c>
      <c r="O96" s="0" t="n">
        <v>1</v>
      </c>
    </row>
    <row r="97" customFormat="false" ht="17.15" hidden="false" customHeight="false" outlineLevel="0" collapsed="false">
      <c r="A97" s="0" t="s">
        <v>2158</v>
      </c>
      <c r="B97" s="0" t="s">
        <v>1070</v>
      </c>
      <c r="C97" s="0" t="s">
        <v>527</v>
      </c>
      <c r="D97" s="0" t="s">
        <v>1722</v>
      </c>
      <c r="E97" s="0" t="s">
        <v>25</v>
      </c>
      <c r="F97" s="0" t="s">
        <v>1750</v>
      </c>
      <c r="G97" s="9" t="n">
        <v>11.049</v>
      </c>
      <c r="H97" s="20" t="s">
        <v>1897</v>
      </c>
      <c r="I97" s="20" t="s">
        <v>2159</v>
      </c>
      <c r="J97" s="20" t="s">
        <v>1909</v>
      </c>
      <c r="K97" s="20" t="s">
        <v>2152</v>
      </c>
      <c r="L97" s="20" t="s">
        <v>2153</v>
      </c>
      <c r="M97" s="5" t="s">
        <v>1736</v>
      </c>
      <c r="O97" s="0" t="n">
        <v>1</v>
      </c>
    </row>
    <row r="98" customFormat="false" ht="17.15" hidden="false" customHeight="false" outlineLevel="0" collapsed="false">
      <c r="A98" s="0" t="s">
        <v>2160</v>
      </c>
      <c r="B98" s="0" t="s">
        <v>1070</v>
      </c>
      <c r="C98" s="0" t="s">
        <v>527</v>
      </c>
      <c r="D98" s="0" t="s">
        <v>1722</v>
      </c>
      <c r="E98" s="0" t="s">
        <v>25</v>
      </c>
      <c r="F98" s="0" t="s">
        <v>1804</v>
      </c>
      <c r="G98" s="9" t="n">
        <v>4.06</v>
      </c>
      <c r="H98" s="20" t="s">
        <v>1897</v>
      </c>
      <c r="I98" s="5" t="s">
        <v>2161</v>
      </c>
      <c r="J98" s="20" t="s">
        <v>1899</v>
      </c>
      <c r="K98" s="20" t="s">
        <v>2152</v>
      </c>
      <c r="L98" s="20" t="s">
        <v>2153</v>
      </c>
      <c r="M98" s="5" t="s">
        <v>1736</v>
      </c>
      <c r="O98" s="0" t="n">
        <v>1</v>
      </c>
    </row>
    <row r="99" customFormat="false" ht="17.15" hidden="false" customHeight="false" outlineLevel="0" collapsed="false">
      <c r="A99" s="0" t="s">
        <v>1735</v>
      </c>
      <c r="B99" s="0" t="s">
        <v>1070</v>
      </c>
      <c r="C99" s="0" t="s">
        <v>527</v>
      </c>
      <c r="D99" s="0" t="s">
        <v>1732</v>
      </c>
      <c r="E99" s="0" t="s">
        <v>1951</v>
      </c>
      <c r="F99" s="0" t="s">
        <v>1733</v>
      </c>
      <c r="G99" s="9" t="n">
        <v>140</v>
      </c>
      <c r="H99" s="20" t="s">
        <v>1897</v>
      </c>
      <c r="I99" s="5" t="s">
        <v>1734</v>
      </c>
      <c r="J99" s="20" t="s">
        <v>1953</v>
      </c>
      <c r="K99" s="20" t="s">
        <v>2162</v>
      </c>
      <c r="L99" s="20" t="s">
        <v>2163</v>
      </c>
      <c r="M99" s="5" t="s">
        <v>1736</v>
      </c>
      <c r="O99" s="0" t="n">
        <v>1</v>
      </c>
    </row>
    <row r="100" customFormat="false" ht="17.15" hidden="false" customHeight="false" outlineLevel="0" collapsed="false">
      <c r="A100" s="0" t="s">
        <v>2164</v>
      </c>
      <c r="B100" s="0" t="s">
        <v>1070</v>
      </c>
      <c r="C100" s="0" t="s">
        <v>527</v>
      </c>
      <c r="D100" s="0" t="s">
        <v>2165</v>
      </c>
      <c r="E100" s="0" t="s">
        <v>24</v>
      </c>
      <c r="F100" s="0" t="s">
        <v>1779</v>
      </c>
      <c r="G100" s="9" t="n">
        <v>30</v>
      </c>
      <c r="H100" s="20" t="s">
        <v>1897</v>
      </c>
      <c r="I100" s="20" t="s">
        <v>2166</v>
      </c>
      <c r="J100" s="20" t="s">
        <v>1953</v>
      </c>
      <c r="K100" s="20" t="s">
        <v>2100</v>
      </c>
      <c r="L100" s="20" t="s">
        <v>2167</v>
      </c>
      <c r="M100" s="20" t="s">
        <v>1782</v>
      </c>
      <c r="O100" s="0" t="n">
        <v>1</v>
      </c>
    </row>
    <row r="101" customFormat="false" ht="17.15" hidden="false" customHeight="false" outlineLevel="0" collapsed="false">
      <c r="A101" s="0" t="s">
        <v>2168</v>
      </c>
      <c r="B101" s="0" t="s">
        <v>1070</v>
      </c>
      <c r="C101" s="0" t="s">
        <v>527</v>
      </c>
      <c r="D101" s="0" t="s">
        <v>2169</v>
      </c>
      <c r="E101" s="0" t="s">
        <v>25</v>
      </c>
      <c r="F101" s="0" t="s">
        <v>1779</v>
      </c>
      <c r="G101" s="9" t="n">
        <v>25</v>
      </c>
      <c r="H101" s="20" t="s">
        <v>1897</v>
      </c>
      <c r="I101" s="20" t="s">
        <v>2170</v>
      </c>
      <c r="J101" s="20" t="s">
        <v>1899</v>
      </c>
      <c r="K101" s="20" t="s">
        <v>2171</v>
      </c>
      <c r="L101" s="20" t="s">
        <v>2153</v>
      </c>
      <c r="M101" s="5" t="s">
        <v>1756</v>
      </c>
      <c r="N101" s="20" t="s">
        <v>2172</v>
      </c>
      <c r="O101" s="0" t="n">
        <v>1</v>
      </c>
    </row>
    <row r="102" customFormat="false" ht="17.15" hidden="false" customHeight="false" outlineLevel="0" collapsed="false">
      <c r="A102" s="0" t="s">
        <v>2173</v>
      </c>
      <c r="B102" s="0" t="s">
        <v>1070</v>
      </c>
      <c r="C102" s="0" t="s">
        <v>527</v>
      </c>
      <c r="D102" s="0" t="s">
        <v>1722</v>
      </c>
      <c r="E102" s="0" t="s">
        <v>25</v>
      </c>
      <c r="F102" s="0" t="s">
        <v>1939</v>
      </c>
      <c r="G102" s="9" t="n">
        <v>22.178</v>
      </c>
      <c r="H102" s="20" t="s">
        <v>1897</v>
      </c>
      <c r="I102" s="5" t="s">
        <v>2174</v>
      </c>
      <c r="J102" s="20" t="s">
        <v>1909</v>
      </c>
      <c r="K102" s="20" t="s">
        <v>2152</v>
      </c>
      <c r="L102" s="20" t="s">
        <v>2153</v>
      </c>
      <c r="M102" s="5" t="s">
        <v>1736</v>
      </c>
      <c r="O102" s="0" t="n">
        <v>1</v>
      </c>
    </row>
    <row r="103" customFormat="false" ht="17.15" hidden="false" customHeight="false" outlineLevel="0" collapsed="false">
      <c r="A103" s="0" t="s">
        <v>2175</v>
      </c>
      <c r="B103" s="0" t="s">
        <v>1070</v>
      </c>
      <c r="C103" s="0" t="s">
        <v>527</v>
      </c>
      <c r="D103" s="0" t="s">
        <v>2176</v>
      </c>
      <c r="E103" s="0" t="s">
        <v>24</v>
      </c>
      <c r="F103" s="0" t="s">
        <v>2177</v>
      </c>
      <c r="G103" s="9" t="n">
        <v>27.3</v>
      </c>
      <c r="H103" s="20" t="s">
        <v>1897</v>
      </c>
      <c r="I103" s="20" t="s">
        <v>2178</v>
      </c>
      <c r="J103" s="20" t="s">
        <v>1953</v>
      </c>
      <c r="K103" s="20" t="s">
        <v>2100</v>
      </c>
      <c r="L103" s="20" t="s">
        <v>2179</v>
      </c>
      <c r="M103" s="5" t="s">
        <v>1736</v>
      </c>
      <c r="O103" s="0" t="n">
        <v>1</v>
      </c>
    </row>
    <row r="104" customFormat="false" ht="17.15" hidden="false" customHeight="false" outlineLevel="0" collapsed="false">
      <c r="A104" s="0" t="s">
        <v>2180</v>
      </c>
      <c r="B104" s="0" t="s">
        <v>1070</v>
      </c>
      <c r="C104" s="0" t="s">
        <v>527</v>
      </c>
      <c r="D104" s="0" t="s">
        <v>2124</v>
      </c>
      <c r="E104" s="0" t="s">
        <v>25</v>
      </c>
      <c r="F104" s="0" t="s">
        <v>2177</v>
      </c>
      <c r="G104" s="9" t="n">
        <v>14</v>
      </c>
      <c r="H104" s="20" t="s">
        <v>1897</v>
      </c>
      <c r="I104" s="20" t="s">
        <v>2181</v>
      </c>
      <c r="J104" s="20" t="s">
        <v>1953</v>
      </c>
      <c r="K104" s="20" t="s">
        <v>2182</v>
      </c>
      <c r="L104" s="20" t="s">
        <v>2183</v>
      </c>
      <c r="M104" s="5" t="s">
        <v>1756</v>
      </c>
      <c r="N104" s="20" t="s">
        <v>2184</v>
      </c>
      <c r="O104" s="0" t="n">
        <v>1</v>
      </c>
    </row>
    <row r="105" customFormat="false" ht="17.15" hidden="false" customHeight="false" outlineLevel="0" collapsed="false">
      <c r="A105" s="0" t="s">
        <v>2185</v>
      </c>
      <c r="B105" s="0" t="s">
        <v>1070</v>
      </c>
      <c r="C105" s="0" t="s">
        <v>527</v>
      </c>
      <c r="D105" s="0" t="s">
        <v>1809</v>
      </c>
      <c r="E105" s="0" t="s">
        <v>25</v>
      </c>
      <c r="F105" s="0" t="s">
        <v>2054</v>
      </c>
      <c r="G105" s="9" t="n">
        <v>68.404</v>
      </c>
      <c r="H105" s="20" t="s">
        <v>1897</v>
      </c>
      <c r="I105" s="5" t="s">
        <v>2186</v>
      </c>
      <c r="J105" s="20" t="s">
        <v>1899</v>
      </c>
      <c r="K105" s="20" t="s">
        <v>2152</v>
      </c>
      <c r="L105" s="20" t="s">
        <v>2153</v>
      </c>
      <c r="M105" s="5" t="s">
        <v>1736</v>
      </c>
      <c r="O105" s="0" t="n">
        <v>1</v>
      </c>
    </row>
    <row r="106" customFormat="false" ht="17.15" hidden="false" customHeight="false" outlineLevel="0" collapsed="false">
      <c r="A106" s="0" t="s">
        <v>2187</v>
      </c>
      <c r="B106" s="0" t="s">
        <v>1070</v>
      </c>
      <c r="C106" s="0" t="s">
        <v>527</v>
      </c>
      <c r="D106" s="0" t="s">
        <v>1809</v>
      </c>
      <c r="E106" s="0" t="s">
        <v>25</v>
      </c>
      <c r="F106" s="0" t="s">
        <v>1762</v>
      </c>
      <c r="G106" s="9" t="n">
        <v>355.73</v>
      </c>
      <c r="H106" s="20" t="s">
        <v>1897</v>
      </c>
      <c r="I106" s="5" t="s">
        <v>2188</v>
      </c>
      <c r="J106" s="20" t="s">
        <v>1899</v>
      </c>
      <c r="K106" s="20" t="s">
        <v>2152</v>
      </c>
      <c r="L106" s="20" t="s">
        <v>2153</v>
      </c>
      <c r="M106" s="5" t="s">
        <v>1736</v>
      </c>
      <c r="O106" s="0" t="n">
        <v>1</v>
      </c>
    </row>
    <row r="107" customFormat="false" ht="17.15" hidden="false" customHeight="false" outlineLevel="0" collapsed="false">
      <c r="A107" s="0" t="s">
        <v>2189</v>
      </c>
      <c r="B107" s="0" t="s">
        <v>1070</v>
      </c>
      <c r="C107" s="0" t="s">
        <v>527</v>
      </c>
      <c r="D107" s="0" t="s">
        <v>1809</v>
      </c>
      <c r="E107" s="0" t="s">
        <v>25</v>
      </c>
      <c r="F107" s="0" t="s">
        <v>1948</v>
      </c>
      <c r="G107" s="9" t="n">
        <v>454.52</v>
      </c>
      <c r="H107" s="20" t="s">
        <v>1897</v>
      </c>
      <c r="I107" s="5" t="s">
        <v>2190</v>
      </c>
      <c r="J107" s="20" t="s">
        <v>1899</v>
      </c>
      <c r="K107" s="20" t="s">
        <v>2152</v>
      </c>
      <c r="L107" s="20" t="s">
        <v>2153</v>
      </c>
      <c r="M107" s="5" t="s">
        <v>1736</v>
      </c>
      <c r="O107" s="0" t="n">
        <v>1</v>
      </c>
    </row>
    <row r="108" customFormat="false" ht="17.15" hidden="false" customHeight="false" outlineLevel="0" collapsed="false">
      <c r="A108" s="0" t="s">
        <v>1740</v>
      </c>
      <c r="B108" s="0" t="s">
        <v>1070</v>
      </c>
      <c r="C108" s="0" t="s">
        <v>527</v>
      </c>
      <c r="D108" s="0" t="s">
        <v>1737</v>
      </c>
      <c r="E108" s="0" t="s">
        <v>1958</v>
      </c>
      <c r="F108" s="0" t="s">
        <v>1738</v>
      </c>
      <c r="G108" s="9" t="n">
        <v>25</v>
      </c>
      <c r="H108" s="20" t="s">
        <v>1897</v>
      </c>
      <c r="I108" s="20" t="s">
        <v>1739</v>
      </c>
      <c r="J108" s="20" t="s">
        <v>1899</v>
      </c>
      <c r="K108" s="20" t="s">
        <v>2191</v>
      </c>
      <c r="L108" s="20" t="s">
        <v>2192</v>
      </c>
      <c r="M108" s="5" t="s">
        <v>1736</v>
      </c>
      <c r="O108" s="0" t="n">
        <v>1</v>
      </c>
    </row>
    <row r="109" customFormat="false" ht="17.15" hidden="false" customHeight="false" outlineLevel="0" collapsed="false">
      <c r="A109" s="0" t="s">
        <v>1742</v>
      </c>
      <c r="B109" s="0" t="s">
        <v>1070</v>
      </c>
      <c r="C109" s="0" t="s">
        <v>527</v>
      </c>
      <c r="D109" s="0" t="s">
        <v>1737</v>
      </c>
      <c r="E109" s="0" t="s">
        <v>1958</v>
      </c>
      <c r="F109" s="0" t="s">
        <v>1738</v>
      </c>
      <c r="G109" s="9" t="n">
        <v>12.5</v>
      </c>
      <c r="H109" s="20" t="s">
        <v>1897</v>
      </c>
      <c r="I109" s="20" t="s">
        <v>1741</v>
      </c>
      <c r="J109" s="20" t="s">
        <v>1899</v>
      </c>
      <c r="K109" s="20" t="s">
        <v>2191</v>
      </c>
      <c r="L109" s="20" t="s">
        <v>2192</v>
      </c>
      <c r="M109" s="5" t="s">
        <v>1736</v>
      </c>
      <c r="O109" s="0" t="n">
        <v>1</v>
      </c>
    </row>
    <row r="110" customFormat="false" ht="17.15" hidden="false" customHeight="false" outlineLevel="0" collapsed="false">
      <c r="A110" s="17" t="s">
        <v>2193</v>
      </c>
      <c r="B110" s="17" t="s">
        <v>1724</v>
      </c>
      <c r="C110" s="17" t="s">
        <v>531</v>
      </c>
      <c r="D110" s="17" t="s">
        <v>1716</v>
      </c>
      <c r="E110" s="17" t="s">
        <v>23</v>
      </c>
      <c r="F110" s="17" t="s">
        <v>1744</v>
      </c>
      <c r="G110" s="17" t="n">
        <v>18.673</v>
      </c>
      <c r="H110" s="17" t="s">
        <v>1897</v>
      </c>
      <c r="I110" s="18" t="s">
        <v>2194</v>
      </c>
      <c r="J110" s="17" t="s">
        <v>1899</v>
      </c>
      <c r="K110" s="17" t="s">
        <v>2195</v>
      </c>
      <c r="L110" s="17" t="s">
        <v>2196</v>
      </c>
      <c r="M110" s="18" t="s">
        <v>1902</v>
      </c>
      <c r="N110" s="17"/>
      <c r="O110" s="17" t="n">
        <v>0</v>
      </c>
    </row>
    <row r="111" customFormat="false" ht="17.15" hidden="false" customHeight="false" outlineLevel="0" collapsed="false">
      <c r="A111" s="17" t="s">
        <v>2197</v>
      </c>
      <c r="B111" s="17" t="s">
        <v>1724</v>
      </c>
      <c r="C111" s="17" t="s">
        <v>531</v>
      </c>
      <c r="D111" s="17" t="s">
        <v>1716</v>
      </c>
      <c r="E111" s="17" t="s">
        <v>23</v>
      </c>
      <c r="F111" s="17" t="s">
        <v>1747</v>
      </c>
      <c r="G111" s="17" t="n">
        <v>6.866</v>
      </c>
      <c r="H111" s="17" t="s">
        <v>1897</v>
      </c>
      <c r="I111" s="18" t="s">
        <v>2198</v>
      </c>
      <c r="J111" s="17" t="s">
        <v>1899</v>
      </c>
      <c r="K111" s="17" t="s">
        <v>2195</v>
      </c>
      <c r="L111" s="17" t="s">
        <v>2196</v>
      </c>
      <c r="M111" s="18" t="s">
        <v>1902</v>
      </c>
      <c r="N111" s="17"/>
      <c r="O111" s="17" t="n">
        <v>0</v>
      </c>
    </row>
    <row r="112" customFormat="false" ht="17.15" hidden="false" customHeight="false" outlineLevel="0" collapsed="false">
      <c r="A112" s="17" t="s">
        <v>2199</v>
      </c>
      <c r="B112" s="17" t="s">
        <v>1724</v>
      </c>
      <c r="C112" s="17" t="s">
        <v>531</v>
      </c>
      <c r="D112" s="17" t="s">
        <v>1716</v>
      </c>
      <c r="E112" s="17" t="s">
        <v>23</v>
      </c>
      <c r="F112" s="17" t="s">
        <v>1750</v>
      </c>
      <c r="G112" s="17" t="n">
        <v>11.807</v>
      </c>
      <c r="H112" s="17" t="s">
        <v>1897</v>
      </c>
      <c r="I112" s="17" t="s">
        <v>1985</v>
      </c>
      <c r="J112" s="17" t="s">
        <v>1909</v>
      </c>
      <c r="K112" s="17" t="s">
        <v>2195</v>
      </c>
      <c r="L112" s="17" t="s">
        <v>2196</v>
      </c>
      <c r="M112" s="18" t="s">
        <v>1902</v>
      </c>
      <c r="N112" s="17"/>
      <c r="O112" s="17" t="n">
        <v>0</v>
      </c>
    </row>
    <row r="113" customFormat="false" ht="17.15" hidden="false" customHeight="false" outlineLevel="0" collapsed="false">
      <c r="A113" s="17" t="s">
        <v>2200</v>
      </c>
      <c r="B113" s="17" t="s">
        <v>1724</v>
      </c>
      <c r="C113" s="17" t="s">
        <v>531</v>
      </c>
      <c r="D113" s="17" t="s">
        <v>1716</v>
      </c>
      <c r="E113" s="17" t="s">
        <v>23</v>
      </c>
      <c r="F113" s="17" t="s">
        <v>1804</v>
      </c>
      <c r="G113" s="17" t="n">
        <v>5.593</v>
      </c>
      <c r="H113" s="17" t="s">
        <v>1897</v>
      </c>
      <c r="I113" s="18" t="s">
        <v>2201</v>
      </c>
      <c r="J113" s="17" t="s">
        <v>1899</v>
      </c>
      <c r="K113" s="17" t="s">
        <v>2195</v>
      </c>
      <c r="L113" s="17" t="s">
        <v>2196</v>
      </c>
      <c r="M113" s="18" t="s">
        <v>1902</v>
      </c>
      <c r="N113" s="17"/>
      <c r="O113" s="17" t="n">
        <v>0</v>
      </c>
    </row>
    <row r="114" customFormat="false" ht="17.15" hidden="false" customHeight="false" outlineLevel="0" collapsed="false">
      <c r="A114" s="17" t="s">
        <v>2202</v>
      </c>
      <c r="B114" s="17" t="s">
        <v>1724</v>
      </c>
      <c r="C114" s="17" t="s">
        <v>531</v>
      </c>
      <c r="D114" s="17" t="s">
        <v>1717</v>
      </c>
      <c r="E114" s="17" t="s">
        <v>24</v>
      </c>
      <c r="F114" s="17" t="s">
        <v>1744</v>
      </c>
      <c r="G114" s="17" t="n">
        <v>20.821</v>
      </c>
      <c r="H114" s="17" t="s">
        <v>1897</v>
      </c>
      <c r="I114" s="18" t="s">
        <v>2194</v>
      </c>
      <c r="J114" s="17" t="s">
        <v>1899</v>
      </c>
      <c r="K114" s="17" t="s">
        <v>2195</v>
      </c>
      <c r="L114" s="17" t="s">
        <v>2196</v>
      </c>
      <c r="M114" s="18" t="s">
        <v>1902</v>
      </c>
      <c r="N114" s="17"/>
      <c r="O114" s="17" t="n">
        <v>0</v>
      </c>
    </row>
    <row r="115" customFormat="false" ht="17.15" hidden="false" customHeight="false" outlineLevel="0" collapsed="false">
      <c r="A115" s="17" t="s">
        <v>2203</v>
      </c>
      <c r="B115" s="17" t="s">
        <v>1724</v>
      </c>
      <c r="C115" s="17" t="s">
        <v>531</v>
      </c>
      <c r="D115" s="17" t="s">
        <v>1717</v>
      </c>
      <c r="E115" s="17" t="s">
        <v>24</v>
      </c>
      <c r="F115" s="17" t="s">
        <v>1747</v>
      </c>
      <c r="G115" s="17" t="n">
        <v>21.215</v>
      </c>
      <c r="H115" s="17" t="s">
        <v>1897</v>
      </c>
      <c r="I115" s="18" t="s">
        <v>2198</v>
      </c>
      <c r="J115" s="17" t="s">
        <v>1899</v>
      </c>
      <c r="K115" s="17" t="s">
        <v>2195</v>
      </c>
      <c r="L115" s="17" t="s">
        <v>2196</v>
      </c>
      <c r="M115" s="18" t="s">
        <v>1902</v>
      </c>
      <c r="N115" s="17"/>
      <c r="O115" s="17" t="n">
        <v>0</v>
      </c>
    </row>
    <row r="116" customFormat="false" ht="17.15" hidden="false" customHeight="false" outlineLevel="0" collapsed="false">
      <c r="A116" s="17" t="s">
        <v>2204</v>
      </c>
      <c r="B116" s="17" t="s">
        <v>1724</v>
      </c>
      <c r="C116" s="17" t="s">
        <v>531</v>
      </c>
      <c r="D116" s="17" t="s">
        <v>1717</v>
      </c>
      <c r="E116" s="17" t="s">
        <v>24</v>
      </c>
      <c r="F116" s="17" t="s">
        <v>1750</v>
      </c>
      <c r="G116" s="17" t="n">
        <v>-0.394</v>
      </c>
      <c r="H116" s="17" t="s">
        <v>1897</v>
      </c>
      <c r="I116" s="17" t="s">
        <v>1985</v>
      </c>
      <c r="J116" s="17" t="s">
        <v>1909</v>
      </c>
      <c r="K116" s="17" t="s">
        <v>2195</v>
      </c>
      <c r="L116" s="17" t="s">
        <v>2196</v>
      </c>
      <c r="M116" s="18" t="s">
        <v>1902</v>
      </c>
      <c r="N116" s="17"/>
      <c r="O116" s="17" t="n">
        <v>0</v>
      </c>
    </row>
    <row r="117" customFormat="false" ht="17.15" hidden="false" customHeight="false" outlineLevel="0" collapsed="false">
      <c r="A117" s="17" t="s">
        <v>2205</v>
      </c>
      <c r="B117" s="17" t="s">
        <v>1724</v>
      </c>
      <c r="C117" s="17" t="s">
        <v>531</v>
      </c>
      <c r="D117" s="17" t="s">
        <v>1717</v>
      </c>
      <c r="E117" s="17" t="s">
        <v>24</v>
      </c>
      <c r="F117" s="17" t="s">
        <v>1804</v>
      </c>
      <c r="G117" s="17" t="n">
        <v>5.343</v>
      </c>
      <c r="H117" s="17" t="s">
        <v>1897</v>
      </c>
      <c r="I117" s="18" t="s">
        <v>2206</v>
      </c>
      <c r="J117" s="17" t="s">
        <v>1899</v>
      </c>
      <c r="K117" s="17" t="s">
        <v>2195</v>
      </c>
      <c r="L117" s="17" t="s">
        <v>2196</v>
      </c>
      <c r="M117" s="18" t="s">
        <v>1902</v>
      </c>
      <c r="N117" s="17"/>
      <c r="O117" s="17" t="n">
        <v>0</v>
      </c>
    </row>
    <row r="118" customFormat="false" ht="17.15" hidden="false" customHeight="false" outlineLevel="0" collapsed="false">
      <c r="A118" s="0" t="s">
        <v>2207</v>
      </c>
      <c r="B118" s="0" t="s">
        <v>1724</v>
      </c>
      <c r="C118" s="0" t="s">
        <v>531</v>
      </c>
      <c r="D118" s="0" t="s">
        <v>1718</v>
      </c>
      <c r="E118" s="0" t="s">
        <v>25</v>
      </c>
      <c r="F118" s="0" t="s">
        <v>1744</v>
      </c>
      <c r="G118" s="9" t="n">
        <v>31.977</v>
      </c>
      <c r="H118" s="20" t="s">
        <v>1897</v>
      </c>
      <c r="I118" s="5" t="s">
        <v>2208</v>
      </c>
      <c r="J118" s="20" t="s">
        <v>1899</v>
      </c>
      <c r="K118" s="20" t="s">
        <v>2209</v>
      </c>
      <c r="L118" s="20" t="s">
        <v>2196</v>
      </c>
      <c r="M118" s="5" t="s">
        <v>1736</v>
      </c>
      <c r="O118" s="0" t="n">
        <v>1</v>
      </c>
    </row>
    <row r="119" customFormat="false" ht="17.15" hidden="false" customHeight="false" outlineLevel="0" collapsed="false">
      <c r="A119" s="0" t="s">
        <v>2210</v>
      </c>
      <c r="B119" s="0" t="s">
        <v>1724</v>
      </c>
      <c r="C119" s="0" t="s">
        <v>531</v>
      </c>
      <c r="D119" s="0" t="s">
        <v>1718</v>
      </c>
      <c r="E119" s="0" t="s">
        <v>25</v>
      </c>
      <c r="F119" s="0" t="s">
        <v>1747</v>
      </c>
      <c r="G119" s="9" t="n">
        <v>55.663</v>
      </c>
      <c r="H119" s="20" t="s">
        <v>1897</v>
      </c>
      <c r="I119" s="5" t="s">
        <v>2198</v>
      </c>
      <c r="J119" s="20" t="s">
        <v>1899</v>
      </c>
      <c r="K119" s="20" t="s">
        <v>2209</v>
      </c>
      <c r="L119" s="20" t="s">
        <v>2196</v>
      </c>
      <c r="M119" s="5" t="s">
        <v>1736</v>
      </c>
      <c r="O119" s="0" t="n">
        <v>1</v>
      </c>
    </row>
    <row r="120" customFormat="false" ht="17.15" hidden="false" customHeight="false" outlineLevel="0" collapsed="false">
      <c r="A120" s="0" t="s">
        <v>2211</v>
      </c>
      <c r="B120" s="0" t="s">
        <v>1724</v>
      </c>
      <c r="C120" s="0" t="s">
        <v>531</v>
      </c>
      <c r="D120" s="0" t="s">
        <v>1718</v>
      </c>
      <c r="E120" s="0" t="s">
        <v>25</v>
      </c>
      <c r="F120" s="0" t="s">
        <v>1750</v>
      </c>
      <c r="G120" s="9" t="n">
        <v>-23.686</v>
      </c>
      <c r="H120" s="20" t="s">
        <v>1897</v>
      </c>
      <c r="I120" s="20" t="s">
        <v>1995</v>
      </c>
      <c r="J120" s="20" t="s">
        <v>1909</v>
      </c>
      <c r="K120" s="20" t="s">
        <v>2209</v>
      </c>
      <c r="L120" s="20" t="s">
        <v>2196</v>
      </c>
      <c r="M120" s="5" t="s">
        <v>1736</v>
      </c>
      <c r="O120" s="0" t="n">
        <v>1</v>
      </c>
    </row>
    <row r="121" customFormat="false" ht="17.15" hidden="false" customHeight="false" outlineLevel="0" collapsed="false">
      <c r="A121" s="17" t="s">
        <v>2212</v>
      </c>
      <c r="B121" s="17" t="s">
        <v>1724</v>
      </c>
      <c r="C121" s="17" t="s">
        <v>531</v>
      </c>
      <c r="D121" s="17" t="s">
        <v>1718</v>
      </c>
      <c r="E121" s="17" t="s">
        <v>25</v>
      </c>
      <c r="F121" s="17" t="s">
        <v>1804</v>
      </c>
      <c r="G121" s="17" t="n">
        <v>5.882</v>
      </c>
      <c r="H121" s="17" t="s">
        <v>1897</v>
      </c>
      <c r="I121" s="18" t="s">
        <v>2213</v>
      </c>
      <c r="J121" s="17" t="s">
        <v>1899</v>
      </c>
      <c r="K121" s="17" t="s">
        <v>2195</v>
      </c>
      <c r="L121" s="17" t="s">
        <v>2196</v>
      </c>
      <c r="M121" s="18" t="s">
        <v>1902</v>
      </c>
      <c r="N121" s="17"/>
      <c r="O121" s="17" t="n">
        <v>0</v>
      </c>
    </row>
    <row r="122" customFormat="false" ht="17.15" hidden="false" customHeight="false" outlineLevel="0" collapsed="false">
      <c r="A122" s="0" t="s">
        <v>1746</v>
      </c>
      <c r="B122" s="0" t="s">
        <v>1724</v>
      </c>
      <c r="C122" s="0" t="s">
        <v>531</v>
      </c>
      <c r="D122" s="0" t="s">
        <v>1743</v>
      </c>
      <c r="E122" s="0" t="s">
        <v>1958</v>
      </c>
      <c r="F122" s="0" t="s">
        <v>1744</v>
      </c>
      <c r="G122" s="9" t="n">
        <v>23.103</v>
      </c>
      <c r="H122" s="20" t="s">
        <v>1897</v>
      </c>
      <c r="I122" s="5" t="s">
        <v>1745</v>
      </c>
      <c r="J122" s="20" t="s">
        <v>1953</v>
      </c>
      <c r="K122" s="20" t="s">
        <v>2214</v>
      </c>
      <c r="L122" s="20" t="s">
        <v>2215</v>
      </c>
      <c r="M122" s="5" t="s">
        <v>1736</v>
      </c>
      <c r="O122" s="0" t="n">
        <v>1</v>
      </c>
    </row>
    <row r="123" customFormat="false" ht="17.15" hidden="false" customHeight="false" outlineLevel="0" collapsed="false">
      <c r="A123" s="0" t="s">
        <v>1749</v>
      </c>
      <c r="B123" s="0" t="s">
        <v>1724</v>
      </c>
      <c r="C123" s="0" t="s">
        <v>531</v>
      </c>
      <c r="D123" s="0" t="s">
        <v>1743</v>
      </c>
      <c r="E123" s="0" t="s">
        <v>1958</v>
      </c>
      <c r="F123" s="0" t="s">
        <v>1747</v>
      </c>
      <c r="G123" s="9" t="n">
        <v>28.499</v>
      </c>
      <c r="H123" s="20" t="s">
        <v>1897</v>
      </c>
      <c r="I123" s="5" t="s">
        <v>1748</v>
      </c>
      <c r="J123" s="20" t="s">
        <v>1953</v>
      </c>
      <c r="K123" s="20" t="s">
        <v>2214</v>
      </c>
      <c r="L123" s="20" t="s">
        <v>2215</v>
      </c>
      <c r="M123" s="5" t="s">
        <v>1736</v>
      </c>
      <c r="O123" s="0" t="n">
        <v>1</v>
      </c>
    </row>
    <row r="124" customFormat="false" ht="17.15" hidden="false" customHeight="false" outlineLevel="0" collapsed="false">
      <c r="A124" s="0" t="s">
        <v>1752</v>
      </c>
      <c r="B124" s="0" t="s">
        <v>1724</v>
      </c>
      <c r="C124" s="0" t="s">
        <v>531</v>
      </c>
      <c r="D124" s="0" t="s">
        <v>1743</v>
      </c>
      <c r="E124" s="0" t="s">
        <v>1958</v>
      </c>
      <c r="F124" s="0" t="s">
        <v>1750</v>
      </c>
      <c r="G124" s="9" t="n">
        <v>-5.396</v>
      </c>
      <c r="H124" s="20" t="s">
        <v>1897</v>
      </c>
      <c r="I124" s="5" t="s">
        <v>1751</v>
      </c>
      <c r="J124" s="20" t="s">
        <v>1909</v>
      </c>
      <c r="K124" s="20" t="s">
        <v>2214</v>
      </c>
      <c r="L124" s="20" t="s">
        <v>2215</v>
      </c>
      <c r="M124" s="5" t="s">
        <v>1736</v>
      </c>
      <c r="O124" s="0" t="n">
        <v>1</v>
      </c>
    </row>
    <row r="125" customFormat="false" ht="17.15" hidden="false" customHeight="false" outlineLevel="0" collapsed="false">
      <c r="A125" s="0" t="s">
        <v>1755</v>
      </c>
      <c r="B125" s="0" t="s">
        <v>1724</v>
      </c>
      <c r="C125" s="0" t="s">
        <v>531</v>
      </c>
      <c r="D125" s="0" t="s">
        <v>1753</v>
      </c>
      <c r="E125" s="0" t="s">
        <v>1951</v>
      </c>
      <c r="F125" s="0" t="s">
        <v>1747</v>
      </c>
      <c r="G125" s="9" t="n">
        <v>92.5</v>
      </c>
      <c r="H125" s="20" t="s">
        <v>1897</v>
      </c>
      <c r="I125" s="5" t="s">
        <v>1754</v>
      </c>
      <c r="J125" s="20" t="s">
        <v>1953</v>
      </c>
      <c r="K125" s="20" t="s">
        <v>2216</v>
      </c>
      <c r="L125" s="20" t="s">
        <v>2217</v>
      </c>
      <c r="M125" s="5" t="s">
        <v>1756</v>
      </c>
      <c r="N125" s="20" t="s">
        <v>2218</v>
      </c>
      <c r="O125" s="0" t="n">
        <v>1</v>
      </c>
    </row>
    <row r="126" customFormat="false" ht="17.15" hidden="false" customHeight="false" outlineLevel="0" collapsed="false">
      <c r="A126" s="0" t="s">
        <v>2219</v>
      </c>
      <c r="B126" s="0" t="s">
        <v>1724</v>
      </c>
      <c r="C126" s="0" t="s">
        <v>531</v>
      </c>
      <c r="D126" s="0" t="s">
        <v>1718</v>
      </c>
      <c r="E126" s="0" t="s">
        <v>25</v>
      </c>
      <c r="F126" s="0" t="s">
        <v>1779</v>
      </c>
      <c r="G126" s="9" t="n">
        <v>43</v>
      </c>
      <c r="H126" s="20" t="s">
        <v>1897</v>
      </c>
      <c r="I126" s="20" t="s">
        <v>2220</v>
      </c>
      <c r="J126" s="20" t="s">
        <v>1899</v>
      </c>
      <c r="K126" s="20" t="s">
        <v>2209</v>
      </c>
      <c r="L126" s="20" t="s">
        <v>2196</v>
      </c>
      <c r="M126" s="5" t="s">
        <v>1736</v>
      </c>
      <c r="O126" s="0" t="n">
        <v>1</v>
      </c>
    </row>
    <row r="127" customFormat="false" ht="17.15" hidden="false" customHeight="false" outlineLevel="0" collapsed="false">
      <c r="A127" s="17" t="s">
        <v>2221</v>
      </c>
      <c r="B127" s="17" t="s">
        <v>1724</v>
      </c>
      <c r="C127" s="17" t="s">
        <v>531</v>
      </c>
      <c r="D127" s="17" t="s">
        <v>2222</v>
      </c>
      <c r="E127" s="17" t="s">
        <v>25</v>
      </c>
      <c r="F127" s="17" t="s">
        <v>2223</v>
      </c>
      <c r="G127" s="17" t="n">
        <v>5.137</v>
      </c>
      <c r="H127" s="17" t="s">
        <v>1897</v>
      </c>
      <c r="I127" s="18" t="s">
        <v>2224</v>
      </c>
      <c r="J127" s="17" t="s">
        <v>1899</v>
      </c>
      <c r="K127" s="17" t="s">
        <v>2195</v>
      </c>
      <c r="L127" s="17" t="s">
        <v>2196</v>
      </c>
      <c r="M127" s="18" t="s">
        <v>1902</v>
      </c>
      <c r="N127" s="17"/>
      <c r="O127" s="17" t="n">
        <v>0</v>
      </c>
    </row>
    <row r="128" customFormat="false" ht="17.15" hidden="false" customHeight="false" outlineLevel="0" collapsed="false">
      <c r="A128" s="0" t="s">
        <v>2225</v>
      </c>
      <c r="B128" s="0" t="s">
        <v>1724</v>
      </c>
      <c r="C128" s="0" t="s">
        <v>531</v>
      </c>
      <c r="D128" s="0" t="s">
        <v>2226</v>
      </c>
      <c r="E128" s="0" t="s">
        <v>25</v>
      </c>
      <c r="F128" s="0" t="s">
        <v>1738</v>
      </c>
      <c r="G128" s="9" t="n">
        <v>5</v>
      </c>
      <c r="H128" s="20" t="s">
        <v>1897</v>
      </c>
      <c r="I128" s="5" t="s">
        <v>2227</v>
      </c>
      <c r="J128" s="20" t="s">
        <v>1953</v>
      </c>
      <c r="K128" s="20" t="s">
        <v>2228</v>
      </c>
      <c r="L128" s="20" t="s">
        <v>2229</v>
      </c>
      <c r="M128" s="5" t="s">
        <v>1736</v>
      </c>
      <c r="O128" s="0" t="n">
        <v>1</v>
      </c>
    </row>
    <row r="129" customFormat="false" ht="17.15" hidden="false" customHeight="false" outlineLevel="0" collapsed="false">
      <c r="A129" s="0" t="s">
        <v>1758</v>
      </c>
      <c r="B129" s="0" t="s">
        <v>1724</v>
      </c>
      <c r="C129" s="0" t="s">
        <v>531</v>
      </c>
      <c r="D129" s="0" t="s">
        <v>1743</v>
      </c>
      <c r="E129" s="0" t="s">
        <v>1958</v>
      </c>
      <c r="F129" s="0" t="s">
        <v>1738</v>
      </c>
      <c r="G129" s="9" t="n">
        <v>20</v>
      </c>
      <c r="H129" s="20" t="s">
        <v>1897</v>
      </c>
      <c r="I129" s="20" t="s">
        <v>1757</v>
      </c>
      <c r="J129" s="20" t="s">
        <v>1953</v>
      </c>
      <c r="K129" s="20" t="s">
        <v>2230</v>
      </c>
      <c r="L129" s="20" t="s">
        <v>2231</v>
      </c>
      <c r="M129" s="5" t="s">
        <v>1736</v>
      </c>
      <c r="O129" s="0" t="n">
        <v>1</v>
      </c>
    </row>
    <row r="130" customFormat="false" ht="17.15" hidden="false" customHeight="false" outlineLevel="0" collapsed="false">
      <c r="A130" s="0" t="s">
        <v>1761</v>
      </c>
      <c r="B130" s="0" t="s">
        <v>1724</v>
      </c>
      <c r="C130" s="0" t="s">
        <v>531</v>
      </c>
      <c r="D130" s="0" t="s">
        <v>139</v>
      </c>
      <c r="E130" s="0" t="s">
        <v>1958</v>
      </c>
      <c r="F130" s="0" t="s">
        <v>1759</v>
      </c>
      <c r="G130" s="9" t="n">
        <v>88.26</v>
      </c>
      <c r="H130" s="20" t="s">
        <v>1897</v>
      </c>
      <c r="I130" s="5" t="s">
        <v>1760</v>
      </c>
      <c r="J130" s="20" t="s">
        <v>1909</v>
      </c>
      <c r="K130" s="20" t="s">
        <v>2232</v>
      </c>
      <c r="L130" s="20" t="s">
        <v>2233</v>
      </c>
      <c r="M130" s="5" t="s">
        <v>1736</v>
      </c>
      <c r="O130" s="0" t="n">
        <v>1</v>
      </c>
    </row>
    <row r="131" customFormat="false" ht="17.15" hidden="false" customHeight="false" outlineLevel="0" collapsed="false">
      <c r="A131" s="0" t="s">
        <v>1764</v>
      </c>
      <c r="B131" s="0" t="s">
        <v>1724</v>
      </c>
      <c r="C131" s="0" t="s">
        <v>531</v>
      </c>
      <c r="D131" s="0" t="s">
        <v>139</v>
      </c>
      <c r="E131" s="0" t="s">
        <v>1958</v>
      </c>
      <c r="F131" s="0" t="s">
        <v>1762</v>
      </c>
      <c r="G131" s="9" t="n">
        <v>288</v>
      </c>
      <c r="H131" s="20" t="s">
        <v>1897</v>
      </c>
      <c r="I131" s="5" t="s">
        <v>1763</v>
      </c>
      <c r="J131" s="20" t="s">
        <v>1953</v>
      </c>
      <c r="K131" s="20" t="s">
        <v>2232</v>
      </c>
      <c r="L131" s="20" t="s">
        <v>2233</v>
      </c>
      <c r="M131" s="5" t="s">
        <v>1736</v>
      </c>
      <c r="O131" s="0" t="n">
        <v>1</v>
      </c>
    </row>
    <row r="132" customFormat="false" ht="17.15" hidden="false" customHeight="false" outlineLevel="0" collapsed="false">
      <c r="A132" s="0" t="s">
        <v>1767</v>
      </c>
      <c r="B132" s="0" t="s">
        <v>1724</v>
      </c>
      <c r="C132" s="0" t="s">
        <v>531</v>
      </c>
      <c r="D132" s="0" t="s">
        <v>139</v>
      </c>
      <c r="E132" s="0" t="s">
        <v>1958</v>
      </c>
      <c r="F132" s="0" t="s">
        <v>1765</v>
      </c>
      <c r="G132" s="9" t="n">
        <v>34.621</v>
      </c>
      <c r="H132" s="20" t="s">
        <v>1897</v>
      </c>
      <c r="I132" s="5" t="s">
        <v>1766</v>
      </c>
      <c r="J132" s="20" t="s">
        <v>1953</v>
      </c>
      <c r="K132" s="20" t="s">
        <v>2232</v>
      </c>
      <c r="L132" s="20" t="s">
        <v>2233</v>
      </c>
      <c r="M132" s="5" t="s">
        <v>1736</v>
      </c>
      <c r="O132" s="0" t="n">
        <v>1</v>
      </c>
    </row>
    <row r="133" customFormat="false" ht="17.15" hidden="false" customHeight="false" outlineLevel="0" collapsed="false">
      <c r="A133" s="0" t="s">
        <v>1770</v>
      </c>
      <c r="B133" s="0" t="s">
        <v>1724</v>
      </c>
      <c r="C133" s="0" t="s">
        <v>531</v>
      </c>
      <c r="D133" s="0" t="s">
        <v>1743</v>
      </c>
      <c r="E133" s="0" t="s">
        <v>1958</v>
      </c>
      <c r="F133" s="0" t="s">
        <v>1768</v>
      </c>
      <c r="G133" s="9" t="n">
        <v>11.363</v>
      </c>
      <c r="H133" s="20" t="s">
        <v>1897</v>
      </c>
      <c r="I133" s="5" t="s">
        <v>1769</v>
      </c>
      <c r="J133" s="20" t="s">
        <v>1909</v>
      </c>
      <c r="K133" s="20" t="s">
        <v>2232</v>
      </c>
      <c r="L133" s="20" t="s">
        <v>2233</v>
      </c>
      <c r="M133" s="5" t="s">
        <v>1736</v>
      </c>
      <c r="O133" s="0" t="n">
        <v>1</v>
      </c>
    </row>
    <row r="134" customFormat="false" ht="17.15" hidden="false" customHeight="false" outlineLevel="0" collapsed="false">
      <c r="A134" s="0" t="s">
        <v>2234</v>
      </c>
      <c r="B134" s="0" t="s">
        <v>1724</v>
      </c>
      <c r="C134" s="0" t="s">
        <v>531</v>
      </c>
      <c r="D134" s="0" t="s">
        <v>2235</v>
      </c>
      <c r="E134" s="0" t="s">
        <v>25</v>
      </c>
      <c r="F134" s="0" t="s">
        <v>2177</v>
      </c>
      <c r="G134" s="9" t="n">
        <v>38</v>
      </c>
      <c r="H134" s="20" t="s">
        <v>1897</v>
      </c>
      <c r="I134" s="20" t="s">
        <v>2236</v>
      </c>
      <c r="J134" s="20" t="s">
        <v>1953</v>
      </c>
      <c r="K134" s="20" t="s">
        <v>2237</v>
      </c>
      <c r="L134" s="20" t="s">
        <v>2238</v>
      </c>
      <c r="M134" s="5" t="s">
        <v>1736</v>
      </c>
      <c r="O134" s="0" t="n">
        <v>1</v>
      </c>
    </row>
    <row r="135" customFormat="false" ht="17.15" hidden="false" customHeight="false" outlineLevel="0" collapsed="false">
      <c r="A135" s="0" t="s">
        <v>2239</v>
      </c>
      <c r="B135" s="0" t="s">
        <v>1724</v>
      </c>
      <c r="C135" s="0" t="s">
        <v>531</v>
      </c>
      <c r="D135" s="0" t="s">
        <v>2240</v>
      </c>
      <c r="E135" s="0" t="s">
        <v>25</v>
      </c>
      <c r="F135" s="0" t="s">
        <v>2177</v>
      </c>
      <c r="G135" s="9" t="n">
        <v>18</v>
      </c>
      <c r="H135" s="20" t="s">
        <v>1897</v>
      </c>
      <c r="I135" s="20" t="s">
        <v>2241</v>
      </c>
      <c r="J135" s="20" t="s">
        <v>2242</v>
      </c>
      <c r="K135" s="20" t="s">
        <v>2243</v>
      </c>
      <c r="L135" s="20" t="s">
        <v>2244</v>
      </c>
      <c r="M135" s="5" t="s">
        <v>1756</v>
      </c>
      <c r="N135" s="20" t="s">
        <v>2245</v>
      </c>
      <c r="O135" s="0" t="n">
        <v>1</v>
      </c>
    </row>
    <row r="136" customFormat="false" ht="17.15" hidden="false" customHeight="false" outlineLevel="0" collapsed="false">
      <c r="A136" s="0" t="s">
        <v>2246</v>
      </c>
      <c r="B136" s="0" t="s">
        <v>1724</v>
      </c>
      <c r="C136" s="0" t="s">
        <v>531</v>
      </c>
      <c r="D136" s="0" t="s">
        <v>2247</v>
      </c>
      <c r="E136" s="0" t="s">
        <v>24</v>
      </c>
      <c r="F136" s="0" t="s">
        <v>2177</v>
      </c>
      <c r="G136" s="9" t="n">
        <v>15</v>
      </c>
      <c r="H136" s="20" t="s">
        <v>1897</v>
      </c>
      <c r="I136" s="20" t="s">
        <v>2248</v>
      </c>
      <c r="J136" s="20" t="s">
        <v>1953</v>
      </c>
      <c r="K136" s="20" t="s">
        <v>2249</v>
      </c>
      <c r="L136" s="20" t="s">
        <v>2250</v>
      </c>
      <c r="M136" s="5" t="s">
        <v>1736</v>
      </c>
      <c r="O136" s="0" t="n">
        <v>1</v>
      </c>
    </row>
    <row r="137" customFormat="false" ht="17.15" hidden="false" customHeight="false" outlineLevel="0" collapsed="false">
      <c r="A137" s="17" t="s">
        <v>2251</v>
      </c>
      <c r="B137" s="17" t="s">
        <v>1724</v>
      </c>
      <c r="C137" s="17" t="s">
        <v>531</v>
      </c>
      <c r="D137" s="17" t="s">
        <v>2252</v>
      </c>
      <c r="E137" s="17" t="s">
        <v>25</v>
      </c>
      <c r="F137" s="17" t="s">
        <v>2177</v>
      </c>
      <c r="G137" s="17" t="n">
        <v>10</v>
      </c>
      <c r="H137" s="17" t="s">
        <v>1897</v>
      </c>
      <c r="I137" s="17" t="s">
        <v>2253</v>
      </c>
      <c r="J137" s="17" t="s">
        <v>1953</v>
      </c>
      <c r="K137" s="17" t="s">
        <v>2254</v>
      </c>
      <c r="L137" s="17" t="s">
        <v>2255</v>
      </c>
      <c r="M137" s="18" t="s">
        <v>1902</v>
      </c>
      <c r="N137" s="17"/>
      <c r="O137" s="17" t="n">
        <v>0</v>
      </c>
    </row>
    <row r="138" customFormat="false" ht="17.15" hidden="false" customHeight="false" outlineLevel="0" collapsed="false">
      <c r="A138" s="0" t="s">
        <v>1772</v>
      </c>
      <c r="B138" s="0" t="s">
        <v>1724</v>
      </c>
      <c r="C138" s="0" t="s">
        <v>531</v>
      </c>
      <c r="D138" s="0" t="s">
        <v>1753</v>
      </c>
      <c r="E138" s="0" t="s">
        <v>1951</v>
      </c>
      <c r="F138" s="0" t="s">
        <v>1750</v>
      </c>
      <c r="G138" s="9" t="n">
        <v>-42</v>
      </c>
      <c r="H138" s="20" t="s">
        <v>1897</v>
      </c>
      <c r="I138" s="20" t="s">
        <v>1771</v>
      </c>
      <c r="J138" s="20" t="s">
        <v>1953</v>
      </c>
      <c r="K138" s="20" t="s">
        <v>2256</v>
      </c>
      <c r="L138" s="20" t="s">
        <v>2257</v>
      </c>
      <c r="M138" s="5" t="s">
        <v>1736</v>
      </c>
      <c r="O138" s="0" t="n">
        <v>1</v>
      </c>
    </row>
    <row r="139" customFormat="false" ht="17.15" hidden="false" customHeight="false" outlineLevel="0" collapsed="false">
      <c r="A139" s="0" t="s">
        <v>2258</v>
      </c>
      <c r="B139" s="0" t="s">
        <v>1108</v>
      </c>
      <c r="C139" s="0" t="s">
        <v>621</v>
      </c>
      <c r="D139" s="0" t="s">
        <v>1720</v>
      </c>
      <c r="E139" s="0" t="s">
        <v>23</v>
      </c>
      <c r="F139" s="0" t="s">
        <v>1744</v>
      </c>
      <c r="G139" s="9" t="n">
        <v>2.749</v>
      </c>
      <c r="H139" s="20" t="s">
        <v>1897</v>
      </c>
      <c r="I139" s="5" t="s">
        <v>2259</v>
      </c>
      <c r="J139" s="20" t="s">
        <v>1899</v>
      </c>
      <c r="K139" s="20" t="s">
        <v>2260</v>
      </c>
      <c r="L139" s="20" t="s">
        <v>2261</v>
      </c>
      <c r="M139" s="5" t="s">
        <v>1736</v>
      </c>
      <c r="O139" s="0" t="n">
        <v>1</v>
      </c>
    </row>
    <row r="140" customFormat="false" ht="17.15" hidden="false" customHeight="false" outlineLevel="0" collapsed="false">
      <c r="A140" s="0" t="s">
        <v>2262</v>
      </c>
      <c r="B140" s="0" t="s">
        <v>1108</v>
      </c>
      <c r="C140" s="0" t="s">
        <v>621</v>
      </c>
      <c r="D140" s="0" t="s">
        <v>1720</v>
      </c>
      <c r="E140" s="0" t="s">
        <v>23</v>
      </c>
      <c r="F140" s="0" t="s">
        <v>1747</v>
      </c>
      <c r="G140" s="9" t="n">
        <v>8.702</v>
      </c>
      <c r="H140" s="20" t="s">
        <v>1897</v>
      </c>
      <c r="I140" s="20" t="s">
        <v>2263</v>
      </c>
      <c r="J140" s="20" t="s">
        <v>1899</v>
      </c>
      <c r="K140" s="20" t="s">
        <v>2260</v>
      </c>
      <c r="L140" s="20" t="s">
        <v>2261</v>
      </c>
      <c r="M140" s="5" t="s">
        <v>1736</v>
      </c>
      <c r="O140" s="0" t="n">
        <v>1</v>
      </c>
    </row>
    <row r="141" customFormat="false" ht="17.15" hidden="false" customHeight="false" outlineLevel="0" collapsed="false">
      <c r="A141" s="17" t="s">
        <v>2264</v>
      </c>
      <c r="B141" s="17" t="s">
        <v>1108</v>
      </c>
      <c r="C141" s="17" t="s">
        <v>621</v>
      </c>
      <c r="D141" s="17" t="s">
        <v>1720</v>
      </c>
      <c r="E141" s="17" t="s">
        <v>23</v>
      </c>
      <c r="F141" s="17" t="s">
        <v>1750</v>
      </c>
      <c r="G141" s="17" t="n">
        <v>-5.953</v>
      </c>
      <c r="H141" s="17" t="s">
        <v>1897</v>
      </c>
      <c r="I141" s="17" t="s">
        <v>2265</v>
      </c>
      <c r="J141" s="17" t="s">
        <v>1909</v>
      </c>
      <c r="K141" s="17" t="s">
        <v>2266</v>
      </c>
      <c r="L141" s="17" t="s">
        <v>2261</v>
      </c>
      <c r="M141" s="18" t="s">
        <v>1902</v>
      </c>
      <c r="N141" s="17"/>
      <c r="O141" s="17" t="n">
        <v>0</v>
      </c>
    </row>
    <row r="142" customFormat="false" ht="17.15" hidden="false" customHeight="false" outlineLevel="0" collapsed="false">
      <c r="A142" s="0" t="s">
        <v>2267</v>
      </c>
      <c r="B142" s="0" t="s">
        <v>1108</v>
      </c>
      <c r="C142" s="0" t="s">
        <v>621</v>
      </c>
      <c r="D142" s="0" t="s">
        <v>1720</v>
      </c>
      <c r="E142" s="0" t="s">
        <v>23</v>
      </c>
      <c r="F142" s="0" t="s">
        <v>1784</v>
      </c>
      <c r="G142" s="9" t="n">
        <v>7.018</v>
      </c>
      <c r="H142" s="20" t="s">
        <v>1897</v>
      </c>
      <c r="I142" s="5" t="s">
        <v>2268</v>
      </c>
      <c r="J142" s="20" t="s">
        <v>1899</v>
      </c>
      <c r="K142" s="20" t="s">
        <v>2260</v>
      </c>
      <c r="L142" s="20" t="s">
        <v>2261</v>
      </c>
      <c r="M142" s="5" t="s">
        <v>1736</v>
      </c>
      <c r="O142" s="0" t="n">
        <v>1</v>
      </c>
    </row>
    <row r="143" customFormat="false" ht="17.15" hidden="false" customHeight="false" outlineLevel="0" collapsed="false">
      <c r="A143" s="0" t="s">
        <v>2269</v>
      </c>
      <c r="B143" s="0" t="s">
        <v>1108</v>
      </c>
      <c r="C143" s="0" t="s">
        <v>621</v>
      </c>
      <c r="D143" s="0" t="s">
        <v>1721</v>
      </c>
      <c r="E143" s="0" t="s">
        <v>24</v>
      </c>
      <c r="F143" s="0" t="s">
        <v>1744</v>
      </c>
      <c r="G143" s="9" t="n">
        <v>3.058</v>
      </c>
      <c r="H143" s="20" t="s">
        <v>1897</v>
      </c>
      <c r="I143" s="5" t="s">
        <v>2259</v>
      </c>
      <c r="J143" s="20" t="s">
        <v>1899</v>
      </c>
      <c r="K143" s="20" t="s">
        <v>2260</v>
      </c>
      <c r="L143" s="20" t="s">
        <v>2261</v>
      </c>
      <c r="M143" s="5" t="s">
        <v>1736</v>
      </c>
      <c r="O143" s="0" t="n">
        <v>1</v>
      </c>
    </row>
    <row r="144" customFormat="false" ht="17.15" hidden="false" customHeight="false" outlineLevel="0" collapsed="false">
      <c r="A144" s="0" t="s">
        <v>2270</v>
      </c>
      <c r="B144" s="0" t="s">
        <v>1108</v>
      </c>
      <c r="C144" s="0" t="s">
        <v>621</v>
      </c>
      <c r="D144" s="0" t="s">
        <v>1721</v>
      </c>
      <c r="E144" s="0" t="s">
        <v>24</v>
      </c>
      <c r="F144" s="0" t="s">
        <v>1747</v>
      </c>
      <c r="G144" s="9" t="n">
        <v>10.309</v>
      </c>
      <c r="H144" s="20" t="s">
        <v>1897</v>
      </c>
      <c r="I144" s="20" t="s">
        <v>2263</v>
      </c>
      <c r="J144" s="20" t="s">
        <v>1899</v>
      </c>
      <c r="K144" s="20" t="s">
        <v>2260</v>
      </c>
      <c r="L144" s="20" t="s">
        <v>2261</v>
      </c>
      <c r="M144" s="5" t="s">
        <v>1736</v>
      </c>
      <c r="O144" s="0" t="n">
        <v>1</v>
      </c>
    </row>
    <row r="145" customFormat="false" ht="17.15" hidden="false" customHeight="false" outlineLevel="0" collapsed="false">
      <c r="A145" s="17" t="s">
        <v>2271</v>
      </c>
      <c r="B145" s="17" t="s">
        <v>1108</v>
      </c>
      <c r="C145" s="17" t="s">
        <v>621</v>
      </c>
      <c r="D145" s="17" t="s">
        <v>1721</v>
      </c>
      <c r="E145" s="17" t="s">
        <v>24</v>
      </c>
      <c r="F145" s="17" t="s">
        <v>1750</v>
      </c>
      <c r="G145" s="17" t="n">
        <v>-7.251</v>
      </c>
      <c r="H145" s="17" t="s">
        <v>1897</v>
      </c>
      <c r="I145" s="17" t="s">
        <v>2265</v>
      </c>
      <c r="J145" s="17" t="s">
        <v>1909</v>
      </c>
      <c r="K145" s="17" t="s">
        <v>2266</v>
      </c>
      <c r="L145" s="17" t="s">
        <v>2261</v>
      </c>
      <c r="M145" s="18" t="s">
        <v>1902</v>
      </c>
      <c r="N145" s="17"/>
      <c r="O145" s="17" t="n">
        <v>0</v>
      </c>
    </row>
    <row r="146" customFormat="false" ht="17.15" hidden="false" customHeight="false" outlineLevel="0" collapsed="false">
      <c r="A146" s="0" t="s">
        <v>2272</v>
      </c>
      <c r="B146" s="0" t="s">
        <v>1108</v>
      </c>
      <c r="C146" s="0" t="s">
        <v>621</v>
      </c>
      <c r="D146" s="0" t="s">
        <v>1721</v>
      </c>
      <c r="E146" s="0" t="s">
        <v>24</v>
      </c>
      <c r="F146" s="0" t="s">
        <v>1784</v>
      </c>
      <c r="G146" s="9" t="n">
        <v>11.829</v>
      </c>
      <c r="H146" s="20" t="s">
        <v>1897</v>
      </c>
      <c r="I146" s="5" t="s">
        <v>2273</v>
      </c>
      <c r="J146" s="20" t="s">
        <v>1899</v>
      </c>
      <c r="K146" s="20" t="s">
        <v>2260</v>
      </c>
      <c r="L146" s="20" t="s">
        <v>2261</v>
      </c>
      <c r="M146" s="5" t="s">
        <v>1736</v>
      </c>
      <c r="O146" s="0" t="n">
        <v>1</v>
      </c>
    </row>
    <row r="147" customFormat="false" ht="17.15" hidden="false" customHeight="false" outlineLevel="0" collapsed="false">
      <c r="A147" s="0" t="s">
        <v>2274</v>
      </c>
      <c r="B147" s="0" t="s">
        <v>1108</v>
      </c>
      <c r="C147" s="0" t="s">
        <v>621</v>
      </c>
      <c r="D147" s="0" t="s">
        <v>1721</v>
      </c>
      <c r="E147" s="0" t="s">
        <v>24</v>
      </c>
      <c r="F147" s="0" t="s">
        <v>1738</v>
      </c>
      <c r="G147" s="9" t="n">
        <v>1.491</v>
      </c>
      <c r="H147" s="20" t="s">
        <v>1897</v>
      </c>
      <c r="I147" s="20" t="s">
        <v>2275</v>
      </c>
      <c r="J147" s="20" t="s">
        <v>1899</v>
      </c>
      <c r="K147" s="20" t="s">
        <v>2260</v>
      </c>
      <c r="L147" s="20" t="s">
        <v>2261</v>
      </c>
      <c r="M147" s="5" t="s">
        <v>1736</v>
      </c>
      <c r="O147" s="0" t="n">
        <v>1</v>
      </c>
    </row>
    <row r="148" customFormat="false" ht="17.15" hidden="false" customHeight="false" outlineLevel="0" collapsed="false">
      <c r="A148" s="0" t="s">
        <v>2276</v>
      </c>
      <c r="B148" s="0" t="s">
        <v>1108</v>
      </c>
      <c r="C148" s="0" t="s">
        <v>621</v>
      </c>
      <c r="D148" s="0" t="s">
        <v>2277</v>
      </c>
      <c r="E148" s="0" t="s">
        <v>24</v>
      </c>
      <c r="F148" s="0" t="s">
        <v>1939</v>
      </c>
      <c r="G148" s="9" t="n">
        <v>13.447</v>
      </c>
      <c r="H148" s="20" t="s">
        <v>1897</v>
      </c>
      <c r="I148" s="5" t="s">
        <v>2278</v>
      </c>
      <c r="J148" s="20" t="s">
        <v>1909</v>
      </c>
      <c r="K148" s="20" t="s">
        <v>2260</v>
      </c>
      <c r="L148" s="20" t="s">
        <v>2261</v>
      </c>
      <c r="M148" s="5" t="s">
        <v>1736</v>
      </c>
      <c r="O148" s="0" t="n">
        <v>1</v>
      </c>
    </row>
    <row r="149" customFormat="false" ht="17.15" hidden="false" customHeight="false" outlineLevel="0" collapsed="false">
      <c r="A149" s="0" t="s">
        <v>2279</v>
      </c>
      <c r="B149" s="0" t="s">
        <v>1108</v>
      </c>
      <c r="C149" s="0" t="s">
        <v>621</v>
      </c>
      <c r="D149" s="0" t="s">
        <v>1725</v>
      </c>
      <c r="E149" s="0" t="s">
        <v>25</v>
      </c>
      <c r="F149" s="0" t="s">
        <v>1744</v>
      </c>
      <c r="G149" s="9" t="n">
        <v>3.663</v>
      </c>
      <c r="H149" s="20" t="s">
        <v>1897</v>
      </c>
      <c r="I149" s="5" t="s">
        <v>2280</v>
      </c>
      <c r="J149" s="20" t="s">
        <v>1899</v>
      </c>
      <c r="K149" s="20" t="s">
        <v>2281</v>
      </c>
      <c r="L149" s="20" t="s">
        <v>2282</v>
      </c>
      <c r="M149" s="5" t="s">
        <v>1736</v>
      </c>
      <c r="O149" s="0" t="n">
        <v>1</v>
      </c>
    </row>
    <row r="150" customFormat="false" ht="17.15" hidden="false" customHeight="false" outlineLevel="0" collapsed="false">
      <c r="A150" s="0" t="s">
        <v>2283</v>
      </c>
      <c r="B150" s="0" t="s">
        <v>1108</v>
      </c>
      <c r="C150" s="0" t="s">
        <v>621</v>
      </c>
      <c r="D150" s="0" t="s">
        <v>1725</v>
      </c>
      <c r="E150" s="0" t="s">
        <v>25</v>
      </c>
      <c r="F150" s="0" t="s">
        <v>1747</v>
      </c>
      <c r="G150" s="9" t="n">
        <v>14.117</v>
      </c>
      <c r="H150" s="20" t="s">
        <v>1897</v>
      </c>
      <c r="I150" s="5" t="s">
        <v>2284</v>
      </c>
      <c r="J150" s="20" t="s">
        <v>1899</v>
      </c>
      <c r="K150" s="20" t="s">
        <v>2281</v>
      </c>
      <c r="L150" s="20" t="s">
        <v>2282</v>
      </c>
      <c r="M150" s="5" t="s">
        <v>1736</v>
      </c>
      <c r="O150" s="0" t="n">
        <v>1</v>
      </c>
    </row>
    <row r="151" customFormat="false" ht="17.15" hidden="false" customHeight="false" outlineLevel="0" collapsed="false">
      <c r="A151" s="17" t="s">
        <v>2285</v>
      </c>
      <c r="B151" s="17" t="s">
        <v>1108</v>
      </c>
      <c r="C151" s="17" t="s">
        <v>621</v>
      </c>
      <c r="D151" s="17" t="s">
        <v>1725</v>
      </c>
      <c r="E151" s="17" t="s">
        <v>25</v>
      </c>
      <c r="F151" s="17" t="s">
        <v>1750</v>
      </c>
      <c r="G151" s="17" t="n">
        <v>-10.454</v>
      </c>
      <c r="H151" s="17" t="s">
        <v>1897</v>
      </c>
      <c r="I151" s="17" t="s">
        <v>2265</v>
      </c>
      <c r="J151" s="17" t="s">
        <v>1909</v>
      </c>
      <c r="K151" s="17" t="s">
        <v>2286</v>
      </c>
      <c r="L151" s="17" t="s">
        <v>2282</v>
      </c>
      <c r="M151" s="18" t="s">
        <v>1902</v>
      </c>
      <c r="N151" s="17"/>
      <c r="O151" s="17" t="n">
        <v>0</v>
      </c>
    </row>
    <row r="152" customFormat="false" ht="17.15" hidden="false" customHeight="false" outlineLevel="0" collapsed="false">
      <c r="A152" s="0" t="s">
        <v>2287</v>
      </c>
      <c r="B152" s="0" t="s">
        <v>1108</v>
      </c>
      <c r="C152" s="0" t="s">
        <v>621</v>
      </c>
      <c r="D152" s="0" t="s">
        <v>1725</v>
      </c>
      <c r="E152" s="0" t="s">
        <v>25</v>
      </c>
      <c r="F152" s="0" t="s">
        <v>1784</v>
      </c>
      <c r="G152" s="9" t="n">
        <v>16.747</v>
      </c>
      <c r="H152" s="20" t="s">
        <v>1897</v>
      </c>
      <c r="I152" s="5" t="s">
        <v>2288</v>
      </c>
      <c r="J152" s="20" t="s">
        <v>1899</v>
      </c>
      <c r="K152" s="20" t="s">
        <v>2281</v>
      </c>
      <c r="L152" s="20" t="s">
        <v>2282</v>
      </c>
      <c r="M152" s="5" t="s">
        <v>1736</v>
      </c>
      <c r="O152" s="0" t="n">
        <v>1</v>
      </c>
    </row>
    <row r="153" customFormat="false" ht="17.15" hidden="false" customHeight="false" outlineLevel="0" collapsed="false">
      <c r="A153" s="17" t="s">
        <v>2289</v>
      </c>
      <c r="B153" s="17" t="s">
        <v>1108</v>
      </c>
      <c r="C153" s="17" t="s">
        <v>621</v>
      </c>
      <c r="D153" s="17" t="s">
        <v>2098</v>
      </c>
      <c r="E153" s="17" t="s">
        <v>25</v>
      </c>
      <c r="F153" s="17" t="s">
        <v>1784</v>
      </c>
      <c r="G153" s="17" t="n">
        <v>8.5</v>
      </c>
      <c r="H153" s="17" t="s">
        <v>1897</v>
      </c>
      <c r="I153" s="17" t="s">
        <v>2290</v>
      </c>
      <c r="J153" s="17" t="s">
        <v>1899</v>
      </c>
      <c r="K153" s="17" t="s">
        <v>2286</v>
      </c>
      <c r="L153" s="17" t="s">
        <v>2282</v>
      </c>
      <c r="M153" s="18" t="s">
        <v>1929</v>
      </c>
      <c r="N153" s="17"/>
      <c r="O153" s="17" t="n">
        <v>0</v>
      </c>
    </row>
    <row r="154" customFormat="false" ht="17.15" hidden="false" customHeight="false" outlineLevel="0" collapsed="false">
      <c r="A154" s="17" t="s">
        <v>2291</v>
      </c>
      <c r="B154" s="17" t="s">
        <v>1108</v>
      </c>
      <c r="C154" s="17" t="s">
        <v>621</v>
      </c>
      <c r="D154" s="17" t="s">
        <v>25</v>
      </c>
      <c r="E154" s="17" t="s">
        <v>1958</v>
      </c>
      <c r="F154" s="17" t="s">
        <v>1779</v>
      </c>
      <c r="G154" s="17" t="n">
        <v>6.279</v>
      </c>
      <c r="H154" s="17" t="s">
        <v>1897</v>
      </c>
      <c r="I154" s="17" t="s">
        <v>2292</v>
      </c>
      <c r="J154" s="17" t="s">
        <v>1899</v>
      </c>
      <c r="K154" s="17" t="s">
        <v>2286</v>
      </c>
      <c r="L154" s="17" t="s">
        <v>2282</v>
      </c>
      <c r="M154" s="18" t="s">
        <v>1929</v>
      </c>
      <c r="N154" s="17"/>
      <c r="O154" s="17" t="n">
        <v>0</v>
      </c>
    </row>
    <row r="155" customFormat="false" ht="17.15" hidden="false" customHeight="false" outlineLevel="0" collapsed="false">
      <c r="A155" s="17" t="s">
        <v>2293</v>
      </c>
      <c r="B155" s="17" t="s">
        <v>1108</v>
      </c>
      <c r="C155" s="17" t="s">
        <v>621</v>
      </c>
      <c r="D155" s="17" t="s">
        <v>25</v>
      </c>
      <c r="E155" s="17" t="s">
        <v>1958</v>
      </c>
      <c r="F155" s="17" t="s">
        <v>1779</v>
      </c>
      <c r="G155" s="17" t="n">
        <v>4</v>
      </c>
      <c r="H155" s="17" t="s">
        <v>1897</v>
      </c>
      <c r="I155" s="17" t="s">
        <v>2294</v>
      </c>
      <c r="J155" s="17" t="s">
        <v>1899</v>
      </c>
      <c r="K155" s="17" t="s">
        <v>2286</v>
      </c>
      <c r="L155" s="17" t="s">
        <v>2282</v>
      </c>
      <c r="M155" s="18" t="s">
        <v>1902</v>
      </c>
      <c r="N155" s="17"/>
      <c r="O155" s="17" t="n">
        <v>0</v>
      </c>
    </row>
    <row r="156" customFormat="false" ht="17.15" hidden="false" customHeight="false" outlineLevel="0" collapsed="false">
      <c r="A156" s="0" t="s">
        <v>2295</v>
      </c>
      <c r="B156" s="0" t="s">
        <v>1108</v>
      </c>
      <c r="C156" s="0" t="s">
        <v>621</v>
      </c>
      <c r="D156" s="0" t="s">
        <v>1725</v>
      </c>
      <c r="E156" s="0" t="s">
        <v>25</v>
      </c>
      <c r="F156" s="0" t="s">
        <v>1738</v>
      </c>
      <c r="G156" s="9" t="n">
        <v>2.982</v>
      </c>
      <c r="H156" s="20" t="s">
        <v>1897</v>
      </c>
      <c r="I156" s="20" t="s">
        <v>2296</v>
      </c>
      <c r="J156" s="20" t="s">
        <v>1899</v>
      </c>
      <c r="K156" s="20" t="s">
        <v>2281</v>
      </c>
      <c r="L156" s="20" t="s">
        <v>2282</v>
      </c>
      <c r="M156" s="5" t="s">
        <v>1736</v>
      </c>
      <c r="O156" s="0" t="n">
        <v>1</v>
      </c>
    </row>
    <row r="157" customFormat="false" ht="17.15" hidden="false" customHeight="false" outlineLevel="0" collapsed="false">
      <c r="A157" s="0" t="s">
        <v>1774</v>
      </c>
      <c r="B157" s="0" t="s">
        <v>1108</v>
      </c>
      <c r="C157" s="0" t="s">
        <v>621</v>
      </c>
      <c r="D157" s="0" t="s">
        <v>1732</v>
      </c>
      <c r="E157" s="0" t="s">
        <v>1951</v>
      </c>
      <c r="F157" s="0" t="s">
        <v>1733</v>
      </c>
      <c r="G157" s="9" t="n">
        <v>37</v>
      </c>
      <c r="H157" s="20" t="s">
        <v>1897</v>
      </c>
      <c r="I157" s="5" t="s">
        <v>1773</v>
      </c>
      <c r="J157" s="20" t="s">
        <v>1953</v>
      </c>
      <c r="K157" s="20" t="s">
        <v>2297</v>
      </c>
      <c r="L157" s="20" t="s">
        <v>2298</v>
      </c>
      <c r="M157" s="5" t="s">
        <v>1736</v>
      </c>
      <c r="O157" s="0" t="n">
        <v>1</v>
      </c>
    </row>
    <row r="158" customFormat="false" ht="17.15" hidden="false" customHeight="false" outlineLevel="0" collapsed="false">
      <c r="A158" s="17" t="s">
        <v>2299</v>
      </c>
      <c r="B158" s="17" t="s">
        <v>1108</v>
      </c>
      <c r="C158" s="17" t="s">
        <v>621</v>
      </c>
      <c r="D158" s="17" t="s">
        <v>120</v>
      </c>
      <c r="E158" s="17" t="s">
        <v>25</v>
      </c>
      <c r="F158" s="17" t="s">
        <v>1762</v>
      </c>
      <c r="G158" s="17" t="n">
        <v>35.5</v>
      </c>
      <c r="H158" s="17" t="s">
        <v>1897</v>
      </c>
      <c r="I158" s="18" t="s">
        <v>2300</v>
      </c>
      <c r="J158" s="17" t="s">
        <v>1899</v>
      </c>
      <c r="K158" s="17" t="s">
        <v>2286</v>
      </c>
      <c r="L158" s="17" t="s">
        <v>2282</v>
      </c>
      <c r="M158" s="18" t="s">
        <v>1902</v>
      </c>
      <c r="N158" s="17"/>
      <c r="O158" s="17" t="n">
        <v>0</v>
      </c>
    </row>
    <row r="159" customFormat="false" ht="17.15" hidden="false" customHeight="false" outlineLevel="0" collapsed="false">
      <c r="A159" s="17" t="s">
        <v>2301</v>
      </c>
      <c r="B159" s="17" t="s">
        <v>1108</v>
      </c>
      <c r="C159" s="17" t="s">
        <v>621</v>
      </c>
      <c r="D159" s="17" t="s">
        <v>120</v>
      </c>
      <c r="E159" s="17" t="s">
        <v>25</v>
      </c>
      <c r="F159" s="17" t="s">
        <v>1759</v>
      </c>
      <c r="G159" s="17" t="n">
        <v>30</v>
      </c>
      <c r="H159" s="17" t="s">
        <v>1897</v>
      </c>
      <c r="I159" s="18" t="s">
        <v>2302</v>
      </c>
      <c r="J159" s="17" t="s">
        <v>1909</v>
      </c>
      <c r="K159" s="17" t="s">
        <v>2286</v>
      </c>
      <c r="L159" s="17" t="s">
        <v>2282</v>
      </c>
      <c r="M159" s="18" t="s">
        <v>1902</v>
      </c>
      <c r="N159" s="17"/>
      <c r="O159" s="17" t="n">
        <v>0</v>
      </c>
    </row>
    <row r="160" customFormat="false" ht="17.15" hidden="false" customHeight="false" outlineLevel="0" collapsed="false">
      <c r="A160" s="0" t="s">
        <v>1777</v>
      </c>
      <c r="B160" s="0" t="s">
        <v>1108</v>
      </c>
      <c r="C160" s="0" t="s">
        <v>621</v>
      </c>
      <c r="D160" s="0" t="s">
        <v>1775</v>
      </c>
      <c r="E160" s="0" t="s">
        <v>1958</v>
      </c>
      <c r="F160" s="0" t="s">
        <v>1768</v>
      </c>
      <c r="G160" s="9" t="n">
        <v>6.3</v>
      </c>
      <c r="H160" s="20" t="s">
        <v>1897</v>
      </c>
      <c r="I160" s="20" t="s">
        <v>1776</v>
      </c>
      <c r="J160" s="20" t="s">
        <v>1953</v>
      </c>
      <c r="K160" s="20" t="s">
        <v>2303</v>
      </c>
      <c r="L160" s="20" t="s">
        <v>2304</v>
      </c>
      <c r="M160" s="5" t="s">
        <v>1736</v>
      </c>
      <c r="O160" s="0" t="n">
        <v>1</v>
      </c>
    </row>
    <row r="161" customFormat="false" ht="17.15" hidden="false" customHeight="false" outlineLevel="0" collapsed="false">
      <c r="A161" s="0" t="s">
        <v>2305</v>
      </c>
      <c r="B161" s="0" t="s">
        <v>1127</v>
      </c>
      <c r="C161" s="0" t="s">
        <v>652</v>
      </c>
      <c r="D161" s="0" t="s">
        <v>1721</v>
      </c>
      <c r="E161" s="0" t="s">
        <v>24</v>
      </c>
      <c r="F161" s="0" t="s">
        <v>1747</v>
      </c>
      <c r="G161" s="9" t="n">
        <v>4.1</v>
      </c>
      <c r="H161" s="20" t="s">
        <v>1897</v>
      </c>
      <c r="I161" s="20" t="s">
        <v>2306</v>
      </c>
      <c r="J161" s="20" t="s">
        <v>1953</v>
      </c>
      <c r="K161" s="20" t="s">
        <v>2307</v>
      </c>
      <c r="L161" s="20" t="s">
        <v>2308</v>
      </c>
      <c r="M161" s="5" t="s">
        <v>1736</v>
      </c>
      <c r="O161" s="0" t="n">
        <v>1</v>
      </c>
    </row>
    <row r="162" customFormat="false" ht="17.15" hidden="false" customHeight="false" outlineLevel="0" collapsed="false">
      <c r="A162" s="17" t="s">
        <v>2309</v>
      </c>
      <c r="B162" s="17" t="s">
        <v>1127</v>
      </c>
      <c r="C162" s="17" t="s">
        <v>652</v>
      </c>
      <c r="D162" s="17" t="s">
        <v>1721</v>
      </c>
      <c r="E162" s="17" t="s">
        <v>24</v>
      </c>
      <c r="F162" s="17" t="s">
        <v>1779</v>
      </c>
      <c r="G162" s="17" t="n">
        <v>4.163</v>
      </c>
      <c r="H162" s="17" t="s">
        <v>1897</v>
      </c>
      <c r="I162" s="18" t="s">
        <v>2310</v>
      </c>
      <c r="J162" s="17" t="s">
        <v>1899</v>
      </c>
      <c r="K162" s="17" t="s">
        <v>2311</v>
      </c>
      <c r="L162" s="17" t="s">
        <v>2312</v>
      </c>
      <c r="M162" s="18" t="s">
        <v>1902</v>
      </c>
      <c r="N162" s="17"/>
      <c r="O162" s="17" t="n">
        <v>0</v>
      </c>
    </row>
    <row r="163" customFormat="false" ht="17.15" hidden="false" customHeight="false" outlineLevel="0" collapsed="false">
      <c r="A163" s="17" t="s">
        <v>2313</v>
      </c>
      <c r="B163" s="17" t="s">
        <v>1127</v>
      </c>
      <c r="C163" s="17" t="s">
        <v>652</v>
      </c>
      <c r="D163" s="17" t="s">
        <v>1725</v>
      </c>
      <c r="E163" s="17" t="s">
        <v>25</v>
      </c>
      <c r="F163" s="17" t="s">
        <v>1744</v>
      </c>
      <c r="G163" s="17" t="n">
        <v>4.504</v>
      </c>
      <c r="H163" s="17" t="s">
        <v>1897</v>
      </c>
      <c r="I163" s="18" t="s">
        <v>2314</v>
      </c>
      <c r="J163" s="17" t="s">
        <v>1953</v>
      </c>
      <c r="K163" s="17" t="s">
        <v>2315</v>
      </c>
      <c r="L163" s="17" t="s">
        <v>2312</v>
      </c>
      <c r="M163" s="18" t="s">
        <v>1902</v>
      </c>
      <c r="N163" s="17"/>
      <c r="O163" s="17" t="n">
        <v>0</v>
      </c>
    </row>
    <row r="164" customFormat="false" ht="17.15" hidden="false" customHeight="false" outlineLevel="0" collapsed="false">
      <c r="A164" s="0" t="s">
        <v>2316</v>
      </c>
      <c r="B164" s="0" t="s">
        <v>1127</v>
      </c>
      <c r="C164" s="0" t="s">
        <v>652</v>
      </c>
      <c r="D164" s="0" t="s">
        <v>1725</v>
      </c>
      <c r="E164" s="0" t="s">
        <v>25</v>
      </c>
      <c r="F164" s="0" t="s">
        <v>1747</v>
      </c>
      <c r="G164" s="9" t="n">
        <v>8.13</v>
      </c>
      <c r="H164" s="20" t="s">
        <v>1897</v>
      </c>
      <c r="I164" s="20" t="s">
        <v>2317</v>
      </c>
      <c r="J164" s="20" t="s">
        <v>1953</v>
      </c>
      <c r="K164" s="20" t="s">
        <v>2318</v>
      </c>
      <c r="L164" s="20" t="s">
        <v>2319</v>
      </c>
      <c r="M164" s="5" t="s">
        <v>1787</v>
      </c>
      <c r="N164" s="20" t="s">
        <v>2320</v>
      </c>
      <c r="O164" s="0" t="n">
        <v>1</v>
      </c>
    </row>
    <row r="165" customFormat="false" ht="17.15" hidden="false" customHeight="false" outlineLevel="0" collapsed="false">
      <c r="A165" s="0" t="s">
        <v>2321</v>
      </c>
      <c r="B165" s="0" t="s">
        <v>1127</v>
      </c>
      <c r="C165" s="0" t="s">
        <v>652</v>
      </c>
      <c r="D165" s="0" t="s">
        <v>1725</v>
      </c>
      <c r="E165" s="0" t="s">
        <v>25</v>
      </c>
      <c r="F165" s="0" t="s">
        <v>1750</v>
      </c>
      <c r="G165" s="9" t="n">
        <v>-3.626</v>
      </c>
      <c r="H165" s="20" t="s">
        <v>1897</v>
      </c>
      <c r="I165" s="20" t="s">
        <v>1995</v>
      </c>
      <c r="J165" s="20" t="s">
        <v>1909</v>
      </c>
      <c r="K165" s="20" t="s">
        <v>2318</v>
      </c>
      <c r="L165" s="20" t="s">
        <v>2319</v>
      </c>
      <c r="M165" s="5" t="s">
        <v>1787</v>
      </c>
      <c r="N165" s="20" t="s">
        <v>2320</v>
      </c>
      <c r="O165" s="0" t="n">
        <v>1</v>
      </c>
    </row>
    <row r="166" customFormat="false" ht="17.15" hidden="false" customHeight="false" outlineLevel="0" collapsed="false">
      <c r="A166" s="0" t="s">
        <v>2322</v>
      </c>
      <c r="B166" s="0" t="s">
        <v>1127</v>
      </c>
      <c r="C166" s="0" t="s">
        <v>652</v>
      </c>
      <c r="D166" s="0" t="s">
        <v>2098</v>
      </c>
      <c r="E166" s="0" t="s">
        <v>25</v>
      </c>
      <c r="F166" s="0" t="s">
        <v>1779</v>
      </c>
      <c r="G166" s="9" t="n">
        <v>4.338</v>
      </c>
      <c r="H166" s="20" t="s">
        <v>1897</v>
      </c>
      <c r="I166" s="5" t="s">
        <v>2323</v>
      </c>
      <c r="J166" s="20" t="s">
        <v>1953</v>
      </c>
      <c r="K166" s="20" t="s">
        <v>2318</v>
      </c>
      <c r="L166" s="20" t="s">
        <v>2319</v>
      </c>
      <c r="M166" s="20" t="s">
        <v>1782</v>
      </c>
      <c r="N166" s="20" t="s">
        <v>2320</v>
      </c>
      <c r="O166" s="0" t="n">
        <v>1</v>
      </c>
    </row>
    <row r="167" customFormat="false" ht="17.15" hidden="false" customHeight="false" outlineLevel="0" collapsed="false">
      <c r="A167" s="0" t="s">
        <v>1781</v>
      </c>
      <c r="B167" s="0" t="s">
        <v>1127</v>
      </c>
      <c r="C167" s="0" t="s">
        <v>652</v>
      </c>
      <c r="D167" s="0" t="s">
        <v>1778</v>
      </c>
      <c r="E167" s="0" t="s">
        <v>1958</v>
      </c>
      <c r="F167" s="0" t="s">
        <v>1779</v>
      </c>
      <c r="G167" s="9" t="n">
        <v>5.75</v>
      </c>
      <c r="H167" s="20" t="s">
        <v>1897</v>
      </c>
      <c r="I167" s="5" t="s">
        <v>1780</v>
      </c>
      <c r="J167" s="20" t="s">
        <v>1953</v>
      </c>
      <c r="K167" s="20" t="s">
        <v>2318</v>
      </c>
      <c r="L167" s="20" t="s">
        <v>2319</v>
      </c>
      <c r="M167" s="20" t="s">
        <v>1782</v>
      </c>
      <c r="N167" s="20" t="s">
        <v>2320</v>
      </c>
      <c r="O167" s="0" t="n">
        <v>1</v>
      </c>
    </row>
    <row r="168" customFormat="false" ht="17.15" hidden="false" customHeight="false" outlineLevel="0" collapsed="false">
      <c r="A168" s="0" t="s">
        <v>1786</v>
      </c>
      <c r="B168" s="0" t="s">
        <v>1127</v>
      </c>
      <c r="C168" s="0" t="s">
        <v>652</v>
      </c>
      <c r="D168" s="0" t="s">
        <v>1783</v>
      </c>
      <c r="E168" s="0" t="s">
        <v>1958</v>
      </c>
      <c r="F168" s="0" t="s">
        <v>1784</v>
      </c>
      <c r="G168" s="9" t="n">
        <v>0.775</v>
      </c>
      <c r="H168" s="20" t="s">
        <v>1897</v>
      </c>
      <c r="I168" s="5" t="s">
        <v>1785</v>
      </c>
      <c r="J168" s="20" t="s">
        <v>1953</v>
      </c>
      <c r="K168" s="20" t="s">
        <v>2318</v>
      </c>
      <c r="L168" s="20" t="s">
        <v>2319</v>
      </c>
      <c r="M168" s="5" t="s">
        <v>1787</v>
      </c>
      <c r="N168" s="20" t="s">
        <v>2320</v>
      </c>
      <c r="O168" s="0" t="n">
        <v>1</v>
      </c>
    </row>
    <row r="169" customFormat="false" ht="17.15" hidden="false" customHeight="false" outlineLevel="0" collapsed="false">
      <c r="A169" s="0" t="s">
        <v>2324</v>
      </c>
      <c r="B169" s="0" t="s">
        <v>1127</v>
      </c>
      <c r="C169" s="0" t="s">
        <v>652</v>
      </c>
      <c r="D169" s="0" t="s">
        <v>1725</v>
      </c>
      <c r="E169" s="0" t="s">
        <v>25</v>
      </c>
      <c r="F169" s="0" t="s">
        <v>1738</v>
      </c>
      <c r="G169" s="9" t="n">
        <v>4.811</v>
      </c>
      <c r="H169" s="20" t="s">
        <v>1897</v>
      </c>
      <c r="I169" s="20" t="s">
        <v>2325</v>
      </c>
      <c r="J169" s="20" t="s">
        <v>1953</v>
      </c>
      <c r="K169" s="20" t="s">
        <v>2318</v>
      </c>
      <c r="L169" s="20" t="s">
        <v>2319</v>
      </c>
      <c r="M169" s="5" t="s">
        <v>1787</v>
      </c>
      <c r="N169" s="20" t="s">
        <v>2320</v>
      </c>
      <c r="O169" s="0" t="n">
        <v>1</v>
      </c>
    </row>
    <row r="170" customFormat="false" ht="17.15" hidden="false" customHeight="false" outlineLevel="0" collapsed="false">
      <c r="A170" s="0" t="s">
        <v>2326</v>
      </c>
      <c r="B170" s="0" t="s">
        <v>1127</v>
      </c>
      <c r="C170" s="0" t="s">
        <v>652</v>
      </c>
      <c r="D170" s="0" t="s">
        <v>120</v>
      </c>
      <c r="E170" s="0" t="s">
        <v>25</v>
      </c>
      <c r="F170" s="0" t="s">
        <v>1762</v>
      </c>
      <c r="G170" s="9" t="n">
        <v>12.054</v>
      </c>
      <c r="H170" s="20" t="s">
        <v>1897</v>
      </c>
      <c r="I170" s="5" t="s">
        <v>2327</v>
      </c>
      <c r="J170" s="20" t="s">
        <v>1953</v>
      </c>
      <c r="K170" s="20" t="s">
        <v>2318</v>
      </c>
      <c r="L170" s="20" t="s">
        <v>2319</v>
      </c>
      <c r="M170" s="20" t="s">
        <v>1782</v>
      </c>
      <c r="N170" s="20" t="s">
        <v>2320</v>
      </c>
      <c r="O170" s="0" t="n">
        <v>1</v>
      </c>
    </row>
    <row r="171" customFormat="false" ht="17.15" hidden="false" customHeight="false" outlineLevel="0" collapsed="false">
      <c r="A171" s="0" t="s">
        <v>2328</v>
      </c>
      <c r="B171" s="0" t="s">
        <v>1127</v>
      </c>
      <c r="C171" s="0" t="s">
        <v>652</v>
      </c>
      <c r="D171" s="0" t="s">
        <v>120</v>
      </c>
      <c r="E171" s="0" t="s">
        <v>25</v>
      </c>
      <c r="F171" s="0" t="s">
        <v>1759</v>
      </c>
      <c r="G171" s="9" t="n">
        <v>-13.675</v>
      </c>
      <c r="H171" s="20" t="s">
        <v>1897</v>
      </c>
      <c r="I171" s="5" t="s">
        <v>2329</v>
      </c>
      <c r="J171" s="20" t="s">
        <v>1909</v>
      </c>
      <c r="K171" s="20" t="s">
        <v>2318</v>
      </c>
      <c r="L171" s="20" t="s">
        <v>2319</v>
      </c>
      <c r="M171" s="5" t="s">
        <v>1787</v>
      </c>
      <c r="N171" s="20" t="s">
        <v>2320</v>
      </c>
      <c r="O171" s="0" t="n">
        <v>1</v>
      </c>
    </row>
    <row r="172" customFormat="false" ht="17.15" hidden="false" customHeight="false" outlineLevel="0" collapsed="false">
      <c r="A172" s="0" t="s">
        <v>1789</v>
      </c>
      <c r="B172" s="0" t="s">
        <v>1127</v>
      </c>
      <c r="C172" s="0" t="s">
        <v>652</v>
      </c>
      <c r="D172" s="0" t="s">
        <v>1732</v>
      </c>
      <c r="E172" s="0" t="s">
        <v>1951</v>
      </c>
      <c r="F172" s="0" t="s">
        <v>1747</v>
      </c>
      <c r="G172" s="9" t="n">
        <v>22.5</v>
      </c>
      <c r="H172" s="20" t="s">
        <v>1897</v>
      </c>
      <c r="I172" s="5" t="s">
        <v>1788</v>
      </c>
      <c r="J172" s="20" t="s">
        <v>1953</v>
      </c>
      <c r="K172" s="20" t="s">
        <v>2330</v>
      </c>
      <c r="L172" s="20" t="s">
        <v>2308</v>
      </c>
      <c r="M172" s="5" t="s">
        <v>1756</v>
      </c>
      <c r="N172" s="20" t="s">
        <v>2331</v>
      </c>
      <c r="O172" s="0" t="n">
        <v>1</v>
      </c>
    </row>
    <row r="173" customFormat="false" ht="17.15" hidden="false" customHeight="false" outlineLevel="0" collapsed="false">
      <c r="A173" s="17" t="s">
        <v>2332</v>
      </c>
      <c r="B173" s="17" t="s">
        <v>1323</v>
      </c>
      <c r="C173" s="17" t="s">
        <v>532</v>
      </c>
      <c r="D173" s="17" t="s">
        <v>2333</v>
      </c>
      <c r="E173" s="17" t="s">
        <v>24</v>
      </c>
      <c r="F173" s="17" t="s">
        <v>1738</v>
      </c>
      <c r="G173" s="17" t="n">
        <v>40</v>
      </c>
      <c r="H173" s="17" t="s">
        <v>1897</v>
      </c>
      <c r="I173" s="17" t="s">
        <v>2334</v>
      </c>
      <c r="J173" s="17" t="s">
        <v>1953</v>
      </c>
      <c r="K173" s="17" t="s">
        <v>2335</v>
      </c>
      <c r="L173" s="17" t="s">
        <v>2336</v>
      </c>
      <c r="M173" s="18" t="s">
        <v>1902</v>
      </c>
      <c r="N173" s="17"/>
      <c r="O173" s="17" t="n">
        <v>0</v>
      </c>
    </row>
    <row r="174" customFormat="false" ht="17.15" hidden="false" customHeight="false" outlineLevel="0" collapsed="false">
      <c r="A174" s="17" t="s">
        <v>2337</v>
      </c>
      <c r="B174" s="17" t="s">
        <v>1323</v>
      </c>
      <c r="C174" s="17" t="s">
        <v>532</v>
      </c>
      <c r="D174" s="17" t="s">
        <v>2338</v>
      </c>
      <c r="E174" s="17" t="s">
        <v>24</v>
      </c>
      <c r="F174" s="17" t="s">
        <v>1738</v>
      </c>
      <c r="G174" s="17" t="n">
        <v>6.6</v>
      </c>
      <c r="H174" s="17" t="s">
        <v>1897</v>
      </c>
      <c r="I174" s="18" t="s">
        <v>2339</v>
      </c>
      <c r="J174" s="17" t="s">
        <v>1953</v>
      </c>
      <c r="K174" s="17" t="s">
        <v>2340</v>
      </c>
      <c r="L174" s="17" t="s">
        <v>2341</v>
      </c>
      <c r="M174" s="18" t="s">
        <v>1902</v>
      </c>
      <c r="N174" s="17"/>
      <c r="O174" s="17" t="n">
        <v>0</v>
      </c>
    </row>
    <row r="175" customFormat="false" ht="17.15" hidden="false" customHeight="false" outlineLevel="0" collapsed="false">
      <c r="A175" s="0" t="s">
        <v>2342</v>
      </c>
      <c r="B175" s="0" t="s">
        <v>1323</v>
      </c>
      <c r="C175" s="0" t="s">
        <v>532</v>
      </c>
      <c r="D175" s="0" t="s">
        <v>2343</v>
      </c>
      <c r="E175" s="0" t="s">
        <v>25</v>
      </c>
      <c r="F175" s="0" t="s">
        <v>1738</v>
      </c>
      <c r="G175" s="9" t="n">
        <v>122</v>
      </c>
      <c r="H175" s="20" t="s">
        <v>1897</v>
      </c>
      <c r="I175" s="5" t="s">
        <v>2344</v>
      </c>
      <c r="J175" s="20" t="s">
        <v>1953</v>
      </c>
      <c r="K175" s="20" t="s">
        <v>2345</v>
      </c>
      <c r="L175" s="20" t="s">
        <v>2346</v>
      </c>
      <c r="M175" s="5" t="s">
        <v>1736</v>
      </c>
      <c r="O175" s="0" t="n">
        <v>1</v>
      </c>
    </row>
    <row r="176" customFormat="false" ht="17.15" hidden="false" customHeight="false" outlineLevel="0" collapsed="false">
      <c r="A176" s="17" t="s">
        <v>2347</v>
      </c>
      <c r="B176" s="17" t="s">
        <v>1323</v>
      </c>
      <c r="C176" s="17" t="s">
        <v>532</v>
      </c>
      <c r="D176" s="17" t="s">
        <v>2348</v>
      </c>
      <c r="E176" s="17" t="s">
        <v>25</v>
      </c>
      <c r="F176" s="17" t="s">
        <v>1738</v>
      </c>
      <c r="G176" s="17" t="n">
        <v>30</v>
      </c>
      <c r="H176" s="17" t="s">
        <v>1897</v>
      </c>
      <c r="I176" s="18" t="s">
        <v>2349</v>
      </c>
      <c r="J176" s="17" t="s">
        <v>1953</v>
      </c>
      <c r="K176" s="17" t="s">
        <v>2350</v>
      </c>
      <c r="L176" s="17" t="s">
        <v>2351</v>
      </c>
      <c r="M176" s="18" t="s">
        <v>1902</v>
      </c>
      <c r="N176" s="17"/>
      <c r="O176" s="17" t="n">
        <v>0</v>
      </c>
    </row>
    <row r="177" customFormat="false" ht="17.15" hidden="false" customHeight="false" outlineLevel="0" collapsed="false">
      <c r="A177" s="17" t="s">
        <v>2352</v>
      </c>
      <c r="B177" s="17" t="s">
        <v>1323</v>
      </c>
      <c r="C177" s="17" t="s">
        <v>532</v>
      </c>
      <c r="D177" s="17" t="s">
        <v>2353</v>
      </c>
      <c r="E177" s="17" t="s">
        <v>1958</v>
      </c>
      <c r="F177" s="17" t="s">
        <v>2354</v>
      </c>
      <c r="G177" s="17" t="n">
        <v>4</v>
      </c>
      <c r="H177" s="17" t="s">
        <v>1897</v>
      </c>
      <c r="I177" s="18" t="s">
        <v>2355</v>
      </c>
      <c r="J177" s="17" t="s">
        <v>1953</v>
      </c>
      <c r="K177" s="17" t="s">
        <v>2356</v>
      </c>
      <c r="L177" s="17" t="s">
        <v>2357</v>
      </c>
      <c r="M177" s="18" t="s">
        <v>1902</v>
      </c>
      <c r="N177" s="17"/>
      <c r="O177" s="17" t="n">
        <v>0</v>
      </c>
    </row>
    <row r="178" customFormat="false" ht="17.15" hidden="false" customHeight="false" outlineLevel="0" collapsed="false">
      <c r="A178" s="17" t="s">
        <v>2358</v>
      </c>
      <c r="B178" s="17" t="s">
        <v>1323</v>
      </c>
      <c r="C178" s="17" t="s">
        <v>532</v>
      </c>
      <c r="D178" s="17" t="s">
        <v>2104</v>
      </c>
      <c r="E178" s="17" t="s">
        <v>25</v>
      </c>
      <c r="F178" s="17" t="s">
        <v>2354</v>
      </c>
      <c r="G178" s="17" t="n">
        <v>0.52</v>
      </c>
      <c r="H178" s="17" t="s">
        <v>1897</v>
      </c>
      <c r="I178" s="17" t="s">
        <v>2359</v>
      </c>
      <c r="J178" s="17" t="s">
        <v>1953</v>
      </c>
      <c r="K178" s="17" t="s">
        <v>2360</v>
      </c>
      <c r="L178" s="17" t="s">
        <v>2361</v>
      </c>
      <c r="M178" s="18" t="s">
        <v>1902</v>
      </c>
      <c r="N178" s="17"/>
      <c r="O178" s="17" t="n">
        <v>0</v>
      </c>
    </row>
    <row r="179" customFormat="false" ht="17.15" hidden="false" customHeight="false" outlineLevel="0" collapsed="false">
      <c r="A179" s="0" t="s">
        <v>2362</v>
      </c>
      <c r="B179" s="0" t="s">
        <v>1323</v>
      </c>
      <c r="C179" s="0" t="s">
        <v>532</v>
      </c>
      <c r="D179" s="0" t="s">
        <v>1721</v>
      </c>
      <c r="E179" s="0" t="s">
        <v>24</v>
      </c>
      <c r="F179" s="0" t="s">
        <v>1750</v>
      </c>
      <c r="G179" s="9" t="n">
        <v>-8</v>
      </c>
      <c r="H179" s="20" t="s">
        <v>1897</v>
      </c>
      <c r="I179" s="5" t="s">
        <v>2363</v>
      </c>
      <c r="J179" s="20" t="s">
        <v>1953</v>
      </c>
      <c r="K179" s="20" t="s">
        <v>2364</v>
      </c>
      <c r="L179" s="20" t="s">
        <v>2365</v>
      </c>
      <c r="M179" s="5" t="s">
        <v>1736</v>
      </c>
      <c r="O179" s="0" t="n">
        <v>1</v>
      </c>
    </row>
    <row r="180" customFormat="false" ht="17.15" hidden="false" customHeight="false" outlineLevel="0" collapsed="false">
      <c r="A180" s="0" t="s">
        <v>1791</v>
      </c>
      <c r="B180" s="0" t="s">
        <v>1323</v>
      </c>
      <c r="C180" s="0" t="s">
        <v>532</v>
      </c>
      <c r="D180" s="0" t="s">
        <v>1732</v>
      </c>
      <c r="E180" s="0" t="s">
        <v>1951</v>
      </c>
      <c r="F180" s="0" t="s">
        <v>1750</v>
      </c>
      <c r="G180" s="9" t="n">
        <v>-25</v>
      </c>
      <c r="H180" s="20" t="s">
        <v>1897</v>
      </c>
      <c r="I180" s="5" t="s">
        <v>1790</v>
      </c>
      <c r="J180" s="20" t="s">
        <v>1953</v>
      </c>
      <c r="K180" s="20" t="s">
        <v>2364</v>
      </c>
      <c r="L180" s="20" t="s">
        <v>2365</v>
      </c>
      <c r="M180" s="5" t="s">
        <v>1736</v>
      </c>
      <c r="O180" s="0" t="n">
        <v>1</v>
      </c>
    </row>
    <row r="181" customFormat="false" ht="17.15" hidden="false" customHeight="false" outlineLevel="0" collapsed="false">
      <c r="A181" s="17" t="s">
        <v>2366</v>
      </c>
      <c r="B181" s="17" t="s">
        <v>1323</v>
      </c>
      <c r="C181" s="17" t="s">
        <v>532</v>
      </c>
      <c r="D181" s="17" t="s">
        <v>2367</v>
      </c>
      <c r="E181" s="17" t="s">
        <v>24</v>
      </c>
      <c r="F181" s="17" t="s">
        <v>2177</v>
      </c>
      <c r="G181" s="17" t="n">
        <v>45</v>
      </c>
      <c r="H181" s="17" t="s">
        <v>1897</v>
      </c>
      <c r="I181" s="17" t="s">
        <v>2368</v>
      </c>
      <c r="J181" s="17" t="s">
        <v>1953</v>
      </c>
      <c r="K181" s="17" t="s">
        <v>2369</v>
      </c>
      <c r="L181" s="17" t="s">
        <v>2370</v>
      </c>
      <c r="M181" s="18" t="s">
        <v>1902</v>
      </c>
      <c r="N181" s="17" t="s">
        <v>2371</v>
      </c>
      <c r="O181" s="17" t="n">
        <v>0</v>
      </c>
    </row>
    <row r="182" customFormat="false" ht="17.15" hidden="false" customHeight="false" outlineLevel="0" collapsed="false">
      <c r="A182" s="0" t="s">
        <v>2372</v>
      </c>
      <c r="B182" s="0" t="s">
        <v>1323</v>
      </c>
      <c r="C182" s="0" t="s">
        <v>532</v>
      </c>
      <c r="D182" s="0" t="s">
        <v>1778</v>
      </c>
      <c r="E182" s="0" t="s">
        <v>25</v>
      </c>
      <c r="F182" s="0" t="s">
        <v>2177</v>
      </c>
      <c r="G182" s="9" t="n">
        <v>105</v>
      </c>
      <c r="H182" s="20" t="s">
        <v>1897</v>
      </c>
      <c r="I182" s="20" t="s">
        <v>2373</v>
      </c>
      <c r="J182" s="20" t="s">
        <v>1953</v>
      </c>
      <c r="K182" s="20" t="s">
        <v>2374</v>
      </c>
      <c r="L182" s="20" t="s">
        <v>2375</v>
      </c>
      <c r="M182" s="5" t="s">
        <v>1756</v>
      </c>
      <c r="N182" s="20" t="s">
        <v>2376</v>
      </c>
      <c r="O182" s="0" t="n">
        <v>1</v>
      </c>
    </row>
    <row r="183" customFormat="false" ht="17.15" hidden="false" customHeight="false" outlineLevel="0" collapsed="false">
      <c r="A183" s="17" t="s">
        <v>2377</v>
      </c>
      <c r="B183" s="17" t="s">
        <v>1323</v>
      </c>
      <c r="C183" s="17" t="s">
        <v>532</v>
      </c>
      <c r="D183" s="17" t="s">
        <v>2226</v>
      </c>
      <c r="E183" s="17" t="s">
        <v>25</v>
      </c>
      <c r="F183" s="17" t="s">
        <v>1768</v>
      </c>
      <c r="G183" s="17" t="n">
        <v>30</v>
      </c>
      <c r="H183" s="17" t="s">
        <v>1897</v>
      </c>
      <c r="I183" s="17" t="s">
        <v>2378</v>
      </c>
      <c r="J183" s="17" t="s">
        <v>1953</v>
      </c>
      <c r="K183" s="17" t="s">
        <v>2379</v>
      </c>
      <c r="L183" s="17" t="s">
        <v>2380</v>
      </c>
      <c r="M183" s="18" t="s">
        <v>1902</v>
      </c>
      <c r="N183" s="17"/>
      <c r="O183" s="17" t="n">
        <v>0</v>
      </c>
    </row>
    <row r="184" customFormat="false" ht="17.15" hidden="false" customHeight="false" outlineLevel="0" collapsed="false">
      <c r="A184" s="17" t="s">
        <v>2381</v>
      </c>
      <c r="B184" s="17" t="s">
        <v>1323</v>
      </c>
      <c r="C184" s="17" t="s">
        <v>532</v>
      </c>
      <c r="D184" s="17" t="s">
        <v>2382</v>
      </c>
      <c r="E184" s="17" t="s">
        <v>24</v>
      </c>
      <c r="F184" s="17" t="s">
        <v>1768</v>
      </c>
      <c r="G184" s="17"/>
      <c r="H184" s="17" t="s">
        <v>1897</v>
      </c>
      <c r="I184" s="17" t="s">
        <v>2383</v>
      </c>
      <c r="J184" s="17" t="s">
        <v>1953</v>
      </c>
      <c r="K184" s="17" t="s">
        <v>2384</v>
      </c>
      <c r="L184" s="17" t="s">
        <v>2385</v>
      </c>
      <c r="M184" s="18" t="s">
        <v>1902</v>
      </c>
      <c r="N184" s="17" t="s">
        <v>2386</v>
      </c>
      <c r="O184" s="17" t="n">
        <v>0</v>
      </c>
    </row>
    <row r="185" customFormat="false" ht="17.15" hidden="false" customHeight="false" outlineLevel="0" collapsed="false">
      <c r="A185" s="0" t="s">
        <v>2387</v>
      </c>
      <c r="B185" s="0" t="s">
        <v>1323</v>
      </c>
      <c r="C185" s="0" t="s">
        <v>532</v>
      </c>
      <c r="D185" s="0" t="s">
        <v>2388</v>
      </c>
      <c r="E185" s="0" t="s">
        <v>25</v>
      </c>
      <c r="F185" s="0" t="s">
        <v>1768</v>
      </c>
      <c r="G185" s="9" t="n">
        <v>40</v>
      </c>
      <c r="H185" s="20" t="s">
        <v>1897</v>
      </c>
      <c r="I185" s="20" t="s">
        <v>2389</v>
      </c>
      <c r="J185" s="20" t="s">
        <v>1953</v>
      </c>
      <c r="K185" s="20" t="s">
        <v>2390</v>
      </c>
      <c r="L185" s="20" t="s">
        <v>2391</v>
      </c>
      <c r="M185" s="5" t="s">
        <v>1736</v>
      </c>
      <c r="O185" s="0" t="n">
        <v>1</v>
      </c>
    </row>
    <row r="186" customFormat="false" ht="17.15" hidden="false" customHeight="false" outlineLevel="0" collapsed="false">
      <c r="A186" s="17" t="s">
        <v>2392</v>
      </c>
      <c r="B186" s="17" t="s">
        <v>1324</v>
      </c>
      <c r="C186" s="17" t="s">
        <v>516</v>
      </c>
      <c r="D186" s="17" t="s">
        <v>2393</v>
      </c>
      <c r="E186" s="17" t="s">
        <v>24</v>
      </c>
      <c r="F186" s="17" t="s">
        <v>1738</v>
      </c>
      <c r="G186" s="17" t="n">
        <v>3.5</v>
      </c>
      <c r="H186" s="17" t="s">
        <v>1897</v>
      </c>
      <c r="I186" s="17" t="s">
        <v>2394</v>
      </c>
      <c r="J186" s="17" t="s">
        <v>1953</v>
      </c>
      <c r="K186" s="17" t="s">
        <v>2395</v>
      </c>
      <c r="L186" s="17" t="s">
        <v>2396</v>
      </c>
      <c r="M186" s="18" t="s">
        <v>1902</v>
      </c>
      <c r="N186" s="17"/>
      <c r="O186" s="17" t="n">
        <v>0</v>
      </c>
    </row>
    <row r="187" customFormat="false" ht="17.15" hidden="false" customHeight="false" outlineLevel="0" collapsed="false">
      <c r="A187" s="17" t="s">
        <v>2397</v>
      </c>
      <c r="B187" s="17" t="s">
        <v>1324</v>
      </c>
      <c r="C187" s="17" t="s">
        <v>516</v>
      </c>
      <c r="D187" s="17" t="s">
        <v>2398</v>
      </c>
      <c r="E187" s="17" t="s">
        <v>24</v>
      </c>
      <c r="F187" s="17" t="s">
        <v>1738</v>
      </c>
      <c r="G187" s="17" t="n">
        <v>13</v>
      </c>
      <c r="H187" s="17" t="s">
        <v>1897</v>
      </c>
      <c r="I187" s="17" t="s">
        <v>2399</v>
      </c>
      <c r="J187" s="17" t="s">
        <v>1953</v>
      </c>
      <c r="K187" s="17" t="s">
        <v>2395</v>
      </c>
      <c r="L187" s="17" t="s">
        <v>2400</v>
      </c>
      <c r="M187" s="18" t="s">
        <v>1902</v>
      </c>
      <c r="N187" s="17"/>
      <c r="O187" s="17" t="n">
        <v>0</v>
      </c>
    </row>
    <row r="188" customFormat="false" ht="17.15" hidden="false" customHeight="false" outlineLevel="0" collapsed="false">
      <c r="A188" s="0" t="s">
        <v>2401</v>
      </c>
      <c r="B188" s="0" t="s">
        <v>1324</v>
      </c>
      <c r="C188" s="0" t="s">
        <v>516</v>
      </c>
      <c r="D188" s="0" t="s">
        <v>2402</v>
      </c>
      <c r="E188" s="0" t="s">
        <v>25</v>
      </c>
      <c r="F188" s="0" t="s">
        <v>1738</v>
      </c>
      <c r="G188" s="9" t="n">
        <v>30</v>
      </c>
      <c r="H188" s="20" t="s">
        <v>1897</v>
      </c>
      <c r="I188" s="20" t="s">
        <v>2403</v>
      </c>
      <c r="J188" s="20" t="s">
        <v>1953</v>
      </c>
      <c r="K188" s="20" t="s">
        <v>2404</v>
      </c>
      <c r="L188" s="20" t="s">
        <v>2405</v>
      </c>
      <c r="M188" s="20" t="s">
        <v>1782</v>
      </c>
      <c r="O188" s="0" t="n">
        <v>1</v>
      </c>
    </row>
    <row r="189" customFormat="false" ht="17.15" hidden="false" customHeight="false" outlineLevel="0" collapsed="false">
      <c r="A189" s="0" t="s">
        <v>2406</v>
      </c>
      <c r="B189" s="0" t="s">
        <v>1324</v>
      </c>
      <c r="C189" s="0" t="s">
        <v>516</v>
      </c>
      <c r="D189" s="0" t="s">
        <v>2407</v>
      </c>
      <c r="E189" s="0" t="s">
        <v>25</v>
      </c>
      <c r="F189" s="0" t="s">
        <v>1738</v>
      </c>
      <c r="G189" s="9" t="n">
        <v>65</v>
      </c>
      <c r="H189" s="20" t="s">
        <v>1897</v>
      </c>
      <c r="I189" s="20" t="s">
        <v>2408</v>
      </c>
      <c r="J189" s="20" t="s">
        <v>1953</v>
      </c>
      <c r="K189" s="20" t="s">
        <v>2404</v>
      </c>
      <c r="L189" s="20" t="s">
        <v>2409</v>
      </c>
      <c r="M189" s="5" t="s">
        <v>1736</v>
      </c>
      <c r="O189" s="0" t="n">
        <v>1</v>
      </c>
    </row>
    <row r="190" customFormat="false" ht="17.15" hidden="false" customHeight="false" outlineLevel="0" collapsed="false">
      <c r="A190" s="17" t="s">
        <v>2410</v>
      </c>
      <c r="B190" s="17" t="s">
        <v>1324</v>
      </c>
      <c r="C190" s="17" t="s">
        <v>516</v>
      </c>
      <c r="D190" s="17" t="s">
        <v>2411</v>
      </c>
      <c r="E190" s="17" t="s">
        <v>24</v>
      </c>
      <c r="F190" s="17" t="s">
        <v>1768</v>
      </c>
      <c r="G190" s="17" t="n">
        <v>15</v>
      </c>
      <c r="H190" s="17" t="s">
        <v>1897</v>
      </c>
      <c r="I190" s="17" t="s">
        <v>2412</v>
      </c>
      <c r="J190" s="17" t="s">
        <v>1953</v>
      </c>
      <c r="K190" s="17" t="s">
        <v>2395</v>
      </c>
      <c r="L190" s="17" t="s">
        <v>2413</v>
      </c>
      <c r="M190" s="18" t="s">
        <v>1902</v>
      </c>
      <c r="N190" s="17"/>
      <c r="O190" s="17" t="n">
        <v>0</v>
      </c>
    </row>
    <row r="191" customFormat="false" ht="17.15" hidden="false" customHeight="false" outlineLevel="0" collapsed="false">
      <c r="A191" s="17" t="s">
        <v>2414</v>
      </c>
      <c r="B191" s="17" t="s">
        <v>1324</v>
      </c>
      <c r="C191" s="17" t="s">
        <v>516</v>
      </c>
      <c r="D191" s="17" t="s">
        <v>2415</v>
      </c>
      <c r="E191" s="17" t="s">
        <v>25</v>
      </c>
      <c r="F191" s="17" t="s">
        <v>2354</v>
      </c>
      <c r="G191" s="17" t="n">
        <v>15</v>
      </c>
      <c r="H191" s="17" t="s">
        <v>1897</v>
      </c>
      <c r="I191" s="18" t="s">
        <v>2416</v>
      </c>
      <c r="J191" s="17" t="s">
        <v>1953</v>
      </c>
      <c r="K191" s="17" t="s">
        <v>2417</v>
      </c>
      <c r="L191" s="17" t="s">
        <v>2418</v>
      </c>
      <c r="M191" s="18" t="s">
        <v>1902</v>
      </c>
      <c r="N191" s="17"/>
      <c r="O191" s="17" t="n">
        <v>0</v>
      </c>
    </row>
    <row r="192" customFormat="false" ht="17.15" hidden="false" customHeight="false" outlineLevel="0" collapsed="false">
      <c r="A192" s="0" t="s">
        <v>2419</v>
      </c>
      <c r="B192" s="0" t="s">
        <v>1324</v>
      </c>
      <c r="C192" s="0" t="s">
        <v>516</v>
      </c>
      <c r="D192" s="0" t="s">
        <v>2420</v>
      </c>
      <c r="E192" s="0" t="s">
        <v>25</v>
      </c>
      <c r="F192" s="0" t="s">
        <v>1784</v>
      </c>
      <c r="G192" s="9" t="n">
        <v>35</v>
      </c>
      <c r="H192" s="20" t="s">
        <v>1897</v>
      </c>
      <c r="I192" s="20" t="s">
        <v>2421</v>
      </c>
      <c r="J192" s="20" t="s">
        <v>1953</v>
      </c>
      <c r="K192" s="20" t="s">
        <v>2422</v>
      </c>
      <c r="L192" s="20" t="s">
        <v>2423</v>
      </c>
      <c r="M192" s="5" t="s">
        <v>1736</v>
      </c>
      <c r="O192" s="0" t="n">
        <v>1</v>
      </c>
    </row>
    <row r="193" customFormat="false" ht="17.15" hidden="false" customHeight="false" outlineLevel="0" collapsed="false">
      <c r="A193" s="0" t="s">
        <v>2424</v>
      </c>
      <c r="B193" s="0" t="s">
        <v>1324</v>
      </c>
      <c r="C193" s="0" t="s">
        <v>516</v>
      </c>
      <c r="D193" s="0" t="s">
        <v>1778</v>
      </c>
      <c r="E193" s="0" t="s">
        <v>25</v>
      </c>
      <c r="F193" s="0" t="s">
        <v>2425</v>
      </c>
      <c r="G193" s="9" t="n">
        <v>36</v>
      </c>
      <c r="H193" s="20" t="s">
        <v>1897</v>
      </c>
      <c r="I193" s="5" t="s">
        <v>2426</v>
      </c>
      <c r="J193" s="20" t="s">
        <v>1953</v>
      </c>
      <c r="K193" s="20" t="s">
        <v>2427</v>
      </c>
      <c r="L193" s="20" t="s">
        <v>2423</v>
      </c>
      <c r="M193" s="5" t="s">
        <v>1756</v>
      </c>
      <c r="N193" s="20" t="s">
        <v>2428</v>
      </c>
      <c r="O193" s="0" t="n">
        <v>1</v>
      </c>
    </row>
    <row r="194" customFormat="false" ht="17.15" hidden="false" customHeight="false" outlineLevel="0" collapsed="false">
      <c r="A194" s="0" t="s">
        <v>2429</v>
      </c>
      <c r="B194" s="0" t="s">
        <v>1324</v>
      </c>
      <c r="C194" s="0" t="s">
        <v>516</v>
      </c>
      <c r="D194" s="0" t="s">
        <v>2430</v>
      </c>
      <c r="E194" s="0" t="s">
        <v>25</v>
      </c>
      <c r="F194" s="0" t="s">
        <v>1768</v>
      </c>
      <c r="G194" s="9" t="n">
        <v>42</v>
      </c>
      <c r="H194" s="20" t="s">
        <v>1897</v>
      </c>
      <c r="I194" s="20" t="s">
        <v>2431</v>
      </c>
      <c r="J194" s="20" t="s">
        <v>1953</v>
      </c>
      <c r="K194" s="20" t="s">
        <v>2432</v>
      </c>
      <c r="L194" s="20" t="s">
        <v>2433</v>
      </c>
      <c r="M194" s="5" t="s">
        <v>1736</v>
      </c>
      <c r="O194" s="0" t="n">
        <v>1</v>
      </c>
    </row>
    <row r="195" customFormat="false" ht="17.15" hidden="false" customHeight="false" outlineLevel="0" collapsed="false">
      <c r="A195" s="17" t="s">
        <v>2434</v>
      </c>
      <c r="B195" s="17" t="s">
        <v>1324</v>
      </c>
      <c r="C195" s="17" t="s">
        <v>516</v>
      </c>
      <c r="D195" s="17" t="s">
        <v>2435</v>
      </c>
      <c r="E195" s="17" t="s">
        <v>25</v>
      </c>
      <c r="F195" s="17" t="s">
        <v>2177</v>
      </c>
      <c r="G195" s="17" t="n">
        <v>15</v>
      </c>
      <c r="H195" s="17" t="s">
        <v>1897</v>
      </c>
      <c r="I195" s="17" t="s">
        <v>2436</v>
      </c>
      <c r="J195" s="17" t="s">
        <v>1953</v>
      </c>
      <c r="K195" s="17" t="s">
        <v>2437</v>
      </c>
      <c r="L195" s="17" t="s">
        <v>2438</v>
      </c>
      <c r="M195" s="18" t="s">
        <v>1902</v>
      </c>
      <c r="N195" s="17"/>
      <c r="O195" s="17" t="n">
        <v>0</v>
      </c>
    </row>
    <row r="196" customFormat="false" ht="17.15" hidden="false" customHeight="false" outlineLevel="0" collapsed="false">
      <c r="A196" s="17" t="s">
        <v>2439</v>
      </c>
      <c r="B196" s="17" t="s">
        <v>1324</v>
      </c>
      <c r="C196" s="17" t="s">
        <v>516</v>
      </c>
      <c r="D196" s="17" t="s">
        <v>2440</v>
      </c>
      <c r="E196" s="17" t="s">
        <v>24</v>
      </c>
      <c r="F196" s="17" t="s">
        <v>2441</v>
      </c>
      <c r="G196" s="17" t="n">
        <v>50</v>
      </c>
      <c r="H196" s="17" t="s">
        <v>1897</v>
      </c>
      <c r="I196" s="18" t="s">
        <v>2442</v>
      </c>
      <c r="J196" s="17" t="s">
        <v>1953</v>
      </c>
      <c r="K196" s="17" t="s">
        <v>2395</v>
      </c>
      <c r="L196" s="17" t="s">
        <v>2443</v>
      </c>
      <c r="M196" s="18" t="s">
        <v>1902</v>
      </c>
      <c r="N196" s="17" t="s">
        <v>2444</v>
      </c>
      <c r="O196" s="17" t="n">
        <v>0</v>
      </c>
    </row>
    <row r="197" customFormat="false" ht="17.15" hidden="false" customHeight="false" outlineLevel="0" collapsed="false">
      <c r="A197" s="17" t="s">
        <v>2445</v>
      </c>
      <c r="B197" s="17" t="s">
        <v>1324</v>
      </c>
      <c r="C197" s="17" t="s">
        <v>516</v>
      </c>
      <c r="D197" s="17" t="s">
        <v>1720</v>
      </c>
      <c r="E197" s="17" t="s">
        <v>1958</v>
      </c>
      <c r="F197" s="17" t="s">
        <v>1750</v>
      </c>
      <c r="G197" s="17" t="n">
        <v>-5.6</v>
      </c>
      <c r="H197" s="17" t="s">
        <v>1897</v>
      </c>
      <c r="I197" s="17" t="s">
        <v>2446</v>
      </c>
      <c r="J197" s="17" t="s">
        <v>1953</v>
      </c>
      <c r="K197" s="17" t="s">
        <v>2447</v>
      </c>
      <c r="L197" s="17" t="s">
        <v>2448</v>
      </c>
      <c r="M197" s="18" t="s">
        <v>1902</v>
      </c>
      <c r="N197" s="17"/>
      <c r="O197" s="17" t="n">
        <v>0</v>
      </c>
    </row>
    <row r="198" customFormat="false" ht="17.15" hidden="false" customHeight="false" outlineLevel="0" collapsed="false">
      <c r="A198" s="17" t="s">
        <v>2449</v>
      </c>
      <c r="B198" s="17" t="s">
        <v>1324</v>
      </c>
      <c r="C198" s="17" t="s">
        <v>516</v>
      </c>
      <c r="D198" s="17" t="s">
        <v>2277</v>
      </c>
      <c r="E198" s="17" t="s">
        <v>24</v>
      </c>
      <c r="F198" s="17" t="s">
        <v>2450</v>
      </c>
      <c r="G198" s="17" t="n">
        <v>20.28</v>
      </c>
      <c r="H198" s="17" t="s">
        <v>1897</v>
      </c>
      <c r="I198" s="18" t="s">
        <v>2451</v>
      </c>
      <c r="J198" s="17" t="s">
        <v>1953</v>
      </c>
      <c r="K198" s="17" t="s">
        <v>2452</v>
      </c>
      <c r="L198" s="17" t="s">
        <v>2453</v>
      </c>
      <c r="M198" s="18" t="s">
        <v>1902</v>
      </c>
      <c r="N198" s="17" t="s">
        <v>2454</v>
      </c>
      <c r="O198" s="17" t="n">
        <v>0</v>
      </c>
    </row>
    <row r="199" customFormat="false" ht="17.15" hidden="false" customHeight="false" outlineLevel="0" collapsed="false">
      <c r="A199" s="17" t="s">
        <v>2455</v>
      </c>
      <c r="B199" s="17" t="s">
        <v>1324</v>
      </c>
      <c r="C199" s="17" t="s">
        <v>516</v>
      </c>
      <c r="D199" s="17" t="s">
        <v>2456</v>
      </c>
      <c r="E199" s="17" t="s">
        <v>25</v>
      </c>
      <c r="F199" s="17" t="s">
        <v>1750</v>
      </c>
      <c r="G199" s="17" t="n">
        <v>0</v>
      </c>
      <c r="H199" s="17" t="s">
        <v>1897</v>
      </c>
      <c r="I199" s="17" t="s">
        <v>2457</v>
      </c>
      <c r="J199" s="17" t="s">
        <v>1953</v>
      </c>
      <c r="K199" s="17" t="s">
        <v>2458</v>
      </c>
      <c r="L199" s="17" t="s">
        <v>2459</v>
      </c>
      <c r="M199" s="18" t="s">
        <v>1902</v>
      </c>
      <c r="N199" s="17"/>
      <c r="O199" s="17" t="n">
        <v>0</v>
      </c>
    </row>
    <row r="200" customFormat="false" ht="17.15" hidden="false" customHeight="false" outlineLevel="0" collapsed="false">
      <c r="A200" s="17" t="s">
        <v>2460</v>
      </c>
      <c r="B200" s="17" t="s">
        <v>1324</v>
      </c>
      <c r="C200" s="17" t="s">
        <v>516</v>
      </c>
      <c r="D200" s="17" t="s">
        <v>2461</v>
      </c>
      <c r="E200" s="17" t="s">
        <v>1958</v>
      </c>
      <c r="F200" s="17" t="s">
        <v>1738</v>
      </c>
      <c r="G200" s="17" t="n">
        <v>100</v>
      </c>
      <c r="H200" s="17" t="s">
        <v>1897</v>
      </c>
      <c r="I200" s="17" t="s">
        <v>2462</v>
      </c>
      <c r="J200" s="17" t="s">
        <v>1953</v>
      </c>
      <c r="K200" s="17" t="s">
        <v>2463</v>
      </c>
      <c r="L200" s="17" t="s">
        <v>2464</v>
      </c>
      <c r="M200" s="18" t="s">
        <v>1902</v>
      </c>
      <c r="N200" s="17"/>
      <c r="O200" s="17" t="n">
        <v>0</v>
      </c>
    </row>
    <row r="201" customFormat="false" ht="17.15" hidden="false" customHeight="false" outlineLevel="0" collapsed="false">
      <c r="A201" s="17" t="s">
        <v>2465</v>
      </c>
      <c r="B201" s="17" t="s">
        <v>1324</v>
      </c>
      <c r="C201" s="17" t="s">
        <v>516</v>
      </c>
      <c r="D201" s="17" t="s">
        <v>2466</v>
      </c>
      <c r="E201" s="17" t="s">
        <v>25</v>
      </c>
      <c r="F201" s="17" t="s">
        <v>1964</v>
      </c>
      <c r="G201" s="17" t="n">
        <v>15</v>
      </c>
      <c r="H201" s="17" t="s">
        <v>1897</v>
      </c>
      <c r="I201" s="18" t="s">
        <v>2467</v>
      </c>
      <c r="J201" s="17" t="s">
        <v>2468</v>
      </c>
      <c r="K201" s="17" t="s">
        <v>2469</v>
      </c>
      <c r="L201" s="17" t="s">
        <v>2470</v>
      </c>
      <c r="M201" s="17" t="s">
        <v>1969</v>
      </c>
      <c r="N201" s="17" t="s">
        <v>2471</v>
      </c>
      <c r="O201" s="17" t="n">
        <v>0</v>
      </c>
    </row>
    <row r="202" customFormat="false" ht="17.15" hidden="false" customHeight="false" outlineLevel="0" collapsed="false">
      <c r="A202" s="17" t="s">
        <v>2472</v>
      </c>
      <c r="B202" s="17" t="s">
        <v>2473</v>
      </c>
      <c r="C202" s="17" t="s">
        <v>536</v>
      </c>
      <c r="D202" s="17" t="s">
        <v>2474</v>
      </c>
      <c r="E202" s="17" t="s">
        <v>24</v>
      </c>
      <c r="F202" s="17" t="s">
        <v>2354</v>
      </c>
      <c r="G202" s="17" t="n">
        <v>5</v>
      </c>
      <c r="H202" s="17" t="s">
        <v>1897</v>
      </c>
      <c r="I202" s="18" t="s">
        <v>2475</v>
      </c>
      <c r="J202" s="17" t="s">
        <v>1953</v>
      </c>
      <c r="K202" s="17" t="s">
        <v>2476</v>
      </c>
      <c r="L202" s="17" t="s">
        <v>2477</v>
      </c>
      <c r="M202" s="18" t="s">
        <v>1902</v>
      </c>
      <c r="N202" s="17"/>
      <c r="O202" s="17" t="n">
        <v>0</v>
      </c>
    </row>
    <row r="203" customFormat="false" ht="17.15" hidden="false" customHeight="false" outlineLevel="0" collapsed="false">
      <c r="A203" s="17" t="s">
        <v>2478</v>
      </c>
      <c r="B203" s="17" t="s">
        <v>2473</v>
      </c>
      <c r="C203" s="17" t="s">
        <v>536</v>
      </c>
      <c r="D203" s="17" t="s">
        <v>2474</v>
      </c>
      <c r="E203" s="17" t="s">
        <v>24</v>
      </c>
      <c r="F203" s="17" t="s">
        <v>1738</v>
      </c>
      <c r="G203" s="17" t="n">
        <v>5</v>
      </c>
      <c r="H203" s="17" t="s">
        <v>1897</v>
      </c>
      <c r="I203" s="18" t="s">
        <v>2479</v>
      </c>
      <c r="J203" s="17" t="s">
        <v>1953</v>
      </c>
      <c r="K203" s="17" t="s">
        <v>2048</v>
      </c>
      <c r="L203" s="17" t="s">
        <v>2477</v>
      </c>
      <c r="M203" s="18" t="s">
        <v>1902</v>
      </c>
      <c r="N203" s="17"/>
      <c r="O203" s="17" t="n">
        <v>0</v>
      </c>
    </row>
    <row r="204" customFormat="false" ht="17.15" hidden="false" customHeight="false" outlineLevel="0" collapsed="false">
      <c r="A204" s="17" t="s">
        <v>2480</v>
      </c>
      <c r="B204" s="17" t="s">
        <v>2473</v>
      </c>
      <c r="C204" s="17" t="s">
        <v>536</v>
      </c>
      <c r="D204" s="17" t="s">
        <v>2338</v>
      </c>
      <c r="E204" s="17" t="s">
        <v>24</v>
      </c>
      <c r="F204" s="17" t="s">
        <v>1784</v>
      </c>
      <c r="G204" s="17" t="n">
        <v>12.5</v>
      </c>
      <c r="H204" s="17" t="s">
        <v>1897</v>
      </c>
      <c r="I204" s="18" t="s">
        <v>2481</v>
      </c>
      <c r="J204" s="17" t="s">
        <v>1953</v>
      </c>
      <c r="K204" s="17" t="s">
        <v>2482</v>
      </c>
      <c r="L204" s="17" t="s">
        <v>2483</v>
      </c>
      <c r="M204" s="18" t="s">
        <v>1902</v>
      </c>
      <c r="N204" s="17"/>
      <c r="O204" s="17" t="n">
        <v>0</v>
      </c>
    </row>
    <row r="205" customFormat="false" ht="17.15" hidden="false" customHeight="false" outlineLevel="0" collapsed="false">
      <c r="A205" s="17" t="s">
        <v>2484</v>
      </c>
      <c r="B205" s="17" t="s">
        <v>2473</v>
      </c>
      <c r="C205" s="17" t="s">
        <v>536</v>
      </c>
      <c r="D205" s="17" t="s">
        <v>2485</v>
      </c>
      <c r="E205" s="17" t="s">
        <v>25</v>
      </c>
      <c r="F205" s="17" t="s">
        <v>1738</v>
      </c>
      <c r="G205" s="17" t="n">
        <v>20</v>
      </c>
      <c r="H205" s="17" t="s">
        <v>1897</v>
      </c>
      <c r="I205" s="17" t="s">
        <v>2486</v>
      </c>
      <c r="J205" s="17" t="s">
        <v>1953</v>
      </c>
      <c r="K205" s="17" t="s">
        <v>2463</v>
      </c>
      <c r="L205" s="17" t="s">
        <v>2487</v>
      </c>
      <c r="M205" s="18" t="s">
        <v>1902</v>
      </c>
      <c r="N205" s="17"/>
      <c r="O205" s="17" t="n">
        <v>0</v>
      </c>
    </row>
    <row r="206" customFormat="false" ht="17.15" hidden="false" customHeight="false" outlineLevel="0" collapsed="false">
      <c r="A206" s="17" t="s">
        <v>2488</v>
      </c>
      <c r="B206" s="17" t="s">
        <v>2473</v>
      </c>
      <c r="C206" s="17" t="s">
        <v>536</v>
      </c>
      <c r="D206" s="17" t="s">
        <v>2226</v>
      </c>
      <c r="E206" s="17" t="s">
        <v>25</v>
      </c>
      <c r="F206" s="17" t="s">
        <v>2489</v>
      </c>
      <c r="G206" s="17" t="n">
        <v>250</v>
      </c>
      <c r="H206" s="17" t="s">
        <v>1897</v>
      </c>
      <c r="I206" s="17" t="s">
        <v>2490</v>
      </c>
      <c r="J206" s="17" t="s">
        <v>1953</v>
      </c>
      <c r="K206" s="17" t="s">
        <v>2491</v>
      </c>
      <c r="L206" s="17" t="s">
        <v>2492</v>
      </c>
      <c r="M206" s="18" t="s">
        <v>1902</v>
      </c>
      <c r="N206" s="17"/>
      <c r="O206" s="17" t="n">
        <v>0</v>
      </c>
    </row>
    <row r="207" customFormat="false" ht="17.15" hidden="false" customHeight="false" outlineLevel="0" collapsed="false">
      <c r="A207" s="0" t="s">
        <v>2493</v>
      </c>
      <c r="B207" s="0" t="s">
        <v>1726</v>
      </c>
      <c r="C207" s="0" t="s">
        <v>536</v>
      </c>
      <c r="D207" s="0" t="s">
        <v>1721</v>
      </c>
      <c r="E207" s="0" t="s">
        <v>24</v>
      </c>
      <c r="F207" s="0" t="s">
        <v>2494</v>
      </c>
      <c r="G207" s="9" t="n">
        <v>12.7</v>
      </c>
      <c r="H207" s="20" t="s">
        <v>1897</v>
      </c>
      <c r="I207" s="20" t="s">
        <v>2495</v>
      </c>
      <c r="J207" s="20" t="s">
        <v>1899</v>
      </c>
      <c r="K207" s="20" t="s">
        <v>2496</v>
      </c>
      <c r="L207" s="20" t="s">
        <v>2497</v>
      </c>
      <c r="M207" s="5" t="s">
        <v>1736</v>
      </c>
      <c r="O207" s="0" t="n">
        <v>1</v>
      </c>
    </row>
    <row r="208" customFormat="false" ht="17.15" hidden="false" customHeight="false" outlineLevel="0" collapsed="false">
      <c r="A208" s="0" t="s">
        <v>2498</v>
      </c>
      <c r="B208" s="0" t="s">
        <v>1726</v>
      </c>
      <c r="C208" s="0" t="s">
        <v>536</v>
      </c>
      <c r="D208" s="0" t="s">
        <v>1721</v>
      </c>
      <c r="E208" s="0" t="s">
        <v>24</v>
      </c>
      <c r="F208" s="0" t="s">
        <v>1744</v>
      </c>
      <c r="G208" s="9" t="n">
        <v>6.8</v>
      </c>
      <c r="H208" s="20" t="s">
        <v>1897</v>
      </c>
      <c r="I208" s="20" t="s">
        <v>2499</v>
      </c>
      <c r="J208" s="20" t="s">
        <v>1899</v>
      </c>
      <c r="K208" s="20" t="s">
        <v>2500</v>
      </c>
      <c r="L208" s="20" t="s">
        <v>2501</v>
      </c>
      <c r="M208" s="5" t="s">
        <v>1736</v>
      </c>
      <c r="O208" s="0" t="n">
        <v>1</v>
      </c>
    </row>
    <row r="209" customFormat="false" ht="17.15" hidden="false" customHeight="false" outlineLevel="0" collapsed="false">
      <c r="A209" s="0" t="s">
        <v>2502</v>
      </c>
      <c r="B209" s="0" t="s">
        <v>1726</v>
      </c>
      <c r="C209" s="0" t="s">
        <v>536</v>
      </c>
      <c r="D209" s="0" t="s">
        <v>1721</v>
      </c>
      <c r="E209" s="0" t="s">
        <v>24</v>
      </c>
      <c r="F209" s="0" t="s">
        <v>1747</v>
      </c>
      <c r="G209" s="9" t="n">
        <v>20.7</v>
      </c>
      <c r="H209" s="20" t="s">
        <v>1897</v>
      </c>
      <c r="I209" s="20" t="s">
        <v>2503</v>
      </c>
      <c r="J209" s="20" t="s">
        <v>1899</v>
      </c>
      <c r="K209" s="20" t="s">
        <v>2500</v>
      </c>
      <c r="L209" s="20" t="s">
        <v>2501</v>
      </c>
      <c r="M209" s="5" t="s">
        <v>1736</v>
      </c>
      <c r="O209" s="0" t="n">
        <v>1</v>
      </c>
    </row>
    <row r="210" customFormat="false" ht="17.15" hidden="false" customHeight="false" outlineLevel="0" collapsed="false">
      <c r="A210" s="0" t="s">
        <v>2504</v>
      </c>
      <c r="B210" s="0" t="s">
        <v>1726</v>
      </c>
      <c r="C210" s="0" t="s">
        <v>536</v>
      </c>
      <c r="D210" s="0" t="s">
        <v>1721</v>
      </c>
      <c r="E210" s="0" t="s">
        <v>24</v>
      </c>
      <c r="F210" s="0" t="s">
        <v>1750</v>
      </c>
      <c r="G210" s="9" t="n">
        <v>-13.9</v>
      </c>
      <c r="H210" s="20" t="s">
        <v>1897</v>
      </c>
      <c r="I210" s="20" t="s">
        <v>2505</v>
      </c>
      <c r="J210" s="20" t="s">
        <v>1909</v>
      </c>
      <c r="K210" s="20" t="s">
        <v>2506</v>
      </c>
      <c r="L210" s="20" t="s">
        <v>2501</v>
      </c>
      <c r="M210" s="5" t="s">
        <v>1736</v>
      </c>
      <c r="O210" s="0" t="n">
        <v>1</v>
      </c>
    </row>
    <row r="211" customFormat="false" ht="17.15" hidden="false" customHeight="false" outlineLevel="0" collapsed="false">
      <c r="A211" s="0" t="s">
        <v>2507</v>
      </c>
      <c r="B211" s="0" t="s">
        <v>1726</v>
      </c>
      <c r="C211" s="0" t="s">
        <v>536</v>
      </c>
      <c r="D211" s="0" t="s">
        <v>2098</v>
      </c>
      <c r="E211" s="0" t="s">
        <v>25</v>
      </c>
      <c r="F211" s="0" t="s">
        <v>2508</v>
      </c>
      <c r="G211" s="9" t="n">
        <v>20</v>
      </c>
      <c r="H211" s="20" t="s">
        <v>1897</v>
      </c>
      <c r="I211" s="20" t="s">
        <v>2509</v>
      </c>
      <c r="J211" s="20" t="s">
        <v>1899</v>
      </c>
      <c r="K211" s="20" t="s">
        <v>2510</v>
      </c>
      <c r="L211" s="20" t="s">
        <v>2501</v>
      </c>
      <c r="M211" s="5" t="s">
        <v>1756</v>
      </c>
      <c r="N211" s="20" t="s">
        <v>2511</v>
      </c>
      <c r="O211" s="0" t="n">
        <v>1</v>
      </c>
    </row>
    <row r="212" customFormat="false" ht="17.15" hidden="false" customHeight="false" outlineLevel="0" collapsed="false">
      <c r="A212" s="0" t="s">
        <v>2512</v>
      </c>
      <c r="B212" s="0" t="s">
        <v>1726</v>
      </c>
      <c r="C212" s="0" t="s">
        <v>536</v>
      </c>
      <c r="D212" s="0" t="s">
        <v>2513</v>
      </c>
      <c r="E212" s="0" t="s">
        <v>25</v>
      </c>
      <c r="F212" s="0" t="s">
        <v>1747</v>
      </c>
      <c r="G212" s="9" t="n">
        <v>10.1</v>
      </c>
      <c r="H212" s="20" t="s">
        <v>1897</v>
      </c>
      <c r="I212" s="5" t="s">
        <v>2514</v>
      </c>
      <c r="J212" s="20" t="s">
        <v>1899</v>
      </c>
      <c r="K212" s="20" t="s">
        <v>2506</v>
      </c>
      <c r="L212" s="20" t="s">
        <v>2501</v>
      </c>
      <c r="M212" s="5" t="s">
        <v>1736</v>
      </c>
      <c r="O212" s="0" t="n">
        <v>1</v>
      </c>
    </row>
    <row r="213" customFormat="false" ht="17.15" hidden="false" customHeight="false" outlineLevel="0" collapsed="false">
      <c r="A213" s="0" t="s">
        <v>2515</v>
      </c>
      <c r="B213" s="0" t="s">
        <v>1726</v>
      </c>
      <c r="C213" s="0" t="s">
        <v>536</v>
      </c>
      <c r="D213" s="0" t="s">
        <v>2516</v>
      </c>
      <c r="E213" s="0" t="s">
        <v>25</v>
      </c>
      <c r="F213" s="0" t="s">
        <v>1747</v>
      </c>
      <c r="G213" s="9" t="n">
        <v>18.4</v>
      </c>
      <c r="H213" s="20" t="s">
        <v>1897</v>
      </c>
      <c r="I213" s="5" t="s">
        <v>2517</v>
      </c>
      <c r="J213" s="20" t="s">
        <v>1953</v>
      </c>
      <c r="K213" s="20" t="s">
        <v>2518</v>
      </c>
      <c r="L213" s="20" t="s">
        <v>2519</v>
      </c>
      <c r="M213" s="5" t="s">
        <v>1736</v>
      </c>
      <c r="O213" s="0" t="n">
        <v>1</v>
      </c>
    </row>
    <row r="214" customFormat="false" ht="17.15" hidden="false" customHeight="false" outlineLevel="0" collapsed="false">
      <c r="A214" s="0" t="s">
        <v>2520</v>
      </c>
      <c r="B214" s="0" t="s">
        <v>1726</v>
      </c>
      <c r="C214" s="0" t="s">
        <v>536</v>
      </c>
      <c r="D214" s="0" t="s">
        <v>1725</v>
      </c>
      <c r="E214" s="0" t="s">
        <v>25</v>
      </c>
      <c r="F214" s="0" t="s">
        <v>1744</v>
      </c>
      <c r="G214" s="9" t="n">
        <v>3.47</v>
      </c>
      <c r="H214" s="20" t="s">
        <v>1897</v>
      </c>
      <c r="I214" s="5" t="s">
        <v>2521</v>
      </c>
      <c r="J214" s="20" t="s">
        <v>1953</v>
      </c>
      <c r="K214" s="20" t="s">
        <v>2522</v>
      </c>
      <c r="L214" s="20" t="s">
        <v>2523</v>
      </c>
      <c r="M214" s="5" t="s">
        <v>1736</v>
      </c>
      <c r="O214" s="0" t="n">
        <v>1</v>
      </c>
    </row>
    <row r="215" customFormat="false" ht="17.15" hidden="false" customHeight="false" outlineLevel="0" collapsed="false">
      <c r="A215" s="0" t="s">
        <v>2524</v>
      </c>
      <c r="B215" s="0" t="s">
        <v>1726</v>
      </c>
      <c r="C215" s="0" t="s">
        <v>536</v>
      </c>
      <c r="D215" s="0" t="s">
        <v>2525</v>
      </c>
      <c r="E215" s="0" t="s">
        <v>25</v>
      </c>
      <c r="F215" s="0" t="s">
        <v>1738</v>
      </c>
      <c r="G215" s="9" t="n">
        <v>75</v>
      </c>
      <c r="H215" s="20" t="s">
        <v>1897</v>
      </c>
      <c r="I215" s="20" t="s">
        <v>2526</v>
      </c>
      <c r="J215" s="20" t="s">
        <v>1953</v>
      </c>
      <c r="K215" s="20" t="s">
        <v>2527</v>
      </c>
      <c r="L215" s="20" t="s">
        <v>2528</v>
      </c>
      <c r="M215" s="5" t="s">
        <v>1736</v>
      </c>
      <c r="O215" s="0" t="n">
        <v>1</v>
      </c>
    </row>
    <row r="216" customFormat="false" ht="17.15" hidden="false" customHeight="false" outlineLevel="0" collapsed="false">
      <c r="A216" s="0" t="s">
        <v>2529</v>
      </c>
      <c r="B216" s="0" t="s">
        <v>1726</v>
      </c>
      <c r="C216" s="0" t="s">
        <v>536</v>
      </c>
      <c r="D216" s="0" t="s">
        <v>2420</v>
      </c>
      <c r="E216" s="0" t="s">
        <v>25</v>
      </c>
      <c r="F216" s="0" t="s">
        <v>1779</v>
      </c>
      <c r="G216" s="9" t="n">
        <v>25</v>
      </c>
      <c r="H216" s="20" t="s">
        <v>1897</v>
      </c>
      <c r="I216" s="5" t="s">
        <v>2530</v>
      </c>
      <c r="J216" s="20" t="s">
        <v>1953</v>
      </c>
      <c r="K216" s="20" t="s">
        <v>2518</v>
      </c>
      <c r="L216" s="20" t="s">
        <v>2519</v>
      </c>
      <c r="M216" s="5" t="s">
        <v>1736</v>
      </c>
      <c r="O216" s="0" t="n">
        <v>1</v>
      </c>
    </row>
    <row r="217" customFormat="false" ht="17.15" hidden="false" customHeight="false" outlineLevel="0" collapsed="false">
      <c r="A217" s="17" t="s">
        <v>2531</v>
      </c>
      <c r="B217" s="17" t="s">
        <v>2532</v>
      </c>
      <c r="C217" s="17"/>
      <c r="D217" s="17" t="s">
        <v>2338</v>
      </c>
      <c r="E217" s="17" t="s">
        <v>2533</v>
      </c>
      <c r="F217" s="17" t="s">
        <v>1738</v>
      </c>
      <c r="G217" s="17" t="n">
        <v>1.375</v>
      </c>
      <c r="H217" s="17" t="s">
        <v>1897</v>
      </c>
      <c r="I217" s="17" t="s">
        <v>2534</v>
      </c>
      <c r="J217" s="17" t="s">
        <v>2535</v>
      </c>
      <c r="K217" s="17" t="s">
        <v>2536</v>
      </c>
      <c r="L217" s="17" t="s">
        <v>2537</v>
      </c>
      <c r="M217" s="18" t="s">
        <v>1902</v>
      </c>
      <c r="N217" s="17" t="s">
        <v>2538</v>
      </c>
      <c r="O217" s="17" t="n">
        <v>0</v>
      </c>
    </row>
    <row r="218" customFormat="false" ht="17.15" hidden="false" customHeight="false" outlineLevel="0" collapsed="false">
      <c r="A218" s="17" t="s">
        <v>2539</v>
      </c>
      <c r="B218" s="17" t="s">
        <v>2532</v>
      </c>
      <c r="C218" s="17"/>
      <c r="D218" s="17" t="s">
        <v>2540</v>
      </c>
      <c r="E218" s="17" t="s">
        <v>2533</v>
      </c>
      <c r="F218" s="17" t="s">
        <v>1738</v>
      </c>
      <c r="G218" s="17" t="n">
        <v>3</v>
      </c>
      <c r="H218" s="17" t="s">
        <v>1897</v>
      </c>
      <c r="I218" s="17" t="s">
        <v>2541</v>
      </c>
      <c r="J218" s="17" t="s">
        <v>1953</v>
      </c>
      <c r="K218" s="17" t="s">
        <v>2335</v>
      </c>
      <c r="L218" s="17" t="s">
        <v>2542</v>
      </c>
      <c r="M218" s="18" t="s">
        <v>1902</v>
      </c>
      <c r="N218" s="17"/>
      <c r="O218" s="17" t="n">
        <v>0</v>
      </c>
    </row>
    <row r="219" customFormat="false" ht="17.15" hidden="false" customHeight="false" outlineLevel="0" collapsed="false">
      <c r="A219" s="0" t="s">
        <v>2543</v>
      </c>
      <c r="B219" s="0" t="s">
        <v>2544</v>
      </c>
      <c r="D219" s="0" t="s">
        <v>2545</v>
      </c>
      <c r="E219" s="0" t="s">
        <v>2533</v>
      </c>
      <c r="F219" s="0" t="s">
        <v>1738</v>
      </c>
      <c r="G219" s="9" t="n">
        <v>2</v>
      </c>
      <c r="H219" s="20" t="s">
        <v>1897</v>
      </c>
      <c r="I219" s="20" t="s">
        <v>2546</v>
      </c>
      <c r="J219" s="20" t="s">
        <v>1953</v>
      </c>
      <c r="K219" s="20" t="s">
        <v>2547</v>
      </c>
      <c r="L219" s="20" t="s">
        <v>2548</v>
      </c>
      <c r="M219" s="5" t="s">
        <v>1736</v>
      </c>
      <c r="O219" s="0" t="n">
        <v>1</v>
      </c>
    </row>
    <row r="220" customFormat="false" ht="17.15" hidden="false" customHeight="false" outlineLevel="0" collapsed="false">
      <c r="A220" s="0" t="s">
        <v>2549</v>
      </c>
      <c r="B220" s="0" t="s">
        <v>2544</v>
      </c>
      <c r="D220" s="0" t="s">
        <v>2226</v>
      </c>
      <c r="E220" s="0" t="s">
        <v>2533</v>
      </c>
      <c r="F220" s="0" t="s">
        <v>1784</v>
      </c>
      <c r="G220" s="9" t="n">
        <v>1.4</v>
      </c>
      <c r="H220" s="20" t="s">
        <v>1897</v>
      </c>
      <c r="I220" s="20" t="s">
        <v>2550</v>
      </c>
      <c r="J220" s="20" t="s">
        <v>1953</v>
      </c>
      <c r="K220" s="20" t="s">
        <v>2547</v>
      </c>
      <c r="L220" s="20" t="s">
        <v>2548</v>
      </c>
      <c r="M220" s="5" t="s">
        <v>1736</v>
      </c>
      <c r="O220" s="0" t="n">
        <v>1</v>
      </c>
    </row>
    <row r="221" customFormat="false" ht="17.15" hidden="false" customHeight="false" outlineLevel="0" collapsed="false">
      <c r="A221" s="17" t="s">
        <v>2551</v>
      </c>
      <c r="B221" s="17" t="s">
        <v>2552</v>
      </c>
      <c r="C221" s="17"/>
      <c r="D221" s="17" t="s">
        <v>1778</v>
      </c>
      <c r="E221" s="17" t="s">
        <v>2533</v>
      </c>
      <c r="F221" s="17" t="s">
        <v>1784</v>
      </c>
      <c r="G221" s="17" t="n">
        <v>1.926</v>
      </c>
      <c r="H221" s="17" t="s">
        <v>1897</v>
      </c>
      <c r="I221" s="18" t="s">
        <v>2553</v>
      </c>
      <c r="J221" s="17" t="s">
        <v>1953</v>
      </c>
      <c r="K221" s="17" t="s">
        <v>2554</v>
      </c>
      <c r="L221" s="17" t="s">
        <v>2555</v>
      </c>
      <c r="M221" s="18" t="s">
        <v>1902</v>
      </c>
      <c r="N221" s="17"/>
      <c r="O221" s="17" t="n">
        <v>0</v>
      </c>
    </row>
    <row r="222" customFormat="false" ht="17.15" hidden="false" customHeight="false" outlineLevel="0" collapsed="false">
      <c r="A222" s="0" t="s">
        <v>2556</v>
      </c>
      <c r="B222" s="0" t="s">
        <v>2557</v>
      </c>
      <c r="D222" s="0" t="s">
        <v>2558</v>
      </c>
      <c r="E222" s="0" t="s">
        <v>2533</v>
      </c>
      <c r="F222" s="0" t="s">
        <v>1784</v>
      </c>
      <c r="G222" s="9" t="n">
        <v>3.6</v>
      </c>
      <c r="H222" s="20" t="s">
        <v>1897</v>
      </c>
      <c r="I222" s="5" t="s">
        <v>2559</v>
      </c>
      <c r="J222" s="20" t="s">
        <v>1953</v>
      </c>
      <c r="K222" s="20" t="s">
        <v>2560</v>
      </c>
      <c r="L222" s="20" t="s">
        <v>2561</v>
      </c>
      <c r="M222" s="5" t="s">
        <v>1736</v>
      </c>
      <c r="O222" s="0" t="n">
        <v>1</v>
      </c>
    </row>
    <row r="223" customFormat="false" ht="17.15" hidden="false" customHeight="false" outlineLevel="0" collapsed="false">
      <c r="A223" s="17" t="s">
        <v>2562</v>
      </c>
      <c r="B223" s="17" t="s">
        <v>2557</v>
      </c>
      <c r="C223" s="17"/>
      <c r="D223" s="17" t="s">
        <v>1963</v>
      </c>
      <c r="E223" s="17" t="s">
        <v>2533</v>
      </c>
      <c r="F223" s="17" t="s">
        <v>2563</v>
      </c>
      <c r="G223" s="17" t="n">
        <v>9.7</v>
      </c>
      <c r="H223" s="17" t="s">
        <v>1897</v>
      </c>
      <c r="I223" s="17" t="s">
        <v>2564</v>
      </c>
      <c r="J223" s="17" t="s">
        <v>1953</v>
      </c>
      <c r="K223" s="17" t="s">
        <v>2565</v>
      </c>
      <c r="L223" s="17" t="s">
        <v>1968</v>
      </c>
      <c r="M223" s="18" t="s">
        <v>1902</v>
      </c>
      <c r="N223" s="17" t="s">
        <v>2566</v>
      </c>
      <c r="O223" s="17" t="n">
        <v>0</v>
      </c>
    </row>
    <row r="224" customFormat="false" ht="17.15" hidden="false" customHeight="false" outlineLevel="0" collapsed="false">
      <c r="A224" s="17" t="s">
        <v>2567</v>
      </c>
      <c r="B224" s="17" t="s">
        <v>2568</v>
      </c>
      <c r="C224" s="17"/>
      <c r="D224" s="17" t="s">
        <v>2569</v>
      </c>
      <c r="E224" s="17" t="s">
        <v>2533</v>
      </c>
      <c r="F224" s="17" t="s">
        <v>2570</v>
      </c>
      <c r="G224" s="17" t="n">
        <v>43.364</v>
      </c>
      <c r="H224" s="17" t="s">
        <v>1897</v>
      </c>
      <c r="I224" s="18" t="s">
        <v>2571</v>
      </c>
      <c r="J224" s="17" t="s">
        <v>1899</v>
      </c>
      <c r="K224" s="17" t="s">
        <v>2572</v>
      </c>
      <c r="L224" s="17" t="s">
        <v>2573</v>
      </c>
      <c r="M224" s="17" t="s">
        <v>1969</v>
      </c>
      <c r="N224" s="17" t="s">
        <v>2574</v>
      </c>
      <c r="O224" s="17" t="n">
        <v>0</v>
      </c>
    </row>
    <row r="225" customFormat="false" ht="17.15" hidden="false" customHeight="false" outlineLevel="0" collapsed="false">
      <c r="A225" s="0" t="s">
        <v>2575</v>
      </c>
      <c r="B225" s="0" t="s">
        <v>2576</v>
      </c>
      <c r="D225" s="0" t="s">
        <v>2569</v>
      </c>
      <c r="E225" s="0" t="s">
        <v>2533</v>
      </c>
      <c r="F225" s="0" t="s">
        <v>1768</v>
      </c>
      <c r="G225" s="9" t="n">
        <v>27</v>
      </c>
      <c r="H225" s="20" t="s">
        <v>1897</v>
      </c>
      <c r="I225" s="5" t="s">
        <v>2577</v>
      </c>
      <c r="J225" s="20" t="s">
        <v>1899</v>
      </c>
      <c r="K225" s="20" t="s">
        <v>2578</v>
      </c>
      <c r="L225" s="20" t="s">
        <v>2573</v>
      </c>
      <c r="M225" s="5" t="s">
        <v>1736</v>
      </c>
      <c r="O225" s="0" t="n">
        <v>1</v>
      </c>
    </row>
    <row r="226" customFormat="false" ht="17.15" hidden="false" customHeight="false" outlineLevel="0" collapsed="false">
      <c r="A226" s="0" t="s">
        <v>2579</v>
      </c>
      <c r="B226" s="0" t="s">
        <v>2576</v>
      </c>
      <c r="D226" s="0" t="s">
        <v>2569</v>
      </c>
      <c r="E226" s="0" t="s">
        <v>2533</v>
      </c>
      <c r="F226" s="0" t="s">
        <v>2177</v>
      </c>
      <c r="G226" s="9" t="n">
        <v>3.5</v>
      </c>
      <c r="H226" s="20" t="s">
        <v>1897</v>
      </c>
      <c r="I226" s="5" t="s">
        <v>2580</v>
      </c>
      <c r="J226" s="20" t="s">
        <v>1899</v>
      </c>
      <c r="K226" s="20" t="s">
        <v>2578</v>
      </c>
      <c r="L226" s="20" t="s">
        <v>2573</v>
      </c>
      <c r="M226" s="5" t="s">
        <v>1736</v>
      </c>
      <c r="O226" s="0" t="n">
        <v>1</v>
      </c>
    </row>
    <row r="227" customFormat="false" ht="17.15" hidden="false" customHeight="false" outlineLevel="0" collapsed="false">
      <c r="A227" s="0" t="s">
        <v>2581</v>
      </c>
      <c r="B227" s="0" t="s">
        <v>2576</v>
      </c>
      <c r="D227" s="0" t="s">
        <v>2569</v>
      </c>
      <c r="E227" s="0" t="s">
        <v>2533</v>
      </c>
      <c r="F227" s="0" t="s">
        <v>1768</v>
      </c>
      <c r="G227" s="9" t="n">
        <v>30</v>
      </c>
      <c r="H227" s="20" t="s">
        <v>1897</v>
      </c>
      <c r="I227" s="5" t="s">
        <v>2582</v>
      </c>
      <c r="J227" s="20" t="s">
        <v>1899</v>
      </c>
      <c r="K227" s="20" t="s">
        <v>2578</v>
      </c>
      <c r="L227" s="20" t="s">
        <v>2573</v>
      </c>
      <c r="M227" s="5" t="s">
        <v>1736</v>
      </c>
      <c r="O227" s="0" t="n">
        <v>1</v>
      </c>
    </row>
    <row r="228" customFormat="false" ht="17.15" hidden="false" customHeight="false" outlineLevel="0" collapsed="false">
      <c r="A228" s="17" t="s">
        <v>2583</v>
      </c>
      <c r="B228" s="17" t="s">
        <v>2568</v>
      </c>
      <c r="C228" s="17"/>
      <c r="D228" s="17" t="s">
        <v>2584</v>
      </c>
      <c r="E228" s="17" t="s">
        <v>2533</v>
      </c>
      <c r="F228" s="17" t="s">
        <v>2570</v>
      </c>
      <c r="G228" s="17" t="n">
        <v>51.157</v>
      </c>
      <c r="H228" s="17" t="s">
        <v>1897</v>
      </c>
      <c r="I228" s="18" t="s">
        <v>2585</v>
      </c>
      <c r="J228" s="17" t="s">
        <v>1953</v>
      </c>
      <c r="K228" s="17" t="s">
        <v>2586</v>
      </c>
      <c r="L228" s="17" t="s">
        <v>2587</v>
      </c>
      <c r="M228" s="18" t="s">
        <v>1902</v>
      </c>
      <c r="N228" s="17" t="s">
        <v>2588</v>
      </c>
      <c r="O228" s="17" t="n">
        <v>0</v>
      </c>
    </row>
    <row r="229" customFormat="false" ht="17.15" hidden="false" customHeight="false" outlineLevel="0" collapsed="false">
      <c r="A229" s="0" t="s">
        <v>2589</v>
      </c>
      <c r="B229" s="5" t="s">
        <v>2590</v>
      </c>
      <c r="D229" s="0" t="s">
        <v>2591</v>
      </c>
      <c r="E229" s="0" t="s">
        <v>2533</v>
      </c>
      <c r="F229" s="0" t="s">
        <v>1779</v>
      </c>
      <c r="G229" s="9" t="n">
        <v>194</v>
      </c>
      <c r="H229" s="20" t="s">
        <v>1897</v>
      </c>
      <c r="I229" s="20" t="s">
        <v>2592</v>
      </c>
      <c r="J229" s="20" t="s">
        <v>1953</v>
      </c>
      <c r="K229" s="20" t="s">
        <v>2593</v>
      </c>
      <c r="L229" s="20" t="s">
        <v>2594</v>
      </c>
      <c r="M229" s="5" t="s">
        <v>1736</v>
      </c>
      <c r="O229" s="0" t="n">
        <v>1</v>
      </c>
    </row>
    <row r="230" customFormat="false" ht="17.15" hidden="false" customHeight="false" outlineLevel="0" collapsed="false">
      <c r="A230" s="0" t="s">
        <v>1793</v>
      </c>
      <c r="B230" s="0" t="s">
        <v>1715</v>
      </c>
      <c r="C230" s="0" t="s">
        <v>507</v>
      </c>
      <c r="D230" s="0" t="s">
        <v>1743</v>
      </c>
      <c r="E230" s="0" t="s">
        <v>1958</v>
      </c>
      <c r="F230" s="0" t="s">
        <v>1744</v>
      </c>
      <c r="G230" s="9" t="n">
        <v>58</v>
      </c>
      <c r="H230" s="20" t="s">
        <v>1897</v>
      </c>
      <c r="I230" s="5" t="s">
        <v>1792</v>
      </c>
      <c r="J230" s="20" t="s">
        <v>1899</v>
      </c>
      <c r="K230" s="20" t="s">
        <v>2595</v>
      </c>
      <c r="L230" s="20" t="s">
        <v>2596</v>
      </c>
      <c r="M230" s="20" t="s">
        <v>1794</v>
      </c>
      <c r="O230" s="0" t="n">
        <v>1</v>
      </c>
    </row>
    <row r="231" customFormat="false" ht="17.15" hidden="false" customHeight="false" outlineLevel="0" collapsed="false">
      <c r="A231" s="0" t="s">
        <v>1796</v>
      </c>
      <c r="B231" s="0" t="s">
        <v>1715</v>
      </c>
      <c r="C231" s="0" t="s">
        <v>507</v>
      </c>
      <c r="D231" s="0" t="s">
        <v>1743</v>
      </c>
      <c r="E231" s="0" t="s">
        <v>1958</v>
      </c>
      <c r="F231" s="0" t="s">
        <v>1747</v>
      </c>
      <c r="G231" s="9" t="n">
        <v>39.367</v>
      </c>
      <c r="H231" s="20" t="s">
        <v>1897</v>
      </c>
      <c r="I231" s="20" t="s">
        <v>1795</v>
      </c>
      <c r="J231" s="20" t="s">
        <v>1899</v>
      </c>
      <c r="K231" s="20" t="s">
        <v>2595</v>
      </c>
      <c r="L231" s="20" t="s">
        <v>2596</v>
      </c>
      <c r="M231" s="20" t="s">
        <v>1794</v>
      </c>
      <c r="O231" s="0" t="n">
        <v>1</v>
      </c>
    </row>
    <row r="232" customFormat="false" ht="17.15" hidden="false" customHeight="false" outlineLevel="0" collapsed="false">
      <c r="A232" s="0" t="s">
        <v>1799</v>
      </c>
      <c r="B232" s="0" t="s">
        <v>1715</v>
      </c>
      <c r="C232" s="0" t="s">
        <v>507</v>
      </c>
      <c r="D232" s="0" t="s">
        <v>1743</v>
      </c>
      <c r="E232" s="0" t="s">
        <v>1958</v>
      </c>
      <c r="F232" s="0" t="s">
        <v>1797</v>
      </c>
      <c r="G232" s="9" t="n">
        <v>5.192</v>
      </c>
      <c r="H232" s="20" t="s">
        <v>1897</v>
      </c>
      <c r="I232" s="5" t="s">
        <v>1798</v>
      </c>
      <c r="J232" s="20" t="s">
        <v>1899</v>
      </c>
      <c r="K232" s="20" t="s">
        <v>2595</v>
      </c>
      <c r="L232" s="20" t="s">
        <v>2596</v>
      </c>
      <c r="M232" s="20" t="s">
        <v>1794</v>
      </c>
      <c r="O232" s="0" t="n">
        <v>1</v>
      </c>
    </row>
    <row r="233" customFormat="false" ht="17.15" hidden="false" customHeight="false" outlineLevel="0" collapsed="false">
      <c r="A233" s="0" t="s">
        <v>1801</v>
      </c>
      <c r="B233" s="0" t="s">
        <v>1715</v>
      </c>
      <c r="C233" s="0" t="s">
        <v>507</v>
      </c>
      <c r="D233" s="0" t="s">
        <v>1743</v>
      </c>
      <c r="E233" s="0" t="s">
        <v>1958</v>
      </c>
      <c r="F233" s="0" t="s">
        <v>1733</v>
      </c>
      <c r="G233" s="9" t="n">
        <v>45.2</v>
      </c>
      <c r="H233" s="20" t="s">
        <v>1897</v>
      </c>
      <c r="I233" s="5" t="s">
        <v>1800</v>
      </c>
      <c r="J233" s="20" t="s">
        <v>1953</v>
      </c>
      <c r="K233" s="20" t="s">
        <v>2597</v>
      </c>
      <c r="L233" s="20" t="s">
        <v>2598</v>
      </c>
      <c r="M233" s="20" t="s">
        <v>1794</v>
      </c>
      <c r="O233" s="0" t="n">
        <v>1</v>
      </c>
    </row>
    <row r="234" customFormat="false" ht="17.15" hidden="false" customHeight="false" outlineLevel="0" collapsed="false">
      <c r="A234" s="0" t="s">
        <v>1803</v>
      </c>
      <c r="B234" s="0" t="s">
        <v>1715</v>
      </c>
      <c r="C234" s="0" t="s">
        <v>507</v>
      </c>
      <c r="D234" s="0" t="s">
        <v>1743</v>
      </c>
      <c r="E234" s="0" t="s">
        <v>1958</v>
      </c>
      <c r="F234" s="0" t="s">
        <v>1750</v>
      </c>
      <c r="G234" s="9" t="n">
        <v>18.633</v>
      </c>
      <c r="H234" s="20" t="s">
        <v>1897</v>
      </c>
      <c r="I234" s="5" t="s">
        <v>1802</v>
      </c>
      <c r="J234" s="20" t="s">
        <v>1909</v>
      </c>
      <c r="K234" s="20" t="s">
        <v>2595</v>
      </c>
      <c r="L234" s="20" t="s">
        <v>2596</v>
      </c>
      <c r="M234" s="20" t="s">
        <v>1794</v>
      </c>
      <c r="O234" s="0" t="n">
        <v>1</v>
      </c>
    </row>
    <row r="235" customFormat="false" ht="17.15" hidden="false" customHeight="false" outlineLevel="0" collapsed="false">
      <c r="A235" s="0" t="s">
        <v>1806</v>
      </c>
      <c r="B235" s="0" t="s">
        <v>1715</v>
      </c>
      <c r="C235" s="0" t="s">
        <v>507</v>
      </c>
      <c r="D235" s="0" t="s">
        <v>1743</v>
      </c>
      <c r="E235" s="0" t="s">
        <v>1958</v>
      </c>
      <c r="F235" s="0" t="s">
        <v>1804</v>
      </c>
      <c r="G235" s="9" t="n">
        <v>11.136</v>
      </c>
      <c r="H235" s="20" t="s">
        <v>1897</v>
      </c>
      <c r="I235" s="5" t="s">
        <v>1805</v>
      </c>
      <c r="J235" s="20" t="s">
        <v>1899</v>
      </c>
      <c r="K235" s="20" t="s">
        <v>2595</v>
      </c>
      <c r="L235" s="20" t="s">
        <v>2596</v>
      </c>
      <c r="M235" s="20" t="s">
        <v>1794</v>
      </c>
      <c r="O235" s="0" t="n">
        <v>1</v>
      </c>
    </row>
    <row r="236" customFormat="false" ht="17.15" hidden="false" customHeight="false" outlineLevel="0" collapsed="false">
      <c r="A236" s="0" t="s">
        <v>1808</v>
      </c>
      <c r="B236" s="0" t="s">
        <v>1715</v>
      </c>
      <c r="C236" s="0" t="s">
        <v>507</v>
      </c>
      <c r="D236" s="0" t="s">
        <v>1743</v>
      </c>
      <c r="E236" s="0" t="s">
        <v>1958</v>
      </c>
      <c r="F236" s="0" t="s">
        <v>1779</v>
      </c>
      <c r="G236" s="9" t="n">
        <v>0</v>
      </c>
      <c r="H236" s="20" t="s">
        <v>1897</v>
      </c>
      <c r="I236" s="5" t="s">
        <v>1807</v>
      </c>
      <c r="J236" s="20" t="s">
        <v>1899</v>
      </c>
      <c r="K236" s="20" t="s">
        <v>2595</v>
      </c>
      <c r="L236" s="20" t="s">
        <v>2596</v>
      </c>
      <c r="M236" s="20" t="s">
        <v>1794</v>
      </c>
      <c r="O236" s="0" t="n">
        <v>1</v>
      </c>
    </row>
    <row r="237" customFormat="false" ht="17.15" hidden="false" customHeight="false" outlineLevel="0" collapsed="false">
      <c r="A237" s="0" t="s">
        <v>1811</v>
      </c>
      <c r="B237" s="0" t="s">
        <v>1715</v>
      </c>
      <c r="C237" s="0" t="s">
        <v>507</v>
      </c>
      <c r="D237" s="0" t="s">
        <v>1809</v>
      </c>
      <c r="E237" s="0" t="s">
        <v>1958</v>
      </c>
      <c r="F237" s="0" t="s">
        <v>1762</v>
      </c>
      <c r="G237" s="9" t="n">
        <v>364.6</v>
      </c>
      <c r="H237" s="20" t="s">
        <v>1897</v>
      </c>
      <c r="I237" s="5" t="s">
        <v>1810</v>
      </c>
      <c r="J237" s="20" t="s">
        <v>1899</v>
      </c>
      <c r="K237" s="20" t="s">
        <v>2595</v>
      </c>
      <c r="L237" s="20" t="s">
        <v>2596</v>
      </c>
      <c r="M237" s="20" t="s">
        <v>1794</v>
      </c>
      <c r="O237" s="0" t="n">
        <v>1</v>
      </c>
    </row>
    <row r="238" customFormat="false" ht="17.15" hidden="false" customHeight="false" outlineLevel="0" collapsed="false">
      <c r="A238" s="0" t="s">
        <v>1814</v>
      </c>
      <c r="B238" s="0" t="s">
        <v>1715</v>
      </c>
      <c r="C238" s="0" t="s">
        <v>507</v>
      </c>
      <c r="D238" s="0" t="s">
        <v>1809</v>
      </c>
      <c r="E238" s="0" t="s">
        <v>1958</v>
      </c>
      <c r="F238" s="0" t="s">
        <v>1812</v>
      </c>
      <c r="G238" s="9" t="n">
        <v>70.973</v>
      </c>
      <c r="H238" s="20" t="s">
        <v>1897</v>
      </c>
      <c r="I238" s="5" t="s">
        <v>1813</v>
      </c>
      <c r="J238" s="20" t="s">
        <v>1899</v>
      </c>
      <c r="K238" s="20" t="s">
        <v>2595</v>
      </c>
      <c r="L238" s="20" t="s">
        <v>2596</v>
      </c>
      <c r="M238" s="20" t="s">
        <v>1794</v>
      </c>
      <c r="O238" s="0" t="n">
        <v>1</v>
      </c>
    </row>
    <row r="239" customFormat="false" ht="17.15" hidden="false" customHeight="false" outlineLevel="0" collapsed="false">
      <c r="A239" s="0" t="s">
        <v>1816</v>
      </c>
      <c r="B239" s="0" t="s">
        <v>1715</v>
      </c>
      <c r="C239" s="0" t="s">
        <v>507</v>
      </c>
      <c r="D239" s="0" t="s">
        <v>1732</v>
      </c>
      <c r="E239" s="0" t="s">
        <v>1951</v>
      </c>
      <c r="F239" s="0" t="s">
        <v>1733</v>
      </c>
      <c r="G239" s="9" t="n">
        <v>170</v>
      </c>
      <c r="H239" s="20" t="s">
        <v>1897</v>
      </c>
      <c r="I239" s="5" t="s">
        <v>1815</v>
      </c>
      <c r="J239" s="20" t="s">
        <v>1953</v>
      </c>
      <c r="K239" s="20" t="s">
        <v>2597</v>
      </c>
      <c r="L239" s="20" t="s">
        <v>2598</v>
      </c>
      <c r="M239" s="20" t="s">
        <v>1794</v>
      </c>
      <c r="O239" s="0" t="n">
        <v>1</v>
      </c>
    </row>
    <row r="240" customFormat="false" ht="17.15" hidden="false" customHeight="false" outlineLevel="0" collapsed="false">
      <c r="A240" s="0" t="s">
        <v>1819</v>
      </c>
      <c r="B240" s="0" t="s">
        <v>1715</v>
      </c>
      <c r="C240" s="0" t="s">
        <v>507</v>
      </c>
      <c r="D240" s="0" t="s">
        <v>1817</v>
      </c>
      <c r="E240" s="0" t="s">
        <v>1958</v>
      </c>
      <c r="F240" s="0" t="s">
        <v>1733</v>
      </c>
      <c r="G240" s="9" t="n">
        <v>50</v>
      </c>
      <c r="H240" s="20" t="s">
        <v>1897</v>
      </c>
      <c r="I240" s="5" t="s">
        <v>1818</v>
      </c>
      <c r="J240" s="20" t="s">
        <v>1953</v>
      </c>
      <c r="K240" s="20" t="s">
        <v>2597</v>
      </c>
      <c r="L240" s="20" t="s">
        <v>2598</v>
      </c>
      <c r="M240" s="20" t="s">
        <v>1794</v>
      </c>
      <c r="O240" s="0" t="n">
        <v>1</v>
      </c>
    </row>
    <row r="241" customFormat="false" ht="17.15" hidden="false" customHeight="false" outlineLevel="0" collapsed="false">
      <c r="A241" s="0" t="s">
        <v>2599</v>
      </c>
      <c r="B241" s="0" t="s">
        <v>1719</v>
      </c>
      <c r="C241" s="0" t="s">
        <v>512</v>
      </c>
      <c r="D241" s="0" t="s">
        <v>1722</v>
      </c>
      <c r="E241" s="0" t="s">
        <v>25</v>
      </c>
      <c r="F241" s="0" t="s">
        <v>1744</v>
      </c>
      <c r="G241" s="9" t="n">
        <v>127.149</v>
      </c>
      <c r="H241" s="20" t="s">
        <v>1897</v>
      </c>
      <c r="I241" s="5" t="s">
        <v>2600</v>
      </c>
      <c r="J241" s="20" t="s">
        <v>1953</v>
      </c>
      <c r="K241" s="20" t="s">
        <v>2601</v>
      </c>
      <c r="L241" s="20" t="s">
        <v>2602</v>
      </c>
      <c r="M241" s="20" t="s">
        <v>1794</v>
      </c>
      <c r="O241" s="0" t="n">
        <v>1</v>
      </c>
    </row>
    <row r="242" customFormat="false" ht="17.15" hidden="false" customHeight="false" outlineLevel="0" collapsed="false">
      <c r="A242" s="0" t="s">
        <v>2603</v>
      </c>
      <c r="B242" s="0" t="s">
        <v>1719</v>
      </c>
      <c r="C242" s="0" t="s">
        <v>512</v>
      </c>
      <c r="D242" s="0" t="s">
        <v>1722</v>
      </c>
      <c r="E242" s="0" t="s">
        <v>25</v>
      </c>
      <c r="F242" s="0" t="s">
        <v>1747</v>
      </c>
      <c r="G242" s="9" t="n">
        <v>131.953</v>
      </c>
      <c r="H242" s="20" t="s">
        <v>1897</v>
      </c>
      <c r="I242" s="20" t="s">
        <v>2604</v>
      </c>
      <c r="J242" s="20" t="s">
        <v>1953</v>
      </c>
      <c r="K242" s="20" t="s">
        <v>2601</v>
      </c>
      <c r="L242" s="20" t="s">
        <v>2602</v>
      </c>
      <c r="M242" s="20" t="s">
        <v>1794</v>
      </c>
      <c r="O242" s="0" t="n">
        <v>1</v>
      </c>
    </row>
    <row r="243" customFormat="false" ht="17.15" hidden="false" customHeight="false" outlineLevel="0" collapsed="false">
      <c r="A243" s="0" t="s">
        <v>2605</v>
      </c>
      <c r="B243" s="0" t="s">
        <v>1719</v>
      </c>
      <c r="C243" s="0" t="s">
        <v>512</v>
      </c>
      <c r="D243" s="0" t="s">
        <v>1722</v>
      </c>
      <c r="E243" s="0" t="s">
        <v>25</v>
      </c>
      <c r="F243" s="0" t="s">
        <v>1750</v>
      </c>
      <c r="G243" s="9" t="n">
        <v>-4.804</v>
      </c>
      <c r="H243" s="20" t="s">
        <v>1897</v>
      </c>
      <c r="I243" s="5" t="s">
        <v>2606</v>
      </c>
      <c r="J243" s="20" t="s">
        <v>1909</v>
      </c>
      <c r="K243" s="20" t="s">
        <v>2601</v>
      </c>
      <c r="L243" s="20" t="s">
        <v>2602</v>
      </c>
      <c r="M243" s="20" t="s">
        <v>1794</v>
      </c>
      <c r="O243" s="0" t="n">
        <v>1</v>
      </c>
    </row>
    <row r="244" customFormat="false" ht="17.15" hidden="false" customHeight="false" outlineLevel="0" collapsed="false">
      <c r="A244" s="0" t="s">
        <v>2607</v>
      </c>
      <c r="B244" s="0" t="s">
        <v>1719</v>
      </c>
      <c r="C244" s="0" t="s">
        <v>512</v>
      </c>
      <c r="D244" s="0" t="s">
        <v>1722</v>
      </c>
      <c r="E244" s="0" t="s">
        <v>25</v>
      </c>
      <c r="F244" s="0" t="s">
        <v>1804</v>
      </c>
      <c r="G244" s="9" t="n">
        <v>8.167</v>
      </c>
      <c r="H244" s="20" t="s">
        <v>1897</v>
      </c>
      <c r="I244" s="5" t="s">
        <v>2608</v>
      </c>
      <c r="J244" s="20" t="s">
        <v>1953</v>
      </c>
      <c r="K244" s="20" t="s">
        <v>2601</v>
      </c>
      <c r="L244" s="20" t="s">
        <v>2602</v>
      </c>
      <c r="M244" s="20" t="s">
        <v>1794</v>
      </c>
      <c r="O244" s="0" t="n">
        <v>1</v>
      </c>
    </row>
    <row r="245" customFormat="false" ht="17.15" hidden="false" customHeight="false" outlineLevel="0" collapsed="false">
      <c r="A245" s="0" t="s">
        <v>2609</v>
      </c>
      <c r="B245" s="0" t="s">
        <v>1719</v>
      </c>
      <c r="C245" s="0" t="s">
        <v>512</v>
      </c>
      <c r="D245" s="0" t="s">
        <v>1722</v>
      </c>
      <c r="E245" s="0" t="s">
        <v>25</v>
      </c>
      <c r="F245" s="0" t="s">
        <v>1779</v>
      </c>
      <c r="G245" s="9" t="n">
        <v>85.222</v>
      </c>
      <c r="H245" s="20" t="s">
        <v>1897</v>
      </c>
      <c r="I245" s="5" t="s">
        <v>2610</v>
      </c>
      <c r="J245" s="20" t="s">
        <v>1953</v>
      </c>
      <c r="K245" s="20" t="s">
        <v>2601</v>
      </c>
      <c r="L245" s="20" t="s">
        <v>2602</v>
      </c>
      <c r="M245" s="20" t="s">
        <v>1794</v>
      </c>
      <c r="O245" s="0" t="n">
        <v>1</v>
      </c>
    </row>
    <row r="246" customFormat="false" ht="17.15" hidden="false" customHeight="false" outlineLevel="0" collapsed="false">
      <c r="A246" s="0" t="s">
        <v>2611</v>
      </c>
      <c r="B246" s="0" t="s">
        <v>1719</v>
      </c>
      <c r="C246" s="0" t="s">
        <v>512</v>
      </c>
      <c r="D246" s="0" t="s">
        <v>1722</v>
      </c>
      <c r="E246" s="0" t="s">
        <v>25</v>
      </c>
      <c r="F246" s="0" t="s">
        <v>1738</v>
      </c>
      <c r="G246" s="9" t="n">
        <v>61.933</v>
      </c>
      <c r="H246" s="20" t="s">
        <v>1897</v>
      </c>
      <c r="I246" s="5" t="s">
        <v>2612</v>
      </c>
      <c r="J246" s="20" t="s">
        <v>1953</v>
      </c>
      <c r="K246" s="20" t="s">
        <v>2601</v>
      </c>
      <c r="L246" s="20" t="s">
        <v>2602</v>
      </c>
      <c r="M246" s="20" t="s">
        <v>1794</v>
      </c>
      <c r="O246" s="0" t="n">
        <v>1</v>
      </c>
    </row>
    <row r="247" customFormat="false" ht="17.15" hidden="false" customHeight="false" outlineLevel="0" collapsed="false">
      <c r="A247" s="0" t="s">
        <v>1821</v>
      </c>
      <c r="B247" s="0" t="s">
        <v>1719</v>
      </c>
      <c r="C247" s="0" t="s">
        <v>512</v>
      </c>
      <c r="D247" s="0" t="s">
        <v>1732</v>
      </c>
      <c r="E247" s="0" t="s">
        <v>1951</v>
      </c>
      <c r="F247" s="0" t="s">
        <v>1747</v>
      </c>
      <c r="G247" s="9" t="n">
        <v>200</v>
      </c>
      <c r="H247" s="20" t="s">
        <v>1897</v>
      </c>
      <c r="I247" s="5" t="s">
        <v>1820</v>
      </c>
      <c r="J247" s="20" t="s">
        <v>1953</v>
      </c>
      <c r="K247" s="20" t="s">
        <v>2613</v>
      </c>
      <c r="L247" s="20" t="s">
        <v>2614</v>
      </c>
      <c r="M247" s="20" t="s">
        <v>1794</v>
      </c>
      <c r="O247" s="0" t="n">
        <v>1</v>
      </c>
    </row>
    <row r="248" customFormat="false" ht="17.15" hidden="false" customHeight="false" outlineLevel="0" collapsed="false">
      <c r="A248" s="0" t="s">
        <v>2615</v>
      </c>
      <c r="B248" s="0" t="s">
        <v>1719</v>
      </c>
      <c r="C248" s="0" t="s">
        <v>512</v>
      </c>
      <c r="D248" s="0" t="s">
        <v>1809</v>
      </c>
      <c r="E248" s="0" t="s">
        <v>25</v>
      </c>
      <c r="F248" s="0" t="s">
        <v>2616</v>
      </c>
      <c r="G248" s="9" t="n">
        <v>561</v>
      </c>
      <c r="H248" s="20" t="s">
        <v>1897</v>
      </c>
      <c r="I248" s="20" t="s">
        <v>2617</v>
      </c>
      <c r="J248" s="20" t="s">
        <v>1953</v>
      </c>
      <c r="K248" s="20" t="s">
        <v>2613</v>
      </c>
      <c r="L248" s="20" t="s">
        <v>2614</v>
      </c>
      <c r="M248" s="20" t="s">
        <v>1794</v>
      </c>
      <c r="O248" s="0" t="n">
        <v>1</v>
      </c>
    </row>
    <row r="249" customFormat="false" ht="17.15" hidden="false" customHeight="false" outlineLevel="0" collapsed="false">
      <c r="A249" s="0" t="s">
        <v>2618</v>
      </c>
      <c r="B249" s="0" t="s">
        <v>1723</v>
      </c>
      <c r="C249" s="0" t="s">
        <v>520</v>
      </c>
      <c r="D249" s="0" t="s">
        <v>1722</v>
      </c>
      <c r="E249" s="0" t="s">
        <v>25</v>
      </c>
      <c r="F249" s="0" t="s">
        <v>1744</v>
      </c>
      <c r="G249" s="9" t="n">
        <v>113.841</v>
      </c>
      <c r="H249" s="20" t="s">
        <v>1897</v>
      </c>
      <c r="I249" s="5" t="s">
        <v>2619</v>
      </c>
      <c r="J249" s="20" t="s">
        <v>1953</v>
      </c>
      <c r="K249" s="20" t="s">
        <v>2620</v>
      </c>
      <c r="L249" s="20" t="s">
        <v>2621</v>
      </c>
      <c r="M249" s="20" t="s">
        <v>1794</v>
      </c>
      <c r="O249" s="0" t="n">
        <v>1</v>
      </c>
    </row>
    <row r="250" customFormat="false" ht="17.15" hidden="false" customHeight="false" outlineLevel="0" collapsed="false">
      <c r="A250" s="0" t="s">
        <v>2622</v>
      </c>
      <c r="B250" s="0" t="s">
        <v>1723</v>
      </c>
      <c r="C250" s="0" t="s">
        <v>520</v>
      </c>
      <c r="D250" s="0" t="s">
        <v>1722</v>
      </c>
      <c r="E250" s="0" t="s">
        <v>25</v>
      </c>
      <c r="F250" s="0" t="s">
        <v>1747</v>
      </c>
      <c r="G250" s="9" t="n">
        <v>172.188</v>
      </c>
      <c r="H250" s="20" t="s">
        <v>1897</v>
      </c>
      <c r="I250" s="5" t="s">
        <v>2623</v>
      </c>
      <c r="J250" s="20" t="s">
        <v>1909</v>
      </c>
      <c r="K250" s="20" t="s">
        <v>2620</v>
      </c>
      <c r="L250" s="20" t="s">
        <v>2621</v>
      </c>
      <c r="M250" s="20" t="s">
        <v>1794</v>
      </c>
      <c r="O250" s="0" t="n">
        <v>1</v>
      </c>
    </row>
    <row r="251" customFormat="false" ht="17.15" hidden="false" customHeight="false" outlineLevel="0" collapsed="false">
      <c r="A251" s="0" t="s">
        <v>2624</v>
      </c>
      <c r="B251" s="0" t="s">
        <v>1723</v>
      </c>
      <c r="C251" s="0" t="s">
        <v>520</v>
      </c>
      <c r="D251" s="0" t="s">
        <v>1722</v>
      </c>
      <c r="E251" s="0" t="s">
        <v>25</v>
      </c>
      <c r="F251" s="0" t="s">
        <v>1797</v>
      </c>
      <c r="G251" s="9" t="n">
        <v>3.6</v>
      </c>
      <c r="H251" s="20" t="s">
        <v>1897</v>
      </c>
      <c r="I251" s="5" t="s">
        <v>2625</v>
      </c>
      <c r="J251" s="20" t="s">
        <v>1953</v>
      </c>
      <c r="K251" s="20" t="s">
        <v>2620</v>
      </c>
      <c r="L251" s="20" t="s">
        <v>2621</v>
      </c>
      <c r="M251" s="20" t="s">
        <v>1794</v>
      </c>
      <c r="O251" s="0" t="n">
        <v>1</v>
      </c>
    </row>
    <row r="252" customFormat="false" ht="17.15" hidden="false" customHeight="false" outlineLevel="0" collapsed="false">
      <c r="A252" s="0" t="s">
        <v>2626</v>
      </c>
      <c r="B252" s="0" t="s">
        <v>1723</v>
      </c>
      <c r="C252" s="0" t="s">
        <v>520</v>
      </c>
      <c r="D252" s="0" t="s">
        <v>1722</v>
      </c>
      <c r="E252" s="0" t="s">
        <v>25</v>
      </c>
      <c r="F252" s="0" t="s">
        <v>1733</v>
      </c>
      <c r="G252" s="9" t="n">
        <v>175.788</v>
      </c>
      <c r="H252" s="20" t="s">
        <v>1897</v>
      </c>
      <c r="I252" s="5" t="s">
        <v>2627</v>
      </c>
      <c r="J252" s="20" t="s">
        <v>1909</v>
      </c>
      <c r="K252" s="20" t="s">
        <v>2620</v>
      </c>
      <c r="L252" s="20" t="s">
        <v>2621</v>
      </c>
      <c r="M252" s="20" t="s">
        <v>1794</v>
      </c>
      <c r="O252" s="0" t="n">
        <v>1</v>
      </c>
    </row>
    <row r="253" customFormat="false" ht="17.15" hidden="false" customHeight="false" outlineLevel="0" collapsed="false">
      <c r="A253" s="0" t="s">
        <v>2628</v>
      </c>
      <c r="B253" s="0" t="s">
        <v>1723</v>
      </c>
      <c r="C253" s="0" t="s">
        <v>520</v>
      </c>
      <c r="D253" s="0" t="s">
        <v>1722</v>
      </c>
      <c r="E253" s="0" t="s">
        <v>25</v>
      </c>
      <c r="F253" s="0" t="s">
        <v>1750</v>
      </c>
      <c r="G253" s="9" t="n">
        <v>-58.347</v>
      </c>
      <c r="H253" s="20" t="s">
        <v>1897</v>
      </c>
      <c r="I253" s="5" t="s">
        <v>2629</v>
      </c>
      <c r="J253" s="20" t="s">
        <v>1909</v>
      </c>
      <c r="K253" s="20" t="s">
        <v>2620</v>
      </c>
      <c r="L253" s="20" t="s">
        <v>2621</v>
      </c>
      <c r="M253" s="20" t="s">
        <v>1794</v>
      </c>
      <c r="O253" s="0" t="n">
        <v>1</v>
      </c>
    </row>
    <row r="254" customFormat="false" ht="17.15" hidden="false" customHeight="false" outlineLevel="0" collapsed="false">
      <c r="A254" s="0" t="s">
        <v>2630</v>
      </c>
      <c r="B254" s="0" t="s">
        <v>1723</v>
      </c>
      <c r="C254" s="0" t="s">
        <v>520</v>
      </c>
      <c r="D254" s="0" t="s">
        <v>1722</v>
      </c>
      <c r="E254" s="0" t="s">
        <v>25</v>
      </c>
      <c r="F254" s="0" t="s">
        <v>1804</v>
      </c>
      <c r="G254" s="9" t="n">
        <v>0</v>
      </c>
      <c r="H254" s="20" t="s">
        <v>1897</v>
      </c>
      <c r="I254" s="5" t="s">
        <v>2631</v>
      </c>
      <c r="J254" s="20" t="s">
        <v>1953</v>
      </c>
      <c r="K254" s="20" t="s">
        <v>2620</v>
      </c>
      <c r="L254" s="20" t="s">
        <v>2621</v>
      </c>
      <c r="M254" s="20" t="s">
        <v>1794</v>
      </c>
      <c r="O254" s="0" t="n">
        <v>1</v>
      </c>
    </row>
    <row r="255" customFormat="false" ht="17.15" hidden="false" customHeight="false" outlineLevel="0" collapsed="false">
      <c r="A255" s="0" t="s">
        <v>2632</v>
      </c>
      <c r="B255" s="0" t="s">
        <v>1723</v>
      </c>
      <c r="C255" s="0" t="s">
        <v>520</v>
      </c>
      <c r="D255" s="0" t="s">
        <v>1722</v>
      </c>
      <c r="E255" s="0" t="s">
        <v>25</v>
      </c>
      <c r="F255" s="0" t="s">
        <v>1779</v>
      </c>
      <c r="G255" s="9" t="n">
        <v>115.1</v>
      </c>
      <c r="H255" s="20" t="s">
        <v>1897</v>
      </c>
      <c r="I255" s="5" t="s">
        <v>2633</v>
      </c>
      <c r="J255" s="20" t="s">
        <v>1953</v>
      </c>
      <c r="K255" s="20" t="s">
        <v>2620</v>
      </c>
      <c r="L255" s="20" t="s">
        <v>2621</v>
      </c>
      <c r="M255" s="20" t="s">
        <v>1794</v>
      </c>
      <c r="O255" s="0" t="n">
        <v>1</v>
      </c>
    </row>
    <row r="256" customFormat="false" ht="17.15" hidden="false" customHeight="false" outlineLevel="0" collapsed="false">
      <c r="A256" s="0" t="s">
        <v>1823</v>
      </c>
      <c r="B256" s="0" t="s">
        <v>1723</v>
      </c>
      <c r="C256" s="0" t="s">
        <v>520</v>
      </c>
      <c r="D256" s="0" t="s">
        <v>1732</v>
      </c>
      <c r="E256" s="0" t="s">
        <v>1951</v>
      </c>
      <c r="F256" s="0" t="s">
        <v>1747</v>
      </c>
      <c r="G256" s="9" t="n">
        <v>220</v>
      </c>
      <c r="H256" s="20" t="s">
        <v>1897</v>
      </c>
      <c r="I256" s="5" t="s">
        <v>1822</v>
      </c>
      <c r="J256" s="20" t="s">
        <v>1953</v>
      </c>
      <c r="K256" s="20" t="s">
        <v>2620</v>
      </c>
      <c r="L256" s="20" t="s">
        <v>2621</v>
      </c>
      <c r="M256" s="20" t="s">
        <v>1794</v>
      </c>
      <c r="O256" s="0" t="n">
        <v>1</v>
      </c>
    </row>
    <row r="257" customFormat="false" ht="17.15" hidden="false" customHeight="false" outlineLevel="0" collapsed="false">
      <c r="A257" s="0" t="s">
        <v>2634</v>
      </c>
      <c r="B257" s="0" t="s">
        <v>1726</v>
      </c>
      <c r="C257" s="0" t="s">
        <v>536</v>
      </c>
      <c r="D257" s="0" t="s">
        <v>1721</v>
      </c>
      <c r="E257" s="0" t="s">
        <v>24</v>
      </c>
      <c r="F257" s="0" t="s">
        <v>1784</v>
      </c>
      <c r="G257" s="9" t="n">
        <v>16</v>
      </c>
      <c r="H257" s="20" t="s">
        <v>1897</v>
      </c>
      <c r="I257" s="20" t="s">
        <v>2635</v>
      </c>
      <c r="J257" s="20" t="s">
        <v>1899</v>
      </c>
      <c r="K257" s="20" t="s">
        <v>2496</v>
      </c>
      <c r="L257" s="20" t="s">
        <v>2497</v>
      </c>
      <c r="M257" s="5" t="s">
        <v>1736</v>
      </c>
      <c r="N257" s="5" t="s">
        <v>2636</v>
      </c>
      <c r="O257" s="0" t="n">
        <v>1</v>
      </c>
    </row>
    <row r="258" customFormat="false" ht="17.15" hidden="false" customHeight="false" outlineLevel="0" collapsed="false">
      <c r="A258" s="0" t="s">
        <v>2637</v>
      </c>
      <c r="B258" s="0" t="s">
        <v>1715</v>
      </c>
      <c r="C258" s="0" t="s">
        <v>507</v>
      </c>
      <c r="D258" s="0" t="s">
        <v>2638</v>
      </c>
      <c r="E258" s="0" t="s">
        <v>24</v>
      </c>
      <c r="F258" s="0" t="s">
        <v>1762</v>
      </c>
      <c r="G258" s="9" t="n">
        <v>92.7</v>
      </c>
      <c r="H258" s="20" t="s">
        <v>1897</v>
      </c>
      <c r="I258" s="5" t="s">
        <v>2639</v>
      </c>
      <c r="J258" s="20" t="s">
        <v>1899</v>
      </c>
      <c r="K258" s="20" t="s">
        <v>2640</v>
      </c>
      <c r="M258" s="5" t="s">
        <v>1736</v>
      </c>
      <c r="N258" s="20" t="s">
        <v>2641</v>
      </c>
      <c r="O258" s="0" t="n">
        <v>1</v>
      </c>
    </row>
    <row r="259" customFormat="false" ht="17.15" hidden="false" customHeight="false" outlineLevel="0" collapsed="false">
      <c r="A259" s="0" t="s">
        <v>2642</v>
      </c>
      <c r="B259" s="0" t="s">
        <v>1724</v>
      </c>
      <c r="C259" s="0" t="s">
        <v>531</v>
      </c>
      <c r="D259" s="0" t="s">
        <v>2222</v>
      </c>
      <c r="E259" s="0" t="s">
        <v>25</v>
      </c>
      <c r="F259" s="0" t="s">
        <v>1762</v>
      </c>
      <c r="G259" s="9" t="n">
        <v>260</v>
      </c>
      <c r="H259" s="20" t="s">
        <v>1897</v>
      </c>
      <c r="I259" s="5" t="s">
        <v>2639</v>
      </c>
      <c r="J259" s="20" t="s">
        <v>1953</v>
      </c>
      <c r="K259" s="20" t="s">
        <v>2640</v>
      </c>
      <c r="M259" s="5" t="s">
        <v>1736</v>
      </c>
      <c r="N259" s="20" t="s">
        <v>2643</v>
      </c>
      <c r="O259" s="0" t="n">
        <v>1</v>
      </c>
    </row>
    <row r="260" customFormat="false" ht="17.15" hidden="false" customHeight="false" outlineLevel="0" collapsed="false">
      <c r="A260" s="0" t="s">
        <v>2644</v>
      </c>
      <c r="B260" s="0" t="s">
        <v>1723</v>
      </c>
      <c r="C260" s="0" t="s">
        <v>520</v>
      </c>
      <c r="D260" s="0" t="s">
        <v>2277</v>
      </c>
      <c r="E260" s="0" t="s">
        <v>24</v>
      </c>
      <c r="F260" s="0" t="s">
        <v>1762</v>
      </c>
      <c r="G260" s="9" t="n">
        <v>96.4</v>
      </c>
      <c r="H260" s="20" t="s">
        <v>1897</v>
      </c>
      <c r="I260" s="5" t="s">
        <v>2639</v>
      </c>
      <c r="J260" s="20" t="s">
        <v>1899</v>
      </c>
      <c r="K260" s="20" t="s">
        <v>2640</v>
      </c>
      <c r="M260" s="5" t="s">
        <v>1736</v>
      </c>
      <c r="N260" s="20" t="s">
        <v>2645</v>
      </c>
      <c r="O26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2646</v>
      </c>
    </row>
    <row r="3" customFormat="false" ht="15" hidden="false" customHeight="false" outlineLevel="0" collapsed="false">
      <c r="A3" s="6" t="s">
        <v>16</v>
      </c>
      <c r="B3" s="6" t="s">
        <v>15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21" t="s">
        <v>2647</v>
      </c>
      <c r="D4" s="29" t="n">
        <f aca="false">Players!D5*TK_CapexFacility_H100+Players!D6*TK_CapexFacility_GB200+Players!D7*TK_CapexFacility_GB300+Players!D8*TK_CapexFacility_VR200+Players!D9*TK_CapexFacility_RU</f>
        <v>12.67</v>
      </c>
      <c r="E4" s="29" t="n">
        <f aca="false">Players!E5*TK_CapexFacility_H100+Players!E6*TK_CapexFacility_GB200+Players!E7*TK_CapexFacility_GB300+Players!E8*TK_CapexFacility_VR200+Players!E9*TK_CapexFacility_RU</f>
        <v>12.67</v>
      </c>
      <c r="F4" s="29" t="n">
        <f aca="false">Players!F5*TK_CapexFacility_H100+Players!F6*TK_CapexFacility_GB200+Players!F7*TK_CapexFacility_GB300+Players!F8*TK_CapexFacility_VR200+Players!F9*TK_CapexFacility_RU</f>
        <v>12.67</v>
      </c>
      <c r="G4" s="29" t="n">
        <f aca="false">Players!G5*TK_CapexFacility_H100+Players!G6*TK_CapexFacility_GB200+Players!G7*TK_CapexFacility_GB300+Players!G8*TK_CapexFacility_VR200+Players!G9*TK_CapexFacility_RU</f>
        <v>12.67</v>
      </c>
      <c r="H4" s="29" t="n">
        <f aca="false">Players!H5*TK_CapexFacility_H100+Players!H6*TK_CapexFacility_GB200+Players!H7*TK_CapexFacility_GB300+Players!H8*TK_CapexFacility_VR200+Players!H9*TK_CapexFacility_RU</f>
        <v>12.67</v>
      </c>
      <c r="I4" s="29" t="n">
        <f aca="false">Players!I5*TK_CapexFacility_H100+Players!I6*TK_CapexFacility_GB200+Players!I7*TK_CapexFacility_GB300+Players!I8*TK_CapexFacility_VR200+Players!I9*TK_CapexFacility_RU</f>
        <v>12.67</v>
      </c>
      <c r="J4" s="29" t="n">
        <f aca="false">Players!J5*TK_CapexFacility_H100+Players!J6*TK_CapexFacility_GB200+Players!J7*TK_CapexFacility_GB300+Players!J8*TK_CapexFacility_VR200+Players!J9*TK_CapexFacility_RU</f>
        <v>12.67</v>
      </c>
      <c r="K4" s="29" t="n">
        <f aca="false">Players!K5*TK_CapexFacility_H100+Players!K6*TK_CapexFacility_GB200+Players!K7*TK_CapexFacility_GB300+Players!K8*TK_CapexFacility_VR200+Players!K9*TK_CapexFacility_RU</f>
        <v>12.67</v>
      </c>
      <c r="L4" s="29" t="n">
        <f aca="false">Players!L5*TK_CapexFacility_H100+Players!L6*TK_CapexFacility_GB200+Players!L7*TK_CapexFacility_GB300+Players!L8*TK_CapexFacility_VR200+Players!L9*TK_CapexFacility_RU</f>
        <v>12.67</v>
      </c>
      <c r="M4" s="29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2648</v>
      </c>
      <c r="B5" s="0" t="s">
        <v>224</v>
      </c>
      <c r="C5" s="0" t="s">
        <v>226</v>
      </c>
      <c r="D5" s="29" t="n">
        <f aca="false">fac_dist</f>
        <v>2.55</v>
      </c>
      <c r="E5" s="29" t="n">
        <f aca="false">fac_dist</f>
        <v>2.55</v>
      </c>
      <c r="F5" s="29" t="n">
        <f aca="false">fac_dist</f>
        <v>2.55</v>
      </c>
      <c r="G5" s="29" t="n">
        <f aca="false">fac_dist</f>
        <v>2.55</v>
      </c>
      <c r="H5" s="29" t="n">
        <f aca="false">fac_dist</f>
        <v>2.55</v>
      </c>
      <c r="I5" s="29" t="n">
        <f aca="false">fac_dist</f>
        <v>2.55</v>
      </c>
      <c r="J5" s="29" t="n">
        <f aca="false">fac_dist</f>
        <v>2.55</v>
      </c>
      <c r="K5" s="29" t="n">
        <f aca="false">fac_dist</f>
        <v>2.55</v>
      </c>
      <c r="L5" s="29" t="n">
        <f aca="false">fac_dist</f>
        <v>2.55</v>
      </c>
      <c r="M5" s="29" t="n">
        <f aca="false">fac_dist</f>
        <v>2.55</v>
      </c>
    </row>
    <row r="6" customFormat="false" ht="17.15" hidden="false" customHeight="false" outlineLevel="0" collapsed="false">
      <c r="A6" s="5" t="s">
        <v>2649</v>
      </c>
      <c r="B6" s="0" t="s">
        <v>2650</v>
      </c>
      <c r="C6" s="0" t="s">
        <v>226</v>
      </c>
      <c r="D6" s="29" t="n">
        <f aca="false">fac_gen_mult*fac_gen_px</f>
        <v>1.6</v>
      </c>
      <c r="E6" s="29" t="n">
        <f aca="false">fac_gen_mult*fac_gen_px</f>
        <v>1.6</v>
      </c>
      <c r="F6" s="29" t="n">
        <f aca="false">fac_gen_mult*fac_gen_px</f>
        <v>1.6</v>
      </c>
      <c r="G6" s="29" t="n">
        <f aca="false">fac_gen_mult*fac_gen_px</f>
        <v>1.6</v>
      </c>
      <c r="H6" s="29" t="n">
        <f aca="false">fac_gen_mult*fac_gen_px</f>
        <v>1.6</v>
      </c>
      <c r="I6" s="29" t="n">
        <f aca="false">fac_gen_mult*fac_gen_px</f>
        <v>1.6</v>
      </c>
      <c r="J6" s="29" t="n">
        <f aca="false">fac_gen_mult*fac_gen_px</f>
        <v>1.6</v>
      </c>
      <c r="K6" s="29" t="n">
        <f aca="false">fac_gen_mult*fac_gen_px</f>
        <v>1.6</v>
      </c>
      <c r="L6" s="29" t="n">
        <f aca="false">fac_gen_mult*fac_gen_px</f>
        <v>1.6</v>
      </c>
      <c r="M6" s="29" t="n">
        <f aca="false">fac_gen_mult*fac_gen_px</f>
        <v>1.6</v>
      </c>
    </row>
    <row r="7" customFormat="false" ht="17.15" hidden="false" customHeight="false" outlineLevel="0" collapsed="false">
      <c r="A7" s="5" t="s">
        <v>2651</v>
      </c>
      <c r="B7" s="0" t="s">
        <v>238</v>
      </c>
      <c r="C7" s="0" t="s">
        <v>226</v>
      </c>
      <c r="D7" s="29" t="n">
        <f aca="false">fac_ups</f>
        <v>0.75</v>
      </c>
      <c r="E7" s="29" t="n">
        <f aca="false">fac_ups</f>
        <v>0.75</v>
      </c>
      <c r="F7" s="29" t="n">
        <f aca="false">fac_ups</f>
        <v>0.75</v>
      </c>
      <c r="G7" s="29" t="n">
        <f aca="false">fac_ups</f>
        <v>0.75</v>
      </c>
      <c r="H7" s="29" t="n">
        <f aca="false">fac_ups</f>
        <v>0.75</v>
      </c>
      <c r="I7" s="29" t="n">
        <f aca="false">fac_ups</f>
        <v>0.75</v>
      </c>
      <c r="J7" s="29" t="n">
        <f aca="false">fac_ups</f>
        <v>0.75</v>
      </c>
      <c r="K7" s="29" t="n">
        <f aca="false">fac_ups</f>
        <v>0.75</v>
      </c>
      <c r="L7" s="29" t="n">
        <f aca="false">fac_ups</f>
        <v>0.75</v>
      </c>
      <c r="M7" s="29" t="n">
        <f aca="false">fac_ups</f>
        <v>0.75</v>
      </c>
    </row>
    <row r="8" customFormat="false" ht="15" hidden="false" customHeight="false" outlineLevel="0" collapsed="false">
      <c r="A8" s="5" t="s">
        <v>2652</v>
      </c>
      <c r="B8" s="0" t="s">
        <v>241</v>
      </c>
      <c r="C8" s="0" t="s">
        <v>226</v>
      </c>
      <c r="D8" s="29" t="n">
        <f aca="false">fac_cool</f>
        <v>1.9</v>
      </c>
      <c r="E8" s="29" t="n">
        <f aca="false">fac_cool</f>
        <v>1.9</v>
      </c>
      <c r="F8" s="29" t="n">
        <f aca="false">fac_cool</f>
        <v>1.9</v>
      </c>
      <c r="G8" s="29" t="n">
        <f aca="false">fac_cool</f>
        <v>1.9</v>
      </c>
      <c r="H8" s="29" t="n">
        <f aca="false">fac_cool</f>
        <v>1.9</v>
      </c>
      <c r="I8" s="29" t="n">
        <f aca="false">fac_cool</f>
        <v>1.9</v>
      </c>
      <c r="J8" s="29" t="n">
        <f aca="false">fac_cool</f>
        <v>1.9</v>
      </c>
      <c r="K8" s="29" t="n">
        <f aca="false">fac_cool</f>
        <v>1.9</v>
      </c>
      <c r="L8" s="29" t="n">
        <f aca="false">fac_cool</f>
        <v>1.9</v>
      </c>
      <c r="M8" s="29" t="n">
        <f aca="false">fac_cool</f>
        <v>1.9</v>
      </c>
    </row>
    <row r="9" customFormat="false" ht="15" hidden="false" customHeight="false" outlineLevel="0" collapsed="false">
      <c r="A9" s="5" t="s">
        <v>2653</v>
      </c>
      <c r="B9" s="0" t="s">
        <v>244</v>
      </c>
      <c r="C9" s="0" t="s">
        <v>226</v>
      </c>
      <c r="D9" s="29" t="n">
        <f aca="false">fac_bldg</f>
        <v>1.7</v>
      </c>
      <c r="E9" s="29" t="n">
        <f aca="false">fac_bldg</f>
        <v>1.7</v>
      </c>
      <c r="F9" s="29" t="n">
        <f aca="false">fac_bldg</f>
        <v>1.7</v>
      </c>
      <c r="G9" s="29" t="n">
        <f aca="false">fac_bldg</f>
        <v>1.7</v>
      </c>
      <c r="H9" s="29" t="n">
        <f aca="false">fac_bldg</f>
        <v>1.7</v>
      </c>
      <c r="I9" s="29" t="n">
        <f aca="false">fac_bldg</f>
        <v>1.7</v>
      </c>
      <c r="J9" s="29" t="n">
        <f aca="false">fac_bldg</f>
        <v>1.7</v>
      </c>
      <c r="K9" s="29" t="n">
        <f aca="false">fac_bldg</f>
        <v>1.7</v>
      </c>
      <c r="L9" s="29" t="n">
        <f aca="false">fac_bldg</f>
        <v>1.7</v>
      </c>
      <c r="M9" s="29" t="n">
        <f aca="false">fac_bldg</f>
        <v>1.7</v>
      </c>
    </row>
    <row r="10" customFormat="false" ht="15" hidden="false" customHeight="false" outlineLevel="0" collapsed="false">
      <c r="A10" s="5" t="s">
        <v>2654</v>
      </c>
      <c r="B10" s="0" t="s">
        <v>247</v>
      </c>
      <c r="C10" s="0" t="s">
        <v>226</v>
      </c>
      <c r="D10" s="29" t="n">
        <f aca="false">fac_labor</f>
        <v>2.95</v>
      </c>
      <c r="E10" s="29" t="n">
        <f aca="false">fac_labor</f>
        <v>2.95</v>
      </c>
      <c r="F10" s="29" t="n">
        <f aca="false">fac_labor</f>
        <v>2.95</v>
      </c>
      <c r="G10" s="29" t="n">
        <f aca="false">fac_labor</f>
        <v>2.95</v>
      </c>
      <c r="H10" s="29" t="n">
        <f aca="false">fac_labor</f>
        <v>2.95</v>
      </c>
      <c r="I10" s="29" t="n">
        <f aca="false">fac_labor</f>
        <v>2.95</v>
      </c>
      <c r="J10" s="29" t="n">
        <f aca="false">fac_labor</f>
        <v>2.95</v>
      </c>
      <c r="K10" s="29" t="n">
        <f aca="false">fac_labor</f>
        <v>2.95</v>
      </c>
      <c r="L10" s="29" t="n">
        <f aca="false">fac_labor</f>
        <v>2.95</v>
      </c>
      <c r="M10" s="29" t="n">
        <f aca="false">fac_labor</f>
        <v>2.95</v>
      </c>
    </row>
    <row r="11" customFormat="false" ht="17.15" hidden="false" customHeight="false" outlineLevel="0" collapsed="false">
      <c r="A11" s="5" t="s">
        <v>2655</v>
      </c>
      <c r="B11" s="0" t="s">
        <v>2656</v>
      </c>
      <c r="C11" s="0" t="s">
        <v>226</v>
      </c>
      <c r="D11" s="29" t="n">
        <f aca="false">fac_prof0-(fac_gen_mult*fac_gen_px-fac_gen_px0)</f>
        <v>0.7</v>
      </c>
      <c r="E11" s="29" t="n">
        <f aca="false">fac_prof0-(fac_gen_mult*fac_gen_px-fac_gen_px0)</f>
        <v>0.7</v>
      </c>
      <c r="F11" s="29" t="n">
        <f aca="false">fac_prof0-(fac_gen_mult*fac_gen_px-fac_gen_px0)</f>
        <v>0.7</v>
      </c>
      <c r="G11" s="29" t="n">
        <f aca="false">fac_prof0-(fac_gen_mult*fac_gen_px-fac_gen_px0)</f>
        <v>0.7</v>
      </c>
      <c r="H11" s="29" t="n">
        <f aca="false">fac_prof0-(fac_gen_mult*fac_gen_px-fac_gen_px0)</f>
        <v>0.7</v>
      </c>
      <c r="I11" s="29" t="n">
        <f aca="false">fac_prof0-(fac_gen_mult*fac_gen_px-fac_gen_px0)</f>
        <v>0.7</v>
      </c>
      <c r="J11" s="29" t="n">
        <f aca="false">fac_prof0-(fac_gen_mult*fac_gen_px-fac_gen_px0)</f>
        <v>0.7</v>
      </c>
      <c r="K11" s="29" t="n">
        <f aca="false">fac_prof0-(fac_gen_mult*fac_gen_px-fac_gen_px0)</f>
        <v>0.7</v>
      </c>
      <c r="L11" s="29" t="n">
        <f aca="false">fac_prof0-(fac_gen_mult*fac_gen_px-fac_gen_px0)</f>
        <v>0.7</v>
      </c>
      <c r="M11" s="29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2657</v>
      </c>
      <c r="B12" s="0" t="s">
        <v>253</v>
      </c>
      <c r="C12" s="0" t="s">
        <v>226</v>
      </c>
      <c r="D12" s="29" t="n">
        <f aca="false">fac_net</f>
        <v>0.3</v>
      </c>
      <c r="E12" s="29" t="n">
        <f aca="false">fac_net</f>
        <v>0.3</v>
      </c>
      <c r="F12" s="29" t="n">
        <f aca="false">fac_net</f>
        <v>0.3</v>
      </c>
      <c r="G12" s="29" t="n">
        <f aca="false">fac_net</f>
        <v>0.3</v>
      </c>
      <c r="H12" s="29" t="n">
        <f aca="false">fac_net</f>
        <v>0.3</v>
      </c>
      <c r="I12" s="29" t="n">
        <f aca="false">fac_net</f>
        <v>0.3</v>
      </c>
      <c r="J12" s="29" t="n">
        <f aca="false">fac_net</f>
        <v>0.3</v>
      </c>
      <c r="K12" s="29" t="n">
        <f aca="false">fac_net</f>
        <v>0.3</v>
      </c>
      <c r="L12" s="29" t="n">
        <f aca="false">fac_net</f>
        <v>0.3</v>
      </c>
      <c r="M12" s="29" t="n">
        <f aca="false">fac_net</f>
        <v>0.3</v>
      </c>
    </row>
    <row r="13" customFormat="false" ht="15" hidden="false" customHeight="false" outlineLevel="0" collapsed="false">
      <c r="A13" s="5" t="s">
        <v>2658</v>
      </c>
      <c r="B13" s="0" t="s">
        <v>256</v>
      </c>
      <c r="C13" s="0" t="s">
        <v>226</v>
      </c>
      <c r="D13" s="29" t="n">
        <f aca="false">fac_land</f>
        <v>0.2</v>
      </c>
      <c r="E13" s="29" t="n">
        <f aca="false">fac_land</f>
        <v>0.2</v>
      </c>
      <c r="F13" s="29" t="n">
        <f aca="false">fac_land</f>
        <v>0.2</v>
      </c>
      <c r="G13" s="29" t="n">
        <f aca="false">fac_land</f>
        <v>0.2</v>
      </c>
      <c r="H13" s="29" t="n">
        <f aca="false">fac_land</f>
        <v>0.2</v>
      </c>
      <c r="I13" s="29" t="n">
        <f aca="false">fac_land</f>
        <v>0.2</v>
      </c>
      <c r="J13" s="29" t="n">
        <f aca="false">fac_land</f>
        <v>0.2</v>
      </c>
      <c r="K13" s="29" t="n">
        <f aca="false">fac_land</f>
        <v>0.2</v>
      </c>
      <c r="L13" s="29" t="n">
        <f aca="false">fac_land</f>
        <v>0.2</v>
      </c>
      <c r="M13" s="29" t="n">
        <f aca="false">fac_land</f>
        <v>0.2</v>
      </c>
    </row>
    <row r="14" customFormat="false" ht="17.15" hidden="false" customHeight="false" outlineLevel="0" collapsed="false">
      <c r="A14" s="5" t="s">
        <v>2659</v>
      </c>
      <c r="B14" s="0" t="s">
        <v>2660</v>
      </c>
      <c r="C14" s="0" t="s">
        <v>226</v>
      </c>
      <c r="D14" s="29" t="n">
        <f aca="false">D4-SUM(D5:D13)</f>
        <v>0.0200000000000014</v>
      </c>
      <c r="E14" s="29" t="n">
        <f aca="false">E4-SUM(E5:E13)</f>
        <v>0.0200000000000014</v>
      </c>
      <c r="F14" s="29" t="n">
        <f aca="false">F4-SUM(F5:F13)</f>
        <v>0.0200000000000014</v>
      </c>
      <c r="G14" s="29" t="n">
        <f aca="false">G4-SUM(G5:G13)</f>
        <v>0.0200000000000014</v>
      </c>
      <c r="H14" s="29" t="n">
        <f aca="false">H4-SUM(H5:H13)</f>
        <v>0.0200000000000014</v>
      </c>
      <c r="I14" s="29" t="n">
        <f aca="false">I4-SUM(I5:I13)</f>
        <v>0.0200000000000014</v>
      </c>
      <c r="J14" s="29" t="n">
        <f aca="false">J4-SUM(J5:J13)</f>
        <v>0.0200000000000014</v>
      </c>
      <c r="K14" s="29" t="n">
        <f aca="false">K4-SUM(K5:K13)</f>
        <v>0.0200000000000014</v>
      </c>
      <c r="L14" s="29" t="n">
        <f aca="false">L4-SUM(L5:L13)</f>
        <v>0.0200000000000014</v>
      </c>
      <c r="M14" s="29" t="n">
        <f aca="false">M4-SUM(M5:M13)</f>
        <v>0.0200000000000014</v>
      </c>
    </row>
    <row r="15" customFormat="false" ht="17.15" hidden="false" customHeight="false" outlineLevel="0" collapsed="false">
      <c r="A15" s="5" t="s">
        <v>2661</v>
      </c>
      <c r="C15" s="0" t="s">
        <v>226</v>
      </c>
      <c r="D15" s="29" t="n">
        <f aca="false">SUM(D5:D14)</f>
        <v>12.67</v>
      </c>
      <c r="E15" s="29" t="n">
        <f aca="false">SUM(E5:E14)</f>
        <v>12.67</v>
      </c>
      <c r="F15" s="29" t="n">
        <f aca="false">SUM(F5:F14)</f>
        <v>12.67</v>
      </c>
      <c r="G15" s="29" t="n">
        <f aca="false">SUM(G5:G14)</f>
        <v>12.67</v>
      </c>
      <c r="H15" s="29" t="n">
        <f aca="false">SUM(H5:H14)</f>
        <v>12.67</v>
      </c>
      <c r="I15" s="29" t="n">
        <f aca="false">SUM(I5:I14)</f>
        <v>12.67</v>
      </c>
      <c r="J15" s="29" t="n">
        <f aca="false">SUM(J5:J14)</f>
        <v>12.67</v>
      </c>
      <c r="K15" s="29" t="n">
        <f aca="false">SUM(K5:K14)</f>
        <v>12.67</v>
      </c>
      <c r="L15" s="29" t="n">
        <f aca="false">SUM(L5:L14)</f>
        <v>12.67</v>
      </c>
      <c r="M15" s="29" t="n">
        <f aca="false">SUM(M5:M14)</f>
        <v>12.67</v>
      </c>
    </row>
    <row r="16" customFormat="false" ht="17.15" hidden="false" customHeight="false" outlineLevel="0" collapsed="false">
      <c r="A16" s="5" t="s">
        <v>2662</v>
      </c>
      <c r="B16" s="0" t="s">
        <v>2663</v>
      </c>
      <c r="C16" s="0" t="s">
        <v>226</v>
      </c>
      <c r="D16" s="29" t="n">
        <f aca="false">self_gw*self_px</f>
        <v>2.304</v>
      </c>
      <c r="E16" s="29" t="n">
        <f aca="false">self_gw*self_px</f>
        <v>2.304</v>
      </c>
      <c r="F16" s="29" t="n">
        <f aca="false">self_gw*self_px</f>
        <v>2.304</v>
      </c>
      <c r="G16" s="29" t="n">
        <f aca="false">self_gw*self_px</f>
        <v>2.304</v>
      </c>
      <c r="H16" s="29" t="n">
        <f aca="false">self_gw*self_px</f>
        <v>2.304</v>
      </c>
      <c r="I16" s="29" t="n">
        <f aca="false">self_gw*self_px</f>
        <v>2.304</v>
      </c>
      <c r="J16" s="29" t="n">
        <f aca="false">self_gw*self_px</f>
        <v>2.304</v>
      </c>
      <c r="K16" s="29" t="n">
        <f aca="false">self_gw*self_px</f>
        <v>2.304</v>
      </c>
      <c r="L16" s="29" t="n">
        <f aca="false">self_gw*self_px</f>
        <v>2.304</v>
      </c>
      <c r="M16" s="29" t="n">
        <f aca="false">self_gw*self_px</f>
        <v>2.304</v>
      </c>
    </row>
    <row r="18" customFormat="false" ht="17.15" hidden="false" customHeight="false" outlineLevel="0" collapsed="false">
      <c r="A18" s="21" t="s">
        <v>2664</v>
      </c>
    </row>
    <row r="19" customFormat="false" ht="15" hidden="false" customHeight="false" outlineLevel="0" collapsed="false">
      <c r="A19" s="5" t="s">
        <v>2665</v>
      </c>
      <c r="C19" s="0" t="s">
        <v>78</v>
      </c>
      <c r="D19" s="29" t="n">
        <f aca="false">Players!D13</f>
        <v>1.2</v>
      </c>
      <c r="E19" s="29" t="n">
        <f aca="false">Players!E13</f>
        <v>1.2</v>
      </c>
      <c r="F19" s="29" t="n">
        <f aca="false">Players!F13</f>
        <v>1.2</v>
      </c>
      <c r="G19" s="29" t="n">
        <f aca="false">Players!G13</f>
        <v>1.2</v>
      </c>
      <c r="H19" s="29" t="n">
        <f aca="false">Players!H13</f>
        <v>1.2</v>
      </c>
      <c r="I19" s="29" t="n">
        <f aca="false">Players!I13</f>
        <v>1.2</v>
      </c>
      <c r="J19" s="29" t="n">
        <f aca="false">Players!J13</f>
        <v>1.2</v>
      </c>
      <c r="K19" s="29" t="n">
        <f aca="false">Players!K13</f>
        <v>1.2</v>
      </c>
      <c r="L19" s="29" t="n">
        <f aca="false">Players!L13</f>
        <v>1.2</v>
      </c>
      <c r="M19" s="29" t="n">
        <f aca="false">Players!M13</f>
        <v>1.2</v>
      </c>
    </row>
    <row r="20" customFormat="false" ht="15" hidden="false" customHeight="false" outlineLevel="0" collapsed="false">
      <c r="A20" s="5" t="s">
        <v>2666</v>
      </c>
      <c r="C20" s="0" t="s">
        <v>78</v>
      </c>
      <c r="D20" s="29" t="n">
        <f aca="false">fac_gen_mult</f>
        <v>1.6</v>
      </c>
      <c r="E20" s="29" t="n">
        <f aca="false">fac_gen_mult</f>
        <v>1.6</v>
      </c>
      <c r="F20" s="29" t="n">
        <f aca="false">fac_gen_mult</f>
        <v>1.6</v>
      </c>
      <c r="G20" s="29" t="n">
        <f aca="false">fac_gen_mult</f>
        <v>1.6</v>
      </c>
      <c r="H20" s="29" t="n">
        <f aca="false">fac_gen_mult</f>
        <v>1.6</v>
      </c>
      <c r="I20" s="29" t="n">
        <f aca="false">fac_gen_mult</f>
        <v>1.6</v>
      </c>
      <c r="J20" s="29" t="n">
        <f aca="false">fac_gen_mult</f>
        <v>1.6</v>
      </c>
      <c r="K20" s="29" t="n">
        <f aca="false">fac_gen_mult</f>
        <v>1.6</v>
      </c>
      <c r="L20" s="29" t="n">
        <f aca="false">fac_gen_mult</f>
        <v>1.6</v>
      </c>
      <c r="M20" s="29" t="n">
        <f aca="false">fac_gen_mult</f>
        <v>1.6</v>
      </c>
    </row>
    <row r="21" customFormat="false" ht="15" hidden="false" customHeight="false" outlineLevel="0" collapsed="false">
      <c r="A21" s="5" t="s">
        <v>2667</v>
      </c>
      <c r="C21" s="0" t="s">
        <v>78</v>
      </c>
      <c r="D21" s="29" t="n">
        <f aca="false">self_gw</f>
        <v>1.44</v>
      </c>
      <c r="E21" s="29" t="n">
        <f aca="false">self_gw</f>
        <v>1.44</v>
      </c>
      <c r="F21" s="29" t="n">
        <f aca="false">self_gw</f>
        <v>1.44</v>
      </c>
      <c r="G21" s="29" t="n">
        <f aca="false">self_gw</f>
        <v>1.44</v>
      </c>
      <c r="H21" s="29" t="n">
        <f aca="false">self_gw</f>
        <v>1.44</v>
      </c>
      <c r="I21" s="29" t="n">
        <f aca="false">self_gw</f>
        <v>1.44</v>
      </c>
      <c r="J21" s="29" t="n">
        <f aca="false">self_gw</f>
        <v>1.44</v>
      </c>
      <c r="K21" s="29" t="n">
        <f aca="false">self_gw</f>
        <v>1.44</v>
      </c>
      <c r="L21" s="29" t="n">
        <f aca="false">self_gw</f>
        <v>1.44</v>
      </c>
      <c r="M21" s="29" t="n">
        <f aca="false">self_gw</f>
        <v>1.44</v>
      </c>
    </row>
    <row r="22" customFormat="false" ht="17.15" hidden="false" customHeight="false" outlineLevel="0" collapsed="false">
      <c r="A22" s="5" t="s">
        <v>2668</v>
      </c>
      <c r="C22" s="0" t="s">
        <v>274</v>
      </c>
      <c r="D22" s="29" t="n">
        <f aca="false">xfmr_gva</f>
        <v>2.67</v>
      </c>
      <c r="E22" s="29" t="n">
        <f aca="false">xfmr_gva</f>
        <v>2.67</v>
      </c>
      <c r="F22" s="29" t="n">
        <f aca="false">xfmr_gva</f>
        <v>2.67</v>
      </c>
      <c r="G22" s="29" t="n">
        <f aca="false">xfmr_gva</f>
        <v>2.67</v>
      </c>
      <c r="H22" s="29" t="n">
        <f aca="false">xfmr_gva</f>
        <v>2.67</v>
      </c>
      <c r="I22" s="29" t="n">
        <f aca="false">xfmr_gva</f>
        <v>2.67</v>
      </c>
      <c r="J22" s="29" t="n">
        <f aca="false">xfmr_gva</f>
        <v>2.67</v>
      </c>
      <c r="K22" s="29" t="n">
        <f aca="false">xfmr_gva</f>
        <v>2.67</v>
      </c>
      <c r="L22" s="29" t="n">
        <f aca="false">xfmr_gva</f>
        <v>2.67</v>
      </c>
      <c r="M22" s="29" t="n">
        <f aca="false">xfmr_gva</f>
        <v>2.67</v>
      </c>
    </row>
    <row r="24" customFormat="false" ht="17.15" hidden="false" customHeight="false" outlineLevel="0" collapsed="false">
      <c r="A24" s="21" t="s">
        <v>2669</v>
      </c>
    </row>
    <row r="25" customFormat="false" ht="17.15" hidden="false" customHeight="false" outlineLevel="0" collapsed="false">
      <c r="A25" s="5" t="s">
        <v>2670</v>
      </c>
      <c r="C25" s="0" t="s">
        <v>78</v>
      </c>
      <c r="D25" s="29" t="n">
        <f aca="false">MAX(0,Deploy!D19)</f>
        <v>0</v>
      </c>
      <c r="E25" s="29" t="n">
        <f aca="false">MAX(0,Deploy!E19)</f>
        <v>1.61980834349181</v>
      </c>
      <c r="F25" s="29" t="n">
        <f aca="false">MAX(0,Deploy!F19)</f>
        <v>9.04912429484716</v>
      </c>
      <c r="G25" s="29" t="n">
        <f aca="false">MAX(0,Deploy!G19)</f>
        <v>12.5153714610592</v>
      </c>
      <c r="H25" s="29" t="n">
        <f aca="false">MAX(0,Deploy!H19)</f>
        <v>22.9572539260371</v>
      </c>
      <c r="I25" s="29" t="n">
        <f aca="false">MAX(0,Deploy!I19)</f>
        <v>26.9232927993498</v>
      </c>
      <c r="J25" s="29" t="n">
        <f aca="false">MAX(0,Deploy!J19)</f>
        <v>27.6634681049025</v>
      </c>
      <c r="K25" s="29" t="n">
        <f aca="false">MAX(0,Deploy!K19)</f>
        <v>28.1039834110243</v>
      </c>
      <c r="L25" s="29" t="n">
        <f aca="false">MAX(0,Deploy!L19)</f>
        <v>24.6492774813064</v>
      </c>
      <c r="M25" s="29" t="n">
        <f aca="false">MAX(0,Deploy!M19)</f>
        <v>16.8149790517012</v>
      </c>
    </row>
    <row r="26" customFormat="false" ht="15" hidden="false" customHeight="false" outlineLevel="0" collapsed="false">
      <c r="A26" s="5" t="s">
        <v>2671</v>
      </c>
      <c r="B26" s="0" t="s">
        <v>2672</v>
      </c>
      <c r="C26" s="0" t="s">
        <v>391</v>
      </c>
      <c r="D26" s="32" t="n">
        <f aca="false">D$25*D5</f>
        <v>0</v>
      </c>
      <c r="E26" s="32" t="n">
        <f aca="false">E$25*E5</f>
        <v>4.13051127590411</v>
      </c>
      <c r="F26" s="32" t="n">
        <f aca="false">F$25*F5</f>
        <v>23.0752669518602</v>
      </c>
      <c r="G26" s="32" t="n">
        <f aca="false">G$25*G5</f>
        <v>31.9141972257009</v>
      </c>
      <c r="H26" s="32" t="n">
        <f aca="false">H$25*H5</f>
        <v>58.5409975113945</v>
      </c>
      <c r="I26" s="32" t="n">
        <f aca="false">I$25*I5</f>
        <v>68.6543966383419</v>
      </c>
      <c r="J26" s="32" t="n">
        <f aca="false">J$25*J5</f>
        <v>70.5418436675013</v>
      </c>
      <c r="K26" s="32" t="n">
        <f aca="false">K$25*K5</f>
        <v>71.665157698112</v>
      </c>
      <c r="L26" s="32" t="n">
        <f aca="false">L$25*L5</f>
        <v>62.8556575773314</v>
      </c>
      <c r="M26" s="32" t="n">
        <f aca="false">M$25*M5</f>
        <v>42.8781965818382</v>
      </c>
    </row>
    <row r="27" customFormat="false" ht="17.15" hidden="false" customHeight="false" outlineLevel="0" collapsed="false">
      <c r="A27" s="5" t="s">
        <v>2673</v>
      </c>
      <c r="B27" s="0" t="s">
        <v>2674</v>
      </c>
      <c r="C27" s="0" t="s">
        <v>391</v>
      </c>
      <c r="D27" s="32" t="n">
        <f aca="false">D$25*D6</f>
        <v>0</v>
      </c>
      <c r="E27" s="32" t="n">
        <f aca="false">E$25*E6</f>
        <v>2.59169334958689</v>
      </c>
      <c r="F27" s="32" t="n">
        <f aca="false">F$25*F6</f>
        <v>14.4785988717555</v>
      </c>
      <c r="G27" s="32" t="n">
        <f aca="false">G$25*G6</f>
        <v>20.0245943376947</v>
      </c>
      <c r="H27" s="32" t="n">
        <f aca="false">H$25*H6</f>
        <v>36.7316062816593</v>
      </c>
      <c r="I27" s="32" t="n">
        <f aca="false">I$25*I6</f>
        <v>43.0772684789596</v>
      </c>
      <c r="J27" s="32" t="n">
        <f aca="false">J$25*J6</f>
        <v>44.261548967844</v>
      </c>
      <c r="K27" s="32" t="n">
        <f aca="false">K$25*K6</f>
        <v>44.9663734576389</v>
      </c>
      <c r="L27" s="32" t="n">
        <f aca="false">L$25*L6</f>
        <v>39.4388439700903</v>
      </c>
      <c r="M27" s="32" t="n">
        <f aca="false">M$25*M6</f>
        <v>26.903966482722</v>
      </c>
    </row>
    <row r="28" customFormat="false" ht="17.15" hidden="false" customHeight="false" outlineLevel="0" collapsed="false">
      <c r="A28" s="5" t="s">
        <v>2675</v>
      </c>
      <c r="B28" s="0" t="s">
        <v>2676</v>
      </c>
      <c r="C28" s="0" t="s">
        <v>391</v>
      </c>
      <c r="D28" s="32" t="n">
        <f aca="false">D$25*D7</f>
        <v>0</v>
      </c>
      <c r="E28" s="32" t="n">
        <f aca="false">E$25*E7</f>
        <v>1.21485625761885</v>
      </c>
      <c r="F28" s="32" t="n">
        <f aca="false">F$25*F7</f>
        <v>6.78684322113537</v>
      </c>
      <c r="G28" s="32" t="n">
        <f aca="false">G$25*G7</f>
        <v>9.38652859579439</v>
      </c>
      <c r="H28" s="32" t="n">
        <f aca="false">H$25*H7</f>
        <v>17.2179404445278</v>
      </c>
      <c r="I28" s="32" t="n">
        <f aca="false">I$25*I7</f>
        <v>20.1924695995123</v>
      </c>
      <c r="J28" s="32" t="n">
        <f aca="false">J$25*J7</f>
        <v>20.7476010786769</v>
      </c>
      <c r="K28" s="32" t="n">
        <f aca="false">K$25*K7</f>
        <v>21.0779875582682</v>
      </c>
      <c r="L28" s="32" t="n">
        <f aca="false">L$25*L7</f>
        <v>18.4869581109798</v>
      </c>
      <c r="M28" s="32" t="n">
        <f aca="false">M$25*M7</f>
        <v>12.6112342887759</v>
      </c>
    </row>
    <row r="29" customFormat="false" ht="15" hidden="false" customHeight="false" outlineLevel="0" collapsed="false">
      <c r="A29" s="5" t="s">
        <v>2677</v>
      </c>
      <c r="B29" s="0" t="s">
        <v>2678</v>
      </c>
      <c r="C29" s="0" t="s">
        <v>391</v>
      </c>
      <c r="D29" s="32" t="n">
        <f aca="false">D$25*D8</f>
        <v>0</v>
      </c>
      <c r="E29" s="32" t="n">
        <f aca="false">E$25*E8</f>
        <v>3.07763585263443</v>
      </c>
      <c r="F29" s="32" t="n">
        <f aca="false">F$25*F8</f>
        <v>17.1933361602096</v>
      </c>
      <c r="G29" s="32" t="n">
        <f aca="false">G$25*G8</f>
        <v>23.7792057760125</v>
      </c>
      <c r="H29" s="32" t="n">
        <f aca="false">H$25*H8</f>
        <v>43.6187824594704</v>
      </c>
      <c r="I29" s="32" t="n">
        <f aca="false">I$25*I8</f>
        <v>51.1542563187645</v>
      </c>
      <c r="J29" s="32" t="n">
        <f aca="false">J$25*J8</f>
        <v>52.5605893993147</v>
      </c>
      <c r="K29" s="32" t="n">
        <f aca="false">K$25*K8</f>
        <v>53.3975684809462</v>
      </c>
      <c r="L29" s="32" t="n">
        <f aca="false">L$25*L8</f>
        <v>46.8336272144822</v>
      </c>
      <c r="M29" s="32" t="n">
        <f aca="false">M$25*M8</f>
        <v>31.9484601982324</v>
      </c>
    </row>
    <row r="30" customFormat="false" ht="15" hidden="false" customHeight="false" outlineLevel="0" collapsed="false">
      <c r="A30" s="5" t="s">
        <v>2679</v>
      </c>
      <c r="B30" s="0" t="s">
        <v>2680</v>
      </c>
      <c r="C30" s="0" t="s">
        <v>391</v>
      </c>
      <c r="D30" s="32" t="n">
        <f aca="false">D$25*D9</f>
        <v>0</v>
      </c>
      <c r="E30" s="32" t="n">
        <f aca="false">E$25*E9</f>
        <v>2.75367418393607</v>
      </c>
      <c r="F30" s="32" t="n">
        <f aca="false">F$25*F9</f>
        <v>15.3835113012402</v>
      </c>
      <c r="G30" s="32" t="n">
        <f aca="false">G$25*G9</f>
        <v>21.2761314838006</v>
      </c>
      <c r="H30" s="32" t="n">
        <f aca="false">H$25*H9</f>
        <v>39.027331674263</v>
      </c>
      <c r="I30" s="32" t="n">
        <f aca="false">I$25*I9</f>
        <v>45.7695977588946</v>
      </c>
      <c r="J30" s="32" t="n">
        <f aca="false">J$25*J9</f>
        <v>47.0278957783342</v>
      </c>
      <c r="K30" s="32" t="n">
        <f aca="false">K$25*K9</f>
        <v>47.7767717987414</v>
      </c>
      <c r="L30" s="32" t="n">
        <f aca="false">L$25*L9</f>
        <v>41.9037717182209</v>
      </c>
      <c r="M30" s="32" t="n">
        <f aca="false">M$25*M9</f>
        <v>28.5854643878921</v>
      </c>
    </row>
    <row r="31" customFormat="false" ht="15" hidden="false" customHeight="false" outlineLevel="0" collapsed="false">
      <c r="A31" s="5" t="s">
        <v>2681</v>
      </c>
      <c r="B31" s="0" t="s">
        <v>2682</v>
      </c>
      <c r="C31" s="0" t="s">
        <v>391</v>
      </c>
      <c r="D31" s="32" t="n">
        <f aca="false">D$25*D10</f>
        <v>0</v>
      </c>
      <c r="E31" s="32" t="n">
        <f aca="false">E$25*E10</f>
        <v>4.77843461330083</v>
      </c>
      <c r="F31" s="32" t="n">
        <f aca="false">F$25*F10</f>
        <v>26.6949166697991</v>
      </c>
      <c r="G31" s="32" t="n">
        <f aca="false">G$25*G10</f>
        <v>36.9203458101246</v>
      </c>
      <c r="H31" s="32" t="n">
        <f aca="false">H$25*H10</f>
        <v>67.7238990818093</v>
      </c>
      <c r="I31" s="32" t="n">
        <f aca="false">I$25*I10</f>
        <v>79.4237137580818</v>
      </c>
      <c r="J31" s="32" t="n">
        <f aca="false">J$25*J10</f>
        <v>81.6072309094623</v>
      </c>
      <c r="K31" s="32" t="n">
        <f aca="false">K$25*K10</f>
        <v>82.9067510625218</v>
      </c>
      <c r="L31" s="32" t="n">
        <f aca="false">L$25*L10</f>
        <v>72.715368569854</v>
      </c>
      <c r="M31" s="32" t="n">
        <f aca="false">M$25*M10</f>
        <v>49.6041882025187</v>
      </c>
    </row>
    <row r="32" customFormat="false" ht="17.15" hidden="false" customHeight="false" outlineLevel="0" collapsed="false">
      <c r="A32" s="5" t="s">
        <v>2683</v>
      </c>
      <c r="B32" s="0" t="s">
        <v>2684</v>
      </c>
      <c r="C32" s="0" t="s">
        <v>391</v>
      </c>
      <c r="D32" s="32" t="n">
        <f aca="false">D$25*D11</f>
        <v>0</v>
      </c>
      <c r="E32" s="32" t="n">
        <f aca="false">E$25*E11</f>
        <v>1.13386584044426</v>
      </c>
      <c r="F32" s="32" t="n">
        <f aca="false">F$25*F11</f>
        <v>6.33438700639301</v>
      </c>
      <c r="G32" s="32" t="n">
        <f aca="false">G$25*G11</f>
        <v>8.76076002274143</v>
      </c>
      <c r="H32" s="32" t="n">
        <f aca="false">H$25*H11</f>
        <v>16.0700777482259</v>
      </c>
      <c r="I32" s="32" t="n">
        <f aca="false">I$25*I11</f>
        <v>18.8463049595448</v>
      </c>
      <c r="J32" s="32" t="n">
        <f aca="false">J$25*J11</f>
        <v>19.3644276734317</v>
      </c>
      <c r="K32" s="32" t="n">
        <f aca="false">K$25*K11</f>
        <v>19.672788387717</v>
      </c>
      <c r="L32" s="32" t="n">
        <f aca="false">L$25*L11</f>
        <v>17.2544942369145</v>
      </c>
      <c r="M32" s="32" t="n">
        <f aca="false">M$25*M11</f>
        <v>11.7704853361909</v>
      </c>
    </row>
    <row r="33" customFormat="false" ht="17.15" hidden="false" customHeight="false" outlineLevel="0" collapsed="false">
      <c r="A33" s="5" t="s">
        <v>2685</v>
      </c>
      <c r="B33" s="0" t="s">
        <v>2686</v>
      </c>
      <c r="C33" s="0" t="s">
        <v>391</v>
      </c>
      <c r="D33" s="32" t="n">
        <f aca="false">D$25*D12</f>
        <v>0</v>
      </c>
      <c r="E33" s="32" t="n">
        <f aca="false">E$25*E12</f>
        <v>0.485942503047542</v>
      </c>
      <c r="F33" s="32" t="n">
        <f aca="false">F$25*F12</f>
        <v>2.71473728845415</v>
      </c>
      <c r="G33" s="32" t="n">
        <f aca="false">G$25*G12</f>
        <v>3.75461143831776</v>
      </c>
      <c r="H33" s="32" t="n">
        <f aca="false">H$25*H12</f>
        <v>6.88717617781112</v>
      </c>
      <c r="I33" s="32" t="n">
        <f aca="false">I$25*I12</f>
        <v>8.07698783980493</v>
      </c>
      <c r="J33" s="32" t="n">
        <f aca="false">J$25*J12</f>
        <v>8.29904043147074</v>
      </c>
      <c r="K33" s="32" t="n">
        <f aca="false">K$25*K12</f>
        <v>8.4311950233073</v>
      </c>
      <c r="L33" s="32" t="n">
        <f aca="false">L$25*L12</f>
        <v>7.39478324439193</v>
      </c>
      <c r="M33" s="32" t="n">
        <f aca="false">M$25*M12</f>
        <v>5.04449371551037</v>
      </c>
    </row>
    <row r="34" customFormat="false" ht="15" hidden="false" customHeight="false" outlineLevel="0" collapsed="false">
      <c r="A34" s="5" t="s">
        <v>2687</v>
      </c>
      <c r="B34" s="0" t="s">
        <v>2688</v>
      </c>
      <c r="C34" s="0" t="s">
        <v>391</v>
      </c>
      <c r="D34" s="32" t="n">
        <f aca="false">D$25*D13</f>
        <v>0</v>
      </c>
      <c r="E34" s="32" t="n">
        <f aca="false">E$25*E13</f>
        <v>0.323961668698361</v>
      </c>
      <c r="F34" s="32" t="n">
        <f aca="false">F$25*F13</f>
        <v>1.80982485896943</v>
      </c>
      <c r="G34" s="32" t="n">
        <f aca="false">G$25*G13</f>
        <v>2.50307429221184</v>
      </c>
      <c r="H34" s="32" t="n">
        <f aca="false">H$25*H13</f>
        <v>4.59145078520741</v>
      </c>
      <c r="I34" s="32" t="n">
        <f aca="false">I$25*I13</f>
        <v>5.38465855986995</v>
      </c>
      <c r="J34" s="32" t="n">
        <f aca="false">J$25*J13</f>
        <v>5.5326936209805</v>
      </c>
      <c r="K34" s="32" t="n">
        <f aca="false">K$25*K13</f>
        <v>5.62079668220487</v>
      </c>
      <c r="L34" s="32" t="n">
        <f aca="false">L$25*L13</f>
        <v>4.92985549626129</v>
      </c>
      <c r="M34" s="32" t="n">
        <f aca="false">M$25*M13</f>
        <v>3.36299581034025</v>
      </c>
    </row>
    <row r="35" customFormat="false" ht="15" hidden="false" customHeight="false" outlineLevel="0" collapsed="false">
      <c r="A35" s="5" t="s">
        <v>2689</v>
      </c>
      <c r="B35" s="0" t="s">
        <v>2690</v>
      </c>
      <c r="C35" s="0" t="s">
        <v>391</v>
      </c>
      <c r="D35" s="32" t="n">
        <f aca="false">D$25*D14</f>
        <v>0</v>
      </c>
      <c r="E35" s="32" t="n">
        <f aca="false">E$25*E14</f>
        <v>0.0323961668698383</v>
      </c>
      <c r="F35" s="32" t="n">
        <f aca="false">F$25*F14</f>
        <v>0.180982485896955</v>
      </c>
      <c r="G35" s="32" t="n">
        <f aca="false">G$25*G14</f>
        <v>0.250307429221201</v>
      </c>
      <c r="H35" s="32" t="n">
        <f aca="false">H$25*H14</f>
        <v>0.459145078520772</v>
      </c>
      <c r="I35" s="32" t="n">
        <f aca="false">I$25*I14</f>
        <v>0.538465855987032</v>
      </c>
      <c r="J35" s="32" t="n">
        <f aca="false">J$25*J14</f>
        <v>0.553269362098087</v>
      </c>
      <c r="K35" s="32" t="n">
        <f aca="false">K$25*K14</f>
        <v>0.562079668220525</v>
      </c>
      <c r="L35" s="32" t="n">
        <f aca="false">L$25*L14</f>
        <v>0.492985549626162</v>
      </c>
      <c r="M35" s="32" t="n">
        <f aca="false">M$25*M14</f>
        <v>0.336299581034048</v>
      </c>
    </row>
    <row r="36" customFormat="false" ht="17.15" hidden="false" customHeight="false" outlineLevel="0" collapsed="false">
      <c r="A36" s="5" t="s">
        <v>2691</v>
      </c>
      <c r="C36" s="0" t="s">
        <v>391</v>
      </c>
      <c r="D36" s="32" t="n">
        <f aca="false">SUM(D26:D35)</f>
        <v>0</v>
      </c>
      <c r="E36" s="32" t="n">
        <f aca="false">SUM(E26:E35)</f>
        <v>20.5229717120412</v>
      </c>
      <c r="F36" s="32" t="n">
        <f aca="false">SUM(F26:F35)</f>
        <v>114.652404815713</v>
      </c>
      <c r="G36" s="32" t="n">
        <f aca="false">SUM(G26:G35)</f>
        <v>158.56975641162</v>
      </c>
      <c r="H36" s="32" t="n">
        <f aca="false">SUM(H26:H35)</f>
        <v>290.86840724289</v>
      </c>
      <c r="I36" s="32" t="n">
        <f aca="false">SUM(I26:I35)</f>
        <v>341.118119767762</v>
      </c>
      <c r="J36" s="32" t="n">
        <f aca="false">SUM(J26:J35)</f>
        <v>350.496140889114</v>
      </c>
      <c r="K36" s="32" t="n">
        <f aca="false">SUM(K26:K35)</f>
        <v>356.077469817678</v>
      </c>
      <c r="L36" s="32" t="n">
        <f aca="false">SUM(L26:L35)</f>
        <v>312.306345688153</v>
      </c>
      <c r="M36" s="32" t="n">
        <f aca="false">SUM(M26:M35)</f>
        <v>213.045784585055</v>
      </c>
    </row>
    <row r="37" customFormat="false" ht="17.15" hidden="false" customHeight="false" outlineLevel="0" collapsed="false">
      <c r="A37" s="5" t="s">
        <v>2692</v>
      </c>
      <c r="B37" s="0" t="s">
        <v>2693</v>
      </c>
      <c r="C37" s="0" t="s">
        <v>391</v>
      </c>
      <c r="D37" s="32" t="n">
        <f aca="false">D$25*self_sh*D16</f>
        <v>0</v>
      </c>
      <c r="E37" s="32" t="n">
        <f aca="false">E$25*self_sh*E16</f>
        <v>0.746407684681024</v>
      </c>
      <c r="F37" s="32" t="n">
        <f aca="false">F$25*self_sh*F16</f>
        <v>4.16983647506557</v>
      </c>
      <c r="G37" s="32" t="n">
        <f aca="false">G$25*self_sh*G16</f>
        <v>5.76708316925607</v>
      </c>
      <c r="H37" s="32" t="n">
        <f aca="false">H$25*self_sh*H16</f>
        <v>10.5787026091179</v>
      </c>
      <c r="I37" s="32" t="n">
        <f aca="false">I$25*self_sh*I16</f>
        <v>12.4062533219404</v>
      </c>
      <c r="J37" s="32" t="n">
        <f aca="false">J$25*self_sh*J16</f>
        <v>12.7473261027391</v>
      </c>
      <c r="K37" s="32" t="n">
        <f aca="false">K$25*self_sh*K16</f>
        <v>12.9503155558</v>
      </c>
      <c r="L37" s="32" t="n">
        <f aca="false">L$25*self_sh*L16</f>
        <v>11.358387063386</v>
      </c>
      <c r="M37" s="32" t="n">
        <f aca="false">M$25*self_sh*M16</f>
        <v>7.74834234702393</v>
      </c>
    </row>
    <row r="38" customFormat="false" ht="17.15" hidden="false" customHeight="false" outlineLevel="0" collapsed="false">
      <c r="A38" s="5" t="s">
        <v>2694</v>
      </c>
      <c r="C38" s="0" t="s">
        <v>78</v>
      </c>
      <c r="D38" s="32" t="n">
        <f aca="false">D$25*fac_gen_mult</f>
        <v>0</v>
      </c>
      <c r="E38" s="32" t="n">
        <f aca="false">E$25*fac_gen_mult</f>
        <v>2.59169334958689</v>
      </c>
      <c r="F38" s="32" t="n">
        <f aca="false">F$25*fac_gen_mult</f>
        <v>14.4785988717555</v>
      </c>
      <c r="G38" s="32" t="n">
        <f aca="false">G$25*fac_gen_mult</f>
        <v>20.0245943376947</v>
      </c>
      <c r="H38" s="32" t="n">
        <f aca="false">H$25*fac_gen_mult</f>
        <v>36.7316062816593</v>
      </c>
      <c r="I38" s="32" t="n">
        <f aca="false">I$25*fac_gen_mult</f>
        <v>43.0772684789596</v>
      </c>
      <c r="J38" s="32" t="n">
        <f aca="false">J$25*fac_gen_mult</f>
        <v>44.261548967844</v>
      </c>
      <c r="K38" s="32" t="n">
        <f aca="false">K$25*fac_gen_mult</f>
        <v>44.9663734576389</v>
      </c>
      <c r="L38" s="32" t="n">
        <f aca="false">L$25*fac_gen_mult</f>
        <v>39.4388439700903</v>
      </c>
      <c r="M38" s="32" t="n">
        <f aca="false">M$25*fac_gen_mult</f>
        <v>26.903966482722</v>
      </c>
    </row>
    <row r="39" customFormat="false" ht="17.15" hidden="false" customHeight="false" outlineLevel="0" collapsed="false">
      <c r="A39" s="5" t="s">
        <v>2695</v>
      </c>
      <c r="C39" s="0" t="s">
        <v>78</v>
      </c>
      <c r="D39" s="32" t="n">
        <f aca="false">D$25*self_sh*self_gw</f>
        <v>0</v>
      </c>
      <c r="E39" s="32" t="n">
        <f aca="false">E$25*self_sh*self_gw</f>
        <v>0.46650480292564</v>
      </c>
      <c r="F39" s="32" t="n">
        <f aca="false">F$25*self_sh*self_gw</f>
        <v>2.60614779691598</v>
      </c>
      <c r="G39" s="32" t="n">
        <f aca="false">G$25*self_sh*self_gw</f>
        <v>3.60442698078505</v>
      </c>
      <c r="H39" s="32" t="n">
        <f aca="false">H$25*self_sh*self_gw</f>
        <v>6.61168913069867</v>
      </c>
      <c r="I39" s="32" t="n">
        <f aca="false">I$25*self_sh*self_gw</f>
        <v>7.75390832621273</v>
      </c>
      <c r="J39" s="32" t="n">
        <f aca="false">J$25*self_sh*self_gw</f>
        <v>7.96707881421191</v>
      </c>
      <c r="K39" s="32" t="n">
        <f aca="false">K$25*self_sh*self_gw</f>
        <v>8.09394722237501</v>
      </c>
      <c r="L39" s="32" t="n">
        <f aca="false">L$25*self_sh*self_gw</f>
        <v>7.09899191461625</v>
      </c>
      <c r="M39" s="32" t="n">
        <f aca="false">M$25*self_sh*self_gw</f>
        <v>4.84271396688996</v>
      </c>
    </row>
    <row r="41" customFormat="false" ht="17.15" hidden="false" customHeight="false" outlineLevel="0" collapsed="false">
      <c r="A41" s="21" t="s">
        <v>2696</v>
      </c>
      <c r="D41" s="23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2697</v>
      </c>
    </row>
    <row r="3" customFormat="false" ht="17.15" hidden="false" customHeight="false" outlineLevel="0" collapsed="false">
      <c r="A3" s="6" t="s">
        <v>2698</v>
      </c>
      <c r="B3" s="6" t="s">
        <v>15</v>
      </c>
      <c r="C3" s="7" t="s">
        <v>2699</v>
      </c>
      <c r="D3" s="7" t="s">
        <v>2700</v>
      </c>
      <c r="E3" s="6" t="s">
        <v>2701</v>
      </c>
      <c r="F3" s="6" t="s">
        <v>2702</v>
      </c>
    </row>
    <row r="4" customFormat="false" ht="17.15" hidden="false" customHeight="false" outlineLevel="0" collapsed="false">
      <c r="A4" s="5" t="s">
        <v>2703</v>
      </c>
      <c r="B4" s="0" t="s">
        <v>2704</v>
      </c>
      <c r="C4" s="38" t="n">
        <v>0.516</v>
      </c>
      <c r="D4" s="20" t="s">
        <v>2705</v>
      </c>
      <c r="E4" s="20" t="s">
        <v>2706</v>
      </c>
      <c r="F4" s="20" t="s">
        <v>2707</v>
      </c>
    </row>
    <row r="5" customFormat="false" ht="17.15" hidden="false" customHeight="false" outlineLevel="0" collapsed="false">
      <c r="A5" s="5" t="s">
        <v>2708</v>
      </c>
      <c r="B5" s="0" t="s">
        <v>2709</v>
      </c>
      <c r="C5" s="38" t="n">
        <v>0.135</v>
      </c>
      <c r="D5" s="20" t="s">
        <v>2710</v>
      </c>
      <c r="E5" s="20" t="s">
        <v>2711</v>
      </c>
      <c r="F5" s="20" t="s">
        <v>2707</v>
      </c>
    </row>
    <row r="6" customFormat="false" ht="17.15" hidden="false" customHeight="false" outlineLevel="0" collapsed="false">
      <c r="A6" s="5" t="s">
        <v>2712</v>
      </c>
      <c r="B6" s="0" t="s">
        <v>2713</v>
      </c>
      <c r="C6" s="38" t="n">
        <v>0.175</v>
      </c>
      <c r="D6" s="20" t="s">
        <v>2714</v>
      </c>
      <c r="E6" s="20" t="s">
        <v>2706</v>
      </c>
      <c r="F6" s="20" t="s">
        <v>2707</v>
      </c>
    </row>
    <row r="7" customFormat="false" ht="17.15" hidden="false" customHeight="false" outlineLevel="0" collapsed="false">
      <c r="A7" s="5" t="s">
        <v>2715</v>
      </c>
      <c r="B7" s="0" t="s">
        <v>2716</v>
      </c>
      <c r="C7" s="38" t="n">
        <v>0.054</v>
      </c>
      <c r="D7" s="20" t="s">
        <v>2717</v>
      </c>
      <c r="E7" s="20" t="s">
        <v>2706</v>
      </c>
      <c r="F7" s="20" t="s">
        <v>2707</v>
      </c>
    </row>
    <row r="8" customFormat="false" ht="17.15" hidden="false" customHeight="false" outlineLevel="0" collapsed="false">
      <c r="A8" s="5" t="s">
        <v>2718</v>
      </c>
      <c r="B8" s="0" t="s">
        <v>2719</v>
      </c>
      <c r="C8" s="38" t="n">
        <v>0.003</v>
      </c>
      <c r="D8" s="20" t="s">
        <v>2720</v>
      </c>
      <c r="E8" s="20" t="s">
        <v>2721</v>
      </c>
      <c r="F8" s="20" t="s">
        <v>2707</v>
      </c>
    </row>
    <row r="9" customFormat="false" ht="17.15" hidden="false" customHeight="false" outlineLevel="0" collapsed="false">
      <c r="A9" s="5" t="s">
        <v>2722</v>
      </c>
      <c r="B9" s="0" t="s">
        <v>2723</v>
      </c>
      <c r="C9" s="38" t="n">
        <v>0.063</v>
      </c>
      <c r="D9" s="20" t="s">
        <v>2724</v>
      </c>
      <c r="E9" s="20" t="s">
        <v>2725</v>
      </c>
      <c r="F9" s="20" t="s">
        <v>2707</v>
      </c>
    </row>
    <row r="10" customFormat="false" ht="17.15" hidden="false" customHeight="false" outlineLevel="0" collapsed="false">
      <c r="A10" s="5" t="s">
        <v>2726</v>
      </c>
      <c r="B10" s="0" t="s">
        <v>2727</v>
      </c>
      <c r="C10" s="38" t="n">
        <v>0.046</v>
      </c>
      <c r="D10" s="20" t="s">
        <v>2728</v>
      </c>
      <c r="E10" s="20" t="s">
        <v>2729</v>
      </c>
      <c r="F10" s="20" t="s">
        <v>2707</v>
      </c>
    </row>
    <row r="11" customFormat="false" ht="17.15" hidden="false" customHeight="false" outlineLevel="0" collapsed="false">
      <c r="A11" s="5" t="s">
        <v>2730</v>
      </c>
      <c r="B11" s="0" t="s">
        <v>2731</v>
      </c>
      <c r="C11" s="38" t="n">
        <v>0.008</v>
      </c>
      <c r="D11" s="20" t="s">
        <v>2732</v>
      </c>
      <c r="E11" s="20" t="s">
        <v>2706</v>
      </c>
      <c r="F11" s="20" t="s">
        <v>2707</v>
      </c>
    </row>
    <row r="12" customFormat="false" ht="17.15" hidden="false" customHeight="false" outlineLevel="0" collapsed="false">
      <c r="A12" s="21" t="s">
        <v>2733</v>
      </c>
      <c r="C12" s="23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2734</v>
      </c>
    </row>
    <row r="3" customFormat="false" ht="15" hidden="false" customHeight="false" outlineLevel="0" collapsed="false">
      <c r="A3" s="6" t="s">
        <v>16</v>
      </c>
      <c r="B3" s="6" t="s">
        <v>15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5" t="s">
        <v>2735</v>
      </c>
      <c r="C4" s="0" t="s">
        <v>78</v>
      </c>
      <c r="D4" s="29" t="n">
        <f aca="false">Facility!D25</f>
        <v>0</v>
      </c>
      <c r="E4" s="29" t="n">
        <f aca="false">Facility!E25</f>
        <v>1.61980834349181</v>
      </c>
      <c r="F4" s="29" t="n">
        <f aca="false">Facility!F25</f>
        <v>9.04912429484716</v>
      </c>
      <c r="G4" s="29" t="n">
        <f aca="false">Facility!G25</f>
        <v>12.5153714610592</v>
      </c>
      <c r="H4" s="29" t="n">
        <f aca="false">Facility!H25</f>
        <v>22.9572539260371</v>
      </c>
      <c r="I4" s="29" t="n">
        <f aca="false">Facility!I25</f>
        <v>26.9232927993498</v>
      </c>
      <c r="J4" s="29" t="n">
        <f aca="false">Facility!J25</f>
        <v>27.6634681049025</v>
      </c>
      <c r="K4" s="29" t="n">
        <f aca="false">Facility!K25</f>
        <v>28.1039834110243</v>
      </c>
      <c r="L4" s="29" t="n">
        <f aca="false">Facility!L25</f>
        <v>24.6492774813064</v>
      </c>
      <c r="M4" s="29" t="n">
        <f aca="false">Facility!M25</f>
        <v>16.8149790517012</v>
      </c>
    </row>
    <row r="5" customFormat="false" ht="17.15" hidden="false" customHeight="false" outlineLevel="0" collapsed="false">
      <c r="A5" s="5" t="s">
        <v>2736</v>
      </c>
      <c r="C5" s="0" t="s">
        <v>226</v>
      </c>
      <c r="D5" s="29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29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29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29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29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29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29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29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29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29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2737</v>
      </c>
    </row>
    <row r="8" customFormat="false" ht="15" hidden="false" customHeight="false" outlineLevel="0" collapsed="false">
      <c r="A8" s="5" t="s">
        <v>2738</v>
      </c>
      <c r="B8" s="0" t="s">
        <v>2739</v>
      </c>
      <c r="C8" s="0" t="s">
        <v>391</v>
      </c>
      <c r="D8" s="32" t="n">
        <f aca="false">D$4*D$5*SEG_compute</f>
        <v>0</v>
      </c>
      <c r="E8" s="32" t="n">
        <f aca="false">E$4*E$5*SEG_compute</f>
        <v>22.5302381301231</v>
      </c>
      <c r="F8" s="32" t="n">
        <f aca="false">F$4*F$5*SEG_compute</f>
        <v>120.526480331681</v>
      </c>
      <c r="G8" s="32" t="n">
        <f aca="false">G$4*G$5*SEG_compute</f>
        <v>203.123153153356</v>
      </c>
      <c r="H8" s="32" t="n">
        <f aca="false">H$4*H$5*SEG_compute</f>
        <v>411.611484987765</v>
      </c>
      <c r="I8" s="32" t="n">
        <f aca="false">I$4*I$5*SEG_compute</f>
        <v>513.718022432297</v>
      </c>
      <c r="J8" s="32" t="n">
        <f aca="false">J$4*J$5*SEG_compute</f>
        <v>527.249601573162</v>
      </c>
      <c r="K8" s="32" t="n">
        <f aca="false">K$4*K$5*SEG_compute</f>
        <v>535.645566922079</v>
      </c>
      <c r="L8" s="32" t="n">
        <f aca="false">L$4*L$5*SEG_compute</f>
        <v>469.800882586444</v>
      </c>
      <c r="M8" s="32" t="n">
        <f aca="false">M$4*M$5*SEG_compute</f>
        <v>320.483714184028</v>
      </c>
    </row>
    <row r="9" customFormat="false" ht="15" hidden="false" customHeight="false" outlineLevel="0" collapsed="false">
      <c r="A9" s="5" t="s">
        <v>2740</v>
      </c>
      <c r="B9" s="0" t="s">
        <v>2741</v>
      </c>
      <c r="C9" s="0" t="s">
        <v>391</v>
      </c>
      <c r="D9" s="32" t="n">
        <f aca="false">D$4*D$5*SEG_memory</f>
        <v>0</v>
      </c>
      <c r="E9" s="32" t="n">
        <f aca="false">E$4*E$5*SEG_memory</f>
        <v>5.89453904567174</v>
      </c>
      <c r="F9" s="32" t="n">
        <f aca="false">F$4*F$5*SEG_memory</f>
        <v>31.5330907844514</v>
      </c>
      <c r="G9" s="32" t="n">
        <f aca="false">G$4*G$5*SEG_memory</f>
        <v>53.1426854180292</v>
      </c>
      <c r="H9" s="32" t="n">
        <f aca="false">H$4*H$5*SEG_memory</f>
        <v>107.689051304939</v>
      </c>
      <c r="I9" s="32" t="n">
        <f aca="false">I$4*I$5*SEG_memory</f>
        <v>134.402970985194</v>
      </c>
      <c r="J9" s="32" t="n">
        <f aca="false">J$4*J$5*SEG_memory</f>
        <v>137.943209713909</v>
      </c>
      <c r="K9" s="32" t="n">
        <f aca="false">K$4*K$5*SEG_memory</f>
        <v>140.139828555195</v>
      </c>
      <c r="L9" s="32" t="n">
        <f aca="false">L$4*L$5*SEG_memory</f>
        <v>122.913021606919</v>
      </c>
      <c r="M9" s="32" t="n">
        <f aca="false">M$4*M$5*SEG_memory</f>
        <v>83.8474833621004</v>
      </c>
    </row>
    <row r="10" customFormat="false" ht="15" hidden="false" customHeight="false" outlineLevel="0" collapsed="false">
      <c r="A10" s="5" t="s">
        <v>2742</v>
      </c>
      <c r="B10" s="0" t="s">
        <v>2743</v>
      </c>
      <c r="C10" s="0" t="s">
        <v>391</v>
      </c>
      <c r="D10" s="32" t="n">
        <f aca="false">D$4*D$5*SEG_network</f>
        <v>0</v>
      </c>
      <c r="E10" s="32" t="n">
        <f aca="false">E$4*E$5*SEG_network</f>
        <v>7.64106913327818</v>
      </c>
      <c r="F10" s="32" t="n">
        <f aca="false">F$4*F$5*SEG_network</f>
        <v>40.8762287946592</v>
      </c>
      <c r="G10" s="32" t="n">
        <f aca="false">G$4*G$5*SEG_network</f>
        <v>68.8886662826304</v>
      </c>
      <c r="H10" s="32" t="n">
        <f aca="false">H$4*H$5*SEG_network</f>
        <v>139.596918358254</v>
      </c>
      <c r="I10" s="32" t="n">
        <f aca="false">I$4*I$5*SEG_network</f>
        <v>174.226073499326</v>
      </c>
      <c r="J10" s="32" t="n">
        <f aca="false">J$4*J$5*SEG_network</f>
        <v>178.815271851363</v>
      </c>
      <c r="K10" s="32" t="n">
        <f aca="false">K$4*K$5*SEG_network</f>
        <v>181.662740719697</v>
      </c>
      <c r="L10" s="32" t="n">
        <f aca="false">L$4*L$5*SEG_network</f>
        <v>159.331694675635</v>
      </c>
      <c r="M10" s="32" t="n">
        <f aca="false">M$4*M$5*SEG_network</f>
        <v>108.691182136056</v>
      </c>
    </row>
    <row r="11" customFormat="false" ht="15" hidden="false" customHeight="false" outlineLevel="0" collapsed="false">
      <c r="A11" s="5" t="s">
        <v>2744</v>
      </c>
      <c r="B11" s="0" t="s">
        <v>2745</v>
      </c>
      <c r="C11" s="0" t="s">
        <v>391</v>
      </c>
      <c r="D11" s="32" t="n">
        <f aca="false">D$4*D$5*SEG_foundry</f>
        <v>0</v>
      </c>
      <c r="E11" s="32" t="n">
        <f aca="false">E$4*E$5*SEG_foundry</f>
        <v>2.3578156182687</v>
      </c>
      <c r="F11" s="32" t="n">
        <f aca="false">F$4*F$5*SEG_foundry</f>
        <v>12.6132363137805</v>
      </c>
      <c r="G11" s="32" t="n">
        <f aca="false">G$4*G$5*SEG_foundry</f>
        <v>21.2570741672117</v>
      </c>
      <c r="H11" s="32" t="n">
        <f aca="false">H$4*H$5*SEG_foundry</f>
        <v>43.0756205219754</v>
      </c>
      <c r="I11" s="32" t="n">
        <f aca="false">I$4*I$5*SEG_foundry</f>
        <v>53.7611883940776</v>
      </c>
      <c r="J11" s="32" t="n">
        <f aca="false">J$4*J$5*SEG_foundry</f>
        <v>55.1772838855635</v>
      </c>
      <c r="K11" s="32" t="n">
        <f aca="false">K$4*K$5*SEG_foundry</f>
        <v>56.0559314220781</v>
      </c>
      <c r="L11" s="32" t="n">
        <f aca="false">L$4*L$5*SEG_foundry</f>
        <v>49.1652086427674</v>
      </c>
      <c r="M11" s="32" t="n">
        <f aca="false">M$4*M$5*SEG_foundry</f>
        <v>33.5389933448402</v>
      </c>
    </row>
    <row r="12" customFormat="false" ht="17.15" hidden="false" customHeight="false" outlineLevel="0" collapsed="false">
      <c r="A12" s="5" t="s">
        <v>2746</v>
      </c>
      <c r="B12" s="0" t="s">
        <v>2747</v>
      </c>
      <c r="C12" s="0" t="s">
        <v>391</v>
      </c>
      <c r="D12" s="32" t="n">
        <f aca="false">D$4*D$5*SEG_substrate</f>
        <v>0</v>
      </c>
      <c r="E12" s="32" t="n">
        <f aca="false">E$4*E$5*SEG_substrate</f>
        <v>0.130989756570483</v>
      </c>
      <c r="F12" s="32" t="n">
        <f aca="false">F$4*F$5*SEG_substrate</f>
        <v>0.700735350765586</v>
      </c>
      <c r="G12" s="32" t="n">
        <f aca="false">G$4*G$5*SEG_substrate</f>
        <v>1.18094856484509</v>
      </c>
      <c r="H12" s="32" t="n">
        <f aca="false">H$4*H$5*SEG_substrate</f>
        <v>2.39309002899863</v>
      </c>
      <c r="I12" s="32" t="n">
        <f aca="false">I$4*I$5*SEG_substrate</f>
        <v>2.98673268855987</v>
      </c>
      <c r="J12" s="32" t="n">
        <f aca="false">J$4*J$5*SEG_substrate</f>
        <v>3.06540466030908</v>
      </c>
      <c r="K12" s="32" t="n">
        <f aca="false">K$4*K$5*SEG_substrate</f>
        <v>3.11421841233767</v>
      </c>
      <c r="L12" s="32" t="n">
        <f aca="false">L$4*L$5*SEG_substrate</f>
        <v>2.73140048015375</v>
      </c>
      <c r="M12" s="32" t="n">
        <f aca="false">M$4*M$5*SEG_substrate</f>
        <v>1.86327740804668</v>
      </c>
    </row>
    <row r="13" customFormat="false" ht="15" hidden="false" customHeight="false" outlineLevel="0" collapsed="false">
      <c r="A13" s="5" t="s">
        <v>2748</v>
      </c>
      <c r="B13" s="0" t="s">
        <v>2749</v>
      </c>
      <c r="C13" s="0" t="s">
        <v>391</v>
      </c>
      <c r="D13" s="32" t="n">
        <f aca="false">D$4*D$5*SEG_power_thermal</f>
        <v>0</v>
      </c>
      <c r="E13" s="32" t="n">
        <f aca="false">E$4*E$5*SEG_power_thermal</f>
        <v>2.75078488798014</v>
      </c>
      <c r="F13" s="32" t="n">
        <f aca="false">F$4*F$5*SEG_power_thermal</f>
        <v>14.7154423660773</v>
      </c>
      <c r="G13" s="32" t="n">
        <f aca="false">G$4*G$5*SEG_power_thermal</f>
        <v>24.799919861747</v>
      </c>
      <c r="H13" s="32" t="n">
        <f aca="false">H$4*H$5*SEG_power_thermal</f>
        <v>50.2548906089713</v>
      </c>
      <c r="I13" s="32" t="n">
        <f aca="false">I$4*I$5*SEG_power_thermal</f>
        <v>62.7213864597572</v>
      </c>
      <c r="J13" s="32" t="n">
        <f aca="false">J$4*J$5*SEG_power_thermal</f>
        <v>64.3734978664907</v>
      </c>
      <c r="K13" s="32" t="n">
        <f aca="false">K$4*K$5*SEG_power_thermal</f>
        <v>65.398586659091</v>
      </c>
      <c r="L13" s="32" t="n">
        <f aca="false">L$4*L$5*SEG_power_thermal</f>
        <v>57.3594100832287</v>
      </c>
      <c r="M13" s="32" t="n">
        <f aca="false">M$4*M$5*SEG_power_thermal</f>
        <v>39.1288255689802</v>
      </c>
    </row>
    <row r="14" customFormat="false" ht="15" hidden="false" customHeight="false" outlineLevel="0" collapsed="false">
      <c r="A14" s="5" t="s">
        <v>2750</v>
      </c>
      <c r="B14" s="0" t="s">
        <v>2751</v>
      </c>
      <c r="C14" s="0" t="s">
        <v>391</v>
      </c>
      <c r="D14" s="32" t="n">
        <f aca="false">D$4*D$5*SEG_server</f>
        <v>0</v>
      </c>
      <c r="E14" s="32" t="n">
        <f aca="false">E$4*E$5*SEG_server</f>
        <v>2.00850960074741</v>
      </c>
      <c r="F14" s="32" t="n">
        <f aca="false">F$4*F$5*SEG_server</f>
        <v>10.744608711739</v>
      </c>
      <c r="G14" s="32" t="n">
        <f aca="false">G$4*G$5*SEG_server</f>
        <v>18.1078779942914</v>
      </c>
      <c r="H14" s="32" t="n">
        <f aca="false">H$4*H$5*SEG_server</f>
        <v>36.6940471113124</v>
      </c>
      <c r="I14" s="32" t="n">
        <f aca="false">I$4*I$5*SEG_server</f>
        <v>45.7965678912513</v>
      </c>
      <c r="J14" s="32" t="n">
        <f aca="false">J$4*J$5*SEG_server</f>
        <v>47.0028714580726</v>
      </c>
      <c r="K14" s="32" t="n">
        <f aca="false">K$4*K$5*SEG_server</f>
        <v>47.7513489891776</v>
      </c>
      <c r="L14" s="32" t="n">
        <f aca="false">L$4*L$5*SEG_server</f>
        <v>41.8814740290241</v>
      </c>
      <c r="M14" s="32" t="n">
        <f aca="false">M$4*M$5*SEG_server</f>
        <v>28.570253590049</v>
      </c>
    </row>
    <row r="15" customFormat="false" ht="15" hidden="false" customHeight="false" outlineLevel="0" collapsed="false">
      <c r="A15" s="5" t="s">
        <v>2752</v>
      </c>
      <c r="B15" s="0" t="s">
        <v>2753</v>
      </c>
      <c r="C15" s="0" t="s">
        <v>391</v>
      </c>
      <c r="D15" s="32" t="n">
        <f aca="false">D$4*D$5*SEG_storage</f>
        <v>0</v>
      </c>
      <c r="E15" s="32" t="n">
        <f aca="false">E$4*E$5*SEG_storage</f>
        <v>0.349306017521288</v>
      </c>
      <c r="F15" s="32" t="n">
        <f aca="false">F$4*F$5*SEG_storage</f>
        <v>1.86862760204156</v>
      </c>
      <c r="G15" s="32" t="n">
        <f aca="false">G$4*G$5*SEG_storage</f>
        <v>3.14919617292025</v>
      </c>
      <c r="H15" s="32" t="n">
        <f aca="false">H$4*H$5*SEG_storage</f>
        <v>6.38157341066303</v>
      </c>
      <c r="I15" s="32" t="n">
        <f aca="false">I$4*I$5*SEG_storage</f>
        <v>7.96462050282631</v>
      </c>
      <c r="J15" s="32" t="n">
        <f aca="false">J$4*J$5*SEG_storage</f>
        <v>8.17441242749089</v>
      </c>
      <c r="K15" s="32" t="n">
        <f aca="false">K$4*K$5*SEG_storage</f>
        <v>8.30458243290045</v>
      </c>
      <c r="L15" s="32" t="n">
        <f aca="false">L$4*L$5*SEG_storage</f>
        <v>7.28373461374332</v>
      </c>
      <c r="M15" s="32" t="n">
        <f aca="false">M$4*M$5*SEG_storage</f>
        <v>4.96873975479114</v>
      </c>
    </row>
    <row r="16" customFormat="false" ht="17.15" hidden="false" customHeight="false" outlineLevel="0" collapsed="false">
      <c r="A16" s="5" t="s">
        <v>2754</v>
      </c>
      <c r="C16" s="0" t="s">
        <v>391</v>
      </c>
      <c r="D16" s="32" t="n">
        <f aca="false">SUM(D8:D15)</f>
        <v>0</v>
      </c>
      <c r="E16" s="32" t="n">
        <f aca="false">SUM(E8:E15)</f>
        <v>43.663252190161</v>
      </c>
      <c r="F16" s="32" t="n">
        <f aca="false">SUM(F8:F15)</f>
        <v>233.578450255195</v>
      </c>
      <c r="G16" s="32" t="n">
        <f aca="false">SUM(G8:G15)</f>
        <v>393.649521615031</v>
      </c>
      <c r="H16" s="32" t="n">
        <f aca="false">SUM(H8:H15)</f>
        <v>797.696676332878</v>
      </c>
      <c r="I16" s="32" t="n">
        <f aca="false">SUM(I8:I15)</f>
        <v>995.577562853289</v>
      </c>
      <c r="J16" s="32" t="n">
        <f aca="false">SUM(J8:J15)</f>
        <v>1021.80155343636</v>
      </c>
      <c r="K16" s="32" t="n">
        <f aca="false">SUM(K8:K15)</f>
        <v>1038.07280411256</v>
      </c>
      <c r="L16" s="32" t="n">
        <f aca="false">SUM(L8:L15)</f>
        <v>910.466826717915</v>
      </c>
      <c r="M16" s="32" t="n">
        <f aca="false">SUM(M8:M15)</f>
        <v>621.092469348892</v>
      </c>
    </row>
    <row r="17" customFormat="false" ht="17.15" hidden="false" customHeight="false" outlineLevel="0" collapsed="false">
      <c r="A17" s="8" t="s">
        <v>2755</v>
      </c>
    </row>
    <row r="18" customFormat="false" ht="15" hidden="false" customHeight="false" outlineLevel="0" collapsed="false">
      <c r="A18" s="5" t="s">
        <v>2648</v>
      </c>
      <c r="B18" s="0" t="s">
        <v>224</v>
      </c>
      <c r="C18" s="0" t="s">
        <v>391</v>
      </c>
      <c r="D18" s="36" t="n">
        <f aca="false">Facility!D26</f>
        <v>0</v>
      </c>
      <c r="E18" s="36" t="n">
        <f aca="false">Facility!E26</f>
        <v>4.13051127590411</v>
      </c>
      <c r="F18" s="36" t="n">
        <f aca="false">Facility!F26</f>
        <v>23.0752669518602</v>
      </c>
      <c r="G18" s="36" t="n">
        <f aca="false">Facility!G26</f>
        <v>31.9141972257009</v>
      </c>
      <c r="H18" s="36" t="n">
        <f aca="false">Facility!H26</f>
        <v>58.5409975113945</v>
      </c>
      <c r="I18" s="36" t="n">
        <f aca="false">Facility!I26</f>
        <v>68.6543966383419</v>
      </c>
      <c r="J18" s="36" t="n">
        <f aca="false">Facility!J26</f>
        <v>70.5418436675013</v>
      </c>
      <c r="K18" s="36" t="n">
        <f aca="false">Facility!K26</f>
        <v>71.665157698112</v>
      </c>
      <c r="L18" s="36" t="n">
        <f aca="false">Facility!L26</f>
        <v>62.8556575773314</v>
      </c>
      <c r="M18" s="36" t="n">
        <f aca="false">Facility!M26</f>
        <v>42.8781965818382</v>
      </c>
    </row>
    <row r="19" customFormat="false" ht="17.15" hidden="false" customHeight="false" outlineLevel="0" collapsed="false">
      <c r="A19" s="5" t="s">
        <v>2649</v>
      </c>
      <c r="B19" s="0" t="s">
        <v>2650</v>
      </c>
      <c r="C19" s="0" t="s">
        <v>391</v>
      </c>
      <c r="D19" s="36" t="n">
        <f aca="false">Facility!D27</f>
        <v>0</v>
      </c>
      <c r="E19" s="36" t="n">
        <f aca="false">Facility!E27</f>
        <v>2.59169334958689</v>
      </c>
      <c r="F19" s="36" t="n">
        <f aca="false">Facility!F27</f>
        <v>14.4785988717555</v>
      </c>
      <c r="G19" s="36" t="n">
        <f aca="false">Facility!G27</f>
        <v>20.0245943376947</v>
      </c>
      <c r="H19" s="36" t="n">
        <f aca="false">Facility!H27</f>
        <v>36.7316062816593</v>
      </c>
      <c r="I19" s="36" t="n">
        <f aca="false">Facility!I27</f>
        <v>43.0772684789596</v>
      </c>
      <c r="J19" s="36" t="n">
        <f aca="false">Facility!J27</f>
        <v>44.261548967844</v>
      </c>
      <c r="K19" s="36" t="n">
        <f aca="false">Facility!K27</f>
        <v>44.9663734576389</v>
      </c>
      <c r="L19" s="36" t="n">
        <f aca="false">Facility!L27</f>
        <v>39.4388439700903</v>
      </c>
      <c r="M19" s="36" t="n">
        <f aca="false">Facility!M27</f>
        <v>26.903966482722</v>
      </c>
    </row>
    <row r="20" customFormat="false" ht="17.15" hidden="false" customHeight="false" outlineLevel="0" collapsed="false">
      <c r="A20" s="5" t="s">
        <v>2651</v>
      </c>
      <c r="B20" s="0" t="s">
        <v>238</v>
      </c>
      <c r="C20" s="0" t="s">
        <v>391</v>
      </c>
      <c r="D20" s="36" t="n">
        <f aca="false">Facility!D28</f>
        <v>0</v>
      </c>
      <c r="E20" s="36" t="n">
        <f aca="false">Facility!E28</f>
        <v>1.21485625761885</v>
      </c>
      <c r="F20" s="36" t="n">
        <f aca="false">Facility!F28</f>
        <v>6.78684322113537</v>
      </c>
      <c r="G20" s="36" t="n">
        <f aca="false">Facility!G28</f>
        <v>9.38652859579439</v>
      </c>
      <c r="H20" s="36" t="n">
        <f aca="false">Facility!H28</f>
        <v>17.2179404445278</v>
      </c>
      <c r="I20" s="36" t="n">
        <f aca="false">Facility!I28</f>
        <v>20.1924695995123</v>
      </c>
      <c r="J20" s="36" t="n">
        <f aca="false">Facility!J28</f>
        <v>20.7476010786769</v>
      </c>
      <c r="K20" s="36" t="n">
        <f aca="false">Facility!K28</f>
        <v>21.0779875582682</v>
      </c>
      <c r="L20" s="36" t="n">
        <f aca="false">Facility!L28</f>
        <v>18.4869581109798</v>
      </c>
      <c r="M20" s="36" t="n">
        <f aca="false">Facility!M28</f>
        <v>12.6112342887759</v>
      </c>
    </row>
    <row r="21" customFormat="false" ht="15" hidden="false" customHeight="false" outlineLevel="0" collapsed="false">
      <c r="A21" s="5" t="s">
        <v>2652</v>
      </c>
      <c r="B21" s="0" t="s">
        <v>241</v>
      </c>
      <c r="C21" s="0" t="s">
        <v>391</v>
      </c>
      <c r="D21" s="36" t="n">
        <f aca="false">Facility!D29</f>
        <v>0</v>
      </c>
      <c r="E21" s="36" t="n">
        <f aca="false">Facility!E29</f>
        <v>3.07763585263443</v>
      </c>
      <c r="F21" s="36" t="n">
        <f aca="false">Facility!F29</f>
        <v>17.1933361602096</v>
      </c>
      <c r="G21" s="36" t="n">
        <f aca="false">Facility!G29</f>
        <v>23.7792057760125</v>
      </c>
      <c r="H21" s="36" t="n">
        <f aca="false">Facility!H29</f>
        <v>43.6187824594704</v>
      </c>
      <c r="I21" s="36" t="n">
        <f aca="false">Facility!I29</f>
        <v>51.1542563187645</v>
      </c>
      <c r="J21" s="36" t="n">
        <f aca="false">Facility!J29</f>
        <v>52.5605893993147</v>
      </c>
      <c r="K21" s="36" t="n">
        <f aca="false">Facility!K29</f>
        <v>53.3975684809462</v>
      </c>
      <c r="L21" s="36" t="n">
        <f aca="false">Facility!L29</f>
        <v>46.8336272144822</v>
      </c>
      <c r="M21" s="36" t="n">
        <f aca="false">Facility!M29</f>
        <v>31.9484601982324</v>
      </c>
    </row>
    <row r="22" customFormat="false" ht="15" hidden="false" customHeight="false" outlineLevel="0" collapsed="false">
      <c r="A22" s="5" t="s">
        <v>2653</v>
      </c>
      <c r="B22" s="0" t="s">
        <v>244</v>
      </c>
      <c r="C22" s="0" t="s">
        <v>391</v>
      </c>
      <c r="D22" s="36" t="n">
        <f aca="false">Facility!D30</f>
        <v>0</v>
      </c>
      <c r="E22" s="36" t="n">
        <f aca="false">Facility!E30</f>
        <v>2.75367418393607</v>
      </c>
      <c r="F22" s="36" t="n">
        <f aca="false">Facility!F30</f>
        <v>15.3835113012402</v>
      </c>
      <c r="G22" s="36" t="n">
        <f aca="false">Facility!G30</f>
        <v>21.2761314838006</v>
      </c>
      <c r="H22" s="36" t="n">
        <f aca="false">Facility!H30</f>
        <v>39.027331674263</v>
      </c>
      <c r="I22" s="36" t="n">
        <f aca="false">Facility!I30</f>
        <v>45.7695977588946</v>
      </c>
      <c r="J22" s="36" t="n">
        <f aca="false">Facility!J30</f>
        <v>47.0278957783342</v>
      </c>
      <c r="K22" s="36" t="n">
        <f aca="false">Facility!K30</f>
        <v>47.7767717987414</v>
      </c>
      <c r="L22" s="36" t="n">
        <f aca="false">Facility!L30</f>
        <v>41.9037717182209</v>
      </c>
      <c r="M22" s="36" t="n">
        <f aca="false">Facility!M30</f>
        <v>28.5854643878921</v>
      </c>
    </row>
    <row r="23" customFormat="false" ht="15" hidden="false" customHeight="false" outlineLevel="0" collapsed="false">
      <c r="A23" s="5" t="s">
        <v>2654</v>
      </c>
      <c r="B23" s="0" t="s">
        <v>247</v>
      </c>
      <c r="C23" s="0" t="s">
        <v>391</v>
      </c>
      <c r="D23" s="36" t="n">
        <f aca="false">Facility!D31</f>
        <v>0</v>
      </c>
      <c r="E23" s="36" t="n">
        <f aca="false">Facility!E31</f>
        <v>4.77843461330083</v>
      </c>
      <c r="F23" s="36" t="n">
        <f aca="false">Facility!F31</f>
        <v>26.6949166697991</v>
      </c>
      <c r="G23" s="36" t="n">
        <f aca="false">Facility!G31</f>
        <v>36.9203458101246</v>
      </c>
      <c r="H23" s="36" t="n">
        <f aca="false">Facility!H31</f>
        <v>67.7238990818093</v>
      </c>
      <c r="I23" s="36" t="n">
        <f aca="false">Facility!I31</f>
        <v>79.4237137580818</v>
      </c>
      <c r="J23" s="36" t="n">
        <f aca="false">Facility!J31</f>
        <v>81.6072309094623</v>
      </c>
      <c r="K23" s="36" t="n">
        <f aca="false">Facility!K31</f>
        <v>82.9067510625218</v>
      </c>
      <c r="L23" s="36" t="n">
        <f aca="false">Facility!L31</f>
        <v>72.715368569854</v>
      </c>
      <c r="M23" s="36" t="n">
        <f aca="false">Facility!M31</f>
        <v>49.6041882025187</v>
      </c>
    </row>
    <row r="24" customFormat="false" ht="17.15" hidden="false" customHeight="false" outlineLevel="0" collapsed="false">
      <c r="A24" s="5" t="s">
        <v>2655</v>
      </c>
      <c r="B24" s="0" t="s">
        <v>2656</v>
      </c>
      <c r="C24" s="0" t="s">
        <v>391</v>
      </c>
      <c r="D24" s="36" t="n">
        <f aca="false">Facility!D32</f>
        <v>0</v>
      </c>
      <c r="E24" s="36" t="n">
        <f aca="false">Facility!E32</f>
        <v>1.13386584044426</v>
      </c>
      <c r="F24" s="36" t="n">
        <f aca="false">Facility!F32</f>
        <v>6.33438700639301</v>
      </c>
      <c r="G24" s="36" t="n">
        <f aca="false">Facility!G32</f>
        <v>8.76076002274143</v>
      </c>
      <c r="H24" s="36" t="n">
        <f aca="false">Facility!H32</f>
        <v>16.0700777482259</v>
      </c>
      <c r="I24" s="36" t="n">
        <f aca="false">Facility!I32</f>
        <v>18.8463049595448</v>
      </c>
      <c r="J24" s="36" t="n">
        <f aca="false">Facility!J32</f>
        <v>19.3644276734317</v>
      </c>
      <c r="K24" s="36" t="n">
        <f aca="false">Facility!K32</f>
        <v>19.672788387717</v>
      </c>
      <c r="L24" s="36" t="n">
        <f aca="false">Facility!L32</f>
        <v>17.2544942369145</v>
      </c>
      <c r="M24" s="36" t="n">
        <f aca="false">Facility!M32</f>
        <v>11.7704853361909</v>
      </c>
    </row>
    <row r="25" customFormat="false" ht="17.15" hidden="false" customHeight="false" outlineLevel="0" collapsed="false">
      <c r="A25" s="5" t="s">
        <v>2657</v>
      </c>
      <c r="B25" s="0" t="s">
        <v>253</v>
      </c>
      <c r="C25" s="0" t="s">
        <v>391</v>
      </c>
      <c r="D25" s="36" t="n">
        <f aca="false">Facility!D33</f>
        <v>0</v>
      </c>
      <c r="E25" s="36" t="n">
        <f aca="false">Facility!E33</f>
        <v>0.485942503047542</v>
      </c>
      <c r="F25" s="36" t="n">
        <f aca="false">Facility!F33</f>
        <v>2.71473728845415</v>
      </c>
      <c r="G25" s="36" t="n">
        <f aca="false">Facility!G33</f>
        <v>3.75461143831776</v>
      </c>
      <c r="H25" s="36" t="n">
        <f aca="false">Facility!H33</f>
        <v>6.88717617781112</v>
      </c>
      <c r="I25" s="36" t="n">
        <f aca="false">Facility!I33</f>
        <v>8.07698783980493</v>
      </c>
      <c r="J25" s="36" t="n">
        <f aca="false">Facility!J33</f>
        <v>8.29904043147074</v>
      </c>
      <c r="K25" s="36" t="n">
        <f aca="false">Facility!K33</f>
        <v>8.4311950233073</v>
      </c>
      <c r="L25" s="36" t="n">
        <f aca="false">Facility!L33</f>
        <v>7.39478324439193</v>
      </c>
      <c r="M25" s="36" t="n">
        <f aca="false">Facility!M33</f>
        <v>5.04449371551037</v>
      </c>
    </row>
    <row r="26" customFormat="false" ht="15" hidden="false" customHeight="false" outlineLevel="0" collapsed="false">
      <c r="A26" s="5" t="s">
        <v>2658</v>
      </c>
      <c r="B26" s="0" t="s">
        <v>256</v>
      </c>
      <c r="C26" s="0" t="s">
        <v>391</v>
      </c>
      <c r="D26" s="36" t="n">
        <f aca="false">Facility!D34</f>
        <v>0</v>
      </c>
      <c r="E26" s="36" t="n">
        <f aca="false">Facility!E34</f>
        <v>0.323961668698361</v>
      </c>
      <c r="F26" s="36" t="n">
        <f aca="false">Facility!F34</f>
        <v>1.80982485896943</v>
      </c>
      <c r="G26" s="36" t="n">
        <f aca="false">Facility!G34</f>
        <v>2.50307429221184</v>
      </c>
      <c r="H26" s="36" t="n">
        <f aca="false">Facility!H34</f>
        <v>4.59145078520741</v>
      </c>
      <c r="I26" s="36" t="n">
        <f aca="false">Facility!I34</f>
        <v>5.38465855986995</v>
      </c>
      <c r="J26" s="36" t="n">
        <f aca="false">Facility!J34</f>
        <v>5.5326936209805</v>
      </c>
      <c r="K26" s="36" t="n">
        <f aca="false">Facility!K34</f>
        <v>5.62079668220487</v>
      </c>
      <c r="L26" s="36" t="n">
        <f aca="false">Facility!L34</f>
        <v>4.92985549626129</v>
      </c>
      <c r="M26" s="36" t="n">
        <f aca="false">Facility!M34</f>
        <v>3.36299581034025</v>
      </c>
    </row>
    <row r="27" customFormat="false" ht="15" hidden="false" customHeight="false" outlineLevel="0" collapsed="false">
      <c r="A27" s="5" t="s">
        <v>2756</v>
      </c>
      <c r="B27" s="0" t="s">
        <v>2660</v>
      </c>
      <c r="C27" s="0" t="s">
        <v>391</v>
      </c>
      <c r="D27" s="36" t="n">
        <f aca="false">Facility!D35</f>
        <v>0</v>
      </c>
      <c r="E27" s="36" t="n">
        <f aca="false">Facility!E35</f>
        <v>0.0323961668698383</v>
      </c>
      <c r="F27" s="36" t="n">
        <f aca="false">Facility!F35</f>
        <v>0.180982485896955</v>
      </c>
      <c r="G27" s="36" t="n">
        <f aca="false">Facility!G35</f>
        <v>0.250307429221201</v>
      </c>
      <c r="H27" s="36" t="n">
        <f aca="false">Facility!H35</f>
        <v>0.459145078520772</v>
      </c>
      <c r="I27" s="36" t="n">
        <f aca="false">Facility!I35</f>
        <v>0.538465855987032</v>
      </c>
      <c r="J27" s="36" t="n">
        <f aca="false">Facility!J35</f>
        <v>0.553269362098087</v>
      </c>
      <c r="K27" s="36" t="n">
        <f aca="false">Facility!K35</f>
        <v>0.562079668220525</v>
      </c>
      <c r="L27" s="36" t="n">
        <f aca="false">Facility!L35</f>
        <v>0.492985549626162</v>
      </c>
      <c r="M27" s="36" t="n">
        <f aca="false">Facility!M35</f>
        <v>0.336299581034048</v>
      </c>
    </row>
    <row r="28" customFormat="false" ht="15" hidden="false" customHeight="false" outlineLevel="0" collapsed="false">
      <c r="A28" s="5" t="s">
        <v>2757</v>
      </c>
      <c r="C28" s="0" t="s">
        <v>391</v>
      </c>
      <c r="D28" s="32" t="n">
        <f aca="false">SUM(D18:D27)</f>
        <v>0</v>
      </c>
      <c r="E28" s="32" t="n">
        <f aca="false">SUM(E18:E27)</f>
        <v>20.5229717120412</v>
      </c>
      <c r="F28" s="32" t="n">
        <f aca="false">SUM(F18:F27)</f>
        <v>114.652404815713</v>
      </c>
      <c r="G28" s="32" t="n">
        <f aca="false">SUM(G18:G27)</f>
        <v>158.56975641162</v>
      </c>
      <c r="H28" s="32" t="n">
        <f aca="false">SUM(H18:H27)</f>
        <v>290.86840724289</v>
      </c>
      <c r="I28" s="32" t="n">
        <f aca="false">SUM(I18:I27)</f>
        <v>341.118119767762</v>
      </c>
      <c r="J28" s="32" t="n">
        <f aca="false">SUM(J18:J27)</f>
        <v>350.496140889114</v>
      </c>
      <c r="K28" s="32" t="n">
        <f aca="false">SUM(K18:K27)</f>
        <v>356.077469817678</v>
      </c>
      <c r="L28" s="32" t="n">
        <f aca="false">SUM(L18:L27)</f>
        <v>312.306345688153</v>
      </c>
      <c r="M28" s="32" t="n">
        <f aca="false">SUM(M18:M27)</f>
        <v>213.045784585055</v>
      </c>
    </row>
    <row r="29" customFormat="false" ht="17.15" hidden="false" customHeight="false" outlineLevel="0" collapsed="false">
      <c r="A29" s="0" t="s">
        <v>2758</v>
      </c>
      <c r="B29" s="0" t="s">
        <v>2759</v>
      </c>
      <c r="C29" s="0" t="s">
        <v>391</v>
      </c>
      <c r="D29" s="36" t="n">
        <f aca="false">Facility!D37</f>
        <v>0</v>
      </c>
      <c r="E29" s="36" t="n">
        <f aca="false">Facility!E37</f>
        <v>0.746407684681024</v>
      </c>
      <c r="F29" s="36" t="n">
        <f aca="false">Facility!F37</f>
        <v>4.16983647506557</v>
      </c>
      <c r="G29" s="36" t="n">
        <f aca="false">Facility!G37</f>
        <v>5.76708316925607</v>
      </c>
      <c r="H29" s="36" t="n">
        <f aca="false">Facility!H37</f>
        <v>10.5787026091179</v>
      </c>
      <c r="I29" s="36" t="n">
        <f aca="false">Facility!I37</f>
        <v>12.4062533219404</v>
      </c>
      <c r="J29" s="36" t="n">
        <f aca="false">Facility!J37</f>
        <v>12.7473261027391</v>
      </c>
      <c r="K29" s="36" t="n">
        <f aca="false">Facility!K37</f>
        <v>12.9503155558</v>
      </c>
      <c r="L29" s="36" t="n">
        <f aca="false">Facility!L37</f>
        <v>11.358387063386</v>
      </c>
      <c r="M29" s="36" t="n">
        <f aca="false">Facility!M37</f>
        <v>7.74834234702393</v>
      </c>
    </row>
    <row r="30" customFormat="false" ht="17.15" hidden="false" customHeight="false" outlineLevel="0" collapsed="false">
      <c r="A30" s="21" t="s">
        <v>2760</v>
      </c>
      <c r="C30" s="20" t="s">
        <v>391</v>
      </c>
      <c r="D30" s="39" t="n">
        <f aca="false">D16+D28+D29</f>
        <v>0</v>
      </c>
      <c r="E30" s="39" t="n">
        <f aca="false">E16+E28+E29</f>
        <v>64.9326315868833</v>
      </c>
      <c r="F30" s="39" t="n">
        <f aca="false">F16+F28+F29</f>
        <v>352.400691545974</v>
      </c>
      <c r="G30" s="39" t="n">
        <f aca="false">G16+G28+G29</f>
        <v>557.986361195907</v>
      </c>
      <c r="H30" s="39" t="n">
        <f aca="false">H16+H28+H29</f>
        <v>1099.14378618489</v>
      </c>
      <c r="I30" s="39" t="n">
        <f aca="false">I16+I28+I29</f>
        <v>1349.10193594299</v>
      </c>
      <c r="J30" s="39" t="n">
        <f aca="false">J16+J28+J29</f>
        <v>1385.04502042821</v>
      </c>
      <c r="K30" s="39" t="n">
        <f aca="false">K16+K28+K29</f>
        <v>1407.10058948603</v>
      </c>
      <c r="L30" s="39" t="n">
        <f aca="false">L16+L28+L29</f>
        <v>1234.13155946945</v>
      </c>
      <c r="M30" s="39" t="n">
        <f aca="false">M16+M28+M29</f>
        <v>841.886596280971</v>
      </c>
    </row>
    <row r="31" customFormat="false" ht="17.15" hidden="false" customHeight="false" outlineLevel="0" collapsed="false">
      <c r="A31" s="5" t="s">
        <v>2761</v>
      </c>
      <c r="C31" s="0" t="s">
        <v>391</v>
      </c>
      <c r="G31" s="32" t="n">
        <f aca="false">SIL_In!$G$33</f>
        <v>781.872916666667</v>
      </c>
      <c r="H31" s="32" t="n">
        <f aca="false">SIL_In!$H$33</f>
        <v>1565.35</v>
      </c>
      <c r="I31" s="32" t="n">
        <f aca="false">SIL_In!$I$33</f>
        <v>1984.26388888889</v>
      </c>
      <c r="J31" s="32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2762</v>
      </c>
    </row>
    <row r="2" customFormat="false" ht="17.15" hidden="false" customHeight="false" outlineLevel="0" collapsed="false">
      <c r="A2" s="5" t="s">
        <v>2763</v>
      </c>
    </row>
    <row r="3" customFormat="false" ht="17.15" hidden="false" customHeight="false" outlineLevel="0" collapsed="false">
      <c r="A3" s="40" t="s">
        <v>2764</v>
      </c>
    </row>
    <row r="4" customFormat="false" ht="15" hidden="false" customHeight="false" outlineLevel="0" collapsed="false">
      <c r="A4" s="6" t="s">
        <v>2765</v>
      </c>
      <c r="B4" s="6" t="s">
        <v>16</v>
      </c>
      <c r="C4" s="6" t="s">
        <v>18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6" t="s">
        <v>2766</v>
      </c>
    </row>
    <row r="5" customFormat="false" ht="17.15" hidden="false" customHeight="false" outlineLevel="0" collapsed="false">
      <c r="A5" s="40" t="s">
        <v>2764</v>
      </c>
    </row>
    <row r="6" customFormat="false" ht="17.15" hidden="false" customHeight="false" outlineLevel="0" collapsed="false">
      <c r="A6" s="8" t="s">
        <v>2767</v>
      </c>
    </row>
    <row r="7" customFormat="false" ht="17.15" hidden="false" customHeight="false" outlineLevel="0" collapsed="false">
      <c r="A7" s="0" t="s">
        <v>2768</v>
      </c>
      <c r="B7" s="5" t="s">
        <v>2769</v>
      </c>
      <c r="C7" s="5" t="s">
        <v>505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0.376858885317066</v>
      </c>
      <c r="H7" s="35" t="n">
        <f aca="false">Deploy!I106</f>
        <v>0.690710983961002</v>
      </c>
      <c r="I7" s="35" t="n">
        <f aca="false">Deploy!J106</f>
        <v>0.228786257276102</v>
      </c>
      <c r="J7" s="35" t="n">
        <f aca="false">Deploy!K106</f>
        <v>0.249449690619002</v>
      </c>
      <c r="K7" s="35" t="n">
        <f aca="false">Deploy!L106</f>
        <v>0.315274555130061</v>
      </c>
      <c r="L7" s="35" t="n">
        <f aca="false">Deploy!M106</f>
        <v>0.512704862759384</v>
      </c>
      <c r="M7" s="20" t="s">
        <v>2770</v>
      </c>
    </row>
    <row r="8" customFormat="false" ht="17.15" hidden="false" customHeight="false" outlineLevel="0" collapsed="false">
      <c r="A8" s="8" t="s">
        <v>2771</v>
      </c>
    </row>
    <row r="9" customFormat="false" ht="17.15" hidden="false" customHeight="false" outlineLevel="0" collapsed="false">
      <c r="A9" s="0" t="s">
        <v>2772</v>
      </c>
      <c r="B9" s="5" t="s">
        <v>2773</v>
      </c>
      <c r="C9" s="0" t="s">
        <v>78</v>
      </c>
      <c r="D9" s="27" t="n">
        <f aca="false">Deploy!E13</f>
        <v>6.20938570515285</v>
      </c>
      <c r="E9" s="27" t="n">
        <f aca="false">Deploy!F13</f>
        <v>25.3371433333333</v>
      </c>
      <c r="F9" s="27" t="n">
        <f aca="false">Deploy!G13</f>
        <v>37.8525147943925</v>
      </c>
      <c r="G9" s="27" t="n">
        <f aca="false">Deploy!H13</f>
        <v>60.8097687204296</v>
      </c>
      <c r="H9" s="27" t="n">
        <f aca="false">Deploy!I13</f>
        <v>87.7330615197793</v>
      </c>
      <c r="I9" s="27" t="n">
        <f aca="false">Deploy!J13</f>
        <v>115.396529624682</v>
      </c>
      <c r="J9" s="27" t="n">
        <f aca="false">Deploy!K13</f>
        <v>143.500513035706</v>
      </c>
      <c r="K9" s="27" t="n">
        <f aca="false">Deploy!L13</f>
        <v>168.149790517013</v>
      </c>
      <c r="L9" s="27" t="n">
        <f aca="false">Deploy!M13</f>
        <v>184.964769568714</v>
      </c>
      <c r="M9" s="20" t="s">
        <v>2774</v>
      </c>
    </row>
    <row r="10" customFormat="false" ht="17.15" hidden="false" customHeight="false" outlineLevel="0" collapsed="false">
      <c r="A10" s="0" t="s">
        <v>2775</v>
      </c>
      <c r="B10" s="5" t="s">
        <v>2776</v>
      </c>
      <c r="C10" s="0" t="s">
        <v>78</v>
      </c>
      <c r="D10" s="27" t="n">
        <f aca="false">Deploy!E14</f>
        <v>6.20938570515285</v>
      </c>
      <c r="E10" s="27" t="n">
        <f aca="false">Deploy!F14</f>
        <v>25.3371433333333</v>
      </c>
      <c r="F10" s="27" t="n">
        <f aca="false">Deploy!G14</f>
        <v>37.043435095226</v>
      </c>
      <c r="G10" s="27" t="n">
        <f aca="false">Deploy!H14</f>
        <v>56.5929826167064</v>
      </c>
      <c r="H10" s="27" t="n">
        <f aca="false">Deploy!I14</f>
        <v>82.5511727798931</v>
      </c>
      <c r="I10" s="27" t="n">
        <f aca="false">Deploy!J14</f>
        <v>110.195797706324</v>
      </c>
      <c r="J10" s="27" t="n">
        <f aca="false">Deploy!K14</f>
        <v>138.346240938777</v>
      </c>
      <c r="K10" s="27" t="n">
        <f aca="false">Deploy!L14</f>
        <v>163.634916957784</v>
      </c>
      <c r="L10" s="27" t="n">
        <f aca="false">Deploy!M14</f>
        <v>182.022148234666</v>
      </c>
      <c r="M10" s="20" t="s">
        <v>2777</v>
      </c>
    </row>
    <row r="11" customFormat="false" ht="17.15" hidden="false" customHeight="false" outlineLevel="0" collapsed="false">
      <c r="A11" s="0" t="s">
        <v>2778</v>
      </c>
      <c r="B11" s="5" t="s">
        <v>2779</v>
      </c>
      <c r="C11" s="0" t="s">
        <v>78</v>
      </c>
      <c r="D11" s="27" t="n">
        <f aca="false">Deploy!E15</f>
        <v>6.20938570515285</v>
      </c>
      <c r="E11" s="27" t="n">
        <f aca="false">Deploy!F15</f>
        <v>25.3371433333333</v>
      </c>
      <c r="F11" s="27" t="n">
        <f aca="false">Deploy!G15</f>
        <v>37.043435095226</v>
      </c>
      <c r="G11" s="27" t="n">
        <f aca="false">Deploy!H15</f>
        <v>49.1467154877809</v>
      </c>
      <c r="H11" s="27" t="n">
        <f aca="false">Deploy!I15</f>
        <v>72.8876167146185</v>
      </c>
      <c r="I11" s="27" t="n">
        <f aca="false">Deploy!J15</f>
        <v>108.144602210369</v>
      </c>
      <c r="J11" s="27" t="n">
        <f aca="false">Deploy!K15</f>
        <v>138.346240938777</v>
      </c>
      <c r="K11" s="27" t="n">
        <f aca="false">Deploy!L15</f>
        <v>163.634916957784</v>
      </c>
      <c r="L11" s="27" t="n">
        <f aca="false">Deploy!M15</f>
        <v>182.022148234666</v>
      </c>
      <c r="M11" s="20" t="s">
        <v>2780</v>
      </c>
    </row>
    <row r="12" customFormat="false" ht="17.15" hidden="false" customHeight="false" outlineLevel="0" collapsed="false">
      <c r="A12" s="0" t="s">
        <v>2781</v>
      </c>
      <c r="B12" s="5" t="s">
        <v>2782</v>
      </c>
      <c r="C12" s="0" t="s">
        <v>78</v>
      </c>
      <c r="D12" s="27" t="n">
        <f aca="false">Deploy!E29</f>
        <v>6.20938570515285</v>
      </c>
      <c r="E12" s="27" t="n">
        <f aca="false">Deploy!F29</f>
        <v>25.3371433333333</v>
      </c>
      <c r="F12" s="27" t="n">
        <f aca="false">Deploy!G29</f>
        <v>37.8525147943925</v>
      </c>
      <c r="G12" s="27" t="n">
        <f aca="false">Deploy!H29</f>
        <v>60.8097687204296</v>
      </c>
      <c r="H12" s="27" t="n">
        <f aca="false">Deploy!I29</f>
        <v>82.3484029599094</v>
      </c>
      <c r="I12" s="27" t="n">
        <f aca="false">Deploy!J29</f>
        <v>105.862350849077</v>
      </c>
      <c r="J12" s="27" t="n">
        <f aca="false">Deploy!K29</f>
        <v>129.543211456368</v>
      </c>
      <c r="K12" s="27" t="n">
        <f aca="false">Deploy!L29</f>
        <v>150.509445380168</v>
      </c>
      <c r="L12" s="27" t="n">
        <f aca="false">Deploy!M29</f>
        <v>165.560389918185</v>
      </c>
      <c r="M12" s="20" t="s">
        <v>2783</v>
      </c>
    </row>
    <row r="13" customFormat="false" ht="17.15" hidden="false" customHeight="false" outlineLevel="0" collapsed="false">
      <c r="A13" s="0" t="s">
        <v>2784</v>
      </c>
      <c r="B13" s="5" t="s">
        <v>2785</v>
      </c>
      <c r="C13" s="0" t="s">
        <v>78</v>
      </c>
      <c r="D13" s="27" t="n">
        <f aca="false">Deploy!E30</f>
        <v>6.20938570515285</v>
      </c>
      <c r="E13" s="27" t="n">
        <f aca="false">Deploy!F30</f>
        <v>25.3371433333333</v>
      </c>
      <c r="F13" s="27" t="n">
        <f aca="false">Deploy!G30</f>
        <v>37.043435095226</v>
      </c>
      <c r="G13" s="27" t="n">
        <f aca="false">Deploy!H30</f>
        <v>56.5929826167064</v>
      </c>
      <c r="H13" s="27" t="n">
        <f aca="false">Deploy!I30</f>
        <v>78.1088294680004</v>
      </c>
      <c r="I13" s="27" t="n">
        <f aca="false">Deploy!J30</f>
        <v>101.387784968472</v>
      </c>
      <c r="J13" s="27" t="n">
        <f aca="false">Deploy!K30</f>
        <v>125.162985850092</v>
      </c>
      <c r="K13" s="27" t="n">
        <f aca="false">Deploy!L30</f>
        <v>146.639104443503</v>
      </c>
      <c r="L13" s="27" t="n">
        <f aca="false">Deploy!M30</f>
        <v>162.926474624032</v>
      </c>
      <c r="M13" s="20" t="s">
        <v>2786</v>
      </c>
    </row>
    <row r="14" customFormat="false" ht="17.15" hidden="false" customHeight="false" outlineLevel="0" collapsed="false">
      <c r="A14" s="0" t="s">
        <v>2787</v>
      </c>
      <c r="B14" s="5" t="s">
        <v>2788</v>
      </c>
      <c r="C14" s="0" t="s">
        <v>78</v>
      </c>
      <c r="D14" s="27" t="n">
        <f aca="false">Deploy!E31</f>
        <v>6.20938570515285</v>
      </c>
      <c r="E14" s="27" t="n">
        <f aca="false">Deploy!F31</f>
        <v>25.3371433333333</v>
      </c>
      <c r="F14" s="27" t="n">
        <f aca="false">Deploy!G31</f>
        <v>37.043435095226</v>
      </c>
      <c r="G14" s="27" t="n">
        <f aca="false">Deploy!H31</f>
        <v>49.1467154877809</v>
      </c>
      <c r="H14" s="27" t="n">
        <f aca="false">Deploy!I31</f>
        <v>70.2222107274828</v>
      </c>
      <c r="I14" s="27" t="n">
        <f aca="false">Deploy!J31</f>
        <v>99.7135155717087</v>
      </c>
      <c r="J14" s="27" t="n">
        <f aca="false">Deploy!K31</f>
        <v>125.162985850092</v>
      </c>
      <c r="K14" s="27" t="n">
        <f aca="false">Deploy!L31</f>
        <v>146.639104443503</v>
      </c>
      <c r="L14" s="27" t="n">
        <f aca="false">Deploy!M31</f>
        <v>162.926474624032</v>
      </c>
      <c r="M14" s="20" t="s">
        <v>2789</v>
      </c>
    </row>
    <row r="15" customFormat="false" ht="17.15" hidden="false" customHeight="false" outlineLevel="0" collapsed="false">
      <c r="A15" s="0" t="s">
        <v>2790</v>
      </c>
      <c r="B15" s="5" t="s">
        <v>2791</v>
      </c>
      <c r="C15" s="0" t="s">
        <v>78</v>
      </c>
      <c r="D15" s="27" t="n">
        <f aca="false">Deploy!E45</f>
        <v>6.20938570515285</v>
      </c>
      <c r="E15" s="27" t="n">
        <f aca="false">Deploy!F45</f>
        <v>25.3371433333333</v>
      </c>
      <c r="F15" s="27" t="n">
        <f aca="false">Deploy!G45</f>
        <v>37.8525147943925</v>
      </c>
      <c r="G15" s="27" t="n">
        <f aca="false">Deploy!H45</f>
        <v>60.8097687204296</v>
      </c>
      <c r="H15" s="27" t="n">
        <f aca="false">Deploy!I45</f>
        <v>76.9637444000394</v>
      </c>
      <c r="I15" s="27" t="n">
        <f aca="false">Deploy!J45</f>
        <v>93.5618252629809</v>
      </c>
      <c r="J15" s="27" t="n">
        <f aca="false">Deploy!K45</f>
        <v>110.132312891659</v>
      </c>
      <c r="K15" s="27" t="n">
        <f aca="false">Deploy!L45</f>
        <v>125.391549988204</v>
      </c>
      <c r="L15" s="27" t="n">
        <f aca="false">Deploy!M45</f>
        <v>137.930704987025</v>
      </c>
      <c r="M15" s="20" t="s">
        <v>2792</v>
      </c>
    </row>
    <row r="16" customFormat="false" ht="17.15" hidden="false" customHeight="false" outlineLevel="0" collapsed="false">
      <c r="A16" s="0" t="s">
        <v>2793</v>
      </c>
      <c r="B16" s="5" t="s">
        <v>2794</v>
      </c>
      <c r="C16" s="0" t="s">
        <v>78</v>
      </c>
      <c r="D16" s="27" t="n">
        <f aca="false">Deploy!E46</f>
        <v>6.20938570515285</v>
      </c>
      <c r="E16" s="27" t="n">
        <f aca="false">Deploy!F46</f>
        <v>25.3371433333333</v>
      </c>
      <c r="F16" s="27" t="n">
        <f aca="false">Deploy!G46</f>
        <v>37.043435095226</v>
      </c>
      <c r="G16" s="27" t="n">
        <f aca="false">Deploy!H46</f>
        <v>56.5929826167064</v>
      </c>
      <c r="H16" s="27" t="n">
        <f aca="false">Deploy!I46</f>
        <v>73.6664861561077</v>
      </c>
      <c r="I16" s="27" t="n">
        <f aca="false">Deploy!J46</f>
        <v>90.2975361119662</v>
      </c>
      <c r="J16" s="27" t="n">
        <f aca="false">Deploy!K46</f>
        <v>106.996402556641</v>
      </c>
      <c r="K16" s="27" t="n">
        <f aca="false">Deploy!L46</f>
        <v>122.519933496309</v>
      </c>
      <c r="L16" s="27" t="n">
        <f aca="false">Deploy!M46</f>
        <v>135.736352862231</v>
      </c>
      <c r="M16" s="20" t="s">
        <v>2795</v>
      </c>
    </row>
    <row r="17" customFormat="false" ht="17.15" hidden="false" customHeight="false" outlineLevel="0" collapsed="false">
      <c r="A17" s="0" t="s">
        <v>2796</v>
      </c>
      <c r="B17" s="5" t="s">
        <v>2797</v>
      </c>
      <c r="C17" s="0" t="s">
        <v>78</v>
      </c>
      <c r="D17" s="27" t="n">
        <f aca="false">Deploy!E47</f>
        <v>6.20938570515285</v>
      </c>
      <c r="E17" s="27" t="n">
        <f aca="false">Deploy!F47</f>
        <v>25.3371433333333</v>
      </c>
      <c r="F17" s="27" t="n">
        <f aca="false">Deploy!G47</f>
        <v>37.043435095226</v>
      </c>
      <c r="G17" s="27" t="n">
        <f aca="false">Deploy!H47</f>
        <v>49.1467154877809</v>
      </c>
      <c r="H17" s="27" t="n">
        <f aca="false">Deploy!I47</f>
        <v>67.5568047403472</v>
      </c>
      <c r="I17" s="27" t="n">
        <f aca="false">Deploy!J47</f>
        <v>89.0001928143935</v>
      </c>
      <c r="J17" s="27" t="n">
        <f aca="false">Deploy!K47</f>
        <v>106.996402556641</v>
      </c>
      <c r="K17" s="27" t="n">
        <f aca="false">Deploy!L47</f>
        <v>122.519933496309</v>
      </c>
      <c r="L17" s="27" t="n">
        <f aca="false">Deploy!M47</f>
        <v>135.736352862231</v>
      </c>
      <c r="M17" s="20" t="s">
        <v>2798</v>
      </c>
    </row>
    <row r="18" customFormat="false" ht="17.15" hidden="false" customHeight="false" outlineLevel="0" collapsed="false">
      <c r="A18" s="0" t="s">
        <v>2799</v>
      </c>
      <c r="B18" s="5" t="s">
        <v>2800</v>
      </c>
      <c r="C18" s="0" t="s">
        <v>78</v>
      </c>
      <c r="D18" s="27" t="n">
        <f aca="false">Deploy!E16</f>
        <v>3.41998203041741</v>
      </c>
      <c r="E18" s="27" t="n">
        <f aca="false">Deploy!F16</f>
        <v>15.7732645192431</v>
      </c>
      <c r="F18" s="27" t="n">
        <f aca="false">Deploy!G16</f>
        <v>31.5948290638629</v>
      </c>
      <c r="G18" s="27" t="n">
        <f aca="false">Deploy!H16</f>
        <v>49.3311417574111</v>
      </c>
      <c r="H18" s="27" t="n">
        <f aca="false">Deploy!I16</f>
        <v>74.2714151201045</v>
      </c>
      <c r="I18" s="27" t="n">
        <f aca="false">Deploy!J16</f>
        <v>101.564795572231</v>
      </c>
      <c r="J18" s="27" t="n">
        <f aca="false">Deploy!K16</f>
        <v>129.448521330194</v>
      </c>
      <c r="K18" s="27" t="n">
        <f aca="false">Deploy!L16</f>
        <v>155.825151776359</v>
      </c>
      <c r="L18" s="27" t="n">
        <f aca="false">Deploy!M16</f>
        <v>176.557280042863</v>
      </c>
      <c r="M18" s="20" t="s">
        <v>2801</v>
      </c>
    </row>
    <row r="19" customFormat="false" ht="17.15" hidden="false" customHeight="false" outlineLevel="0" collapsed="false">
      <c r="A19" s="0" t="s">
        <v>2802</v>
      </c>
      <c r="B19" s="5" t="s">
        <v>2803</v>
      </c>
      <c r="C19" s="0" t="s">
        <v>78</v>
      </c>
      <c r="D19" s="27" t="n">
        <f aca="false">Deploy!E17</f>
        <v>3.41998203041741</v>
      </c>
      <c r="E19" s="27" t="n">
        <f aca="false">Deploy!F17</f>
        <v>15.7732645192431</v>
      </c>
      <c r="F19" s="27" t="n">
        <f aca="false">Deploy!G17</f>
        <v>31.1902892142797</v>
      </c>
      <c r="G19" s="27" t="n">
        <f aca="false">Deploy!H17</f>
        <v>46.8182088559662</v>
      </c>
      <c r="H19" s="27" t="n">
        <f aca="false">Deploy!I17</f>
        <v>69.5720776982998</v>
      </c>
      <c r="I19" s="27" t="n">
        <f aca="false">Deploy!J17</f>
        <v>96.3734852431085</v>
      </c>
      <c r="J19" s="27" t="n">
        <f aca="false">Deploy!K17</f>
        <v>124.27101932255</v>
      </c>
      <c r="K19" s="27" t="n">
        <f aca="false">Deploy!L17</f>
        <v>150.99057894828</v>
      </c>
      <c r="L19" s="27" t="n">
        <f aca="false">Deploy!M17</f>
        <v>172.828532596225</v>
      </c>
      <c r="M19" s="20" t="s">
        <v>2804</v>
      </c>
    </row>
    <row r="20" customFormat="false" ht="17.15" hidden="false" customHeight="false" outlineLevel="0" collapsed="false">
      <c r="A20" s="0" t="s">
        <v>2805</v>
      </c>
      <c r="B20" s="5" t="s">
        <v>2806</v>
      </c>
      <c r="C20" s="0" t="s">
        <v>78</v>
      </c>
      <c r="D20" s="27" t="n">
        <f aca="false">Deploy!E18</f>
        <v>3.41998203041741</v>
      </c>
      <c r="E20" s="27" t="n">
        <f aca="false">Deploy!F18</f>
        <v>15.7732645192431</v>
      </c>
      <c r="F20" s="27" t="n">
        <f aca="false">Deploy!G18</f>
        <v>31.1902892142797</v>
      </c>
      <c r="G20" s="27" t="n">
        <f aca="false">Deploy!H18</f>
        <v>43.0950752915034</v>
      </c>
      <c r="H20" s="27" t="n">
        <f aca="false">Deploy!I18</f>
        <v>61.0171661011997</v>
      </c>
      <c r="I20" s="27" t="n">
        <f aca="false">Deploy!J18</f>
        <v>90.5161094624939</v>
      </c>
      <c r="J20" s="27" t="n">
        <f aca="false">Deploy!K18</f>
        <v>123.245421574573</v>
      </c>
      <c r="K20" s="27" t="n">
        <f aca="false">Deploy!L18</f>
        <v>150.99057894828</v>
      </c>
      <c r="L20" s="27" t="n">
        <f aca="false">Deploy!M18</f>
        <v>172.828532596225</v>
      </c>
      <c r="M20" s="20" t="s">
        <v>2807</v>
      </c>
    </row>
    <row r="21" customFormat="false" ht="17.15" hidden="false" customHeight="false" outlineLevel="0" collapsed="false">
      <c r="A21" s="0" t="s">
        <v>2808</v>
      </c>
      <c r="B21" s="5" t="s">
        <v>2809</v>
      </c>
      <c r="C21" s="0" t="s">
        <v>78</v>
      </c>
      <c r="D21" s="27" t="n">
        <f aca="false">Deploy!E32</f>
        <v>3.41998203041741</v>
      </c>
      <c r="E21" s="27" t="n">
        <f aca="false">Deploy!F32</f>
        <v>15.7732645192431</v>
      </c>
      <c r="F21" s="27" t="n">
        <f aca="false">Deploy!G32</f>
        <v>31.5948290638629</v>
      </c>
      <c r="G21" s="27" t="n">
        <f aca="false">Deploy!H32</f>
        <v>49.3311417574111</v>
      </c>
      <c r="H21" s="27" t="n">
        <f aca="false">Deploy!I32</f>
        <v>71.5790858401695</v>
      </c>
      <c r="I21" s="27" t="n">
        <f aca="false">Deploy!J32</f>
        <v>94.1053769044929</v>
      </c>
      <c r="J21" s="27" t="n">
        <f aca="false">Deploy!K32</f>
        <v>117.702781152722</v>
      </c>
      <c r="K21" s="27" t="n">
        <f aca="false">Deploy!L32</f>
        <v>140.026328418268</v>
      </c>
      <c r="L21" s="27" t="n">
        <f aca="false">Deploy!M32</f>
        <v>158.034917649176</v>
      </c>
      <c r="M21" s="20" t="s">
        <v>2810</v>
      </c>
    </row>
    <row r="22" customFormat="false" ht="17.15" hidden="false" customHeight="false" outlineLevel="0" collapsed="false">
      <c r="A22" s="0" t="s">
        <v>2811</v>
      </c>
      <c r="B22" s="5" t="s">
        <v>2812</v>
      </c>
      <c r="C22" s="0" t="s">
        <v>78</v>
      </c>
      <c r="D22" s="27" t="n">
        <f aca="false">Deploy!E33</f>
        <v>3.41998203041741</v>
      </c>
      <c r="E22" s="27" t="n">
        <f aca="false">Deploy!F33</f>
        <v>15.7732645192431</v>
      </c>
      <c r="F22" s="27" t="n">
        <f aca="false">Deploy!G33</f>
        <v>31.1902892142797</v>
      </c>
      <c r="G22" s="27" t="n">
        <f aca="false">Deploy!H33</f>
        <v>46.8182088559662</v>
      </c>
      <c r="H22" s="27" t="n">
        <f aca="false">Deploy!I33</f>
        <v>67.3509060423534</v>
      </c>
      <c r="I22" s="27" t="n">
        <f aca="false">Deploy!J33</f>
        <v>89.7483072182363</v>
      </c>
      <c r="J22" s="27" t="n">
        <f aca="false">Deploy!K33</f>
        <v>113.275385409282</v>
      </c>
      <c r="K22" s="27" t="n">
        <f aca="false">Deploy!L33</f>
        <v>135.901045146798</v>
      </c>
      <c r="L22" s="27" t="n">
        <f aca="false">Deploy!M33</f>
        <v>154.782789533768</v>
      </c>
      <c r="M22" s="20" t="s">
        <v>2813</v>
      </c>
    </row>
    <row r="23" customFormat="false" ht="17.15" hidden="false" customHeight="false" outlineLevel="0" collapsed="false">
      <c r="A23" s="0" t="s">
        <v>2814</v>
      </c>
      <c r="B23" s="5" t="s">
        <v>2815</v>
      </c>
      <c r="C23" s="0" t="s">
        <v>78</v>
      </c>
      <c r="D23" s="27" t="n">
        <f aca="false">Deploy!E34</f>
        <v>3.41998203041741</v>
      </c>
      <c r="E23" s="27" t="n">
        <f aca="false">Deploy!F34</f>
        <v>15.7732645192431</v>
      </c>
      <c r="F23" s="27" t="n">
        <f aca="false">Deploy!G34</f>
        <v>31.1902892142797</v>
      </c>
      <c r="G23" s="27" t="n">
        <f aca="false">Deploy!H34</f>
        <v>43.0950752915034</v>
      </c>
      <c r="H23" s="27" t="n">
        <f aca="false">Deploy!I34</f>
        <v>59.6844631076318</v>
      </c>
      <c r="I23" s="27" t="n">
        <f aca="false">Deploy!J34</f>
        <v>84.9678631495957</v>
      </c>
      <c r="J23" s="27" t="n">
        <f aca="false">Deploy!K34</f>
        <v>112.4382507109</v>
      </c>
      <c r="K23" s="27" t="n">
        <f aca="false">Deploy!L34</f>
        <v>135.901045146798</v>
      </c>
      <c r="L23" s="27" t="n">
        <f aca="false">Deploy!M34</f>
        <v>154.782789533768</v>
      </c>
      <c r="M23" s="20" t="s">
        <v>2816</v>
      </c>
    </row>
    <row r="24" customFormat="false" ht="17.15" hidden="false" customHeight="false" outlineLevel="0" collapsed="false">
      <c r="A24" s="0" t="s">
        <v>2817</v>
      </c>
      <c r="B24" s="5" t="s">
        <v>2818</v>
      </c>
      <c r="C24" s="0" t="s">
        <v>78</v>
      </c>
      <c r="D24" s="27" t="n">
        <f aca="false">Deploy!E48</f>
        <v>3.41998203041741</v>
      </c>
      <c r="E24" s="27" t="n">
        <f aca="false">Deploy!F48</f>
        <v>15.7732645192431</v>
      </c>
      <c r="F24" s="27" t="n">
        <f aca="false">Deploy!G48</f>
        <v>31.5948290638629</v>
      </c>
      <c r="G24" s="27" t="n">
        <f aca="false">Deploy!H48</f>
        <v>49.3311417574111</v>
      </c>
      <c r="H24" s="27" t="n">
        <f aca="false">Deploy!I48</f>
        <v>68.8867565602345</v>
      </c>
      <c r="I24" s="27" t="n">
        <f aca="false">Deploy!J48</f>
        <v>85.2627848315102</v>
      </c>
      <c r="J24" s="27" t="n">
        <f aca="false">Deploy!K48</f>
        <v>101.84706907732</v>
      </c>
      <c r="K24" s="27" t="n">
        <f aca="false">Deploy!L48</f>
        <v>117.761931439932</v>
      </c>
      <c r="L24" s="27" t="n">
        <f aca="false">Deploy!M48</f>
        <v>131.661127487615</v>
      </c>
      <c r="M24" s="20" t="s">
        <v>2819</v>
      </c>
    </row>
    <row r="25" customFormat="false" ht="17.15" hidden="false" customHeight="false" outlineLevel="0" collapsed="false">
      <c r="A25" s="0" t="s">
        <v>2820</v>
      </c>
      <c r="B25" s="5" t="s">
        <v>2821</v>
      </c>
      <c r="C25" s="0" t="s">
        <v>78</v>
      </c>
      <c r="D25" s="27" t="n">
        <f aca="false">Deploy!E49</f>
        <v>3.41998203041741</v>
      </c>
      <c r="E25" s="27" t="n">
        <f aca="false">Deploy!F49</f>
        <v>15.7732645192431</v>
      </c>
      <c r="F25" s="27" t="n">
        <f aca="false">Deploy!G49</f>
        <v>31.1902892142797</v>
      </c>
      <c r="G25" s="27" t="n">
        <f aca="false">Deploy!H49</f>
        <v>46.8182088559662</v>
      </c>
      <c r="H25" s="27" t="n">
        <f aca="false">Deploy!I49</f>
        <v>65.1297343864071</v>
      </c>
      <c r="I25" s="27" t="n">
        <f aca="false">Deploy!J49</f>
        <v>81.9820111340369</v>
      </c>
      <c r="J25" s="27" t="n">
        <f aca="false">Deploy!K49</f>
        <v>98.6469693343034</v>
      </c>
      <c r="K25" s="27" t="n">
        <f aca="false">Deploy!L49</f>
        <v>114.758168026475</v>
      </c>
      <c r="L25" s="27" t="n">
        <f aca="false">Deploy!M49</f>
        <v>129.12814317927</v>
      </c>
      <c r="M25" s="20" t="s">
        <v>2822</v>
      </c>
    </row>
    <row r="26" customFormat="false" ht="17.15" hidden="false" customHeight="false" outlineLevel="0" collapsed="false">
      <c r="A26" s="0" t="s">
        <v>2823</v>
      </c>
      <c r="B26" s="5" t="s">
        <v>2824</v>
      </c>
      <c r="C26" s="0" t="s">
        <v>78</v>
      </c>
      <c r="D26" s="27" t="n">
        <f aca="false">Deploy!E50</f>
        <v>3.41998203041741</v>
      </c>
      <c r="E26" s="27" t="n">
        <f aca="false">Deploy!F50</f>
        <v>15.7732645192431</v>
      </c>
      <c r="F26" s="27" t="n">
        <f aca="false">Deploy!G50</f>
        <v>31.1902892142797</v>
      </c>
      <c r="G26" s="27" t="n">
        <f aca="false">Deploy!H50</f>
        <v>43.0950752915034</v>
      </c>
      <c r="H26" s="27" t="n">
        <f aca="false">Deploy!I50</f>
        <v>58.351760114064</v>
      </c>
      <c r="I26" s="27" t="n">
        <f aca="false">Deploy!J50</f>
        <v>78.2784987773703</v>
      </c>
      <c r="J26" s="27" t="n">
        <f aca="false">Deploy!K50</f>
        <v>97.998297685517</v>
      </c>
      <c r="K26" s="27" t="n">
        <f aca="false">Deploy!L50</f>
        <v>114.758168026475</v>
      </c>
      <c r="L26" s="27" t="n">
        <f aca="false">Deploy!M50</f>
        <v>129.12814317927</v>
      </c>
      <c r="M26" s="20" t="s">
        <v>2825</v>
      </c>
    </row>
    <row r="27" customFormat="false" ht="17.15" hidden="false" customHeight="false" outlineLevel="0" collapsed="false">
      <c r="A27" s="0" t="s">
        <v>2826</v>
      </c>
      <c r="B27" s="5" t="s">
        <v>2827</v>
      </c>
      <c r="C27" s="0" t="s">
        <v>78</v>
      </c>
      <c r="D27" s="27" t="n">
        <f aca="false">Deploy!E19</f>
        <v>1.61980834349181</v>
      </c>
      <c r="E27" s="27" t="n">
        <f aca="false">Deploy!F19</f>
        <v>9.04912429484716</v>
      </c>
      <c r="F27" s="27" t="n">
        <f aca="false">Deploy!G19</f>
        <v>12.5153714610592</v>
      </c>
      <c r="G27" s="27" t="n">
        <f aca="false">Deploy!H19</f>
        <v>22.9572539260371</v>
      </c>
      <c r="H27" s="27" t="n">
        <f aca="false">Deploy!I19</f>
        <v>26.9232927993498</v>
      </c>
      <c r="I27" s="27" t="n">
        <f aca="false">Deploy!J19</f>
        <v>27.6634681049025</v>
      </c>
      <c r="J27" s="27" t="n">
        <f aca="false">Deploy!K19</f>
        <v>28.1039834110243</v>
      </c>
      <c r="K27" s="27" t="n">
        <f aca="false">Deploy!L19</f>
        <v>24.6492774813064</v>
      </c>
      <c r="L27" s="27" t="n">
        <f aca="false">Deploy!M19</f>
        <v>16.8149790517012</v>
      </c>
      <c r="M27" s="20" t="s">
        <v>2828</v>
      </c>
    </row>
    <row r="28" customFormat="false" ht="17.15" hidden="false" customHeight="false" outlineLevel="0" collapsed="false">
      <c r="A28" s="0" t="s">
        <v>2829</v>
      </c>
      <c r="B28" s="5" t="s">
        <v>2830</v>
      </c>
      <c r="C28" s="0" t="s">
        <v>78</v>
      </c>
      <c r="D28" s="27" t="n">
        <f aca="false">Deploy!E20</f>
        <v>1.61980834349181</v>
      </c>
      <c r="E28" s="27" t="n">
        <f aca="false">Deploy!F20</f>
        <v>9.04912429484716</v>
      </c>
      <c r="F28" s="27" t="n">
        <f aca="false">Deploy!G20</f>
        <v>11.7062917618926</v>
      </c>
      <c r="G28" s="27" t="n">
        <f aca="false">Deploy!H20</f>
        <v>19.5495475214805</v>
      </c>
      <c r="H28" s="27" t="n">
        <f aca="false">Deploy!I20</f>
        <v>25.9581901631867</v>
      </c>
      <c r="I28" s="27" t="n">
        <f aca="false">Deploy!J20</f>
        <v>27.6446249264308</v>
      </c>
      <c r="J28" s="27" t="n">
        <f aca="false">Deploy!K20</f>
        <v>28.150443232453</v>
      </c>
      <c r="K28" s="27" t="n">
        <f aca="false">Deploy!L20</f>
        <v>25.2886760190071</v>
      </c>
      <c r="L28" s="27" t="n">
        <f aca="false">Deploy!M20</f>
        <v>18.3872312768821</v>
      </c>
      <c r="M28" s="20" t="s">
        <v>2831</v>
      </c>
    </row>
    <row r="29" customFormat="false" ht="17.15" hidden="false" customHeight="false" outlineLevel="0" collapsed="false">
      <c r="A29" s="0" t="s">
        <v>2832</v>
      </c>
      <c r="B29" s="5" t="s">
        <v>2833</v>
      </c>
      <c r="C29" s="0" t="s">
        <v>78</v>
      </c>
      <c r="D29" s="27" t="n">
        <f aca="false">Deploy!E21</f>
        <v>1.61980834349181</v>
      </c>
      <c r="E29" s="27" t="n">
        <f aca="false">Deploy!F21</f>
        <v>9.04912429484716</v>
      </c>
      <c r="F29" s="27" t="n">
        <f aca="false">Deploy!G21</f>
        <v>11.7062917618926</v>
      </c>
      <c r="G29" s="27" t="n">
        <f aca="false">Deploy!H21</f>
        <v>12.1032803925549</v>
      </c>
      <c r="H29" s="27" t="n">
        <f aca="false">Deploy!I21</f>
        <v>23.7409012268376</v>
      </c>
      <c r="I29" s="27" t="n">
        <f aca="false">Deploy!J21</f>
        <v>35.256985495751</v>
      </c>
      <c r="J29" s="27" t="n">
        <f aca="false">Deploy!K21</f>
        <v>30.2016387284075</v>
      </c>
      <c r="K29" s="27" t="n">
        <f aca="false">Deploy!L21</f>
        <v>25.2886760190071</v>
      </c>
      <c r="L29" s="27" t="n">
        <f aca="false">Deploy!M21</f>
        <v>18.3872312768821</v>
      </c>
      <c r="M29" s="20" t="s">
        <v>2834</v>
      </c>
    </row>
    <row r="30" customFormat="false" ht="17.15" hidden="false" customHeight="false" outlineLevel="0" collapsed="false">
      <c r="A30" s="0" t="s">
        <v>2835</v>
      </c>
      <c r="B30" s="5" t="s">
        <v>2836</v>
      </c>
      <c r="C30" s="0" t="s">
        <v>78</v>
      </c>
      <c r="D30" s="27" t="n">
        <f aca="false">Deploy!E35</f>
        <v>1.61980834349181</v>
      </c>
      <c r="E30" s="27" t="n">
        <f aca="false">Deploy!F35</f>
        <v>9.04912429484716</v>
      </c>
      <c r="F30" s="27" t="n">
        <f aca="false">Deploy!G35</f>
        <v>12.5153714610592</v>
      </c>
      <c r="G30" s="27" t="n">
        <f aca="false">Deploy!H35</f>
        <v>22.9572539260371</v>
      </c>
      <c r="H30" s="27" t="n">
        <f aca="false">Deploy!I35</f>
        <v>21.5386342394798</v>
      </c>
      <c r="I30" s="27" t="n">
        <f aca="false">Deploy!J35</f>
        <v>23.5139478891671</v>
      </c>
      <c r="J30" s="27" t="n">
        <f aca="false">Deploy!K35</f>
        <v>23.6808606072918</v>
      </c>
      <c r="K30" s="27" t="n">
        <f aca="false">Deploy!L35</f>
        <v>20.9662339237998</v>
      </c>
      <c r="L30" s="27" t="n">
        <f aca="false">Deploy!M35</f>
        <v>15.0509445380168</v>
      </c>
      <c r="M30" s="20" t="s">
        <v>2837</v>
      </c>
    </row>
    <row r="31" customFormat="false" ht="17.15" hidden="false" customHeight="false" outlineLevel="0" collapsed="false">
      <c r="A31" s="0" t="s">
        <v>2838</v>
      </c>
      <c r="B31" s="5" t="s">
        <v>2839</v>
      </c>
      <c r="C31" s="0" t="s">
        <v>78</v>
      </c>
      <c r="D31" s="27" t="n">
        <f aca="false">Deploy!E36</f>
        <v>1.61980834349181</v>
      </c>
      <c r="E31" s="27" t="n">
        <f aca="false">Deploy!F36</f>
        <v>9.04912429484716</v>
      </c>
      <c r="F31" s="27" t="n">
        <f aca="false">Deploy!G36</f>
        <v>11.7062917618926</v>
      </c>
      <c r="G31" s="27" t="n">
        <f aca="false">Deploy!H36</f>
        <v>19.5495475214805</v>
      </c>
      <c r="H31" s="27" t="n">
        <f aca="false">Deploy!I36</f>
        <v>21.515846851294</v>
      </c>
      <c r="I31" s="27" t="n">
        <f aca="false">Deploy!J36</f>
        <v>23.2789555004718</v>
      </c>
      <c r="J31" s="27" t="n">
        <f aca="false">Deploy!K36</f>
        <v>23.77520088162</v>
      </c>
      <c r="K31" s="27" t="n">
        <f aca="false">Deploy!L36</f>
        <v>21.4761185934109</v>
      </c>
      <c r="L31" s="27" t="n">
        <f aca="false">Deploy!M36</f>
        <v>16.2873701805288</v>
      </c>
      <c r="M31" s="20" t="s">
        <v>2840</v>
      </c>
    </row>
    <row r="32" customFormat="false" ht="17.15" hidden="false" customHeight="false" outlineLevel="0" collapsed="false">
      <c r="A32" s="0" t="s">
        <v>2841</v>
      </c>
      <c r="B32" s="5" t="s">
        <v>2842</v>
      </c>
      <c r="C32" s="0" t="s">
        <v>78</v>
      </c>
      <c r="D32" s="27" t="n">
        <f aca="false">Deploy!E37</f>
        <v>1.61980834349181</v>
      </c>
      <c r="E32" s="27" t="n">
        <f aca="false">Deploy!F37</f>
        <v>9.04912429484716</v>
      </c>
      <c r="F32" s="27" t="n">
        <f aca="false">Deploy!G37</f>
        <v>11.7062917618926</v>
      </c>
      <c r="G32" s="27" t="n">
        <f aca="false">Deploy!H37</f>
        <v>12.1032803925549</v>
      </c>
      <c r="H32" s="27" t="n">
        <f aca="false">Deploy!I37</f>
        <v>21.0754952397019</v>
      </c>
      <c r="I32" s="27" t="n">
        <f aca="false">Deploy!J37</f>
        <v>29.4913048442259</v>
      </c>
      <c r="J32" s="27" t="n">
        <f aca="false">Deploy!K37</f>
        <v>25.4494702783836</v>
      </c>
      <c r="K32" s="27" t="n">
        <f aca="false">Deploy!L37</f>
        <v>21.4761185934109</v>
      </c>
      <c r="L32" s="27" t="n">
        <f aca="false">Deploy!M37</f>
        <v>16.2873701805288</v>
      </c>
      <c r="M32" s="20" t="s">
        <v>2843</v>
      </c>
    </row>
    <row r="33" customFormat="false" ht="17.15" hidden="false" customHeight="false" outlineLevel="0" collapsed="false">
      <c r="A33" s="0" t="s">
        <v>2844</v>
      </c>
      <c r="B33" s="5" t="s">
        <v>2845</v>
      </c>
      <c r="C33" s="0" t="s">
        <v>78</v>
      </c>
      <c r="D33" s="27" t="n">
        <f aca="false">Deploy!E51</f>
        <v>1.61980834349181</v>
      </c>
      <c r="E33" s="27" t="n">
        <f aca="false">Deploy!F51</f>
        <v>9.04912429484716</v>
      </c>
      <c r="F33" s="27" t="n">
        <f aca="false">Deploy!G51</f>
        <v>12.5153714610592</v>
      </c>
      <c r="G33" s="27" t="n">
        <f aca="false">Deploy!H51</f>
        <v>22.9572539260371</v>
      </c>
      <c r="H33" s="27" t="n">
        <f aca="false">Deploy!I51</f>
        <v>16.1539756796099</v>
      </c>
      <c r="I33" s="27" t="n">
        <f aca="false">Deploy!J51</f>
        <v>16.5980808629415</v>
      </c>
      <c r="J33" s="27" t="n">
        <f aca="false">Deploy!K51</f>
        <v>16.5704876286783</v>
      </c>
      <c r="K33" s="27" t="n">
        <f aca="false">Deploy!L51</f>
        <v>15.2592370965452</v>
      </c>
      <c r="L33" s="27" t="n">
        <f aca="false">Deploy!M51</f>
        <v>12.5391549988204</v>
      </c>
      <c r="M33" s="20" t="s">
        <v>2846</v>
      </c>
    </row>
    <row r="34" customFormat="false" ht="17.15" hidden="false" customHeight="false" outlineLevel="0" collapsed="false">
      <c r="A34" s="0" t="s">
        <v>2847</v>
      </c>
      <c r="B34" s="5" t="s">
        <v>2848</v>
      </c>
      <c r="C34" s="0" t="s">
        <v>78</v>
      </c>
      <c r="D34" s="27" t="n">
        <f aca="false">Deploy!E52</f>
        <v>1.61980834349181</v>
      </c>
      <c r="E34" s="27" t="n">
        <f aca="false">Deploy!F52</f>
        <v>9.04912429484716</v>
      </c>
      <c r="F34" s="27" t="n">
        <f aca="false">Deploy!G52</f>
        <v>11.7062917618926</v>
      </c>
      <c r="G34" s="27" t="n">
        <f aca="false">Deploy!H52</f>
        <v>19.5495475214805</v>
      </c>
      <c r="H34" s="27" t="n">
        <f aca="false">Deploy!I52</f>
        <v>17.0735035394013</v>
      </c>
      <c r="I34" s="27" t="n">
        <f aca="false">Deploy!J52</f>
        <v>16.6310499558584</v>
      </c>
      <c r="J34" s="27" t="n">
        <f aca="false">Deploy!K52</f>
        <v>16.6988664446744</v>
      </c>
      <c r="K34" s="27" t="n">
        <f aca="false">Deploy!L52</f>
        <v>15.5235309396684</v>
      </c>
      <c r="L34" s="27" t="n">
        <f aca="false">Deploy!M52</f>
        <v>13.2164193659222</v>
      </c>
      <c r="M34" s="20" t="s">
        <v>2849</v>
      </c>
    </row>
    <row r="35" customFormat="false" ht="17.15" hidden="false" customHeight="false" outlineLevel="0" collapsed="false">
      <c r="A35" s="0" t="s">
        <v>2850</v>
      </c>
      <c r="B35" s="5" t="s">
        <v>2851</v>
      </c>
      <c r="C35" s="0" t="s">
        <v>78</v>
      </c>
      <c r="D35" s="27" t="n">
        <f aca="false">Deploy!E53</f>
        <v>1.61980834349181</v>
      </c>
      <c r="E35" s="27" t="n">
        <f aca="false">Deploy!F53</f>
        <v>9.04912429484716</v>
      </c>
      <c r="F35" s="27" t="n">
        <f aca="false">Deploy!G53</f>
        <v>11.7062917618926</v>
      </c>
      <c r="G35" s="27" t="n">
        <f aca="false">Deploy!H53</f>
        <v>12.1032803925549</v>
      </c>
      <c r="H35" s="27" t="n">
        <f aca="false">Deploy!I53</f>
        <v>18.4100892525663</v>
      </c>
      <c r="I35" s="27" t="n">
        <f aca="false">Deploy!J53</f>
        <v>21.4433880740463</v>
      </c>
      <c r="J35" s="27" t="n">
        <f aca="false">Deploy!K53</f>
        <v>17.9962097422471</v>
      </c>
      <c r="K35" s="27" t="n">
        <f aca="false">Deploy!L53</f>
        <v>15.5235309396684</v>
      </c>
      <c r="L35" s="27" t="n">
        <f aca="false">Deploy!M53</f>
        <v>13.2164193659222</v>
      </c>
      <c r="M35" s="20" t="s">
        <v>2852</v>
      </c>
    </row>
    <row r="36" customFormat="false" ht="17.15" hidden="false" customHeight="false" outlineLevel="0" collapsed="false">
      <c r="A36" s="8" t="s">
        <v>2853</v>
      </c>
    </row>
    <row r="37" customFormat="false" ht="17.15" hidden="false" customHeight="false" outlineLevel="0" collapsed="false">
      <c r="A37" s="0" t="s">
        <v>2854</v>
      </c>
      <c r="B37" s="5" t="s">
        <v>2855</v>
      </c>
      <c r="C37" s="0" t="s">
        <v>78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0.809079699166553</v>
      </c>
      <c r="G37" s="27" t="n">
        <f aca="false">Deploy!H22</f>
        <v>4.21678610372315</v>
      </c>
      <c r="H37" s="27" t="n">
        <f aca="false">Deploy!I22</f>
        <v>5.18188873988621</v>
      </c>
      <c r="I37" s="27" t="n">
        <f aca="false">Deploy!J22</f>
        <v>5.20073191835793</v>
      </c>
      <c r="J37" s="27" t="n">
        <f aca="false">Deploy!K22</f>
        <v>5.15427209692925</v>
      </c>
      <c r="K37" s="27" t="n">
        <f aca="false">Deploy!L22</f>
        <v>4.51487355922862</v>
      </c>
      <c r="L37" s="27" t="n">
        <f aca="false">Deploy!M22</f>
        <v>2.94262133404771</v>
      </c>
      <c r="M37" s="20" t="s">
        <v>2856</v>
      </c>
    </row>
    <row r="38" customFormat="false" ht="17.15" hidden="false" customHeight="false" outlineLevel="0" collapsed="false">
      <c r="A38" s="0" t="s">
        <v>2857</v>
      </c>
      <c r="B38" s="5" t="s">
        <v>2858</v>
      </c>
      <c r="C38" s="0" t="s">
        <v>78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0.809079699166553</v>
      </c>
      <c r="G38" s="27" t="n">
        <f aca="false">Deploy!H23</f>
        <v>11.6630532326487</v>
      </c>
      <c r="H38" s="27" t="n">
        <f aca="false">Deploy!I23</f>
        <v>14.8454448051609</v>
      </c>
      <c r="I38" s="27" t="n">
        <f aca="false">Deploy!J23</f>
        <v>7.25192741431241</v>
      </c>
      <c r="J38" s="27" t="n">
        <f aca="false">Deploy!K23</f>
        <v>5.15427209692925</v>
      </c>
      <c r="K38" s="27" t="n">
        <f aca="false">Deploy!L23</f>
        <v>4.51487355922862</v>
      </c>
      <c r="L38" s="27" t="n">
        <f aca="false">Deploy!M23</f>
        <v>2.94262133404771</v>
      </c>
      <c r="M38" s="20" t="s">
        <v>2859</v>
      </c>
    </row>
    <row r="39" customFormat="false" ht="17.15" hidden="false" customHeight="false" outlineLevel="0" collapsed="false">
      <c r="A39" s="0" t="s">
        <v>2860</v>
      </c>
      <c r="B39" s="5" t="s">
        <v>2861</v>
      </c>
      <c r="C39" s="0" t="s">
        <v>78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0.809079699166553</v>
      </c>
      <c r="G39" s="27" t="n">
        <f aca="false">Deploy!H38</f>
        <v>4.21678610372315</v>
      </c>
      <c r="H39" s="27" t="n">
        <f aca="false">Deploy!I38</f>
        <v>4.23957349190896</v>
      </c>
      <c r="I39" s="27" t="n">
        <f aca="false">Deploy!J38</f>
        <v>4.47456588060426</v>
      </c>
      <c r="J39" s="27" t="n">
        <f aca="false">Deploy!K38</f>
        <v>4.38022560627607</v>
      </c>
      <c r="K39" s="27" t="n">
        <f aca="false">Deploy!L38</f>
        <v>3.87034093666497</v>
      </c>
      <c r="L39" s="27" t="n">
        <f aca="false">Deploy!M38</f>
        <v>2.63391529415296</v>
      </c>
      <c r="M39" s="20" t="s">
        <v>2862</v>
      </c>
    </row>
    <row r="40" customFormat="false" ht="17.15" hidden="false" customHeight="false" outlineLevel="0" collapsed="false">
      <c r="A40" s="0" t="s">
        <v>2863</v>
      </c>
      <c r="B40" s="5" t="s">
        <v>2864</v>
      </c>
      <c r="C40" s="0" t="s">
        <v>78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0.809079699166553</v>
      </c>
      <c r="G40" s="27" t="n">
        <f aca="false">Deploy!H39</f>
        <v>11.6630532326487</v>
      </c>
      <c r="H40" s="27" t="n">
        <f aca="false">Deploy!I39</f>
        <v>12.1261922324266</v>
      </c>
      <c r="I40" s="27" t="n">
        <f aca="false">Deploy!J39</f>
        <v>6.14883527736784</v>
      </c>
      <c r="J40" s="27" t="n">
        <f aca="false">Deploy!K39</f>
        <v>4.38022560627607</v>
      </c>
      <c r="K40" s="27" t="n">
        <f aca="false">Deploy!L39</f>
        <v>3.87034093666497</v>
      </c>
      <c r="L40" s="27" t="n">
        <f aca="false">Deploy!M39</f>
        <v>2.63391529415296</v>
      </c>
      <c r="M40" s="20" t="s">
        <v>2865</v>
      </c>
    </row>
    <row r="41" customFormat="false" ht="17.15" hidden="false" customHeight="false" outlineLevel="0" collapsed="false">
      <c r="A41" s="0" t="s">
        <v>2866</v>
      </c>
      <c r="B41" s="5" t="s">
        <v>2867</v>
      </c>
      <c r="C41" s="0" t="s">
        <v>78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0.809079699166553</v>
      </c>
      <c r="G41" s="27" t="n">
        <f aca="false">Deploy!H54</f>
        <v>4.21678610372315</v>
      </c>
      <c r="H41" s="27" t="n">
        <f aca="false">Deploy!I54</f>
        <v>3.29725824393172</v>
      </c>
      <c r="I41" s="27" t="n">
        <f aca="false">Deploy!J54</f>
        <v>3.26428915101478</v>
      </c>
      <c r="J41" s="27" t="n">
        <f aca="false">Deploy!K54</f>
        <v>3.13591033501871</v>
      </c>
      <c r="K41" s="27" t="n">
        <f aca="false">Deploy!L54</f>
        <v>2.87161649189541</v>
      </c>
      <c r="L41" s="27" t="n">
        <f aca="false">Deploy!M54</f>
        <v>2.1943521247936</v>
      </c>
      <c r="M41" s="20" t="s">
        <v>2868</v>
      </c>
    </row>
    <row r="42" customFormat="false" ht="17.15" hidden="false" customHeight="false" outlineLevel="0" collapsed="false">
      <c r="A42" s="0" t="s">
        <v>2869</v>
      </c>
      <c r="B42" s="5" t="s">
        <v>2870</v>
      </c>
      <c r="C42" s="0" t="s">
        <v>78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0.809079699166553</v>
      </c>
      <c r="G42" s="27" t="n">
        <f aca="false">Deploy!H55</f>
        <v>11.6630532326487</v>
      </c>
      <c r="H42" s="27" t="n">
        <f aca="false">Deploy!I55</f>
        <v>9.40693965969224</v>
      </c>
      <c r="I42" s="27" t="n">
        <f aca="false">Deploy!J55</f>
        <v>4.56163244858746</v>
      </c>
      <c r="J42" s="27" t="n">
        <f aca="false">Deploy!K55</f>
        <v>3.13591033501871</v>
      </c>
      <c r="K42" s="27" t="n">
        <f aca="false">Deploy!L55</f>
        <v>2.87161649189541</v>
      </c>
      <c r="L42" s="27" t="n">
        <f aca="false">Deploy!M55</f>
        <v>2.1943521247936</v>
      </c>
      <c r="M42" s="20" t="s">
        <v>2871</v>
      </c>
    </row>
    <row r="43" customFormat="false" ht="17.15" hidden="false" customHeight="false" outlineLevel="0" collapsed="false">
      <c r="A43" s="8" t="s">
        <v>2872</v>
      </c>
    </row>
    <row r="44" customFormat="false" ht="17.15" hidden="false" customHeight="false" outlineLevel="0" collapsed="false">
      <c r="A44" s="0" t="s">
        <v>2873</v>
      </c>
      <c r="B44" s="5" t="s">
        <v>2874</v>
      </c>
      <c r="C44" s="0" t="s">
        <v>78</v>
      </c>
      <c r="D44" s="27" t="n">
        <f aca="false">Deploy!E62</f>
        <v>6.20938570515285</v>
      </c>
      <c r="E44" s="27" t="n">
        <f aca="false">Deploy!F62</f>
        <v>25.3371433333333</v>
      </c>
      <c r="F44" s="27" t="n">
        <f aca="false">Deploy!G62</f>
        <v>37.8525147943925</v>
      </c>
      <c r="G44" s="27" t="n">
        <f aca="false">Deploy!H62</f>
        <v>46.5041599188997</v>
      </c>
      <c r="H44" s="27" t="n">
        <f aca="false">Deploy!I62</f>
        <v>65.1003739798087</v>
      </c>
      <c r="I44" s="27" t="n">
        <f aca="false">Deploy!J62</f>
        <v>71.4293953108062</v>
      </c>
      <c r="J44" s="27" t="n">
        <f aca="false">Deploy!K62</f>
        <v>78.4399252778478</v>
      </c>
      <c r="K44" s="27" t="n">
        <f aca="false">Deploy!L62</f>
        <v>86.2112152700441</v>
      </c>
      <c r="L44" s="27" t="n">
        <f aca="false">Deploy!M62</f>
        <v>94.8323367970485</v>
      </c>
      <c r="M44" s="20" t="s">
        <v>2875</v>
      </c>
    </row>
    <row r="45" customFormat="false" ht="17.15" hidden="false" customHeight="false" outlineLevel="0" collapsed="false">
      <c r="A45" s="0" t="s">
        <v>2876</v>
      </c>
      <c r="B45" s="5" t="s">
        <v>2877</v>
      </c>
      <c r="C45" s="0" t="s">
        <v>78</v>
      </c>
      <c r="D45" s="27" t="n">
        <f aca="false">Deploy!E63</f>
        <v>6.20938570515285</v>
      </c>
      <c r="E45" s="27" t="n">
        <f aca="false">Deploy!F63</f>
        <v>25.3371433333333</v>
      </c>
      <c r="F45" s="27" t="n">
        <f aca="false">Deploy!G63</f>
        <v>37.043435095226</v>
      </c>
      <c r="G45" s="27" t="n">
        <f aca="false">Deploy!H63</f>
        <v>44.7908553554443</v>
      </c>
      <c r="H45" s="27" t="n">
        <f aca="false">Deploy!I63</f>
        <v>61.3757240191496</v>
      </c>
      <c r="I45" s="27" t="n">
        <f aca="false">Deploy!J63</f>
        <v>69.9621915778816</v>
      </c>
      <c r="J45" s="27" t="n">
        <f aca="false">Deploy!K63</f>
        <v>76.9770075336155</v>
      </c>
      <c r="K45" s="27" t="n">
        <f aca="false">Deploy!L63</f>
        <v>84.6499895214097</v>
      </c>
      <c r="L45" s="27" t="n">
        <f aca="false">Deploy!M63</f>
        <v>93.3236405298227</v>
      </c>
      <c r="M45" s="20" t="s">
        <v>2878</v>
      </c>
    </row>
    <row r="46" customFormat="false" ht="17.15" hidden="false" customHeight="false" outlineLevel="0" collapsed="false">
      <c r="A46" s="0" t="s">
        <v>2879</v>
      </c>
      <c r="B46" s="5" t="s">
        <v>2880</v>
      </c>
      <c r="C46" s="0" t="s">
        <v>78</v>
      </c>
      <c r="D46" s="27" t="n">
        <f aca="false">Deploy!E64</f>
        <v>6.20938570515285</v>
      </c>
      <c r="E46" s="27" t="n">
        <f aca="false">Deploy!F64</f>
        <v>25.3371433333333</v>
      </c>
      <c r="F46" s="27" t="n">
        <f aca="false">Deploy!G64</f>
        <v>37.043435095226</v>
      </c>
      <c r="G46" s="27" t="n">
        <f aca="false">Deploy!H64</f>
        <v>42.0654391310236</v>
      </c>
      <c r="H46" s="27" t="n">
        <f aca="false">Deploy!I64</f>
        <v>55.4614965536675</v>
      </c>
      <c r="I46" s="27" t="n">
        <f aca="false">Deploy!J64</f>
        <v>68.493891593618</v>
      </c>
      <c r="J46" s="27" t="n">
        <f aca="false">Deploy!K64</f>
        <v>76.9770075336155</v>
      </c>
      <c r="K46" s="27" t="n">
        <f aca="false">Deploy!L64</f>
        <v>84.6499895214097</v>
      </c>
      <c r="L46" s="27" t="n">
        <f aca="false">Deploy!M64</f>
        <v>93.3236405298227</v>
      </c>
      <c r="M46" s="20" t="s">
        <v>2881</v>
      </c>
    </row>
    <row r="47" customFormat="false" ht="17.15" hidden="false" customHeight="false" outlineLevel="0" collapsed="false">
      <c r="A47" s="0" t="s">
        <v>2882</v>
      </c>
      <c r="B47" s="5" t="s">
        <v>2883</v>
      </c>
      <c r="C47" s="0" t="s">
        <v>78</v>
      </c>
      <c r="D47" s="27" t="n">
        <f aca="false">Deploy!E78</f>
        <v>6.20938570515285</v>
      </c>
      <c r="E47" s="27" t="n">
        <f aca="false">Deploy!F78</f>
        <v>25.3371433333333</v>
      </c>
      <c r="F47" s="27" t="n">
        <f aca="false">Deploy!G78</f>
        <v>37.8525147943925</v>
      </c>
      <c r="G47" s="27" t="n">
        <f aca="false">Deploy!H78</f>
        <v>46.5041599188997</v>
      </c>
      <c r="H47" s="27" t="n">
        <f aca="false">Deploy!I78</f>
        <v>61.3811311676269</v>
      </c>
      <c r="I47" s="27" t="n">
        <f aca="false">Deploy!J78</f>
        <v>66.7607992989748</v>
      </c>
      <c r="J47" s="27" t="n">
        <f aca="false">Deploy!K78</f>
        <v>72.886933966244</v>
      </c>
      <c r="K47" s="27" t="n">
        <f aca="false">Deploy!L78</f>
        <v>79.8754225685645</v>
      </c>
      <c r="L47" s="27" t="n">
        <f aca="false">Deploy!M78</f>
        <v>87.8629648254209</v>
      </c>
      <c r="M47" s="20" t="s">
        <v>2884</v>
      </c>
    </row>
    <row r="48" customFormat="false" ht="17.15" hidden="false" customHeight="false" outlineLevel="0" collapsed="false">
      <c r="A48" s="0" t="s">
        <v>2885</v>
      </c>
      <c r="B48" s="5" t="s">
        <v>2886</v>
      </c>
      <c r="C48" s="0" t="s">
        <v>78</v>
      </c>
      <c r="D48" s="27" t="n">
        <f aca="false">Deploy!E79</f>
        <v>6.20938570515285</v>
      </c>
      <c r="E48" s="27" t="n">
        <f aca="false">Deploy!F79</f>
        <v>25.3371433333333</v>
      </c>
      <c r="F48" s="27" t="n">
        <f aca="false">Deploy!G79</f>
        <v>37.043435095226</v>
      </c>
      <c r="G48" s="27" t="n">
        <f aca="false">Deploy!H79</f>
        <v>44.7908553554443</v>
      </c>
      <c r="H48" s="27" t="n">
        <f aca="false">Deploy!I79</f>
        <v>58.3073486990997</v>
      </c>
      <c r="I48" s="27" t="n">
        <f aca="false">Deploy!J79</f>
        <v>65.4597323759889</v>
      </c>
      <c r="J48" s="27" t="n">
        <f aca="false">Deploy!K79</f>
        <v>71.5787853994719</v>
      </c>
      <c r="K48" s="27" t="n">
        <f aca="false">Deploy!L79</f>
        <v>78.4511870631584</v>
      </c>
      <c r="L48" s="27" t="n">
        <f aca="false">Deploy!M79</f>
        <v>86.4651449304711</v>
      </c>
      <c r="M48" s="20" t="s">
        <v>2887</v>
      </c>
    </row>
    <row r="49" customFormat="false" ht="17.15" hidden="false" customHeight="false" outlineLevel="0" collapsed="false">
      <c r="A49" s="0" t="s">
        <v>2888</v>
      </c>
      <c r="B49" s="5" t="s">
        <v>2889</v>
      </c>
      <c r="C49" s="0" t="s">
        <v>78</v>
      </c>
      <c r="D49" s="27" t="n">
        <f aca="false">Deploy!E80</f>
        <v>6.20938570515285</v>
      </c>
      <c r="E49" s="27" t="n">
        <f aca="false">Deploy!F80</f>
        <v>25.3371433333333</v>
      </c>
      <c r="F49" s="27" t="n">
        <f aca="false">Deploy!G80</f>
        <v>37.043435095226</v>
      </c>
      <c r="G49" s="27" t="n">
        <f aca="false">Deploy!H80</f>
        <v>42.0654391310236</v>
      </c>
      <c r="H49" s="27" t="n">
        <f aca="false">Deploy!I80</f>
        <v>53.6204713616375</v>
      </c>
      <c r="I49" s="27" t="n">
        <f aca="false">Deploy!J80</f>
        <v>64.251779388578</v>
      </c>
      <c r="J49" s="27" t="n">
        <f aca="false">Deploy!K80</f>
        <v>71.5787853994719</v>
      </c>
      <c r="K49" s="27" t="n">
        <f aca="false">Deploy!L80</f>
        <v>78.4511870631584</v>
      </c>
      <c r="L49" s="27" t="n">
        <f aca="false">Deploy!M80</f>
        <v>86.4651449304711</v>
      </c>
      <c r="M49" s="20" t="s">
        <v>2890</v>
      </c>
    </row>
    <row r="50" customFormat="false" ht="17.15" hidden="false" customHeight="false" outlineLevel="0" collapsed="false">
      <c r="A50" s="0" t="s">
        <v>2891</v>
      </c>
      <c r="B50" s="5" t="s">
        <v>2892</v>
      </c>
      <c r="C50" s="0" t="s">
        <v>78</v>
      </c>
      <c r="D50" s="27" t="n">
        <f aca="false">Deploy!E94</f>
        <v>6.20938570515285</v>
      </c>
      <c r="E50" s="27" t="n">
        <f aca="false">Deploy!F94</f>
        <v>25.3371433333333</v>
      </c>
      <c r="F50" s="27" t="n">
        <f aca="false">Deploy!G94</f>
        <v>37.8525147943925</v>
      </c>
      <c r="G50" s="27" t="n">
        <f aca="false">Deploy!H94</f>
        <v>46.5041599188997</v>
      </c>
      <c r="H50" s="27" t="n">
        <f aca="false">Deploy!I94</f>
        <v>57.6618883554451</v>
      </c>
      <c r="I50" s="27" t="n">
        <f aca="false">Deploy!J94</f>
        <v>61.4593011540436</v>
      </c>
      <c r="J50" s="27" t="n">
        <f aca="false">Deploy!K94</f>
        <v>66.2062760518219</v>
      </c>
      <c r="K50" s="27" t="n">
        <f aca="false">Deploy!L94</f>
        <v>72.0734000083851</v>
      </c>
      <c r="L50" s="27" t="n">
        <f aca="false">Deploy!M94</f>
        <v>79.2807400092236</v>
      </c>
      <c r="M50" s="20" t="s">
        <v>2893</v>
      </c>
    </row>
    <row r="51" customFormat="false" ht="17.15" hidden="false" customHeight="false" outlineLevel="0" collapsed="false">
      <c r="A51" s="0" t="s">
        <v>2894</v>
      </c>
      <c r="B51" s="5" t="s">
        <v>2895</v>
      </c>
      <c r="C51" s="0" t="s">
        <v>78</v>
      </c>
      <c r="D51" s="27" t="n">
        <f aca="false">Deploy!E95</f>
        <v>6.20938570515285</v>
      </c>
      <c r="E51" s="27" t="n">
        <f aca="false">Deploy!F95</f>
        <v>25.3371433333333</v>
      </c>
      <c r="F51" s="27" t="n">
        <f aca="false">Deploy!G95</f>
        <v>37.043435095226</v>
      </c>
      <c r="G51" s="27" t="n">
        <f aca="false">Deploy!H95</f>
        <v>44.7908553554443</v>
      </c>
      <c r="H51" s="27" t="n">
        <f aca="false">Deploy!I95</f>
        <v>55.2389733790497</v>
      </c>
      <c r="I51" s="27" t="n">
        <f aca="false">Deploy!J95</f>
        <v>60.4351289142888</v>
      </c>
      <c r="J51" s="27" t="n">
        <f aca="false">Deploy!K95</f>
        <v>65.1394804447107</v>
      </c>
      <c r="K51" s="27" t="n">
        <f aca="false">Deploy!L95</f>
        <v>70.8454033159865</v>
      </c>
      <c r="L51" s="27" t="n">
        <f aca="false">Deploy!M95</f>
        <v>78.0194555090769</v>
      </c>
      <c r="M51" s="20" t="s">
        <v>2896</v>
      </c>
    </row>
    <row r="52" customFormat="false" ht="17.15" hidden="false" customHeight="false" outlineLevel="0" collapsed="false">
      <c r="A52" s="0" t="s">
        <v>2897</v>
      </c>
      <c r="B52" s="5" t="s">
        <v>2898</v>
      </c>
      <c r="C52" s="0" t="s">
        <v>78</v>
      </c>
      <c r="D52" s="27" t="n">
        <f aca="false">Deploy!E96</f>
        <v>6.20938570515285</v>
      </c>
      <c r="E52" s="27" t="n">
        <f aca="false">Deploy!F96</f>
        <v>25.3371433333333</v>
      </c>
      <c r="F52" s="27" t="n">
        <f aca="false">Deploy!G96</f>
        <v>37.043435095226</v>
      </c>
      <c r="G52" s="27" t="n">
        <f aca="false">Deploy!H96</f>
        <v>42.0654391310236</v>
      </c>
      <c r="H52" s="27" t="n">
        <f aca="false">Deploy!I96</f>
        <v>51.7794461696075</v>
      </c>
      <c r="I52" s="27" t="n">
        <f aca="false">Deploy!J96</f>
        <v>59.4875229237307</v>
      </c>
      <c r="J52" s="27" t="n">
        <f aca="false">Deploy!K96</f>
        <v>65.1394804447107</v>
      </c>
      <c r="K52" s="27" t="n">
        <f aca="false">Deploy!L96</f>
        <v>70.8454033159865</v>
      </c>
      <c r="L52" s="27" t="n">
        <f aca="false">Deploy!M96</f>
        <v>78.0194555090769</v>
      </c>
      <c r="M52" s="20" t="s">
        <v>2899</v>
      </c>
    </row>
    <row r="53" customFormat="false" ht="17.15" hidden="false" customHeight="false" outlineLevel="0" collapsed="false">
      <c r="A53" s="0" t="s">
        <v>2900</v>
      </c>
      <c r="B53" s="5" t="s">
        <v>2901</v>
      </c>
      <c r="C53" s="0" t="s">
        <v>78</v>
      </c>
      <c r="D53" s="27" t="n">
        <f aca="false">Deploy!E65</f>
        <v>3.41998203041741</v>
      </c>
      <c r="E53" s="27" t="n">
        <f aca="false">Deploy!F65</f>
        <v>15.7732645192431</v>
      </c>
      <c r="F53" s="27" t="n">
        <f aca="false">Deploy!G65</f>
        <v>31.5948290638629</v>
      </c>
      <c r="G53" s="27" t="n">
        <f aca="false">Deploy!H65</f>
        <v>42.1783373566461</v>
      </c>
      <c r="H53" s="27" t="n">
        <f aca="false">Deploy!I65</f>
        <v>55.8022669493542</v>
      </c>
      <c r="I53" s="27" t="n">
        <f aca="false">Deploy!J65</f>
        <v>68.2648846453075</v>
      </c>
      <c r="J53" s="27" t="n">
        <f aca="false">Deploy!K65</f>
        <v>74.934660294327</v>
      </c>
      <c r="K53" s="27" t="n">
        <f aca="false">Deploy!L65</f>
        <v>82.3255702739459</v>
      </c>
      <c r="L53" s="27" t="n">
        <f aca="false">Deploy!M65</f>
        <v>90.5217760335463</v>
      </c>
      <c r="M53" s="20" t="s">
        <v>2902</v>
      </c>
    </row>
    <row r="54" customFormat="false" ht="17.15" hidden="false" customHeight="false" outlineLevel="0" collapsed="false">
      <c r="A54" s="0" t="s">
        <v>2903</v>
      </c>
      <c r="B54" s="5" t="s">
        <v>2904</v>
      </c>
      <c r="C54" s="0" t="s">
        <v>78</v>
      </c>
      <c r="D54" s="27" t="n">
        <f aca="false">Deploy!E66</f>
        <v>3.41998203041741</v>
      </c>
      <c r="E54" s="27" t="n">
        <f aca="false">Deploy!F66</f>
        <v>15.7732645192431</v>
      </c>
      <c r="F54" s="27" t="n">
        <f aca="false">Deploy!G66</f>
        <v>31.1902892142797</v>
      </c>
      <c r="G54" s="27" t="n">
        <f aca="false">Deploy!H66</f>
        <v>40.9171452253351</v>
      </c>
      <c r="H54" s="27" t="n">
        <f aca="false">Deploy!I66</f>
        <v>53.083289687297</v>
      </c>
      <c r="I54" s="27" t="n">
        <f aca="false">Deploy!J66</f>
        <v>65.6689577985156</v>
      </c>
      <c r="J54" s="27" t="n">
        <f aca="false">Deploy!K66</f>
        <v>73.4695995557485</v>
      </c>
      <c r="K54" s="27" t="n">
        <f aca="false">Deploy!L66</f>
        <v>80.8134985275126</v>
      </c>
      <c r="L54" s="27" t="n">
        <f aca="false">Deploy!M66</f>
        <v>88.9868150256162</v>
      </c>
      <c r="M54" s="20" t="s">
        <v>2905</v>
      </c>
    </row>
    <row r="55" customFormat="false" ht="17.15" hidden="false" customHeight="false" outlineLevel="0" collapsed="false">
      <c r="A55" s="0" t="s">
        <v>2906</v>
      </c>
      <c r="B55" s="5" t="s">
        <v>2907</v>
      </c>
      <c r="C55" s="0" t="s">
        <v>78</v>
      </c>
      <c r="D55" s="27" t="n">
        <f aca="false">Deploy!E67</f>
        <v>3.41998203041741</v>
      </c>
      <c r="E55" s="27" t="n">
        <f aca="false">Deploy!F67</f>
        <v>15.7732645192431</v>
      </c>
      <c r="F55" s="27" t="n">
        <f aca="false">Deploy!G67</f>
        <v>31.1902892142797</v>
      </c>
      <c r="G55" s="27" t="n">
        <f aca="false">Deploy!H67</f>
        <v>39.5544371131248</v>
      </c>
      <c r="H55" s="27" t="n">
        <f aca="false">Deploy!I67</f>
        <v>48.7634678423455</v>
      </c>
      <c r="I55" s="27" t="n">
        <f aca="false">Deploy!J67</f>
        <v>61.9776940736427</v>
      </c>
      <c r="J55" s="27" t="n">
        <f aca="false">Deploy!K67</f>
        <v>72.7354495636167</v>
      </c>
      <c r="K55" s="27" t="n">
        <f aca="false">Deploy!L67</f>
        <v>80.8134985275126</v>
      </c>
      <c r="L55" s="27" t="n">
        <f aca="false">Deploy!M67</f>
        <v>88.9868150256162</v>
      </c>
      <c r="M55" s="20" t="s">
        <v>2908</v>
      </c>
    </row>
    <row r="56" customFormat="false" ht="17.15" hidden="false" customHeight="false" outlineLevel="0" collapsed="false">
      <c r="A56" s="0" t="s">
        <v>2909</v>
      </c>
      <c r="B56" s="5" t="s">
        <v>2910</v>
      </c>
      <c r="C56" s="0" t="s">
        <v>78</v>
      </c>
      <c r="D56" s="27" t="n">
        <f aca="false">Deploy!E81</f>
        <v>3.41998203041741</v>
      </c>
      <c r="E56" s="27" t="n">
        <f aca="false">Deploy!F81</f>
        <v>15.7732645192431</v>
      </c>
      <c r="F56" s="27" t="n">
        <f aca="false">Deploy!G81</f>
        <v>31.5948290638629</v>
      </c>
      <c r="G56" s="27" t="n">
        <f aca="false">Deploy!H81</f>
        <v>42.1783373566461</v>
      </c>
      <c r="H56" s="27" t="n">
        <f aca="false">Deploy!I81</f>
        <v>53.9426455432633</v>
      </c>
      <c r="I56" s="27" t="n">
        <f aca="false">Deploy!J81</f>
        <v>64.0709652333008</v>
      </c>
      <c r="J56" s="27" t="n">
        <f aca="false">Deploy!K81</f>
        <v>69.8238666326094</v>
      </c>
      <c r="K56" s="27" t="n">
        <f aca="false">Deploy!L81</f>
        <v>76.3811782674043</v>
      </c>
      <c r="L56" s="27" t="n">
        <f aca="false">Deploy!M81</f>
        <v>83.8691936969927</v>
      </c>
      <c r="M56" s="20" t="s">
        <v>2911</v>
      </c>
    </row>
    <row r="57" customFormat="false" ht="17.15" hidden="false" customHeight="false" outlineLevel="0" collapsed="false">
      <c r="A57" s="0" t="s">
        <v>2912</v>
      </c>
      <c r="B57" s="5" t="s">
        <v>2913</v>
      </c>
      <c r="C57" s="0" t="s">
        <v>78</v>
      </c>
      <c r="D57" s="27" t="n">
        <f aca="false">Deploy!E82</f>
        <v>3.41998203041741</v>
      </c>
      <c r="E57" s="27" t="n">
        <f aca="false">Deploy!F82</f>
        <v>15.7732645192431</v>
      </c>
      <c r="F57" s="27" t="n">
        <f aca="false">Deploy!G82</f>
        <v>31.1902892142797</v>
      </c>
      <c r="G57" s="27" t="n">
        <f aca="false">Deploy!H82</f>
        <v>40.9171452253351</v>
      </c>
      <c r="H57" s="27" t="n">
        <f aca="false">Deploy!I82</f>
        <v>51.549102027272</v>
      </c>
      <c r="I57" s="27" t="n">
        <f aca="false">Deploy!J82</f>
        <v>61.8835405375443</v>
      </c>
      <c r="J57" s="27" t="n">
        <f aca="false">Deploy!K82</f>
        <v>68.5192588877304</v>
      </c>
      <c r="K57" s="27" t="n">
        <f aca="false">Deploy!L82</f>
        <v>75.0149862313152</v>
      </c>
      <c r="L57" s="27" t="n">
        <f aca="false">Deploy!M82</f>
        <v>82.4581659968147</v>
      </c>
      <c r="M57" s="20" t="s">
        <v>2914</v>
      </c>
    </row>
    <row r="58" customFormat="false" ht="17.15" hidden="false" customHeight="false" outlineLevel="0" collapsed="false">
      <c r="A58" s="0" t="s">
        <v>2915</v>
      </c>
      <c r="B58" s="5" t="s">
        <v>2916</v>
      </c>
      <c r="C58" s="0" t="s">
        <v>78</v>
      </c>
      <c r="D58" s="27" t="n">
        <f aca="false">Deploy!E83</f>
        <v>3.41998203041741</v>
      </c>
      <c r="E58" s="27" t="n">
        <f aca="false">Deploy!F83</f>
        <v>15.7732645192431</v>
      </c>
      <c r="F58" s="27" t="n">
        <f aca="false">Deploy!G83</f>
        <v>31.1902892142797</v>
      </c>
      <c r="G58" s="27" t="n">
        <f aca="false">Deploy!H83</f>
        <v>39.5544371131248</v>
      </c>
      <c r="H58" s="27" t="n">
        <f aca="false">Deploy!I83</f>
        <v>47.8429552463305</v>
      </c>
      <c r="I58" s="27" t="n">
        <f aca="false">Deploy!J83</f>
        <v>58.9361253751077</v>
      </c>
      <c r="J58" s="27" t="n">
        <f aca="false">Deploy!K83</f>
        <v>67.9152823940249</v>
      </c>
      <c r="K58" s="27" t="n">
        <f aca="false">Deploy!L83</f>
        <v>75.0149862313152</v>
      </c>
      <c r="L58" s="27" t="n">
        <f aca="false">Deploy!M83</f>
        <v>82.4581659968147</v>
      </c>
      <c r="M58" s="20" t="s">
        <v>2917</v>
      </c>
    </row>
    <row r="59" customFormat="false" ht="17.15" hidden="false" customHeight="false" outlineLevel="0" collapsed="false">
      <c r="A59" s="0" t="s">
        <v>2918</v>
      </c>
      <c r="B59" s="5" t="s">
        <v>2919</v>
      </c>
      <c r="C59" s="0" t="s">
        <v>78</v>
      </c>
      <c r="D59" s="27" t="n">
        <f aca="false">Deploy!E97</f>
        <v>3.41998203041741</v>
      </c>
      <c r="E59" s="27" t="n">
        <f aca="false">Deploy!F97</f>
        <v>15.7732645192431</v>
      </c>
      <c r="F59" s="27" t="n">
        <f aca="false">Deploy!G97</f>
        <v>31.5948290638629</v>
      </c>
      <c r="G59" s="27" t="n">
        <f aca="false">Deploy!H97</f>
        <v>42.1783373566461</v>
      </c>
      <c r="H59" s="27" t="n">
        <f aca="false">Deploy!I97</f>
        <v>52.0830241371724</v>
      </c>
      <c r="I59" s="27" t="n">
        <f aca="false">Deploy!J97</f>
        <v>59.5605947547443</v>
      </c>
      <c r="J59" s="27" t="n">
        <f aca="false">Deploy!K97</f>
        <v>63.8327886029327</v>
      </c>
      <c r="K59" s="27" t="n">
        <f aca="false">Deploy!L97</f>
        <v>69.1398380301035</v>
      </c>
      <c r="L59" s="27" t="n">
        <f aca="false">Deploy!M97</f>
        <v>75.6770700088044</v>
      </c>
      <c r="M59" s="20" t="s">
        <v>2920</v>
      </c>
    </row>
    <row r="60" customFormat="false" ht="17.15" hidden="false" customHeight="false" outlineLevel="0" collapsed="false">
      <c r="A60" s="0" t="s">
        <v>2921</v>
      </c>
      <c r="B60" s="5" t="s">
        <v>2922</v>
      </c>
      <c r="C60" s="0" t="s">
        <v>78</v>
      </c>
      <c r="D60" s="27" t="n">
        <f aca="false">Deploy!E98</f>
        <v>3.41998203041741</v>
      </c>
      <c r="E60" s="27" t="n">
        <f aca="false">Deploy!F98</f>
        <v>15.7732645192431</v>
      </c>
      <c r="F60" s="27" t="n">
        <f aca="false">Deploy!G98</f>
        <v>31.1902892142797</v>
      </c>
      <c r="G60" s="27" t="n">
        <f aca="false">Deploy!H98</f>
        <v>40.9171452253351</v>
      </c>
      <c r="H60" s="27" t="n">
        <f aca="false">Deploy!I98</f>
        <v>50.014914367247</v>
      </c>
      <c r="I60" s="27" t="n">
        <f aca="false">Deploy!J98</f>
        <v>57.8370511466693</v>
      </c>
      <c r="J60" s="27" t="n">
        <f aca="false">Deploy!K98</f>
        <v>62.7873046794998</v>
      </c>
      <c r="K60" s="27" t="n">
        <f aca="false">Deploy!L98</f>
        <v>67.9924418803486</v>
      </c>
      <c r="L60" s="27" t="n">
        <f aca="false">Deploy!M98</f>
        <v>74.4324294125317</v>
      </c>
      <c r="M60" s="20" t="s">
        <v>2923</v>
      </c>
    </row>
    <row r="61" customFormat="false" ht="17.15" hidden="false" customHeight="false" outlineLevel="0" collapsed="false">
      <c r="A61" s="0" t="s">
        <v>2924</v>
      </c>
      <c r="B61" s="5" t="s">
        <v>2925</v>
      </c>
      <c r="C61" s="0" t="s">
        <v>78</v>
      </c>
      <c r="D61" s="27" t="n">
        <f aca="false">Deploy!E99</f>
        <v>3.41998203041741</v>
      </c>
      <c r="E61" s="27" t="n">
        <f aca="false">Deploy!F99</f>
        <v>15.7732645192431</v>
      </c>
      <c r="F61" s="27" t="n">
        <f aca="false">Deploy!G99</f>
        <v>31.1902892142797</v>
      </c>
      <c r="G61" s="27" t="n">
        <f aca="false">Deploy!H99</f>
        <v>39.5544371131248</v>
      </c>
      <c r="H61" s="27" t="n">
        <f aca="false">Deploy!I99</f>
        <v>46.9224426503155</v>
      </c>
      <c r="I61" s="27" t="n">
        <f aca="false">Deploy!J99</f>
        <v>55.6334845466691</v>
      </c>
      <c r="J61" s="27" t="n">
        <f aca="false">Deploy!K99</f>
        <v>62.3135016842207</v>
      </c>
      <c r="K61" s="27" t="n">
        <f aca="false">Deploy!L99</f>
        <v>67.9924418803486</v>
      </c>
      <c r="L61" s="27" t="n">
        <f aca="false">Deploy!M99</f>
        <v>74.4324294125317</v>
      </c>
      <c r="M61" s="20" t="s">
        <v>2926</v>
      </c>
    </row>
    <row r="62" customFormat="false" ht="17.15" hidden="false" customHeight="false" outlineLevel="0" collapsed="false">
      <c r="A62" s="0" t="s">
        <v>2927</v>
      </c>
      <c r="B62" s="5" t="s">
        <v>2928</v>
      </c>
      <c r="C62" s="0" t="s">
        <v>78</v>
      </c>
      <c r="D62" s="27" t="n">
        <f aca="false">Deploy!E68</f>
        <v>1.61980834349181</v>
      </c>
      <c r="E62" s="27" t="n">
        <f aca="false">Deploy!F68</f>
        <v>9.04912429484716</v>
      </c>
      <c r="F62" s="27" t="n">
        <f aca="false">Deploy!G68</f>
        <v>12.5153714610592</v>
      </c>
      <c r="G62" s="27" t="n">
        <f aca="false">Deploy!H68</f>
        <v>8.65164512450717</v>
      </c>
      <c r="H62" s="27" t="n">
        <f aca="false">Deploy!I68</f>
        <v>18.596214060909</v>
      </c>
      <c r="I62" s="27" t="n">
        <f aca="false">Deploy!J68</f>
        <v>6.32902133099745</v>
      </c>
      <c r="J62" s="27" t="n">
        <f aca="false">Deploy!K68</f>
        <v>7.01052996704159</v>
      </c>
      <c r="K62" s="27" t="n">
        <f aca="false">Deploy!L68</f>
        <v>7.7712899921963</v>
      </c>
      <c r="L62" s="27" t="n">
        <f aca="false">Deploy!M68</f>
        <v>8.62112152700441</v>
      </c>
      <c r="M62" s="20" t="s">
        <v>2929</v>
      </c>
    </row>
    <row r="63" customFormat="false" ht="17.15" hidden="false" customHeight="false" outlineLevel="0" collapsed="false">
      <c r="A63" s="0" t="s">
        <v>2930</v>
      </c>
      <c r="B63" s="5" t="s">
        <v>2931</v>
      </c>
      <c r="C63" s="0" t="s">
        <v>78</v>
      </c>
      <c r="D63" s="27" t="n">
        <f aca="false">Deploy!E69</f>
        <v>1.61980834349181</v>
      </c>
      <c r="E63" s="27" t="n">
        <f aca="false">Deploy!F69</f>
        <v>9.04912429484716</v>
      </c>
      <c r="F63" s="27" t="n">
        <f aca="false">Deploy!G69</f>
        <v>11.7062917618926</v>
      </c>
      <c r="G63" s="27" t="n">
        <f aca="false">Deploy!H69</f>
        <v>7.74742026021831</v>
      </c>
      <c r="H63" s="27" t="n">
        <f aca="false">Deploy!I69</f>
        <v>16.5848686637054</v>
      </c>
      <c r="I63" s="27" t="n">
        <f aca="false">Deploy!J69</f>
        <v>8.58646755873197</v>
      </c>
      <c r="J63" s="27" t="n">
        <f aca="false">Deploy!K69</f>
        <v>7.01481595573387</v>
      </c>
      <c r="K63" s="27" t="n">
        <f aca="false">Deploy!L69</f>
        <v>7.67298198779423</v>
      </c>
      <c r="L63" s="27" t="n">
        <f aca="false">Deploy!M69</f>
        <v>8.67365100841299</v>
      </c>
      <c r="M63" s="20" t="s">
        <v>2932</v>
      </c>
    </row>
    <row r="64" customFormat="false" ht="17.15" hidden="false" customHeight="false" outlineLevel="0" collapsed="false">
      <c r="A64" s="0" t="s">
        <v>2933</v>
      </c>
      <c r="B64" s="5" t="s">
        <v>2934</v>
      </c>
      <c r="C64" s="0" t="s">
        <v>78</v>
      </c>
      <c r="D64" s="27" t="n">
        <f aca="false">Deploy!E70</f>
        <v>1.61980834349181</v>
      </c>
      <c r="E64" s="27" t="n">
        <f aca="false">Deploy!F70</f>
        <v>9.04912429484716</v>
      </c>
      <c r="F64" s="27" t="n">
        <f aca="false">Deploy!G70</f>
        <v>11.7062917618926</v>
      </c>
      <c r="G64" s="27" t="n">
        <f aca="false">Deploy!H70</f>
        <v>5.02200403579761</v>
      </c>
      <c r="H64" s="27" t="n">
        <f aca="false">Deploy!I70</f>
        <v>13.3960574226439</v>
      </c>
      <c r="I64" s="27" t="n">
        <f aca="false">Deploy!J70</f>
        <v>13.0323950399505</v>
      </c>
      <c r="J64" s="27" t="n">
        <f aca="false">Deploy!K70</f>
        <v>8.48311593999749</v>
      </c>
      <c r="K64" s="27" t="n">
        <f aca="false">Deploy!L70</f>
        <v>7.67298198779423</v>
      </c>
      <c r="L64" s="27" t="n">
        <f aca="false">Deploy!M70</f>
        <v>8.67365100841299</v>
      </c>
      <c r="M64" s="20" t="s">
        <v>2935</v>
      </c>
    </row>
    <row r="65" customFormat="false" ht="17.15" hidden="false" customHeight="false" outlineLevel="0" collapsed="false">
      <c r="A65" s="0" t="s">
        <v>2936</v>
      </c>
      <c r="B65" s="5" t="s">
        <v>2937</v>
      </c>
      <c r="C65" s="0" t="s">
        <v>78</v>
      </c>
      <c r="D65" s="27" t="n">
        <f aca="false">Deploy!E84</f>
        <v>1.61980834349181</v>
      </c>
      <c r="E65" s="27" t="n">
        <f aca="false">Deploy!F84</f>
        <v>9.04912429484716</v>
      </c>
      <c r="F65" s="27" t="n">
        <f aca="false">Deploy!G84</f>
        <v>12.5153714610592</v>
      </c>
      <c r="G65" s="27" t="n">
        <f aca="false">Deploy!H84</f>
        <v>8.65164512450717</v>
      </c>
      <c r="H65" s="27" t="n">
        <f aca="false">Deploy!I84</f>
        <v>14.8769712487272</v>
      </c>
      <c r="I65" s="27" t="n">
        <f aca="false">Deploy!J84</f>
        <v>5.37966813134783</v>
      </c>
      <c r="J65" s="27" t="n">
        <f aca="false">Deploy!K84</f>
        <v>6.12613466726927</v>
      </c>
      <c r="K65" s="27" t="n">
        <f aca="false">Deploy!L84</f>
        <v>6.98848860232047</v>
      </c>
      <c r="L65" s="27" t="n">
        <f aca="false">Deploy!M84</f>
        <v>7.98754225685644</v>
      </c>
      <c r="M65" s="20" t="s">
        <v>2938</v>
      </c>
    </row>
    <row r="66" customFormat="false" ht="17.15" hidden="false" customHeight="false" outlineLevel="0" collapsed="false">
      <c r="A66" s="0" t="s">
        <v>2939</v>
      </c>
      <c r="B66" s="5" t="s">
        <v>2940</v>
      </c>
      <c r="C66" s="0" t="s">
        <v>78</v>
      </c>
      <c r="D66" s="27" t="n">
        <f aca="false">Deploy!E85</f>
        <v>1.61980834349181</v>
      </c>
      <c r="E66" s="27" t="n">
        <f aca="false">Deploy!F85</f>
        <v>9.04912429484716</v>
      </c>
      <c r="F66" s="27" t="n">
        <f aca="false">Deploy!G85</f>
        <v>11.7062917618926</v>
      </c>
      <c r="G66" s="27" t="n">
        <f aca="false">Deploy!H85</f>
        <v>7.74742026021831</v>
      </c>
      <c r="H66" s="27" t="n">
        <f aca="false">Deploy!I85</f>
        <v>13.5164933436554</v>
      </c>
      <c r="I66" s="27" t="n">
        <f aca="false">Deploy!J85</f>
        <v>7.15238367688922</v>
      </c>
      <c r="J66" s="27" t="n">
        <f aca="false">Deploy!K85</f>
        <v>6.11905302348302</v>
      </c>
      <c r="K66" s="27" t="n">
        <f aca="false">Deploy!L85</f>
        <v>6.8724016636865</v>
      </c>
      <c r="L66" s="27" t="n">
        <f aca="false">Deploy!M85</f>
        <v>8.01395786731266</v>
      </c>
      <c r="M66" s="20" t="s">
        <v>2941</v>
      </c>
    </row>
    <row r="67" customFormat="false" ht="17.15" hidden="false" customHeight="false" outlineLevel="0" collapsed="false">
      <c r="A67" s="0" t="s">
        <v>2942</v>
      </c>
      <c r="B67" s="5" t="s">
        <v>2943</v>
      </c>
      <c r="C67" s="0" t="s">
        <v>78</v>
      </c>
      <c r="D67" s="27" t="n">
        <f aca="false">Deploy!E86</f>
        <v>1.61980834349181</v>
      </c>
      <c r="E67" s="27" t="n">
        <f aca="false">Deploy!F86</f>
        <v>9.04912429484716</v>
      </c>
      <c r="F67" s="27" t="n">
        <f aca="false">Deploy!G86</f>
        <v>11.7062917618926</v>
      </c>
      <c r="G67" s="27" t="n">
        <f aca="false">Deploy!H86</f>
        <v>5.02200403579761</v>
      </c>
      <c r="H67" s="27" t="n">
        <f aca="false">Deploy!I86</f>
        <v>11.5550322306139</v>
      </c>
      <c r="I67" s="27" t="n">
        <f aca="false">Deploy!J86</f>
        <v>10.6313080269405</v>
      </c>
      <c r="J67" s="27" t="n">
        <f aca="false">Deploy!K86</f>
        <v>7.32700601089393</v>
      </c>
      <c r="K67" s="27" t="n">
        <f aca="false">Deploy!L86</f>
        <v>6.8724016636865</v>
      </c>
      <c r="L67" s="27" t="n">
        <f aca="false">Deploy!M86</f>
        <v>8.01395786731266</v>
      </c>
      <c r="M67" s="20" t="s">
        <v>2944</v>
      </c>
    </row>
    <row r="68" customFormat="false" ht="17.15" hidden="false" customHeight="false" outlineLevel="0" collapsed="false">
      <c r="A68" s="0" t="s">
        <v>2945</v>
      </c>
      <c r="B68" s="5" t="s">
        <v>2946</v>
      </c>
      <c r="C68" s="0" t="s">
        <v>78</v>
      </c>
      <c r="D68" s="27" t="n">
        <f aca="false">Deploy!E100</f>
        <v>1.61980834349181</v>
      </c>
      <c r="E68" s="27" t="n">
        <f aca="false">Deploy!F100</f>
        <v>9.04912429484716</v>
      </c>
      <c r="F68" s="27" t="n">
        <f aca="false">Deploy!G100</f>
        <v>12.5153714610592</v>
      </c>
      <c r="G68" s="27" t="n">
        <f aca="false">Deploy!H100</f>
        <v>8.65164512450717</v>
      </c>
      <c r="H68" s="27" t="n">
        <f aca="false">Deploy!I100</f>
        <v>11.1577284365454</v>
      </c>
      <c r="I68" s="27" t="n">
        <f aca="false">Deploy!J100</f>
        <v>3.79741279859847</v>
      </c>
      <c r="J68" s="27" t="n">
        <f aca="false">Deploy!K100</f>
        <v>4.74697489777831</v>
      </c>
      <c r="K68" s="27" t="n">
        <f aca="false">Deploy!L100</f>
        <v>5.86712395656322</v>
      </c>
      <c r="L68" s="27" t="n">
        <f aca="false">Deploy!M100</f>
        <v>7.20734000083851</v>
      </c>
      <c r="M68" s="20" t="s">
        <v>2947</v>
      </c>
    </row>
    <row r="69" customFormat="false" ht="17.15" hidden="false" customHeight="false" outlineLevel="0" collapsed="false">
      <c r="A69" s="0" t="s">
        <v>2948</v>
      </c>
      <c r="B69" s="5" t="s">
        <v>2949</v>
      </c>
      <c r="C69" s="0" t="s">
        <v>78</v>
      </c>
      <c r="D69" s="27" t="n">
        <f aca="false">Deploy!E101</f>
        <v>1.61980834349181</v>
      </c>
      <c r="E69" s="27" t="n">
        <f aca="false">Deploy!F101</f>
        <v>9.04912429484716</v>
      </c>
      <c r="F69" s="27" t="n">
        <f aca="false">Deploy!G101</f>
        <v>11.7062917618926</v>
      </c>
      <c r="G69" s="27" t="n">
        <f aca="false">Deploy!H101</f>
        <v>7.74742026021831</v>
      </c>
      <c r="H69" s="27" t="n">
        <f aca="false">Deploy!I101</f>
        <v>10.4481180236054</v>
      </c>
      <c r="I69" s="27" t="n">
        <f aca="false">Deploy!J101</f>
        <v>5.19615553523917</v>
      </c>
      <c r="J69" s="27" t="n">
        <f aca="false">Deploy!K101</f>
        <v>4.70435153042185</v>
      </c>
      <c r="K69" s="27" t="n">
        <f aca="false">Deploy!L101</f>
        <v>5.70592287127586</v>
      </c>
      <c r="L69" s="27" t="n">
        <f aca="false">Deploy!M101</f>
        <v>7.17405219309033</v>
      </c>
      <c r="M69" s="20" t="s">
        <v>2950</v>
      </c>
    </row>
    <row r="70" customFormat="false" ht="17.15" hidden="false" customHeight="false" outlineLevel="0" collapsed="false">
      <c r="A70" s="0" t="s">
        <v>2951</v>
      </c>
      <c r="B70" s="5" t="s">
        <v>2952</v>
      </c>
      <c r="C70" s="0" t="s">
        <v>78</v>
      </c>
      <c r="D70" s="27" t="n">
        <f aca="false">Deploy!E102</f>
        <v>1.61980834349181</v>
      </c>
      <c r="E70" s="27" t="n">
        <f aca="false">Deploy!F102</f>
        <v>9.04912429484716</v>
      </c>
      <c r="F70" s="27" t="n">
        <f aca="false">Deploy!G102</f>
        <v>11.7062917618926</v>
      </c>
      <c r="G70" s="27" t="n">
        <f aca="false">Deploy!H102</f>
        <v>5.02200403579761</v>
      </c>
      <c r="H70" s="27" t="n">
        <f aca="false">Deploy!I102</f>
        <v>9.71400703858392</v>
      </c>
      <c r="I70" s="27" t="n">
        <f aca="false">Deploy!J102</f>
        <v>7.70807675412317</v>
      </c>
      <c r="J70" s="27" t="n">
        <f aca="false">Deploy!K102</f>
        <v>5.65195752098001</v>
      </c>
      <c r="K70" s="27" t="n">
        <f aca="false">Deploy!L102</f>
        <v>5.70592287127586</v>
      </c>
      <c r="L70" s="27" t="n">
        <f aca="false">Deploy!M102</f>
        <v>7.17405219309033</v>
      </c>
      <c r="M70" s="20" t="s">
        <v>2953</v>
      </c>
    </row>
    <row r="71" customFormat="false" ht="17.15" hidden="false" customHeight="false" outlineLevel="0" collapsed="false">
      <c r="A71" s="8" t="s">
        <v>2954</v>
      </c>
    </row>
    <row r="72" customFormat="false" ht="17.15" hidden="false" customHeight="false" outlineLevel="0" collapsed="false">
      <c r="A72" s="0" t="s">
        <v>2955</v>
      </c>
      <c r="B72" s="5" t="s">
        <v>2956</v>
      </c>
      <c r="C72" s="0" t="s">
        <v>78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0.809079699166553</v>
      </c>
      <c r="G72" s="27" t="n">
        <f aca="false">Deploy!H71</f>
        <v>1.71330456345542</v>
      </c>
      <c r="H72" s="27" t="n">
        <f aca="false">Deploy!I71</f>
        <v>3.72464996065908</v>
      </c>
      <c r="I72" s="27" t="n">
        <f aca="false">Deploy!J71</f>
        <v>1.46720373292456</v>
      </c>
      <c r="J72" s="27" t="n">
        <f aca="false">Deploy!K71</f>
        <v>1.46291774423229</v>
      </c>
      <c r="K72" s="27" t="n">
        <f aca="false">Deploy!L71</f>
        <v>1.56122574863436</v>
      </c>
      <c r="L72" s="27" t="n">
        <f aca="false">Deploy!M71</f>
        <v>1.50869626722577</v>
      </c>
      <c r="M72" s="20" t="s">
        <v>2957</v>
      </c>
    </row>
    <row r="73" customFormat="false" ht="17.15" hidden="false" customHeight="false" outlineLevel="0" collapsed="false">
      <c r="A73" s="0" t="s">
        <v>2958</v>
      </c>
      <c r="B73" s="5" t="s">
        <v>2959</v>
      </c>
      <c r="C73" s="0" t="s">
        <v>78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0.809079699166553</v>
      </c>
      <c r="G73" s="27" t="n">
        <f aca="false">Deploy!H72</f>
        <v>4.43872078787612</v>
      </c>
      <c r="H73" s="27" t="n">
        <f aca="false">Deploy!I72</f>
        <v>9.63887742614124</v>
      </c>
      <c r="I73" s="27" t="n">
        <f aca="false">Deploy!J72</f>
        <v>2.93550371718818</v>
      </c>
      <c r="J73" s="27" t="n">
        <f aca="false">Deploy!K72</f>
        <v>1.46291774423229</v>
      </c>
      <c r="K73" s="27" t="n">
        <f aca="false">Deploy!L72</f>
        <v>1.56122574863436</v>
      </c>
      <c r="L73" s="27" t="n">
        <f aca="false">Deploy!M72</f>
        <v>1.50869626722577</v>
      </c>
      <c r="M73" s="20" t="s">
        <v>2960</v>
      </c>
    </row>
    <row r="74" customFormat="false" ht="17.15" hidden="false" customHeight="false" outlineLevel="0" collapsed="false">
      <c r="A74" s="0" t="s">
        <v>2961</v>
      </c>
      <c r="B74" s="5" t="s">
        <v>2962</v>
      </c>
      <c r="C74" s="0" t="s">
        <v>78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0.809079699166553</v>
      </c>
      <c r="G74" s="27" t="n">
        <f aca="false">Deploy!H87</f>
        <v>1.71330456345542</v>
      </c>
      <c r="H74" s="27" t="n">
        <f aca="false">Deploy!I87</f>
        <v>3.07378246852726</v>
      </c>
      <c r="I74" s="27" t="n">
        <f aca="false">Deploy!J87</f>
        <v>1.30106692298587</v>
      </c>
      <c r="J74" s="27" t="n">
        <f aca="false">Deploy!K87</f>
        <v>1.30814856677212</v>
      </c>
      <c r="K74" s="27" t="n">
        <f aca="false">Deploy!L87</f>
        <v>1.42423550540609</v>
      </c>
      <c r="L74" s="27" t="n">
        <f aca="false">Deploy!M87</f>
        <v>1.39781989494988</v>
      </c>
      <c r="M74" s="20" t="s">
        <v>2963</v>
      </c>
    </row>
    <row r="75" customFormat="false" ht="17.15" hidden="false" customHeight="false" outlineLevel="0" collapsed="false">
      <c r="A75" s="0" t="s">
        <v>2964</v>
      </c>
      <c r="B75" s="5" t="s">
        <v>2965</v>
      </c>
      <c r="C75" s="0" t="s">
        <v>78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0.809079699166553</v>
      </c>
      <c r="G75" s="27" t="n">
        <f aca="false">Deploy!H88</f>
        <v>4.43872078787612</v>
      </c>
      <c r="H75" s="27" t="n">
        <f aca="false">Deploy!I88</f>
        <v>7.76065980598943</v>
      </c>
      <c r="I75" s="27" t="n">
        <f aca="false">Deploy!J88</f>
        <v>2.50901991039677</v>
      </c>
      <c r="J75" s="27" t="n">
        <f aca="false">Deploy!K88</f>
        <v>1.30814856677212</v>
      </c>
      <c r="K75" s="27" t="n">
        <f aca="false">Deploy!L88</f>
        <v>1.42423550540609</v>
      </c>
      <c r="L75" s="27" t="n">
        <f aca="false">Deploy!M88</f>
        <v>1.39781989494988</v>
      </c>
      <c r="M75" s="20" t="s">
        <v>2966</v>
      </c>
    </row>
    <row r="76" customFormat="false" ht="17.15" hidden="false" customHeight="false" outlineLevel="0" collapsed="false">
      <c r="A76" s="0" t="s">
        <v>2967</v>
      </c>
      <c r="B76" s="5" t="s">
        <v>2968</v>
      </c>
      <c r="C76" s="0" t="s">
        <v>78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0.809079699166553</v>
      </c>
      <c r="G76" s="27" t="n">
        <f aca="false">Deploy!H103</f>
        <v>1.71330456345542</v>
      </c>
      <c r="H76" s="27" t="n">
        <f aca="false">Deploy!I103</f>
        <v>2.42291497639545</v>
      </c>
      <c r="I76" s="27" t="n">
        <f aca="false">Deploy!J103</f>
        <v>1.02417223975474</v>
      </c>
      <c r="J76" s="27" t="n">
        <f aca="false">Deploy!K103</f>
        <v>1.0667956071112</v>
      </c>
      <c r="K76" s="27" t="n">
        <f aca="false">Deploy!L103</f>
        <v>1.22799669239856</v>
      </c>
      <c r="L76" s="27" t="n">
        <f aca="false">Deploy!M103</f>
        <v>1.26128450014674</v>
      </c>
      <c r="M76" s="20" t="s">
        <v>2969</v>
      </c>
    </row>
    <row r="77" customFormat="false" ht="17.15" hidden="false" customHeight="false" outlineLevel="0" collapsed="false">
      <c r="A77" s="0" t="s">
        <v>2970</v>
      </c>
      <c r="B77" s="5" t="s">
        <v>2971</v>
      </c>
      <c r="C77" s="0" t="s">
        <v>78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0.809079699166553</v>
      </c>
      <c r="G77" s="27" t="n">
        <f aca="false">Deploy!H104</f>
        <v>4.43872078787612</v>
      </c>
      <c r="H77" s="27" t="n">
        <f aca="false">Deploy!I104</f>
        <v>5.88244218583761</v>
      </c>
      <c r="I77" s="27" t="n">
        <f aca="false">Deploy!J104</f>
        <v>1.97177823031291</v>
      </c>
      <c r="J77" s="27" t="n">
        <f aca="false">Deploy!K104</f>
        <v>1.0667956071112</v>
      </c>
      <c r="K77" s="27" t="n">
        <f aca="false">Deploy!L104</f>
        <v>1.22799669239856</v>
      </c>
      <c r="L77" s="27" t="n">
        <f aca="false">Deploy!M104</f>
        <v>1.26128450014674</v>
      </c>
      <c r="M77" s="20" t="s">
        <v>2972</v>
      </c>
    </row>
    <row r="78" customFormat="false" ht="17.15" hidden="false" customHeight="false" outlineLevel="0" collapsed="false">
      <c r="A78" s="8" t="s">
        <v>2973</v>
      </c>
    </row>
    <row r="79" customFormat="false" ht="17.15" hidden="false" customHeight="false" outlineLevel="0" collapsed="false">
      <c r="A79" s="0" t="s">
        <v>2974</v>
      </c>
      <c r="B79" s="0" t="s">
        <v>2975</v>
      </c>
      <c r="C79" s="0" t="s">
        <v>78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8.06447576934396</v>
      </c>
      <c r="H79" s="27" t="n">
        <f aca="false">CapexGW!I23</f>
        <v>12.1304545339915</v>
      </c>
      <c r="I79" s="27" t="n">
        <f aca="false">CapexGW!J23</f>
        <v>16.7948755327632</v>
      </c>
      <c r="J79" s="27" t="n">
        <f aca="false">CapexGW!K23</f>
        <v>21.958611180813</v>
      </c>
      <c r="K79" s="27" t="n">
        <f aca="false">CapexGW!L23</f>
        <v>27.6526019148412</v>
      </c>
      <c r="L79" s="27" t="n">
        <f aca="false">CapexGW!M23</f>
        <v>33.9159917222723</v>
      </c>
      <c r="M79" s="20" t="s">
        <v>2976</v>
      </c>
    </row>
    <row r="80" customFormat="false" ht="17.15" hidden="false" customHeight="false" outlineLevel="0" collapsed="false">
      <c r="A80" s="0" t="s">
        <v>2977</v>
      </c>
      <c r="B80" s="0" t="s">
        <v>2978</v>
      </c>
      <c r="C80" s="0" t="s">
        <v>78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2979</v>
      </c>
    </row>
    <row r="81" customFormat="false" ht="17.15" hidden="false" customHeight="false" outlineLevel="0" collapsed="false">
      <c r="A81" s="0" t="s">
        <v>2980</v>
      </c>
      <c r="B81" s="0" t="s">
        <v>2981</v>
      </c>
      <c r="C81" s="0" t="s">
        <v>78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7.27196548273742</v>
      </c>
      <c r="H81" s="27" t="n">
        <f aca="false">CapexGW!I61</f>
        <v>12.2682036820108</v>
      </c>
      <c r="I81" s="27" t="n">
        <f aca="false">CapexGW!J61</f>
        <v>17.8147124889133</v>
      </c>
      <c r="J81" s="27" t="n">
        <f aca="false">CapexGW!K61</f>
        <v>23.895020898745</v>
      </c>
      <c r="K81" s="27" t="n">
        <f aca="false">CapexGW!L61</f>
        <v>30.5833601495599</v>
      </c>
      <c r="L81" s="27" t="n">
        <f aca="false">CapexGW!M61</f>
        <v>37.9405333254563</v>
      </c>
      <c r="M81" s="20" t="s">
        <v>2982</v>
      </c>
    </row>
    <row r="82" customFormat="false" ht="17.15" hidden="false" customHeight="false" outlineLevel="0" collapsed="false">
      <c r="A82" s="0" t="s">
        <v>2983</v>
      </c>
      <c r="B82" s="0" t="s">
        <v>2984</v>
      </c>
      <c r="C82" s="0" t="s">
        <v>78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3.344595</v>
      </c>
      <c r="H82" s="27" t="n">
        <f aca="false">CapexGW!I80</f>
        <v>6.08100702658016</v>
      </c>
      <c r="I82" s="27" t="n">
        <f aca="false">CapexGW!J80</f>
        <v>9.09275527840958</v>
      </c>
      <c r="J82" s="27" t="n">
        <f aca="false">CapexGW!K80</f>
        <v>12.4056783554219</v>
      </c>
      <c r="K82" s="27" t="n">
        <f aca="false">CapexGW!L80</f>
        <v>16.0498937401355</v>
      </c>
      <c r="L82" s="27" t="n">
        <f aca="false">CapexGW!M80</f>
        <v>20.0585306633205</v>
      </c>
      <c r="M82" s="20" t="s">
        <v>2985</v>
      </c>
    </row>
    <row r="83" customFormat="false" ht="17.15" hidden="false" customHeight="false" outlineLevel="0" collapsed="false">
      <c r="A83" s="0" t="s">
        <v>2986</v>
      </c>
      <c r="B83" s="0" t="s">
        <v>2987</v>
      </c>
      <c r="C83" s="0" t="s">
        <v>78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4.28196918960021</v>
      </c>
      <c r="H83" s="27" t="n">
        <f aca="false">CapexGW!I99</f>
        <v>5.79221708619802</v>
      </c>
      <c r="I83" s="27" t="n">
        <f aca="false">CapexGW!J99</f>
        <v>7.30959059479468</v>
      </c>
      <c r="J83" s="27" t="n">
        <f aca="false">CapexGW!K99</f>
        <v>8.92586015863146</v>
      </c>
      <c r="K83" s="27" t="n">
        <f aca="false">CapexGW!L99</f>
        <v>10.6820118680603</v>
      </c>
      <c r="L83" s="27" t="n">
        <f aca="false">CapexGW!M99</f>
        <v>12.6137787484321</v>
      </c>
      <c r="M83" s="20" t="s">
        <v>2988</v>
      </c>
    </row>
    <row r="84" customFormat="false" ht="17.15" hidden="false" customHeight="false" outlineLevel="0" collapsed="false">
      <c r="A84" s="0" t="s">
        <v>2989</v>
      </c>
      <c r="B84" s="0" t="s">
        <v>2990</v>
      </c>
      <c r="C84" s="0" t="s">
        <v>78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3.3875</v>
      </c>
      <c r="H84" s="27" t="n">
        <f aca="false">CapexGW!I118</f>
        <v>4.14554229320819</v>
      </c>
      <c r="I84" s="27" t="n">
        <f aca="false">CapexGW!J118</f>
        <v>4.98821739756346</v>
      </c>
      <c r="J84" s="27" t="n">
        <f aca="false">CapexGW!K118</f>
        <v>5.91332354029914</v>
      </c>
      <c r="K84" s="27" t="n">
        <f aca="false">CapexGW!L118</f>
        <v>6.93094029730838</v>
      </c>
      <c r="L84" s="27" t="n">
        <f aca="false">CapexGW!M118</f>
        <v>8.05031873001854</v>
      </c>
      <c r="M84" s="20" t="s">
        <v>2991</v>
      </c>
    </row>
    <row r="85" customFormat="false" ht="17.15" hidden="false" customHeight="false" outlineLevel="0" collapsed="false">
      <c r="A85" s="0" t="s">
        <v>2992</v>
      </c>
      <c r="B85" s="0" t="s">
        <v>2993</v>
      </c>
      <c r="C85" s="0" t="s">
        <v>78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1.29617936652654</v>
      </c>
      <c r="H85" s="27" t="n">
        <f aca="false">CapexGW!I137</f>
        <v>1.8505148006767</v>
      </c>
      <c r="I85" s="27" t="n">
        <f aca="false">CapexGW!J137</f>
        <v>2.48043899442144</v>
      </c>
      <c r="J85" s="27" t="n">
        <f aca="false">CapexGW!K137</f>
        <v>3.1889076417039</v>
      </c>
      <c r="K85" s="27" t="n">
        <f aca="false">CapexGW!L137</f>
        <v>3.96822315371461</v>
      </c>
      <c r="L85" s="27" t="n">
        <f aca="false">CapexGW!M137</f>
        <v>4.82547021692639</v>
      </c>
      <c r="M85" s="20" t="s">
        <v>2994</v>
      </c>
    </row>
    <row r="86" customFormat="false" ht="17.15" hidden="false" customHeight="false" outlineLevel="0" collapsed="false">
      <c r="A86" s="0" t="s">
        <v>2995</v>
      </c>
      <c r="B86" s="0" t="s">
        <v>1337</v>
      </c>
      <c r="C86" s="0" t="s">
        <v>78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2996</v>
      </c>
    </row>
    <row r="87" customFormat="false" ht="17.15" hidden="false" customHeight="false" outlineLevel="0" collapsed="false">
      <c r="A87" s="0" t="s">
        <v>2997</v>
      </c>
      <c r="B87" s="0" t="s">
        <v>1338</v>
      </c>
      <c r="C87" s="0" t="s">
        <v>78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2.585</v>
      </c>
      <c r="H87" s="27" t="n">
        <f aca="false">Players!I182</f>
        <v>2.585</v>
      </c>
      <c r="I87" s="27" t="n">
        <f aca="false">Players!J182</f>
        <v>2.585</v>
      </c>
      <c r="J87" s="27" t="n">
        <f aca="false">Players!K182</f>
        <v>2.585</v>
      </c>
      <c r="K87" s="27" t="n">
        <f aca="false">Players!L182</f>
        <v>2.585</v>
      </c>
      <c r="L87" s="27" t="n">
        <f aca="false">Players!M182</f>
        <v>2.585</v>
      </c>
      <c r="M87" s="20" t="s">
        <v>2998</v>
      </c>
    </row>
    <row r="88" customFormat="false" ht="17.15" hidden="false" customHeight="false" outlineLevel="0" collapsed="false">
      <c r="A88" s="0" t="s">
        <v>2999</v>
      </c>
      <c r="B88" s="0" t="s">
        <v>1339</v>
      </c>
      <c r="C88" s="0" t="s">
        <v>78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0.308</v>
      </c>
      <c r="H88" s="27" t="n">
        <f aca="false">Players!I201</f>
        <v>1.553</v>
      </c>
      <c r="I88" s="27" t="n">
        <f aca="false">Players!J201</f>
        <v>2.702</v>
      </c>
      <c r="J88" s="27" t="n">
        <f aca="false">Players!K201</f>
        <v>3.851</v>
      </c>
      <c r="K88" s="27" t="n">
        <f aca="false">Players!L201</f>
        <v>5.001</v>
      </c>
      <c r="L88" s="27" t="n">
        <f aca="false">Players!M201</f>
        <v>5.001</v>
      </c>
      <c r="M88" s="20" t="s">
        <v>3000</v>
      </c>
    </row>
    <row r="89" customFormat="false" ht="17.15" hidden="false" customHeight="false" outlineLevel="0" collapsed="false">
      <c r="A89" s="0" t="s">
        <v>3001</v>
      </c>
      <c r="B89" s="0" t="s">
        <v>1340</v>
      </c>
      <c r="C89" s="0" t="s">
        <v>78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3002</v>
      </c>
    </row>
    <row r="90" customFormat="false" ht="17.15" hidden="false" customHeight="false" outlineLevel="0" collapsed="false">
      <c r="A90" s="0" t="s">
        <v>3003</v>
      </c>
      <c r="B90" s="5" t="s">
        <v>1341</v>
      </c>
      <c r="C90" s="0" t="s">
        <v>78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2.407</v>
      </c>
      <c r="H90" s="27" t="n">
        <f aca="false">Players!I239</f>
        <v>4.31</v>
      </c>
      <c r="I90" s="27" t="n">
        <f aca="false">Players!J239</f>
        <v>4.31</v>
      </c>
      <c r="J90" s="27" t="n">
        <f aca="false">Players!K239</f>
        <v>4.31</v>
      </c>
      <c r="K90" s="27" t="n">
        <f aca="false">Players!L239</f>
        <v>4.31</v>
      </c>
      <c r="L90" s="27" t="n">
        <f aca="false">Players!M239</f>
        <v>4.31</v>
      </c>
      <c r="M90" s="20" t="s">
        <v>3004</v>
      </c>
    </row>
    <row r="91" customFormat="false" ht="17.15" hidden="false" customHeight="false" outlineLevel="0" collapsed="false">
      <c r="A91" s="0" t="s">
        <v>3005</v>
      </c>
      <c r="B91" s="5" t="s">
        <v>1342</v>
      </c>
      <c r="C91" s="0" t="s">
        <v>78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0.4</v>
      </c>
      <c r="G91" s="27" t="n">
        <f aca="false">Players!H258</f>
        <v>1.9</v>
      </c>
      <c r="H91" s="27" t="n">
        <f aca="false">Players!I258</f>
        <v>1.996</v>
      </c>
      <c r="I91" s="27" t="n">
        <f aca="false">Players!J258</f>
        <v>1.996</v>
      </c>
      <c r="J91" s="27" t="n">
        <f aca="false">Players!K258</f>
        <v>2.196</v>
      </c>
      <c r="K91" s="27" t="n">
        <f aca="false">Players!L258</f>
        <v>2.196</v>
      </c>
      <c r="L91" s="27" t="n">
        <f aca="false">Players!M258</f>
        <v>2.196</v>
      </c>
      <c r="M91" s="20" t="s">
        <v>3006</v>
      </c>
    </row>
    <row r="92" customFormat="false" ht="17.15" hidden="false" customHeight="false" outlineLevel="0" collapsed="false">
      <c r="A92" s="0" t="s">
        <v>3007</v>
      </c>
      <c r="B92" s="5" t="s">
        <v>1343</v>
      </c>
      <c r="C92" s="0" t="s">
        <v>78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3008</v>
      </c>
    </row>
    <row r="93" customFormat="false" ht="17.15" hidden="false" customHeight="false" outlineLevel="0" collapsed="false">
      <c r="A93" s="0" t="s">
        <v>3009</v>
      </c>
      <c r="B93" s="5" t="s">
        <v>1344</v>
      </c>
      <c r="C93" s="0" t="s">
        <v>78</v>
      </c>
      <c r="D93" s="27" t="str">
        <f aca="false">Players!E296</f>
        <v/>
      </c>
      <c r="E93" s="27" t="n">
        <f aca="false">Players!F296</f>
        <v>1</v>
      </c>
      <c r="F93" s="27" t="n">
        <f aca="false">Players!G296</f>
        <v>1</v>
      </c>
      <c r="G93" s="27" t="n">
        <f aca="false">Players!H296</f>
        <v>1</v>
      </c>
      <c r="H93" s="27" t="n">
        <f aca="false">Players!I296</f>
        <v>1</v>
      </c>
      <c r="I93" s="27" t="n">
        <f aca="false">Players!J296</f>
        <v>1</v>
      </c>
      <c r="J93" s="27" t="n">
        <f aca="false">Players!K296</f>
        <v>1</v>
      </c>
      <c r="K93" s="27" t="n">
        <f aca="false">Players!L296</f>
        <v>1</v>
      </c>
      <c r="L93" s="27" t="n">
        <f aca="false">Players!M296</f>
        <v>1</v>
      </c>
      <c r="M93" s="20" t="s">
        <v>3010</v>
      </c>
    </row>
    <row r="94" customFormat="false" ht="17.15" hidden="false" customHeight="false" outlineLevel="0" collapsed="false">
      <c r="A94" s="8" t="s">
        <v>3011</v>
      </c>
    </row>
    <row r="95" customFormat="false" ht="17.15" hidden="false" customHeight="false" outlineLevel="0" collapsed="false">
      <c r="A95" s="0" t="s">
        <v>3012</v>
      </c>
      <c r="B95" s="0" t="s">
        <v>3013</v>
      </c>
      <c r="C95" s="0" t="s">
        <v>78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5.54</v>
      </c>
      <c r="H95" s="27" t="n">
        <f aca="false">Players!I30</f>
        <v>7.066</v>
      </c>
      <c r="I95" s="27" t="n">
        <f aca="false">Players!J30</f>
        <v>7.066</v>
      </c>
      <c r="J95" s="27" t="n">
        <f aca="false">Players!K30</f>
        <v>7.066</v>
      </c>
      <c r="K95" s="27" t="n">
        <f aca="false">Players!L30</f>
        <v>7.066</v>
      </c>
      <c r="L95" s="27" t="n">
        <f aca="false">Players!M30</f>
        <v>7.066</v>
      </c>
      <c r="M95" s="20" t="s">
        <v>3014</v>
      </c>
    </row>
    <row r="96" customFormat="false" ht="17.15" hidden="false" customHeight="false" outlineLevel="0" collapsed="false">
      <c r="A96" s="0" t="s">
        <v>3015</v>
      </c>
      <c r="B96" s="0" t="s">
        <v>3016</v>
      </c>
      <c r="C96" s="0" t="s">
        <v>78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5.71767912772586</v>
      </c>
      <c r="H96" s="27" t="n">
        <f aca="false">Players!I49</f>
        <v>5.71767912772586</v>
      </c>
      <c r="I96" s="27" t="n">
        <f aca="false">Players!J49</f>
        <v>5.71767912772586</v>
      </c>
      <c r="J96" s="27" t="n">
        <f aca="false">Players!K49</f>
        <v>5.71767912772586</v>
      </c>
      <c r="K96" s="27" t="n">
        <f aca="false">Players!L49</f>
        <v>5.71767912772586</v>
      </c>
      <c r="L96" s="27" t="n">
        <f aca="false">Players!M49</f>
        <v>5.71767912772586</v>
      </c>
      <c r="M96" s="20" t="s">
        <v>3017</v>
      </c>
    </row>
    <row r="97" customFormat="false" ht="17.15" hidden="false" customHeight="false" outlineLevel="0" collapsed="false">
      <c r="A97" s="0" t="s">
        <v>3018</v>
      </c>
      <c r="B97" s="0" t="s">
        <v>3019</v>
      </c>
      <c r="C97" s="0" t="s">
        <v>78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2.768</v>
      </c>
      <c r="H97" s="27" t="n">
        <f aca="false">Players!I68</f>
        <v>4.212</v>
      </c>
      <c r="I97" s="27" t="n">
        <f aca="false">Players!J68</f>
        <v>4.274</v>
      </c>
      <c r="J97" s="27" t="n">
        <f aca="false">Players!K68</f>
        <v>4.274</v>
      </c>
      <c r="K97" s="27" t="n">
        <f aca="false">Players!L68</f>
        <v>4.274</v>
      </c>
      <c r="L97" s="27" t="n">
        <f aca="false">Players!M68</f>
        <v>4.274</v>
      </c>
      <c r="M97" s="20" t="s">
        <v>3020</v>
      </c>
    </row>
    <row r="98" customFormat="false" ht="17.15" hidden="false" customHeight="false" outlineLevel="0" collapsed="false">
      <c r="A98" s="0" t="s">
        <v>3021</v>
      </c>
      <c r="B98" s="0" t="s">
        <v>3022</v>
      </c>
      <c r="C98" s="0" t="s">
        <v>78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3.344595</v>
      </c>
      <c r="H98" s="27" t="n">
        <f aca="false">Players!I87</f>
        <v>6.33892833333333</v>
      </c>
      <c r="I98" s="27" t="n">
        <f aca="false">Players!J87</f>
        <v>7.30692833333333</v>
      </c>
      <c r="J98" s="27" t="n">
        <f aca="false">Players!K87</f>
        <v>7.30692833333333</v>
      </c>
      <c r="K98" s="27" t="n">
        <f aca="false">Players!L87</f>
        <v>7.30692833333333</v>
      </c>
      <c r="L98" s="27" t="n">
        <f aca="false">Players!M87</f>
        <v>7.30692833333333</v>
      </c>
      <c r="M98" s="20" t="s">
        <v>3023</v>
      </c>
    </row>
    <row r="99" customFormat="false" ht="17.15" hidden="false" customHeight="false" outlineLevel="0" collapsed="false">
      <c r="A99" s="0" t="s">
        <v>3024</v>
      </c>
      <c r="B99" s="0" t="s">
        <v>3025</v>
      </c>
      <c r="C99" s="0" t="s">
        <v>78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2.91566666666667</v>
      </c>
      <c r="H99" s="27" t="n">
        <f aca="false">Players!I106</f>
        <v>8.48483333333333</v>
      </c>
      <c r="I99" s="27" t="n">
        <f aca="false">Players!J106</f>
        <v>8.48483333333333</v>
      </c>
      <c r="J99" s="27" t="n">
        <f aca="false">Players!K106</f>
        <v>8.48483333333333</v>
      </c>
      <c r="K99" s="27" t="n">
        <f aca="false">Players!L106</f>
        <v>8.48483333333333</v>
      </c>
      <c r="L99" s="27" t="n">
        <f aca="false">Players!M106</f>
        <v>8.48483333333333</v>
      </c>
      <c r="M99" s="20" t="s">
        <v>3026</v>
      </c>
    </row>
    <row r="100" customFormat="false" ht="17.15" hidden="false" customHeight="false" outlineLevel="0" collapsed="false">
      <c r="A100" s="0" t="s">
        <v>3027</v>
      </c>
      <c r="B100" s="0" t="s">
        <v>3028</v>
      </c>
      <c r="C100" s="0" t="s">
        <v>78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3029</v>
      </c>
    </row>
    <row r="101" customFormat="false" ht="17.15" hidden="false" customHeight="false" outlineLevel="0" collapsed="false">
      <c r="A101" s="0" t="s">
        <v>3030</v>
      </c>
      <c r="B101" s="0" t="s">
        <v>3031</v>
      </c>
      <c r="C101" s="0" t="s">
        <v>78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0.958</v>
      </c>
      <c r="H101" s="27" t="n">
        <f aca="false">Players!I144</f>
        <v>0.958</v>
      </c>
      <c r="I101" s="27" t="n">
        <f aca="false">Players!J144</f>
        <v>0.958</v>
      </c>
      <c r="J101" s="27" t="n">
        <f aca="false">Players!K144</f>
        <v>0.958</v>
      </c>
      <c r="K101" s="27" t="n">
        <f aca="false">Players!L144</f>
        <v>0.958</v>
      </c>
      <c r="L101" s="27" t="n">
        <f aca="false">Players!M144</f>
        <v>0.958</v>
      </c>
      <c r="M101" s="20" t="s">
        <v>3032</v>
      </c>
    </row>
    <row r="102" customFormat="false" ht="17.15" hidden="false" customHeight="false" outlineLevel="0" collapsed="false">
      <c r="A102" s="0" t="s">
        <v>3033</v>
      </c>
      <c r="B102" s="0" t="s">
        <v>3034</v>
      </c>
      <c r="C102" s="0" t="s">
        <v>78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2996</v>
      </c>
    </row>
    <row r="103" customFormat="false" ht="17.15" hidden="false" customHeight="false" outlineLevel="0" collapsed="false">
      <c r="A103" s="0" t="s">
        <v>3035</v>
      </c>
      <c r="B103" s="0" t="s">
        <v>3036</v>
      </c>
      <c r="C103" s="0" t="s">
        <v>78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2.585</v>
      </c>
      <c r="H103" s="27" t="n">
        <f aca="false">Players!I182</f>
        <v>2.585</v>
      </c>
      <c r="I103" s="27" t="n">
        <f aca="false">Players!J182</f>
        <v>2.585</v>
      </c>
      <c r="J103" s="27" t="n">
        <f aca="false">Players!K182</f>
        <v>2.585</v>
      </c>
      <c r="K103" s="27" t="n">
        <f aca="false">Players!L182</f>
        <v>2.585</v>
      </c>
      <c r="L103" s="27" t="n">
        <f aca="false">Players!M182</f>
        <v>2.585</v>
      </c>
      <c r="M103" s="20" t="s">
        <v>2998</v>
      </c>
    </row>
    <row r="104" customFormat="false" ht="17.15" hidden="false" customHeight="false" outlineLevel="0" collapsed="false">
      <c r="A104" s="0" t="s">
        <v>3037</v>
      </c>
      <c r="B104" s="0" t="s">
        <v>3038</v>
      </c>
      <c r="C104" s="0" t="s">
        <v>78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0.308</v>
      </c>
      <c r="H104" s="27" t="n">
        <f aca="false">Players!I201</f>
        <v>1.553</v>
      </c>
      <c r="I104" s="27" t="n">
        <f aca="false">Players!J201</f>
        <v>2.702</v>
      </c>
      <c r="J104" s="27" t="n">
        <f aca="false">Players!K201</f>
        <v>3.851</v>
      </c>
      <c r="K104" s="27" t="n">
        <f aca="false">Players!L201</f>
        <v>5.001</v>
      </c>
      <c r="L104" s="27" t="n">
        <f aca="false">Players!M201</f>
        <v>5.001</v>
      </c>
      <c r="M104" s="20" t="s">
        <v>3000</v>
      </c>
    </row>
    <row r="105" customFormat="false" ht="17.15" hidden="false" customHeight="false" outlineLevel="0" collapsed="false">
      <c r="A105" s="0" t="s">
        <v>3039</v>
      </c>
      <c r="B105" s="0" t="s">
        <v>3040</v>
      </c>
      <c r="C105" s="0" t="s">
        <v>78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3002</v>
      </c>
    </row>
    <row r="106" customFormat="false" ht="17.15" hidden="false" customHeight="false" outlineLevel="0" collapsed="false">
      <c r="A106" s="0" t="s">
        <v>3041</v>
      </c>
      <c r="B106" s="5" t="s">
        <v>3042</v>
      </c>
      <c r="C106" s="0" t="s">
        <v>78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2.407</v>
      </c>
      <c r="H106" s="27" t="n">
        <f aca="false">Players!I239</f>
        <v>4.31</v>
      </c>
      <c r="I106" s="27" t="n">
        <f aca="false">Players!J239</f>
        <v>4.31</v>
      </c>
      <c r="J106" s="27" t="n">
        <f aca="false">Players!K239</f>
        <v>4.31</v>
      </c>
      <c r="K106" s="27" t="n">
        <f aca="false">Players!L239</f>
        <v>4.31</v>
      </c>
      <c r="L106" s="27" t="n">
        <f aca="false">Players!M239</f>
        <v>4.31</v>
      </c>
      <c r="M106" s="20" t="s">
        <v>3004</v>
      </c>
    </row>
    <row r="107" customFormat="false" ht="17.15" hidden="false" customHeight="false" outlineLevel="0" collapsed="false">
      <c r="A107" s="0" t="s">
        <v>3043</v>
      </c>
      <c r="B107" s="5" t="s">
        <v>3044</v>
      </c>
      <c r="C107" s="0" t="s">
        <v>78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0.4</v>
      </c>
      <c r="G107" s="27" t="n">
        <f aca="false">Players!H258</f>
        <v>1.9</v>
      </c>
      <c r="H107" s="27" t="n">
        <f aca="false">Players!I258</f>
        <v>1.996</v>
      </c>
      <c r="I107" s="27" t="n">
        <f aca="false">Players!J258</f>
        <v>1.996</v>
      </c>
      <c r="J107" s="27" t="n">
        <f aca="false">Players!K258</f>
        <v>2.196</v>
      </c>
      <c r="K107" s="27" t="n">
        <f aca="false">Players!L258</f>
        <v>2.196</v>
      </c>
      <c r="L107" s="27" t="n">
        <f aca="false">Players!M258</f>
        <v>2.196</v>
      </c>
      <c r="M107" s="20" t="s">
        <v>3006</v>
      </c>
    </row>
    <row r="108" customFormat="false" ht="17.15" hidden="false" customHeight="false" outlineLevel="0" collapsed="false">
      <c r="A108" s="0" t="s">
        <v>3045</v>
      </c>
      <c r="B108" s="5" t="s">
        <v>3046</v>
      </c>
      <c r="C108" s="0" t="s">
        <v>78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3008</v>
      </c>
    </row>
    <row r="109" customFormat="false" ht="17.15" hidden="false" customHeight="false" outlineLevel="0" collapsed="false">
      <c r="A109" s="0" t="s">
        <v>3047</v>
      </c>
      <c r="B109" s="5" t="s">
        <v>3048</v>
      </c>
      <c r="C109" s="0" t="s">
        <v>78</v>
      </c>
      <c r="D109" s="27" t="str">
        <f aca="false">Players!E296</f>
        <v/>
      </c>
      <c r="E109" s="27" t="n">
        <f aca="false">Players!F296</f>
        <v>1</v>
      </c>
      <c r="F109" s="27" t="n">
        <f aca="false">Players!G296</f>
        <v>1</v>
      </c>
      <c r="G109" s="27" t="n">
        <f aca="false">Players!H296</f>
        <v>1</v>
      </c>
      <c r="H109" s="27" t="n">
        <f aca="false">Players!I296</f>
        <v>1</v>
      </c>
      <c r="I109" s="27" t="n">
        <f aca="false">Players!J296</f>
        <v>1</v>
      </c>
      <c r="J109" s="27" t="n">
        <f aca="false">Players!K296</f>
        <v>1</v>
      </c>
      <c r="K109" s="27" t="n">
        <f aca="false">Players!L296</f>
        <v>1</v>
      </c>
      <c r="L109" s="27" t="n">
        <f aca="false">Players!M296</f>
        <v>1</v>
      </c>
      <c r="M109" s="20" t="s">
        <v>3010</v>
      </c>
    </row>
    <row r="110" customFormat="false" ht="17.15" hidden="false" customHeight="false" outlineLevel="0" collapsed="false">
      <c r="A110" s="8" t="s">
        <v>3049</v>
      </c>
    </row>
    <row r="111" customFormat="false" ht="15" hidden="false" customHeight="false" outlineLevel="0" collapsed="false">
      <c r="A111" s="0" t="s">
        <v>3050</v>
      </c>
      <c r="B111" s="5" t="s">
        <v>2703</v>
      </c>
      <c r="C111" s="0" t="s">
        <v>391</v>
      </c>
      <c r="D111" s="27" t="n">
        <f aca="false">Spend!E8</f>
        <v>22.5302381301231</v>
      </c>
      <c r="E111" s="27" t="n">
        <f aca="false">Spend!F8</f>
        <v>120.526480331681</v>
      </c>
      <c r="F111" s="27" t="n">
        <f aca="false">Spend!G8</f>
        <v>203.123153153356</v>
      </c>
      <c r="G111" s="27" t="n">
        <f aca="false">Spend!H8</f>
        <v>411.611484987765</v>
      </c>
      <c r="H111" s="27" t="n">
        <f aca="false">Spend!I8</f>
        <v>513.718022432297</v>
      </c>
      <c r="I111" s="27" t="n">
        <f aca="false">Spend!J8</f>
        <v>527.249601573162</v>
      </c>
      <c r="J111" s="27" t="n">
        <f aca="false">Spend!K8</f>
        <v>535.645566922079</v>
      </c>
      <c r="K111" s="27" t="n">
        <f aca="false">Spend!L8</f>
        <v>469.800882586444</v>
      </c>
      <c r="L111" s="27" t="n">
        <f aca="false">Spend!M8</f>
        <v>320.483714184028</v>
      </c>
      <c r="M111" s="20" t="s">
        <v>3051</v>
      </c>
    </row>
    <row r="112" customFormat="false" ht="15" hidden="false" customHeight="false" outlineLevel="0" collapsed="false">
      <c r="A112" s="0" t="s">
        <v>3052</v>
      </c>
      <c r="B112" s="5" t="s">
        <v>2708</v>
      </c>
      <c r="C112" s="0" t="s">
        <v>391</v>
      </c>
      <c r="D112" s="27" t="n">
        <f aca="false">Spend!E9</f>
        <v>5.89453904567174</v>
      </c>
      <c r="E112" s="27" t="n">
        <f aca="false">Spend!F9</f>
        <v>31.5330907844514</v>
      </c>
      <c r="F112" s="27" t="n">
        <f aca="false">Spend!G9</f>
        <v>53.1426854180292</v>
      </c>
      <c r="G112" s="27" t="n">
        <f aca="false">Spend!H9</f>
        <v>107.689051304939</v>
      </c>
      <c r="H112" s="27" t="n">
        <f aca="false">Spend!I9</f>
        <v>134.402970985194</v>
      </c>
      <c r="I112" s="27" t="n">
        <f aca="false">Spend!J9</f>
        <v>137.943209713909</v>
      </c>
      <c r="J112" s="27" t="n">
        <f aca="false">Spend!K9</f>
        <v>140.139828555195</v>
      </c>
      <c r="K112" s="27" t="n">
        <f aca="false">Spend!L9</f>
        <v>122.913021606919</v>
      </c>
      <c r="L112" s="27" t="n">
        <f aca="false">Spend!M9</f>
        <v>83.8474833621004</v>
      </c>
      <c r="M112" s="20" t="s">
        <v>3053</v>
      </c>
    </row>
    <row r="113" customFormat="false" ht="15" hidden="false" customHeight="false" outlineLevel="0" collapsed="false">
      <c r="A113" s="0" t="s">
        <v>3054</v>
      </c>
      <c r="B113" s="5" t="s">
        <v>2712</v>
      </c>
      <c r="C113" s="0" t="s">
        <v>391</v>
      </c>
      <c r="D113" s="27" t="n">
        <f aca="false">Spend!E10</f>
        <v>7.64106913327818</v>
      </c>
      <c r="E113" s="27" t="n">
        <f aca="false">Spend!F10</f>
        <v>40.8762287946592</v>
      </c>
      <c r="F113" s="27" t="n">
        <f aca="false">Spend!G10</f>
        <v>68.8886662826304</v>
      </c>
      <c r="G113" s="27" t="n">
        <f aca="false">Spend!H10</f>
        <v>139.596918358254</v>
      </c>
      <c r="H113" s="27" t="n">
        <f aca="false">Spend!I10</f>
        <v>174.226073499326</v>
      </c>
      <c r="I113" s="27" t="n">
        <f aca="false">Spend!J10</f>
        <v>178.815271851363</v>
      </c>
      <c r="J113" s="27" t="n">
        <f aca="false">Spend!K10</f>
        <v>181.662740719697</v>
      </c>
      <c r="K113" s="27" t="n">
        <f aca="false">Spend!L10</f>
        <v>159.331694675635</v>
      </c>
      <c r="L113" s="27" t="n">
        <f aca="false">Spend!M10</f>
        <v>108.691182136056</v>
      </c>
      <c r="M113" s="20" t="s">
        <v>3055</v>
      </c>
    </row>
    <row r="114" customFormat="false" ht="15" hidden="false" customHeight="false" outlineLevel="0" collapsed="false">
      <c r="A114" s="0" t="s">
        <v>3056</v>
      </c>
      <c r="B114" s="5" t="s">
        <v>3057</v>
      </c>
      <c r="C114" s="0" t="s">
        <v>391</v>
      </c>
      <c r="D114" s="27" t="n">
        <f aca="false">Spend!E11</f>
        <v>2.3578156182687</v>
      </c>
      <c r="E114" s="27" t="n">
        <f aca="false">Spend!F11</f>
        <v>12.6132363137805</v>
      </c>
      <c r="F114" s="27" t="n">
        <f aca="false">Spend!G11</f>
        <v>21.2570741672117</v>
      </c>
      <c r="G114" s="27" t="n">
        <f aca="false">Spend!H11</f>
        <v>43.0756205219754</v>
      </c>
      <c r="H114" s="27" t="n">
        <f aca="false">Spend!I11</f>
        <v>53.7611883940776</v>
      </c>
      <c r="I114" s="27" t="n">
        <f aca="false">Spend!J11</f>
        <v>55.1772838855635</v>
      </c>
      <c r="J114" s="27" t="n">
        <f aca="false">Spend!K11</f>
        <v>56.0559314220781</v>
      </c>
      <c r="K114" s="27" t="n">
        <f aca="false">Spend!L11</f>
        <v>49.1652086427674</v>
      </c>
      <c r="L114" s="27" t="n">
        <f aca="false">Spend!M11</f>
        <v>33.5389933448402</v>
      </c>
      <c r="M114" s="20" t="s">
        <v>3058</v>
      </c>
    </row>
    <row r="115" customFormat="false" ht="17.15" hidden="false" customHeight="false" outlineLevel="0" collapsed="false">
      <c r="A115" s="0" t="s">
        <v>3059</v>
      </c>
      <c r="B115" s="5" t="s">
        <v>2718</v>
      </c>
      <c r="C115" s="0" t="s">
        <v>391</v>
      </c>
      <c r="D115" s="27" t="n">
        <f aca="false">Spend!E12</f>
        <v>0.130989756570483</v>
      </c>
      <c r="E115" s="27" t="n">
        <f aca="false">Spend!F12</f>
        <v>0.700735350765586</v>
      </c>
      <c r="F115" s="27" t="n">
        <f aca="false">Spend!G12</f>
        <v>1.18094856484509</v>
      </c>
      <c r="G115" s="27" t="n">
        <f aca="false">Spend!H12</f>
        <v>2.39309002899863</v>
      </c>
      <c r="H115" s="27" t="n">
        <f aca="false">Spend!I12</f>
        <v>2.98673268855987</v>
      </c>
      <c r="I115" s="27" t="n">
        <f aca="false">Spend!J12</f>
        <v>3.06540466030908</v>
      </c>
      <c r="J115" s="27" t="n">
        <f aca="false">Spend!K12</f>
        <v>3.11421841233767</v>
      </c>
      <c r="K115" s="27" t="n">
        <f aca="false">Spend!L12</f>
        <v>2.73140048015375</v>
      </c>
      <c r="L115" s="27" t="n">
        <f aca="false">Spend!M12</f>
        <v>1.86327740804668</v>
      </c>
      <c r="M115" s="20" t="s">
        <v>3060</v>
      </c>
    </row>
    <row r="116" customFormat="false" ht="15" hidden="false" customHeight="false" outlineLevel="0" collapsed="false">
      <c r="A116" s="0" t="s">
        <v>3061</v>
      </c>
      <c r="B116" s="5" t="s">
        <v>3062</v>
      </c>
      <c r="C116" s="0" t="s">
        <v>391</v>
      </c>
      <c r="D116" s="27" t="n">
        <f aca="false">Spend!E13</f>
        <v>2.75078488798014</v>
      </c>
      <c r="E116" s="27" t="n">
        <f aca="false">Spend!F13</f>
        <v>14.7154423660773</v>
      </c>
      <c r="F116" s="27" t="n">
        <f aca="false">Spend!G13</f>
        <v>24.799919861747</v>
      </c>
      <c r="G116" s="27" t="n">
        <f aca="false">Spend!H13</f>
        <v>50.2548906089713</v>
      </c>
      <c r="H116" s="27" t="n">
        <f aca="false">Spend!I13</f>
        <v>62.7213864597572</v>
      </c>
      <c r="I116" s="27" t="n">
        <f aca="false">Spend!J13</f>
        <v>64.3734978664907</v>
      </c>
      <c r="J116" s="27" t="n">
        <f aca="false">Spend!K13</f>
        <v>65.398586659091</v>
      </c>
      <c r="K116" s="27" t="n">
        <f aca="false">Spend!L13</f>
        <v>57.3594100832287</v>
      </c>
      <c r="L116" s="27" t="n">
        <f aca="false">Spend!M13</f>
        <v>39.1288255689802</v>
      </c>
      <c r="M116" s="20" t="s">
        <v>3063</v>
      </c>
    </row>
    <row r="117" customFormat="false" ht="15" hidden="false" customHeight="false" outlineLevel="0" collapsed="false">
      <c r="A117" s="0" t="s">
        <v>3064</v>
      </c>
      <c r="B117" s="5" t="s">
        <v>2726</v>
      </c>
      <c r="C117" s="0" t="s">
        <v>391</v>
      </c>
      <c r="D117" s="27" t="n">
        <f aca="false">Spend!E14</f>
        <v>2.00850960074741</v>
      </c>
      <c r="E117" s="27" t="n">
        <f aca="false">Spend!F14</f>
        <v>10.744608711739</v>
      </c>
      <c r="F117" s="27" t="n">
        <f aca="false">Spend!G14</f>
        <v>18.1078779942914</v>
      </c>
      <c r="G117" s="27" t="n">
        <f aca="false">Spend!H14</f>
        <v>36.6940471113124</v>
      </c>
      <c r="H117" s="27" t="n">
        <f aca="false">Spend!I14</f>
        <v>45.7965678912513</v>
      </c>
      <c r="I117" s="27" t="n">
        <f aca="false">Spend!J14</f>
        <v>47.0028714580726</v>
      </c>
      <c r="J117" s="27" t="n">
        <f aca="false">Spend!K14</f>
        <v>47.7513489891776</v>
      </c>
      <c r="K117" s="27" t="n">
        <f aca="false">Spend!L14</f>
        <v>41.8814740290241</v>
      </c>
      <c r="L117" s="27" t="n">
        <f aca="false">Spend!M14</f>
        <v>28.570253590049</v>
      </c>
      <c r="M117" s="20" t="s">
        <v>3065</v>
      </c>
    </row>
    <row r="118" customFormat="false" ht="15" hidden="false" customHeight="false" outlineLevel="0" collapsed="false">
      <c r="A118" s="0" t="s">
        <v>3066</v>
      </c>
      <c r="B118" s="5" t="s">
        <v>2730</v>
      </c>
      <c r="C118" s="0" t="s">
        <v>391</v>
      </c>
      <c r="D118" s="27" t="n">
        <f aca="false">Spend!E15</f>
        <v>0.349306017521288</v>
      </c>
      <c r="E118" s="27" t="n">
        <f aca="false">Spend!F15</f>
        <v>1.86862760204156</v>
      </c>
      <c r="F118" s="27" t="n">
        <f aca="false">Spend!G15</f>
        <v>3.14919617292025</v>
      </c>
      <c r="G118" s="27" t="n">
        <f aca="false">Spend!H15</f>
        <v>6.38157341066303</v>
      </c>
      <c r="H118" s="27" t="n">
        <f aca="false">Spend!I15</f>
        <v>7.96462050282631</v>
      </c>
      <c r="I118" s="27" t="n">
        <f aca="false">Spend!J15</f>
        <v>8.17441242749089</v>
      </c>
      <c r="J118" s="27" t="n">
        <f aca="false">Spend!K15</f>
        <v>8.30458243290045</v>
      </c>
      <c r="K118" s="27" t="n">
        <f aca="false">Spend!L15</f>
        <v>7.28373461374332</v>
      </c>
      <c r="L118" s="27" t="n">
        <f aca="false">Spend!M15</f>
        <v>4.96873975479114</v>
      </c>
      <c r="M118" s="20" t="s">
        <v>3067</v>
      </c>
    </row>
    <row r="119" customFormat="false" ht="17.15" hidden="false" customHeight="false" outlineLevel="0" collapsed="false">
      <c r="A119" s="0" t="s">
        <v>3068</v>
      </c>
      <c r="B119" s="0" t="s">
        <v>3069</v>
      </c>
      <c r="C119" s="0" t="s">
        <v>391</v>
      </c>
      <c r="D119" s="27" t="n">
        <f aca="false">Spend!E16</f>
        <v>43.663252190161</v>
      </c>
      <c r="E119" s="27" t="n">
        <f aca="false">Spend!F16</f>
        <v>233.578450255195</v>
      </c>
      <c r="F119" s="27" t="n">
        <f aca="false">Spend!G16</f>
        <v>393.649521615031</v>
      </c>
      <c r="G119" s="27" t="n">
        <f aca="false">Spend!H16</f>
        <v>797.696676332878</v>
      </c>
      <c r="H119" s="27" t="n">
        <f aca="false">Spend!I16</f>
        <v>995.577562853289</v>
      </c>
      <c r="I119" s="27" t="n">
        <f aca="false">Spend!J16</f>
        <v>1021.80155343636</v>
      </c>
      <c r="J119" s="27" t="n">
        <f aca="false">Spend!K16</f>
        <v>1038.07280411256</v>
      </c>
      <c r="K119" s="27" t="n">
        <f aca="false">Spend!L16</f>
        <v>910.466826717915</v>
      </c>
      <c r="L119" s="27" t="n">
        <f aca="false">Spend!M16</f>
        <v>621.092469348892</v>
      </c>
      <c r="M119" s="20" t="s">
        <v>3070</v>
      </c>
    </row>
    <row r="120" customFormat="false" ht="15" hidden="false" customHeight="false" outlineLevel="0" collapsed="false">
      <c r="A120" s="0" t="s">
        <v>3071</v>
      </c>
      <c r="B120" s="5" t="s">
        <v>3072</v>
      </c>
      <c r="C120" s="0" t="s">
        <v>391</v>
      </c>
      <c r="D120" s="27" t="n">
        <f aca="false">Spend!E18</f>
        <v>4.13051127590411</v>
      </c>
      <c r="E120" s="27" t="n">
        <f aca="false">Spend!F18</f>
        <v>23.0752669518602</v>
      </c>
      <c r="F120" s="27" t="n">
        <f aca="false">Spend!G18</f>
        <v>31.9141972257009</v>
      </c>
      <c r="G120" s="27" t="n">
        <f aca="false">Spend!H18</f>
        <v>58.5409975113945</v>
      </c>
      <c r="H120" s="27" t="n">
        <f aca="false">Spend!I18</f>
        <v>68.6543966383419</v>
      </c>
      <c r="I120" s="27" t="n">
        <f aca="false">Spend!J18</f>
        <v>70.5418436675013</v>
      </c>
      <c r="J120" s="27" t="n">
        <f aca="false">Spend!K18</f>
        <v>71.665157698112</v>
      </c>
      <c r="K120" s="27" t="n">
        <f aca="false">Spend!L18</f>
        <v>62.8556575773314</v>
      </c>
      <c r="L120" s="27" t="n">
        <f aca="false">Spend!M18</f>
        <v>42.8781965818382</v>
      </c>
      <c r="M120" s="20" t="s">
        <v>3073</v>
      </c>
    </row>
    <row r="121" customFormat="false" ht="17.15" hidden="false" customHeight="false" outlineLevel="0" collapsed="false">
      <c r="A121" s="0" t="s">
        <v>3074</v>
      </c>
      <c r="B121" s="5" t="s">
        <v>3075</v>
      </c>
      <c r="C121" s="0" t="s">
        <v>391</v>
      </c>
      <c r="D121" s="27" t="n">
        <f aca="false">Spend!E19</f>
        <v>2.59169334958689</v>
      </c>
      <c r="E121" s="27" t="n">
        <f aca="false">Spend!F19</f>
        <v>14.4785988717555</v>
      </c>
      <c r="F121" s="27" t="n">
        <f aca="false">Spend!G19</f>
        <v>20.0245943376947</v>
      </c>
      <c r="G121" s="27" t="n">
        <f aca="false">Spend!H19</f>
        <v>36.7316062816593</v>
      </c>
      <c r="H121" s="27" t="n">
        <f aca="false">Spend!I19</f>
        <v>43.0772684789596</v>
      </c>
      <c r="I121" s="27" t="n">
        <f aca="false">Spend!J19</f>
        <v>44.261548967844</v>
      </c>
      <c r="J121" s="27" t="n">
        <f aca="false">Spend!K19</f>
        <v>44.9663734576389</v>
      </c>
      <c r="K121" s="27" t="n">
        <f aca="false">Spend!L19</f>
        <v>39.4388439700903</v>
      </c>
      <c r="L121" s="27" t="n">
        <f aca="false">Spend!M19</f>
        <v>26.903966482722</v>
      </c>
      <c r="M121" s="20" t="s">
        <v>3076</v>
      </c>
    </row>
    <row r="122" customFormat="false" ht="17.15" hidden="false" customHeight="false" outlineLevel="0" collapsed="false">
      <c r="A122" s="0" t="s">
        <v>3077</v>
      </c>
      <c r="B122" s="0" t="s">
        <v>239</v>
      </c>
      <c r="C122" s="0" t="s">
        <v>391</v>
      </c>
      <c r="D122" s="27" t="n">
        <f aca="false">Spend!E20</f>
        <v>1.21485625761885</v>
      </c>
      <c r="E122" s="27" t="n">
        <f aca="false">Spend!F20</f>
        <v>6.78684322113537</v>
      </c>
      <c r="F122" s="27" t="n">
        <f aca="false">Spend!G20</f>
        <v>9.38652859579439</v>
      </c>
      <c r="G122" s="27" t="n">
        <f aca="false">Spend!H20</f>
        <v>17.2179404445278</v>
      </c>
      <c r="H122" s="27" t="n">
        <f aca="false">Spend!I20</f>
        <v>20.1924695995123</v>
      </c>
      <c r="I122" s="27" t="n">
        <f aca="false">Spend!J20</f>
        <v>20.7476010786769</v>
      </c>
      <c r="J122" s="27" t="n">
        <f aca="false">Spend!K20</f>
        <v>21.0779875582682</v>
      </c>
      <c r="K122" s="27" t="n">
        <f aca="false">Spend!L20</f>
        <v>18.4869581109798</v>
      </c>
      <c r="L122" s="27" t="n">
        <f aca="false">Spend!M20</f>
        <v>12.6112342887759</v>
      </c>
      <c r="M122" s="20" t="s">
        <v>3078</v>
      </c>
    </row>
    <row r="123" customFormat="false" ht="15" hidden="false" customHeight="false" outlineLevel="0" collapsed="false">
      <c r="A123" s="0" t="s">
        <v>3079</v>
      </c>
      <c r="B123" s="5" t="s">
        <v>3080</v>
      </c>
      <c r="C123" s="0" t="s">
        <v>391</v>
      </c>
      <c r="D123" s="27" t="n">
        <f aca="false">Spend!E21</f>
        <v>3.07763585263443</v>
      </c>
      <c r="E123" s="27" t="n">
        <f aca="false">Spend!F21</f>
        <v>17.1933361602096</v>
      </c>
      <c r="F123" s="27" t="n">
        <f aca="false">Spend!G21</f>
        <v>23.7792057760125</v>
      </c>
      <c r="G123" s="27" t="n">
        <f aca="false">Spend!H21</f>
        <v>43.6187824594704</v>
      </c>
      <c r="H123" s="27" t="n">
        <f aca="false">Spend!I21</f>
        <v>51.1542563187645</v>
      </c>
      <c r="I123" s="27" t="n">
        <f aca="false">Spend!J21</f>
        <v>52.5605893993147</v>
      </c>
      <c r="J123" s="27" t="n">
        <f aca="false">Spend!K21</f>
        <v>53.3975684809462</v>
      </c>
      <c r="K123" s="27" t="n">
        <f aca="false">Spend!L21</f>
        <v>46.8336272144822</v>
      </c>
      <c r="L123" s="27" t="n">
        <f aca="false">Spend!M21</f>
        <v>31.9484601982324</v>
      </c>
      <c r="M123" s="20" t="s">
        <v>3081</v>
      </c>
    </row>
    <row r="124" customFormat="false" ht="15" hidden="false" customHeight="false" outlineLevel="0" collapsed="false">
      <c r="A124" s="0" t="s">
        <v>3082</v>
      </c>
      <c r="B124" s="5" t="s">
        <v>3083</v>
      </c>
      <c r="C124" s="0" t="s">
        <v>391</v>
      </c>
      <c r="D124" s="27" t="n">
        <f aca="false">Spend!E22</f>
        <v>2.75367418393607</v>
      </c>
      <c r="E124" s="27" t="n">
        <f aca="false">Spend!F22</f>
        <v>15.3835113012402</v>
      </c>
      <c r="F124" s="27" t="n">
        <f aca="false">Spend!G22</f>
        <v>21.2761314838006</v>
      </c>
      <c r="G124" s="27" t="n">
        <f aca="false">Spend!H22</f>
        <v>39.027331674263</v>
      </c>
      <c r="H124" s="27" t="n">
        <f aca="false">Spend!I22</f>
        <v>45.7695977588946</v>
      </c>
      <c r="I124" s="27" t="n">
        <f aca="false">Spend!J22</f>
        <v>47.0278957783342</v>
      </c>
      <c r="J124" s="27" t="n">
        <f aca="false">Spend!K22</f>
        <v>47.7767717987414</v>
      </c>
      <c r="K124" s="27" t="n">
        <f aca="false">Spend!L22</f>
        <v>41.9037717182209</v>
      </c>
      <c r="L124" s="27" t="n">
        <f aca="false">Spend!M22</f>
        <v>28.5854643878921</v>
      </c>
      <c r="M124" s="20" t="s">
        <v>3084</v>
      </c>
    </row>
    <row r="125" customFormat="false" ht="15" hidden="false" customHeight="false" outlineLevel="0" collapsed="false">
      <c r="A125" s="0" t="s">
        <v>3085</v>
      </c>
      <c r="B125" s="5" t="s">
        <v>248</v>
      </c>
      <c r="C125" s="0" t="s">
        <v>391</v>
      </c>
      <c r="D125" s="27" t="n">
        <f aca="false">Spend!E23</f>
        <v>4.77843461330083</v>
      </c>
      <c r="E125" s="27" t="n">
        <f aca="false">Spend!F23</f>
        <v>26.6949166697991</v>
      </c>
      <c r="F125" s="27" t="n">
        <f aca="false">Spend!G23</f>
        <v>36.9203458101246</v>
      </c>
      <c r="G125" s="27" t="n">
        <f aca="false">Spend!H23</f>
        <v>67.7238990818093</v>
      </c>
      <c r="H125" s="27" t="n">
        <f aca="false">Spend!I23</f>
        <v>79.4237137580818</v>
      </c>
      <c r="I125" s="27" t="n">
        <f aca="false">Spend!J23</f>
        <v>81.6072309094623</v>
      </c>
      <c r="J125" s="27" t="n">
        <f aca="false">Spend!K23</f>
        <v>82.9067510625218</v>
      </c>
      <c r="K125" s="27" t="n">
        <f aca="false">Spend!L23</f>
        <v>72.715368569854</v>
      </c>
      <c r="L125" s="27" t="n">
        <f aca="false">Spend!M23</f>
        <v>49.6041882025187</v>
      </c>
      <c r="M125" s="20" t="s">
        <v>3086</v>
      </c>
    </row>
    <row r="126" customFormat="false" ht="17.15" hidden="false" customHeight="false" outlineLevel="0" collapsed="false">
      <c r="A126" s="0" t="s">
        <v>3087</v>
      </c>
      <c r="B126" s="5" t="s">
        <v>3088</v>
      </c>
      <c r="C126" s="0" t="s">
        <v>391</v>
      </c>
      <c r="D126" s="27" t="n">
        <f aca="false">Spend!E24</f>
        <v>1.13386584044426</v>
      </c>
      <c r="E126" s="27" t="n">
        <f aca="false">Spend!F24</f>
        <v>6.33438700639301</v>
      </c>
      <c r="F126" s="27" t="n">
        <f aca="false">Spend!G24</f>
        <v>8.76076002274143</v>
      </c>
      <c r="G126" s="27" t="n">
        <f aca="false">Spend!H24</f>
        <v>16.0700777482259</v>
      </c>
      <c r="H126" s="27" t="n">
        <f aca="false">Spend!I24</f>
        <v>18.8463049595448</v>
      </c>
      <c r="I126" s="27" t="n">
        <f aca="false">Spend!J24</f>
        <v>19.3644276734317</v>
      </c>
      <c r="J126" s="27" t="n">
        <f aca="false">Spend!K24</f>
        <v>19.672788387717</v>
      </c>
      <c r="K126" s="27" t="n">
        <f aca="false">Spend!L24</f>
        <v>17.2544942369145</v>
      </c>
      <c r="L126" s="27" t="n">
        <f aca="false">Spend!M24</f>
        <v>11.7704853361909</v>
      </c>
      <c r="M126" s="20" t="s">
        <v>3089</v>
      </c>
    </row>
    <row r="127" customFormat="false" ht="17.15" hidden="false" customHeight="false" outlineLevel="0" collapsed="false">
      <c r="A127" s="0" t="s">
        <v>3090</v>
      </c>
      <c r="B127" s="5" t="s">
        <v>254</v>
      </c>
      <c r="C127" s="0" t="s">
        <v>391</v>
      </c>
      <c r="D127" s="27" t="n">
        <f aca="false">Spend!E25</f>
        <v>0.485942503047542</v>
      </c>
      <c r="E127" s="27" t="n">
        <f aca="false">Spend!F25</f>
        <v>2.71473728845415</v>
      </c>
      <c r="F127" s="27" t="n">
        <f aca="false">Spend!G25</f>
        <v>3.75461143831776</v>
      </c>
      <c r="G127" s="27" t="n">
        <f aca="false">Spend!H25</f>
        <v>6.88717617781112</v>
      </c>
      <c r="H127" s="27" t="n">
        <f aca="false">Spend!I25</f>
        <v>8.07698783980493</v>
      </c>
      <c r="I127" s="27" t="n">
        <f aca="false">Spend!J25</f>
        <v>8.29904043147074</v>
      </c>
      <c r="J127" s="27" t="n">
        <f aca="false">Spend!K25</f>
        <v>8.4311950233073</v>
      </c>
      <c r="K127" s="27" t="n">
        <f aca="false">Spend!L25</f>
        <v>7.39478324439193</v>
      </c>
      <c r="L127" s="27" t="n">
        <f aca="false">Spend!M25</f>
        <v>5.04449371551037</v>
      </c>
      <c r="M127" s="20" t="s">
        <v>3091</v>
      </c>
    </row>
    <row r="128" customFormat="false" ht="15" hidden="false" customHeight="false" outlineLevel="0" collapsed="false">
      <c r="A128" s="0" t="s">
        <v>3092</v>
      </c>
      <c r="B128" s="5" t="s">
        <v>257</v>
      </c>
      <c r="C128" s="0" t="s">
        <v>391</v>
      </c>
      <c r="D128" s="27" t="n">
        <f aca="false">Spend!E26</f>
        <v>0.323961668698361</v>
      </c>
      <c r="E128" s="27" t="n">
        <f aca="false">Spend!F26</f>
        <v>1.80982485896943</v>
      </c>
      <c r="F128" s="27" t="n">
        <f aca="false">Spend!G26</f>
        <v>2.50307429221184</v>
      </c>
      <c r="G128" s="27" t="n">
        <f aca="false">Spend!H26</f>
        <v>4.59145078520741</v>
      </c>
      <c r="H128" s="27" t="n">
        <f aca="false">Spend!I26</f>
        <v>5.38465855986995</v>
      </c>
      <c r="I128" s="27" t="n">
        <f aca="false">Spend!J26</f>
        <v>5.5326936209805</v>
      </c>
      <c r="J128" s="27" t="n">
        <f aca="false">Spend!K26</f>
        <v>5.62079668220487</v>
      </c>
      <c r="K128" s="27" t="n">
        <f aca="false">Spend!L26</f>
        <v>4.92985549626129</v>
      </c>
      <c r="L128" s="27" t="n">
        <f aca="false">Spend!M26</f>
        <v>3.36299581034025</v>
      </c>
      <c r="M128" s="20" t="s">
        <v>3093</v>
      </c>
    </row>
    <row r="129" customFormat="false" ht="15" hidden="false" customHeight="false" outlineLevel="0" collapsed="false">
      <c r="A129" s="0" t="s">
        <v>3094</v>
      </c>
      <c r="B129" s="5" t="s">
        <v>3095</v>
      </c>
      <c r="C129" s="0" t="s">
        <v>391</v>
      </c>
      <c r="D129" s="27" t="n">
        <f aca="false">Spend!E27</f>
        <v>0.0323961668698383</v>
      </c>
      <c r="E129" s="27" t="n">
        <f aca="false">Spend!F27</f>
        <v>0.180982485896955</v>
      </c>
      <c r="F129" s="27" t="n">
        <f aca="false">Spend!G27</f>
        <v>0.250307429221201</v>
      </c>
      <c r="G129" s="27" t="n">
        <f aca="false">Spend!H27</f>
        <v>0.459145078520772</v>
      </c>
      <c r="H129" s="27" t="n">
        <f aca="false">Spend!I27</f>
        <v>0.538465855987032</v>
      </c>
      <c r="I129" s="27" t="n">
        <f aca="false">Spend!J27</f>
        <v>0.553269362098087</v>
      </c>
      <c r="J129" s="27" t="n">
        <f aca="false">Spend!K27</f>
        <v>0.562079668220525</v>
      </c>
      <c r="K129" s="27" t="n">
        <f aca="false">Spend!L27</f>
        <v>0.492985549626162</v>
      </c>
      <c r="L129" s="27" t="n">
        <f aca="false">Spend!M27</f>
        <v>0.336299581034048</v>
      </c>
      <c r="M129" s="20" t="s">
        <v>3096</v>
      </c>
    </row>
    <row r="130" customFormat="false" ht="15" hidden="false" customHeight="false" outlineLevel="0" collapsed="false">
      <c r="A130" s="0" t="s">
        <v>3097</v>
      </c>
      <c r="B130" s="5" t="s">
        <v>3098</v>
      </c>
      <c r="C130" s="0" t="s">
        <v>391</v>
      </c>
      <c r="D130" s="27" t="n">
        <f aca="false">Spend!E28</f>
        <v>20.5229717120412</v>
      </c>
      <c r="E130" s="27" t="n">
        <f aca="false">Spend!F28</f>
        <v>114.652404815713</v>
      </c>
      <c r="F130" s="27" t="n">
        <f aca="false">Spend!G28</f>
        <v>158.56975641162</v>
      </c>
      <c r="G130" s="27" t="n">
        <f aca="false">Spend!H28</f>
        <v>290.86840724289</v>
      </c>
      <c r="H130" s="27" t="n">
        <f aca="false">Spend!I28</f>
        <v>341.118119767762</v>
      </c>
      <c r="I130" s="27" t="n">
        <f aca="false">Spend!J28</f>
        <v>350.496140889114</v>
      </c>
      <c r="J130" s="27" t="n">
        <f aca="false">Spend!K28</f>
        <v>356.077469817678</v>
      </c>
      <c r="K130" s="27" t="n">
        <f aca="false">Spend!L28</f>
        <v>312.306345688153</v>
      </c>
      <c r="L130" s="27" t="n">
        <f aca="false">Spend!M28</f>
        <v>213.045784585055</v>
      </c>
      <c r="M130" s="20" t="s">
        <v>3099</v>
      </c>
    </row>
    <row r="131" customFormat="false" ht="17.15" hidden="false" customHeight="false" outlineLevel="0" collapsed="false">
      <c r="A131" s="0" t="s">
        <v>3100</v>
      </c>
      <c r="B131" s="0" t="s">
        <v>2758</v>
      </c>
      <c r="C131" s="0" t="s">
        <v>391</v>
      </c>
      <c r="D131" s="27" t="n">
        <f aca="false">Spend!E29</f>
        <v>0.746407684681024</v>
      </c>
      <c r="E131" s="27" t="n">
        <f aca="false">Spend!F29</f>
        <v>4.16983647506557</v>
      </c>
      <c r="F131" s="27" t="n">
        <f aca="false">Spend!G29</f>
        <v>5.76708316925607</v>
      </c>
      <c r="G131" s="27" t="n">
        <f aca="false">Spend!H29</f>
        <v>10.5787026091179</v>
      </c>
      <c r="H131" s="27" t="n">
        <f aca="false">Spend!I29</f>
        <v>12.4062533219404</v>
      </c>
      <c r="I131" s="27" t="n">
        <f aca="false">Spend!J29</f>
        <v>12.7473261027391</v>
      </c>
      <c r="J131" s="27" t="n">
        <f aca="false">Spend!K29</f>
        <v>12.9503155558</v>
      </c>
      <c r="K131" s="27" t="n">
        <f aca="false">Spend!L29</f>
        <v>11.358387063386</v>
      </c>
      <c r="L131" s="27" t="n">
        <f aca="false">Spend!M29</f>
        <v>7.74834234702393</v>
      </c>
      <c r="M131" s="20" t="s">
        <v>3101</v>
      </c>
    </row>
    <row r="132" customFormat="false" ht="17.15" hidden="false" customHeight="false" outlineLevel="0" collapsed="false">
      <c r="A132" s="0" t="s">
        <v>3102</v>
      </c>
      <c r="B132" s="5" t="s">
        <v>3103</v>
      </c>
      <c r="C132" s="0" t="s">
        <v>391</v>
      </c>
      <c r="D132" s="27" t="n">
        <f aca="false">Spend!E30</f>
        <v>64.9326315868833</v>
      </c>
      <c r="E132" s="27" t="n">
        <f aca="false">Spend!F30</f>
        <v>352.400691545974</v>
      </c>
      <c r="F132" s="27" t="n">
        <f aca="false">Spend!G30</f>
        <v>557.986361195907</v>
      </c>
      <c r="G132" s="27" t="n">
        <f aca="false">Spend!H30</f>
        <v>1099.14378618489</v>
      </c>
      <c r="H132" s="27" t="n">
        <f aca="false">Spend!I30</f>
        <v>1349.10193594299</v>
      </c>
      <c r="I132" s="27" t="n">
        <f aca="false">Spend!J30</f>
        <v>1385.04502042821</v>
      </c>
      <c r="J132" s="27" t="n">
        <f aca="false">Spend!K30</f>
        <v>1407.10058948603</v>
      </c>
      <c r="K132" s="27" t="n">
        <f aca="false">Spend!L30</f>
        <v>1234.13155946945</v>
      </c>
      <c r="L132" s="27" t="n">
        <f aca="false">Spend!M30</f>
        <v>841.886596280971</v>
      </c>
      <c r="M132" s="20" t="s">
        <v>3104</v>
      </c>
    </row>
    <row r="133" customFormat="false" ht="17.15" hidden="false" customHeight="false" outlineLevel="0" collapsed="false">
      <c r="A133" s="8" t="s">
        <v>3105</v>
      </c>
    </row>
    <row r="134" customFormat="false" ht="15" hidden="false" customHeight="false" outlineLevel="0" collapsed="false">
      <c r="A134" s="0" t="s">
        <v>3106</v>
      </c>
      <c r="B134" s="5" t="s">
        <v>3072</v>
      </c>
      <c r="C134" s="0" t="s">
        <v>226</v>
      </c>
      <c r="D134" s="27" t="n">
        <f aca="false">Facility!E5</f>
        <v>2.55</v>
      </c>
      <c r="E134" s="27" t="n">
        <f aca="false">Facility!F5</f>
        <v>2.55</v>
      </c>
      <c r="F134" s="27" t="n">
        <f aca="false">Facility!G5</f>
        <v>2.55</v>
      </c>
      <c r="G134" s="27" t="n">
        <f aca="false">Facility!H5</f>
        <v>2.55</v>
      </c>
      <c r="H134" s="27" t="n">
        <f aca="false">Facility!I5</f>
        <v>2.55</v>
      </c>
      <c r="I134" s="27" t="n">
        <f aca="false">Facility!J5</f>
        <v>2.55</v>
      </c>
      <c r="J134" s="27" t="n">
        <f aca="false">Facility!K5</f>
        <v>2.55</v>
      </c>
      <c r="K134" s="27" t="n">
        <f aca="false">Facility!L5</f>
        <v>2.55</v>
      </c>
      <c r="L134" s="27" t="n">
        <f aca="false">Facility!M5</f>
        <v>2.55</v>
      </c>
      <c r="M134" s="20" t="s">
        <v>3107</v>
      </c>
    </row>
    <row r="135" customFormat="false" ht="17.15" hidden="false" customHeight="false" outlineLevel="0" collapsed="false">
      <c r="A135" s="0" t="s">
        <v>3108</v>
      </c>
      <c r="B135" s="5" t="s">
        <v>3075</v>
      </c>
      <c r="C135" s="0" t="s">
        <v>226</v>
      </c>
      <c r="D135" s="27" t="n">
        <f aca="false">Facility!E6</f>
        <v>1.6</v>
      </c>
      <c r="E135" s="27" t="n">
        <f aca="false">Facility!F6</f>
        <v>1.6</v>
      </c>
      <c r="F135" s="27" t="n">
        <f aca="false">Facility!G6</f>
        <v>1.6</v>
      </c>
      <c r="G135" s="27" t="n">
        <f aca="false">Facility!H6</f>
        <v>1.6</v>
      </c>
      <c r="H135" s="27" t="n">
        <f aca="false">Facility!I6</f>
        <v>1.6</v>
      </c>
      <c r="I135" s="27" t="n">
        <f aca="false">Facility!J6</f>
        <v>1.6</v>
      </c>
      <c r="J135" s="27" t="n">
        <f aca="false">Facility!K6</f>
        <v>1.6</v>
      </c>
      <c r="K135" s="27" t="n">
        <f aca="false">Facility!L6</f>
        <v>1.6</v>
      </c>
      <c r="L135" s="27" t="n">
        <f aca="false">Facility!M6</f>
        <v>1.6</v>
      </c>
      <c r="M135" s="20" t="s">
        <v>3109</v>
      </c>
    </row>
    <row r="136" customFormat="false" ht="17.15" hidden="false" customHeight="false" outlineLevel="0" collapsed="false">
      <c r="A136" s="0" t="s">
        <v>3110</v>
      </c>
      <c r="B136" s="0" t="s">
        <v>239</v>
      </c>
      <c r="C136" s="0" t="s">
        <v>226</v>
      </c>
      <c r="D136" s="27" t="n">
        <f aca="false">Facility!E7</f>
        <v>0.75</v>
      </c>
      <c r="E136" s="27" t="n">
        <f aca="false">Facility!F7</f>
        <v>0.75</v>
      </c>
      <c r="F136" s="27" t="n">
        <f aca="false">Facility!G7</f>
        <v>0.75</v>
      </c>
      <c r="G136" s="27" t="n">
        <f aca="false">Facility!H7</f>
        <v>0.75</v>
      </c>
      <c r="H136" s="27" t="n">
        <f aca="false">Facility!I7</f>
        <v>0.75</v>
      </c>
      <c r="I136" s="27" t="n">
        <f aca="false">Facility!J7</f>
        <v>0.75</v>
      </c>
      <c r="J136" s="27" t="n">
        <f aca="false">Facility!K7</f>
        <v>0.75</v>
      </c>
      <c r="K136" s="27" t="n">
        <f aca="false">Facility!L7</f>
        <v>0.75</v>
      </c>
      <c r="L136" s="27" t="n">
        <f aca="false">Facility!M7</f>
        <v>0.75</v>
      </c>
      <c r="M136" s="20" t="s">
        <v>3111</v>
      </c>
    </row>
    <row r="137" customFormat="false" ht="15" hidden="false" customHeight="false" outlineLevel="0" collapsed="false">
      <c r="A137" s="0" t="s">
        <v>3112</v>
      </c>
      <c r="B137" s="5" t="s">
        <v>3080</v>
      </c>
      <c r="C137" s="0" t="s">
        <v>226</v>
      </c>
      <c r="D137" s="27" t="n">
        <f aca="false">Facility!E8</f>
        <v>1.9</v>
      </c>
      <c r="E137" s="27" t="n">
        <f aca="false">Facility!F8</f>
        <v>1.9</v>
      </c>
      <c r="F137" s="27" t="n">
        <f aca="false">Facility!G8</f>
        <v>1.9</v>
      </c>
      <c r="G137" s="27" t="n">
        <f aca="false">Facility!H8</f>
        <v>1.9</v>
      </c>
      <c r="H137" s="27" t="n">
        <f aca="false">Facility!I8</f>
        <v>1.9</v>
      </c>
      <c r="I137" s="27" t="n">
        <f aca="false">Facility!J8</f>
        <v>1.9</v>
      </c>
      <c r="J137" s="27" t="n">
        <f aca="false">Facility!K8</f>
        <v>1.9</v>
      </c>
      <c r="K137" s="27" t="n">
        <f aca="false">Facility!L8</f>
        <v>1.9</v>
      </c>
      <c r="L137" s="27" t="n">
        <f aca="false">Facility!M8</f>
        <v>1.9</v>
      </c>
      <c r="M137" s="20" t="s">
        <v>3113</v>
      </c>
    </row>
    <row r="138" customFormat="false" ht="15" hidden="false" customHeight="false" outlineLevel="0" collapsed="false">
      <c r="A138" s="0" t="s">
        <v>3114</v>
      </c>
      <c r="B138" s="5" t="s">
        <v>3083</v>
      </c>
      <c r="C138" s="0" t="s">
        <v>226</v>
      </c>
      <c r="D138" s="27" t="n">
        <f aca="false">Facility!E9</f>
        <v>1.7</v>
      </c>
      <c r="E138" s="27" t="n">
        <f aca="false">Facility!F9</f>
        <v>1.7</v>
      </c>
      <c r="F138" s="27" t="n">
        <f aca="false">Facility!G9</f>
        <v>1.7</v>
      </c>
      <c r="G138" s="27" t="n">
        <f aca="false">Facility!H9</f>
        <v>1.7</v>
      </c>
      <c r="H138" s="27" t="n">
        <f aca="false">Facility!I9</f>
        <v>1.7</v>
      </c>
      <c r="I138" s="27" t="n">
        <f aca="false">Facility!J9</f>
        <v>1.7</v>
      </c>
      <c r="J138" s="27" t="n">
        <f aca="false">Facility!K9</f>
        <v>1.7</v>
      </c>
      <c r="K138" s="27" t="n">
        <f aca="false">Facility!L9</f>
        <v>1.7</v>
      </c>
      <c r="L138" s="27" t="n">
        <f aca="false">Facility!M9</f>
        <v>1.7</v>
      </c>
      <c r="M138" s="20" t="s">
        <v>3115</v>
      </c>
    </row>
    <row r="139" customFormat="false" ht="15" hidden="false" customHeight="false" outlineLevel="0" collapsed="false">
      <c r="A139" s="0" t="s">
        <v>3116</v>
      </c>
      <c r="B139" s="5" t="s">
        <v>248</v>
      </c>
      <c r="C139" s="0" t="s">
        <v>226</v>
      </c>
      <c r="D139" s="27" t="n">
        <f aca="false">Facility!E10</f>
        <v>2.95</v>
      </c>
      <c r="E139" s="27" t="n">
        <f aca="false">Facility!F10</f>
        <v>2.95</v>
      </c>
      <c r="F139" s="27" t="n">
        <f aca="false">Facility!G10</f>
        <v>2.95</v>
      </c>
      <c r="G139" s="27" t="n">
        <f aca="false">Facility!H10</f>
        <v>2.95</v>
      </c>
      <c r="H139" s="27" t="n">
        <f aca="false">Facility!I10</f>
        <v>2.95</v>
      </c>
      <c r="I139" s="27" t="n">
        <f aca="false">Facility!J10</f>
        <v>2.95</v>
      </c>
      <c r="J139" s="27" t="n">
        <f aca="false">Facility!K10</f>
        <v>2.95</v>
      </c>
      <c r="K139" s="27" t="n">
        <f aca="false">Facility!L10</f>
        <v>2.95</v>
      </c>
      <c r="L139" s="27" t="n">
        <f aca="false">Facility!M10</f>
        <v>2.95</v>
      </c>
      <c r="M139" s="20" t="s">
        <v>3117</v>
      </c>
    </row>
    <row r="140" customFormat="false" ht="17.15" hidden="false" customHeight="false" outlineLevel="0" collapsed="false">
      <c r="A140" s="0" t="s">
        <v>3118</v>
      </c>
      <c r="B140" s="5" t="s">
        <v>3088</v>
      </c>
      <c r="C140" s="0" t="s">
        <v>226</v>
      </c>
      <c r="D140" s="27" t="n">
        <f aca="false">Facility!E11</f>
        <v>0.7</v>
      </c>
      <c r="E140" s="27" t="n">
        <f aca="false">Facility!F11</f>
        <v>0.7</v>
      </c>
      <c r="F140" s="27" t="n">
        <f aca="false">Facility!G11</f>
        <v>0.7</v>
      </c>
      <c r="G140" s="27" t="n">
        <f aca="false">Facility!H11</f>
        <v>0.7</v>
      </c>
      <c r="H140" s="27" t="n">
        <f aca="false">Facility!I11</f>
        <v>0.7</v>
      </c>
      <c r="I140" s="27" t="n">
        <f aca="false">Facility!J11</f>
        <v>0.7</v>
      </c>
      <c r="J140" s="27" t="n">
        <f aca="false">Facility!K11</f>
        <v>0.7</v>
      </c>
      <c r="K140" s="27" t="n">
        <f aca="false">Facility!L11</f>
        <v>0.7</v>
      </c>
      <c r="L140" s="27" t="n">
        <f aca="false">Facility!M11</f>
        <v>0.7</v>
      </c>
      <c r="M140" s="20" t="s">
        <v>3119</v>
      </c>
    </row>
    <row r="141" customFormat="false" ht="17.15" hidden="false" customHeight="false" outlineLevel="0" collapsed="false">
      <c r="A141" s="0" t="s">
        <v>3120</v>
      </c>
      <c r="B141" s="5" t="s">
        <v>254</v>
      </c>
      <c r="C141" s="0" t="s">
        <v>226</v>
      </c>
      <c r="D141" s="27" t="n">
        <f aca="false">Facility!E12</f>
        <v>0.3</v>
      </c>
      <c r="E141" s="27" t="n">
        <f aca="false">Facility!F12</f>
        <v>0.3</v>
      </c>
      <c r="F141" s="27" t="n">
        <f aca="false">Facility!G12</f>
        <v>0.3</v>
      </c>
      <c r="G141" s="27" t="n">
        <f aca="false">Facility!H12</f>
        <v>0.3</v>
      </c>
      <c r="H141" s="27" t="n">
        <f aca="false">Facility!I12</f>
        <v>0.3</v>
      </c>
      <c r="I141" s="27" t="n">
        <f aca="false">Facility!J12</f>
        <v>0.3</v>
      </c>
      <c r="J141" s="27" t="n">
        <f aca="false">Facility!K12</f>
        <v>0.3</v>
      </c>
      <c r="K141" s="27" t="n">
        <f aca="false">Facility!L12</f>
        <v>0.3</v>
      </c>
      <c r="L141" s="27" t="n">
        <f aca="false">Facility!M12</f>
        <v>0.3</v>
      </c>
      <c r="M141" s="20" t="s">
        <v>3121</v>
      </c>
    </row>
    <row r="142" customFormat="false" ht="15" hidden="false" customHeight="false" outlineLevel="0" collapsed="false">
      <c r="A142" s="0" t="s">
        <v>3122</v>
      </c>
      <c r="B142" s="5" t="s">
        <v>257</v>
      </c>
      <c r="C142" s="0" t="s">
        <v>226</v>
      </c>
      <c r="D142" s="27" t="n">
        <f aca="false">Facility!E13</f>
        <v>0.2</v>
      </c>
      <c r="E142" s="27" t="n">
        <f aca="false">Facility!F13</f>
        <v>0.2</v>
      </c>
      <c r="F142" s="27" t="n">
        <f aca="false">Facility!G13</f>
        <v>0.2</v>
      </c>
      <c r="G142" s="27" t="n">
        <f aca="false">Facility!H13</f>
        <v>0.2</v>
      </c>
      <c r="H142" s="27" t="n">
        <f aca="false">Facility!I13</f>
        <v>0.2</v>
      </c>
      <c r="I142" s="27" t="n">
        <f aca="false">Facility!J13</f>
        <v>0.2</v>
      </c>
      <c r="J142" s="27" t="n">
        <f aca="false">Facility!K13</f>
        <v>0.2</v>
      </c>
      <c r="K142" s="27" t="n">
        <f aca="false">Facility!L13</f>
        <v>0.2</v>
      </c>
      <c r="L142" s="27" t="n">
        <f aca="false">Facility!M13</f>
        <v>0.2</v>
      </c>
      <c r="M142" s="20" t="s">
        <v>3123</v>
      </c>
    </row>
    <row r="143" customFormat="false" ht="17.15" hidden="false" customHeight="false" outlineLevel="0" collapsed="false">
      <c r="A143" s="0" t="s">
        <v>3124</v>
      </c>
      <c r="B143" s="5" t="s">
        <v>3125</v>
      </c>
      <c r="C143" s="0" t="s">
        <v>226</v>
      </c>
      <c r="D143" s="27" t="n">
        <f aca="false">Facility!E14</f>
        <v>0.0200000000000014</v>
      </c>
      <c r="E143" s="27" t="n">
        <f aca="false">Facility!F14</f>
        <v>0.0200000000000014</v>
      </c>
      <c r="F143" s="27" t="n">
        <f aca="false">Facility!G14</f>
        <v>0.0200000000000014</v>
      </c>
      <c r="G143" s="27" t="n">
        <f aca="false">Facility!H14</f>
        <v>0.0200000000000014</v>
      </c>
      <c r="H143" s="27" t="n">
        <f aca="false">Facility!I14</f>
        <v>0.0200000000000014</v>
      </c>
      <c r="I143" s="27" t="n">
        <f aca="false">Facility!J14</f>
        <v>0.0200000000000014</v>
      </c>
      <c r="J143" s="27" t="n">
        <f aca="false">Facility!K14</f>
        <v>0.0200000000000014</v>
      </c>
      <c r="K143" s="27" t="n">
        <f aca="false">Facility!L14</f>
        <v>0.0200000000000014</v>
      </c>
      <c r="L143" s="27" t="n">
        <f aca="false">Facility!M14</f>
        <v>0.0200000000000014</v>
      </c>
      <c r="M143" s="20" t="s">
        <v>3126</v>
      </c>
    </row>
    <row r="144" customFormat="false" ht="17.15" hidden="false" customHeight="false" outlineLevel="0" collapsed="false">
      <c r="A144" s="0" t="s">
        <v>3127</v>
      </c>
      <c r="B144" s="5" t="s">
        <v>3128</v>
      </c>
      <c r="C144" s="0" t="s">
        <v>226</v>
      </c>
      <c r="D144" s="27" t="n">
        <f aca="false">Facility!E16</f>
        <v>2.304</v>
      </c>
      <c r="E144" s="27" t="n">
        <f aca="false">Facility!F16</f>
        <v>2.304</v>
      </c>
      <c r="F144" s="27" t="n">
        <f aca="false">Facility!G16</f>
        <v>2.304</v>
      </c>
      <c r="G144" s="27" t="n">
        <f aca="false">Facility!H16</f>
        <v>2.304</v>
      </c>
      <c r="H144" s="27" t="n">
        <f aca="false">Facility!I16</f>
        <v>2.304</v>
      </c>
      <c r="I144" s="27" t="n">
        <f aca="false">Facility!J16</f>
        <v>2.304</v>
      </c>
      <c r="J144" s="27" t="n">
        <f aca="false">Facility!K16</f>
        <v>2.304</v>
      </c>
      <c r="K144" s="27" t="n">
        <f aca="false">Facility!L16</f>
        <v>2.304</v>
      </c>
      <c r="L144" s="27" t="n">
        <f aca="false">Facility!M16</f>
        <v>2.304</v>
      </c>
      <c r="M144" s="20" t="s">
        <v>3129</v>
      </c>
    </row>
    <row r="145" customFormat="false" ht="17.15" hidden="false" customHeight="false" outlineLevel="0" collapsed="false">
      <c r="A145" s="0" t="s">
        <v>3130</v>
      </c>
      <c r="B145" s="5" t="s">
        <v>3131</v>
      </c>
      <c r="C145" s="0" t="s">
        <v>78</v>
      </c>
      <c r="D145" s="27" t="n">
        <f aca="false">Facility!E38</f>
        <v>2.59169334958689</v>
      </c>
      <c r="E145" s="27" t="n">
        <f aca="false">Facility!F38</f>
        <v>14.4785988717555</v>
      </c>
      <c r="F145" s="27" t="n">
        <f aca="false">Facility!G38</f>
        <v>20.0245943376947</v>
      </c>
      <c r="G145" s="27" t="n">
        <f aca="false">Facility!H38</f>
        <v>36.7316062816593</v>
      </c>
      <c r="H145" s="27" t="n">
        <f aca="false">Facility!I38</f>
        <v>43.0772684789596</v>
      </c>
      <c r="I145" s="27" t="n">
        <f aca="false">Facility!J38</f>
        <v>44.261548967844</v>
      </c>
      <c r="J145" s="27" t="n">
        <f aca="false">Facility!K38</f>
        <v>44.9663734576389</v>
      </c>
      <c r="K145" s="27" t="n">
        <f aca="false">Facility!L38</f>
        <v>39.4388439700903</v>
      </c>
      <c r="L145" s="27" t="n">
        <f aca="false">Facility!M38</f>
        <v>26.903966482722</v>
      </c>
      <c r="M145" s="20" t="s">
        <v>3132</v>
      </c>
    </row>
    <row r="146" customFormat="false" ht="17.15" hidden="false" customHeight="false" outlineLevel="0" collapsed="false">
      <c r="A146" s="0" t="s">
        <v>3133</v>
      </c>
      <c r="B146" s="5" t="s">
        <v>3134</v>
      </c>
      <c r="C146" s="0" t="s">
        <v>78</v>
      </c>
      <c r="D146" s="27" t="n">
        <f aca="false">Facility!E39</f>
        <v>0.46650480292564</v>
      </c>
      <c r="E146" s="27" t="n">
        <f aca="false">Facility!F39</f>
        <v>2.60614779691598</v>
      </c>
      <c r="F146" s="27" t="n">
        <f aca="false">Facility!G39</f>
        <v>3.60442698078505</v>
      </c>
      <c r="G146" s="27" t="n">
        <f aca="false">Facility!H39</f>
        <v>6.61168913069867</v>
      </c>
      <c r="H146" s="27" t="n">
        <f aca="false">Facility!I39</f>
        <v>7.75390832621273</v>
      </c>
      <c r="I146" s="27" t="n">
        <f aca="false">Facility!J39</f>
        <v>7.96707881421191</v>
      </c>
      <c r="J146" s="27" t="n">
        <f aca="false">Facility!K39</f>
        <v>8.09394722237501</v>
      </c>
      <c r="K146" s="27" t="n">
        <f aca="false">Facility!L39</f>
        <v>7.09899191461625</v>
      </c>
      <c r="L146" s="27" t="n">
        <f aca="false">Facility!M39</f>
        <v>4.84271396688996</v>
      </c>
      <c r="M146" s="20" t="s">
        <v>3135</v>
      </c>
    </row>
    <row r="147" customFormat="false" ht="17.15" hidden="false" customHeight="false" outlineLevel="0" collapsed="false">
      <c r="A147" s="8" t="s">
        <v>3136</v>
      </c>
    </row>
    <row r="148" customFormat="false" ht="15" hidden="false" customHeight="false" outlineLevel="0" collapsed="false">
      <c r="A148" s="6" t="s">
        <v>1354</v>
      </c>
      <c r="B148" s="6" t="s">
        <v>1364</v>
      </c>
      <c r="C148" s="6" t="s">
        <v>1642</v>
      </c>
      <c r="D148" s="6" t="s">
        <v>1729</v>
      </c>
      <c r="E148" s="6" t="s">
        <v>16</v>
      </c>
      <c r="F148" s="6"/>
      <c r="G148" s="6"/>
      <c r="H148" s="6"/>
      <c r="I148" s="6"/>
      <c r="J148" s="6"/>
      <c r="K148" s="6"/>
      <c r="L148" s="6"/>
      <c r="M148" s="6" t="s">
        <v>2766</v>
      </c>
    </row>
    <row r="149" customFormat="false" ht="17.15" hidden="false" customHeight="false" outlineLevel="0" collapsed="false">
      <c r="A149" s="0" t="s">
        <v>3137</v>
      </c>
      <c r="B149" s="0" t="s">
        <v>1333</v>
      </c>
      <c r="C149" s="0" t="n">
        <v>2024</v>
      </c>
      <c r="D149" s="36" t="str">
        <f aca="false">IF(Funding!W5="","",Funding!W5)</f>
        <v/>
      </c>
      <c r="E149" s="20" t="s">
        <v>3138</v>
      </c>
      <c r="M149" s="20" t="s">
        <v>3139</v>
      </c>
    </row>
    <row r="150" customFormat="false" ht="17.15" hidden="false" customHeight="false" outlineLevel="0" collapsed="false">
      <c r="A150" s="0" t="s">
        <v>3140</v>
      </c>
      <c r="B150" s="0" t="s">
        <v>1333</v>
      </c>
      <c r="C150" s="0" t="n">
        <v>2024</v>
      </c>
      <c r="D150" s="41" t="str">
        <f aca="false">IF(Funding!AC5="","",Funding!AC5)</f>
        <v/>
      </c>
      <c r="E150" s="20" t="s">
        <v>3141</v>
      </c>
      <c r="M150" s="20" t="s">
        <v>3142</v>
      </c>
    </row>
    <row r="151" customFormat="false" ht="17.15" hidden="false" customHeight="false" outlineLevel="0" collapsed="false">
      <c r="A151" s="0" t="s">
        <v>3143</v>
      </c>
      <c r="B151" s="0" t="s">
        <v>1333</v>
      </c>
      <c r="C151" s="0" t="n">
        <v>2024</v>
      </c>
      <c r="D151" s="41" t="str">
        <f aca="false">IF(Funding!AD5="","",Funding!AD5)</f>
        <v/>
      </c>
      <c r="E151" s="20" t="s">
        <v>3144</v>
      </c>
      <c r="M151" s="20" t="s">
        <v>3145</v>
      </c>
    </row>
    <row r="152" customFormat="false" ht="17.15" hidden="false" customHeight="false" outlineLevel="0" collapsed="false">
      <c r="A152" s="0" t="s">
        <v>3146</v>
      </c>
      <c r="B152" s="0" t="s">
        <v>1333</v>
      </c>
      <c r="C152" s="0" t="n">
        <v>2024</v>
      </c>
      <c r="D152" s="41" t="str">
        <f aca="false">IF(Funding!AE5="","",Funding!AE5)</f>
        <v/>
      </c>
      <c r="E152" s="20" t="s">
        <v>3147</v>
      </c>
      <c r="M152" s="20" t="s">
        <v>3148</v>
      </c>
    </row>
    <row r="153" customFormat="false" ht="17.15" hidden="false" customHeight="false" outlineLevel="0" collapsed="false">
      <c r="A153" s="0" t="s">
        <v>3149</v>
      </c>
      <c r="B153" s="0" t="s">
        <v>1333</v>
      </c>
      <c r="C153" s="0" t="n">
        <v>2024</v>
      </c>
      <c r="D153" s="41" t="str">
        <f aca="false">IF(Funding!AF5="","",Funding!AF5)</f>
        <v/>
      </c>
      <c r="E153" s="20" t="s">
        <v>3150</v>
      </c>
      <c r="M153" s="20" t="s">
        <v>3151</v>
      </c>
    </row>
    <row r="154" customFormat="false" ht="17.15" hidden="false" customHeight="false" outlineLevel="0" collapsed="false">
      <c r="A154" s="0" t="s">
        <v>3152</v>
      </c>
      <c r="B154" s="0" t="s">
        <v>1333</v>
      </c>
      <c r="C154" s="0" t="n">
        <v>2024</v>
      </c>
      <c r="D154" s="41" t="str">
        <f aca="false">IF(Funding!AG5="","",Funding!AG5)</f>
        <v/>
      </c>
      <c r="E154" s="20" t="s">
        <v>3153</v>
      </c>
      <c r="M154" s="20" t="s">
        <v>3154</v>
      </c>
    </row>
    <row r="155" customFormat="false" ht="17.15" hidden="false" customHeight="false" outlineLevel="0" collapsed="false">
      <c r="A155" s="0" t="s">
        <v>3155</v>
      </c>
      <c r="B155" s="0" t="s">
        <v>1333</v>
      </c>
      <c r="C155" s="0" t="n">
        <v>2024</v>
      </c>
      <c r="D155" s="36" t="n">
        <f aca="false">IF(Funding!AL5="","",Funding!AL5)</f>
        <v>24.395</v>
      </c>
      <c r="E155" s="20" t="s">
        <v>3156</v>
      </c>
      <c r="M155" s="20" t="s">
        <v>3157</v>
      </c>
    </row>
    <row r="156" customFormat="false" ht="17.15" hidden="false" customHeight="false" outlineLevel="0" collapsed="false">
      <c r="A156" s="0" t="s">
        <v>3158</v>
      </c>
      <c r="B156" s="0" t="s">
        <v>1333</v>
      </c>
      <c r="C156" s="0" t="n">
        <v>2024</v>
      </c>
      <c r="D156" s="41" t="str">
        <f aca="false">IF(Funding!AM5="","",Funding!AM5)</f>
        <v/>
      </c>
      <c r="E156" s="20" t="s">
        <v>3159</v>
      </c>
      <c r="M156" s="20" t="s">
        <v>3160</v>
      </c>
    </row>
    <row r="157" customFormat="false" ht="17.15" hidden="false" customHeight="false" outlineLevel="0" collapsed="false">
      <c r="A157" s="0" t="s">
        <v>3161</v>
      </c>
      <c r="B157" s="0" t="s">
        <v>1333</v>
      </c>
      <c r="C157" s="0" t="n">
        <v>2024</v>
      </c>
      <c r="D157" s="41" t="str">
        <f aca="false">IF(Funding!AN5="","",Funding!AN5)</f>
        <v/>
      </c>
      <c r="E157" s="20" t="s">
        <v>3162</v>
      </c>
      <c r="M157" s="20" t="s">
        <v>3163</v>
      </c>
    </row>
    <row r="158" customFormat="false" ht="17.15" hidden="false" customHeight="false" outlineLevel="0" collapsed="false">
      <c r="A158" s="0" t="s">
        <v>3164</v>
      </c>
      <c r="B158" s="0" t="s">
        <v>1333</v>
      </c>
      <c r="C158" s="0" t="n">
        <v>2024</v>
      </c>
      <c r="D158" s="41" t="str">
        <f aca="false">IF(Funding!AO5="","",Funding!AO5)</f>
        <v/>
      </c>
      <c r="E158" s="20" t="s">
        <v>3165</v>
      </c>
      <c r="M158" s="20" t="s">
        <v>3166</v>
      </c>
    </row>
    <row r="159" customFormat="false" ht="17.15" hidden="false" customHeight="false" outlineLevel="0" collapsed="false">
      <c r="A159" s="0" t="s">
        <v>3167</v>
      </c>
      <c r="B159" s="0" t="s">
        <v>1333</v>
      </c>
      <c r="C159" s="0" t="n">
        <v>2024</v>
      </c>
      <c r="D159" s="41" t="str">
        <f aca="false">IF(Funding!AP5="","",Funding!AP5)</f>
        <v/>
      </c>
      <c r="E159" s="20" t="s">
        <v>3168</v>
      </c>
      <c r="M159" s="20" t="s">
        <v>3169</v>
      </c>
    </row>
    <row r="160" customFormat="false" ht="17.15" hidden="false" customHeight="false" outlineLevel="0" collapsed="false">
      <c r="A160" s="0" t="s">
        <v>3170</v>
      </c>
      <c r="B160" s="0" t="s">
        <v>1333</v>
      </c>
      <c r="C160" s="0" t="n">
        <v>2024</v>
      </c>
      <c r="D160" s="41" t="str">
        <f aca="false">IF(Funding!AQ5="","",Funding!AQ5)</f>
        <v/>
      </c>
      <c r="E160" s="20" t="s">
        <v>3171</v>
      </c>
      <c r="M160" s="20" t="s">
        <v>3172</v>
      </c>
    </row>
    <row r="161" customFormat="false" ht="17.15" hidden="false" customHeight="false" outlineLevel="0" collapsed="false">
      <c r="A161" s="0" t="s">
        <v>3173</v>
      </c>
      <c r="B161" s="0" t="s">
        <v>1333</v>
      </c>
      <c r="C161" s="0" t="n">
        <v>2024</v>
      </c>
      <c r="D161" s="36" t="str">
        <f aca="false">IF(Funding!E5="","",Funding!E5)</f>
        <v/>
      </c>
      <c r="E161" s="20" t="s">
        <v>1744</v>
      </c>
      <c r="M161" s="20" t="s">
        <v>3174</v>
      </c>
    </row>
    <row r="162" customFormat="false" ht="17.15" hidden="false" customHeight="false" outlineLevel="0" collapsed="false">
      <c r="A162" s="0" t="s">
        <v>3175</v>
      </c>
      <c r="B162" s="0" t="s">
        <v>1333</v>
      </c>
      <c r="C162" s="0" t="n">
        <v>2024</v>
      </c>
      <c r="D162" s="36" t="str">
        <f aca="false">IF(Funding!I5="","",Funding!I5)</f>
        <v/>
      </c>
      <c r="E162" s="20" t="s">
        <v>1750</v>
      </c>
      <c r="M162" s="20" t="s">
        <v>3176</v>
      </c>
    </row>
    <row r="163" customFormat="false" ht="17.15" hidden="false" customHeight="false" outlineLevel="0" collapsed="false">
      <c r="A163" s="0" t="s">
        <v>3177</v>
      </c>
      <c r="B163" s="0" t="s">
        <v>1333</v>
      </c>
      <c r="C163" s="0" t="n">
        <v>2024</v>
      </c>
      <c r="D163" s="36" t="str">
        <f aca="false">IF(Funding!O5="","",Funding!O5)</f>
        <v/>
      </c>
      <c r="E163" s="20" t="s">
        <v>3178</v>
      </c>
      <c r="M163" s="20" t="s">
        <v>3179</v>
      </c>
    </row>
    <row r="164" customFormat="false" ht="17.15" hidden="false" customHeight="false" outlineLevel="0" collapsed="false">
      <c r="A164" s="0" t="s">
        <v>3180</v>
      </c>
      <c r="B164" s="0" t="s">
        <v>1333</v>
      </c>
      <c r="C164" s="0" t="n">
        <v>2024</v>
      </c>
      <c r="D164" s="36" t="n">
        <f aca="false">N(Funding!J5)+N(Funding!K5)+N(Funding!L5)+N(Funding!M5)</f>
        <v>24.395</v>
      </c>
      <c r="E164" s="20" t="s">
        <v>3181</v>
      </c>
      <c r="M164" s="20" t="s">
        <v>3182</v>
      </c>
    </row>
    <row r="165" customFormat="false" ht="17.15" hidden="false" customHeight="false" outlineLevel="0" collapsed="false">
      <c r="A165" s="0" t="s">
        <v>3183</v>
      </c>
      <c r="B165" s="0" t="s">
        <v>1333</v>
      </c>
      <c r="C165" s="0" t="n">
        <v>2024</v>
      </c>
      <c r="D165" s="36" t="str">
        <f aca="false">IF(Funding!R5="","",Funding!R5)</f>
        <v/>
      </c>
      <c r="E165" s="20" t="s">
        <v>3184</v>
      </c>
      <c r="M165" s="20" t="s">
        <v>3185</v>
      </c>
    </row>
    <row r="166" customFormat="false" ht="17.15" hidden="false" customHeight="false" outlineLevel="0" collapsed="false">
      <c r="A166" s="0" t="s">
        <v>3186</v>
      </c>
      <c r="B166" s="0" t="s">
        <v>1333</v>
      </c>
      <c r="C166" s="0" t="n">
        <v>2025</v>
      </c>
      <c r="D166" s="36" t="n">
        <f aca="false">IF(Funding!W6="","",Funding!W6)</f>
        <v>85.062</v>
      </c>
      <c r="E166" s="20" t="s">
        <v>3138</v>
      </c>
      <c r="M166" s="20" t="s">
        <v>3187</v>
      </c>
    </row>
    <row r="167" customFormat="false" ht="17.15" hidden="false" customHeight="false" outlineLevel="0" collapsed="false">
      <c r="A167" s="0" t="s">
        <v>3188</v>
      </c>
      <c r="B167" s="0" t="s">
        <v>1333</v>
      </c>
      <c r="C167" s="0" t="n">
        <v>2025</v>
      </c>
      <c r="D167" s="41" t="n">
        <f aca="false">IF(Funding!AC6="","",Funding!AC6)</f>
        <v>0.758870000705368</v>
      </c>
      <c r="E167" s="20" t="s">
        <v>3141</v>
      </c>
      <c r="M167" s="20" t="s">
        <v>3189</v>
      </c>
    </row>
    <row r="168" customFormat="false" ht="17.15" hidden="false" customHeight="false" outlineLevel="0" collapsed="false">
      <c r="A168" s="0" t="s">
        <v>3190</v>
      </c>
      <c r="B168" s="0" t="s">
        <v>1333</v>
      </c>
      <c r="C168" s="0" t="n">
        <v>2025</v>
      </c>
      <c r="D168" s="41" t="n">
        <f aca="false">IF(Funding!AD6="","",Funding!AD6)</f>
        <v>0.241129999294632</v>
      </c>
      <c r="E168" s="20" t="s">
        <v>3144</v>
      </c>
      <c r="M168" s="20" t="s">
        <v>3191</v>
      </c>
    </row>
    <row r="169" customFormat="false" ht="17.15" hidden="false" customHeight="false" outlineLevel="0" collapsed="false">
      <c r="A169" s="0" t="s">
        <v>3192</v>
      </c>
      <c r="B169" s="0" t="s">
        <v>1333</v>
      </c>
      <c r="C169" s="0" t="n">
        <v>2025</v>
      </c>
      <c r="D169" s="41" t="n">
        <f aca="false">IF(Funding!AE6="","",Funding!AE6)</f>
        <v>0</v>
      </c>
      <c r="E169" s="20" t="s">
        <v>3147</v>
      </c>
      <c r="M169" s="20" t="s">
        <v>3193</v>
      </c>
    </row>
    <row r="170" customFormat="false" ht="17.15" hidden="false" customHeight="false" outlineLevel="0" collapsed="false">
      <c r="A170" s="0" t="s">
        <v>3194</v>
      </c>
      <c r="B170" s="0" t="s">
        <v>1333</v>
      </c>
      <c r="C170" s="0" t="n">
        <v>2025</v>
      </c>
      <c r="D170" s="41" t="n">
        <f aca="false">IF(Funding!AF6="","",Funding!AF6)</f>
        <v>0</v>
      </c>
      <c r="E170" s="20" t="s">
        <v>3150</v>
      </c>
      <c r="M170" s="20" t="s">
        <v>3195</v>
      </c>
    </row>
    <row r="171" customFormat="false" ht="17.15" hidden="false" customHeight="false" outlineLevel="0" collapsed="false">
      <c r="A171" s="0" t="s">
        <v>3196</v>
      </c>
      <c r="B171" s="0" t="s">
        <v>1333</v>
      </c>
      <c r="C171" s="0" t="n">
        <v>2025</v>
      </c>
      <c r="D171" s="41" t="n">
        <f aca="false">IF(Funding!AG6="","",Funding!AG6)</f>
        <v>0</v>
      </c>
      <c r="E171" s="20" t="s">
        <v>3153</v>
      </c>
      <c r="M171" s="20" t="s">
        <v>3197</v>
      </c>
    </row>
    <row r="172" customFormat="false" ht="17.15" hidden="false" customHeight="false" outlineLevel="0" collapsed="false">
      <c r="A172" s="0" t="s">
        <v>3198</v>
      </c>
      <c r="B172" s="0" t="s">
        <v>1333</v>
      </c>
      <c r="C172" s="0" t="n">
        <v>2025</v>
      </c>
      <c r="D172" s="36" t="n">
        <f aca="false">IF(Funding!AL6="","",Funding!AL6)</f>
        <v>20.511</v>
      </c>
      <c r="E172" s="20" t="s">
        <v>3156</v>
      </c>
      <c r="M172" s="20" t="s">
        <v>3199</v>
      </c>
    </row>
    <row r="173" customFormat="false" ht="17.15" hidden="false" customHeight="false" outlineLevel="0" collapsed="false">
      <c r="A173" s="0" t="s">
        <v>3200</v>
      </c>
      <c r="B173" s="0" t="s">
        <v>1333</v>
      </c>
      <c r="C173" s="0" t="n">
        <v>2025</v>
      </c>
      <c r="D173" s="41" t="n">
        <f aca="false">IF(Funding!AM6="","",Funding!AM6)</f>
        <v>0.241129999294632</v>
      </c>
      <c r="E173" s="20" t="s">
        <v>3159</v>
      </c>
      <c r="M173" s="20" t="s">
        <v>3201</v>
      </c>
    </row>
    <row r="174" customFormat="false" ht="17.15" hidden="false" customHeight="false" outlineLevel="0" collapsed="false">
      <c r="A174" s="0" t="s">
        <v>3202</v>
      </c>
      <c r="B174" s="0" t="s">
        <v>1333</v>
      </c>
      <c r="C174" s="0" t="n">
        <v>2025</v>
      </c>
      <c r="D174" s="41" t="n">
        <f aca="false">IF(Funding!AN6="","",Funding!AN6)</f>
        <v>1.60073828501564</v>
      </c>
      <c r="E174" s="20" t="s">
        <v>3162</v>
      </c>
      <c r="M174" s="20" t="s">
        <v>3203</v>
      </c>
    </row>
    <row r="175" customFormat="false" ht="17.15" hidden="false" customHeight="false" outlineLevel="0" collapsed="false">
      <c r="A175" s="0" t="s">
        <v>3204</v>
      </c>
      <c r="B175" s="0" t="s">
        <v>1333</v>
      </c>
      <c r="C175" s="0" t="n">
        <v>2025</v>
      </c>
      <c r="D175" s="41" t="n">
        <f aca="false">IF(Funding!AO6="","",Funding!AO6)</f>
        <v>0</v>
      </c>
      <c r="E175" s="20" t="s">
        <v>3165</v>
      </c>
      <c r="M175" s="20" t="s">
        <v>3205</v>
      </c>
    </row>
    <row r="176" customFormat="false" ht="17.15" hidden="false" customHeight="false" outlineLevel="0" collapsed="false">
      <c r="A176" s="0" t="s">
        <v>3206</v>
      </c>
      <c r="B176" s="0" t="s">
        <v>1333</v>
      </c>
      <c r="C176" s="0" t="n">
        <v>2025</v>
      </c>
      <c r="D176" s="41" t="n">
        <f aca="false">IF(Funding!AP6="","",Funding!AP6)</f>
        <v>0</v>
      </c>
      <c r="E176" s="20" t="s">
        <v>3168</v>
      </c>
      <c r="M176" s="20" t="s">
        <v>3207</v>
      </c>
    </row>
    <row r="177" customFormat="false" ht="17.15" hidden="false" customHeight="false" outlineLevel="0" collapsed="false">
      <c r="A177" s="0" t="s">
        <v>3208</v>
      </c>
      <c r="B177" s="0" t="s">
        <v>1333</v>
      </c>
      <c r="C177" s="0" t="n">
        <v>2025</v>
      </c>
      <c r="D177" s="41" t="n">
        <f aca="false">IF(Funding!AQ6="","",Funding!AQ6)</f>
        <v>0.241129999294632</v>
      </c>
      <c r="E177" s="20" t="s">
        <v>3171</v>
      </c>
      <c r="M177" s="20" t="s">
        <v>3209</v>
      </c>
    </row>
    <row r="178" customFormat="false" ht="17.15" hidden="false" customHeight="false" outlineLevel="0" collapsed="false">
      <c r="A178" s="0" t="s">
        <v>3210</v>
      </c>
      <c r="B178" s="0" t="s">
        <v>1333</v>
      </c>
      <c r="C178" s="0" t="n">
        <v>2025</v>
      </c>
      <c r="D178" s="36" t="n">
        <f aca="false">IF(Funding!E6="","",Funding!E6)</f>
        <v>136.162</v>
      </c>
      <c r="E178" s="20" t="s">
        <v>1744</v>
      </c>
      <c r="M178" s="20" t="s">
        <v>3211</v>
      </c>
    </row>
    <row r="179" customFormat="false" ht="17.15" hidden="false" customHeight="false" outlineLevel="0" collapsed="false">
      <c r="A179" s="0" t="s">
        <v>3212</v>
      </c>
      <c r="B179" s="0" t="s">
        <v>1333</v>
      </c>
      <c r="C179" s="0" t="n">
        <v>2025</v>
      </c>
      <c r="D179" s="36" t="str">
        <f aca="false">IF(Funding!I6="","",Funding!I6)</f>
        <v/>
      </c>
      <c r="E179" s="20" t="s">
        <v>1750</v>
      </c>
      <c r="M179" s="20" t="s">
        <v>3213</v>
      </c>
    </row>
    <row r="180" customFormat="false" ht="17.15" hidden="false" customHeight="false" outlineLevel="0" collapsed="false">
      <c r="A180" s="0" t="s">
        <v>3214</v>
      </c>
      <c r="B180" s="0" t="s">
        <v>1333</v>
      </c>
      <c r="C180" s="0" t="n">
        <v>2025</v>
      </c>
      <c r="D180" s="36" t="n">
        <f aca="false">IF(Funding!O6="","",Funding!O6)</f>
        <v>92.7</v>
      </c>
      <c r="E180" s="20" t="s">
        <v>3178</v>
      </c>
      <c r="M180" s="20" t="s">
        <v>3215</v>
      </c>
    </row>
    <row r="181" customFormat="false" ht="17.15" hidden="false" customHeight="false" outlineLevel="0" collapsed="false">
      <c r="A181" s="0" t="s">
        <v>3216</v>
      </c>
      <c r="B181" s="0" t="s">
        <v>1333</v>
      </c>
      <c r="C181" s="0" t="n">
        <v>2025</v>
      </c>
      <c r="D181" s="36" t="n">
        <f aca="false">N(Funding!J6)+N(Funding!K6)+N(Funding!L6)+N(Funding!M6)</f>
        <v>0</v>
      </c>
      <c r="E181" s="20" t="s">
        <v>3181</v>
      </c>
      <c r="M181" s="20" t="s">
        <v>3217</v>
      </c>
    </row>
    <row r="182" customFormat="false" ht="17.15" hidden="false" customHeight="false" outlineLevel="0" collapsed="false">
      <c r="A182" s="0" t="s">
        <v>3218</v>
      </c>
      <c r="B182" s="0" t="s">
        <v>1333</v>
      </c>
      <c r="C182" s="0" t="n">
        <v>2025</v>
      </c>
      <c r="D182" s="36" t="str">
        <f aca="false">IF(Funding!R6="","",Funding!R6)</f>
        <v/>
      </c>
      <c r="E182" s="20" t="s">
        <v>3184</v>
      </c>
      <c r="M182" s="20" t="s">
        <v>3219</v>
      </c>
    </row>
    <row r="183" customFormat="false" ht="17.15" hidden="false" customHeight="false" outlineLevel="0" collapsed="false">
      <c r="A183" s="0" t="s">
        <v>3220</v>
      </c>
      <c r="B183" s="0" t="s">
        <v>1333</v>
      </c>
      <c r="C183" s="0" t="n">
        <v>2026</v>
      </c>
      <c r="D183" s="36" t="n">
        <f aca="false">IF(Funding!W7="","",Funding!W7)</f>
        <v>140.556</v>
      </c>
      <c r="E183" s="20" t="s">
        <v>3138</v>
      </c>
      <c r="M183" s="20" t="s">
        <v>3221</v>
      </c>
    </row>
    <row r="184" customFormat="false" ht="17.15" hidden="false" customHeight="false" outlineLevel="0" collapsed="false">
      <c r="A184" s="0" t="s">
        <v>3222</v>
      </c>
      <c r="B184" s="0" t="s">
        <v>1333</v>
      </c>
      <c r="C184" s="0" t="n">
        <v>2026</v>
      </c>
      <c r="D184" s="41" t="n">
        <f aca="false">IF(Funding!AC7="","",Funding!AC7)</f>
        <v>0.824923873758502</v>
      </c>
      <c r="E184" s="20" t="s">
        <v>3141</v>
      </c>
      <c r="M184" s="20" t="s">
        <v>3223</v>
      </c>
    </row>
    <row r="185" customFormat="false" ht="17.15" hidden="false" customHeight="false" outlineLevel="0" collapsed="false">
      <c r="A185" s="0" t="s">
        <v>3224</v>
      </c>
      <c r="B185" s="0" t="s">
        <v>1333</v>
      </c>
      <c r="C185" s="0" t="n">
        <v>2026</v>
      </c>
      <c r="D185" s="41" t="n">
        <f aca="false">IF(Funding!AD7="","",Funding!AD7)</f>
        <v>0.175076126241498</v>
      </c>
      <c r="E185" s="20" t="s">
        <v>3144</v>
      </c>
      <c r="M185" s="20" t="s">
        <v>3225</v>
      </c>
    </row>
    <row r="186" customFormat="false" ht="17.15" hidden="false" customHeight="false" outlineLevel="0" collapsed="false">
      <c r="A186" s="0" t="s">
        <v>3226</v>
      </c>
      <c r="B186" s="0" t="s">
        <v>1333</v>
      </c>
      <c r="C186" s="0" t="n">
        <v>2026</v>
      </c>
      <c r="D186" s="41" t="n">
        <f aca="false">IF(Funding!AE7="","",Funding!AE7)</f>
        <v>0</v>
      </c>
      <c r="E186" s="20" t="s">
        <v>3147</v>
      </c>
      <c r="M186" s="20" t="s">
        <v>3227</v>
      </c>
    </row>
    <row r="187" customFormat="false" ht="17.15" hidden="false" customHeight="false" outlineLevel="0" collapsed="false">
      <c r="A187" s="0" t="s">
        <v>3228</v>
      </c>
      <c r="B187" s="0" t="s">
        <v>1333</v>
      </c>
      <c r="C187" s="0" t="n">
        <v>2026</v>
      </c>
      <c r="D187" s="41" t="n">
        <f aca="false">IF(Funding!AF7="","",Funding!AF7)</f>
        <v>0</v>
      </c>
      <c r="E187" s="20" t="s">
        <v>3150</v>
      </c>
      <c r="M187" s="20" t="s">
        <v>3229</v>
      </c>
    </row>
    <row r="188" customFormat="false" ht="17.15" hidden="false" customHeight="false" outlineLevel="0" collapsed="false">
      <c r="A188" s="0" t="s">
        <v>3230</v>
      </c>
      <c r="B188" s="0" t="s">
        <v>1333</v>
      </c>
      <c r="C188" s="0" t="n">
        <v>2026</v>
      </c>
      <c r="D188" s="41" t="n">
        <f aca="false">IF(Funding!AG7="","",Funding!AG7)</f>
        <v>0</v>
      </c>
      <c r="E188" s="20" t="s">
        <v>3153</v>
      </c>
      <c r="M188" s="20" t="s">
        <v>3231</v>
      </c>
    </row>
    <row r="189" customFormat="false" ht="17.15" hidden="false" customHeight="false" outlineLevel="0" collapsed="false">
      <c r="A189" s="0" t="s">
        <v>3232</v>
      </c>
      <c r="B189" s="0" t="s">
        <v>1333</v>
      </c>
      <c r="C189" s="0" t="n">
        <v>2026</v>
      </c>
      <c r="D189" s="36" t="n">
        <f aca="false">IF(Funding!AL7="","",Funding!AL7)</f>
        <v>24.608</v>
      </c>
      <c r="E189" s="20" t="s">
        <v>3156</v>
      </c>
      <c r="M189" s="20" t="s">
        <v>3233</v>
      </c>
    </row>
    <row r="190" customFormat="false" ht="17.15" hidden="false" customHeight="false" outlineLevel="0" collapsed="false">
      <c r="A190" s="0" t="s">
        <v>3234</v>
      </c>
      <c r="B190" s="0" t="s">
        <v>1333</v>
      </c>
      <c r="C190" s="0" t="n">
        <v>2026</v>
      </c>
      <c r="D190" s="41" t="n">
        <f aca="false">IF(Funding!AM7="","",Funding!AM7)</f>
        <v>0.175076126241498</v>
      </c>
      <c r="E190" s="20" t="s">
        <v>3159</v>
      </c>
      <c r="M190" s="20" t="s">
        <v>3235</v>
      </c>
    </row>
    <row r="191" customFormat="false" ht="17.15" hidden="false" customHeight="false" outlineLevel="0" collapsed="false">
      <c r="A191" s="0" t="s">
        <v>3236</v>
      </c>
      <c r="B191" s="0" t="s">
        <v>1333</v>
      </c>
      <c r="C191" s="0" t="n">
        <v>2026</v>
      </c>
      <c r="D191" s="41" t="n">
        <f aca="false">IF(Funding!AN7="","",Funding!AN7)</f>
        <v>1.30150971854634</v>
      </c>
      <c r="E191" s="20" t="s">
        <v>3162</v>
      </c>
      <c r="M191" s="20" t="s">
        <v>3237</v>
      </c>
    </row>
    <row r="192" customFormat="false" ht="17.15" hidden="false" customHeight="false" outlineLevel="0" collapsed="false">
      <c r="A192" s="0" t="s">
        <v>3238</v>
      </c>
      <c r="B192" s="0" t="s">
        <v>1333</v>
      </c>
      <c r="C192" s="0" t="n">
        <v>2026</v>
      </c>
      <c r="D192" s="41" t="n">
        <f aca="false">IF(Funding!AO7="","",Funding!AO7)</f>
        <v>0</v>
      </c>
      <c r="E192" s="20" t="s">
        <v>3165</v>
      </c>
      <c r="M192" s="20" t="s">
        <v>3239</v>
      </c>
    </row>
    <row r="193" customFormat="false" ht="17.15" hidden="false" customHeight="false" outlineLevel="0" collapsed="false">
      <c r="A193" s="0" t="s">
        <v>3240</v>
      </c>
      <c r="B193" s="0" t="s">
        <v>1333</v>
      </c>
      <c r="C193" s="0" t="n">
        <v>2026</v>
      </c>
      <c r="D193" s="41" t="n">
        <f aca="false">IF(Funding!AP7="","",Funding!AP7)</f>
        <v>0</v>
      </c>
      <c r="E193" s="20" t="s">
        <v>3168</v>
      </c>
      <c r="M193" s="20" t="s">
        <v>3241</v>
      </c>
    </row>
    <row r="194" customFormat="false" ht="17.15" hidden="false" customHeight="false" outlineLevel="0" collapsed="false">
      <c r="A194" s="0" t="s">
        <v>3242</v>
      </c>
      <c r="B194" s="0" t="s">
        <v>1333</v>
      </c>
      <c r="C194" s="0" t="n">
        <v>2026</v>
      </c>
      <c r="D194" s="41" t="n">
        <f aca="false">IF(Funding!AQ7="","",Funding!AQ7)</f>
        <v>0.175076126241498</v>
      </c>
      <c r="E194" s="20" t="s">
        <v>3171</v>
      </c>
      <c r="M194" s="20" t="s">
        <v>3243</v>
      </c>
    </row>
    <row r="195" customFormat="false" ht="17.15" hidden="false" customHeight="false" outlineLevel="0" collapsed="false">
      <c r="A195" s="0" t="s">
        <v>3244</v>
      </c>
      <c r="B195" s="0" t="s">
        <v>1333</v>
      </c>
      <c r="C195" s="0" t="n">
        <v>2026</v>
      </c>
      <c r="D195" s="36" t="n">
        <f aca="false">IF(Funding!E7="","",Funding!E7)</f>
        <v>182.935</v>
      </c>
      <c r="E195" s="20" t="s">
        <v>1744</v>
      </c>
      <c r="M195" s="20" t="s">
        <v>3245</v>
      </c>
    </row>
    <row r="196" customFormat="false" ht="17.15" hidden="false" customHeight="false" outlineLevel="0" collapsed="false">
      <c r="A196" s="0" t="s">
        <v>3246</v>
      </c>
      <c r="B196" s="0" t="s">
        <v>1333</v>
      </c>
      <c r="C196" s="0" t="n">
        <v>2026</v>
      </c>
      <c r="D196" s="36" t="str">
        <f aca="false">IF(Funding!I7="","",Funding!I7)</f>
        <v/>
      </c>
      <c r="E196" s="20" t="s">
        <v>1750</v>
      </c>
      <c r="M196" s="20" t="s">
        <v>3247</v>
      </c>
    </row>
    <row r="197" customFormat="false" ht="17.15" hidden="false" customHeight="false" outlineLevel="0" collapsed="false">
      <c r="A197" s="0" t="s">
        <v>3248</v>
      </c>
      <c r="B197" s="0" t="s">
        <v>1333</v>
      </c>
      <c r="C197" s="0" t="n">
        <v>2026</v>
      </c>
      <c r="D197" s="36" t="n">
        <f aca="false">IF(Funding!O7="","",Funding!O7)</f>
        <v>329.1</v>
      </c>
      <c r="E197" s="20" t="s">
        <v>3178</v>
      </c>
      <c r="M197" s="20" t="s">
        <v>3249</v>
      </c>
    </row>
    <row r="198" customFormat="false" ht="17.15" hidden="false" customHeight="false" outlineLevel="0" collapsed="false">
      <c r="A198" s="0" t="s">
        <v>3250</v>
      </c>
      <c r="B198" s="0" t="s">
        <v>1333</v>
      </c>
      <c r="C198" s="0" t="n">
        <v>2026</v>
      </c>
      <c r="D198" s="36" t="n">
        <f aca="false">N(Funding!J7)+N(Funding!K7)+N(Funding!L7)+N(Funding!M7)</f>
        <v>0</v>
      </c>
      <c r="E198" s="20" t="s">
        <v>3181</v>
      </c>
      <c r="M198" s="20" t="s">
        <v>3251</v>
      </c>
    </row>
    <row r="199" customFormat="false" ht="17.15" hidden="false" customHeight="false" outlineLevel="0" collapsed="false">
      <c r="A199" s="0" t="s">
        <v>3252</v>
      </c>
      <c r="B199" s="0" t="s">
        <v>1333</v>
      </c>
      <c r="C199" s="0" t="n">
        <v>2026</v>
      </c>
      <c r="D199" s="36" t="str">
        <f aca="false">IF(Funding!R7="","",Funding!R7)</f>
        <v/>
      </c>
      <c r="E199" s="20" t="s">
        <v>3184</v>
      </c>
      <c r="M199" s="20" t="s">
        <v>3253</v>
      </c>
    </row>
    <row r="200" customFormat="false" ht="17.15" hidden="false" customHeight="false" outlineLevel="0" collapsed="false">
      <c r="A200" s="0" t="s">
        <v>3254</v>
      </c>
      <c r="B200" s="0" t="s">
        <v>1334</v>
      </c>
      <c r="C200" s="0" t="n">
        <v>2024</v>
      </c>
      <c r="D200" s="36" t="str">
        <f aca="false">IF(Funding!W8="","",Funding!W8)</f>
        <v/>
      </c>
      <c r="E200" s="20" t="s">
        <v>3138</v>
      </c>
      <c r="M200" s="20" t="s">
        <v>3255</v>
      </c>
    </row>
    <row r="201" customFormat="false" ht="17.15" hidden="false" customHeight="false" outlineLevel="0" collapsed="false">
      <c r="A201" s="0" t="s">
        <v>3256</v>
      </c>
      <c r="B201" s="0" t="s">
        <v>1334</v>
      </c>
      <c r="C201" s="0" t="n">
        <v>2024</v>
      </c>
      <c r="D201" s="41" t="str">
        <f aca="false">IF(Funding!AC8="","",Funding!AC8)</f>
        <v/>
      </c>
      <c r="E201" s="20" t="s">
        <v>3141</v>
      </c>
      <c r="M201" s="20" t="s">
        <v>3257</v>
      </c>
    </row>
    <row r="202" customFormat="false" ht="17.15" hidden="false" customHeight="false" outlineLevel="0" collapsed="false">
      <c r="A202" s="0" t="s">
        <v>3258</v>
      </c>
      <c r="B202" s="0" t="s">
        <v>1334</v>
      </c>
      <c r="C202" s="0" t="n">
        <v>2024</v>
      </c>
      <c r="D202" s="41" t="str">
        <f aca="false">IF(Funding!AD8="","",Funding!AD8)</f>
        <v/>
      </c>
      <c r="E202" s="20" t="s">
        <v>3144</v>
      </c>
      <c r="M202" s="20" t="s">
        <v>3259</v>
      </c>
    </row>
    <row r="203" customFormat="false" ht="17.15" hidden="false" customHeight="false" outlineLevel="0" collapsed="false">
      <c r="A203" s="0" t="s">
        <v>3260</v>
      </c>
      <c r="B203" s="0" t="s">
        <v>1334</v>
      </c>
      <c r="C203" s="0" t="n">
        <v>2024</v>
      </c>
      <c r="D203" s="41" t="str">
        <f aca="false">IF(Funding!AE8="","",Funding!AE8)</f>
        <v/>
      </c>
      <c r="E203" s="20" t="s">
        <v>3147</v>
      </c>
      <c r="M203" s="20" t="s">
        <v>3261</v>
      </c>
    </row>
    <row r="204" customFormat="false" ht="17.15" hidden="false" customHeight="false" outlineLevel="0" collapsed="false">
      <c r="A204" s="0" t="s">
        <v>3262</v>
      </c>
      <c r="B204" s="0" t="s">
        <v>1334</v>
      </c>
      <c r="C204" s="0" t="n">
        <v>2024</v>
      </c>
      <c r="D204" s="41" t="str">
        <f aca="false">IF(Funding!AF8="","",Funding!AF8)</f>
        <v/>
      </c>
      <c r="E204" s="20" t="s">
        <v>3150</v>
      </c>
      <c r="M204" s="20" t="s">
        <v>3263</v>
      </c>
    </row>
    <row r="205" customFormat="false" ht="17.15" hidden="false" customHeight="false" outlineLevel="0" collapsed="false">
      <c r="A205" s="0" t="s">
        <v>3264</v>
      </c>
      <c r="B205" s="0" t="s">
        <v>1334</v>
      </c>
      <c r="C205" s="0" t="n">
        <v>2024</v>
      </c>
      <c r="D205" s="41" t="str">
        <f aca="false">IF(Funding!AG8="","",Funding!AG8)</f>
        <v/>
      </c>
      <c r="E205" s="20" t="s">
        <v>3153</v>
      </c>
      <c r="M205" s="20" t="s">
        <v>3265</v>
      </c>
    </row>
    <row r="206" customFormat="false" ht="17.15" hidden="false" customHeight="false" outlineLevel="0" collapsed="false">
      <c r="A206" s="0" t="s">
        <v>3266</v>
      </c>
      <c r="B206" s="0" t="s">
        <v>1334</v>
      </c>
      <c r="C206" s="0" t="n">
        <v>2024</v>
      </c>
      <c r="D206" s="36" t="n">
        <f aca="false">IF(Funding!AL8="","",Funding!AL8)</f>
        <v>0</v>
      </c>
      <c r="E206" s="20" t="s">
        <v>3156</v>
      </c>
      <c r="M206" s="20" t="s">
        <v>3267</v>
      </c>
    </row>
    <row r="207" customFormat="false" ht="17.15" hidden="false" customHeight="false" outlineLevel="0" collapsed="false">
      <c r="A207" s="0" t="s">
        <v>3268</v>
      </c>
      <c r="B207" s="0" t="s">
        <v>1334</v>
      </c>
      <c r="C207" s="0" t="n">
        <v>2024</v>
      </c>
      <c r="D207" s="41" t="str">
        <f aca="false">IF(Funding!AM8="","",Funding!AM8)</f>
        <v/>
      </c>
      <c r="E207" s="20" t="s">
        <v>3159</v>
      </c>
      <c r="M207" s="20" t="s">
        <v>3269</v>
      </c>
    </row>
    <row r="208" customFormat="false" ht="17.15" hidden="false" customHeight="false" outlineLevel="0" collapsed="false">
      <c r="A208" s="0" t="s">
        <v>3270</v>
      </c>
      <c r="B208" s="0" t="s">
        <v>1334</v>
      </c>
      <c r="C208" s="0" t="n">
        <v>2024</v>
      </c>
      <c r="D208" s="41" t="str">
        <f aca="false">IF(Funding!AN8="","",Funding!AN8)</f>
        <v/>
      </c>
      <c r="E208" s="20" t="s">
        <v>3162</v>
      </c>
      <c r="M208" s="20" t="s">
        <v>3271</v>
      </c>
    </row>
    <row r="209" customFormat="false" ht="17.15" hidden="false" customHeight="false" outlineLevel="0" collapsed="false">
      <c r="A209" s="0" t="s">
        <v>3272</v>
      </c>
      <c r="B209" s="0" t="s">
        <v>1334</v>
      </c>
      <c r="C209" s="0" t="n">
        <v>2024</v>
      </c>
      <c r="D209" s="41" t="str">
        <f aca="false">IF(Funding!AO8="","",Funding!AO8)</f>
        <v/>
      </c>
      <c r="E209" s="20" t="s">
        <v>3165</v>
      </c>
      <c r="M209" s="20" t="s">
        <v>3273</v>
      </c>
    </row>
    <row r="210" customFormat="false" ht="17.15" hidden="false" customHeight="false" outlineLevel="0" collapsed="false">
      <c r="A210" s="0" t="s">
        <v>3274</v>
      </c>
      <c r="B210" s="0" t="s">
        <v>1334</v>
      </c>
      <c r="C210" s="0" t="n">
        <v>2024</v>
      </c>
      <c r="D210" s="41" t="str">
        <f aca="false">IF(Funding!AP8="","",Funding!AP8)</f>
        <v/>
      </c>
      <c r="E210" s="20" t="s">
        <v>3168</v>
      </c>
      <c r="M210" s="20" t="s">
        <v>3275</v>
      </c>
    </row>
    <row r="211" customFormat="false" ht="17.15" hidden="false" customHeight="false" outlineLevel="0" collapsed="false">
      <c r="A211" s="0" t="s">
        <v>3276</v>
      </c>
      <c r="B211" s="0" t="s">
        <v>1334</v>
      </c>
      <c r="C211" s="0" t="n">
        <v>2024</v>
      </c>
      <c r="D211" s="41" t="str">
        <f aca="false">IF(Funding!AQ8="","",Funding!AQ8)</f>
        <v/>
      </c>
      <c r="E211" s="20" t="s">
        <v>3171</v>
      </c>
      <c r="M211" s="20" t="s">
        <v>3277</v>
      </c>
    </row>
    <row r="212" customFormat="false" ht="17.15" hidden="false" customHeight="false" outlineLevel="0" collapsed="false">
      <c r="A212" s="0" t="s">
        <v>3278</v>
      </c>
      <c r="B212" s="0" t="s">
        <v>1334</v>
      </c>
      <c r="C212" s="0" t="n">
        <v>2024</v>
      </c>
      <c r="D212" s="36" t="str">
        <f aca="false">IF(Funding!E8="","",Funding!E8)</f>
        <v/>
      </c>
      <c r="E212" s="20" t="s">
        <v>1744</v>
      </c>
      <c r="M212" s="20" t="s">
        <v>3279</v>
      </c>
    </row>
    <row r="213" customFormat="false" ht="17.15" hidden="false" customHeight="false" outlineLevel="0" collapsed="false">
      <c r="A213" s="0" t="s">
        <v>3280</v>
      </c>
      <c r="B213" s="0" t="s">
        <v>1334</v>
      </c>
      <c r="C213" s="0" t="n">
        <v>2024</v>
      </c>
      <c r="D213" s="36" t="str">
        <f aca="false">IF(Funding!I8="","",Funding!I8)</f>
        <v/>
      </c>
      <c r="E213" s="20" t="s">
        <v>1750</v>
      </c>
      <c r="M213" s="20" t="s">
        <v>3281</v>
      </c>
    </row>
    <row r="214" customFormat="false" ht="17.15" hidden="false" customHeight="false" outlineLevel="0" collapsed="false">
      <c r="A214" s="0" t="s">
        <v>3282</v>
      </c>
      <c r="B214" s="0" t="s">
        <v>1334</v>
      </c>
      <c r="C214" s="0" t="n">
        <v>2024</v>
      </c>
      <c r="D214" s="36" t="str">
        <f aca="false">IF(Funding!O8="","",Funding!O8)</f>
        <v/>
      </c>
      <c r="E214" s="20" t="s">
        <v>3178</v>
      </c>
      <c r="M214" s="20" t="s">
        <v>3283</v>
      </c>
    </row>
    <row r="215" customFormat="false" ht="17.15" hidden="false" customHeight="false" outlineLevel="0" collapsed="false">
      <c r="A215" s="0" t="s">
        <v>3284</v>
      </c>
      <c r="B215" s="0" t="s">
        <v>1334</v>
      </c>
      <c r="C215" s="0" t="n">
        <v>2024</v>
      </c>
      <c r="D215" s="36" t="n">
        <f aca="false">N(Funding!J8)+N(Funding!K8)+N(Funding!L8)+N(Funding!M8)</f>
        <v>0</v>
      </c>
      <c r="E215" s="20" t="s">
        <v>3181</v>
      </c>
      <c r="M215" s="20" t="s">
        <v>3285</v>
      </c>
    </row>
    <row r="216" customFormat="false" ht="17.15" hidden="false" customHeight="false" outlineLevel="0" collapsed="false">
      <c r="A216" s="0" t="s">
        <v>3286</v>
      </c>
      <c r="B216" s="0" t="s">
        <v>1334</v>
      </c>
      <c r="C216" s="0" t="n">
        <v>2024</v>
      </c>
      <c r="D216" s="36" t="str">
        <f aca="false">IF(Funding!R8="","",Funding!R8)</f>
        <v/>
      </c>
      <c r="E216" s="20" t="s">
        <v>3184</v>
      </c>
      <c r="M216" s="20" t="s">
        <v>3287</v>
      </c>
    </row>
    <row r="217" customFormat="false" ht="17.15" hidden="false" customHeight="false" outlineLevel="0" collapsed="false">
      <c r="A217" s="0" t="s">
        <v>3288</v>
      </c>
      <c r="B217" s="0" t="s">
        <v>1334</v>
      </c>
      <c r="C217" s="0" t="n">
        <v>2025</v>
      </c>
      <c r="D217" s="36" t="n">
        <f aca="false">IF(Funding!W9="","",Funding!W9)</f>
        <v>91.447</v>
      </c>
      <c r="E217" s="20" t="s">
        <v>3138</v>
      </c>
      <c r="M217" s="20" t="s">
        <v>3289</v>
      </c>
    </row>
    <row r="218" customFormat="false" ht="17.15" hidden="false" customHeight="false" outlineLevel="0" collapsed="false">
      <c r="A218" s="0" t="s">
        <v>3290</v>
      </c>
      <c r="B218" s="0" t="s">
        <v>1334</v>
      </c>
      <c r="C218" s="0" t="n">
        <v>2025</v>
      </c>
      <c r="D218" s="41" t="n">
        <f aca="false">IF(Funding!AC9="","",Funding!AC9)</f>
        <v>1</v>
      </c>
      <c r="E218" s="20" t="s">
        <v>3141</v>
      </c>
      <c r="M218" s="20" t="s">
        <v>3291</v>
      </c>
    </row>
    <row r="219" customFormat="false" ht="17.15" hidden="false" customHeight="false" outlineLevel="0" collapsed="false">
      <c r="A219" s="0" t="s">
        <v>3292</v>
      </c>
      <c r="B219" s="0" t="s">
        <v>1334</v>
      </c>
      <c r="C219" s="0" t="n">
        <v>2025</v>
      </c>
      <c r="D219" s="41" t="n">
        <f aca="false">IF(Funding!AD9="","",Funding!AD9)</f>
        <v>0</v>
      </c>
      <c r="E219" s="20" t="s">
        <v>3144</v>
      </c>
      <c r="M219" s="20" t="s">
        <v>3293</v>
      </c>
    </row>
    <row r="220" customFormat="false" ht="17.15" hidden="false" customHeight="false" outlineLevel="0" collapsed="false">
      <c r="A220" s="0" t="s">
        <v>3294</v>
      </c>
      <c r="B220" s="0" t="s">
        <v>1334</v>
      </c>
      <c r="C220" s="0" t="n">
        <v>2025</v>
      </c>
      <c r="D220" s="41" t="n">
        <f aca="false">IF(Funding!AE9="","",Funding!AE9)</f>
        <v>0</v>
      </c>
      <c r="E220" s="20" t="s">
        <v>3147</v>
      </c>
      <c r="M220" s="20" t="s">
        <v>3295</v>
      </c>
    </row>
    <row r="221" customFormat="false" ht="17.15" hidden="false" customHeight="false" outlineLevel="0" collapsed="false">
      <c r="A221" s="0" t="s">
        <v>3296</v>
      </c>
      <c r="B221" s="0" t="s">
        <v>1334</v>
      </c>
      <c r="C221" s="0" t="n">
        <v>2025</v>
      </c>
      <c r="D221" s="41" t="n">
        <f aca="false">IF(Funding!AF9="","",Funding!AF9)</f>
        <v>0</v>
      </c>
      <c r="E221" s="20" t="s">
        <v>3150</v>
      </c>
      <c r="M221" s="20" t="s">
        <v>3297</v>
      </c>
    </row>
    <row r="222" customFormat="false" ht="17.15" hidden="false" customHeight="false" outlineLevel="0" collapsed="false">
      <c r="A222" s="0" t="s">
        <v>3298</v>
      </c>
      <c r="B222" s="0" t="s">
        <v>1334</v>
      </c>
      <c r="C222" s="0" t="n">
        <v>2025</v>
      </c>
      <c r="D222" s="41" t="n">
        <f aca="false">IF(Funding!AG9="","",Funding!AG9)</f>
        <v>0</v>
      </c>
      <c r="E222" s="20" t="s">
        <v>3153</v>
      </c>
      <c r="M222" s="20" t="s">
        <v>3299</v>
      </c>
    </row>
    <row r="223" customFormat="false" ht="17.15" hidden="false" customHeight="false" outlineLevel="0" collapsed="false">
      <c r="A223" s="0" t="s">
        <v>3300</v>
      </c>
      <c r="B223" s="0" t="s">
        <v>1334</v>
      </c>
      <c r="C223" s="0" t="n">
        <v>2025</v>
      </c>
      <c r="D223" s="36" t="n">
        <f aca="false">IF(Funding!AL9="","",Funding!AL9)</f>
        <v>64.564</v>
      </c>
      <c r="E223" s="20" t="s">
        <v>3156</v>
      </c>
      <c r="M223" s="20" t="s">
        <v>3301</v>
      </c>
    </row>
    <row r="224" customFormat="false" ht="17.15" hidden="false" customHeight="false" outlineLevel="0" collapsed="false">
      <c r="A224" s="0" t="s">
        <v>3302</v>
      </c>
      <c r="B224" s="0" t="s">
        <v>1334</v>
      </c>
      <c r="C224" s="0" t="n">
        <v>2025</v>
      </c>
      <c r="D224" s="41" t="n">
        <f aca="false">IF(Funding!AM9="","",Funding!AM9)</f>
        <v>0.706026441545376</v>
      </c>
      <c r="E224" s="20" t="s">
        <v>3159</v>
      </c>
      <c r="M224" s="20" t="s">
        <v>3303</v>
      </c>
    </row>
    <row r="225" customFormat="false" ht="17.15" hidden="false" customHeight="false" outlineLevel="0" collapsed="false">
      <c r="A225" s="0" t="s">
        <v>3304</v>
      </c>
      <c r="B225" s="0" t="s">
        <v>1334</v>
      </c>
      <c r="C225" s="0" t="n">
        <v>2025</v>
      </c>
      <c r="D225" s="41" t="n">
        <f aca="false">IF(Funding!AN9="","",Funding!AN9)</f>
        <v>1.80118538607062</v>
      </c>
      <c r="E225" s="20" t="s">
        <v>3162</v>
      </c>
      <c r="M225" s="20" t="s">
        <v>3305</v>
      </c>
    </row>
    <row r="226" customFormat="false" ht="17.15" hidden="false" customHeight="false" outlineLevel="0" collapsed="false">
      <c r="A226" s="0" t="s">
        <v>3306</v>
      </c>
      <c r="B226" s="0" t="s">
        <v>1334</v>
      </c>
      <c r="C226" s="0" t="n">
        <v>2025</v>
      </c>
      <c r="D226" s="41" t="n">
        <f aca="false">IF(Funding!AO9="","",Funding!AO9)</f>
        <v>0.706026441545376</v>
      </c>
      <c r="E226" s="20" t="s">
        <v>3165</v>
      </c>
      <c r="M226" s="20" t="s">
        <v>3307</v>
      </c>
    </row>
    <row r="227" customFormat="false" ht="17.15" hidden="false" customHeight="false" outlineLevel="0" collapsed="false">
      <c r="A227" s="0" t="s">
        <v>3308</v>
      </c>
      <c r="B227" s="0" t="s">
        <v>1334</v>
      </c>
      <c r="C227" s="0" t="n">
        <v>2025</v>
      </c>
      <c r="D227" s="41" t="n">
        <f aca="false">IF(Funding!AP9="","",Funding!AP9)</f>
        <v>0</v>
      </c>
      <c r="E227" s="20" t="s">
        <v>3168</v>
      </c>
      <c r="M227" s="20" t="s">
        <v>3309</v>
      </c>
    </row>
    <row r="228" customFormat="false" ht="17.15" hidden="false" customHeight="false" outlineLevel="0" collapsed="false">
      <c r="A228" s="0" t="s">
        <v>3310</v>
      </c>
      <c r="B228" s="0" t="s">
        <v>1334</v>
      </c>
      <c r="C228" s="0" t="n">
        <v>2025</v>
      </c>
      <c r="D228" s="41" t="n">
        <f aca="false">IF(Funding!AQ9="","",Funding!AQ9)</f>
        <v>0</v>
      </c>
      <c r="E228" s="20" t="s">
        <v>3171</v>
      </c>
      <c r="M228" s="20" t="s">
        <v>3311</v>
      </c>
    </row>
    <row r="229" customFormat="false" ht="17.15" hidden="false" customHeight="false" outlineLevel="0" collapsed="false">
      <c r="A229" s="0" t="s">
        <v>3312</v>
      </c>
      <c r="B229" s="0" t="s">
        <v>1334</v>
      </c>
      <c r="C229" s="0" t="n">
        <v>2025</v>
      </c>
      <c r="D229" s="36" t="n">
        <f aca="false">IF(Funding!E9="","",Funding!E9)</f>
        <v>164.713</v>
      </c>
      <c r="E229" s="20" t="s">
        <v>1744</v>
      </c>
      <c r="M229" s="20" t="s">
        <v>3313</v>
      </c>
    </row>
    <row r="230" customFormat="false" ht="17.15" hidden="false" customHeight="false" outlineLevel="0" collapsed="false">
      <c r="A230" s="0" t="s">
        <v>3314</v>
      </c>
      <c r="B230" s="0" t="s">
        <v>1334</v>
      </c>
      <c r="C230" s="0" t="n">
        <v>2025</v>
      </c>
      <c r="D230" s="36" t="n">
        <f aca="false">IF(Funding!I9="","",Funding!I9)</f>
        <v>73.266</v>
      </c>
      <c r="E230" s="20" t="s">
        <v>1750</v>
      </c>
      <c r="M230" s="20" t="s">
        <v>3315</v>
      </c>
    </row>
    <row r="231" customFormat="false" ht="17.15" hidden="false" customHeight="false" outlineLevel="0" collapsed="false">
      <c r="A231" s="0" t="s">
        <v>3316</v>
      </c>
      <c r="B231" s="0" t="s">
        <v>1334</v>
      </c>
      <c r="C231" s="0" t="n">
        <v>2025</v>
      </c>
      <c r="D231" s="36" t="str">
        <f aca="false">IF(Funding!O9="","",Funding!O9)</f>
        <v/>
      </c>
      <c r="E231" s="20" t="s">
        <v>3178</v>
      </c>
      <c r="M231" s="20" t="s">
        <v>3317</v>
      </c>
    </row>
    <row r="232" customFormat="false" ht="17.15" hidden="false" customHeight="false" outlineLevel="0" collapsed="false">
      <c r="A232" s="0" t="s">
        <v>3318</v>
      </c>
      <c r="B232" s="0" t="s">
        <v>1334</v>
      </c>
      <c r="C232" s="0" t="n">
        <v>2025</v>
      </c>
      <c r="D232" s="36" t="n">
        <f aca="false">N(Funding!J9)+N(Funding!K9)+N(Funding!L9)+N(Funding!M9)</f>
        <v>64.564</v>
      </c>
      <c r="E232" s="20" t="s">
        <v>3181</v>
      </c>
      <c r="M232" s="20" t="s">
        <v>3319</v>
      </c>
    </row>
    <row r="233" customFormat="false" ht="17.15" hidden="false" customHeight="false" outlineLevel="0" collapsed="false">
      <c r="A233" s="0" t="s">
        <v>3320</v>
      </c>
      <c r="B233" s="0" t="s">
        <v>1334</v>
      </c>
      <c r="C233" s="0" t="n">
        <v>2025</v>
      </c>
      <c r="D233" s="36" t="str">
        <f aca="false">IF(Funding!R9="","",Funding!R9)</f>
        <v/>
      </c>
      <c r="E233" s="20" t="s">
        <v>3184</v>
      </c>
      <c r="M233" s="20" t="s">
        <v>3321</v>
      </c>
    </row>
    <row r="234" customFormat="false" ht="17.15" hidden="false" customHeight="false" outlineLevel="0" collapsed="false">
      <c r="A234" s="0" t="s">
        <v>3322</v>
      </c>
      <c r="B234" s="0" t="s">
        <v>1334</v>
      </c>
      <c r="C234" s="0" t="n">
        <v>2026</v>
      </c>
      <c r="D234" s="36" t="n">
        <f aca="false">IF(Funding!W10="","",Funding!W10)</f>
        <v>131.953</v>
      </c>
      <c r="E234" s="20" t="s">
        <v>3138</v>
      </c>
      <c r="M234" s="20" t="s">
        <v>3323</v>
      </c>
    </row>
    <row r="235" customFormat="false" ht="17.15" hidden="false" customHeight="false" outlineLevel="0" collapsed="false">
      <c r="A235" s="0" t="s">
        <v>3324</v>
      </c>
      <c r="B235" s="0" t="s">
        <v>1334</v>
      </c>
      <c r="C235" s="0" t="n">
        <v>2026</v>
      </c>
      <c r="D235" s="41" t="n">
        <f aca="false">IF(Funding!AC10="","",Funding!AC10)</f>
        <v>0.963593097542307</v>
      </c>
      <c r="E235" s="20" t="s">
        <v>3141</v>
      </c>
      <c r="M235" s="20" t="s">
        <v>3325</v>
      </c>
    </row>
    <row r="236" customFormat="false" ht="17.15" hidden="false" customHeight="false" outlineLevel="0" collapsed="false">
      <c r="A236" s="0" t="s">
        <v>3326</v>
      </c>
      <c r="B236" s="0" t="s">
        <v>1334</v>
      </c>
      <c r="C236" s="0" t="n">
        <v>2026</v>
      </c>
      <c r="D236" s="41" t="n">
        <f aca="false">IF(Funding!AD10="","",Funding!AD10)</f>
        <v>0</v>
      </c>
      <c r="E236" s="20" t="s">
        <v>3144</v>
      </c>
      <c r="M236" s="20" t="s">
        <v>3327</v>
      </c>
    </row>
    <row r="237" customFormat="false" ht="17.15" hidden="false" customHeight="false" outlineLevel="0" collapsed="false">
      <c r="A237" s="0" t="s">
        <v>3328</v>
      </c>
      <c r="B237" s="0" t="s">
        <v>1334</v>
      </c>
      <c r="C237" s="0" t="n">
        <v>2026</v>
      </c>
      <c r="D237" s="41" t="n">
        <f aca="false">IF(Funding!AE10="","",Funding!AE10)</f>
        <v>0.0364069024576933</v>
      </c>
      <c r="E237" s="20" t="s">
        <v>3147</v>
      </c>
      <c r="M237" s="20" t="s">
        <v>3329</v>
      </c>
    </row>
    <row r="238" customFormat="false" ht="17.15" hidden="false" customHeight="false" outlineLevel="0" collapsed="false">
      <c r="A238" s="0" t="s">
        <v>3330</v>
      </c>
      <c r="B238" s="0" t="s">
        <v>1334</v>
      </c>
      <c r="C238" s="0" t="n">
        <v>2026</v>
      </c>
      <c r="D238" s="41" t="n">
        <f aca="false">IF(Funding!AF10="","",Funding!AF10)</f>
        <v>0</v>
      </c>
      <c r="E238" s="20" t="s">
        <v>3150</v>
      </c>
      <c r="M238" s="20" t="s">
        <v>3331</v>
      </c>
    </row>
    <row r="239" customFormat="false" ht="17.15" hidden="false" customHeight="false" outlineLevel="0" collapsed="false">
      <c r="A239" s="0" t="s">
        <v>3332</v>
      </c>
      <c r="B239" s="0" t="s">
        <v>1334</v>
      </c>
      <c r="C239" s="0" t="n">
        <v>2026</v>
      </c>
      <c r="D239" s="41" t="n">
        <f aca="false">IF(Funding!AG10="","",Funding!AG10)</f>
        <v>0</v>
      </c>
      <c r="E239" s="20" t="s">
        <v>3153</v>
      </c>
      <c r="M239" s="20" t="s">
        <v>3333</v>
      </c>
    </row>
    <row r="240" customFormat="false" ht="17.15" hidden="false" customHeight="false" outlineLevel="0" collapsed="false">
      <c r="A240" s="0" t="s">
        <v>3334</v>
      </c>
      <c r="B240" s="0" t="s">
        <v>1334</v>
      </c>
      <c r="C240" s="0" t="n">
        <v>2026</v>
      </c>
      <c r="D240" s="36" t="n">
        <f aca="false">IF(Funding!AL10="","",Funding!AL10)</f>
        <v>147.155</v>
      </c>
      <c r="E240" s="20" t="s">
        <v>3156</v>
      </c>
      <c r="M240" s="20" t="s">
        <v>3335</v>
      </c>
    </row>
    <row r="241" customFormat="false" ht="17.15" hidden="false" customHeight="false" outlineLevel="0" collapsed="false">
      <c r="A241" s="0" t="s">
        <v>3336</v>
      </c>
      <c r="B241" s="0" t="s">
        <v>1334</v>
      </c>
      <c r="C241" s="0" t="n">
        <v>2026</v>
      </c>
      <c r="D241" s="41" t="n">
        <f aca="false">IF(Funding!AM10="","",Funding!AM10)</f>
        <v>1.11520768758573</v>
      </c>
      <c r="E241" s="20" t="s">
        <v>3159</v>
      </c>
      <c r="M241" s="20" t="s">
        <v>3337</v>
      </c>
    </row>
    <row r="242" customFormat="false" ht="17.15" hidden="false" customHeight="false" outlineLevel="0" collapsed="false">
      <c r="A242" s="0" t="s">
        <v>3338</v>
      </c>
      <c r="B242" s="0" t="s">
        <v>1334</v>
      </c>
      <c r="C242" s="0" t="n">
        <v>2026</v>
      </c>
      <c r="D242" s="41" t="n">
        <f aca="false">IF(Funding!AN10="","",Funding!AN10)</f>
        <v>0.963593097542307</v>
      </c>
      <c r="E242" s="20" t="s">
        <v>3162</v>
      </c>
      <c r="M242" s="20" t="s">
        <v>3339</v>
      </c>
    </row>
    <row r="243" customFormat="false" ht="17.15" hidden="false" customHeight="false" outlineLevel="0" collapsed="false">
      <c r="A243" s="0" t="s">
        <v>3340</v>
      </c>
      <c r="B243" s="0" t="s">
        <v>1334</v>
      </c>
      <c r="C243" s="0" t="n">
        <v>2026</v>
      </c>
      <c r="D243" s="41" t="n">
        <f aca="false">IF(Funding!AO10="","",Funding!AO10)</f>
        <v>0.645851174281752</v>
      </c>
      <c r="E243" s="20" t="s">
        <v>3165</v>
      </c>
      <c r="M243" s="20" t="s">
        <v>3341</v>
      </c>
    </row>
    <row r="244" customFormat="false" ht="17.15" hidden="false" customHeight="false" outlineLevel="0" collapsed="false">
      <c r="A244" s="0" t="s">
        <v>3342</v>
      </c>
      <c r="B244" s="0" t="s">
        <v>1334</v>
      </c>
      <c r="C244" s="0" t="n">
        <v>2026</v>
      </c>
      <c r="D244" s="41" t="n">
        <f aca="false">IF(Funding!AP10="","",Funding!AP10)</f>
        <v>0.469356513303979</v>
      </c>
      <c r="E244" s="20" t="s">
        <v>3168</v>
      </c>
      <c r="M244" s="20" t="s">
        <v>3343</v>
      </c>
    </row>
    <row r="245" customFormat="false" ht="17.15" hidden="false" customHeight="false" outlineLevel="0" collapsed="false">
      <c r="A245" s="0" t="s">
        <v>3344</v>
      </c>
      <c r="B245" s="0" t="s">
        <v>1334</v>
      </c>
      <c r="C245" s="0" t="n">
        <v>2026</v>
      </c>
      <c r="D245" s="41" t="n">
        <f aca="false">IF(Funding!AQ10="","",Funding!AQ10)</f>
        <v>0</v>
      </c>
      <c r="E245" s="20" t="s">
        <v>3171</v>
      </c>
      <c r="M245" s="20" t="s">
        <v>3345</v>
      </c>
    </row>
    <row r="246" customFormat="false" ht="17.15" hidden="false" customHeight="false" outlineLevel="0" collapsed="false">
      <c r="A246" s="0" t="s">
        <v>3346</v>
      </c>
      <c r="B246" s="0" t="s">
        <v>1334</v>
      </c>
      <c r="C246" s="0" t="n">
        <v>2026</v>
      </c>
      <c r="D246" s="36" t="n">
        <f aca="false">IF(Funding!E10="","",Funding!E10)</f>
        <v>127.149</v>
      </c>
      <c r="E246" s="20" t="s">
        <v>1744</v>
      </c>
      <c r="M246" s="20" t="s">
        <v>3347</v>
      </c>
    </row>
    <row r="247" customFormat="false" ht="17.15" hidden="false" customHeight="false" outlineLevel="0" collapsed="false">
      <c r="A247" s="0" t="s">
        <v>3348</v>
      </c>
      <c r="B247" s="0" t="s">
        <v>1334</v>
      </c>
      <c r="C247" s="0" t="n">
        <v>2026</v>
      </c>
      <c r="D247" s="36" t="n">
        <f aca="false">IF(Funding!I10="","",Funding!I10)</f>
        <v>-4.804</v>
      </c>
      <c r="E247" s="20" t="s">
        <v>1750</v>
      </c>
      <c r="M247" s="20" t="s">
        <v>3349</v>
      </c>
    </row>
    <row r="248" customFormat="false" ht="17.15" hidden="false" customHeight="false" outlineLevel="0" collapsed="false">
      <c r="A248" s="0" t="s">
        <v>3350</v>
      </c>
      <c r="B248" s="0" t="s">
        <v>1334</v>
      </c>
      <c r="C248" s="0" t="n">
        <v>2026</v>
      </c>
      <c r="D248" s="36" t="n">
        <f aca="false">IF(Funding!O10="","",Funding!O10)</f>
        <v>85.2</v>
      </c>
      <c r="E248" s="20" t="s">
        <v>3178</v>
      </c>
      <c r="M248" s="20" t="s">
        <v>3351</v>
      </c>
    </row>
    <row r="249" customFormat="false" ht="17.15" hidden="false" customHeight="false" outlineLevel="0" collapsed="false">
      <c r="A249" s="0" t="s">
        <v>3352</v>
      </c>
      <c r="B249" s="0" t="s">
        <v>1334</v>
      </c>
      <c r="C249" s="0" t="n">
        <v>2026</v>
      </c>
      <c r="D249" s="36" t="n">
        <f aca="false">N(Funding!J10)+N(Funding!K10)+N(Funding!L10)+N(Funding!M10)</f>
        <v>85.222</v>
      </c>
      <c r="E249" s="20" t="s">
        <v>3181</v>
      </c>
      <c r="M249" s="20" t="s">
        <v>3353</v>
      </c>
    </row>
    <row r="250" customFormat="false" ht="17.15" hidden="false" customHeight="false" outlineLevel="0" collapsed="false">
      <c r="A250" s="0" t="s">
        <v>3354</v>
      </c>
      <c r="B250" s="0" t="s">
        <v>1334</v>
      </c>
      <c r="C250" s="0" t="n">
        <v>2026</v>
      </c>
      <c r="D250" s="36" t="n">
        <f aca="false">IF(Funding!R10="","",Funding!R10)</f>
        <v>61.933</v>
      </c>
      <c r="E250" s="20" t="s">
        <v>3184</v>
      </c>
      <c r="M250" s="20" t="s">
        <v>3355</v>
      </c>
    </row>
    <row r="251" customFormat="false" ht="17.15" hidden="false" customHeight="false" outlineLevel="0" collapsed="false">
      <c r="A251" s="0" t="s">
        <v>3356</v>
      </c>
      <c r="B251" s="0" t="s">
        <v>1335</v>
      </c>
      <c r="C251" s="0" t="n">
        <v>2024</v>
      </c>
      <c r="D251" s="36" t="str">
        <f aca="false">IF(Funding!W11="","",Funding!W11)</f>
        <v/>
      </c>
      <c r="E251" s="20" t="s">
        <v>3138</v>
      </c>
      <c r="M251" s="20" t="s">
        <v>3357</v>
      </c>
    </row>
    <row r="252" customFormat="false" ht="17.15" hidden="false" customHeight="false" outlineLevel="0" collapsed="false">
      <c r="A252" s="0" t="s">
        <v>3358</v>
      </c>
      <c r="B252" s="0" t="s">
        <v>1335</v>
      </c>
      <c r="C252" s="0" t="n">
        <v>2024</v>
      </c>
      <c r="D252" s="41" t="str">
        <f aca="false">IF(Funding!AC11="","",Funding!AC11)</f>
        <v/>
      </c>
      <c r="E252" s="20" t="s">
        <v>3141</v>
      </c>
      <c r="M252" s="20" t="s">
        <v>3359</v>
      </c>
    </row>
    <row r="253" customFormat="false" ht="17.15" hidden="false" customHeight="false" outlineLevel="0" collapsed="false">
      <c r="A253" s="0" t="s">
        <v>3360</v>
      </c>
      <c r="B253" s="0" t="s">
        <v>1335</v>
      </c>
      <c r="C253" s="0" t="n">
        <v>2024</v>
      </c>
      <c r="D253" s="41" t="str">
        <f aca="false">IF(Funding!AD11="","",Funding!AD11)</f>
        <v/>
      </c>
      <c r="E253" s="20" t="s">
        <v>3144</v>
      </c>
      <c r="M253" s="20" t="s">
        <v>3361</v>
      </c>
    </row>
    <row r="254" customFormat="false" ht="17.15" hidden="false" customHeight="false" outlineLevel="0" collapsed="false">
      <c r="A254" s="0" t="s">
        <v>3362</v>
      </c>
      <c r="B254" s="0" t="s">
        <v>1335</v>
      </c>
      <c r="C254" s="0" t="n">
        <v>2024</v>
      </c>
      <c r="D254" s="41" t="str">
        <f aca="false">IF(Funding!AE11="","",Funding!AE11)</f>
        <v/>
      </c>
      <c r="E254" s="20" t="s">
        <v>3147</v>
      </c>
      <c r="M254" s="20" t="s">
        <v>3363</v>
      </c>
    </row>
    <row r="255" customFormat="false" ht="17.15" hidden="false" customHeight="false" outlineLevel="0" collapsed="false">
      <c r="A255" s="0" t="s">
        <v>3364</v>
      </c>
      <c r="B255" s="0" t="s">
        <v>1335</v>
      </c>
      <c r="C255" s="0" t="n">
        <v>2024</v>
      </c>
      <c r="D255" s="41" t="str">
        <f aca="false">IF(Funding!AF11="","",Funding!AF11)</f>
        <v/>
      </c>
      <c r="E255" s="20" t="s">
        <v>3150</v>
      </c>
      <c r="M255" s="20" t="s">
        <v>3365</v>
      </c>
    </row>
    <row r="256" customFormat="false" ht="17.15" hidden="false" customHeight="false" outlineLevel="0" collapsed="false">
      <c r="A256" s="0" t="s">
        <v>3366</v>
      </c>
      <c r="B256" s="0" t="s">
        <v>1335</v>
      </c>
      <c r="C256" s="0" t="n">
        <v>2024</v>
      </c>
      <c r="D256" s="41" t="str">
        <f aca="false">IF(Funding!AG11="","",Funding!AG11)</f>
        <v/>
      </c>
      <c r="E256" s="20" t="s">
        <v>3153</v>
      </c>
      <c r="M256" s="20" t="s">
        <v>3367</v>
      </c>
    </row>
    <row r="257" customFormat="false" ht="17.15" hidden="false" customHeight="false" outlineLevel="0" collapsed="false">
      <c r="A257" s="0" t="s">
        <v>3368</v>
      </c>
      <c r="B257" s="0" t="s">
        <v>1335</v>
      </c>
      <c r="C257" s="0" t="n">
        <v>2024</v>
      </c>
      <c r="D257" s="36" t="n">
        <f aca="false">IF(Funding!AL11="","",Funding!AL11)</f>
        <v>0</v>
      </c>
      <c r="E257" s="20" t="s">
        <v>3156</v>
      </c>
      <c r="M257" s="20" t="s">
        <v>3369</v>
      </c>
    </row>
    <row r="258" customFormat="false" ht="17.15" hidden="false" customHeight="false" outlineLevel="0" collapsed="false">
      <c r="A258" s="0" t="s">
        <v>3370</v>
      </c>
      <c r="B258" s="0" t="s">
        <v>1335</v>
      </c>
      <c r="C258" s="0" t="n">
        <v>2024</v>
      </c>
      <c r="D258" s="41" t="str">
        <f aca="false">IF(Funding!AM11="","",Funding!AM11)</f>
        <v/>
      </c>
      <c r="E258" s="20" t="s">
        <v>3159</v>
      </c>
      <c r="M258" s="20" t="s">
        <v>3371</v>
      </c>
    </row>
    <row r="259" customFormat="false" ht="17.15" hidden="false" customHeight="false" outlineLevel="0" collapsed="false">
      <c r="A259" s="0" t="s">
        <v>3372</v>
      </c>
      <c r="B259" s="0" t="s">
        <v>1335</v>
      </c>
      <c r="C259" s="0" t="n">
        <v>2024</v>
      </c>
      <c r="D259" s="41" t="str">
        <f aca="false">IF(Funding!AN11="","",Funding!AN11)</f>
        <v/>
      </c>
      <c r="E259" s="20" t="s">
        <v>3162</v>
      </c>
      <c r="M259" s="20" t="s">
        <v>3373</v>
      </c>
    </row>
    <row r="260" customFormat="false" ht="17.15" hidden="false" customHeight="false" outlineLevel="0" collapsed="false">
      <c r="A260" s="0" t="s">
        <v>3374</v>
      </c>
      <c r="B260" s="0" t="s">
        <v>1335</v>
      </c>
      <c r="C260" s="0" t="n">
        <v>2024</v>
      </c>
      <c r="D260" s="41" t="str">
        <f aca="false">IF(Funding!AO11="","",Funding!AO11)</f>
        <v/>
      </c>
      <c r="E260" s="20" t="s">
        <v>3165</v>
      </c>
      <c r="M260" s="20" t="s">
        <v>3375</v>
      </c>
    </row>
    <row r="261" customFormat="false" ht="17.15" hidden="false" customHeight="false" outlineLevel="0" collapsed="false">
      <c r="A261" s="0" t="s">
        <v>3376</v>
      </c>
      <c r="B261" s="0" t="s">
        <v>1335</v>
      </c>
      <c r="C261" s="0" t="n">
        <v>2024</v>
      </c>
      <c r="D261" s="41" t="str">
        <f aca="false">IF(Funding!AP11="","",Funding!AP11)</f>
        <v/>
      </c>
      <c r="E261" s="20" t="s">
        <v>3168</v>
      </c>
      <c r="M261" s="20" t="s">
        <v>3377</v>
      </c>
    </row>
    <row r="262" customFormat="false" ht="17.15" hidden="false" customHeight="false" outlineLevel="0" collapsed="false">
      <c r="A262" s="0" t="s">
        <v>3378</v>
      </c>
      <c r="B262" s="0" t="s">
        <v>1335</v>
      </c>
      <c r="C262" s="0" t="n">
        <v>2024</v>
      </c>
      <c r="D262" s="41" t="str">
        <f aca="false">IF(Funding!AQ11="","",Funding!AQ11)</f>
        <v/>
      </c>
      <c r="E262" s="20" t="s">
        <v>3171</v>
      </c>
      <c r="M262" s="20" t="s">
        <v>3379</v>
      </c>
    </row>
    <row r="263" customFormat="false" ht="17.15" hidden="false" customHeight="false" outlineLevel="0" collapsed="false">
      <c r="A263" s="0" t="s">
        <v>3380</v>
      </c>
      <c r="B263" s="0" t="s">
        <v>1335</v>
      </c>
      <c r="C263" s="0" t="n">
        <v>2024</v>
      </c>
      <c r="D263" s="36" t="str">
        <f aca="false">IF(Funding!E11="","",Funding!E11)</f>
        <v/>
      </c>
      <c r="E263" s="20" t="s">
        <v>1744</v>
      </c>
      <c r="M263" s="20" t="s">
        <v>3381</v>
      </c>
    </row>
    <row r="264" customFormat="false" ht="17.15" hidden="false" customHeight="false" outlineLevel="0" collapsed="false">
      <c r="A264" s="0" t="s">
        <v>3382</v>
      </c>
      <c r="B264" s="0" t="s">
        <v>1335</v>
      </c>
      <c r="C264" s="0" t="n">
        <v>2024</v>
      </c>
      <c r="D264" s="36" t="str">
        <f aca="false">IF(Funding!I11="","",Funding!I11)</f>
        <v/>
      </c>
      <c r="E264" s="20" t="s">
        <v>1750</v>
      </c>
      <c r="M264" s="20" t="s">
        <v>3383</v>
      </c>
    </row>
    <row r="265" customFormat="false" ht="17.15" hidden="false" customHeight="false" outlineLevel="0" collapsed="false">
      <c r="A265" s="0" t="s">
        <v>3384</v>
      </c>
      <c r="B265" s="0" t="s">
        <v>1335</v>
      </c>
      <c r="C265" s="0" t="n">
        <v>2024</v>
      </c>
      <c r="D265" s="36" t="str">
        <f aca="false">IF(Funding!O11="","",Funding!O11)</f>
        <v/>
      </c>
      <c r="E265" s="20" t="s">
        <v>3178</v>
      </c>
      <c r="M265" s="20" t="s">
        <v>3385</v>
      </c>
    </row>
    <row r="266" customFormat="false" ht="17.15" hidden="false" customHeight="false" outlineLevel="0" collapsed="false">
      <c r="A266" s="0" t="s">
        <v>3386</v>
      </c>
      <c r="B266" s="0" t="s">
        <v>1335</v>
      </c>
      <c r="C266" s="0" t="n">
        <v>2024</v>
      </c>
      <c r="D266" s="36" t="n">
        <f aca="false">N(Funding!J11)+N(Funding!K11)+N(Funding!L11)+N(Funding!M11)</f>
        <v>0</v>
      </c>
      <c r="E266" s="20" t="s">
        <v>3181</v>
      </c>
      <c r="M266" s="20" t="s">
        <v>3387</v>
      </c>
    </row>
    <row r="267" customFormat="false" ht="17.15" hidden="false" customHeight="false" outlineLevel="0" collapsed="false">
      <c r="A267" s="0" t="s">
        <v>3388</v>
      </c>
      <c r="B267" s="0" t="s">
        <v>1335</v>
      </c>
      <c r="C267" s="0" t="n">
        <v>2024</v>
      </c>
      <c r="D267" s="36" t="str">
        <f aca="false">IF(Funding!R11="","",Funding!R11)</f>
        <v/>
      </c>
      <c r="E267" s="20" t="s">
        <v>3184</v>
      </c>
      <c r="M267" s="20" t="s">
        <v>3389</v>
      </c>
    </row>
    <row r="268" customFormat="false" ht="17.15" hidden="false" customHeight="false" outlineLevel="0" collapsed="false">
      <c r="A268" s="0" t="s">
        <v>3390</v>
      </c>
      <c r="B268" s="0" t="s">
        <v>1335</v>
      </c>
      <c r="C268" s="0" t="n">
        <v>2025</v>
      </c>
      <c r="D268" s="36" t="n">
        <f aca="false">IF(Funding!W12="","",Funding!W12)</f>
        <v>131.231</v>
      </c>
      <c r="E268" s="20" t="s">
        <v>3138</v>
      </c>
      <c r="M268" s="20" t="s">
        <v>3391</v>
      </c>
    </row>
    <row r="269" customFormat="false" ht="17.15" hidden="false" customHeight="false" outlineLevel="0" collapsed="false">
      <c r="A269" s="0" t="s">
        <v>3392</v>
      </c>
      <c r="B269" s="0" t="s">
        <v>1335</v>
      </c>
      <c r="C269" s="0" t="n">
        <v>2025</v>
      </c>
      <c r="D269" s="41" t="n">
        <f aca="false">IF(Funding!AC12="","",Funding!AC12)</f>
        <v>0.977817741234922</v>
      </c>
      <c r="E269" s="20" t="s">
        <v>3141</v>
      </c>
      <c r="M269" s="20" t="s">
        <v>3393</v>
      </c>
    </row>
    <row r="270" customFormat="false" ht="17.15" hidden="false" customHeight="false" outlineLevel="0" collapsed="false">
      <c r="A270" s="0" t="s">
        <v>3394</v>
      </c>
      <c r="B270" s="0" t="s">
        <v>1335</v>
      </c>
      <c r="C270" s="0" t="n">
        <v>2025</v>
      </c>
      <c r="D270" s="41" t="n">
        <f aca="false">IF(Funding!AD12="","",Funding!AD12)</f>
        <v>0.0221822587650784</v>
      </c>
      <c r="E270" s="20" t="s">
        <v>3144</v>
      </c>
      <c r="M270" s="20" t="s">
        <v>3395</v>
      </c>
    </row>
    <row r="271" customFormat="false" ht="17.15" hidden="false" customHeight="false" outlineLevel="0" collapsed="false">
      <c r="A271" s="0" t="s">
        <v>3396</v>
      </c>
      <c r="B271" s="0" t="s">
        <v>1335</v>
      </c>
      <c r="C271" s="0" t="n">
        <v>2025</v>
      </c>
      <c r="D271" s="41" t="n">
        <f aca="false">IF(Funding!AE12="","",Funding!AE12)</f>
        <v>0</v>
      </c>
      <c r="E271" s="20" t="s">
        <v>3147</v>
      </c>
      <c r="M271" s="20" t="s">
        <v>3397</v>
      </c>
    </row>
    <row r="272" customFormat="false" ht="17.15" hidden="false" customHeight="false" outlineLevel="0" collapsed="false">
      <c r="A272" s="0" t="s">
        <v>3398</v>
      </c>
      <c r="B272" s="0" t="s">
        <v>1335</v>
      </c>
      <c r="C272" s="0" t="n">
        <v>2025</v>
      </c>
      <c r="D272" s="41" t="n">
        <f aca="false">IF(Funding!AF12="","",Funding!AF12)</f>
        <v>0</v>
      </c>
      <c r="E272" s="20" t="s">
        <v>3150</v>
      </c>
      <c r="M272" s="20" t="s">
        <v>3399</v>
      </c>
    </row>
    <row r="273" customFormat="false" ht="17.15" hidden="false" customHeight="false" outlineLevel="0" collapsed="false">
      <c r="A273" s="0" t="s">
        <v>3400</v>
      </c>
      <c r="B273" s="0" t="s">
        <v>1335</v>
      </c>
      <c r="C273" s="0" t="n">
        <v>2025</v>
      </c>
      <c r="D273" s="41" t="n">
        <f aca="false">IF(Funding!AG12="","",Funding!AG12)</f>
        <v>0</v>
      </c>
      <c r="E273" s="20" t="s">
        <v>3153</v>
      </c>
      <c r="M273" s="20" t="s">
        <v>3401</v>
      </c>
    </row>
    <row r="274" customFormat="false" ht="17.15" hidden="false" customHeight="false" outlineLevel="0" collapsed="false">
      <c r="A274" s="0" t="s">
        <v>3402</v>
      </c>
      <c r="B274" s="0" t="s">
        <v>1335</v>
      </c>
      <c r="C274" s="0" t="n">
        <v>2025</v>
      </c>
      <c r="D274" s="36" t="n">
        <f aca="false">IF(Funding!AL12="","",Funding!AL12)</f>
        <v>17.911</v>
      </c>
      <c r="E274" s="20" t="s">
        <v>3156</v>
      </c>
      <c r="M274" s="20" t="s">
        <v>3403</v>
      </c>
    </row>
    <row r="275" customFormat="false" ht="17.15" hidden="false" customHeight="false" outlineLevel="0" collapsed="false">
      <c r="A275" s="0" t="s">
        <v>3404</v>
      </c>
      <c r="B275" s="0" t="s">
        <v>1335</v>
      </c>
      <c r="C275" s="0" t="n">
        <v>2025</v>
      </c>
      <c r="D275" s="41" t="n">
        <f aca="false">IF(Funding!AM12="","",Funding!AM12)</f>
        <v>0.136484519663799</v>
      </c>
      <c r="E275" s="20" t="s">
        <v>3159</v>
      </c>
      <c r="M275" s="20" t="s">
        <v>3405</v>
      </c>
    </row>
    <row r="276" customFormat="false" ht="17.15" hidden="false" customHeight="false" outlineLevel="0" collapsed="false">
      <c r="A276" s="0" t="s">
        <v>3406</v>
      </c>
      <c r="B276" s="0" t="s">
        <v>1335</v>
      </c>
      <c r="C276" s="0" t="n">
        <v>2025</v>
      </c>
      <c r="D276" s="41" t="n">
        <f aca="false">IF(Funding!AN12="","",Funding!AN12)</f>
        <v>1.06311770846827</v>
      </c>
      <c r="E276" s="20" t="s">
        <v>3162</v>
      </c>
      <c r="M276" s="20" t="s">
        <v>3407</v>
      </c>
    </row>
    <row r="277" customFormat="false" ht="17.15" hidden="false" customHeight="false" outlineLevel="0" collapsed="false">
      <c r="A277" s="0" t="s">
        <v>3408</v>
      </c>
      <c r="B277" s="0" t="s">
        <v>1335</v>
      </c>
      <c r="C277" s="0" t="n">
        <v>2025</v>
      </c>
      <c r="D277" s="41" t="n">
        <f aca="false">IF(Funding!AO12="","",Funding!AO12)</f>
        <v>0.114302260898721</v>
      </c>
      <c r="E277" s="20" t="s">
        <v>3165</v>
      </c>
      <c r="M277" s="20" t="s">
        <v>3409</v>
      </c>
    </row>
    <row r="278" customFormat="false" ht="17.15" hidden="false" customHeight="false" outlineLevel="0" collapsed="false">
      <c r="A278" s="0" t="s">
        <v>3410</v>
      </c>
      <c r="B278" s="0" t="s">
        <v>1335</v>
      </c>
      <c r="C278" s="0" t="n">
        <v>2025</v>
      </c>
      <c r="D278" s="41" t="n">
        <f aca="false">IF(Funding!AP12="","",Funding!AP12)</f>
        <v>0</v>
      </c>
      <c r="E278" s="20" t="s">
        <v>3168</v>
      </c>
      <c r="M278" s="20" t="s">
        <v>3411</v>
      </c>
    </row>
    <row r="279" customFormat="false" ht="17.15" hidden="false" customHeight="false" outlineLevel="0" collapsed="false">
      <c r="A279" s="0" t="s">
        <v>3412</v>
      </c>
      <c r="B279" s="0" t="s">
        <v>1335</v>
      </c>
      <c r="C279" s="0" t="n">
        <v>2025</v>
      </c>
      <c r="D279" s="41" t="n">
        <f aca="false">IF(Funding!AQ12="","",Funding!AQ12)</f>
        <v>0.0221822587650784</v>
      </c>
      <c r="E279" s="20" t="s">
        <v>3171</v>
      </c>
      <c r="M279" s="20" t="s">
        <v>3413</v>
      </c>
    </row>
    <row r="280" customFormat="false" ht="17.15" hidden="false" customHeight="false" outlineLevel="0" collapsed="false">
      <c r="A280" s="0" t="s">
        <v>3414</v>
      </c>
      <c r="B280" s="0" t="s">
        <v>1335</v>
      </c>
      <c r="C280" s="0" t="n">
        <v>2025</v>
      </c>
      <c r="D280" s="36" t="n">
        <f aca="false">IF(Funding!E12="","",Funding!E12)</f>
        <v>139.514</v>
      </c>
      <c r="E280" s="20" t="s">
        <v>1744</v>
      </c>
      <c r="M280" s="20" t="s">
        <v>3415</v>
      </c>
    </row>
    <row r="281" customFormat="false" ht="17.15" hidden="false" customHeight="false" outlineLevel="0" collapsed="false">
      <c r="A281" s="0" t="s">
        <v>3416</v>
      </c>
      <c r="B281" s="0" t="s">
        <v>1335</v>
      </c>
      <c r="C281" s="0" t="n">
        <v>2025</v>
      </c>
      <c r="D281" s="36" t="n">
        <f aca="false">IF(Funding!I12="","",Funding!I12)</f>
        <v>11.194</v>
      </c>
      <c r="E281" s="20" t="s">
        <v>1750</v>
      </c>
      <c r="M281" s="20" t="s">
        <v>3417</v>
      </c>
    </row>
    <row r="282" customFormat="false" ht="17.15" hidden="false" customHeight="false" outlineLevel="0" collapsed="false">
      <c r="A282" s="0" t="s">
        <v>3418</v>
      </c>
      <c r="B282" s="0" t="s">
        <v>1335</v>
      </c>
      <c r="C282" s="0" t="n">
        <v>2025</v>
      </c>
      <c r="D282" s="36" t="n">
        <f aca="false">IF(Funding!O12="","",Funding!O12)</f>
        <v>96.4</v>
      </c>
      <c r="E282" s="20" t="s">
        <v>3178</v>
      </c>
      <c r="M282" s="20" t="s">
        <v>3419</v>
      </c>
    </row>
    <row r="283" customFormat="false" ht="17.15" hidden="false" customHeight="false" outlineLevel="0" collapsed="false">
      <c r="A283" s="0" t="s">
        <v>3420</v>
      </c>
      <c r="B283" s="0" t="s">
        <v>1335</v>
      </c>
      <c r="C283" s="0" t="n">
        <v>2025</v>
      </c>
      <c r="D283" s="36" t="n">
        <f aca="false">N(Funding!J12)+N(Funding!K12)+N(Funding!L12)+N(Funding!M12)</f>
        <v>15</v>
      </c>
      <c r="E283" s="20" t="s">
        <v>3181</v>
      </c>
      <c r="M283" s="20" t="s">
        <v>3421</v>
      </c>
    </row>
    <row r="284" customFormat="false" ht="17.15" hidden="false" customHeight="false" outlineLevel="0" collapsed="false">
      <c r="A284" s="0" t="s">
        <v>3422</v>
      </c>
      <c r="B284" s="0" t="s">
        <v>1335</v>
      </c>
      <c r="C284" s="0" t="n">
        <v>2025</v>
      </c>
      <c r="D284" s="36" t="str">
        <f aca="false">IF(Funding!R12="","",Funding!R12)</f>
        <v/>
      </c>
      <c r="E284" s="20" t="s">
        <v>3184</v>
      </c>
      <c r="M284" s="20" t="s">
        <v>3423</v>
      </c>
    </row>
    <row r="285" customFormat="false" ht="17.15" hidden="false" customHeight="false" outlineLevel="0" collapsed="false">
      <c r="A285" s="0" t="s">
        <v>3424</v>
      </c>
      <c r="B285" s="0" t="s">
        <v>1335</v>
      </c>
      <c r="C285" s="0" t="n">
        <v>2026</v>
      </c>
      <c r="D285" s="36" t="n">
        <f aca="false">IF(Funding!W13="","",Funding!W13)</f>
        <v>175.788</v>
      </c>
      <c r="E285" s="20" t="s">
        <v>3138</v>
      </c>
      <c r="M285" s="20" t="s">
        <v>3425</v>
      </c>
    </row>
    <row r="286" customFormat="false" ht="17.15" hidden="false" customHeight="false" outlineLevel="0" collapsed="false">
      <c r="A286" s="0" t="s">
        <v>3426</v>
      </c>
      <c r="B286" s="0" t="s">
        <v>1335</v>
      </c>
      <c r="C286" s="0" t="n">
        <v>2026</v>
      </c>
      <c r="D286" s="41" t="n">
        <f aca="false">IF(Funding!AC13="","",Funding!AC13)</f>
        <v>0.647603932009011</v>
      </c>
      <c r="E286" s="20" t="s">
        <v>3141</v>
      </c>
      <c r="M286" s="20" t="s">
        <v>3427</v>
      </c>
    </row>
    <row r="287" customFormat="false" ht="17.15" hidden="false" customHeight="false" outlineLevel="0" collapsed="false">
      <c r="A287" s="0" t="s">
        <v>3428</v>
      </c>
      <c r="B287" s="0" t="s">
        <v>1335</v>
      </c>
      <c r="C287" s="0" t="n">
        <v>2026</v>
      </c>
      <c r="D287" s="41" t="n">
        <f aca="false">IF(Funding!AD13="","",Funding!AD13)</f>
        <v>0.020479213598198</v>
      </c>
      <c r="E287" s="20" t="s">
        <v>3144</v>
      </c>
      <c r="M287" s="20" t="s">
        <v>3429</v>
      </c>
    </row>
    <row r="288" customFormat="false" ht="17.15" hidden="false" customHeight="false" outlineLevel="0" collapsed="false">
      <c r="A288" s="0" t="s">
        <v>3430</v>
      </c>
      <c r="B288" s="0" t="s">
        <v>1335</v>
      </c>
      <c r="C288" s="0" t="n">
        <v>2026</v>
      </c>
      <c r="D288" s="41" t="n">
        <f aca="false">IF(Funding!AE13="","",Funding!AE13)</f>
        <v>0</v>
      </c>
      <c r="E288" s="20" t="s">
        <v>3147</v>
      </c>
      <c r="M288" s="20" t="s">
        <v>3431</v>
      </c>
    </row>
    <row r="289" customFormat="false" ht="17.15" hidden="false" customHeight="false" outlineLevel="0" collapsed="false">
      <c r="A289" s="0" t="s">
        <v>3432</v>
      </c>
      <c r="B289" s="0" t="s">
        <v>1335</v>
      </c>
      <c r="C289" s="0" t="n">
        <v>2026</v>
      </c>
      <c r="D289" s="41" t="n">
        <f aca="false">IF(Funding!AF13="","",Funding!AF13)</f>
        <v>0.331916854392791</v>
      </c>
      <c r="E289" s="20" t="s">
        <v>3150</v>
      </c>
      <c r="M289" s="20" t="s">
        <v>3433</v>
      </c>
    </row>
    <row r="290" customFormat="false" ht="17.15" hidden="false" customHeight="false" outlineLevel="0" collapsed="false">
      <c r="A290" s="0" t="s">
        <v>3434</v>
      </c>
      <c r="B290" s="0" t="s">
        <v>1335</v>
      </c>
      <c r="C290" s="0" t="n">
        <v>2026</v>
      </c>
      <c r="D290" s="41" t="n">
        <f aca="false">IF(Funding!AG13="","",Funding!AG13)</f>
        <v>0</v>
      </c>
      <c r="E290" s="20" t="s">
        <v>3153</v>
      </c>
      <c r="M290" s="20" t="s">
        <v>3435</v>
      </c>
    </row>
    <row r="291" customFormat="false" ht="17.15" hidden="false" customHeight="false" outlineLevel="0" collapsed="false">
      <c r="A291" s="0" t="s">
        <v>3436</v>
      </c>
      <c r="B291" s="0" t="s">
        <v>1335</v>
      </c>
      <c r="C291" s="0" t="n">
        <v>2026</v>
      </c>
      <c r="D291" s="36" t="n">
        <f aca="false">IF(Funding!AL13="","",Funding!AL13)</f>
        <v>118.7</v>
      </c>
      <c r="E291" s="20" t="s">
        <v>3156</v>
      </c>
      <c r="M291" s="20" t="s">
        <v>3437</v>
      </c>
    </row>
    <row r="292" customFormat="false" ht="17.15" hidden="false" customHeight="false" outlineLevel="0" collapsed="false">
      <c r="A292" s="0" t="s">
        <v>3438</v>
      </c>
      <c r="B292" s="0" t="s">
        <v>1335</v>
      </c>
      <c r="C292" s="0" t="n">
        <v>2026</v>
      </c>
      <c r="D292" s="41" t="n">
        <f aca="false">IF(Funding!AM13="","",Funding!AM13)</f>
        <v>0.675245181696134</v>
      </c>
      <c r="E292" s="20" t="s">
        <v>3159</v>
      </c>
      <c r="M292" s="20" t="s">
        <v>3439</v>
      </c>
    </row>
    <row r="293" customFormat="false" ht="17.15" hidden="false" customHeight="false" outlineLevel="0" collapsed="false">
      <c r="A293" s="0" t="s">
        <v>3440</v>
      </c>
      <c r="B293" s="0" t="s">
        <v>1335</v>
      </c>
      <c r="C293" s="0" t="n">
        <v>2026</v>
      </c>
      <c r="D293" s="41" t="n">
        <f aca="false">IF(Funding!AN13="","",Funding!AN13)</f>
        <v>0.647603932009011</v>
      </c>
      <c r="E293" s="20" t="s">
        <v>3162</v>
      </c>
      <c r="M293" s="20" t="s">
        <v>3441</v>
      </c>
    </row>
    <row r="294" customFormat="false" ht="17.15" hidden="false" customHeight="false" outlineLevel="0" collapsed="false">
      <c r="A294" s="0" t="s">
        <v>3442</v>
      </c>
      <c r="B294" s="0" t="s">
        <v>1335</v>
      </c>
      <c r="C294" s="0" t="n">
        <v>2026</v>
      </c>
      <c r="D294" s="41" t="n">
        <f aca="false">IF(Funding!AO13="","",Funding!AO13)</f>
        <v>0.654765968097936</v>
      </c>
      <c r="E294" s="20" t="s">
        <v>3165</v>
      </c>
      <c r="M294" s="20" t="s">
        <v>3443</v>
      </c>
    </row>
    <row r="295" customFormat="false" ht="17.15" hidden="false" customHeight="false" outlineLevel="0" collapsed="false">
      <c r="A295" s="0" t="s">
        <v>3444</v>
      </c>
      <c r="B295" s="0" t="s">
        <v>1335</v>
      </c>
      <c r="C295" s="0" t="n">
        <v>2026</v>
      </c>
      <c r="D295" s="41" t="n">
        <f aca="false">IF(Funding!AP13="","",Funding!AP13)</f>
        <v>0</v>
      </c>
      <c r="E295" s="20" t="s">
        <v>3168</v>
      </c>
      <c r="M295" s="20" t="s">
        <v>3445</v>
      </c>
    </row>
    <row r="296" customFormat="false" ht="17.15" hidden="false" customHeight="false" outlineLevel="0" collapsed="false">
      <c r="A296" s="0" t="s">
        <v>3446</v>
      </c>
      <c r="B296" s="0" t="s">
        <v>1335</v>
      </c>
      <c r="C296" s="0" t="n">
        <v>2026</v>
      </c>
      <c r="D296" s="41" t="n">
        <f aca="false">IF(Funding!AQ13="","",Funding!AQ13)</f>
        <v>0.020479213598198</v>
      </c>
      <c r="E296" s="20" t="s">
        <v>3171</v>
      </c>
      <c r="M296" s="20" t="s">
        <v>3447</v>
      </c>
    </row>
    <row r="297" customFormat="false" ht="17.15" hidden="false" customHeight="false" outlineLevel="0" collapsed="false">
      <c r="A297" s="0" t="s">
        <v>3448</v>
      </c>
      <c r="B297" s="0" t="s">
        <v>1335</v>
      </c>
      <c r="C297" s="0" t="n">
        <v>2026</v>
      </c>
      <c r="D297" s="36" t="n">
        <f aca="false">IF(Funding!E13="","",Funding!E13)</f>
        <v>113.841</v>
      </c>
      <c r="E297" s="20" t="s">
        <v>1744</v>
      </c>
      <c r="M297" s="20" t="s">
        <v>3449</v>
      </c>
    </row>
    <row r="298" customFormat="false" ht="17.15" hidden="false" customHeight="false" outlineLevel="0" collapsed="false">
      <c r="A298" s="0" t="s">
        <v>3450</v>
      </c>
      <c r="B298" s="0" t="s">
        <v>1335</v>
      </c>
      <c r="C298" s="0" t="n">
        <v>2026</v>
      </c>
      <c r="D298" s="36" t="n">
        <f aca="false">IF(Funding!I13="","",Funding!I13)</f>
        <v>-58.347</v>
      </c>
      <c r="E298" s="20" t="s">
        <v>1750</v>
      </c>
      <c r="M298" s="20" t="s">
        <v>3451</v>
      </c>
    </row>
    <row r="299" customFormat="false" ht="17.15" hidden="false" customHeight="false" outlineLevel="0" collapsed="false">
      <c r="A299" s="0" t="s">
        <v>3452</v>
      </c>
      <c r="B299" s="0" t="s">
        <v>1335</v>
      </c>
      <c r="C299" s="0" t="n">
        <v>2026</v>
      </c>
      <c r="D299" s="36" t="n">
        <f aca="false">IF(Funding!O13="","",Funding!O13)</f>
        <v>137.214</v>
      </c>
      <c r="E299" s="20" t="s">
        <v>3178</v>
      </c>
      <c r="M299" s="20" t="s">
        <v>3453</v>
      </c>
    </row>
    <row r="300" customFormat="false" ht="17.15" hidden="false" customHeight="false" outlineLevel="0" collapsed="false">
      <c r="A300" s="0" t="s">
        <v>3454</v>
      </c>
      <c r="B300" s="0" t="s">
        <v>1335</v>
      </c>
      <c r="C300" s="0" t="n">
        <v>2026</v>
      </c>
      <c r="D300" s="36" t="n">
        <f aca="false">N(Funding!J13)+N(Funding!K13)+N(Funding!L13)+N(Funding!M13)</f>
        <v>115.1</v>
      </c>
      <c r="E300" s="20" t="s">
        <v>3181</v>
      </c>
      <c r="M300" s="20" t="s">
        <v>3455</v>
      </c>
    </row>
    <row r="301" customFormat="false" ht="17.15" hidden="false" customHeight="false" outlineLevel="0" collapsed="false">
      <c r="A301" s="0" t="s">
        <v>3456</v>
      </c>
      <c r="B301" s="0" t="s">
        <v>1335</v>
      </c>
      <c r="C301" s="0" t="n">
        <v>2026</v>
      </c>
      <c r="D301" s="36" t="str">
        <f aca="false">IF(Funding!R13="","",Funding!R13)</f>
        <v/>
      </c>
      <c r="E301" s="20" t="s">
        <v>3184</v>
      </c>
      <c r="M301" s="20" t="s">
        <v>3457</v>
      </c>
    </row>
    <row r="302" customFormat="false" ht="15" hidden="false" customHeight="false" outlineLevel="0" collapsed="false">
      <c r="A302" s="0" t="s">
        <v>3458</v>
      </c>
      <c r="B302" s="0" t="s">
        <v>1070</v>
      </c>
      <c r="C302" s="0" t="n">
        <v>2024</v>
      </c>
      <c r="D302" s="36" t="str">
        <f aca="false">IF(Funding!W14="","",Funding!W14)</f>
        <v/>
      </c>
      <c r="E302" s="20" t="s">
        <v>3138</v>
      </c>
      <c r="M302" s="20" t="s">
        <v>3459</v>
      </c>
    </row>
    <row r="303" customFormat="false" ht="15" hidden="false" customHeight="false" outlineLevel="0" collapsed="false">
      <c r="A303" s="0" t="s">
        <v>3460</v>
      </c>
      <c r="B303" s="0" t="s">
        <v>1070</v>
      </c>
      <c r="C303" s="0" t="n">
        <v>2024</v>
      </c>
      <c r="D303" s="41" t="str">
        <f aca="false">IF(Funding!AC14="","",Funding!AC14)</f>
        <v/>
      </c>
      <c r="E303" s="20" t="s">
        <v>3141</v>
      </c>
      <c r="M303" s="20" t="s">
        <v>3461</v>
      </c>
    </row>
    <row r="304" customFormat="false" ht="15" hidden="false" customHeight="false" outlineLevel="0" collapsed="false">
      <c r="A304" s="0" t="s">
        <v>3462</v>
      </c>
      <c r="B304" s="0" t="s">
        <v>1070</v>
      </c>
      <c r="C304" s="0" t="n">
        <v>2024</v>
      </c>
      <c r="D304" s="41" t="str">
        <f aca="false">IF(Funding!AD14="","",Funding!AD14)</f>
        <v/>
      </c>
      <c r="E304" s="20" t="s">
        <v>3144</v>
      </c>
      <c r="M304" s="20" t="s">
        <v>3463</v>
      </c>
    </row>
    <row r="305" customFormat="false" ht="15" hidden="false" customHeight="false" outlineLevel="0" collapsed="false">
      <c r="A305" s="0" t="s">
        <v>3464</v>
      </c>
      <c r="B305" s="0" t="s">
        <v>1070</v>
      </c>
      <c r="C305" s="0" t="n">
        <v>2024</v>
      </c>
      <c r="D305" s="41" t="str">
        <f aca="false">IF(Funding!AE14="","",Funding!AE14)</f>
        <v/>
      </c>
      <c r="E305" s="20" t="s">
        <v>3147</v>
      </c>
      <c r="M305" s="20" t="s">
        <v>3465</v>
      </c>
    </row>
    <row r="306" customFormat="false" ht="15" hidden="false" customHeight="false" outlineLevel="0" collapsed="false">
      <c r="A306" s="0" t="s">
        <v>3466</v>
      </c>
      <c r="B306" s="0" t="s">
        <v>1070</v>
      </c>
      <c r="C306" s="0" t="n">
        <v>2024</v>
      </c>
      <c r="D306" s="41" t="str">
        <f aca="false">IF(Funding!AF14="","",Funding!AF14)</f>
        <v/>
      </c>
      <c r="E306" s="20" t="s">
        <v>3150</v>
      </c>
      <c r="M306" s="20" t="s">
        <v>3467</v>
      </c>
    </row>
    <row r="307" customFormat="false" ht="15" hidden="false" customHeight="false" outlineLevel="0" collapsed="false">
      <c r="A307" s="0" t="s">
        <v>3468</v>
      </c>
      <c r="B307" s="0" t="s">
        <v>1070</v>
      </c>
      <c r="C307" s="0" t="n">
        <v>2024</v>
      </c>
      <c r="D307" s="41" t="str">
        <f aca="false">IF(Funding!AG14="","",Funding!AG14)</f>
        <v/>
      </c>
      <c r="E307" s="20" t="s">
        <v>3153</v>
      </c>
      <c r="M307" s="20" t="s">
        <v>3469</v>
      </c>
    </row>
    <row r="308" customFormat="false" ht="15" hidden="false" customHeight="false" outlineLevel="0" collapsed="false">
      <c r="A308" s="0" t="s">
        <v>3470</v>
      </c>
      <c r="B308" s="0" t="s">
        <v>1070</v>
      </c>
      <c r="C308" s="0" t="n">
        <v>2024</v>
      </c>
      <c r="D308" s="36" t="n">
        <f aca="false">IF(Funding!AL14="","",Funding!AL14)</f>
        <v>0</v>
      </c>
      <c r="E308" s="20" t="s">
        <v>3156</v>
      </c>
      <c r="M308" s="20" t="s">
        <v>3471</v>
      </c>
    </row>
    <row r="309" customFormat="false" ht="15" hidden="false" customHeight="false" outlineLevel="0" collapsed="false">
      <c r="A309" s="0" t="s">
        <v>3472</v>
      </c>
      <c r="B309" s="0" t="s">
        <v>1070</v>
      </c>
      <c r="C309" s="0" t="n">
        <v>2024</v>
      </c>
      <c r="D309" s="41" t="str">
        <f aca="false">IF(Funding!AM14="","",Funding!AM14)</f>
        <v/>
      </c>
      <c r="E309" s="20" t="s">
        <v>3159</v>
      </c>
      <c r="M309" s="20" t="s">
        <v>3473</v>
      </c>
    </row>
    <row r="310" customFormat="false" ht="15" hidden="false" customHeight="false" outlineLevel="0" collapsed="false">
      <c r="A310" s="0" t="s">
        <v>3474</v>
      </c>
      <c r="B310" s="0" t="s">
        <v>1070</v>
      </c>
      <c r="C310" s="0" t="n">
        <v>2024</v>
      </c>
      <c r="D310" s="41" t="str">
        <f aca="false">IF(Funding!AN14="","",Funding!AN14)</f>
        <v/>
      </c>
      <c r="E310" s="20" t="s">
        <v>3162</v>
      </c>
      <c r="M310" s="20" t="s">
        <v>3475</v>
      </c>
    </row>
    <row r="311" customFormat="false" ht="15" hidden="false" customHeight="false" outlineLevel="0" collapsed="false">
      <c r="A311" s="0" t="s">
        <v>3476</v>
      </c>
      <c r="B311" s="0" t="s">
        <v>1070</v>
      </c>
      <c r="C311" s="0" t="n">
        <v>2024</v>
      </c>
      <c r="D311" s="41" t="str">
        <f aca="false">IF(Funding!AO14="","",Funding!AO14)</f>
        <v/>
      </c>
      <c r="E311" s="20" t="s">
        <v>3165</v>
      </c>
      <c r="M311" s="20" t="s">
        <v>3477</v>
      </c>
    </row>
    <row r="312" customFormat="false" ht="15" hidden="false" customHeight="false" outlineLevel="0" collapsed="false">
      <c r="A312" s="0" t="s">
        <v>3478</v>
      </c>
      <c r="B312" s="0" t="s">
        <v>1070</v>
      </c>
      <c r="C312" s="0" t="n">
        <v>2024</v>
      </c>
      <c r="D312" s="41" t="str">
        <f aca="false">IF(Funding!AP14="","",Funding!AP14)</f>
        <v/>
      </c>
      <c r="E312" s="20" t="s">
        <v>3168</v>
      </c>
      <c r="M312" s="20" t="s">
        <v>3479</v>
      </c>
    </row>
    <row r="313" customFormat="false" ht="15" hidden="false" customHeight="false" outlineLevel="0" collapsed="false">
      <c r="A313" s="0" t="s">
        <v>3480</v>
      </c>
      <c r="B313" s="0" t="s">
        <v>1070</v>
      </c>
      <c r="C313" s="0" t="n">
        <v>2024</v>
      </c>
      <c r="D313" s="41" t="str">
        <f aca="false">IF(Funding!AQ14="","",Funding!AQ14)</f>
        <v/>
      </c>
      <c r="E313" s="20" t="s">
        <v>3171</v>
      </c>
      <c r="M313" s="20" t="s">
        <v>3481</v>
      </c>
    </row>
    <row r="314" customFormat="false" ht="15" hidden="false" customHeight="false" outlineLevel="0" collapsed="false">
      <c r="A314" s="0" t="s">
        <v>3482</v>
      </c>
      <c r="B314" s="0" t="s">
        <v>1070</v>
      </c>
      <c r="C314" s="0" t="n">
        <v>2024</v>
      </c>
      <c r="D314" s="36" t="str">
        <f aca="false">IF(Funding!E14="","",Funding!E14)</f>
        <v/>
      </c>
      <c r="E314" s="20" t="s">
        <v>1744</v>
      </c>
      <c r="M314" s="20" t="s">
        <v>3483</v>
      </c>
    </row>
    <row r="315" customFormat="false" ht="15" hidden="false" customHeight="false" outlineLevel="0" collapsed="false">
      <c r="A315" s="0" t="s">
        <v>3484</v>
      </c>
      <c r="B315" s="0" t="s">
        <v>1070</v>
      </c>
      <c r="C315" s="0" t="n">
        <v>2024</v>
      </c>
      <c r="D315" s="36" t="str">
        <f aca="false">IF(Funding!I14="","",Funding!I14)</f>
        <v/>
      </c>
      <c r="E315" s="20" t="s">
        <v>1750</v>
      </c>
      <c r="M315" s="20" t="s">
        <v>3485</v>
      </c>
    </row>
    <row r="316" customFormat="false" ht="15" hidden="false" customHeight="false" outlineLevel="0" collapsed="false">
      <c r="A316" s="0" t="s">
        <v>3486</v>
      </c>
      <c r="B316" s="0" t="s">
        <v>1070</v>
      </c>
      <c r="C316" s="0" t="n">
        <v>2024</v>
      </c>
      <c r="D316" s="36" t="str">
        <f aca="false">IF(Funding!O14="","",Funding!O14)</f>
        <v/>
      </c>
      <c r="E316" s="20" t="s">
        <v>3178</v>
      </c>
      <c r="M316" s="20" t="s">
        <v>3487</v>
      </c>
    </row>
    <row r="317" customFormat="false" ht="15" hidden="false" customHeight="false" outlineLevel="0" collapsed="false">
      <c r="A317" s="0" t="s">
        <v>3488</v>
      </c>
      <c r="B317" s="0" t="s">
        <v>1070</v>
      </c>
      <c r="C317" s="0" t="n">
        <v>2024</v>
      </c>
      <c r="D317" s="36" t="n">
        <f aca="false">N(Funding!J14)+N(Funding!K14)+N(Funding!L14)+N(Funding!M14)</f>
        <v>0</v>
      </c>
      <c r="E317" s="20" t="s">
        <v>3181</v>
      </c>
      <c r="M317" s="20" t="s">
        <v>3489</v>
      </c>
    </row>
    <row r="318" customFormat="false" ht="15" hidden="false" customHeight="false" outlineLevel="0" collapsed="false">
      <c r="A318" s="0" t="s">
        <v>3490</v>
      </c>
      <c r="B318" s="0" t="s">
        <v>1070</v>
      </c>
      <c r="C318" s="0" t="n">
        <v>2024</v>
      </c>
      <c r="D318" s="36" t="str">
        <f aca="false">IF(Funding!R14="","",Funding!R14)</f>
        <v/>
      </c>
      <c r="E318" s="20" t="s">
        <v>3184</v>
      </c>
      <c r="M318" s="20" t="s">
        <v>3491</v>
      </c>
    </row>
    <row r="319" customFormat="false" ht="15" hidden="false" customHeight="false" outlineLevel="0" collapsed="false">
      <c r="A319" s="0" t="s">
        <v>3492</v>
      </c>
      <c r="B319" s="0" t="s">
        <v>1070</v>
      </c>
      <c r="C319" s="0" t="n">
        <v>2025</v>
      </c>
      <c r="D319" s="36" t="n">
        <f aca="false">IF(Funding!W15="","",Funding!W15)</f>
        <v>72.215</v>
      </c>
      <c r="E319" s="20" t="s">
        <v>3138</v>
      </c>
      <c r="M319" s="20" t="s">
        <v>3493</v>
      </c>
    </row>
    <row r="320" customFormat="false" ht="15" hidden="false" customHeight="false" outlineLevel="0" collapsed="false">
      <c r="A320" s="0" t="s">
        <v>3494</v>
      </c>
      <c r="B320" s="0" t="s">
        <v>1070</v>
      </c>
      <c r="C320" s="0" t="n">
        <v>2025</v>
      </c>
      <c r="D320" s="41" t="n">
        <f aca="false">IF(Funding!AC15="","",Funding!AC15)</f>
        <v>1</v>
      </c>
      <c r="E320" s="20" t="s">
        <v>3141</v>
      </c>
      <c r="M320" s="20" t="s">
        <v>3495</v>
      </c>
    </row>
    <row r="321" customFormat="false" ht="15" hidden="false" customHeight="false" outlineLevel="0" collapsed="false">
      <c r="A321" s="0" t="s">
        <v>3496</v>
      </c>
      <c r="B321" s="0" t="s">
        <v>1070</v>
      </c>
      <c r="C321" s="0" t="n">
        <v>2025</v>
      </c>
      <c r="D321" s="41" t="n">
        <f aca="false">IF(Funding!AD15="","",Funding!AD15)</f>
        <v>0</v>
      </c>
      <c r="E321" s="20" t="s">
        <v>3144</v>
      </c>
      <c r="M321" s="20" t="s">
        <v>3497</v>
      </c>
    </row>
    <row r="322" customFormat="false" ht="15" hidden="false" customHeight="false" outlineLevel="0" collapsed="false">
      <c r="A322" s="0" t="s">
        <v>3498</v>
      </c>
      <c r="B322" s="0" t="s">
        <v>1070</v>
      </c>
      <c r="C322" s="0" t="n">
        <v>2025</v>
      </c>
      <c r="D322" s="41" t="n">
        <f aca="false">IF(Funding!AE15="","",Funding!AE15)</f>
        <v>0</v>
      </c>
      <c r="E322" s="20" t="s">
        <v>3147</v>
      </c>
      <c r="M322" s="20" t="s">
        <v>3499</v>
      </c>
    </row>
    <row r="323" customFormat="false" ht="15" hidden="false" customHeight="false" outlineLevel="0" collapsed="false">
      <c r="A323" s="0" t="s">
        <v>3500</v>
      </c>
      <c r="B323" s="0" t="s">
        <v>1070</v>
      </c>
      <c r="C323" s="0" t="n">
        <v>2025</v>
      </c>
      <c r="D323" s="41" t="n">
        <f aca="false">IF(Funding!AF15="","",Funding!AF15)</f>
        <v>0</v>
      </c>
      <c r="E323" s="20" t="s">
        <v>3150</v>
      </c>
      <c r="M323" s="20" t="s">
        <v>3501</v>
      </c>
    </row>
    <row r="324" customFormat="false" ht="15" hidden="false" customHeight="false" outlineLevel="0" collapsed="false">
      <c r="A324" s="0" t="s">
        <v>3502</v>
      </c>
      <c r="B324" s="0" t="s">
        <v>1070</v>
      </c>
      <c r="C324" s="0" t="n">
        <v>2025</v>
      </c>
      <c r="D324" s="41" t="n">
        <f aca="false">IF(Funding!AG15="","",Funding!AG15)</f>
        <v>0</v>
      </c>
      <c r="E324" s="20" t="s">
        <v>3153</v>
      </c>
      <c r="M324" s="20" t="s">
        <v>3503</v>
      </c>
    </row>
    <row r="325" customFormat="false" ht="15" hidden="false" customHeight="false" outlineLevel="0" collapsed="false">
      <c r="A325" s="0" t="s">
        <v>3504</v>
      </c>
      <c r="B325" s="0" t="s">
        <v>1070</v>
      </c>
      <c r="C325" s="0" t="n">
        <v>2025</v>
      </c>
      <c r="D325" s="36" t="n">
        <f aca="false">IF(Funding!AL15="","",Funding!AL15)</f>
        <v>57.3</v>
      </c>
      <c r="E325" s="20" t="s">
        <v>3156</v>
      </c>
      <c r="M325" s="20" t="s">
        <v>3505</v>
      </c>
    </row>
    <row r="326" customFormat="false" ht="15" hidden="false" customHeight="false" outlineLevel="0" collapsed="false">
      <c r="A326" s="0" t="s">
        <v>3506</v>
      </c>
      <c r="B326" s="0" t="s">
        <v>1070</v>
      </c>
      <c r="C326" s="0" t="n">
        <v>2025</v>
      </c>
      <c r="D326" s="41" t="n">
        <f aca="false">IF(Funding!AM15="","",Funding!AM15)</f>
        <v>0.793463961780793</v>
      </c>
      <c r="E326" s="20" t="s">
        <v>3159</v>
      </c>
      <c r="M326" s="20" t="s">
        <v>3507</v>
      </c>
    </row>
    <row r="327" customFormat="false" ht="15" hidden="false" customHeight="false" outlineLevel="0" collapsed="false">
      <c r="A327" s="0" t="s">
        <v>3508</v>
      </c>
      <c r="B327" s="0" t="s">
        <v>1070</v>
      </c>
      <c r="C327" s="0" t="n">
        <v>2025</v>
      </c>
      <c r="D327" s="41" t="n">
        <f aca="false">IF(Funding!AN15="","",Funding!AN15)</f>
        <v>1.6035449698816</v>
      </c>
      <c r="E327" s="20" t="s">
        <v>3162</v>
      </c>
      <c r="M327" s="20" t="s">
        <v>3509</v>
      </c>
    </row>
    <row r="328" customFormat="false" ht="15" hidden="false" customHeight="false" outlineLevel="0" collapsed="false">
      <c r="A328" s="0" t="s">
        <v>3510</v>
      </c>
      <c r="B328" s="0" t="s">
        <v>1070</v>
      </c>
      <c r="C328" s="0" t="n">
        <v>2025</v>
      </c>
      <c r="D328" s="41" t="n">
        <f aca="false">IF(Funding!AO15="","",Funding!AO15)</f>
        <v>0.415426158000415</v>
      </c>
      <c r="E328" s="20" t="s">
        <v>3165</v>
      </c>
      <c r="M328" s="20" t="s">
        <v>3511</v>
      </c>
    </row>
    <row r="329" customFormat="false" ht="15" hidden="false" customHeight="false" outlineLevel="0" collapsed="false">
      <c r="A329" s="0" t="s">
        <v>3512</v>
      </c>
      <c r="B329" s="0" t="s">
        <v>1070</v>
      </c>
      <c r="C329" s="0" t="n">
        <v>2025</v>
      </c>
      <c r="D329" s="41" t="n">
        <f aca="false">IF(Funding!AP15="","",Funding!AP15)</f>
        <v>0</v>
      </c>
      <c r="E329" s="20" t="s">
        <v>3168</v>
      </c>
      <c r="M329" s="20" t="s">
        <v>3513</v>
      </c>
    </row>
    <row r="330" customFormat="false" ht="15" hidden="false" customHeight="false" outlineLevel="0" collapsed="false">
      <c r="A330" s="0" t="s">
        <v>3514</v>
      </c>
      <c r="B330" s="0" t="s">
        <v>1070</v>
      </c>
      <c r="C330" s="0" t="n">
        <v>2025</v>
      </c>
      <c r="D330" s="41" t="n">
        <f aca="false">IF(Funding!AQ15="","",Funding!AQ15)</f>
        <v>0.378037803780378</v>
      </c>
      <c r="E330" s="20" t="s">
        <v>3171</v>
      </c>
      <c r="M330" s="20" t="s">
        <v>3515</v>
      </c>
    </row>
    <row r="331" customFormat="false" ht="15" hidden="false" customHeight="false" outlineLevel="0" collapsed="false">
      <c r="A331" s="0" t="s">
        <v>3516</v>
      </c>
      <c r="B331" s="0" t="s">
        <v>1070</v>
      </c>
      <c r="C331" s="0" t="n">
        <v>2025</v>
      </c>
      <c r="D331" s="36" t="n">
        <f aca="false">IF(Funding!E15="","",Funding!E15)</f>
        <v>115.8</v>
      </c>
      <c r="E331" s="20" t="s">
        <v>1744</v>
      </c>
      <c r="M331" s="20" t="s">
        <v>3517</v>
      </c>
    </row>
    <row r="332" customFormat="false" ht="15" hidden="false" customHeight="false" outlineLevel="0" collapsed="false">
      <c r="A332" s="0" t="s">
        <v>3518</v>
      </c>
      <c r="B332" s="0" t="s">
        <v>1070</v>
      </c>
      <c r="C332" s="0" t="n">
        <v>2025</v>
      </c>
      <c r="D332" s="36" t="n">
        <f aca="false">IF(Funding!I15="","",Funding!I15)</f>
        <v>43.585</v>
      </c>
      <c r="E332" s="20" t="s">
        <v>1750</v>
      </c>
      <c r="M332" s="20" t="s">
        <v>3519</v>
      </c>
    </row>
    <row r="333" customFormat="false" ht="15" hidden="false" customHeight="false" outlineLevel="0" collapsed="false">
      <c r="A333" s="0" t="s">
        <v>3520</v>
      </c>
      <c r="B333" s="0" t="s">
        <v>1070</v>
      </c>
      <c r="C333" s="0" t="n">
        <v>2025</v>
      </c>
      <c r="D333" s="36" t="str">
        <f aca="false">IF(Funding!O15="","",Funding!O15)</f>
        <v/>
      </c>
      <c r="E333" s="20" t="s">
        <v>3178</v>
      </c>
      <c r="M333" s="20" t="s">
        <v>3521</v>
      </c>
    </row>
    <row r="334" customFormat="false" ht="15" hidden="false" customHeight="false" outlineLevel="0" collapsed="false">
      <c r="A334" s="0" t="s">
        <v>3522</v>
      </c>
      <c r="B334" s="0" t="s">
        <v>1070</v>
      </c>
      <c r="C334" s="0" t="n">
        <v>2025</v>
      </c>
      <c r="D334" s="36" t="n">
        <f aca="false">N(Funding!J15)+N(Funding!K15)+N(Funding!L15)+N(Funding!M15)</f>
        <v>30</v>
      </c>
      <c r="E334" s="20" t="s">
        <v>3181</v>
      </c>
      <c r="M334" s="20" t="s">
        <v>3523</v>
      </c>
    </row>
    <row r="335" customFormat="false" ht="15" hidden="false" customHeight="false" outlineLevel="0" collapsed="false">
      <c r="A335" s="0" t="s">
        <v>3524</v>
      </c>
      <c r="B335" s="0" t="s">
        <v>1070</v>
      </c>
      <c r="C335" s="0" t="n">
        <v>2025</v>
      </c>
      <c r="D335" s="36" t="str">
        <f aca="false">IF(Funding!R15="","",Funding!R15)</f>
        <v/>
      </c>
      <c r="E335" s="20" t="s">
        <v>3184</v>
      </c>
      <c r="M335" s="20" t="s">
        <v>3525</v>
      </c>
    </row>
    <row r="336" customFormat="false" ht="15" hidden="false" customHeight="false" outlineLevel="0" collapsed="false">
      <c r="A336" s="0" t="s">
        <v>3526</v>
      </c>
      <c r="B336" s="0" t="s">
        <v>1070</v>
      </c>
      <c r="C336" s="0" t="n">
        <v>2026</v>
      </c>
      <c r="D336" s="36" t="n">
        <f aca="false">IF(Funding!W16="","",Funding!W16)</f>
        <v>85.824</v>
      </c>
      <c r="E336" s="20" t="s">
        <v>3138</v>
      </c>
      <c r="M336" s="20" t="s">
        <v>3527</v>
      </c>
    </row>
    <row r="337" customFormat="false" ht="15" hidden="false" customHeight="false" outlineLevel="0" collapsed="false">
      <c r="A337" s="0" t="s">
        <v>3528</v>
      </c>
      <c r="B337" s="0" t="s">
        <v>1070</v>
      </c>
      <c r="C337" s="0" t="n">
        <v>2026</v>
      </c>
      <c r="D337" s="41" t="n">
        <f aca="false">IF(Funding!AC16="","",Funding!AC16)</f>
        <v>0.96773629753915</v>
      </c>
      <c r="E337" s="20" t="s">
        <v>3141</v>
      </c>
      <c r="M337" s="20" t="s">
        <v>3529</v>
      </c>
    </row>
    <row r="338" customFormat="false" ht="15" hidden="false" customHeight="false" outlineLevel="0" collapsed="false">
      <c r="A338" s="0" t="s">
        <v>3530</v>
      </c>
      <c r="B338" s="0" t="s">
        <v>1070</v>
      </c>
      <c r="C338" s="0" t="n">
        <v>2026</v>
      </c>
      <c r="D338" s="41" t="n">
        <f aca="false">IF(Funding!AD16="","",Funding!AD16)</f>
        <v>0.03226370246085</v>
      </c>
      <c r="E338" s="20" t="s">
        <v>3144</v>
      </c>
      <c r="M338" s="20" t="s">
        <v>3531</v>
      </c>
    </row>
    <row r="339" customFormat="false" ht="15" hidden="false" customHeight="false" outlineLevel="0" collapsed="false">
      <c r="A339" s="0" t="s">
        <v>3532</v>
      </c>
      <c r="B339" s="0" t="s">
        <v>1070</v>
      </c>
      <c r="C339" s="0" t="n">
        <v>2026</v>
      </c>
      <c r="D339" s="41" t="n">
        <f aca="false">IF(Funding!AE16="","",Funding!AE16)</f>
        <v>0</v>
      </c>
      <c r="E339" s="20" t="s">
        <v>3147</v>
      </c>
      <c r="M339" s="20" t="s">
        <v>3533</v>
      </c>
    </row>
    <row r="340" customFormat="false" ht="15" hidden="false" customHeight="false" outlineLevel="0" collapsed="false">
      <c r="A340" s="0" t="s">
        <v>3534</v>
      </c>
      <c r="B340" s="0" t="s">
        <v>1070</v>
      </c>
      <c r="C340" s="0" t="n">
        <v>2026</v>
      </c>
      <c r="D340" s="41" t="n">
        <f aca="false">IF(Funding!AF16="","",Funding!AF16)</f>
        <v>0</v>
      </c>
      <c r="E340" s="20" t="s">
        <v>3150</v>
      </c>
      <c r="M340" s="20" t="s">
        <v>3535</v>
      </c>
    </row>
    <row r="341" customFormat="false" ht="15" hidden="false" customHeight="false" outlineLevel="0" collapsed="false">
      <c r="A341" s="0" t="s">
        <v>3536</v>
      </c>
      <c r="B341" s="0" t="s">
        <v>1070</v>
      </c>
      <c r="C341" s="0" t="n">
        <v>2026</v>
      </c>
      <c r="D341" s="41" t="n">
        <f aca="false">IF(Funding!AG16="","",Funding!AG16)</f>
        <v>0</v>
      </c>
      <c r="E341" s="20" t="s">
        <v>3153</v>
      </c>
      <c r="M341" s="20" t="s">
        <v>3537</v>
      </c>
    </row>
    <row r="342" customFormat="false" ht="15" hidden="false" customHeight="false" outlineLevel="0" collapsed="false">
      <c r="A342" s="0" t="s">
        <v>3538</v>
      </c>
      <c r="B342" s="0" t="s">
        <v>1070</v>
      </c>
      <c r="C342" s="0" t="n">
        <v>2026</v>
      </c>
      <c r="D342" s="36" t="n">
        <f aca="false">IF(Funding!AL16="","",Funding!AL16)</f>
        <v>41.769</v>
      </c>
      <c r="E342" s="20" t="s">
        <v>3156</v>
      </c>
      <c r="M342" s="20" t="s">
        <v>3539</v>
      </c>
    </row>
    <row r="343" customFormat="false" ht="15" hidden="false" customHeight="false" outlineLevel="0" collapsed="false">
      <c r="A343" s="0" t="s">
        <v>3540</v>
      </c>
      <c r="B343" s="0" t="s">
        <v>1070</v>
      </c>
      <c r="C343" s="0" t="n">
        <v>2026</v>
      </c>
      <c r="D343" s="41" t="n">
        <f aca="false">IF(Funding!AM16="","",Funding!AM16)</f>
        <v>0.486682046979866</v>
      </c>
      <c r="E343" s="20" t="s">
        <v>3159</v>
      </c>
      <c r="M343" s="20" t="s">
        <v>3541</v>
      </c>
    </row>
    <row r="344" customFormat="false" ht="15" hidden="false" customHeight="false" outlineLevel="0" collapsed="false">
      <c r="A344" s="0" t="s">
        <v>3542</v>
      </c>
      <c r="B344" s="0" t="s">
        <v>1070</v>
      </c>
      <c r="C344" s="0" t="n">
        <v>2026</v>
      </c>
      <c r="D344" s="41" t="n">
        <f aca="false">IF(Funding!AN16="","",Funding!AN16)</f>
        <v>1.12874021252796</v>
      </c>
      <c r="E344" s="20" t="s">
        <v>3162</v>
      </c>
      <c r="M344" s="20" t="s">
        <v>3543</v>
      </c>
    </row>
    <row r="345" customFormat="false" ht="15" hidden="false" customHeight="false" outlineLevel="0" collapsed="false">
      <c r="A345" s="0" t="s">
        <v>3544</v>
      </c>
      <c r="B345" s="0" t="s">
        <v>1070</v>
      </c>
      <c r="C345" s="0" t="n">
        <v>2026</v>
      </c>
      <c r="D345" s="41" t="n">
        <f aca="false">IF(Funding!AO16="","",Funding!AO16)</f>
        <v>0.291293810589113</v>
      </c>
      <c r="E345" s="20" t="s">
        <v>3165</v>
      </c>
      <c r="M345" s="20" t="s">
        <v>3545</v>
      </c>
    </row>
    <row r="346" customFormat="false" ht="15" hidden="false" customHeight="false" outlineLevel="0" collapsed="false">
      <c r="A346" s="0" t="s">
        <v>3546</v>
      </c>
      <c r="B346" s="0" t="s">
        <v>1070</v>
      </c>
      <c r="C346" s="0" t="n">
        <v>2026</v>
      </c>
      <c r="D346" s="41" t="n">
        <f aca="false">IF(Funding!AP16="","",Funding!AP16)</f>
        <v>0</v>
      </c>
      <c r="E346" s="20" t="s">
        <v>3168</v>
      </c>
      <c r="M346" s="20" t="s">
        <v>3547</v>
      </c>
    </row>
    <row r="347" customFormat="false" ht="15" hidden="false" customHeight="false" outlineLevel="0" collapsed="false">
      <c r="A347" s="0" t="s">
        <v>3548</v>
      </c>
      <c r="B347" s="0" t="s">
        <v>1070</v>
      </c>
      <c r="C347" s="0" t="n">
        <v>2026</v>
      </c>
      <c r="D347" s="41" t="n">
        <f aca="false">IF(Funding!AQ16="","",Funding!AQ16)</f>
        <v>0.195388236390753</v>
      </c>
      <c r="E347" s="20" t="s">
        <v>3171</v>
      </c>
      <c r="M347" s="20" t="s">
        <v>3549</v>
      </c>
    </row>
    <row r="348" customFormat="false" ht="15" hidden="false" customHeight="false" outlineLevel="0" collapsed="false">
      <c r="A348" s="0" t="s">
        <v>3550</v>
      </c>
      <c r="B348" s="0" t="s">
        <v>1070</v>
      </c>
      <c r="C348" s="0" t="n">
        <v>2026</v>
      </c>
      <c r="D348" s="36" t="n">
        <f aca="false">IF(Funding!E16="","",Funding!E16)</f>
        <v>96.873</v>
      </c>
      <c r="E348" s="20" t="s">
        <v>1744</v>
      </c>
      <c r="M348" s="20" t="s">
        <v>3551</v>
      </c>
    </row>
    <row r="349" customFormat="false" ht="15" hidden="false" customHeight="false" outlineLevel="0" collapsed="false">
      <c r="A349" s="0" t="s">
        <v>3552</v>
      </c>
      <c r="B349" s="0" t="s">
        <v>1070</v>
      </c>
      <c r="C349" s="0" t="n">
        <v>2026</v>
      </c>
      <c r="D349" s="36" t="n">
        <f aca="false">IF(Funding!I16="","",Funding!I16)</f>
        <v>11.049</v>
      </c>
      <c r="E349" s="20" t="s">
        <v>1750</v>
      </c>
      <c r="M349" s="20" t="s">
        <v>3553</v>
      </c>
    </row>
    <row r="350" customFormat="false" ht="15" hidden="false" customHeight="false" outlineLevel="0" collapsed="false">
      <c r="A350" s="0" t="s">
        <v>3554</v>
      </c>
      <c r="B350" s="0" t="s">
        <v>1070</v>
      </c>
      <c r="C350" s="0" t="n">
        <v>2026</v>
      </c>
      <c r="D350" s="36" t="n">
        <f aca="false">IF(Funding!O16="","",Funding!O16)</f>
        <v>355.73</v>
      </c>
      <c r="E350" s="20" t="s">
        <v>3178</v>
      </c>
      <c r="M350" s="20" t="s">
        <v>3555</v>
      </c>
    </row>
    <row r="351" customFormat="false" ht="15" hidden="false" customHeight="false" outlineLevel="0" collapsed="false">
      <c r="A351" s="0" t="s">
        <v>3556</v>
      </c>
      <c r="B351" s="0" t="s">
        <v>1070</v>
      </c>
      <c r="C351" s="0" t="n">
        <v>2026</v>
      </c>
      <c r="D351" s="36" t="n">
        <f aca="false">N(Funding!J16)+N(Funding!K16)+N(Funding!L16)+N(Funding!M16)</f>
        <v>25</v>
      </c>
      <c r="E351" s="20" t="s">
        <v>3181</v>
      </c>
      <c r="M351" s="20" t="s">
        <v>3557</v>
      </c>
    </row>
    <row r="352" customFormat="false" ht="15" hidden="false" customHeight="false" outlineLevel="0" collapsed="false">
      <c r="A352" s="0" t="s">
        <v>3558</v>
      </c>
      <c r="B352" s="0" t="s">
        <v>1070</v>
      </c>
      <c r="C352" s="0" t="n">
        <v>2026</v>
      </c>
      <c r="D352" s="36" t="str">
        <f aca="false">IF(Funding!R16="","",Funding!R16)</f>
        <v/>
      </c>
      <c r="E352" s="20" t="s">
        <v>3184</v>
      </c>
      <c r="M352" s="20" t="s">
        <v>3559</v>
      </c>
    </row>
    <row r="353" customFormat="false" ht="17.15" hidden="false" customHeight="false" outlineLevel="0" collapsed="false">
      <c r="A353" s="0" t="s">
        <v>3560</v>
      </c>
      <c r="B353" s="0" t="s">
        <v>1336</v>
      </c>
      <c r="C353" s="0" t="n">
        <v>2024</v>
      </c>
      <c r="D353" s="36" t="str">
        <f aca="false">IF(Funding!W17="","",Funding!W17)</f>
        <v/>
      </c>
      <c r="E353" s="20" t="s">
        <v>3138</v>
      </c>
      <c r="M353" s="20" t="s">
        <v>3561</v>
      </c>
    </row>
    <row r="354" customFormat="false" ht="17.15" hidden="false" customHeight="false" outlineLevel="0" collapsed="false">
      <c r="A354" s="0" t="s">
        <v>3562</v>
      </c>
      <c r="B354" s="0" t="s">
        <v>1336</v>
      </c>
      <c r="C354" s="0" t="n">
        <v>2024</v>
      </c>
      <c r="D354" s="41" t="str">
        <f aca="false">IF(Funding!AC17="","",Funding!AC17)</f>
        <v/>
      </c>
      <c r="E354" s="20" t="s">
        <v>3141</v>
      </c>
      <c r="M354" s="20" t="s">
        <v>3563</v>
      </c>
    </row>
    <row r="355" customFormat="false" ht="17.15" hidden="false" customHeight="false" outlineLevel="0" collapsed="false">
      <c r="A355" s="0" t="s">
        <v>3564</v>
      </c>
      <c r="B355" s="0" t="s">
        <v>1336</v>
      </c>
      <c r="C355" s="0" t="n">
        <v>2024</v>
      </c>
      <c r="D355" s="41" t="str">
        <f aca="false">IF(Funding!AD17="","",Funding!AD17)</f>
        <v/>
      </c>
      <c r="E355" s="20" t="s">
        <v>3144</v>
      </c>
      <c r="M355" s="20" t="s">
        <v>3565</v>
      </c>
    </row>
    <row r="356" customFormat="false" ht="17.15" hidden="false" customHeight="false" outlineLevel="0" collapsed="false">
      <c r="A356" s="0" t="s">
        <v>3566</v>
      </c>
      <c r="B356" s="0" t="s">
        <v>1336</v>
      </c>
      <c r="C356" s="0" t="n">
        <v>2024</v>
      </c>
      <c r="D356" s="41" t="str">
        <f aca="false">IF(Funding!AE17="","",Funding!AE17)</f>
        <v/>
      </c>
      <c r="E356" s="20" t="s">
        <v>3147</v>
      </c>
      <c r="M356" s="20" t="s">
        <v>3567</v>
      </c>
    </row>
    <row r="357" customFormat="false" ht="17.15" hidden="false" customHeight="false" outlineLevel="0" collapsed="false">
      <c r="A357" s="0" t="s">
        <v>3568</v>
      </c>
      <c r="B357" s="0" t="s">
        <v>1336</v>
      </c>
      <c r="C357" s="0" t="n">
        <v>2024</v>
      </c>
      <c r="D357" s="41" t="str">
        <f aca="false">IF(Funding!AF17="","",Funding!AF17)</f>
        <v/>
      </c>
      <c r="E357" s="20" t="s">
        <v>3150</v>
      </c>
      <c r="M357" s="20" t="s">
        <v>3569</v>
      </c>
    </row>
    <row r="358" customFormat="false" ht="17.15" hidden="false" customHeight="false" outlineLevel="0" collapsed="false">
      <c r="A358" s="0" t="s">
        <v>3570</v>
      </c>
      <c r="B358" s="0" t="s">
        <v>1336</v>
      </c>
      <c r="C358" s="0" t="n">
        <v>2024</v>
      </c>
      <c r="D358" s="41" t="str">
        <f aca="false">IF(Funding!AG17="","",Funding!AG17)</f>
        <v/>
      </c>
      <c r="E358" s="20" t="s">
        <v>3153</v>
      </c>
      <c r="M358" s="20" t="s">
        <v>3571</v>
      </c>
    </row>
    <row r="359" customFormat="false" ht="17.15" hidden="false" customHeight="false" outlineLevel="0" collapsed="false">
      <c r="A359" s="0" t="s">
        <v>3572</v>
      </c>
      <c r="B359" s="0" t="s">
        <v>1336</v>
      </c>
      <c r="C359" s="0" t="n">
        <v>2024</v>
      </c>
      <c r="D359" s="36" t="n">
        <f aca="false">IF(Funding!AL17="","",Funding!AL17)</f>
        <v>0</v>
      </c>
      <c r="E359" s="20" t="s">
        <v>3156</v>
      </c>
      <c r="M359" s="20" t="s">
        <v>3573</v>
      </c>
    </row>
    <row r="360" customFormat="false" ht="17.15" hidden="false" customHeight="false" outlineLevel="0" collapsed="false">
      <c r="A360" s="0" t="s">
        <v>3574</v>
      </c>
      <c r="B360" s="0" t="s">
        <v>1336</v>
      </c>
      <c r="C360" s="0" t="n">
        <v>2024</v>
      </c>
      <c r="D360" s="41" t="str">
        <f aca="false">IF(Funding!AM17="","",Funding!AM17)</f>
        <v/>
      </c>
      <c r="E360" s="20" t="s">
        <v>3159</v>
      </c>
      <c r="M360" s="20" t="s">
        <v>3575</v>
      </c>
    </row>
    <row r="361" customFormat="false" ht="17.15" hidden="false" customHeight="false" outlineLevel="0" collapsed="false">
      <c r="A361" s="0" t="s">
        <v>3576</v>
      </c>
      <c r="B361" s="0" t="s">
        <v>1336</v>
      </c>
      <c r="C361" s="0" t="n">
        <v>2024</v>
      </c>
      <c r="D361" s="41" t="str">
        <f aca="false">IF(Funding!AN17="","",Funding!AN17)</f>
        <v/>
      </c>
      <c r="E361" s="20" t="s">
        <v>3162</v>
      </c>
      <c r="M361" s="20" t="s">
        <v>3577</v>
      </c>
    </row>
    <row r="362" customFormat="false" ht="17.15" hidden="false" customHeight="false" outlineLevel="0" collapsed="false">
      <c r="A362" s="0" t="s">
        <v>3578</v>
      </c>
      <c r="B362" s="0" t="s">
        <v>1336</v>
      </c>
      <c r="C362" s="0" t="n">
        <v>2024</v>
      </c>
      <c r="D362" s="41" t="str">
        <f aca="false">IF(Funding!AO17="","",Funding!AO17)</f>
        <v/>
      </c>
      <c r="E362" s="20" t="s">
        <v>3165</v>
      </c>
      <c r="M362" s="20" t="s">
        <v>3579</v>
      </c>
    </row>
    <row r="363" customFormat="false" ht="17.15" hidden="false" customHeight="false" outlineLevel="0" collapsed="false">
      <c r="A363" s="0" t="s">
        <v>3580</v>
      </c>
      <c r="B363" s="0" t="s">
        <v>1336</v>
      </c>
      <c r="C363" s="0" t="n">
        <v>2024</v>
      </c>
      <c r="D363" s="41" t="str">
        <f aca="false">IF(Funding!AP17="","",Funding!AP17)</f>
        <v/>
      </c>
      <c r="E363" s="20" t="s">
        <v>3168</v>
      </c>
      <c r="M363" s="20" t="s">
        <v>3581</v>
      </c>
    </row>
    <row r="364" customFormat="false" ht="17.15" hidden="false" customHeight="false" outlineLevel="0" collapsed="false">
      <c r="A364" s="0" t="s">
        <v>3582</v>
      </c>
      <c r="B364" s="0" t="s">
        <v>1336</v>
      </c>
      <c r="C364" s="0" t="n">
        <v>2024</v>
      </c>
      <c r="D364" s="41" t="str">
        <f aca="false">IF(Funding!AQ17="","",Funding!AQ17)</f>
        <v/>
      </c>
      <c r="E364" s="20" t="s">
        <v>3171</v>
      </c>
      <c r="M364" s="20" t="s">
        <v>3583</v>
      </c>
    </row>
    <row r="365" customFormat="false" ht="17.15" hidden="false" customHeight="false" outlineLevel="0" collapsed="false">
      <c r="A365" s="0" t="s">
        <v>3584</v>
      </c>
      <c r="B365" s="0" t="s">
        <v>1336</v>
      </c>
      <c r="C365" s="0" t="n">
        <v>2024</v>
      </c>
      <c r="D365" s="36" t="str">
        <f aca="false">IF(Funding!E17="","",Funding!E17)</f>
        <v/>
      </c>
      <c r="E365" s="20" t="s">
        <v>1744</v>
      </c>
      <c r="M365" s="20" t="s">
        <v>3585</v>
      </c>
    </row>
    <row r="366" customFormat="false" ht="17.15" hidden="false" customHeight="false" outlineLevel="0" collapsed="false">
      <c r="A366" s="0" t="s">
        <v>3586</v>
      </c>
      <c r="B366" s="0" t="s">
        <v>1336</v>
      </c>
      <c r="C366" s="0" t="n">
        <v>2024</v>
      </c>
      <c r="D366" s="36" t="str">
        <f aca="false">IF(Funding!I17="","",Funding!I17)</f>
        <v/>
      </c>
      <c r="E366" s="20" t="s">
        <v>1750</v>
      </c>
      <c r="M366" s="20" t="s">
        <v>3587</v>
      </c>
    </row>
    <row r="367" customFormat="false" ht="17.15" hidden="false" customHeight="false" outlineLevel="0" collapsed="false">
      <c r="A367" s="0" t="s">
        <v>3588</v>
      </c>
      <c r="B367" s="0" t="s">
        <v>1336</v>
      </c>
      <c r="C367" s="0" t="n">
        <v>2024</v>
      </c>
      <c r="D367" s="36" t="str">
        <f aca="false">IF(Funding!O17="","",Funding!O17)</f>
        <v/>
      </c>
      <c r="E367" s="20" t="s">
        <v>3178</v>
      </c>
      <c r="M367" s="20" t="s">
        <v>3589</v>
      </c>
    </row>
    <row r="368" customFormat="false" ht="17.15" hidden="false" customHeight="false" outlineLevel="0" collapsed="false">
      <c r="A368" s="0" t="s">
        <v>3590</v>
      </c>
      <c r="B368" s="0" t="s">
        <v>1336</v>
      </c>
      <c r="C368" s="0" t="n">
        <v>2024</v>
      </c>
      <c r="D368" s="36" t="n">
        <f aca="false">N(Funding!J17)+N(Funding!K17)+N(Funding!L17)+N(Funding!M17)</f>
        <v>0</v>
      </c>
      <c r="E368" s="20" t="s">
        <v>3181</v>
      </c>
      <c r="M368" s="20" t="s">
        <v>3591</v>
      </c>
    </row>
    <row r="369" customFormat="false" ht="17.15" hidden="false" customHeight="false" outlineLevel="0" collapsed="false">
      <c r="A369" s="0" t="s">
        <v>3592</v>
      </c>
      <c r="B369" s="0" t="s">
        <v>1336</v>
      </c>
      <c r="C369" s="0" t="n">
        <v>2024</v>
      </c>
      <c r="D369" s="36" t="str">
        <f aca="false">IF(Funding!R17="","",Funding!R17)</f>
        <v/>
      </c>
      <c r="E369" s="20" t="s">
        <v>3184</v>
      </c>
      <c r="M369" s="20" t="s">
        <v>3593</v>
      </c>
    </row>
    <row r="370" customFormat="false" ht="17.15" hidden="false" customHeight="false" outlineLevel="0" collapsed="false">
      <c r="A370" s="0" t="s">
        <v>3594</v>
      </c>
      <c r="B370" s="0" t="s">
        <v>1336</v>
      </c>
      <c r="C370" s="0" t="n">
        <v>2025</v>
      </c>
      <c r="D370" s="36" t="str">
        <f aca="false">IF(Funding!W18="","",Funding!W18)</f>
        <v/>
      </c>
      <c r="E370" s="20" t="s">
        <v>3138</v>
      </c>
      <c r="M370" s="20" t="s">
        <v>3595</v>
      </c>
    </row>
    <row r="371" customFormat="false" ht="17.15" hidden="false" customHeight="false" outlineLevel="0" collapsed="false">
      <c r="A371" s="0" t="s">
        <v>3596</v>
      </c>
      <c r="B371" s="0" t="s">
        <v>1336</v>
      </c>
      <c r="C371" s="0" t="n">
        <v>2025</v>
      </c>
      <c r="D371" s="41" t="str">
        <f aca="false">IF(Funding!AC18="","",Funding!AC18)</f>
        <v/>
      </c>
      <c r="E371" s="20" t="s">
        <v>3141</v>
      </c>
      <c r="M371" s="20" t="s">
        <v>3597</v>
      </c>
    </row>
    <row r="372" customFormat="false" ht="17.15" hidden="false" customHeight="false" outlineLevel="0" collapsed="false">
      <c r="A372" s="0" t="s">
        <v>3598</v>
      </c>
      <c r="B372" s="0" t="s">
        <v>1336</v>
      </c>
      <c r="C372" s="0" t="n">
        <v>2025</v>
      </c>
      <c r="D372" s="41" t="str">
        <f aca="false">IF(Funding!AD18="","",Funding!AD18)</f>
        <v/>
      </c>
      <c r="E372" s="20" t="s">
        <v>3144</v>
      </c>
      <c r="M372" s="20" t="s">
        <v>3599</v>
      </c>
    </row>
    <row r="373" customFormat="false" ht="17.15" hidden="false" customHeight="false" outlineLevel="0" collapsed="false">
      <c r="A373" s="0" t="s">
        <v>3600</v>
      </c>
      <c r="B373" s="0" t="s">
        <v>1336</v>
      </c>
      <c r="C373" s="0" t="n">
        <v>2025</v>
      </c>
      <c r="D373" s="41" t="str">
        <f aca="false">IF(Funding!AE18="","",Funding!AE18)</f>
        <v/>
      </c>
      <c r="E373" s="20" t="s">
        <v>3147</v>
      </c>
      <c r="M373" s="20" t="s">
        <v>3601</v>
      </c>
    </row>
    <row r="374" customFormat="false" ht="17.15" hidden="false" customHeight="false" outlineLevel="0" collapsed="false">
      <c r="A374" s="0" t="s">
        <v>3602</v>
      </c>
      <c r="B374" s="0" t="s">
        <v>1336</v>
      </c>
      <c r="C374" s="0" t="n">
        <v>2025</v>
      </c>
      <c r="D374" s="41" t="str">
        <f aca="false">IF(Funding!AF18="","",Funding!AF18)</f>
        <v/>
      </c>
      <c r="E374" s="20" t="s">
        <v>3150</v>
      </c>
      <c r="M374" s="20" t="s">
        <v>3603</v>
      </c>
    </row>
    <row r="375" customFormat="false" ht="17.15" hidden="false" customHeight="false" outlineLevel="0" collapsed="false">
      <c r="A375" s="0" t="s">
        <v>3604</v>
      </c>
      <c r="B375" s="0" t="s">
        <v>1336</v>
      </c>
      <c r="C375" s="0" t="n">
        <v>2025</v>
      </c>
      <c r="D375" s="41" t="str">
        <f aca="false">IF(Funding!AG18="","",Funding!AG18)</f>
        <v/>
      </c>
      <c r="E375" s="20" t="s">
        <v>3153</v>
      </c>
      <c r="M375" s="20" t="s">
        <v>3605</v>
      </c>
    </row>
    <row r="376" customFormat="false" ht="17.15" hidden="false" customHeight="false" outlineLevel="0" collapsed="false">
      <c r="A376" s="0" t="s">
        <v>3606</v>
      </c>
      <c r="B376" s="0" t="s">
        <v>1336</v>
      </c>
      <c r="C376" s="0" t="n">
        <v>2025</v>
      </c>
      <c r="D376" s="36" t="n">
        <f aca="false">IF(Funding!AL18="","",Funding!AL18)</f>
        <v>15</v>
      </c>
      <c r="E376" s="20" t="s">
        <v>3156</v>
      </c>
      <c r="M376" s="20" t="s">
        <v>3607</v>
      </c>
    </row>
    <row r="377" customFormat="false" ht="17.15" hidden="false" customHeight="false" outlineLevel="0" collapsed="false">
      <c r="A377" s="0" t="s">
        <v>3608</v>
      </c>
      <c r="B377" s="0" t="s">
        <v>1336</v>
      </c>
      <c r="C377" s="0" t="n">
        <v>2025</v>
      </c>
      <c r="D377" s="41" t="str">
        <f aca="false">IF(Funding!AM18="","",Funding!AM18)</f>
        <v/>
      </c>
      <c r="E377" s="20" t="s">
        <v>3159</v>
      </c>
      <c r="M377" s="20" t="s">
        <v>3609</v>
      </c>
    </row>
    <row r="378" customFormat="false" ht="17.15" hidden="false" customHeight="false" outlineLevel="0" collapsed="false">
      <c r="A378" s="0" t="s">
        <v>3610</v>
      </c>
      <c r="B378" s="0" t="s">
        <v>1336</v>
      </c>
      <c r="C378" s="0" t="n">
        <v>2025</v>
      </c>
      <c r="D378" s="41" t="str">
        <f aca="false">IF(Funding!AN18="","",Funding!AN18)</f>
        <v/>
      </c>
      <c r="E378" s="20" t="s">
        <v>3162</v>
      </c>
      <c r="M378" s="20" t="s">
        <v>3611</v>
      </c>
    </row>
    <row r="379" customFormat="false" ht="17.15" hidden="false" customHeight="false" outlineLevel="0" collapsed="false">
      <c r="A379" s="0" t="s">
        <v>3612</v>
      </c>
      <c r="B379" s="0" t="s">
        <v>1336</v>
      </c>
      <c r="C379" s="0" t="n">
        <v>2025</v>
      </c>
      <c r="D379" s="41" t="str">
        <f aca="false">IF(Funding!AO18="","",Funding!AO18)</f>
        <v/>
      </c>
      <c r="E379" s="20" t="s">
        <v>3165</v>
      </c>
      <c r="M379" s="20" t="s">
        <v>3613</v>
      </c>
    </row>
    <row r="380" customFormat="false" ht="17.15" hidden="false" customHeight="false" outlineLevel="0" collapsed="false">
      <c r="A380" s="0" t="s">
        <v>3614</v>
      </c>
      <c r="B380" s="0" t="s">
        <v>1336</v>
      </c>
      <c r="C380" s="0" t="n">
        <v>2025</v>
      </c>
      <c r="D380" s="41" t="str">
        <f aca="false">IF(Funding!AP18="","",Funding!AP18)</f>
        <v/>
      </c>
      <c r="E380" s="20" t="s">
        <v>3168</v>
      </c>
      <c r="M380" s="20" t="s">
        <v>3615</v>
      </c>
    </row>
    <row r="381" customFormat="false" ht="17.15" hidden="false" customHeight="false" outlineLevel="0" collapsed="false">
      <c r="A381" s="0" t="s">
        <v>3616</v>
      </c>
      <c r="B381" s="0" t="s">
        <v>1336</v>
      </c>
      <c r="C381" s="0" t="n">
        <v>2025</v>
      </c>
      <c r="D381" s="41" t="str">
        <f aca="false">IF(Funding!AQ18="","",Funding!AQ18)</f>
        <v/>
      </c>
      <c r="E381" s="20" t="s">
        <v>3171</v>
      </c>
      <c r="M381" s="20" t="s">
        <v>3617</v>
      </c>
    </row>
    <row r="382" customFormat="false" ht="17.15" hidden="false" customHeight="false" outlineLevel="0" collapsed="false">
      <c r="A382" s="0" t="s">
        <v>3618</v>
      </c>
      <c r="B382" s="0" t="s">
        <v>1336</v>
      </c>
      <c r="C382" s="0" t="n">
        <v>2025</v>
      </c>
      <c r="D382" s="36" t="str">
        <f aca="false">IF(Funding!E18="","",Funding!E18)</f>
        <v/>
      </c>
      <c r="E382" s="20" t="s">
        <v>1744</v>
      </c>
      <c r="M382" s="20" t="s">
        <v>3619</v>
      </c>
    </row>
    <row r="383" customFormat="false" ht="17.15" hidden="false" customHeight="false" outlineLevel="0" collapsed="false">
      <c r="A383" s="0" t="s">
        <v>3620</v>
      </c>
      <c r="B383" s="0" t="s">
        <v>1336</v>
      </c>
      <c r="C383" s="0" t="n">
        <v>2025</v>
      </c>
      <c r="D383" s="36" t="str">
        <f aca="false">IF(Funding!I18="","",Funding!I18)</f>
        <v/>
      </c>
      <c r="E383" s="20" t="s">
        <v>1750</v>
      </c>
      <c r="M383" s="20" t="s">
        <v>3621</v>
      </c>
    </row>
    <row r="384" customFormat="false" ht="17.15" hidden="false" customHeight="false" outlineLevel="0" collapsed="false">
      <c r="A384" s="0" t="s">
        <v>3622</v>
      </c>
      <c r="B384" s="0" t="s">
        <v>1336</v>
      </c>
      <c r="C384" s="0" t="n">
        <v>2025</v>
      </c>
      <c r="D384" s="36" t="str">
        <f aca="false">IF(Funding!O18="","",Funding!O18)</f>
        <v/>
      </c>
      <c r="E384" s="20" t="s">
        <v>3178</v>
      </c>
      <c r="M384" s="20" t="s">
        <v>3623</v>
      </c>
    </row>
    <row r="385" customFormat="false" ht="17.15" hidden="false" customHeight="false" outlineLevel="0" collapsed="false">
      <c r="A385" s="0" t="s">
        <v>3624</v>
      </c>
      <c r="B385" s="0" t="s">
        <v>1336</v>
      </c>
      <c r="C385" s="0" t="n">
        <v>2025</v>
      </c>
      <c r="D385" s="36" t="n">
        <f aca="false">N(Funding!J18)+N(Funding!K18)+N(Funding!L18)+N(Funding!M18)</f>
        <v>0</v>
      </c>
      <c r="E385" s="20" t="s">
        <v>3181</v>
      </c>
      <c r="M385" s="20" t="s">
        <v>3625</v>
      </c>
    </row>
    <row r="386" customFormat="false" ht="17.15" hidden="false" customHeight="false" outlineLevel="0" collapsed="false">
      <c r="A386" s="0" t="s">
        <v>3626</v>
      </c>
      <c r="B386" s="0" t="s">
        <v>1336</v>
      </c>
      <c r="C386" s="0" t="n">
        <v>2025</v>
      </c>
      <c r="D386" s="36" t="str">
        <f aca="false">IF(Funding!R18="","",Funding!R18)</f>
        <v/>
      </c>
      <c r="E386" s="20" t="s">
        <v>3184</v>
      </c>
      <c r="M386" s="20" t="s">
        <v>3627</v>
      </c>
    </row>
    <row r="387" customFormat="false" ht="17.15" hidden="false" customHeight="false" outlineLevel="0" collapsed="false">
      <c r="A387" s="0" t="s">
        <v>3628</v>
      </c>
      <c r="B387" s="0" t="s">
        <v>1336</v>
      </c>
      <c r="C387" s="0" t="n">
        <v>2026</v>
      </c>
      <c r="D387" s="36" t="n">
        <f aca="false">IF(Funding!W19="","",Funding!W19)</f>
        <v>55.663</v>
      </c>
      <c r="E387" s="20" t="s">
        <v>3138</v>
      </c>
      <c r="M387" s="20" t="s">
        <v>3629</v>
      </c>
    </row>
    <row r="388" customFormat="false" ht="17.15" hidden="false" customHeight="false" outlineLevel="0" collapsed="false">
      <c r="A388" s="0" t="s">
        <v>3630</v>
      </c>
      <c r="B388" s="0" t="s">
        <v>1336</v>
      </c>
      <c r="C388" s="0" t="n">
        <v>2026</v>
      </c>
      <c r="D388" s="41" t="n">
        <f aca="false">IF(Funding!AC19="","",Funding!AC19)</f>
        <v>0.574474965416884</v>
      </c>
      <c r="E388" s="20" t="s">
        <v>3141</v>
      </c>
      <c r="M388" s="20" t="s">
        <v>3631</v>
      </c>
    </row>
    <row r="389" customFormat="false" ht="17.15" hidden="false" customHeight="false" outlineLevel="0" collapsed="false">
      <c r="A389" s="0" t="s">
        <v>3632</v>
      </c>
      <c r="B389" s="0" t="s">
        <v>1336</v>
      </c>
      <c r="C389" s="0" t="n">
        <v>2026</v>
      </c>
      <c r="D389" s="41" t="n">
        <f aca="false">IF(Funding!AD19="","",Funding!AD19)</f>
        <v>0</v>
      </c>
      <c r="E389" s="20" t="s">
        <v>3144</v>
      </c>
      <c r="M389" s="20" t="s">
        <v>3633</v>
      </c>
    </row>
    <row r="390" customFormat="false" ht="17.15" hidden="false" customHeight="false" outlineLevel="0" collapsed="false">
      <c r="A390" s="0" t="s">
        <v>3634</v>
      </c>
      <c r="B390" s="0" t="s">
        <v>1336</v>
      </c>
      <c r="C390" s="0" t="n">
        <v>2026</v>
      </c>
      <c r="D390" s="41" t="n">
        <f aca="false">IF(Funding!AE19="","",Funding!AE19)</f>
        <v>0.0898262759822503</v>
      </c>
      <c r="E390" s="20" t="s">
        <v>3147</v>
      </c>
      <c r="M390" s="20" t="s">
        <v>3635</v>
      </c>
    </row>
    <row r="391" customFormat="false" ht="17.15" hidden="false" customHeight="false" outlineLevel="0" collapsed="false">
      <c r="A391" s="0" t="s">
        <v>3636</v>
      </c>
      <c r="B391" s="0" t="s">
        <v>1336</v>
      </c>
      <c r="C391" s="0" t="n">
        <v>2026</v>
      </c>
      <c r="D391" s="41" t="n">
        <f aca="false">IF(Funding!AF19="","",Funding!AF19)</f>
        <v>0.335698758600866</v>
      </c>
      <c r="E391" s="20" t="s">
        <v>3150</v>
      </c>
      <c r="M391" s="20" t="s">
        <v>3637</v>
      </c>
    </row>
    <row r="392" customFormat="false" ht="17.15" hidden="false" customHeight="false" outlineLevel="0" collapsed="false">
      <c r="A392" s="0" t="s">
        <v>3638</v>
      </c>
      <c r="B392" s="0" t="s">
        <v>1336</v>
      </c>
      <c r="C392" s="0" t="n">
        <v>2026</v>
      </c>
      <c r="D392" s="41" t="n">
        <f aca="false">IF(Funding!AG19="","",Funding!AG19)</f>
        <v>0</v>
      </c>
      <c r="E392" s="20" t="s">
        <v>3153</v>
      </c>
      <c r="M392" s="20" t="s">
        <v>3639</v>
      </c>
    </row>
    <row r="393" customFormat="false" ht="17.15" hidden="false" customHeight="false" outlineLevel="0" collapsed="false">
      <c r="A393" s="0" t="s">
        <v>3640</v>
      </c>
      <c r="B393" s="0" t="s">
        <v>1336</v>
      </c>
      <c r="C393" s="0" t="n">
        <v>2026</v>
      </c>
      <c r="D393" s="36" t="n">
        <f aca="false">IF(Funding!AL19="","",Funding!AL19)</f>
        <v>104</v>
      </c>
      <c r="E393" s="20" t="s">
        <v>3156</v>
      </c>
      <c r="M393" s="20" t="s">
        <v>3641</v>
      </c>
    </row>
    <row r="394" customFormat="false" ht="17.15" hidden="false" customHeight="false" outlineLevel="0" collapsed="false">
      <c r="A394" s="0" t="s">
        <v>3642</v>
      </c>
      <c r="B394" s="0" t="s">
        <v>1336</v>
      </c>
      <c r="C394" s="0" t="n">
        <v>2026</v>
      </c>
      <c r="D394" s="41" t="n">
        <f aca="false">IF(Funding!AM19="","",Funding!AM19)</f>
        <v>1.86838654043081</v>
      </c>
      <c r="E394" s="20" t="s">
        <v>3159</v>
      </c>
      <c r="M394" s="20" t="s">
        <v>3643</v>
      </c>
    </row>
    <row r="395" customFormat="false" ht="17.15" hidden="false" customHeight="false" outlineLevel="0" collapsed="false">
      <c r="A395" s="0" t="s">
        <v>3644</v>
      </c>
      <c r="B395" s="0" t="s">
        <v>1336</v>
      </c>
      <c r="C395" s="0" t="n">
        <v>2026</v>
      </c>
      <c r="D395" s="41" t="n">
        <f aca="false">IF(Funding!AN19="","",Funding!AN19)</f>
        <v>0.574474965416884</v>
      </c>
      <c r="E395" s="20" t="s">
        <v>3162</v>
      </c>
      <c r="M395" s="20" t="s">
        <v>3645</v>
      </c>
    </row>
    <row r="396" customFormat="false" ht="17.15" hidden="false" customHeight="false" outlineLevel="0" collapsed="false">
      <c r="A396" s="0" t="s">
        <v>3646</v>
      </c>
      <c r="B396" s="0" t="s">
        <v>1336</v>
      </c>
      <c r="C396" s="0" t="n">
        <v>2026</v>
      </c>
      <c r="D396" s="41" t="n">
        <f aca="false">IF(Funding!AO19="","",Funding!AO19)</f>
        <v>0.772505973447353</v>
      </c>
      <c r="E396" s="20" t="s">
        <v>3165</v>
      </c>
      <c r="M396" s="20" t="s">
        <v>3647</v>
      </c>
    </row>
    <row r="397" customFormat="false" ht="17.15" hidden="false" customHeight="false" outlineLevel="0" collapsed="false">
      <c r="A397" s="0" t="s">
        <v>3648</v>
      </c>
      <c r="B397" s="0" t="s">
        <v>1336</v>
      </c>
      <c r="C397" s="0" t="n">
        <v>2026</v>
      </c>
      <c r="D397" s="41" t="n">
        <f aca="false">IF(Funding!AP19="","",Funding!AP19)</f>
        <v>0.0898262759822503</v>
      </c>
      <c r="E397" s="20" t="s">
        <v>3168</v>
      </c>
      <c r="M397" s="20" t="s">
        <v>3649</v>
      </c>
    </row>
    <row r="398" customFormat="false" ht="17.15" hidden="false" customHeight="false" outlineLevel="0" collapsed="false">
      <c r="A398" s="0" t="s">
        <v>3650</v>
      </c>
      <c r="B398" s="0" t="s">
        <v>1336</v>
      </c>
      <c r="C398" s="0" t="n">
        <v>2026</v>
      </c>
      <c r="D398" s="41" t="n">
        <f aca="false">IF(Funding!AQ19="","",Funding!AQ19)</f>
        <v>1.0060542910012</v>
      </c>
      <c r="E398" s="20" t="s">
        <v>3171</v>
      </c>
      <c r="M398" s="20" t="s">
        <v>3651</v>
      </c>
    </row>
    <row r="399" customFormat="false" ht="17.15" hidden="false" customHeight="false" outlineLevel="0" collapsed="false">
      <c r="A399" s="0" t="s">
        <v>3652</v>
      </c>
      <c r="B399" s="0" t="s">
        <v>1336</v>
      </c>
      <c r="C399" s="0" t="n">
        <v>2026</v>
      </c>
      <c r="D399" s="36" t="n">
        <f aca="false">IF(Funding!E19="","",Funding!E19)</f>
        <v>31.977</v>
      </c>
      <c r="E399" s="20" t="s">
        <v>1744</v>
      </c>
      <c r="M399" s="20" t="s">
        <v>3653</v>
      </c>
    </row>
    <row r="400" customFormat="false" ht="17.15" hidden="false" customHeight="false" outlineLevel="0" collapsed="false">
      <c r="A400" s="0" t="s">
        <v>3654</v>
      </c>
      <c r="B400" s="0" t="s">
        <v>1336</v>
      </c>
      <c r="C400" s="0" t="n">
        <v>2026</v>
      </c>
      <c r="D400" s="36" t="n">
        <f aca="false">IF(Funding!I19="","",Funding!I19)</f>
        <v>-23.686</v>
      </c>
      <c r="E400" s="20" t="s">
        <v>1750</v>
      </c>
      <c r="M400" s="20" t="s">
        <v>3655</v>
      </c>
    </row>
    <row r="401" customFormat="false" ht="17.15" hidden="false" customHeight="false" outlineLevel="0" collapsed="false">
      <c r="A401" s="0" t="s">
        <v>3656</v>
      </c>
      <c r="B401" s="0" t="s">
        <v>1336</v>
      </c>
      <c r="C401" s="0" t="n">
        <v>2026</v>
      </c>
      <c r="D401" s="36" t="n">
        <f aca="false">IF(Funding!O19="","",Funding!O19)</f>
        <v>260</v>
      </c>
      <c r="E401" s="20" t="s">
        <v>3178</v>
      </c>
      <c r="M401" s="20" t="s">
        <v>3657</v>
      </c>
    </row>
    <row r="402" customFormat="false" ht="17.15" hidden="false" customHeight="false" outlineLevel="0" collapsed="false">
      <c r="A402" s="0" t="s">
        <v>3658</v>
      </c>
      <c r="B402" s="0" t="s">
        <v>1336</v>
      </c>
      <c r="C402" s="0" t="n">
        <v>2026</v>
      </c>
      <c r="D402" s="36" t="n">
        <f aca="false">N(Funding!J19)+N(Funding!K19)+N(Funding!L19)+N(Funding!M19)</f>
        <v>43</v>
      </c>
      <c r="E402" s="20" t="s">
        <v>3181</v>
      </c>
      <c r="M402" s="20" t="s">
        <v>3659</v>
      </c>
    </row>
    <row r="403" customFormat="false" ht="17.15" hidden="false" customHeight="false" outlineLevel="0" collapsed="false">
      <c r="A403" s="0" t="s">
        <v>3660</v>
      </c>
      <c r="B403" s="0" t="s">
        <v>1336</v>
      </c>
      <c r="C403" s="0" t="n">
        <v>2026</v>
      </c>
      <c r="D403" s="36" t="n">
        <f aca="false">IF(Funding!R19="","",Funding!R19)</f>
        <v>5</v>
      </c>
      <c r="E403" s="20" t="s">
        <v>3184</v>
      </c>
      <c r="M403" s="20" t="s">
        <v>3661</v>
      </c>
    </row>
    <row r="404" customFormat="false" ht="15" hidden="false" customHeight="false" outlineLevel="0" collapsed="false">
      <c r="A404" s="0" t="s">
        <v>3662</v>
      </c>
      <c r="B404" s="0" t="s">
        <v>1108</v>
      </c>
      <c r="C404" s="0" t="n">
        <v>2024</v>
      </c>
      <c r="D404" s="36" t="n">
        <f aca="false">IF(Funding!W20="","",Funding!W20)</f>
        <v>8.702</v>
      </c>
      <c r="E404" s="20" t="s">
        <v>3138</v>
      </c>
      <c r="M404" s="20" t="s">
        <v>3663</v>
      </c>
    </row>
    <row r="405" customFormat="false" ht="15" hidden="false" customHeight="false" outlineLevel="0" collapsed="false">
      <c r="A405" s="0" t="s">
        <v>3664</v>
      </c>
      <c r="B405" s="0" t="s">
        <v>1108</v>
      </c>
      <c r="C405" s="0" t="n">
        <v>2024</v>
      </c>
      <c r="D405" s="41" t="n">
        <f aca="false">IF(Funding!AC20="","",Funding!AC20)</f>
        <v>0.315904389795449</v>
      </c>
      <c r="E405" s="20" t="s">
        <v>3141</v>
      </c>
      <c r="M405" s="20" t="s">
        <v>3665</v>
      </c>
    </row>
    <row r="406" customFormat="false" ht="15" hidden="false" customHeight="false" outlineLevel="0" collapsed="false">
      <c r="A406" s="0" t="s">
        <v>3666</v>
      </c>
      <c r="B406" s="0" t="s">
        <v>1108</v>
      </c>
      <c r="C406" s="0" t="n">
        <v>2024</v>
      </c>
      <c r="D406" s="41" t="n">
        <f aca="false">IF(Funding!AD20="","",Funding!AD20)</f>
        <v>0</v>
      </c>
      <c r="E406" s="20" t="s">
        <v>3144</v>
      </c>
      <c r="M406" s="20" t="s">
        <v>3667</v>
      </c>
    </row>
    <row r="407" customFormat="false" ht="15" hidden="false" customHeight="false" outlineLevel="0" collapsed="false">
      <c r="A407" s="0" t="s">
        <v>3668</v>
      </c>
      <c r="B407" s="0" t="s">
        <v>1108</v>
      </c>
      <c r="C407" s="0" t="n">
        <v>2024</v>
      </c>
      <c r="D407" s="41" t="n">
        <f aca="false">IF(Funding!AE20="","",Funding!AE20)</f>
        <v>0</v>
      </c>
      <c r="E407" s="20" t="s">
        <v>3147</v>
      </c>
      <c r="M407" s="20" t="s">
        <v>3669</v>
      </c>
    </row>
    <row r="408" customFormat="false" ht="15" hidden="false" customHeight="false" outlineLevel="0" collapsed="false">
      <c r="A408" s="0" t="s">
        <v>3670</v>
      </c>
      <c r="B408" s="0" t="s">
        <v>1108</v>
      </c>
      <c r="C408" s="0" t="n">
        <v>2024</v>
      </c>
      <c r="D408" s="41" t="n">
        <f aca="false">IF(Funding!AF20="","",Funding!AF20)</f>
        <v>0.684095610204551</v>
      </c>
      <c r="E408" s="20" t="s">
        <v>3150</v>
      </c>
      <c r="M408" s="20" t="s">
        <v>3671</v>
      </c>
    </row>
    <row r="409" customFormat="false" ht="15" hidden="false" customHeight="false" outlineLevel="0" collapsed="false">
      <c r="A409" s="0" t="s">
        <v>3672</v>
      </c>
      <c r="B409" s="0" t="s">
        <v>1108</v>
      </c>
      <c r="C409" s="0" t="n">
        <v>2024</v>
      </c>
      <c r="D409" s="41" t="n">
        <f aca="false">IF(Funding!AG20="","",Funding!AG20)</f>
        <v>0</v>
      </c>
      <c r="E409" s="20" t="s">
        <v>3153</v>
      </c>
      <c r="M409" s="20" t="s">
        <v>3673</v>
      </c>
    </row>
    <row r="410" customFormat="false" ht="15" hidden="false" customHeight="false" outlineLevel="0" collapsed="false">
      <c r="A410" s="0" t="s">
        <v>3674</v>
      </c>
      <c r="B410" s="0" t="s">
        <v>1108</v>
      </c>
      <c r="C410" s="0" t="n">
        <v>2024</v>
      </c>
      <c r="D410" s="36" t="n">
        <f aca="false">IF(Funding!AL20="","",Funding!AL20)</f>
        <v>7.018</v>
      </c>
      <c r="E410" s="20" t="s">
        <v>3156</v>
      </c>
      <c r="M410" s="20" t="s">
        <v>3675</v>
      </c>
    </row>
    <row r="411" customFormat="false" ht="15" hidden="false" customHeight="false" outlineLevel="0" collapsed="false">
      <c r="A411" s="0" t="s">
        <v>3676</v>
      </c>
      <c r="B411" s="0" t="s">
        <v>1108</v>
      </c>
      <c r="C411" s="0" t="n">
        <v>2024</v>
      </c>
      <c r="D411" s="41" t="n">
        <f aca="false">IF(Funding!AM20="","",Funding!AM20)</f>
        <v>0.806481268673868</v>
      </c>
      <c r="E411" s="20" t="s">
        <v>3159</v>
      </c>
      <c r="M411" s="20" t="s">
        <v>3677</v>
      </c>
    </row>
    <row r="412" customFormat="false" ht="15" hidden="false" customHeight="false" outlineLevel="0" collapsed="false">
      <c r="A412" s="0" t="s">
        <v>3678</v>
      </c>
      <c r="B412" s="0" t="s">
        <v>1108</v>
      </c>
      <c r="C412" s="0" t="n">
        <v>2024</v>
      </c>
      <c r="D412" s="41" t="n">
        <f aca="false">IF(Funding!AN20="","",Funding!AN20)</f>
        <v>0.315904389795449</v>
      </c>
      <c r="E412" s="20" t="s">
        <v>3162</v>
      </c>
      <c r="M412" s="20" t="s">
        <v>3679</v>
      </c>
    </row>
    <row r="413" customFormat="false" ht="15" hidden="false" customHeight="false" outlineLevel="0" collapsed="false">
      <c r="A413" s="0" t="s">
        <v>3680</v>
      </c>
      <c r="B413" s="0" t="s">
        <v>1108</v>
      </c>
      <c r="C413" s="0" t="n">
        <v>2024</v>
      </c>
      <c r="D413" s="41" t="n">
        <f aca="false">IF(Funding!AO20="","",Funding!AO20)</f>
        <v>0.806481268673868</v>
      </c>
      <c r="E413" s="20" t="s">
        <v>3165</v>
      </c>
      <c r="M413" s="20" t="s">
        <v>3681</v>
      </c>
    </row>
    <row r="414" customFormat="false" ht="15" hidden="false" customHeight="false" outlineLevel="0" collapsed="false">
      <c r="A414" s="0" t="s">
        <v>3682</v>
      </c>
      <c r="B414" s="0" t="s">
        <v>1108</v>
      </c>
      <c r="C414" s="0" t="n">
        <v>2024</v>
      </c>
      <c r="D414" s="41" t="n">
        <f aca="false">IF(Funding!AP20="","",Funding!AP20)</f>
        <v>0</v>
      </c>
      <c r="E414" s="20" t="s">
        <v>3168</v>
      </c>
      <c r="M414" s="20" t="s">
        <v>3683</v>
      </c>
    </row>
    <row r="415" customFormat="false" ht="15" hidden="false" customHeight="false" outlineLevel="0" collapsed="false">
      <c r="A415" s="0" t="s">
        <v>3684</v>
      </c>
      <c r="B415" s="0" t="s">
        <v>1108</v>
      </c>
      <c r="C415" s="0" t="n">
        <v>2024</v>
      </c>
      <c r="D415" s="41" t="n">
        <f aca="false">IF(Funding!AQ20="","",Funding!AQ20)</f>
        <v>0</v>
      </c>
      <c r="E415" s="20" t="s">
        <v>3171</v>
      </c>
      <c r="M415" s="20" t="s">
        <v>3685</v>
      </c>
    </row>
    <row r="416" customFormat="false" ht="15" hidden="false" customHeight="false" outlineLevel="0" collapsed="false">
      <c r="A416" s="0" t="s">
        <v>3686</v>
      </c>
      <c r="B416" s="0" t="s">
        <v>1108</v>
      </c>
      <c r="C416" s="0" t="n">
        <v>2024</v>
      </c>
      <c r="D416" s="36" t="n">
        <f aca="false">IF(Funding!E20="","",Funding!E20)</f>
        <v>2.749</v>
      </c>
      <c r="E416" s="20" t="s">
        <v>1744</v>
      </c>
      <c r="M416" s="20" t="s">
        <v>3687</v>
      </c>
    </row>
    <row r="417" customFormat="false" ht="15" hidden="false" customHeight="false" outlineLevel="0" collapsed="false">
      <c r="A417" s="0" t="s">
        <v>3688</v>
      </c>
      <c r="B417" s="0" t="s">
        <v>1108</v>
      </c>
      <c r="C417" s="0" t="n">
        <v>2024</v>
      </c>
      <c r="D417" s="36" t="str">
        <f aca="false">IF(Funding!I20="","",Funding!I20)</f>
        <v/>
      </c>
      <c r="E417" s="20" t="s">
        <v>1750</v>
      </c>
      <c r="M417" s="20" t="s">
        <v>3689</v>
      </c>
    </row>
    <row r="418" customFormat="false" ht="15" hidden="false" customHeight="false" outlineLevel="0" collapsed="false">
      <c r="A418" s="0" t="s">
        <v>3690</v>
      </c>
      <c r="B418" s="0" t="s">
        <v>1108</v>
      </c>
      <c r="C418" s="0" t="n">
        <v>2024</v>
      </c>
      <c r="D418" s="36" t="str">
        <f aca="false">IF(Funding!O20="","",Funding!O20)</f>
        <v/>
      </c>
      <c r="E418" s="20" t="s">
        <v>3178</v>
      </c>
      <c r="M418" s="20" t="s">
        <v>3691</v>
      </c>
    </row>
    <row r="419" customFormat="false" ht="15" hidden="false" customHeight="false" outlineLevel="0" collapsed="false">
      <c r="A419" s="0" t="s">
        <v>3692</v>
      </c>
      <c r="B419" s="0" t="s">
        <v>1108</v>
      </c>
      <c r="C419" s="0" t="n">
        <v>2024</v>
      </c>
      <c r="D419" s="36" t="n">
        <f aca="false">N(Funding!J20)+N(Funding!K20)+N(Funding!L20)+N(Funding!M20)</f>
        <v>7.018</v>
      </c>
      <c r="E419" s="20" t="s">
        <v>3181</v>
      </c>
      <c r="M419" s="20" t="s">
        <v>3693</v>
      </c>
    </row>
    <row r="420" customFormat="false" ht="15" hidden="false" customHeight="false" outlineLevel="0" collapsed="false">
      <c r="A420" s="0" t="s">
        <v>3694</v>
      </c>
      <c r="B420" s="0" t="s">
        <v>1108</v>
      </c>
      <c r="C420" s="0" t="n">
        <v>2024</v>
      </c>
      <c r="D420" s="36" t="str">
        <f aca="false">IF(Funding!R20="","",Funding!R20)</f>
        <v/>
      </c>
      <c r="E420" s="20" t="s">
        <v>3184</v>
      </c>
      <c r="M420" s="20" t="s">
        <v>3695</v>
      </c>
    </row>
    <row r="421" customFormat="false" ht="15" hidden="false" customHeight="false" outlineLevel="0" collapsed="false">
      <c r="A421" s="0" t="s">
        <v>3696</v>
      </c>
      <c r="B421" s="0" t="s">
        <v>1108</v>
      </c>
      <c r="C421" s="0" t="n">
        <v>2025</v>
      </c>
      <c r="D421" s="36" t="n">
        <f aca="false">IF(Funding!W21="","",Funding!W21)</f>
        <v>10.309</v>
      </c>
      <c r="E421" s="20" t="s">
        <v>3138</v>
      </c>
      <c r="M421" s="20" t="s">
        <v>3697</v>
      </c>
    </row>
    <row r="422" customFormat="false" ht="15" hidden="false" customHeight="false" outlineLevel="0" collapsed="false">
      <c r="A422" s="0" t="s">
        <v>3698</v>
      </c>
      <c r="B422" s="0" t="s">
        <v>1108</v>
      </c>
      <c r="C422" s="0" t="n">
        <v>2025</v>
      </c>
      <c r="D422" s="41" t="n">
        <f aca="false">IF(Funding!AC21="","",Funding!AC21)</f>
        <v>0.296634009118246</v>
      </c>
      <c r="E422" s="20" t="s">
        <v>3141</v>
      </c>
      <c r="M422" s="20" t="s">
        <v>3699</v>
      </c>
    </row>
    <row r="423" customFormat="false" ht="15" hidden="false" customHeight="false" outlineLevel="0" collapsed="false">
      <c r="A423" s="0" t="s">
        <v>3700</v>
      </c>
      <c r="B423" s="0" t="s">
        <v>1108</v>
      </c>
      <c r="C423" s="0" t="n">
        <v>2025</v>
      </c>
      <c r="D423" s="41" t="n">
        <f aca="false">IF(Funding!AD21="","",Funding!AD21)</f>
        <v>0</v>
      </c>
      <c r="E423" s="20" t="s">
        <v>3144</v>
      </c>
      <c r="M423" s="20" t="s">
        <v>3701</v>
      </c>
    </row>
    <row r="424" customFormat="false" ht="15" hidden="false" customHeight="false" outlineLevel="0" collapsed="false">
      <c r="A424" s="0" t="s">
        <v>3702</v>
      </c>
      <c r="B424" s="0" t="s">
        <v>1108</v>
      </c>
      <c r="C424" s="0" t="n">
        <v>2025</v>
      </c>
      <c r="D424" s="41" t="n">
        <f aca="false">IF(Funding!AE21="","",Funding!AE21)</f>
        <v>0.144630905034436</v>
      </c>
      <c r="E424" s="20" t="s">
        <v>3147</v>
      </c>
      <c r="M424" s="20" t="s">
        <v>3703</v>
      </c>
    </row>
    <row r="425" customFormat="false" ht="15" hidden="false" customHeight="false" outlineLevel="0" collapsed="false">
      <c r="A425" s="0" t="s">
        <v>3704</v>
      </c>
      <c r="B425" s="0" t="s">
        <v>1108</v>
      </c>
      <c r="C425" s="0" t="n">
        <v>2025</v>
      </c>
      <c r="D425" s="41" t="n">
        <f aca="false">IF(Funding!AF21="","",Funding!AF21)</f>
        <v>0.558735085847318</v>
      </c>
      <c r="E425" s="20" t="s">
        <v>3150</v>
      </c>
      <c r="M425" s="20" t="s">
        <v>3705</v>
      </c>
    </row>
    <row r="426" customFormat="false" ht="15" hidden="false" customHeight="false" outlineLevel="0" collapsed="false">
      <c r="A426" s="0" t="s">
        <v>3706</v>
      </c>
      <c r="B426" s="0" t="s">
        <v>1108</v>
      </c>
      <c r="C426" s="0" t="n">
        <v>2025</v>
      </c>
      <c r="D426" s="41" t="n">
        <f aca="false">IF(Funding!AG21="","",Funding!AG21)</f>
        <v>0</v>
      </c>
      <c r="E426" s="20" t="s">
        <v>3153</v>
      </c>
      <c r="M426" s="20" t="s">
        <v>3707</v>
      </c>
    </row>
    <row r="427" customFormat="false" ht="15" hidden="false" customHeight="false" outlineLevel="0" collapsed="false">
      <c r="A427" s="0" t="s">
        <v>3708</v>
      </c>
      <c r="B427" s="0" t="s">
        <v>1108</v>
      </c>
      <c r="C427" s="0" t="n">
        <v>2025</v>
      </c>
      <c r="D427" s="36" t="n">
        <f aca="false">IF(Funding!AL21="","",Funding!AL21)</f>
        <v>13.32</v>
      </c>
      <c r="E427" s="20" t="s">
        <v>3156</v>
      </c>
      <c r="M427" s="20" t="s">
        <v>3709</v>
      </c>
    </row>
    <row r="428" customFormat="false" ht="15" hidden="false" customHeight="false" outlineLevel="0" collapsed="false">
      <c r="A428" s="0" t="s">
        <v>3710</v>
      </c>
      <c r="B428" s="0" t="s">
        <v>1108</v>
      </c>
      <c r="C428" s="0" t="n">
        <v>2025</v>
      </c>
      <c r="D428" s="41" t="n">
        <f aca="false">IF(Funding!AM21="","",Funding!AM21)</f>
        <v>1.29207488602192</v>
      </c>
      <c r="E428" s="20" t="s">
        <v>3159</v>
      </c>
      <c r="M428" s="20" t="s">
        <v>3711</v>
      </c>
    </row>
    <row r="429" customFormat="false" ht="15" hidden="false" customHeight="false" outlineLevel="0" collapsed="false">
      <c r="A429" s="0" t="s">
        <v>3712</v>
      </c>
      <c r="B429" s="0" t="s">
        <v>1108</v>
      </c>
      <c r="C429" s="0" t="n">
        <v>2025</v>
      </c>
      <c r="D429" s="41" t="n">
        <f aca="false">IF(Funding!AN21="","",Funding!AN21)</f>
        <v>0.296634009118246</v>
      </c>
      <c r="E429" s="20" t="s">
        <v>3162</v>
      </c>
      <c r="M429" s="20" t="s">
        <v>3713</v>
      </c>
    </row>
    <row r="430" customFormat="false" ht="15" hidden="false" customHeight="false" outlineLevel="0" collapsed="false">
      <c r="A430" s="0" t="s">
        <v>3714</v>
      </c>
      <c r="B430" s="0" t="s">
        <v>1108</v>
      </c>
      <c r="C430" s="0" t="n">
        <v>2025</v>
      </c>
      <c r="D430" s="41" t="n">
        <f aca="false">IF(Funding!AO21="","",Funding!AO21)</f>
        <v>1.14744398098749</v>
      </c>
      <c r="E430" s="20" t="s">
        <v>3165</v>
      </c>
      <c r="M430" s="20" t="s">
        <v>3715</v>
      </c>
    </row>
    <row r="431" customFormat="false" ht="15" hidden="false" customHeight="false" outlineLevel="0" collapsed="false">
      <c r="A431" s="0" t="s">
        <v>3716</v>
      </c>
      <c r="B431" s="0" t="s">
        <v>1108</v>
      </c>
      <c r="C431" s="0" t="n">
        <v>2025</v>
      </c>
      <c r="D431" s="41" t="n">
        <f aca="false">IF(Funding!AP21="","",Funding!AP21)</f>
        <v>0.144630905034436</v>
      </c>
      <c r="E431" s="20" t="s">
        <v>3168</v>
      </c>
      <c r="M431" s="20" t="s">
        <v>3717</v>
      </c>
    </row>
    <row r="432" customFormat="false" ht="15" hidden="false" customHeight="false" outlineLevel="0" collapsed="false">
      <c r="A432" s="0" t="s">
        <v>3718</v>
      </c>
      <c r="B432" s="0" t="s">
        <v>1108</v>
      </c>
      <c r="C432" s="0" t="n">
        <v>2025</v>
      </c>
      <c r="D432" s="41" t="n">
        <f aca="false">IF(Funding!AQ21="","",Funding!AQ21)</f>
        <v>0</v>
      </c>
      <c r="E432" s="20" t="s">
        <v>3171</v>
      </c>
      <c r="M432" s="20" t="s">
        <v>3719</v>
      </c>
    </row>
    <row r="433" customFormat="false" ht="15" hidden="false" customHeight="false" outlineLevel="0" collapsed="false">
      <c r="A433" s="0" t="s">
        <v>3720</v>
      </c>
      <c r="B433" s="0" t="s">
        <v>1108</v>
      </c>
      <c r="C433" s="0" t="n">
        <v>2025</v>
      </c>
      <c r="D433" s="36" t="n">
        <f aca="false">IF(Funding!E21="","",Funding!E21)</f>
        <v>3.058</v>
      </c>
      <c r="E433" s="20" t="s">
        <v>1744</v>
      </c>
      <c r="M433" s="20" t="s">
        <v>3721</v>
      </c>
    </row>
    <row r="434" customFormat="false" ht="15" hidden="false" customHeight="false" outlineLevel="0" collapsed="false">
      <c r="A434" s="0" t="s">
        <v>3722</v>
      </c>
      <c r="B434" s="0" t="s">
        <v>1108</v>
      </c>
      <c r="C434" s="0" t="n">
        <v>2025</v>
      </c>
      <c r="D434" s="36" t="str">
        <f aca="false">IF(Funding!I21="","",Funding!I21)</f>
        <v/>
      </c>
      <c r="E434" s="20" t="s">
        <v>1750</v>
      </c>
      <c r="M434" s="20" t="s">
        <v>3723</v>
      </c>
    </row>
    <row r="435" customFormat="false" ht="15" hidden="false" customHeight="false" outlineLevel="0" collapsed="false">
      <c r="A435" s="0" t="s">
        <v>3724</v>
      </c>
      <c r="B435" s="0" t="s">
        <v>1108</v>
      </c>
      <c r="C435" s="0" t="n">
        <v>2025</v>
      </c>
      <c r="D435" s="36" t="str">
        <f aca="false">IF(Funding!O21="","",Funding!O21)</f>
        <v/>
      </c>
      <c r="E435" s="20" t="s">
        <v>3178</v>
      </c>
      <c r="M435" s="20" t="s">
        <v>3725</v>
      </c>
    </row>
    <row r="436" customFormat="false" ht="15" hidden="false" customHeight="false" outlineLevel="0" collapsed="false">
      <c r="A436" s="0" t="s">
        <v>3726</v>
      </c>
      <c r="B436" s="0" t="s">
        <v>1108</v>
      </c>
      <c r="C436" s="0" t="n">
        <v>2025</v>
      </c>
      <c r="D436" s="36" t="n">
        <f aca="false">N(Funding!J21)+N(Funding!K21)+N(Funding!L21)+N(Funding!M21)</f>
        <v>11.829</v>
      </c>
      <c r="E436" s="20" t="s">
        <v>3181</v>
      </c>
      <c r="M436" s="20" t="s">
        <v>3727</v>
      </c>
    </row>
    <row r="437" customFormat="false" ht="15" hidden="false" customHeight="false" outlineLevel="0" collapsed="false">
      <c r="A437" s="0" t="s">
        <v>3728</v>
      </c>
      <c r="B437" s="0" t="s">
        <v>1108</v>
      </c>
      <c r="C437" s="0" t="n">
        <v>2025</v>
      </c>
      <c r="D437" s="36" t="n">
        <f aca="false">IF(Funding!R21="","",Funding!R21)</f>
        <v>1.491</v>
      </c>
      <c r="E437" s="20" t="s">
        <v>3184</v>
      </c>
      <c r="M437" s="20" t="s">
        <v>3729</v>
      </c>
    </row>
    <row r="438" customFormat="false" ht="15" hidden="false" customHeight="false" outlineLevel="0" collapsed="false">
      <c r="A438" s="0" t="s">
        <v>3730</v>
      </c>
      <c r="B438" s="0" t="s">
        <v>1108</v>
      </c>
      <c r="C438" s="0" t="n">
        <v>2026</v>
      </c>
      <c r="D438" s="36" t="n">
        <f aca="false">IF(Funding!W22="","",Funding!W22)</f>
        <v>14.117</v>
      </c>
      <c r="E438" s="20" t="s">
        <v>3138</v>
      </c>
      <c r="M438" s="20" t="s">
        <v>3731</v>
      </c>
    </row>
    <row r="439" customFormat="false" ht="15" hidden="false" customHeight="false" outlineLevel="0" collapsed="false">
      <c r="A439" s="0" t="s">
        <v>3732</v>
      </c>
      <c r="B439" s="0" t="s">
        <v>1108</v>
      </c>
      <c r="C439" s="0" t="n">
        <v>2026</v>
      </c>
      <c r="D439" s="41" t="n">
        <f aca="false">IF(Funding!AC22="","",Funding!AC22)</f>
        <v>0.259474392576326</v>
      </c>
      <c r="E439" s="20" t="s">
        <v>3141</v>
      </c>
      <c r="M439" s="20" t="s">
        <v>3733</v>
      </c>
    </row>
    <row r="440" customFormat="false" ht="15" hidden="false" customHeight="false" outlineLevel="0" collapsed="false">
      <c r="A440" s="0" t="s">
        <v>3734</v>
      </c>
      <c r="B440" s="0" t="s">
        <v>1108</v>
      </c>
      <c r="C440" s="0" t="n">
        <v>2026</v>
      </c>
      <c r="D440" s="41" t="n">
        <f aca="false">IF(Funding!AD22="","",Funding!AD22)</f>
        <v>0</v>
      </c>
      <c r="E440" s="20" t="s">
        <v>3144</v>
      </c>
      <c r="M440" s="20" t="s">
        <v>3735</v>
      </c>
    </row>
    <row r="441" customFormat="false" ht="15" hidden="false" customHeight="false" outlineLevel="0" collapsed="false">
      <c r="A441" s="0" t="s">
        <v>3736</v>
      </c>
      <c r="B441" s="0" t="s">
        <v>1108</v>
      </c>
      <c r="C441" s="0" t="n">
        <v>2026</v>
      </c>
      <c r="D441" s="41" t="n">
        <f aca="false">IF(Funding!AE22="","",Funding!AE22)</f>
        <v>0.211234681589573</v>
      </c>
      <c r="E441" s="20" t="s">
        <v>3147</v>
      </c>
      <c r="M441" s="20" t="s">
        <v>3737</v>
      </c>
    </row>
    <row r="442" customFormat="false" ht="15" hidden="false" customHeight="false" outlineLevel="0" collapsed="false">
      <c r="A442" s="0" t="s">
        <v>3738</v>
      </c>
      <c r="B442" s="0" t="s">
        <v>1108</v>
      </c>
      <c r="C442" s="0" t="n">
        <v>2026</v>
      </c>
      <c r="D442" s="41" t="n">
        <f aca="false">IF(Funding!AF22="","",Funding!AF22)</f>
        <v>0.529290925834101</v>
      </c>
      <c r="E442" s="20" t="s">
        <v>3150</v>
      </c>
      <c r="M442" s="20" t="s">
        <v>3739</v>
      </c>
    </row>
    <row r="443" customFormat="false" ht="15" hidden="false" customHeight="false" outlineLevel="0" collapsed="false">
      <c r="A443" s="0" t="s">
        <v>3740</v>
      </c>
      <c r="B443" s="0" t="s">
        <v>1108</v>
      </c>
      <c r="C443" s="0" t="n">
        <v>2026</v>
      </c>
      <c r="D443" s="41" t="n">
        <f aca="false">IF(Funding!AG22="","",Funding!AG22)</f>
        <v>0</v>
      </c>
      <c r="E443" s="20" t="s">
        <v>3153</v>
      </c>
      <c r="M443" s="20" t="s">
        <v>3741</v>
      </c>
    </row>
    <row r="444" customFormat="false" ht="15" hidden="false" customHeight="false" outlineLevel="0" collapsed="false">
      <c r="A444" s="0" t="s">
        <v>3742</v>
      </c>
      <c r="B444" s="0" t="s">
        <v>1108</v>
      </c>
      <c r="C444" s="0" t="n">
        <v>2026</v>
      </c>
      <c r="D444" s="36" t="n">
        <f aca="false">IF(Funding!AL22="","",Funding!AL22)</f>
        <v>19.729</v>
      </c>
      <c r="E444" s="20" t="s">
        <v>3156</v>
      </c>
      <c r="M444" s="20" t="s">
        <v>3743</v>
      </c>
    </row>
    <row r="445" customFormat="false" ht="15" hidden="false" customHeight="false" outlineLevel="0" collapsed="false">
      <c r="A445" s="0" t="s">
        <v>3744</v>
      </c>
      <c r="B445" s="0" t="s">
        <v>1108</v>
      </c>
      <c r="C445" s="0" t="n">
        <v>2026</v>
      </c>
      <c r="D445" s="41" t="n">
        <f aca="false">IF(Funding!AM22="","",Funding!AM22)</f>
        <v>1.39753488701565</v>
      </c>
      <c r="E445" s="20" t="s">
        <v>3159</v>
      </c>
      <c r="M445" s="20" t="s">
        <v>3745</v>
      </c>
    </row>
    <row r="446" customFormat="false" ht="15" hidden="false" customHeight="false" outlineLevel="0" collapsed="false">
      <c r="A446" s="0" t="s">
        <v>3746</v>
      </c>
      <c r="B446" s="0" t="s">
        <v>1108</v>
      </c>
      <c r="C446" s="0" t="n">
        <v>2026</v>
      </c>
      <c r="D446" s="41" t="n">
        <f aca="false">IF(Funding!AN22="","",Funding!AN22)</f>
        <v>0.259474392576326</v>
      </c>
      <c r="E446" s="20" t="s">
        <v>3162</v>
      </c>
      <c r="M446" s="20" t="s">
        <v>3747</v>
      </c>
    </row>
    <row r="447" customFormat="false" ht="15" hidden="false" customHeight="false" outlineLevel="0" collapsed="false">
      <c r="A447" s="0" t="s">
        <v>3748</v>
      </c>
      <c r="B447" s="0" t="s">
        <v>1108</v>
      </c>
      <c r="C447" s="0" t="n">
        <v>2026</v>
      </c>
      <c r="D447" s="41" t="n">
        <f aca="false">IF(Funding!AO22="","",Funding!AO22)</f>
        <v>1.18630020542608</v>
      </c>
      <c r="E447" s="20" t="s">
        <v>3165</v>
      </c>
      <c r="M447" s="20" t="s">
        <v>3749</v>
      </c>
    </row>
    <row r="448" customFormat="false" ht="15" hidden="false" customHeight="false" outlineLevel="0" collapsed="false">
      <c r="A448" s="0" t="s">
        <v>3750</v>
      </c>
      <c r="B448" s="0" t="s">
        <v>1108</v>
      </c>
      <c r="C448" s="0" t="n">
        <v>2026</v>
      </c>
      <c r="D448" s="41" t="n">
        <f aca="false">IF(Funding!AP22="","",Funding!AP22)</f>
        <v>0.211234681589573</v>
      </c>
      <c r="E448" s="20" t="s">
        <v>3168</v>
      </c>
      <c r="M448" s="20" t="s">
        <v>3751</v>
      </c>
    </row>
    <row r="449" customFormat="false" ht="15" hidden="false" customHeight="false" outlineLevel="0" collapsed="false">
      <c r="A449" s="0" t="s">
        <v>3752</v>
      </c>
      <c r="B449" s="0" t="s">
        <v>1108</v>
      </c>
      <c r="C449" s="0" t="n">
        <v>2026</v>
      </c>
      <c r="D449" s="41" t="n">
        <f aca="false">IF(Funding!AQ22="","",Funding!AQ22)</f>
        <v>0</v>
      </c>
      <c r="E449" s="20" t="s">
        <v>3171</v>
      </c>
      <c r="M449" s="20" t="s">
        <v>3753</v>
      </c>
    </row>
    <row r="450" customFormat="false" ht="15" hidden="false" customHeight="false" outlineLevel="0" collapsed="false">
      <c r="A450" s="0" t="s">
        <v>3754</v>
      </c>
      <c r="B450" s="0" t="s">
        <v>1108</v>
      </c>
      <c r="C450" s="0" t="n">
        <v>2026</v>
      </c>
      <c r="D450" s="36" t="n">
        <f aca="false">IF(Funding!E22="","",Funding!E22)</f>
        <v>3.663</v>
      </c>
      <c r="E450" s="20" t="s">
        <v>1744</v>
      </c>
      <c r="M450" s="20" t="s">
        <v>3755</v>
      </c>
    </row>
    <row r="451" customFormat="false" ht="15" hidden="false" customHeight="false" outlineLevel="0" collapsed="false">
      <c r="A451" s="0" t="s">
        <v>3756</v>
      </c>
      <c r="B451" s="0" t="s">
        <v>1108</v>
      </c>
      <c r="C451" s="0" t="n">
        <v>2026</v>
      </c>
      <c r="D451" s="36" t="str">
        <f aca="false">IF(Funding!I22="","",Funding!I22)</f>
        <v/>
      </c>
      <c r="E451" s="20" t="s">
        <v>1750</v>
      </c>
      <c r="M451" s="20" t="s">
        <v>3757</v>
      </c>
    </row>
    <row r="452" customFormat="false" ht="15" hidden="false" customHeight="false" outlineLevel="0" collapsed="false">
      <c r="A452" s="0" t="s">
        <v>3758</v>
      </c>
      <c r="B452" s="0" t="s">
        <v>1108</v>
      </c>
      <c r="C452" s="0" t="n">
        <v>2026</v>
      </c>
      <c r="D452" s="36" t="str">
        <f aca="false">IF(Funding!O22="","",Funding!O22)</f>
        <v/>
      </c>
      <c r="E452" s="20" t="s">
        <v>3178</v>
      </c>
      <c r="M452" s="20" t="s">
        <v>3759</v>
      </c>
    </row>
    <row r="453" customFormat="false" ht="15" hidden="false" customHeight="false" outlineLevel="0" collapsed="false">
      <c r="A453" s="0" t="s">
        <v>3760</v>
      </c>
      <c r="B453" s="0" t="s">
        <v>1108</v>
      </c>
      <c r="C453" s="0" t="n">
        <v>2026</v>
      </c>
      <c r="D453" s="36" t="n">
        <f aca="false">N(Funding!J22)+N(Funding!K22)+N(Funding!L22)+N(Funding!M22)</f>
        <v>16.747</v>
      </c>
      <c r="E453" s="20" t="s">
        <v>3181</v>
      </c>
      <c r="M453" s="20" t="s">
        <v>3761</v>
      </c>
    </row>
    <row r="454" customFormat="false" ht="15" hidden="false" customHeight="false" outlineLevel="0" collapsed="false">
      <c r="A454" s="0" t="s">
        <v>3762</v>
      </c>
      <c r="B454" s="0" t="s">
        <v>1108</v>
      </c>
      <c r="C454" s="0" t="n">
        <v>2026</v>
      </c>
      <c r="D454" s="36" t="n">
        <f aca="false">IF(Funding!R22="","",Funding!R22)</f>
        <v>2.982</v>
      </c>
      <c r="E454" s="20" t="s">
        <v>3184</v>
      </c>
      <c r="M454" s="20" t="s">
        <v>3763</v>
      </c>
    </row>
    <row r="455" customFormat="false" ht="15" hidden="false" customHeight="false" outlineLevel="0" collapsed="false">
      <c r="A455" s="0" t="s">
        <v>3764</v>
      </c>
      <c r="B455" s="0" t="s">
        <v>1127</v>
      </c>
      <c r="C455" s="0" t="n">
        <v>2025</v>
      </c>
      <c r="D455" s="36" t="n">
        <f aca="false">IF(Funding!W23="","",Funding!W23)</f>
        <v>4.1</v>
      </c>
      <c r="E455" s="20" t="s">
        <v>3138</v>
      </c>
      <c r="M455" s="20" t="s">
        <v>3765</v>
      </c>
    </row>
    <row r="456" customFormat="false" ht="15" hidden="false" customHeight="false" outlineLevel="0" collapsed="false">
      <c r="A456" s="0" t="s">
        <v>3766</v>
      </c>
      <c r="B456" s="0" t="s">
        <v>1127</v>
      </c>
      <c r="C456" s="0" t="n">
        <v>2025</v>
      </c>
      <c r="D456" s="41" t="str">
        <f aca="false">IF(Funding!AC23="","",Funding!AC23)</f>
        <v/>
      </c>
      <c r="E456" s="20" t="s">
        <v>3141</v>
      </c>
      <c r="M456" s="20" t="s">
        <v>3767</v>
      </c>
    </row>
    <row r="457" customFormat="false" ht="15" hidden="false" customHeight="false" outlineLevel="0" collapsed="false">
      <c r="A457" s="0" t="s">
        <v>3768</v>
      </c>
      <c r="B457" s="0" t="s">
        <v>1127</v>
      </c>
      <c r="C457" s="0" t="n">
        <v>2025</v>
      </c>
      <c r="D457" s="41" t="n">
        <f aca="false">IF(Funding!AD23="","",Funding!AD23)</f>
        <v>0</v>
      </c>
      <c r="E457" s="20" t="s">
        <v>3144</v>
      </c>
      <c r="M457" s="20" t="s">
        <v>3769</v>
      </c>
    </row>
    <row r="458" customFormat="false" ht="15" hidden="false" customHeight="false" outlineLevel="0" collapsed="false">
      <c r="A458" s="0" t="s">
        <v>3770</v>
      </c>
      <c r="B458" s="0" t="s">
        <v>1127</v>
      </c>
      <c r="C458" s="0" t="n">
        <v>2025</v>
      </c>
      <c r="D458" s="41" t="n">
        <f aca="false">IF(Funding!AE23="","",Funding!AE23)</f>
        <v>0</v>
      </c>
      <c r="E458" s="20" t="s">
        <v>3147</v>
      </c>
      <c r="M458" s="20" t="s">
        <v>3771</v>
      </c>
    </row>
    <row r="459" customFormat="false" ht="15" hidden="false" customHeight="false" outlineLevel="0" collapsed="false">
      <c r="A459" s="0" t="s">
        <v>3772</v>
      </c>
      <c r="B459" s="0" t="s">
        <v>1127</v>
      </c>
      <c r="C459" s="0" t="n">
        <v>2025</v>
      </c>
      <c r="D459" s="41" t="n">
        <f aca="false">IF(Funding!AF23="","",Funding!AF23)</f>
        <v>0</v>
      </c>
      <c r="E459" s="20" t="s">
        <v>3150</v>
      </c>
      <c r="M459" s="20" t="s">
        <v>3773</v>
      </c>
    </row>
    <row r="460" customFormat="false" ht="15" hidden="false" customHeight="false" outlineLevel="0" collapsed="false">
      <c r="A460" s="0" t="s">
        <v>3774</v>
      </c>
      <c r="B460" s="0" t="s">
        <v>1127</v>
      </c>
      <c r="C460" s="0" t="n">
        <v>2025</v>
      </c>
      <c r="D460" s="41" t="n">
        <f aca="false">IF(Funding!AG23="","",Funding!AG23)</f>
        <v>1</v>
      </c>
      <c r="E460" s="20" t="s">
        <v>3153</v>
      </c>
      <c r="M460" s="20" t="s">
        <v>3775</v>
      </c>
    </row>
    <row r="461" customFormat="false" ht="15" hidden="false" customHeight="false" outlineLevel="0" collapsed="false">
      <c r="A461" s="0" t="s">
        <v>3776</v>
      </c>
      <c r="B461" s="0" t="s">
        <v>1127</v>
      </c>
      <c r="C461" s="0" t="n">
        <v>2025</v>
      </c>
      <c r="D461" s="36" t="n">
        <f aca="false">IF(Funding!AL23="","",Funding!AL23)</f>
        <v>0</v>
      </c>
      <c r="E461" s="20" t="s">
        <v>3156</v>
      </c>
      <c r="M461" s="20" t="s">
        <v>3777</v>
      </c>
    </row>
    <row r="462" customFormat="false" ht="15" hidden="false" customHeight="false" outlineLevel="0" collapsed="false">
      <c r="A462" s="0" t="s">
        <v>3778</v>
      </c>
      <c r="B462" s="0" t="s">
        <v>1127</v>
      </c>
      <c r="C462" s="0" t="n">
        <v>2025</v>
      </c>
      <c r="D462" s="41" t="n">
        <f aca="false">IF(Funding!AM23="","",Funding!AM23)</f>
        <v>0</v>
      </c>
      <c r="E462" s="20" t="s">
        <v>3159</v>
      </c>
      <c r="M462" s="20" t="s">
        <v>3779</v>
      </c>
    </row>
    <row r="463" customFormat="false" ht="15" hidden="false" customHeight="false" outlineLevel="0" collapsed="false">
      <c r="A463" s="0" t="s">
        <v>3780</v>
      </c>
      <c r="B463" s="0" t="s">
        <v>1127</v>
      </c>
      <c r="C463" s="0" t="n">
        <v>2025</v>
      </c>
      <c r="D463" s="41" t="str">
        <f aca="false">IF(Funding!AN23="","",Funding!AN23)</f>
        <v/>
      </c>
      <c r="E463" s="20" t="s">
        <v>3162</v>
      </c>
      <c r="M463" s="20" t="s">
        <v>3781</v>
      </c>
    </row>
    <row r="464" customFormat="false" ht="15" hidden="false" customHeight="false" outlineLevel="0" collapsed="false">
      <c r="A464" s="0" t="s">
        <v>3782</v>
      </c>
      <c r="B464" s="0" t="s">
        <v>1127</v>
      </c>
      <c r="C464" s="0" t="n">
        <v>2025</v>
      </c>
      <c r="D464" s="41" t="n">
        <f aca="false">IF(Funding!AO23="","",Funding!AO23)</f>
        <v>0</v>
      </c>
      <c r="E464" s="20" t="s">
        <v>3165</v>
      </c>
      <c r="M464" s="20" t="s">
        <v>3783</v>
      </c>
    </row>
    <row r="465" customFormat="false" ht="15" hidden="false" customHeight="false" outlineLevel="0" collapsed="false">
      <c r="A465" s="0" t="s">
        <v>3784</v>
      </c>
      <c r="B465" s="0" t="s">
        <v>1127</v>
      </c>
      <c r="C465" s="0" t="n">
        <v>2025</v>
      </c>
      <c r="D465" s="41" t="n">
        <f aca="false">IF(Funding!AP23="","",Funding!AP23)</f>
        <v>0</v>
      </c>
      <c r="E465" s="20" t="s">
        <v>3168</v>
      </c>
      <c r="M465" s="20" t="s">
        <v>3785</v>
      </c>
    </row>
    <row r="466" customFormat="false" ht="15" hidden="false" customHeight="false" outlineLevel="0" collapsed="false">
      <c r="A466" s="0" t="s">
        <v>3786</v>
      </c>
      <c r="B466" s="0" t="s">
        <v>1127</v>
      </c>
      <c r="C466" s="0" t="n">
        <v>2025</v>
      </c>
      <c r="D466" s="41" t="n">
        <f aca="false">IF(Funding!AQ23="","",Funding!AQ23)</f>
        <v>0</v>
      </c>
      <c r="E466" s="20" t="s">
        <v>3171</v>
      </c>
      <c r="M466" s="20" t="s">
        <v>3787</v>
      </c>
    </row>
    <row r="467" customFormat="false" ht="15" hidden="false" customHeight="false" outlineLevel="0" collapsed="false">
      <c r="A467" s="0" t="s">
        <v>3788</v>
      </c>
      <c r="B467" s="0" t="s">
        <v>1127</v>
      </c>
      <c r="C467" s="0" t="n">
        <v>2025</v>
      </c>
      <c r="D467" s="36" t="str">
        <f aca="false">IF(Funding!E23="","",Funding!E23)</f>
        <v/>
      </c>
      <c r="E467" s="20" t="s">
        <v>1744</v>
      </c>
      <c r="M467" s="20" t="s">
        <v>3789</v>
      </c>
    </row>
    <row r="468" customFormat="false" ht="15" hidden="false" customHeight="false" outlineLevel="0" collapsed="false">
      <c r="A468" s="0" t="s">
        <v>3790</v>
      </c>
      <c r="B468" s="0" t="s">
        <v>1127</v>
      </c>
      <c r="C468" s="0" t="n">
        <v>2025</v>
      </c>
      <c r="D468" s="36" t="str">
        <f aca="false">IF(Funding!I23="","",Funding!I23)</f>
        <v/>
      </c>
      <c r="E468" s="20" t="s">
        <v>1750</v>
      </c>
      <c r="M468" s="20" t="s">
        <v>3791</v>
      </c>
    </row>
    <row r="469" customFormat="false" ht="15" hidden="false" customHeight="false" outlineLevel="0" collapsed="false">
      <c r="A469" s="0" t="s">
        <v>3792</v>
      </c>
      <c r="B469" s="0" t="s">
        <v>1127</v>
      </c>
      <c r="C469" s="0" t="n">
        <v>2025</v>
      </c>
      <c r="D469" s="36" t="str">
        <f aca="false">IF(Funding!O23="","",Funding!O23)</f>
        <v/>
      </c>
      <c r="E469" s="20" t="s">
        <v>3178</v>
      </c>
      <c r="M469" s="20" t="s">
        <v>3793</v>
      </c>
    </row>
    <row r="470" customFormat="false" ht="15" hidden="false" customHeight="false" outlineLevel="0" collapsed="false">
      <c r="A470" s="0" t="s">
        <v>3794</v>
      </c>
      <c r="B470" s="0" t="s">
        <v>1127</v>
      </c>
      <c r="C470" s="0" t="n">
        <v>2025</v>
      </c>
      <c r="D470" s="36" t="n">
        <f aca="false">N(Funding!J23)+N(Funding!K23)+N(Funding!L23)+N(Funding!M23)</f>
        <v>0</v>
      </c>
      <c r="E470" s="20" t="s">
        <v>3181</v>
      </c>
      <c r="M470" s="20" t="s">
        <v>3795</v>
      </c>
    </row>
    <row r="471" customFormat="false" ht="15" hidden="false" customHeight="false" outlineLevel="0" collapsed="false">
      <c r="A471" s="0" t="s">
        <v>3796</v>
      </c>
      <c r="B471" s="0" t="s">
        <v>1127</v>
      </c>
      <c r="C471" s="0" t="n">
        <v>2025</v>
      </c>
      <c r="D471" s="36" t="str">
        <f aca="false">IF(Funding!R23="","",Funding!R23)</f>
        <v/>
      </c>
      <c r="E471" s="20" t="s">
        <v>3184</v>
      </c>
      <c r="M471" s="20" t="s">
        <v>3797</v>
      </c>
    </row>
    <row r="472" customFormat="false" ht="15" hidden="false" customHeight="false" outlineLevel="0" collapsed="false">
      <c r="A472" s="0" t="s">
        <v>3798</v>
      </c>
      <c r="B472" s="0" t="s">
        <v>1127</v>
      </c>
      <c r="C472" s="0" t="n">
        <v>2026</v>
      </c>
      <c r="D472" s="36" t="n">
        <f aca="false">IF(Funding!W24="","",Funding!W24)</f>
        <v>8.13</v>
      </c>
      <c r="E472" s="20" t="s">
        <v>3138</v>
      </c>
      <c r="M472" s="20" t="s">
        <v>3799</v>
      </c>
    </row>
    <row r="473" customFormat="false" ht="15" hidden="false" customHeight="false" outlineLevel="0" collapsed="false">
      <c r="A473" s="0" t="s">
        <v>3800</v>
      </c>
      <c r="B473" s="0" t="s">
        <v>1127</v>
      </c>
      <c r="C473" s="0" t="n">
        <v>2026</v>
      </c>
      <c r="D473" s="41" t="str">
        <f aca="false">IF(Funding!AC24="","",Funding!AC24)</f>
        <v/>
      </c>
      <c r="E473" s="20" t="s">
        <v>3141</v>
      </c>
      <c r="M473" s="20" t="s">
        <v>3801</v>
      </c>
    </row>
    <row r="474" customFormat="false" ht="15" hidden="false" customHeight="false" outlineLevel="0" collapsed="false">
      <c r="A474" s="0" t="s">
        <v>3802</v>
      </c>
      <c r="B474" s="0" t="s">
        <v>1127</v>
      </c>
      <c r="C474" s="0" t="n">
        <v>2026</v>
      </c>
      <c r="D474" s="41" t="n">
        <f aca="false">IF(Funding!AD24="","",Funding!AD24)</f>
        <v>0</v>
      </c>
      <c r="E474" s="20" t="s">
        <v>3144</v>
      </c>
      <c r="M474" s="20" t="s">
        <v>3803</v>
      </c>
    </row>
    <row r="475" customFormat="false" ht="15" hidden="false" customHeight="false" outlineLevel="0" collapsed="false">
      <c r="A475" s="0" t="s">
        <v>3804</v>
      </c>
      <c r="B475" s="0" t="s">
        <v>1127</v>
      </c>
      <c r="C475" s="0" t="n">
        <v>2026</v>
      </c>
      <c r="D475" s="41" t="n">
        <f aca="false">IF(Funding!AE24="","",Funding!AE24)</f>
        <v>0.591758917589176</v>
      </c>
      <c r="E475" s="20" t="s">
        <v>3147</v>
      </c>
      <c r="M475" s="20" t="s">
        <v>3805</v>
      </c>
    </row>
    <row r="476" customFormat="false" ht="15" hidden="false" customHeight="false" outlineLevel="0" collapsed="false">
      <c r="A476" s="0" t="s">
        <v>3806</v>
      </c>
      <c r="B476" s="0" t="s">
        <v>1127</v>
      </c>
      <c r="C476" s="0" t="n">
        <v>2026</v>
      </c>
      <c r="D476" s="41" t="n">
        <f aca="false">IF(Funding!AF24="","",Funding!AF24)</f>
        <v>0.408241082410824</v>
      </c>
      <c r="E476" s="20" t="s">
        <v>3150</v>
      </c>
      <c r="M476" s="20" t="s">
        <v>3807</v>
      </c>
    </row>
    <row r="477" customFormat="false" ht="15" hidden="false" customHeight="false" outlineLevel="0" collapsed="false">
      <c r="A477" s="0" t="s">
        <v>3808</v>
      </c>
      <c r="B477" s="0" t="s">
        <v>1127</v>
      </c>
      <c r="C477" s="0" t="n">
        <v>2026</v>
      </c>
      <c r="D477" s="41" t="n">
        <f aca="false">IF(Funding!AG24="","",Funding!AG24)</f>
        <v>0</v>
      </c>
      <c r="E477" s="20" t="s">
        <v>3153</v>
      </c>
      <c r="M477" s="20" t="s">
        <v>3809</v>
      </c>
    </row>
    <row r="478" customFormat="false" ht="15" hidden="false" customHeight="false" outlineLevel="0" collapsed="false">
      <c r="A478" s="0" t="s">
        <v>3810</v>
      </c>
      <c r="B478" s="0" t="s">
        <v>1127</v>
      </c>
      <c r="C478" s="0" t="n">
        <v>2026</v>
      </c>
      <c r="D478" s="36" t="n">
        <f aca="false">IF(Funding!AL24="","",Funding!AL24)</f>
        <v>9.149</v>
      </c>
      <c r="E478" s="20" t="s">
        <v>3156</v>
      </c>
      <c r="M478" s="20" t="s">
        <v>3811</v>
      </c>
    </row>
    <row r="479" customFormat="false" ht="15" hidden="false" customHeight="false" outlineLevel="0" collapsed="false">
      <c r="A479" s="0" t="s">
        <v>3812</v>
      </c>
      <c r="B479" s="0" t="s">
        <v>1127</v>
      </c>
      <c r="C479" s="0" t="n">
        <v>2026</v>
      </c>
      <c r="D479" s="41" t="n">
        <f aca="false">IF(Funding!AM24="","",Funding!AM24)</f>
        <v>1.12533825338253</v>
      </c>
      <c r="E479" s="20" t="s">
        <v>3159</v>
      </c>
      <c r="M479" s="20" t="s">
        <v>3813</v>
      </c>
    </row>
    <row r="480" customFormat="false" ht="15" hidden="false" customHeight="false" outlineLevel="0" collapsed="false">
      <c r="A480" s="0" t="s">
        <v>3814</v>
      </c>
      <c r="B480" s="0" t="s">
        <v>1127</v>
      </c>
      <c r="C480" s="0" t="n">
        <v>2026</v>
      </c>
      <c r="D480" s="41" t="str">
        <f aca="false">IF(Funding!AN24="","",Funding!AN24)</f>
        <v/>
      </c>
      <c r="E480" s="20" t="s">
        <v>3162</v>
      </c>
      <c r="M480" s="20" t="s">
        <v>3815</v>
      </c>
    </row>
    <row r="481" customFormat="false" ht="15" hidden="false" customHeight="false" outlineLevel="0" collapsed="false">
      <c r="A481" s="0" t="s">
        <v>3816</v>
      </c>
      <c r="B481" s="0" t="s">
        <v>1127</v>
      </c>
      <c r="C481" s="0" t="n">
        <v>2026</v>
      </c>
      <c r="D481" s="41" t="n">
        <f aca="false">IF(Funding!AO24="","",Funding!AO24)</f>
        <v>0.533579335793358</v>
      </c>
      <c r="E481" s="20" t="s">
        <v>3165</v>
      </c>
      <c r="M481" s="20" t="s">
        <v>3817</v>
      </c>
    </row>
    <row r="482" customFormat="false" ht="15" hidden="false" customHeight="false" outlineLevel="0" collapsed="false">
      <c r="A482" s="0" t="s">
        <v>3818</v>
      </c>
      <c r="B482" s="0" t="s">
        <v>1127</v>
      </c>
      <c r="C482" s="0" t="n">
        <v>2026</v>
      </c>
      <c r="D482" s="41" t="n">
        <f aca="false">IF(Funding!AP24="","",Funding!AP24)</f>
        <v>0.591758917589176</v>
      </c>
      <c r="E482" s="20" t="s">
        <v>3168</v>
      </c>
      <c r="M482" s="20" t="s">
        <v>3819</v>
      </c>
    </row>
    <row r="483" customFormat="false" ht="15" hidden="false" customHeight="false" outlineLevel="0" collapsed="false">
      <c r="A483" s="0" t="s">
        <v>3820</v>
      </c>
      <c r="B483" s="0" t="s">
        <v>1127</v>
      </c>
      <c r="C483" s="0" t="n">
        <v>2026</v>
      </c>
      <c r="D483" s="41" t="n">
        <f aca="false">IF(Funding!AQ24="","",Funding!AQ24)</f>
        <v>0</v>
      </c>
      <c r="E483" s="20" t="s">
        <v>3171</v>
      </c>
      <c r="M483" s="20" t="s">
        <v>3821</v>
      </c>
    </row>
    <row r="484" customFormat="false" ht="15" hidden="false" customHeight="false" outlineLevel="0" collapsed="false">
      <c r="A484" s="0" t="s">
        <v>3822</v>
      </c>
      <c r="B484" s="0" t="s">
        <v>1127</v>
      </c>
      <c r="C484" s="0" t="n">
        <v>2026</v>
      </c>
      <c r="D484" s="36" t="str">
        <f aca="false">IF(Funding!E24="","",Funding!E24)</f>
        <v/>
      </c>
      <c r="E484" s="20" t="s">
        <v>1744</v>
      </c>
      <c r="M484" s="20" t="s">
        <v>3823</v>
      </c>
    </row>
    <row r="485" customFormat="false" ht="15" hidden="false" customHeight="false" outlineLevel="0" collapsed="false">
      <c r="A485" s="0" t="s">
        <v>3824</v>
      </c>
      <c r="B485" s="0" t="s">
        <v>1127</v>
      </c>
      <c r="C485" s="0" t="n">
        <v>2026</v>
      </c>
      <c r="D485" s="36" t="n">
        <f aca="false">IF(Funding!I24="","",Funding!I24)</f>
        <v>-3.626</v>
      </c>
      <c r="E485" s="20" t="s">
        <v>1750</v>
      </c>
      <c r="M485" s="20" t="s">
        <v>3825</v>
      </c>
    </row>
    <row r="486" customFormat="false" ht="15" hidden="false" customHeight="false" outlineLevel="0" collapsed="false">
      <c r="A486" s="0" t="s">
        <v>3826</v>
      </c>
      <c r="B486" s="0" t="s">
        <v>1127</v>
      </c>
      <c r="C486" s="0" t="n">
        <v>2026</v>
      </c>
      <c r="D486" s="36" t="n">
        <f aca="false">IF(Funding!O24="","",Funding!O24)</f>
        <v>12.054</v>
      </c>
      <c r="E486" s="20" t="s">
        <v>3178</v>
      </c>
      <c r="M486" s="20" t="s">
        <v>3827</v>
      </c>
    </row>
    <row r="487" customFormat="false" ht="15" hidden="false" customHeight="false" outlineLevel="0" collapsed="false">
      <c r="A487" s="0" t="s">
        <v>3828</v>
      </c>
      <c r="B487" s="0" t="s">
        <v>1127</v>
      </c>
      <c r="C487" s="0" t="n">
        <v>2026</v>
      </c>
      <c r="D487" s="36" t="n">
        <f aca="false">N(Funding!J24)+N(Funding!K24)+N(Funding!L24)+N(Funding!M24)</f>
        <v>4.338</v>
      </c>
      <c r="E487" s="20" t="s">
        <v>3181</v>
      </c>
      <c r="M487" s="20" t="s">
        <v>3829</v>
      </c>
    </row>
    <row r="488" customFormat="false" ht="15" hidden="false" customHeight="false" outlineLevel="0" collapsed="false">
      <c r="A488" s="0" t="s">
        <v>3830</v>
      </c>
      <c r="B488" s="0" t="s">
        <v>1127</v>
      </c>
      <c r="C488" s="0" t="n">
        <v>2026</v>
      </c>
      <c r="D488" s="36" t="n">
        <f aca="false">IF(Funding!R24="","",Funding!R24)</f>
        <v>4.811</v>
      </c>
      <c r="E488" s="20" t="s">
        <v>3184</v>
      </c>
      <c r="M488" s="20" t="s">
        <v>3831</v>
      </c>
    </row>
    <row r="489" customFormat="false" ht="17.15" hidden="false" customHeight="false" outlineLevel="0" collapsed="false">
      <c r="A489" s="0" t="s">
        <v>3832</v>
      </c>
      <c r="B489" s="0" t="s">
        <v>1338</v>
      </c>
      <c r="C489" s="0" t="n">
        <v>2025</v>
      </c>
      <c r="D489" s="36" t="n">
        <f aca="false">IF(Funding!W25="","",Funding!W25)</f>
        <v>20.7</v>
      </c>
      <c r="E489" s="20" t="s">
        <v>3138</v>
      </c>
      <c r="M489" s="20" t="s">
        <v>3833</v>
      </c>
    </row>
    <row r="490" customFormat="false" ht="17.15" hidden="false" customHeight="false" outlineLevel="0" collapsed="false">
      <c r="A490" s="0" t="s">
        <v>3834</v>
      </c>
      <c r="B490" s="0" t="s">
        <v>1338</v>
      </c>
      <c r="C490" s="0" t="n">
        <v>2025</v>
      </c>
      <c r="D490" s="41" t="n">
        <f aca="false">IF(Funding!AC25="","",Funding!AC25)</f>
        <v>0.328502415458937</v>
      </c>
      <c r="E490" s="20" t="s">
        <v>3141</v>
      </c>
      <c r="M490" s="20" t="s">
        <v>3835</v>
      </c>
    </row>
    <row r="491" customFormat="false" ht="17.15" hidden="false" customHeight="false" outlineLevel="0" collapsed="false">
      <c r="A491" s="0" t="s">
        <v>3836</v>
      </c>
      <c r="B491" s="0" t="s">
        <v>1338</v>
      </c>
      <c r="C491" s="0" t="n">
        <v>2025</v>
      </c>
      <c r="D491" s="41" t="n">
        <f aca="false">IF(Funding!AD25="","",Funding!AD25)</f>
        <v>0</v>
      </c>
      <c r="E491" s="20" t="s">
        <v>3144</v>
      </c>
      <c r="M491" s="20" t="s">
        <v>3837</v>
      </c>
    </row>
    <row r="492" customFormat="false" ht="17.15" hidden="false" customHeight="false" outlineLevel="0" collapsed="false">
      <c r="A492" s="0" t="s">
        <v>3838</v>
      </c>
      <c r="B492" s="0" t="s">
        <v>1338</v>
      </c>
      <c r="C492" s="0" t="n">
        <v>2025</v>
      </c>
      <c r="D492" s="41" t="n">
        <f aca="false">IF(Funding!AE25="","",Funding!AE25)</f>
        <v>0</v>
      </c>
      <c r="E492" s="20" t="s">
        <v>3147</v>
      </c>
      <c r="M492" s="20" t="s">
        <v>3839</v>
      </c>
    </row>
    <row r="493" customFormat="false" ht="17.15" hidden="false" customHeight="false" outlineLevel="0" collapsed="false">
      <c r="A493" s="0" t="s">
        <v>3840</v>
      </c>
      <c r="B493" s="0" t="s">
        <v>1338</v>
      </c>
      <c r="C493" s="0" t="n">
        <v>2025</v>
      </c>
      <c r="D493" s="41" t="n">
        <f aca="false">IF(Funding!AF25="","",Funding!AF25)</f>
        <v>0.671497584541063</v>
      </c>
      <c r="E493" s="20" t="s">
        <v>3150</v>
      </c>
      <c r="M493" s="20" t="s">
        <v>3841</v>
      </c>
    </row>
    <row r="494" customFormat="false" ht="17.15" hidden="false" customHeight="false" outlineLevel="0" collapsed="false">
      <c r="A494" s="0" t="s">
        <v>3842</v>
      </c>
      <c r="B494" s="0" t="s">
        <v>1338</v>
      </c>
      <c r="C494" s="0" t="n">
        <v>2025</v>
      </c>
      <c r="D494" s="41" t="n">
        <f aca="false">IF(Funding!AG25="","",Funding!AG25)</f>
        <v>0</v>
      </c>
      <c r="E494" s="20" t="s">
        <v>3153</v>
      </c>
      <c r="M494" s="20" t="s">
        <v>3843</v>
      </c>
    </row>
    <row r="495" customFormat="false" ht="17.15" hidden="false" customHeight="false" outlineLevel="0" collapsed="false">
      <c r="A495" s="0" t="s">
        <v>3844</v>
      </c>
      <c r="B495" s="0" t="s">
        <v>1338</v>
      </c>
      <c r="C495" s="0" t="n">
        <v>2025</v>
      </c>
      <c r="D495" s="36" t="n">
        <f aca="false">IF(Funding!AL25="","",Funding!AL25)</f>
        <v>16</v>
      </c>
      <c r="E495" s="20" t="s">
        <v>3156</v>
      </c>
      <c r="M495" s="20" t="s">
        <v>3845</v>
      </c>
    </row>
    <row r="496" customFormat="false" ht="17.15" hidden="false" customHeight="false" outlineLevel="0" collapsed="false">
      <c r="A496" s="0" t="s">
        <v>3846</v>
      </c>
      <c r="B496" s="0" t="s">
        <v>1338</v>
      </c>
      <c r="C496" s="0" t="n">
        <v>2025</v>
      </c>
      <c r="D496" s="41" t="n">
        <f aca="false">IF(Funding!AM25="","",Funding!AM25)</f>
        <v>0.772946859903382</v>
      </c>
      <c r="E496" s="20" t="s">
        <v>3159</v>
      </c>
      <c r="M496" s="20" t="s">
        <v>3847</v>
      </c>
    </row>
    <row r="497" customFormat="false" ht="17.15" hidden="false" customHeight="false" outlineLevel="0" collapsed="false">
      <c r="A497" s="0" t="s">
        <v>3848</v>
      </c>
      <c r="B497" s="0" t="s">
        <v>1338</v>
      </c>
      <c r="C497" s="0" t="n">
        <v>2025</v>
      </c>
      <c r="D497" s="41" t="n">
        <f aca="false">IF(Funding!AN25="","",Funding!AN25)</f>
        <v>0.328502415458937</v>
      </c>
      <c r="E497" s="20" t="s">
        <v>3162</v>
      </c>
      <c r="M497" s="20" t="s">
        <v>3849</v>
      </c>
    </row>
    <row r="498" customFormat="false" ht="17.15" hidden="false" customHeight="false" outlineLevel="0" collapsed="false">
      <c r="A498" s="0" t="s">
        <v>3850</v>
      </c>
      <c r="B498" s="0" t="s">
        <v>1338</v>
      </c>
      <c r="C498" s="0" t="n">
        <v>2025</v>
      </c>
      <c r="D498" s="41" t="n">
        <f aca="false">IF(Funding!AO25="","",Funding!AO25)</f>
        <v>0.772946859903382</v>
      </c>
      <c r="E498" s="20" t="s">
        <v>3165</v>
      </c>
      <c r="M498" s="20" t="s">
        <v>3851</v>
      </c>
    </row>
    <row r="499" customFormat="false" ht="17.15" hidden="false" customHeight="false" outlineLevel="0" collapsed="false">
      <c r="A499" s="0" t="s">
        <v>3852</v>
      </c>
      <c r="B499" s="0" t="s">
        <v>1338</v>
      </c>
      <c r="C499" s="0" t="n">
        <v>2025</v>
      </c>
      <c r="D499" s="41" t="n">
        <f aca="false">IF(Funding!AP25="","",Funding!AP25)</f>
        <v>0</v>
      </c>
      <c r="E499" s="20" t="s">
        <v>3168</v>
      </c>
      <c r="M499" s="20" t="s">
        <v>3853</v>
      </c>
    </row>
    <row r="500" customFormat="false" ht="17.15" hidden="false" customHeight="false" outlineLevel="0" collapsed="false">
      <c r="A500" s="0" t="s">
        <v>3854</v>
      </c>
      <c r="B500" s="0" t="s">
        <v>1338</v>
      </c>
      <c r="C500" s="0" t="n">
        <v>2025</v>
      </c>
      <c r="D500" s="41" t="n">
        <f aca="false">IF(Funding!AQ25="","",Funding!AQ25)</f>
        <v>0</v>
      </c>
      <c r="E500" s="20" t="s">
        <v>3171</v>
      </c>
      <c r="M500" s="20" t="s">
        <v>3855</v>
      </c>
    </row>
    <row r="501" customFormat="false" ht="17.15" hidden="false" customHeight="false" outlineLevel="0" collapsed="false">
      <c r="A501" s="0" t="s">
        <v>3856</v>
      </c>
      <c r="B501" s="0" t="s">
        <v>1338</v>
      </c>
      <c r="C501" s="0" t="n">
        <v>2025</v>
      </c>
      <c r="D501" s="36" t="n">
        <f aca="false">IF(Funding!E25="","",Funding!E25)</f>
        <v>6.8</v>
      </c>
      <c r="E501" s="20" t="s">
        <v>1744</v>
      </c>
      <c r="M501" s="20" t="s">
        <v>3857</v>
      </c>
    </row>
    <row r="502" customFormat="false" ht="17.15" hidden="false" customHeight="false" outlineLevel="0" collapsed="false">
      <c r="A502" s="0" t="s">
        <v>3858</v>
      </c>
      <c r="B502" s="0" t="s">
        <v>1338</v>
      </c>
      <c r="C502" s="0" t="n">
        <v>2025</v>
      </c>
      <c r="D502" s="36" t="n">
        <f aca="false">IF(Funding!I25="","",Funding!I25)</f>
        <v>-13.9</v>
      </c>
      <c r="E502" s="20" t="s">
        <v>1750</v>
      </c>
      <c r="M502" s="20" t="s">
        <v>3859</v>
      </c>
    </row>
    <row r="503" customFormat="false" ht="17.15" hidden="false" customHeight="false" outlineLevel="0" collapsed="false">
      <c r="A503" s="0" t="s">
        <v>3860</v>
      </c>
      <c r="B503" s="0" t="s">
        <v>1338</v>
      </c>
      <c r="C503" s="0" t="n">
        <v>2025</v>
      </c>
      <c r="D503" s="36" t="str">
        <f aca="false">IF(Funding!O25="","",Funding!O25)</f>
        <v/>
      </c>
      <c r="E503" s="20" t="s">
        <v>3178</v>
      </c>
      <c r="M503" s="20" t="s">
        <v>3861</v>
      </c>
    </row>
    <row r="504" customFormat="false" ht="17.15" hidden="false" customHeight="false" outlineLevel="0" collapsed="false">
      <c r="A504" s="0" t="s">
        <v>3862</v>
      </c>
      <c r="B504" s="0" t="s">
        <v>1338</v>
      </c>
      <c r="C504" s="0" t="n">
        <v>2025</v>
      </c>
      <c r="D504" s="36" t="n">
        <f aca="false">N(Funding!J25)+N(Funding!K25)+N(Funding!L25)+N(Funding!M25)</f>
        <v>16</v>
      </c>
      <c r="E504" s="20" t="s">
        <v>3181</v>
      </c>
      <c r="M504" s="20" t="s">
        <v>3863</v>
      </c>
    </row>
    <row r="505" customFormat="false" ht="17.15" hidden="false" customHeight="false" outlineLevel="0" collapsed="false">
      <c r="A505" s="0" t="s">
        <v>3864</v>
      </c>
      <c r="B505" s="0" t="s">
        <v>1338</v>
      </c>
      <c r="C505" s="0" t="n">
        <v>2025</v>
      </c>
      <c r="D505" s="36" t="str">
        <f aca="false">IF(Funding!R25="","",Funding!R25)</f>
        <v/>
      </c>
      <c r="E505" s="20" t="s">
        <v>3184</v>
      </c>
      <c r="M505" s="20" t="s">
        <v>3865</v>
      </c>
    </row>
    <row r="506" customFormat="false" ht="17.15" hidden="false" customHeight="false" outlineLevel="0" collapsed="false">
      <c r="A506" s="0" t="s">
        <v>3866</v>
      </c>
      <c r="B506" s="0" t="s">
        <v>1338</v>
      </c>
      <c r="C506" s="0" t="n">
        <v>2026</v>
      </c>
      <c r="D506" s="36" t="n">
        <f aca="false">IF(Funding!W26="","",Funding!W26)</f>
        <v>28.5</v>
      </c>
      <c r="E506" s="20" t="s">
        <v>3138</v>
      </c>
      <c r="M506" s="20" t="s">
        <v>3867</v>
      </c>
    </row>
    <row r="507" customFormat="false" ht="17.15" hidden="false" customHeight="false" outlineLevel="0" collapsed="false">
      <c r="A507" s="0" t="s">
        <v>3868</v>
      </c>
      <c r="B507" s="0" t="s">
        <v>1338</v>
      </c>
      <c r="C507" s="0" t="n">
        <v>2026</v>
      </c>
      <c r="D507" s="41" t="n">
        <f aca="false">IF(Funding!AC26="","",Funding!AC26)</f>
        <v>0.121754385964912</v>
      </c>
      <c r="E507" s="20" t="s">
        <v>3141</v>
      </c>
      <c r="M507" s="20" t="s">
        <v>3869</v>
      </c>
    </row>
    <row r="508" customFormat="false" ht="17.15" hidden="false" customHeight="false" outlineLevel="0" collapsed="false">
      <c r="A508" s="0" t="s">
        <v>3870</v>
      </c>
      <c r="B508" s="0" t="s">
        <v>1338</v>
      </c>
      <c r="C508" s="0" t="n">
        <v>2026</v>
      </c>
      <c r="D508" s="41" t="n">
        <f aca="false">IF(Funding!AD26="","",Funding!AD26)</f>
        <v>0</v>
      </c>
      <c r="E508" s="20" t="s">
        <v>3144</v>
      </c>
      <c r="M508" s="20" t="s">
        <v>3871</v>
      </c>
    </row>
    <row r="509" customFormat="false" ht="17.15" hidden="false" customHeight="false" outlineLevel="0" collapsed="false">
      <c r="A509" s="0" t="s">
        <v>3872</v>
      </c>
      <c r="B509" s="0" t="s">
        <v>1338</v>
      </c>
      <c r="C509" s="0" t="n">
        <v>2026</v>
      </c>
      <c r="D509" s="41" t="n">
        <f aca="false">IF(Funding!AE26="","",Funding!AE26)</f>
        <v>0.878245614035088</v>
      </c>
      <c r="E509" s="20" t="s">
        <v>3147</v>
      </c>
      <c r="M509" s="20" t="s">
        <v>3873</v>
      </c>
    </row>
    <row r="510" customFormat="false" ht="17.15" hidden="false" customHeight="false" outlineLevel="0" collapsed="false">
      <c r="A510" s="0" t="s">
        <v>3874</v>
      </c>
      <c r="B510" s="0" t="s">
        <v>1338</v>
      </c>
      <c r="C510" s="0" t="n">
        <v>2026</v>
      </c>
      <c r="D510" s="41" t="n">
        <f aca="false">IF(Funding!AF26="","",Funding!AF26)</f>
        <v>0</v>
      </c>
      <c r="E510" s="20" t="s">
        <v>3150</v>
      </c>
      <c r="M510" s="20" t="s">
        <v>3875</v>
      </c>
    </row>
    <row r="511" customFormat="false" ht="17.15" hidden="false" customHeight="false" outlineLevel="0" collapsed="false">
      <c r="A511" s="0" t="s">
        <v>3876</v>
      </c>
      <c r="B511" s="0" t="s">
        <v>1338</v>
      </c>
      <c r="C511" s="0" t="n">
        <v>2026</v>
      </c>
      <c r="D511" s="41" t="n">
        <f aca="false">IF(Funding!AG26="","",Funding!AG26)</f>
        <v>0</v>
      </c>
      <c r="E511" s="20" t="s">
        <v>3153</v>
      </c>
      <c r="M511" s="20" t="s">
        <v>3877</v>
      </c>
    </row>
    <row r="512" customFormat="false" ht="17.15" hidden="false" customHeight="false" outlineLevel="0" collapsed="false">
      <c r="A512" s="0" t="s">
        <v>3878</v>
      </c>
      <c r="B512" s="0" t="s">
        <v>1338</v>
      </c>
      <c r="C512" s="0" t="n">
        <v>2026</v>
      </c>
      <c r="D512" s="36" t="n">
        <f aca="false">IF(Funding!AL26="","",Funding!AL26)</f>
        <v>100</v>
      </c>
      <c r="E512" s="20" t="s">
        <v>3156</v>
      </c>
      <c r="M512" s="20" t="s">
        <v>3879</v>
      </c>
    </row>
    <row r="513" customFormat="false" ht="17.15" hidden="false" customHeight="false" outlineLevel="0" collapsed="false">
      <c r="A513" s="0" t="s">
        <v>3880</v>
      </c>
      <c r="B513" s="0" t="s">
        <v>1338</v>
      </c>
      <c r="C513" s="0" t="n">
        <v>2026</v>
      </c>
      <c r="D513" s="41" t="n">
        <f aca="false">IF(Funding!AM26="","",Funding!AM26)</f>
        <v>3.50877192982456</v>
      </c>
      <c r="E513" s="20" t="s">
        <v>3159</v>
      </c>
      <c r="M513" s="20" t="s">
        <v>3881</v>
      </c>
    </row>
    <row r="514" customFormat="false" ht="17.15" hidden="false" customHeight="false" outlineLevel="0" collapsed="false">
      <c r="A514" s="0" t="s">
        <v>3882</v>
      </c>
      <c r="B514" s="0" t="s">
        <v>1338</v>
      </c>
      <c r="C514" s="0" t="n">
        <v>2026</v>
      </c>
      <c r="D514" s="41" t="n">
        <f aca="false">IF(Funding!AN26="","",Funding!AN26)</f>
        <v>0.121754385964912</v>
      </c>
      <c r="E514" s="20" t="s">
        <v>3162</v>
      </c>
      <c r="M514" s="20" t="s">
        <v>3883</v>
      </c>
    </row>
    <row r="515" customFormat="false" ht="17.15" hidden="false" customHeight="false" outlineLevel="0" collapsed="false">
      <c r="A515" s="0" t="s">
        <v>3884</v>
      </c>
      <c r="B515" s="0" t="s">
        <v>1338</v>
      </c>
      <c r="C515" s="0" t="n">
        <v>2026</v>
      </c>
      <c r="D515" s="41" t="n">
        <f aca="false">IF(Funding!AO26="","",Funding!AO26)</f>
        <v>0.87719298245614</v>
      </c>
      <c r="E515" s="20" t="s">
        <v>3165</v>
      </c>
      <c r="M515" s="20" t="s">
        <v>3885</v>
      </c>
    </row>
    <row r="516" customFormat="false" ht="17.15" hidden="false" customHeight="false" outlineLevel="0" collapsed="false">
      <c r="A516" s="0" t="s">
        <v>3886</v>
      </c>
      <c r="B516" s="0" t="s">
        <v>1338</v>
      </c>
      <c r="C516" s="0" t="n">
        <v>2026</v>
      </c>
      <c r="D516" s="41" t="n">
        <f aca="false">IF(Funding!AP26="","",Funding!AP26)</f>
        <v>2.63157894736842</v>
      </c>
      <c r="E516" s="20" t="s">
        <v>3168</v>
      </c>
      <c r="M516" s="20" t="s">
        <v>3887</v>
      </c>
    </row>
    <row r="517" customFormat="false" ht="17.15" hidden="false" customHeight="false" outlineLevel="0" collapsed="false">
      <c r="A517" s="0" t="s">
        <v>3888</v>
      </c>
      <c r="B517" s="0" t="s">
        <v>1338</v>
      </c>
      <c r="C517" s="0" t="n">
        <v>2026</v>
      </c>
      <c r="D517" s="41" t="n">
        <f aca="false">IF(Funding!AQ26="","",Funding!AQ26)</f>
        <v>0</v>
      </c>
      <c r="E517" s="20" t="s">
        <v>3171</v>
      </c>
      <c r="M517" s="20" t="s">
        <v>3889</v>
      </c>
    </row>
    <row r="518" customFormat="false" ht="17.15" hidden="false" customHeight="false" outlineLevel="0" collapsed="false">
      <c r="A518" s="0" t="s">
        <v>3890</v>
      </c>
      <c r="B518" s="0" t="s">
        <v>1338</v>
      </c>
      <c r="C518" s="0" t="n">
        <v>2026</v>
      </c>
      <c r="D518" s="36" t="n">
        <f aca="false">IF(Funding!E26="","",Funding!E26)</f>
        <v>3.47</v>
      </c>
      <c r="E518" s="20" t="s">
        <v>1744</v>
      </c>
      <c r="M518" s="20" t="s">
        <v>3891</v>
      </c>
    </row>
    <row r="519" customFormat="false" ht="17.15" hidden="false" customHeight="false" outlineLevel="0" collapsed="false">
      <c r="A519" s="0" t="s">
        <v>3892</v>
      </c>
      <c r="B519" s="0" t="s">
        <v>1338</v>
      </c>
      <c r="C519" s="0" t="n">
        <v>2026</v>
      </c>
      <c r="D519" s="36" t="str">
        <f aca="false">IF(Funding!I26="","",Funding!I26)</f>
        <v/>
      </c>
      <c r="E519" s="20" t="s">
        <v>1750</v>
      </c>
      <c r="M519" s="20" t="s">
        <v>3893</v>
      </c>
    </row>
    <row r="520" customFormat="false" ht="17.15" hidden="false" customHeight="false" outlineLevel="0" collapsed="false">
      <c r="A520" s="0" t="s">
        <v>3894</v>
      </c>
      <c r="B520" s="0" t="s">
        <v>1338</v>
      </c>
      <c r="C520" s="0" t="n">
        <v>2026</v>
      </c>
      <c r="D520" s="36" t="str">
        <f aca="false">IF(Funding!O26="","",Funding!O26)</f>
        <v/>
      </c>
      <c r="E520" s="20" t="s">
        <v>3178</v>
      </c>
      <c r="M520" s="20" t="s">
        <v>3895</v>
      </c>
    </row>
    <row r="521" customFormat="false" ht="17.15" hidden="false" customHeight="false" outlineLevel="0" collapsed="false">
      <c r="A521" s="0" t="s">
        <v>3896</v>
      </c>
      <c r="B521" s="0" t="s">
        <v>1338</v>
      </c>
      <c r="C521" s="0" t="n">
        <v>2026</v>
      </c>
      <c r="D521" s="36" t="n">
        <f aca="false">N(Funding!J26)+N(Funding!K26)+N(Funding!L26)+N(Funding!M26)</f>
        <v>25</v>
      </c>
      <c r="E521" s="20" t="s">
        <v>3181</v>
      </c>
      <c r="M521" s="20" t="s">
        <v>3897</v>
      </c>
    </row>
    <row r="522" customFormat="false" ht="17.15" hidden="false" customHeight="false" outlineLevel="0" collapsed="false">
      <c r="A522" s="0" t="s">
        <v>3898</v>
      </c>
      <c r="B522" s="0" t="s">
        <v>1338</v>
      </c>
      <c r="C522" s="0" t="n">
        <v>2026</v>
      </c>
      <c r="D522" s="36" t="n">
        <f aca="false">IF(Funding!R26="","",Funding!R26)</f>
        <v>75</v>
      </c>
      <c r="E522" s="20" t="s">
        <v>3184</v>
      </c>
      <c r="M522" s="20" t="s">
        <v>3899</v>
      </c>
    </row>
    <row r="523" customFormat="false" ht="17.15" hidden="false" customHeight="false" outlineLevel="0" collapsed="false">
      <c r="A523" s="0" t="s">
        <v>3900</v>
      </c>
      <c r="B523" s="0" t="s">
        <v>1339</v>
      </c>
      <c r="C523" s="0" t="n">
        <v>2025</v>
      </c>
      <c r="D523" s="36" t="str">
        <f aca="false">IF(Funding!W27="","",Funding!W27)</f>
        <v/>
      </c>
      <c r="E523" s="20" t="s">
        <v>3138</v>
      </c>
      <c r="M523" s="20" t="s">
        <v>3901</v>
      </c>
    </row>
    <row r="524" customFormat="false" ht="17.15" hidden="false" customHeight="false" outlineLevel="0" collapsed="false">
      <c r="A524" s="0" t="s">
        <v>3902</v>
      </c>
      <c r="B524" s="0" t="s">
        <v>1339</v>
      </c>
      <c r="C524" s="0" t="n">
        <v>2025</v>
      </c>
      <c r="D524" s="41" t="str">
        <f aca="false">IF(Funding!AC27="","",Funding!AC27)</f>
        <v/>
      </c>
      <c r="E524" s="20" t="s">
        <v>3141</v>
      </c>
      <c r="M524" s="20" t="s">
        <v>3903</v>
      </c>
    </row>
    <row r="525" customFormat="false" ht="17.15" hidden="false" customHeight="false" outlineLevel="0" collapsed="false">
      <c r="A525" s="0" t="s">
        <v>3904</v>
      </c>
      <c r="B525" s="0" t="s">
        <v>1339</v>
      </c>
      <c r="C525" s="0" t="n">
        <v>2025</v>
      </c>
      <c r="D525" s="41" t="str">
        <f aca="false">IF(Funding!AD27="","",Funding!AD27)</f>
        <v/>
      </c>
      <c r="E525" s="20" t="s">
        <v>3144</v>
      </c>
      <c r="M525" s="20" t="s">
        <v>3905</v>
      </c>
    </row>
    <row r="526" customFormat="false" ht="17.15" hidden="false" customHeight="false" outlineLevel="0" collapsed="false">
      <c r="A526" s="0" t="s">
        <v>3906</v>
      </c>
      <c r="B526" s="0" t="s">
        <v>1339</v>
      </c>
      <c r="C526" s="0" t="n">
        <v>2025</v>
      </c>
      <c r="D526" s="41" t="str">
        <f aca="false">IF(Funding!AE27="","",Funding!AE27)</f>
        <v/>
      </c>
      <c r="E526" s="20" t="s">
        <v>3147</v>
      </c>
      <c r="M526" s="20" t="s">
        <v>3907</v>
      </c>
    </row>
    <row r="527" customFormat="false" ht="17.15" hidden="false" customHeight="false" outlineLevel="0" collapsed="false">
      <c r="A527" s="0" t="s">
        <v>3908</v>
      </c>
      <c r="B527" s="0" t="s">
        <v>1339</v>
      </c>
      <c r="C527" s="0" t="n">
        <v>2025</v>
      </c>
      <c r="D527" s="41" t="str">
        <f aca="false">IF(Funding!AF27="","",Funding!AF27)</f>
        <v/>
      </c>
      <c r="E527" s="20" t="s">
        <v>3150</v>
      </c>
      <c r="M527" s="20" t="s">
        <v>3909</v>
      </c>
    </row>
    <row r="528" customFormat="false" ht="17.15" hidden="false" customHeight="false" outlineLevel="0" collapsed="false">
      <c r="A528" s="0" t="s">
        <v>3910</v>
      </c>
      <c r="B528" s="0" t="s">
        <v>1339</v>
      </c>
      <c r="C528" s="0" t="n">
        <v>2025</v>
      </c>
      <c r="D528" s="41" t="str">
        <f aca="false">IF(Funding!AG27="","",Funding!AG27)</f>
        <v/>
      </c>
      <c r="E528" s="20" t="s">
        <v>3153</v>
      </c>
      <c r="M528" s="20" t="s">
        <v>3911</v>
      </c>
    </row>
    <row r="529" customFormat="false" ht="17.15" hidden="false" customHeight="false" outlineLevel="0" collapsed="false">
      <c r="A529" s="0" t="s">
        <v>3912</v>
      </c>
      <c r="B529" s="0" t="s">
        <v>1339</v>
      </c>
      <c r="C529" s="0" t="n">
        <v>2025</v>
      </c>
      <c r="D529" s="36" t="n">
        <f aca="false">IF(Funding!AL27="","",Funding!AL27)</f>
        <v>0</v>
      </c>
      <c r="E529" s="20" t="s">
        <v>3156</v>
      </c>
      <c r="M529" s="20" t="s">
        <v>3913</v>
      </c>
    </row>
    <row r="530" customFormat="false" ht="17.15" hidden="false" customHeight="false" outlineLevel="0" collapsed="false">
      <c r="A530" s="0" t="s">
        <v>3914</v>
      </c>
      <c r="B530" s="0" t="s">
        <v>1339</v>
      </c>
      <c r="C530" s="0" t="n">
        <v>2025</v>
      </c>
      <c r="D530" s="41" t="str">
        <f aca="false">IF(Funding!AM27="","",Funding!AM27)</f>
        <v/>
      </c>
      <c r="E530" s="20" t="s">
        <v>3159</v>
      </c>
      <c r="M530" s="20" t="s">
        <v>3915</v>
      </c>
    </row>
    <row r="531" customFormat="false" ht="17.15" hidden="false" customHeight="false" outlineLevel="0" collapsed="false">
      <c r="A531" s="0" t="s">
        <v>3916</v>
      </c>
      <c r="B531" s="0" t="s">
        <v>1339</v>
      </c>
      <c r="C531" s="0" t="n">
        <v>2025</v>
      </c>
      <c r="D531" s="41" t="str">
        <f aca="false">IF(Funding!AN27="","",Funding!AN27)</f>
        <v/>
      </c>
      <c r="E531" s="20" t="s">
        <v>3162</v>
      </c>
      <c r="M531" s="20" t="s">
        <v>3917</v>
      </c>
    </row>
    <row r="532" customFormat="false" ht="17.15" hidden="false" customHeight="false" outlineLevel="0" collapsed="false">
      <c r="A532" s="0" t="s">
        <v>3918</v>
      </c>
      <c r="B532" s="0" t="s">
        <v>1339</v>
      </c>
      <c r="C532" s="0" t="n">
        <v>2025</v>
      </c>
      <c r="D532" s="41" t="str">
        <f aca="false">IF(Funding!AO27="","",Funding!AO27)</f>
        <v/>
      </c>
      <c r="E532" s="20" t="s">
        <v>3165</v>
      </c>
      <c r="M532" s="20" t="s">
        <v>3919</v>
      </c>
    </row>
    <row r="533" customFormat="false" ht="17.15" hidden="false" customHeight="false" outlineLevel="0" collapsed="false">
      <c r="A533" s="0" t="s">
        <v>3920</v>
      </c>
      <c r="B533" s="0" t="s">
        <v>1339</v>
      </c>
      <c r="C533" s="0" t="n">
        <v>2025</v>
      </c>
      <c r="D533" s="41" t="str">
        <f aca="false">IF(Funding!AP27="","",Funding!AP27)</f>
        <v/>
      </c>
      <c r="E533" s="20" t="s">
        <v>3168</v>
      </c>
      <c r="M533" s="20" t="s">
        <v>3921</v>
      </c>
    </row>
    <row r="534" customFormat="false" ht="17.15" hidden="false" customHeight="false" outlineLevel="0" collapsed="false">
      <c r="A534" s="0" t="s">
        <v>3922</v>
      </c>
      <c r="B534" s="0" t="s">
        <v>1339</v>
      </c>
      <c r="C534" s="0" t="n">
        <v>2025</v>
      </c>
      <c r="D534" s="41" t="str">
        <f aca="false">IF(Funding!AQ27="","",Funding!AQ27)</f>
        <v/>
      </c>
      <c r="E534" s="20" t="s">
        <v>3171</v>
      </c>
      <c r="M534" s="20" t="s">
        <v>3923</v>
      </c>
    </row>
    <row r="535" customFormat="false" ht="17.15" hidden="false" customHeight="false" outlineLevel="0" collapsed="false">
      <c r="A535" s="0" t="s">
        <v>3924</v>
      </c>
      <c r="B535" s="0" t="s">
        <v>1339</v>
      </c>
      <c r="C535" s="0" t="n">
        <v>2025</v>
      </c>
      <c r="D535" s="36" t="str">
        <f aca="false">IF(Funding!E27="","",Funding!E27)</f>
        <v/>
      </c>
      <c r="E535" s="20" t="s">
        <v>1744</v>
      </c>
      <c r="M535" s="20" t="s">
        <v>3925</v>
      </c>
    </row>
    <row r="536" customFormat="false" ht="17.15" hidden="false" customHeight="false" outlineLevel="0" collapsed="false">
      <c r="A536" s="0" t="s">
        <v>3926</v>
      </c>
      <c r="B536" s="0" t="s">
        <v>1339</v>
      </c>
      <c r="C536" s="0" t="n">
        <v>2025</v>
      </c>
      <c r="D536" s="36" t="n">
        <f aca="false">IF(Funding!I27="","",Funding!I27)</f>
        <v>-8</v>
      </c>
      <c r="E536" s="20" t="s">
        <v>1750</v>
      </c>
      <c r="M536" s="20" t="s">
        <v>3927</v>
      </c>
    </row>
    <row r="537" customFormat="false" ht="17.15" hidden="false" customHeight="false" outlineLevel="0" collapsed="false">
      <c r="A537" s="0" t="s">
        <v>3928</v>
      </c>
      <c r="B537" s="0" t="s">
        <v>1339</v>
      </c>
      <c r="C537" s="0" t="n">
        <v>2025</v>
      </c>
      <c r="D537" s="36" t="str">
        <f aca="false">IF(Funding!O27="","",Funding!O27)</f>
        <v/>
      </c>
      <c r="E537" s="20" t="s">
        <v>3178</v>
      </c>
      <c r="M537" s="20" t="s">
        <v>3929</v>
      </c>
    </row>
    <row r="538" customFormat="false" ht="17.15" hidden="false" customHeight="false" outlineLevel="0" collapsed="false">
      <c r="A538" s="0" t="s">
        <v>3930</v>
      </c>
      <c r="B538" s="0" t="s">
        <v>1339</v>
      </c>
      <c r="C538" s="0" t="n">
        <v>2025</v>
      </c>
      <c r="D538" s="36" t="n">
        <f aca="false">N(Funding!J27)+N(Funding!K27)+N(Funding!L27)+N(Funding!M27)</f>
        <v>0</v>
      </c>
      <c r="E538" s="20" t="s">
        <v>3181</v>
      </c>
      <c r="M538" s="20" t="s">
        <v>3931</v>
      </c>
    </row>
    <row r="539" customFormat="false" ht="17.15" hidden="false" customHeight="false" outlineLevel="0" collapsed="false">
      <c r="A539" s="0" t="s">
        <v>3932</v>
      </c>
      <c r="B539" s="0" t="s">
        <v>1339</v>
      </c>
      <c r="C539" s="0" t="n">
        <v>2025</v>
      </c>
      <c r="D539" s="36" t="str">
        <f aca="false">IF(Funding!R27="","",Funding!R27)</f>
        <v/>
      </c>
      <c r="E539" s="20" t="s">
        <v>3184</v>
      </c>
      <c r="M539" s="20" t="s">
        <v>3933</v>
      </c>
    </row>
    <row r="540" customFormat="false" ht="17.15" hidden="false" customHeight="false" outlineLevel="0" collapsed="false">
      <c r="A540" s="0" t="s">
        <v>3934</v>
      </c>
      <c r="B540" s="0" t="s">
        <v>1339</v>
      </c>
      <c r="C540" s="0" t="n">
        <v>2026</v>
      </c>
      <c r="D540" s="36" t="str">
        <f aca="false">IF(Funding!W28="","",Funding!W28)</f>
        <v/>
      </c>
      <c r="E540" s="20" t="s">
        <v>3138</v>
      </c>
      <c r="M540" s="20" t="s">
        <v>3935</v>
      </c>
    </row>
    <row r="541" customFormat="false" ht="17.15" hidden="false" customHeight="false" outlineLevel="0" collapsed="false">
      <c r="A541" s="0" t="s">
        <v>3936</v>
      </c>
      <c r="B541" s="0" t="s">
        <v>1339</v>
      </c>
      <c r="C541" s="0" t="n">
        <v>2026</v>
      </c>
      <c r="D541" s="41" t="str">
        <f aca="false">IF(Funding!AC28="","",Funding!AC28)</f>
        <v/>
      </c>
      <c r="E541" s="20" t="s">
        <v>3141</v>
      </c>
      <c r="M541" s="20" t="s">
        <v>3937</v>
      </c>
    </row>
    <row r="542" customFormat="false" ht="17.15" hidden="false" customHeight="false" outlineLevel="0" collapsed="false">
      <c r="A542" s="0" t="s">
        <v>3938</v>
      </c>
      <c r="B542" s="0" t="s">
        <v>1339</v>
      </c>
      <c r="C542" s="0" t="n">
        <v>2026</v>
      </c>
      <c r="D542" s="41" t="str">
        <f aca="false">IF(Funding!AD28="","",Funding!AD28)</f>
        <v/>
      </c>
      <c r="E542" s="20" t="s">
        <v>3144</v>
      </c>
      <c r="M542" s="20" t="s">
        <v>3939</v>
      </c>
    </row>
    <row r="543" customFormat="false" ht="17.15" hidden="false" customHeight="false" outlineLevel="0" collapsed="false">
      <c r="A543" s="0" t="s">
        <v>3940</v>
      </c>
      <c r="B543" s="0" t="s">
        <v>1339</v>
      </c>
      <c r="C543" s="0" t="n">
        <v>2026</v>
      </c>
      <c r="D543" s="41" t="str">
        <f aca="false">IF(Funding!AE28="","",Funding!AE28)</f>
        <v/>
      </c>
      <c r="E543" s="20" t="s">
        <v>3147</v>
      </c>
      <c r="M543" s="20" t="s">
        <v>3941</v>
      </c>
    </row>
    <row r="544" customFormat="false" ht="17.15" hidden="false" customHeight="false" outlineLevel="0" collapsed="false">
      <c r="A544" s="0" t="s">
        <v>3942</v>
      </c>
      <c r="B544" s="0" t="s">
        <v>1339</v>
      </c>
      <c r="C544" s="0" t="n">
        <v>2026</v>
      </c>
      <c r="D544" s="41" t="str">
        <f aca="false">IF(Funding!AF28="","",Funding!AF28)</f>
        <v/>
      </c>
      <c r="E544" s="20" t="s">
        <v>3150</v>
      </c>
      <c r="M544" s="20" t="s">
        <v>3943</v>
      </c>
    </row>
    <row r="545" customFormat="false" ht="17.15" hidden="false" customHeight="false" outlineLevel="0" collapsed="false">
      <c r="A545" s="0" t="s">
        <v>3944</v>
      </c>
      <c r="B545" s="0" t="s">
        <v>1339</v>
      </c>
      <c r="C545" s="0" t="n">
        <v>2026</v>
      </c>
      <c r="D545" s="41" t="str">
        <f aca="false">IF(Funding!AG28="","",Funding!AG28)</f>
        <v/>
      </c>
      <c r="E545" s="20" t="s">
        <v>3153</v>
      </c>
      <c r="M545" s="20" t="s">
        <v>3945</v>
      </c>
    </row>
    <row r="546" customFormat="false" ht="17.15" hidden="false" customHeight="false" outlineLevel="0" collapsed="false">
      <c r="A546" s="0" t="s">
        <v>3946</v>
      </c>
      <c r="B546" s="0" t="s">
        <v>1339</v>
      </c>
      <c r="C546" s="0" t="n">
        <v>2026</v>
      </c>
      <c r="D546" s="36" t="n">
        <f aca="false">IF(Funding!AL28="","",Funding!AL28)</f>
        <v>227</v>
      </c>
      <c r="E546" s="20" t="s">
        <v>3156</v>
      </c>
      <c r="M546" s="20" t="s">
        <v>3947</v>
      </c>
    </row>
    <row r="547" customFormat="false" ht="17.15" hidden="false" customHeight="false" outlineLevel="0" collapsed="false">
      <c r="A547" s="0" t="s">
        <v>3948</v>
      </c>
      <c r="B547" s="0" t="s">
        <v>1339</v>
      </c>
      <c r="C547" s="0" t="n">
        <v>2026</v>
      </c>
      <c r="D547" s="41" t="str">
        <f aca="false">IF(Funding!AM28="","",Funding!AM28)</f>
        <v/>
      </c>
      <c r="E547" s="20" t="s">
        <v>3159</v>
      </c>
      <c r="M547" s="20" t="s">
        <v>3949</v>
      </c>
    </row>
    <row r="548" customFormat="false" ht="17.15" hidden="false" customHeight="false" outlineLevel="0" collapsed="false">
      <c r="A548" s="0" t="s">
        <v>3950</v>
      </c>
      <c r="B548" s="0" t="s">
        <v>1339</v>
      </c>
      <c r="C548" s="0" t="n">
        <v>2026</v>
      </c>
      <c r="D548" s="41" t="str">
        <f aca="false">IF(Funding!AN28="","",Funding!AN28)</f>
        <v/>
      </c>
      <c r="E548" s="20" t="s">
        <v>3162</v>
      </c>
      <c r="M548" s="20" t="s">
        <v>3951</v>
      </c>
    </row>
    <row r="549" customFormat="false" ht="17.15" hidden="false" customHeight="false" outlineLevel="0" collapsed="false">
      <c r="A549" s="0" t="s">
        <v>3952</v>
      </c>
      <c r="B549" s="0" t="s">
        <v>1339</v>
      </c>
      <c r="C549" s="0" t="n">
        <v>2026</v>
      </c>
      <c r="D549" s="41" t="str">
        <f aca="false">IF(Funding!AO28="","",Funding!AO28)</f>
        <v/>
      </c>
      <c r="E549" s="20" t="s">
        <v>3165</v>
      </c>
      <c r="M549" s="20" t="s">
        <v>3953</v>
      </c>
    </row>
    <row r="550" customFormat="false" ht="17.15" hidden="false" customHeight="false" outlineLevel="0" collapsed="false">
      <c r="A550" s="0" t="s">
        <v>3954</v>
      </c>
      <c r="B550" s="0" t="s">
        <v>1339</v>
      </c>
      <c r="C550" s="0" t="n">
        <v>2026</v>
      </c>
      <c r="D550" s="41" t="str">
        <f aca="false">IF(Funding!AP28="","",Funding!AP28)</f>
        <v/>
      </c>
      <c r="E550" s="20" t="s">
        <v>3168</v>
      </c>
      <c r="M550" s="20" t="s">
        <v>3955</v>
      </c>
    </row>
    <row r="551" customFormat="false" ht="17.15" hidden="false" customHeight="false" outlineLevel="0" collapsed="false">
      <c r="A551" s="0" t="s">
        <v>3956</v>
      </c>
      <c r="B551" s="0" t="s">
        <v>1339</v>
      </c>
      <c r="C551" s="0" t="n">
        <v>2026</v>
      </c>
      <c r="D551" s="41" t="str">
        <f aca="false">IF(Funding!AQ28="","",Funding!AQ28)</f>
        <v/>
      </c>
      <c r="E551" s="20" t="s">
        <v>3171</v>
      </c>
      <c r="M551" s="20" t="s">
        <v>3957</v>
      </c>
    </row>
    <row r="552" customFormat="false" ht="17.15" hidden="false" customHeight="false" outlineLevel="0" collapsed="false">
      <c r="A552" s="0" t="s">
        <v>3958</v>
      </c>
      <c r="B552" s="0" t="s">
        <v>1339</v>
      </c>
      <c r="C552" s="0" t="n">
        <v>2026</v>
      </c>
      <c r="D552" s="36" t="str">
        <f aca="false">IF(Funding!E28="","",Funding!E28)</f>
        <v/>
      </c>
      <c r="E552" s="20" t="s">
        <v>1744</v>
      </c>
      <c r="M552" s="20" t="s">
        <v>3959</v>
      </c>
    </row>
    <row r="553" customFormat="false" ht="17.15" hidden="false" customHeight="false" outlineLevel="0" collapsed="false">
      <c r="A553" s="0" t="s">
        <v>3960</v>
      </c>
      <c r="B553" s="0" t="s">
        <v>1339</v>
      </c>
      <c r="C553" s="0" t="n">
        <v>2026</v>
      </c>
      <c r="D553" s="36" t="str">
        <f aca="false">IF(Funding!I28="","",Funding!I28)</f>
        <v/>
      </c>
      <c r="E553" s="20" t="s">
        <v>1750</v>
      </c>
      <c r="M553" s="20" t="s">
        <v>3961</v>
      </c>
    </row>
    <row r="554" customFormat="false" ht="17.15" hidden="false" customHeight="false" outlineLevel="0" collapsed="false">
      <c r="A554" s="0" t="s">
        <v>3962</v>
      </c>
      <c r="B554" s="0" t="s">
        <v>1339</v>
      </c>
      <c r="C554" s="0" t="n">
        <v>2026</v>
      </c>
      <c r="D554" s="36" t="str">
        <f aca="false">IF(Funding!O28="","",Funding!O28)</f>
        <v/>
      </c>
      <c r="E554" s="20" t="s">
        <v>3178</v>
      </c>
      <c r="M554" s="20" t="s">
        <v>3963</v>
      </c>
    </row>
    <row r="555" customFormat="false" ht="17.15" hidden="false" customHeight="false" outlineLevel="0" collapsed="false">
      <c r="A555" s="0" t="s">
        <v>3964</v>
      </c>
      <c r="B555" s="0" t="s">
        <v>1339</v>
      </c>
      <c r="C555" s="0" t="n">
        <v>2026</v>
      </c>
      <c r="D555" s="36" t="n">
        <f aca="false">N(Funding!J28)+N(Funding!K28)+N(Funding!L28)+N(Funding!M28)</f>
        <v>0</v>
      </c>
      <c r="E555" s="20" t="s">
        <v>3181</v>
      </c>
      <c r="M555" s="20" t="s">
        <v>3965</v>
      </c>
    </row>
    <row r="556" customFormat="false" ht="17.15" hidden="false" customHeight="false" outlineLevel="0" collapsed="false">
      <c r="A556" s="0" t="s">
        <v>3966</v>
      </c>
      <c r="B556" s="0" t="s">
        <v>1339</v>
      </c>
      <c r="C556" s="0" t="n">
        <v>2026</v>
      </c>
      <c r="D556" s="36" t="n">
        <f aca="false">IF(Funding!R28="","",Funding!R28)</f>
        <v>122</v>
      </c>
      <c r="E556" s="20" t="s">
        <v>3184</v>
      </c>
      <c r="M556" s="20" t="s">
        <v>3967</v>
      </c>
    </row>
    <row r="557" customFormat="false" ht="17.15" hidden="false" customHeight="false" outlineLevel="0" collapsed="false">
      <c r="A557" s="0" t="s">
        <v>3968</v>
      </c>
      <c r="B557" s="0" t="s">
        <v>1340</v>
      </c>
      <c r="C557" s="0" t="n">
        <v>2025</v>
      </c>
      <c r="D557" s="36" t="str">
        <f aca="false">IF(Funding!W29="","",Funding!W29)</f>
        <v/>
      </c>
      <c r="E557" s="20" t="s">
        <v>3138</v>
      </c>
      <c r="M557" s="20" t="s">
        <v>3969</v>
      </c>
    </row>
    <row r="558" customFormat="false" ht="17.15" hidden="false" customHeight="false" outlineLevel="0" collapsed="false">
      <c r="A558" s="0" t="s">
        <v>3970</v>
      </c>
      <c r="B558" s="0" t="s">
        <v>1340</v>
      </c>
      <c r="C558" s="0" t="n">
        <v>2025</v>
      </c>
      <c r="D558" s="41" t="str">
        <f aca="false">IF(Funding!AC29="","",Funding!AC29)</f>
        <v/>
      </c>
      <c r="E558" s="20" t="s">
        <v>3141</v>
      </c>
      <c r="M558" s="20" t="s">
        <v>3971</v>
      </c>
    </row>
    <row r="559" customFormat="false" ht="17.15" hidden="false" customHeight="false" outlineLevel="0" collapsed="false">
      <c r="A559" s="0" t="s">
        <v>3972</v>
      </c>
      <c r="B559" s="0" t="s">
        <v>1340</v>
      </c>
      <c r="C559" s="0" t="n">
        <v>2025</v>
      </c>
      <c r="D559" s="41" t="str">
        <f aca="false">IF(Funding!AD29="","",Funding!AD29)</f>
        <v/>
      </c>
      <c r="E559" s="20" t="s">
        <v>3144</v>
      </c>
      <c r="M559" s="20" t="s">
        <v>3973</v>
      </c>
    </row>
    <row r="560" customFormat="false" ht="17.15" hidden="false" customHeight="false" outlineLevel="0" collapsed="false">
      <c r="A560" s="0" t="s">
        <v>3974</v>
      </c>
      <c r="B560" s="0" t="s">
        <v>1340</v>
      </c>
      <c r="C560" s="0" t="n">
        <v>2025</v>
      </c>
      <c r="D560" s="41" t="str">
        <f aca="false">IF(Funding!AE29="","",Funding!AE29)</f>
        <v/>
      </c>
      <c r="E560" s="20" t="s">
        <v>3147</v>
      </c>
      <c r="M560" s="20" t="s">
        <v>3975</v>
      </c>
    </row>
    <row r="561" customFormat="false" ht="17.15" hidden="false" customHeight="false" outlineLevel="0" collapsed="false">
      <c r="A561" s="0" t="s">
        <v>3976</v>
      </c>
      <c r="B561" s="0" t="s">
        <v>1340</v>
      </c>
      <c r="C561" s="0" t="n">
        <v>2025</v>
      </c>
      <c r="D561" s="41" t="str">
        <f aca="false">IF(Funding!AF29="","",Funding!AF29)</f>
        <v/>
      </c>
      <c r="E561" s="20" t="s">
        <v>3150</v>
      </c>
      <c r="M561" s="20" t="s">
        <v>3977</v>
      </c>
    </row>
    <row r="562" customFormat="false" ht="17.15" hidden="false" customHeight="false" outlineLevel="0" collapsed="false">
      <c r="A562" s="0" t="s">
        <v>3978</v>
      </c>
      <c r="B562" s="0" t="s">
        <v>1340</v>
      </c>
      <c r="C562" s="0" t="n">
        <v>2025</v>
      </c>
      <c r="D562" s="41" t="str">
        <f aca="false">IF(Funding!AG29="","",Funding!AG29)</f>
        <v/>
      </c>
      <c r="E562" s="20" t="s">
        <v>3153</v>
      </c>
      <c r="M562" s="20" t="s">
        <v>3979</v>
      </c>
    </row>
    <row r="563" customFormat="false" ht="17.15" hidden="false" customHeight="false" outlineLevel="0" collapsed="false">
      <c r="A563" s="0" t="s">
        <v>3980</v>
      </c>
      <c r="B563" s="0" t="s">
        <v>1340</v>
      </c>
      <c r="C563" s="0" t="n">
        <v>2025</v>
      </c>
      <c r="D563" s="36" t="n">
        <f aca="false">IF(Funding!AL29="","",Funding!AL29)</f>
        <v>0</v>
      </c>
      <c r="E563" s="20" t="s">
        <v>3156</v>
      </c>
      <c r="M563" s="20" t="s">
        <v>3981</v>
      </c>
    </row>
    <row r="564" customFormat="false" ht="17.15" hidden="false" customHeight="false" outlineLevel="0" collapsed="false">
      <c r="A564" s="0" t="s">
        <v>3982</v>
      </c>
      <c r="B564" s="0" t="s">
        <v>1340</v>
      </c>
      <c r="C564" s="0" t="n">
        <v>2025</v>
      </c>
      <c r="D564" s="41" t="str">
        <f aca="false">IF(Funding!AM29="","",Funding!AM29)</f>
        <v/>
      </c>
      <c r="E564" s="20" t="s">
        <v>3159</v>
      </c>
      <c r="M564" s="20" t="s">
        <v>3983</v>
      </c>
    </row>
    <row r="565" customFormat="false" ht="17.15" hidden="false" customHeight="false" outlineLevel="0" collapsed="false">
      <c r="A565" s="0" t="s">
        <v>3984</v>
      </c>
      <c r="B565" s="0" t="s">
        <v>1340</v>
      </c>
      <c r="C565" s="0" t="n">
        <v>2025</v>
      </c>
      <c r="D565" s="41" t="str">
        <f aca="false">IF(Funding!AN29="","",Funding!AN29)</f>
        <v/>
      </c>
      <c r="E565" s="20" t="s">
        <v>3162</v>
      </c>
      <c r="M565" s="20" t="s">
        <v>3985</v>
      </c>
    </row>
    <row r="566" customFormat="false" ht="17.15" hidden="false" customHeight="false" outlineLevel="0" collapsed="false">
      <c r="A566" s="0" t="s">
        <v>3986</v>
      </c>
      <c r="B566" s="0" t="s">
        <v>1340</v>
      </c>
      <c r="C566" s="0" t="n">
        <v>2025</v>
      </c>
      <c r="D566" s="41" t="str">
        <f aca="false">IF(Funding!AO29="","",Funding!AO29)</f>
        <v/>
      </c>
      <c r="E566" s="20" t="s">
        <v>3165</v>
      </c>
      <c r="M566" s="20" t="s">
        <v>3987</v>
      </c>
    </row>
    <row r="567" customFormat="false" ht="17.15" hidden="false" customHeight="false" outlineLevel="0" collapsed="false">
      <c r="A567" s="0" t="s">
        <v>3988</v>
      </c>
      <c r="B567" s="0" t="s">
        <v>1340</v>
      </c>
      <c r="C567" s="0" t="n">
        <v>2025</v>
      </c>
      <c r="D567" s="41" t="str">
        <f aca="false">IF(Funding!AP29="","",Funding!AP29)</f>
        <v/>
      </c>
      <c r="E567" s="20" t="s">
        <v>3168</v>
      </c>
      <c r="M567" s="20" t="s">
        <v>3989</v>
      </c>
    </row>
    <row r="568" customFormat="false" ht="17.15" hidden="false" customHeight="false" outlineLevel="0" collapsed="false">
      <c r="A568" s="0" t="s">
        <v>3990</v>
      </c>
      <c r="B568" s="0" t="s">
        <v>1340</v>
      </c>
      <c r="C568" s="0" t="n">
        <v>2025</v>
      </c>
      <c r="D568" s="41" t="str">
        <f aca="false">IF(Funding!AQ29="","",Funding!AQ29)</f>
        <v/>
      </c>
      <c r="E568" s="20" t="s">
        <v>3171</v>
      </c>
      <c r="M568" s="20" t="s">
        <v>3991</v>
      </c>
    </row>
    <row r="569" customFormat="false" ht="17.15" hidden="false" customHeight="false" outlineLevel="0" collapsed="false">
      <c r="A569" s="0" t="s">
        <v>3992</v>
      </c>
      <c r="B569" s="0" t="s">
        <v>1340</v>
      </c>
      <c r="C569" s="0" t="n">
        <v>2025</v>
      </c>
      <c r="D569" s="36" t="str">
        <f aca="false">IF(Funding!E29="","",Funding!E29)</f>
        <v/>
      </c>
      <c r="E569" s="20" t="s">
        <v>1744</v>
      </c>
      <c r="M569" s="20" t="s">
        <v>3993</v>
      </c>
    </row>
    <row r="570" customFormat="false" ht="17.15" hidden="false" customHeight="false" outlineLevel="0" collapsed="false">
      <c r="A570" s="0" t="s">
        <v>3994</v>
      </c>
      <c r="B570" s="0" t="s">
        <v>1340</v>
      </c>
      <c r="C570" s="0" t="n">
        <v>2025</v>
      </c>
      <c r="D570" s="36" t="str">
        <f aca="false">IF(Funding!I29="","",Funding!I29)</f>
        <v/>
      </c>
      <c r="E570" s="20" t="s">
        <v>1750</v>
      </c>
      <c r="M570" s="20" t="s">
        <v>3995</v>
      </c>
    </row>
    <row r="571" customFormat="false" ht="17.15" hidden="false" customHeight="false" outlineLevel="0" collapsed="false">
      <c r="A571" s="0" t="s">
        <v>3996</v>
      </c>
      <c r="B571" s="0" t="s">
        <v>1340</v>
      </c>
      <c r="C571" s="0" t="n">
        <v>2025</v>
      </c>
      <c r="D571" s="36" t="str">
        <f aca="false">IF(Funding!O29="","",Funding!O29)</f>
        <v/>
      </c>
      <c r="E571" s="20" t="s">
        <v>3178</v>
      </c>
      <c r="M571" s="20" t="s">
        <v>3997</v>
      </c>
    </row>
    <row r="572" customFormat="false" ht="17.15" hidden="false" customHeight="false" outlineLevel="0" collapsed="false">
      <c r="A572" s="0" t="s">
        <v>3998</v>
      </c>
      <c r="B572" s="0" t="s">
        <v>1340</v>
      </c>
      <c r="C572" s="0" t="n">
        <v>2025</v>
      </c>
      <c r="D572" s="36" t="n">
        <f aca="false">N(Funding!J29)+N(Funding!K29)+N(Funding!L29)+N(Funding!M29)</f>
        <v>0</v>
      </c>
      <c r="E572" s="20" t="s">
        <v>3181</v>
      </c>
      <c r="M572" s="20" t="s">
        <v>3999</v>
      </c>
    </row>
    <row r="573" customFormat="false" ht="17.15" hidden="false" customHeight="false" outlineLevel="0" collapsed="false">
      <c r="A573" s="0" t="s">
        <v>4000</v>
      </c>
      <c r="B573" s="0" t="s">
        <v>1340</v>
      </c>
      <c r="C573" s="0" t="n">
        <v>2025</v>
      </c>
      <c r="D573" s="36" t="str">
        <f aca="false">IF(Funding!R29="","",Funding!R29)</f>
        <v/>
      </c>
      <c r="E573" s="20" t="s">
        <v>3184</v>
      </c>
      <c r="M573" s="20" t="s">
        <v>4001</v>
      </c>
    </row>
    <row r="574" customFormat="false" ht="17.15" hidden="false" customHeight="false" outlineLevel="0" collapsed="false">
      <c r="A574" s="0" t="s">
        <v>4002</v>
      </c>
      <c r="B574" s="0" t="s">
        <v>1340</v>
      </c>
      <c r="C574" s="0" t="n">
        <v>2026</v>
      </c>
      <c r="D574" s="36" t="str">
        <f aca="false">IF(Funding!W30="","",Funding!W30)</f>
        <v/>
      </c>
      <c r="E574" s="20" t="s">
        <v>3138</v>
      </c>
      <c r="M574" s="20" t="s">
        <v>4003</v>
      </c>
    </row>
    <row r="575" customFormat="false" ht="17.15" hidden="false" customHeight="false" outlineLevel="0" collapsed="false">
      <c r="A575" s="0" t="s">
        <v>4004</v>
      </c>
      <c r="B575" s="0" t="s">
        <v>1340</v>
      </c>
      <c r="C575" s="0" t="n">
        <v>2026</v>
      </c>
      <c r="D575" s="41" t="str">
        <f aca="false">IF(Funding!AC30="","",Funding!AC30)</f>
        <v/>
      </c>
      <c r="E575" s="20" t="s">
        <v>3141</v>
      </c>
      <c r="M575" s="20" t="s">
        <v>4005</v>
      </c>
    </row>
    <row r="576" customFormat="false" ht="17.15" hidden="false" customHeight="false" outlineLevel="0" collapsed="false">
      <c r="A576" s="0" t="s">
        <v>4006</v>
      </c>
      <c r="B576" s="0" t="s">
        <v>1340</v>
      </c>
      <c r="C576" s="0" t="n">
        <v>2026</v>
      </c>
      <c r="D576" s="41" t="str">
        <f aca="false">IF(Funding!AD30="","",Funding!AD30)</f>
        <v/>
      </c>
      <c r="E576" s="20" t="s">
        <v>3144</v>
      </c>
      <c r="M576" s="20" t="s">
        <v>4007</v>
      </c>
    </row>
    <row r="577" customFormat="false" ht="17.15" hidden="false" customHeight="false" outlineLevel="0" collapsed="false">
      <c r="A577" s="0" t="s">
        <v>4008</v>
      </c>
      <c r="B577" s="0" t="s">
        <v>1340</v>
      </c>
      <c r="C577" s="0" t="n">
        <v>2026</v>
      </c>
      <c r="D577" s="41" t="str">
        <f aca="false">IF(Funding!AE30="","",Funding!AE30)</f>
        <v/>
      </c>
      <c r="E577" s="20" t="s">
        <v>3147</v>
      </c>
      <c r="M577" s="20" t="s">
        <v>4009</v>
      </c>
    </row>
    <row r="578" customFormat="false" ht="17.15" hidden="false" customHeight="false" outlineLevel="0" collapsed="false">
      <c r="A578" s="0" t="s">
        <v>4010</v>
      </c>
      <c r="B578" s="0" t="s">
        <v>1340</v>
      </c>
      <c r="C578" s="0" t="n">
        <v>2026</v>
      </c>
      <c r="D578" s="41" t="str">
        <f aca="false">IF(Funding!AF30="","",Funding!AF30)</f>
        <v/>
      </c>
      <c r="E578" s="20" t="s">
        <v>3150</v>
      </c>
      <c r="M578" s="20" t="s">
        <v>4011</v>
      </c>
    </row>
    <row r="579" customFormat="false" ht="17.15" hidden="false" customHeight="false" outlineLevel="0" collapsed="false">
      <c r="A579" s="0" t="s">
        <v>4012</v>
      </c>
      <c r="B579" s="0" t="s">
        <v>1340</v>
      </c>
      <c r="C579" s="0" t="n">
        <v>2026</v>
      </c>
      <c r="D579" s="41" t="str">
        <f aca="false">IF(Funding!AG30="","",Funding!AG30)</f>
        <v/>
      </c>
      <c r="E579" s="20" t="s">
        <v>3153</v>
      </c>
      <c r="M579" s="20" t="s">
        <v>4013</v>
      </c>
    </row>
    <row r="580" customFormat="false" ht="17.15" hidden="false" customHeight="false" outlineLevel="0" collapsed="false">
      <c r="A580" s="0" t="s">
        <v>4014</v>
      </c>
      <c r="B580" s="0" t="s">
        <v>1340</v>
      </c>
      <c r="C580" s="0" t="n">
        <v>2026</v>
      </c>
      <c r="D580" s="36" t="n">
        <f aca="false">IF(Funding!AL30="","",Funding!AL30)</f>
        <v>130</v>
      </c>
      <c r="E580" s="20" t="s">
        <v>3156</v>
      </c>
      <c r="M580" s="20" t="s">
        <v>4015</v>
      </c>
    </row>
    <row r="581" customFormat="false" ht="17.15" hidden="false" customHeight="false" outlineLevel="0" collapsed="false">
      <c r="A581" s="0" t="s">
        <v>4016</v>
      </c>
      <c r="B581" s="0" t="s">
        <v>1340</v>
      </c>
      <c r="C581" s="0" t="n">
        <v>2026</v>
      </c>
      <c r="D581" s="41" t="str">
        <f aca="false">IF(Funding!AM30="","",Funding!AM30)</f>
        <v/>
      </c>
      <c r="E581" s="20" t="s">
        <v>3159</v>
      </c>
      <c r="M581" s="20" t="s">
        <v>4017</v>
      </c>
    </row>
    <row r="582" customFormat="false" ht="17.15" hidden="false" customHeight="false" outlineLevel="0" collapsed="false">
      <c r="A582" s="0" t="s">
        <v>4018</v>
      </c>
      <c r="B582" s="0" t="s">
        <v>1340</v>
      </c>
      <c r="C582" s="0" t="n">
        <v>2026</v>
      </c>
      <c r="D582" s="41" t="str">
        <f aca="false">IF(Funding!AN30="","",Funding!AN30)</f>
        <v/>
      </c>
      <c r="E582" s="20" t="s">
        <v>3162</v>
      </c>
      <c r="M582" s="20" t="s">
        <v>4019</v>
      </c>
    </row>
    <row r="583" customFormat="false" ht="17.15" hidden="false" customHeight="false" outlineLevel="0" collapsed="false">
      <c r="A583" s="0" t="s">
        <v>4020</v>
      </c>
      <c r="B583" s="0" t="s">
        <v>1340</v>
      </c>
      <c r="C583" s="0" t="n">
        <v>2026</v>
      </c>
      <c r="D583" s="41" t="str">
        <f aca="false">IF(Funding!AO30="","",Funding!AO30)</f>
        <v/>
      </c>
      <c r="E583" s="20" t="s">
        <v>3165</v>
      </c>
      <c r="M583" s="20" t="s">
        <v>4021</v>
      </c>
    </row>
    <row r="584" customFormat="false" ht="17.15" hidden="false" customHeight="false" outlineLevel="0" collapsed="false">
      <c r="A584" s="0" t="s">
        <v>4022</v>
      </c>
      <c r="B584" s="0" t="s">
        <v>1340</v>
      </c>
      <c r="C584" s="0" t="n">
        <v>2026</v>
      </c>
      <c r="D584" s="41" t="str">
        <f aca="false">IF(Funding!AP30="","",Funding!AP30)</f>
        <v/>
      </c>
      <c r="E584" s="20" t="s">
        <v>3168</v>
      </c>
      <c r="M584" s="20" t="s">
        <v>4023</v>
      </c>
    </row>
    <row r="585" customFormat="false" ht="17.15" hidden="false" customHeight="false" outlineLevel="0" collapsed="false">
      <c r="A585" s="0" t="s">
        <v>4024</v>
      </c>
      <c r="B585" s="0" t="s">
        <v>1340</v>
      </c>
      <c r="C585" s="0" t="n">
        <v>2026</v>
      </c>
      <c r="D585" s="41" t="str">
        <f aca="false">IF(Funding!AQ30="","",Funding!AQ30)</f>
        <v/>
      </c>
      <c r="E585" s="20" t="s">
        <v>3171</v>
      </c>
      <c r="M585" s="20" t="s">
        <v>4025</v>
      </c>
    </row>
    <row r="586" customFormat="false" ht="17.15" hidden="false" customHeight="false" outlineLevel="0" collapsed="false">
      <c r="A586" s="0" t="s">
        <v>4026</v>
      </c>
      <c r="B586" s="0" t="s">
        <v>1340</v>
      </c>
      <c r="C586" s="0" t="n">
        <v>2026</v>
      </c>
      <c r="D586" s="36" t="str">
        <f aca="false">IF(Funding!E30="","",Funding!E30)</f>
        <v/>
      </c>
      <c r="E586" s="20" t="s">
        <v>1744</v>
      </c>
      <c r="M586" s="20" t="s">
        <v>4027</v>
      </c>
    </row>
    <row r="587" customFormat="false" ht="17.15" hidden="false" customHeight="false" outlineLevel="0" collapsed="false">
      <c r="A587" s="0" t="s">
        <v>4028</v>
      </c>
      <c r="B587" s="0" t="s">
        <v>1340</v>
      </c>
      <c r="C587" s="0" t="n">
        <v>2026</v>
      </c>
      <c r="D587" s="36" t="str">
        <f aca="false">IF(Funding!I30="","",Funding!I30)</f>
        <v/>
      </c>
      <c r="E587" s="20" t="s">
        <v>1750</v>
      </c>
      <c r="M587" s="20" t="s">
        <v>4029</v>
      </c>
    </row>
    <row r="588" customFormat="false" ht="17.15" hidden="false" customHeight="false" outlineLevel="0" collapsed="false">
      <c r="A588" s="0" t="s">
        <v>4030</v>
      </c>
      <c r="B588" s="0" t="s">
        <v>1340</v>
      </c>
      <c r="C588" s="0" t="n">
        <v>2026</v>
      </c>
      <c r="D588" s="36" t="str">
        <f aca="false">IF(Funding!O30="","",Funding!O30)</f>
        <v/>
      </c>
      <c r="E588" s="20" t="s">
        <v>3178</v>
      </c>
      <c r="M588" s="20" t="s">
        <v>4031</v>
      </c>
    </row>
    <row r="589" customFormat="false" ht="17.15" hidden="false" customHeight="false" outlineLevel="0" collapsed="false">
      <c r="A589" s="0" t="s">
        <v>4032</v>
      </c>
      <c r="B589" s="0" t="s">
        <v>1340</v>
      </c>
      <c r="C589" s="0" t="n">
        <v>2026</v>
      </c>
      <c r="D589" s="36" t="n">
        <f aca="false">N(Funding!J30)+N(Funding!K30)+N(Funding!L30)+N(Funding!M30)</f>
        <v>35</v>
      </c>
      <c r="E589" s="20" t="s">
        <v>3181</v>
      </c>
      <c r="M589" s="20" t="s">
        <v>4033</v>
      </c>
    </row>
    <row r="590" customFormat="false" ht="17.15" hidden="false" customHeight="false" outlineLevel="0" collapsed="false">
      <c r="A590" s="0" t="s">
        <v>4034</v>
      </c>
      <c r="B590" s="0" t="s">
        <v>1340</v>
      </c>
      <c r="C590" s="0" t="n">
        <v>2026</v>
      </c>
      <c r="D590" s="36" t="n">
        <f aca="false">IF(Funding!R30="","",Funding!R30)</f>
        <v>95</v>
      </c>
      <c r="E590" s="20" t="s">
        <v>3184</v>
      </c>
      <c r="M590" s="20" t="s">
        <v>4035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4036</v>
      </c>
    </row>
    <row r="3" customFormat="false" ht="15" hidden="false" customHeight="false" outlineLevel="0" collapsed="false">
      <c r="A3" s="7" t="s">
        <v>1730</v>
      </c>
      <c r="B3" s="6" t="s">
        <v>16</v>
      </c>
      <c r="C3" s="6" t="s">
        <v>4037</v>
      </c>
      <c r="D3" s="6" t="s">
        <v>4038</v>
      </c>
      <c r="E3" s="6" t="s">
        <v>1332</v>
      </c>
      <c r="F3" s="6" t="s">
        <v>4039</v>
      </c>
      <c r="G3" s="6" t="s">
        <v>4040</v>
      </c>
      <c r="H3" s="6" t="s">
        <v>21</v>
      </c>
    </row>
    <row r="4" customFormat="false" ht="17.15" hidden="false" customHeight="false" outlineLevel="0" collapsed="false">
      <c r="A4" s="0" t="s">
        <v>4041</v>
      </c>
      <c r="B4" s="0" t="s">
        <v>4042</v>
      </c>
      <c r="C4" s="0" t="n">
        <f aca="false">SUMPRODUCT(ISERROR(In!A1:AT257)*1)</f>
        <v>0</v>
      </c>
      <c r="F4" s="0" t="str">
        <f aca="false">IF(C4=0,"OK","ERROR")</f>
        <v>OK</v>
      </c>
      <c r="G4" s="5" t="s">
        <v>4043</v>
      </c>
    </row>
    <row r="5" customFormat="false" ht="17.15" hidden="false" customHeight="false" outlineLevel="0" collapsed="false">
      <c r="A5" s="0" t="s">
        <v>4044</v>
      </c>
      <c r="B5" s="0" t="s">
        <v>4045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4043</v>
      </c>
    </row>
    <row r="6" customFormat="false" ht="17.15" hidden="false" customHeight="false" outlineLevel="0" collapsed="false">
      <c r="A6" s="0" t="s">
        <v>4046</v>
      </c>
      <c r="B6" s="0" t="s">
        <v>4047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4043</v>
      </c>
    </row>
    <row r="7" customFormat="false" ht="17.15" hidden="false" customHeight="false" outlineLevel="0" collapsed="false">
      <c r="A7" s="0" t="s">
        <v>4048</v>
      </c>
      <c r="B7" s="0" t="s">
        <v>4049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4043</v>
      </c>
    </row>
    <row r="8" customFormat="false" ht="17.15" hidden="false" customHeight="false" outlineLevel="0" collapsed="false">
      <c r="A8" s="0" t="s">
        <v>4050</v>
      </c>
      <c r="B8" s="0" t="s">
        <v>4051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4043</v>
      </c>
    </row>
    <row r="9" customFormat="false" ht="17.15" hidden="false" customHeight="false" outlineLevel="0" collapsed="false">
      <c r="A9" s="0" t="s">
        <v>4052</v>
      </c>
      <c r="B9" s="0" t="s">
        <v>4053</v>
      </c>
      <c r="C9" s="0" t="n">
        <f aca="false">SUMPRODUCT(ISERROR(Pipeline!A1:AT190)*1)</f>
        <v>0</v>
      </c>
      <c r="F9" s="0" t="str">
        <f aca="false">IF(C9=0,"OK","ERROR")</f>
        <v>OK</v>
      </c>
      <c r="G9" s="5" t="s">
        <v>4043</v>
      </c>
    </row>
    <row r="10" customFormat="false" ht="17.15" hidden="false" customHeight="false" outlineLevel="0" collapsed="false">
      <c r="A10" s="0" t="s">
        <v>4054</v>
      </c>
      <c r="B10" s="0" t="s">
        <v>4055</v>
      </c>
      <c r="C10" s="0" t="n">
        <f aca="false">SUMPRODUCT(ISERROR(Deploy!A1:AT111)*1)</f>
        <v>0</v>
      </c>
      <c r="F10" s="0" t="str">
        <f aca="false">IF(C10=0,"OK","ERROR")</f>
        <v>OK</v>
      </c>
      <c r="G10" s="5" t="s">
        <v>4043</v>
      </c>
    </row>
    <row r="11" customFormat="false" ht="17.15" hidden="false" customHeight="false" outlineLevel="0" collapsed="false">
      <c r="A11" s="0" t="s">
        <v>4056</v>
      </c>
      <c r="B11" s="0" t="s">
        <v>4057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4043</v>
      </c>
    </row>
    <row r="12" customFormat="false" ht="17.15" hidden="false" customHeight="false" outlineLevel="0" collapsed="false">
      <c r="A12" s="0" t="s">
        <v>4058</v>
      </c>
      <c r="B12" s="0" t="s">
        <v>4059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4043</v>
      </c>
    </row>
    <row r="13" customFormat="false" ht="17.15" hidden="false" customHeight="false" outlineLevel="0" collapsed="false">
      <c r="A13" s="0" t="s">
        <v>4060</v>
      </c>
      <c r="B13" s="0" t="s">
        <v>4061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4043</v>
      </c>
    </row>
    <row r="14" customFormat="false" ht="17.15" hidden="false" customHeight="false" outlineLevel="0" collapsed="false">
      <c r="A14" s="0" t="s">
        <v>4062</v>
      </c>
      <c r="B14" s="0" t="s">
        <v>4063</v>
      </c>
      <c r="C14" s="0" t="n">
        <f aca="false">SUMPRODUCT(ISERROR(Interface!A1:AT593)*1)</f>
        <v>0</v>
      </c>
      <c r="F14" s="0" t="str">
        <f aca="false">IF(C14=0,"OK","ERROR")</f>
        <v>OK</v>
      </c>
      <c r="G14" s="5" t="s">
        <v>4043</v>
      </c>
    </row>
    <row r="15" customFormat="false" ht="17.15" hidden="false" customHeight="false" outlineLevel="0" collapsed="false">
      <c r="A15" s="0" t="s">
        <v>4064</v>
      </c>
      <c r="B15" s="0" t="s">
        <v>4065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4043</v>
      </c>
    </row>
    <row r="16" customFormat="false" ht="17.15" hidden="false" customHeight="false" outlineLevel="0" collapsed="false">
      <c r="A16" s="0" t="s">
        <v>4066</v>
      </c>
      <c r="B16" s="0" t="s">
        <v>4067</v>
      </c>
      <c r="C16" s="0" t="n">
        <f aca="false">SUMPRODUCT(ISERROR(Funding!A1:AT90)*1)</f>
        <v>0</v>
      </c>
      <c r="F16" s="0" t="str">
        <f aca="false">IF(C16=0,"OK","ERROR")</f>
        <v>OK</v>
      </c>
      <c r="G16" s="5" t="s">
        <v>4043</v>
      </c>
    </row>
    <row r="17" customFormat="false" ht="17.15" hidden="false" customHeight="false" outlineLevel="0" collapsed="false">
      <c r="A17" s="0" t="s">
        <v>4068</v>
      </c>
      <c r="B17" s="0" t="s">
        <v>4069</v>
      </c>
      <c r="C17" s="0" t="n">
        <f aca="false">SUMPRODUCT(ISERROR(FundRaw!A1:AT262)*1)</f>
        <v>0</v>
      </c>
      <c r="F17" s="0" t="str">
        <f aca="false">IF(C17=0,"OK","ERROR")</f>
        <v>OK</v>
      </c>
      <c r="G17" s="5" t="s">
        <v>4043</v>
      </c>
    </row>
    <row r="18" customFormat="false" ht="17.15" hidden="false" customHeight="false" outlineLevel="0" collapsed="false">
      <c r="A18" s="0" t="s">
        <v>4070</v>
      </c>
      <c r="B18" s="0" t="s">
        <v>4071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4043</v>
      </c>
    </row>
    <row r="19" customFormat="false" ht="17.15" hidden="false" customHeight="false" outlineLevel="0" collapsed="false">
      <c r="A19" s="0" t="s">
        <v>4072</v>
      </c>
      <c r="B19" s="0" t="s">
        <v>4073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4043</v>
      </c>
    </row>
    <row r="20" customFormat="false" ht="17.15" hidden="false" customHeight="false" outlineLevel="0" collapsed="false">
      <c r="A20" s="0" t="s">
        <v>4074</v>
      </c>
      <c r="B20" s="0" t="s">
        <v>4075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4043</v>
      </c>
    </row>
    <row r="21" customFormat="false" ht="17.15" hidden="false" customHeight="false" outlineLevel="0" collapsed="false">
      <c r="A21" s="0" t="s">
        <v>4076</v>
      </c>
      <c r="B21" s="0" t="s">
        <v>4077</v>
      </c>
      <c r="C21" s="0" t="n">
        <f aca="false">SUMPRODUCT(ABS(Matrix!L5:L19-Matrix!M5:M19))</f>
        <v>0</v>
      </c>
      <c r="F21" s="0" t="str">
        <f aca="false">IF(C21&lt;0.000000001,"OK","ERROR")</f>
        <v>OK</v>
      </c>
      <c r="G21" s="5" t="s">
        <v>4078</v>
      </c>
    </row>
    <row r="22" customFormat="false" ht="17.15" hidden="false" customHeight="false" outlineLevel="0" collapsed="false">
      <c r="A22" s="0" t="s">
        <v>4079</v>
      </c>
      <c r="B22" s="0" t="s">
        <v>4080</v>
      </c>
      <c r="C22" s="0" t="n">
        <f aca="false">SUM(Matrix!C20:K20)</f>
        <v>25.3371433333333</v>
      </c>
      <c r="D22" s="24" t="n">
        <f aca="false">Players!F307</f>
        <v>25.3371433333333</v>
      </c>
      <c r="E22" s="20" t="n">
        <f aca="false">C22-D22</f>
        <v>0</v>
      </c>
      <c r="F22" s="0" t="str">
        <f aca="false">IF(ABS(E22)&lt;0.000000001,"OK","ERROR")</f>
        <v>OK</v>
      </c>
      <c r="G22" s="5" t="s">
        <v>4078</v>
      </c>
    </row>
    <row r="23" customFormat="false" ht="17.15" hidden="false" customHeight="false" outlineLevel="0" collapsed="false">
      <c r="A23" s="0" t="s">
        <v>4081</v>
      </c>
      <c r="B23" s="0" t="s">
        <v>4082</v>
      </c>
      <c r="C23" s="0" t="n">
        <f aca="false">SUMPRODUCT(ABS(Matrix!L26:L40-Matrix!M26:M40))</f>
        <v>0</v>
      </c>
      <c r="F23" s="0" t="str">
        <f aca="false">IF(C23&lt;0.000000001,"OK","ERROR")</f>
        <v>OK</v>
      </c>
      <c r="G23" s="5" t="s">
        <v>4078</v>
      </c>
    </row>
    <row r="24" customFormat="false" ht="17.15" hidden="false" customHeight="false" outlineLevel="0" collapsed="false">
      <c r="A24" s="0" t="s">
        <v>4083</v>
      </c>
      <c r="B24" s="0" t="s">
        <v>4084</v>
      </c>
      <c r="C24" s="0" t="n">
        <f aca="false">SUM(Matrix!C41:K41)</f>
        <v>37.8525147943925</v>
      </c>
      <c r="D24" s="24" t="n">
        <f aca="false">Players!G307</f>
        <v>37.8525147943925</v>
      </c>
      <c r="E24" s="20" t="n">
        <f aca="false">C24-D24</f>
        <v>0</v>
      </c>
      <c r="F24" s="0" t="str">
        <f aca="false">IF(ABS(E24)&lt;0.000000001,"OK","ERROR")</f>
        <v>OK</v>
      </c>
      <c r="G24" s="5" t="s">
        <v>4078</v>
      </c>
    </row>
    <row r="25" customFormat="false" ht="17.15" hidden="false" customHeight="false" outlineLevel="0" collapsed="false">
      <c r="A25" s="0" t="s">
        <v>4085</v>
      </c>
      <c r="B25" s="0" t="s">
        <v>4086</v>
      </c>
      <c r="C25" s="0" t="n">
        <f aca="false">SUMPRODUCT(ABS(Matrix!L47:L61-Matrix!M47:M61))</f>
        <v>0</v>
      </c>
      <c r="F25" s="0" t="str">
        <f aca="false">IF(C25&lt;0.000000001,"OK","ERROR")</f>
        <v>OK</v>
      </c>
      <c r="G25" s="5" t="s">
        <v>4078</v>
      </c>
    </row>
    <row r="26" customFormat="false" ht="17.15" hidden="false" customHeight="false" outlineLevel="0" collapsed="false">
      <c r="A26" s="0" t="s">
        <v>4087</v>
      </c>
      <c r="B26" s="0" t="s">
        <v>4088</v>
      </c>
      <c r="C26" s="0" t="n">
        <f aca="false">SUM(Matrix!C62:K62)</f>
        <v>46.5041599188997</v>
      </c>
      <c r="D26" s="24" t="n">
        <f aca="false">Players!H307</f>
        <v>46.5041599188997</v>
      </c>
      <c r="E26" s="20" t="n">
        <f aca="false">C26-D26</f>
        <v>0</v>
      </c>
      <c r="F26" s="0" t="str">
        <f aca="false">IF(ABS(E26)&lt;0.000000001,"OK","ERROR")</f>
        <v>OK</v>
      </c>
      <c r="G26" s="5" t="s">
        <v>4078</v>
      </c>
    </row>
    <row r="27" customFormat="false" ht="17.15" hidden="false" customHeight="false" outlineLevel="0" collapsed="false">
      <c r="A27" s="0" t="s">
        <v>4089</v>
      </c>
      <c r="B27" s="0" t="s">
        <v>4090</v>
      </c>
      <c r="C27" s="24" t="n">
        <f aca="false">Pipeline!D180</f>
        <v>0.630578355681972</v>
      </c>
      <c r="D27" s="24" t="n">
        <f aca="false">Players!D307</f>
        <v>0.630578355681972</v>
      </c>
      <c r="E27" s="20" t="n">
        <f aca="false">C27-D27</f>
        <v>0</v>
      </c>
      <c r="F27" s="0" t="str">
        <f aca="false">IF(ABS(E27)&lt;=0.01,"OK","ERROR")</f>
        <v>OK</v>
      </c>
      <c r="G27" s="5" t="s">
        <v>4078</v>
      </c>
    </row>
    <row r="28" customFormat="false" ht="17.15" hidden="false" customHeight="false" outlineLevel="0" collapsed="false">
      <c r="A28" s="0" t="s">
        <v>4091</v>
      </c>
      <c r="B28" s="0" t="s">
        <v>4092</v>
      </c>
      <c r="C28" s="24" t="n">
        <f aca="false">Pipeline!E180</f>
        <v>6.20938570515285</v>
      </c>
      <c r="D28" s="24" t="n">
        <f aca="false">Players!E307</f>
        <v>6.20938570515285</v>
      </c>
      <c r="E28" s="20" t="n">
        <f aca="false">C28-D28</f>
        <v>0</v>
      </c>
      <c r="F28" s="0" t="str">
        <f aca="false">IF(ABS(E28)&lt;=0.01,"OK","ERROR")</f>
        <v>OK</v>
      </c>
      <c r="G28" s="5" t="s">
        <v>4078</v>
      </c>
    </row>
    <row r="29" customFormat="false" ht="17.15" hidden="false" customHeight="false" outlineLevel="0" collapsed="false">
      <c r="A29" s="0" t="s">
        <v>4093</v>
      </c>
      <c r="B29" s="0" t="s">
        <v>4094</v>
      </c>
      <c r="C29" s="24" t="n">
        <f aca="false">Pipeline!F180</f>
        <v>25.3371433333333</v>
      </c>
      <c r="D29" s="24" t="n">
        <f aca="false">Players!F307</f>
        <v>25.3371433333333</v>
      </c>
      <c r="E29" s="20" t="n">
        <f aca="false">C29-D29</f>
        <v>0</v>
      </c>
      <c r="F29" s="0" t="str">
        <f aca="false">IF(ABS(E29)&lt;=0.01,"OK","ERROR")</f>
        <v>OK</v>
      </c>
      <c r="G29" s="5" t="s">
        <v>4078</v>
      </c>
    </row>
    <row r="30" customFormat="false" ht="17.15" hidden="false" customHeight="false" outlineLevel="0" collapsed="false">
      <c r="A30" s="0" t="s">
        <v>4095</v>
      </c>
      <c r="B30" s="0" t="s">
        <v>4096</v>
      </c>
      <c r="C30" s="24" t="n">
        <f aca="false">Pipeline!G180</f>
        <v>37.8525147943925</v>
      </c>
      <c r="D30" s="24" t="n">
        <f aca="false">Players!G307</f>
        <v>37.8525147943925</v>
      </c>
      <c r="E30" s="20" t="n">
        <f aca="false">C30-D30</f>
        <v>0</v>
      </c>
      <c r="F30" s="0" t="str">
        <f aca="false">IF(ABS(E30)&lt;=0.01,"OK","ERROR")</f>
        <v>OK</v>
      </c>
      <c r="G30" s="5" t="s">
        <v>4078</v>
      </c>
    </row>
    <row r="31" customFormat="false" ht="17.15" hidden="false" customHeight="false" outlineLevel="0" collapsed="false">
      <c r="A31" s="0" t="s">
        <v>4097</v>
      </c>
      <c r="B31" s="0" t="s">
        <v>4098</v>
      </c>
      <c r="C31" s="24" t="n">
        <f aca="false">Pipeline!H180</f>
        <v>46.5041599188997</v>
      </c>
      <c r="D31" s="24" t="n">
        <f aca="false">Players!H307</f>
        <v>46.5041599188997</v>
      </c>
      <c r="E31" s="20" t="n">
        <f aca="false">C31-D31</f>
        <v>0</v>
      </c>
      <c r="F31" s="0" t="str">
        <f aca="false">IF(ABS(E31)&lt;=0.01,"OK","ERROR")</f>
        <v>OK</v>
      </c>
      <c r="G31" s="5" t="s">
        <v>4078</v>
      </c>
    </row>
    <row r="32" customFormat="false" ht="17.15" hidden="false" customHeight="false" outlineLevel="0" collapsed="false">
      <c r="A32" s="0" t="s">
        <v>4099</v>
      </c>
      <c r="B32" s="0" t="s">
        <v>4100</v>
      </c>
      <c r="C32" s="24" t="n">
        <f aca="false">Pipeline!I180</f>
        <v>65.1003739798087</v>
      </c>
      <c r="D32" s="24" t="n">
        <f aca="false">Players!I307</f>
        <v>65.1003739798087</v>
      </c>
      <c r="E32" s="20" t="n">
        <f aca="false">C32-D32</f>
        <v>0</v>
      </c>
      <c r="F32" s="0" t="str">
        <f aca="false">IF(ABS(E32)&lt;=0.01,"OK","ERROR")</f>
        <v>OK</v>
      </c>
      <c r="G32" s="5" t="s">
        <v>4078</v>
      </c>
    </row>
    <row r="33" customFormat="false" ht="17.15" hidden="false" customHeight="false" outlineLevel="0" collapsed="false">
      <c r="A33" s="0" t="s">
        <v>4101</v>
      </c>
      <c r="B33" s="0" t="s">
        <v>4102</v>
      </c>
      <c r="C33" s="24" t="n">
        <f aca="false">Pipeline!J180</f>
        <v>71.4293953108062</v>
      </c>
      <c r="D33" s="24" t="n">
        <f aca="false">Players!J307</f>
        <v>71.4293953108062</v>
      </c>
      <c r="E33" s="20" t="n">
        <f aca="false">C33-D33</f>
        <v>0</v>
      </c>
      <c r="F33" s="0" t="str">
        <f aca="false">IF(ABS(E33)&lt;=0.01,"OK","ERROR")</f>
        <v>OK</v>
      </c>
      <c r="G33" s="5" t="s">
        <v>4078</v>
      </c>
    </row>
    <row r="34" customFormat="false" ht="17.15" hidden="false" customHeight="false" outlineLevel="0" collapsed="false">
      <c r="A34" s="0" t="s">
        <v>4103</v>
      </c>
      <c r="B34" s="0" t="s">
        <v>4104</v>
      </c>
      <c r="C34" s="24" t="n">
        <f aca="false">Pipeline!K180</f>
        <v>77.3044503328541</v>
      </c>
      <c r="D34" s="24" t="n">
        <f aca="false">Players!K307</f>
        <v>77.3044503328541</v>
      </c>
      <c r="E34" s="20" t="n">
        <f aca="false">C34-D34</f>
        <v>0</v>
      </c>
      <c r="F34" s="0" t="str">
        <f aca="false">IF(ABS(E34)&lt;=0.01,"OK","ERROR")</f>
        <v>OK</v>
      </c>
      <c r="G34" s="5" t="s">
        <v>4078</v>
      </c>
    </row>
    <row r="35" customFormat="false" ht="17.15" hidden="false" customHeight="false" outlineLevel="0" collapsed="false">
      <c r="A35" s="0" t="s">
        <v>4105</v>
      </c>
      <c r="B35" s="0" t="s">
        <v>4106</v>
      </c>
      <c r="C35" s="24" t="n">
        <f aca="false">Pipeline!L180</f>
        <v>80.6082964867002</v>
      </c>
      <c r="D35" s="24" t="n">
        <f aca="false">Players!L307</f>
        <v>80.6082964867002</v>
      </c>
      <c r="E35" s="20" t="n">
        <f aca="false">C35-D35</f>
        <v>0</v>
      </c>
      <c r="F35" s="0" t="str">
        <f aca="false">IF(ABS(E35)&lt;=0.01,"OK","ERROR")</f>
        <v>OK</v>
      </c>
      <c r="G35" s="5" t="s">
        <v>4078</v>
      </c>
    </row>
    <row r="36" customFormat="false" ht="17.15" hidden="false" customHeight="false" outlineLevel="0" collapsed="false">
      <c r="A36" s="0" t="s">
        <v>4107</v>
      </c>
      <c r="B36" s="0" t="s">
        <v>4108</v>
      </c>
      <c r="C36" s="24" t="n">
        <f aca="false">Pipeline!M180</f>
        <v>82.977527255931</v>
      </c>
      <c r="D36" s="24" t="n">
        <f aca="false">Players!M307</f>
        <v>82.977527255931</v>
      </c>
      <c r="E36" s="20" t="n">
        <f aca="false">C36-D36</f>
        <v>0</v>
      </c>
      <c r="F36" s="0" t="str">
        <f aca="false">IF(ABS(E36)&lt;=0.01,"OK","ERROR")</f>
        <v>OK</v>
      </c>
      <c r="G36" s="5" t="s">
        <v>4078</v>
      </c>
    </row>
    <row r="37" customFormat="false" ht="17.15" hidden="false" customHeight="false" outlineLevel="0" collapsed="false">
      <c r="A37" s="0" t="s">
        <v>4109</v>
      </c>
      <c r="B37" s="0" t="s">
        <v>4110</v>
      </c>
      <c r="C37" s="24" t="n">
        <f aca="false">Pipeline!E181</f>
        <v>6.20938570515285</v>
      </c>
      <c r="D37" s="24" t="n">
        <f aca="false">Pipeline!E180</f>
        <v>6.20938570515285</v>
      </c>
      <c r="F37" s="0" t="str">
        <f aca="false">IF(AND(Pipeline!E180&gt;=Pipeline!E181-0.000000001,Pipeline!E181&gt;=Pipeline!E182-0.000000001),"OK","ERROR")</f>
        <v>OK</v>
      </c>
      <c r="G37" s="5" t="s">
        <v>4111</v>
      </c>
    </row>
    <row r="38" customFormat="false" ht="17.15" hidden="false" customHeight="false" outlineLevel="0" collapsed="false">
      <c r="A38" s="0" t="s">
        <v>4112</v>
      </c>
      <c r="B38" s="0" t="s">
        <v>4113</v>
      </c>
      <c r="C38" s="24" t="n">
        <f aca="false">Pipeline!F181</f>
        <v>25.3371433333333</v>
      </c>
      <c r="D38" s="24" t="n">
        <f aca="false">Pipeline!F180</f>
        <v>25.3371433333333</v>
      </c>
      <c r="F38" s="0" t="str">
        <f aca="false">IF(AND(Pipeline!F180&gt;=Pipeline!F181-0.000000001,Pipeline!F181&gt;=Pipeline!F182-0.000000001),"OK","ERROR")</f>
        <v>OK</v>
      </c>
      <c r="G38" s="5" t="s">
        <v>4111</v>
      </c>
    </row>
    <row r="39" customFormat="false" ht="17.15" hidden="false" customHeight="false" outlineLevel="0" collapsed="false">
      <c r="A39" s="0" t="s">
        <v>4114</v>
      </c>
      <c r="B39" s="0" t="s">
        <v>4115</v>
      </c>
      <c r="C39" s="24" t="n">
        <f aca="false">Pipeline!G181</f>
        <v>37.043435095226</v>
      </c>
      <c r="D39" s="24" t="n">
        <f aca="false">Pipeline!G180</f>
        <v>37.8525147943925</v>
      </c>
      <c r="F39" s="0" t="str">
        <f aca="false">IF(AND(Pipeline!G180&gt;=Pipeline!G181-0.000000001,Pipeline!G181&gt;=Pipeline!G182-0.000000001),"OK","ERROR")</f>
        <v>OK</v>
      </c>
      <c r="G39" s="5" t="s">
        <v>4111</v>
      </c>
    </row>
    <row r="40" customFormat="false" ht="17.15" hidden="false" customHeight="false" outlineLevel="0" collapsed="false">
      <c r="A40" s="0" t="s">
        <v>4116</v>
      </c>
      <c r="B40" s="0" t="s">
        <v>4117</v>
      </c>
      <c r="C40" s="24" t="n">
        <f aca="false">Pipeline!H181</f>
        <v>44.7908553554443</v>
      </c>
      <c r="D40" s="24" t="n">
        <f aca="false">Pipeline!H180</f>
        <v>46.5041599188997</v>
      </c>
      <c r="F40" s="0" t="str">
        <f aca="false">IF(AND(Pipeline!H180&gt;=Pipeline!H181-0.000000001,Pipeline!H181&gt;=Pipeline!H182-0.000000001),"OK","ERROR")</f>
        <v>OK</v>
      </c>
      <c r="G40" s="5" t="s">
        <v>4111</v>
      </c>
    </row>
    <row r="41" customFormat="false" ht="17.15" hidden="false" customHeight="false" outlineLevel="0" collapsed="false">
      <c r="A41" s="0" t="s">
        <v>4118</v>
      </c>
      <c r="B41" s="0" t="s">
        <v>4119</v>
      </c>
      <c r="C41" s="24" t="n">
        <f aca="false">Pipeline!I181</f>
        <v>61.3757240191496</v>
      </c>
      <c r="D41" s="24" t="n">
        <f aca="false">Pipeline!I180</f>
        <v>65.1003739798087</v>
      </c>
      <c r="F41" s="0" t="str">
        <f aca="false">IF(AND(Pipeline!I180&gt;=Pipeline!I181-0.000000001,Pipeline!I181&gt;=Pipeline!I182-0.000000001),"OK","ERROR")</f>
        <v>OK</v>
      </c>
      <c r="G41" s="5" t="s">
        <v>4111</v>
      </c>
    </row>
    <row r="42" customFormat="false" ht="17.15" hidden="false" customHeight="false" outlineLevel="0" collapsed="false">
      <c r="A42" s="0" t="s">
        <v>4120</v>
      </c>
      <c r="B42" s="0" t="s">
        <v>4121</v>
      </c>
      <c r="C42" s="24" t="n">
        <f aca="false">Pipeline!J181</f>
        <v>69.9621915778816</v>
      </c>
      <c r="D42" s="24" t="n">
        <f aca="false">Pipeline!J180</f>
        <v>71.4293953108062</v>
      </c>
      <c r="F42" s="0" t="str">
        <f aca="false">IF(AND(Pipeline!J180&gt;=Pipeline!J181-0.000000001,Pipeline!J181&gt;=Pipeline!J182-0.000000001),"OK","ERROR")</f>
        <v>OK</v>
      </c>
      <c r="G42" s="5" t="s">
        <v>4111</v>
      </c>
    </row>
    <row r="43" customFormat="false" ht="17.15" hidden="false" customHeight="false" outlineLevel="0" collapsed="false">
      <c r="A43" s="0" t="s">
        <v>4122</v>
      </c>
      <c r="B43" s="0" t="s">
        <v>4123</v>
      </c>
      <c r="C43" s="24" t="n">
        <f aca="false">Pipeline!K181</f>
        <v>76.0402407039957</v>
      </c>
      <c r="D43" s="24" t="n">
        <f aca="false">Pipeline!K180</f>
        <v>77.3044503328541</v>
      </c>
      <c r="F43" s="0" t="str">
        <f aca="false">IF(AND(Pipeline!K180&gt;=Pipeline!K181-0.000000001,Pipeline!K181&gt;=Pipeline!K182-0.000000001),"OK","ERROR")</f>
        <v>OK</v>
      </c>
      <c r="G43" s="5" t="s">
        <v>4111</v>
      </c>
    </row>
    <row r="44" customFormat="false" ht="17.15" hidden="false" customHeight="false" outlineLevel="0" collapsed="false">
      <c r="A44" s="0" t="s">
        <v>4124</v>
      </c>
      <c r="B44" s="0" t="s">
        <v>4125</v>
      </c>
      <c r="C44" s="24" t="n">
        <f aca="false">Pipeline!L181</f>
        <v>79.8288734097772</v>
      </c>
      <c r="D44" s="24" t="n">
        <f aca="false">Pipeline!L180</f>
        <v>80.6082964867002</v>
      </c>
      <c r="F44" s="0" t="str">
        <f aca="false">IF(AND(Pipeline!L180&gt;=Pipeline!L181-0.000000001,Pipeline!L181&gt;=Pipeline!L182-0.000000001),"OK","ERROR")</f>
        <v>OK</v>
      </c>
      <c r="G44" s="5" t="s">
        <v>4111</v>
      </c>
    </row>
    <row r="45" customFormat="false" ht="17.15" hidden="false" customHeight="false" outlineLevel="0" collapsed="false">
      <c r="A45" s="0" t="s">
        <v>4126</v>
      </c>
      <c r="B45" s="0" t="s">
        <v>4127</v>
      </c>
      <c r="C45" s="24" t="n">
        <f aca="false">Pipeline!M181</f>
        <v>82.5629118713156</v>
      </c>
      <c r="D45" s="24" t="n">
        <f aca="false">Pipeline!M180</f>
        <v>82.977527255931</v>
      </c>
      <c r="F45" s="0" t="str">
        <f aca="false">IF(AND(Pipeline!M180&gt;=Pipeline!M181-0.000000001,Pipeline!M181&gt;=Pipeline!M182-0.000000001),"OK","ERROR")</f>
        <v>OK</v>
      </c>
      <c r="G45" s="5" t="s">
        <v>4111</v>
      </c>
    </row>
    <row r="46" customFormat="false" ht="17.15" hidden="false" customHeight="false" outlineLevel="0" collapsed="false">
      <c r="A46" s="0" t="s">
        <v>4128</v>
      </c>
      <c r="B46" s="5" t="s">
        <v>4129</v>
      </c>
      <c r="C46" s="0" t="n">
        <f aca="false">Pipeline!M180-Pipeline!M182</f>
        <v>0.414615384615388</v>
      </c>
      <c r="D46" s="0" t="n">
        <f aca="false">SUMPRODUCT(ABS(Pipeline!E128:M128),1-Pipeline!E168:M168)+SUMPRODUCT(Pipeline!L5:L74,Pipeline!Q5:Q74)</f>
        <v>27.7827820512821</v>
      </c>
      <c r="F46" s="0" t="str">
        <f aca="false">IF(C46&lt;=D46+0.000000001,"OK","ERROR")</f>
        <v>OK</v>
      </c>
      <c r="G46" s="5" t="s">
        <v>4111</v>
      </c>
    </row>
    <row r="47" customFormat="false" ht="17.15" hidden="false" customHeight="false" outlineLevel="0" collapsed="false">
      <c r="A47" s="0" t="s">
        <v>4130</v>
      </c>
      <c r="B47" s="0" t="s">
        <v>4131</v>
      </c>
      <c r="C47" s="22" t="n">
        <f aca="false">Players!D10</f>
        <v>1</v>
      </c>
      <c r="D47" s="0" t="n">
        <v>1</v>
      </c>
      <c r="F47" s="0" t="str">
        <f aca="false">IF(ABS(C47-1)&lt;0.000000001,"OK","ERROR")</f>
        <v>OK</v>
      </c>
      <c r="G47" s="5" t="s">
        <v>4111</v>
      </c>
    </row>
    <row r="48" customFormat="false" ht="17.15" hidden="false" customHeight="false" outlineLevel="0" collapsed="false">
      <c r="A48" s="0" t="s">
        <v>4132</v>
      </c>
      <c r="B48" s="0" t="s">
        <v>4133</v>
      </c>
      <c r="C48" s="22" t="n">
        <f aca="false">Players!E10</f>
        <v>1</v>
      </c>
      <c r="D48" s="0" t="n">
        <v>1</v>
      </c>
      <c r="F48" s="0" t="str">
        <f aca="false">IF(ABS(C48-1)&lt;0.000000001,"OK","ERROR")</f>
        <v>OK</v>
      </c>
      <c r="G48" s="5" t="s">
        <v>4111</v>
      </c>
    </row>
    <row r="49" customFormat="false" ht="17.15" hidden="false" customHeight="false" outlineLevel="0" collapsed="false">
      <c r="A49" s="0" t="s">
        <v>4134</v>
      </c>
      <c r="B49" s="0" t="s">
        <v>4135</v>
      </c>
      <c r="C49" s="22" t="n">
        <f aca="false">Players!F10</f>
        <v>1</v>
      </c>
      <c r="D49" s="0" t="n">
        <v>1</v>
      </c>
      <c r="F49" s="0" t="str">
        <f aca="false">IF(ABS(C49-1)&lt;0.000000001,"OK","ERROR")</f>
        <v>OK</v>
      </c>
      <c r="G49" s="5" t="s">
        <v>4111</v>
      </c>
    </row>
    <row r="50" customFormat="false" ht="17.15" hidden="false" customHeight="false" outlineLevel="0" collapsed="false">
      <c r="A50" s="0" t="s">
        <v>4136</v>
      </c>
      <c r="B50" s="0" t="s">
        <v>4137</v>
      </c>
      <c r="C50" s="22" t="n">
        <f aca="false">Players!G10</f>
        <v>1</v>
      </c>
      <c r="D50" s="0" t="n">
        <v>1</v>
      </c>
      <c r="F50" s="0" t="str">
        <f aca="false">IF(ABS(C50-1)&lt;0.000000001,"OK","ERROR")</f>
        <v>OK</v>
      </c>
      <c r="G50" s="5" t="s">
        <v>4111</v>
      </c>
    </row>
    <row r="51" customFormat="false" ht="17.15" hidden="false" customHeight="false" outlineLevel="0" collapsed="false">
      <c r="A51" s="0" t="s">
        <v>4138</v>
      </c>
      <c r="B51" s="0" t="s">
        <v>4139</v>
      </c>
      <c r="C51" s="22" t="n">
        <f aca="false">Players!H10</f>
        <v>1</v>
      </c>
      <c r="D51" s="0" t="n">
        <v>1</v>
      </c>
      <c r="F51" s="0" t="str">
        <f aca="false">IF(ABS(C51-1)&lt;0.000000001,"OK","ERROR")</f>
        <v>OK</v>
      </c>
      <c r="G51" s="5" t="s">
        <v>4111</v>
      </c>
    </row>
    <row r="52" customFormat="false" ht="17.15" hidden="false" customHeight="false" outlineLevel="0" collapsed="false">
      <c r="A52" s="0" t="s">
        <v>4140</v>
      </c>
      <c r="B52" s="0" t="s">
        <v>4141</v>
      </c>
      <c r="C52" s="22" t="n">
        <f aca="false">Players!I10</f>
        <v>1</v>
      </c>
      <c r="D52" s="0" t="n">
        <v>1</v>
      </c>
      <c r="F52" s="0" t="str">
        <f aca="false">IF(ABS(C52-1)&lt;0.000000001,"OK","ERROR")</f>
        <v>OK</v>
      </c>
      <c r="G52" s="5" t="s">
        <v>4111</v>
      </c>
    </row>
    <row r="53" customFormat="false" ht="17.15" hidden="false" customHeight="false" outlineLevel="0" collapsed="false">
      <c r="A53" s="0" t="s">
        <v>4142</v>
      </c>
      <c r="B53" s="0" t="s">
        <v>4143</v>
      </c>
      <c r="C53" s="22" t="n">
        <f aca="false">Players!J10</f>
        <v>1</v>
      </c>
      <c r="D53" s="0" t="n">
        <v>1</v>
      </c>
      <c r="F53" s="0" t="str">
        <f aca="false">IF(ABS(C53-1)&lt;0.000000001,"OK","ERROR")</f>
        <v>OK</v>
      </c>
      <c r="G53" s="5" t="s">
        <v>4111</v>
      </c>
    </row>
    <row r="54" customFormat="false" ht="17.15" hidden="false" customHeight="false" outlineLevel="0" collapsed="false">
      <c r="A54" s="0" t="s">
        <v>4144</v>
      </c>
      <c r="B54" s="0" t="s">
        <v>4145</v>
      </c>
      <c r="C54" s="22" t="n">
        <f aca="false">Players!K10</f>
        <v>1</v>
      </c>
      <c r="D54" s="0" t="n">
        <v>1</v>
      </c>
      <c r="F54" s="0" t="str">
        <f aca="false">IF(ABS(C54-1)&lt;0.000000001,"OK","ERROR")</f>
        <v>OK</v>
      </c>
      <c r="G54" s="5" t="s">
        <v>4111</v>
      </c>
    </row>
    <row r="55" customFormat="false" ht="17.15" hidden="false" customHeight="false" outlineLevel="0" collapsed="false">
      <c r="A55" s="0" t="s">
        <v>4146</v>
      </c>
      <c r="B55" s="0" t="s">
        <v>4147</v>
      </c>
      <c r="C55" s="22" t="n">
        <f aca="false">Players!L10</f>
        <v>1</v>
      </c>
      <c r="D55" s="0" t="n">
        <v>1</v>
      </c>
      <c r="F55" s="0" t="str">
        <f aca="false">IF(ABS(C55-1)&lt;0.000000001,"OK","ERROR")</f>
        <v>OK</v>
      </c>
      <c r="G55" s="5" t="s">
        <v>4111</v>
      </c>
    </row>
    <row r="56" customFormat="false" ht="17.15" hidden="false" customHeight="false" outlineLevel="0" collapsed="false">
      <c r="A56" s="0" t="s">
        <v>4148</v>
      </c>
      <c r="B56" s="0" t="s">
        <v>4149</v>
      </c>
      <c r="C56" s="22" t="n">
        <f aca="false">Players!M10</f>
        <v>1</v>
      </c>
      <c r="D56" s="0" t="n">
        <v>1</v>
      </c>
      <c r="F56" s="0" t="str">
        <f aca="false">IF(ABS(C56-1)&lt;0.000000001,"OK","ERROR")</f>
        <v>OK</v>
      </c>
      <c r="G56" s="5" t="s">
        <v>4111</v>
      </c>
    </row>
    <row r="57" customFormat="false" ht="17.15" hidden="false" customHeight="false" outlineLevel="0" collapsed="false">
      <c r="A57" s="0" t="s">
        <v>4150</v>
      </c>
      <c r="B57" s="0" t="s">
        <v>4151</v>
      </c>
      <c r="C57" s="24" t="n">
        <f aca="false">Pipeline!E131</f>
        <v>1.61980834349181</v>
      </c>
      <c r="D57" s="24" t="n">
        <f aca="false">Players!E313</f>
        <v>1.61980834349181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4078</v>
      </c>
    </row>
    <row r="58" customFormat="false" ht="17.15" hidden="false" customHeight="false" outlineLevel="0" collapsed="false">
      <c r="A58" s="0" t="s">
        <v>4152</v>
      </c>
      <c r="B58" s="0" t="s">
        <v>4153</v>
      </c>
      <c r="C58" s="24" t="n">
        <f aca="false">Pipeline!F131</f>
        <v>9.04912429484715</v>
      </c>
      <c r="D58" s="24" t="n">
        <f aca="false">Players!F313</f>
        <v>9.04912429484715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4078</v>
      </c>
    </row>
    <row r="59" customFormat="false" ht="17.15" hidden="false" customHeight="false" outlineLevel="0" collapsed="false">
      <c r="A59" s="0" t="s">
        <v>4154</v>
      </c>
      <c r="B59" s="0" t="s">
        <v>4155</v>
      </c>
      <c r="C59" s="24" t="n">
        <f aca="false">Pipeline!G131</f>
        <v>12.5153714610592</v>
      </c>
      <c r="D59" s="24" t="n">
        <f aca="false">Players!G313</f>
        <v>12.5153714610592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4078</v>
      </c>
    </row>
    <row r="60" customFormat="false" ht="17.15" hidden="false" customHeight="false" outlineLevel="0" collapsed="false">
      <c r="A60" s="0" t="s">
        <v>4156</v>
      </c>
      <c r="B60" s="0" t="s">
        <v>4157</v>
      </c>
      <c r="C60" s="24" t="n">
        <f aca="false">Pipeline!H131</f>
        <v>8.65164512450717</v>
      </c>
      <c r="D60" s="24" t="n">
        <f aca="false">Players!H313</f>
        <v>8.65164512450717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4078</v>
      </c>
    </row>
    <row r="61" customFormat="false" ht="17.15" hidden="false" customHeight="false" outlineLevel="0" collapsed="false">
      <c r="A61" s="0" t="s">
        <v>4158</v>
      </c>
      <c r="B61" s="0" t="s">
        <v>4159</v>
      </c>
      <c r="C61" s="24" t="n">
        <f aca="false">Pipeline!I131</f>
        <v>18.596214060909</v>
      </c>
      <c r="D61" s="24" t="n">
        <f aca="false">Players!I313</f>
        <v>18.596214060909</v>
      </c>
      <c r="E61" s="20" t="n">
        <f aca="false">C61-D61</f>
        <v>0</v>
      </c>
      <c r="F61" s="0" t="str">
        <f aca="false">IF(ABS(E61)&lt;0.000000001,"OK","ERROR")</f>
        <v>OK</v>
      </c>
      <c r="G61" s="5" t="s">
        <v>4078</v>
      </c>
    </row>
    <row r="62" customFormat="false" ht="17.15" hidden="false" customHeight="false" outlineLevel="0" collapsed="false">
      <c r="A62" s="0" t="s">
        <v>4160</v>
      </c>
      <c r="B62" s="0" t="s">
        <v>4161</v>
      </c>
      <c r="C62" s="24" t="n">
        <f aca="false">Pipeline!J131</f>
        <v>6.32902133099745</v>
      </c>
      <c r="D62" s="24" t="n">
        <f aca="false">Players!J313</f>
        <v>6.32902133099745</v>
      </c>
      <c r="E62" s="20" t="n">
        <f aca="false">C62-D62</f>
        <v>0</v>
      </c>
      <c r="F62" s="0" t="str">
        <f aca="false">IF(ABS(E62)&lt;0.000000001,"OK","ERROR")</f>
        <v>OK</v>
      </c>
      <c r="G62" s="5" t="s">
        <v>4078</v>
      </c>
    </row>
    <row r="63" customFormat="false" ht="17.15" hidden="false" customHeight="false" outlineLevel="0" collapsed="false">
      <c r="A63" s="0" t="s">
        <v>4162</v>
      </c>
      <c r="B63" s="0" t="s">
        <v>4163</v>
      </c>
      <c r="C63" s="24" t="n">
        <f aca="false">Pipeline!K131</f>
        <v>5.8750550220479</v>
      </c>
      <c r="D63" s="24" t="n">
        <f aca="false">Players!K313</f>
        <v>5.8750550220479</v>
      </c>
      <c r="E63" s="20" t="n">
        <f aca="false">C63-D63</f>
        <v>0</v>
      </c>
      <c r="F63" s="0" t="str">
        <f aca="false">IF(ABS(E63)&lt;0.000000001,"OK","ERROR")</f>
        <v>OK</v>
      </c>
      <c r="G63" s="5" t="s">
        <v>4078</v>
      </c>
    </row>
    <row r="64" customFormat="false" ht="17.15" hidden="false" customHeight="false" outlineLevel="0" collapsed="false">
      <c r="A64" s="0" t="s">
        <v>4164</v>
      </c>
      <c r="B64" s="0" t="s">
        <v>4165</v>
      </c>
      <c r="C64" s="24" t="n">
        <f aca="false">Pipeline!L131</f>
        <v>3.30384615384616</v>
      </c>
      <c r="D64" s="24" t="n">
        <f aca="false">Players!L313</f>
        <v>3.30384615384616</v>
      </c>
      <c r="E64" s="20" t="n">
        <f aca="false">C64-D64</f>
        <v>0</v>
      </c>
      <c r="F64" s="0" t="str">
        <f aca="false">IF(ABS(E64)&lt;0.000000001,"OK","ERROR")</f>
        <v>OK</v>
      </c>
      <c r="G64" s="5" t="s">
        <v>4078</v>
      </c>
    </row>
    <row r="65" customFormat="false" ht="17.15" hidden="false" customHeight="false" outlineLevel="0" collapsed="false">
      <c r="A65" s="0" t="s">
        <v>4166</v>
      </c>
      <c r="B65" s="0" t="s">
        <v>4167</v>
      </c>
      <c r="C65" s="24" t="n">
        <f aca="false">Pipeline!M131</f>
        <v>2.36923076923077</v>
      </c>
      <c r="D65" s="24" t="n">
        <f aca="false">Players!M313</f>
        <v>2.36923076923077</v>
      </c>
      <c r="E65" s="20" t="n">
        <f aca="false">C65-D65</f>
        <v>0</v>
      </c>
      <c r="F65" s="0" t="str">
        <f aca="false">IF(ABS(E65)&lt;0.000000001,"OK","ERROR")</f>
        <v>OK</v>
      </c>
      <c r="G65" s="5" t="s">
        <v>4078</v>
      </c>
    </row>
    <row r="66" customFormat="false" ht="17.15" hidden="false" customHeight="false" outlineLevel="0" collapsed="false">
      <c r="A66" s="0" t="s">
        <v>4168</v>
      </c>
      <c r="B66" s="0" t="s">
        <v>4169</v>
      </c>
      <c r="C66" s="0" t="n">
        <f aca="false">lag_bldg</f>
        <v>18</v>
      </c>
      <c r="D66" s="0" t="s">
        <v>4170</v>
      </c>
      <c r="F66" s="0" t="str">
        <f aca="false">IF(AND(C66&gt;=0,C66&lt;=24),"OK","ERROR")</f>
        <v>OK</v>
      </c>
      <c r="G66" s="5" t="s">
        <v>4111</v>
      </c>
    </row>
    <row r="67" customFormat="false" ht="17.15" hidden="false" customHeight="false" outlineLevel="0" collapsed="false">
      <c r="A67" s="0" t="s">
        <v>4171</v>
      </c>
      <c r="B67" s="0" t="s">
        <v>4172</v>
      </c>
      <c r="C67" s="0" t="n">
        <f aca="false">lag_bldg_lo</f>
        <v>12</v>
      </c>
      <c r="D67" s="0" t="s">
        <v>4170</v>
      </c>
      <c r="F67" s="0" t="str">
        <f aca="false">IF(AND(C67&gt;=0,C67&lt;=24),"OK","ERROR")</f>
        <v>OK</v>
      </c>
      <c r="G67" s="5" t="s">
        <v>4111</v>
      </c>
    </row>
    <row r="68" customFormat="false" ht="17.15" hidden="false" customHeight="false" outlineLevel="0" collapsed="false">
      <c r="A68" s="0" t="s">
        <v>4173</v>
      </c>
      <c r="B68" s="0" t="s">
        <v>4174</v>
      </c>
      <c r="C68" s="0" t="n">
        <f aca="false">lag_bldg_hi</f>
        <v>24</v>
      </c>
      <c r="D68" s="0" t="s">
        <v>4170</v>
      </c>
      <c r="F68" s="0" t="str">
        <f aca="false">IF(AND(C68&gt;=0,C68&lt;=24),"OK","ERROR")</f>
        <v>OK</v>
      </c>
      <c r="G68" s="5" t="s">
        <v>4111</v>
      </c>
    </row>
    <row r="69" customFormat="false" ht="17.15" hidden="false" customHeight="false" outlineLevel="0" collapsed="false">
      <c r="A69" s="0" t="s">
        <v>4175</v>
      </c>
      <c r="B69" s="0" t="s">
        <v>4176</v>
      </c>
      <c r="C69" s="0" t="n">
        <f aca="false">dly_d1_m</f>
        <v>6</v>
      </c>
      <c r="D69" s="0" t="s">
        <v>4177</v>
      </c>
      <c r="F69" s="0" t="str">
        <f aca="false">IF(AND(C69&gt;=0,C69&lt;=36),"OK","ERROR")</f>
        <v>OK</v>
      </c>
      <c r="G69" s="5" t="s">
        <v>4111</v>
      </c>
    </row>
    <row r="70" customFormat="false" ht="17.15" hidden="false" customHeight="false" outlineLevel="0" collapsed="false">
      <c r="A70" s="0" t="s">
        <v>4178</v>
      </c>
      <c r="B70" s="0" t="s">
        <v>4179</v>
      </c>
      <c r="C70" s="0" t="n">
        <f aca="false">dly_d1_m_lo</f>
        <v>3</v>
      </c>
      <c r="D70" s="0" t="s">
        <v>4177</v>
      </c>
      <c r="F70" s="0" t="str">
        <f aca="false">IF(AND(C70&gt;=0,C70&lt;=36),"OK","ERROR")</f>
        <v>OK</v>
      </c>
      <c r="G70" s="5" t="s">
        <v>4111</v>
      </c>
    </row>
    <row r="71" customFormat="false" ht="17.15" hidden="false" customHeight="false" outlineLevel="0" collapsed="false">
      <c r="A71" s="0" t="s">
        <v>4180</v>
      </c>
      <c r="B71" s="0" t="s">
        <v>4181</v>
      </c>
      <c r="C71" s="0" t="n">
        <f aca="false">dly_d1_m_hi</f>
        <v>12</v>
      </c>
      <c r="D71" s="0" t="s">
        <v>4177</v>
      </c>
      <c r="F71" s="0" t="str">
        <f aca="false">IF(AND(C71&gt;=0,C71&lt;=36),"OK","ERROR")</f>
        <v>OK</v>
      </c>
      <c r="G71" s="5" t="s">
        <v>4111</v>
      </c>
    </row>
    <row r="72" customFormat="false" ht="17.15" hidden="false" customHeight="false" outlineLevel="0" collapsed="false">
      <c r="A72" s="0" t="s">
        <v>4182</v>
      </c>
      <c r="B72" s="0" t="s">
        <v>4183</v>
      </c>
      <c r="C72" s="23" t="n">
        <f aca="false">dly_d1_s</f>
        <v>0.35</v>
      </c>
      <c r="D72" s="20" t="s">
        <v>4184</v>
      </c>
      <c r="F72" s="0" t="str">
        <f aca="false">IF(AND(C72&gt;=0,C72&lt;=1),"OK","ERROR")</f>
        <v>OK</v>
      </c>
      <c r="G72" s="5" t="s">
        <v>4111</v>
      </c>
    </row>
    <row r="73" customFormat="false" ht="17.15" hidden="false" customHeight="false" outlineLevel="0" collapsed="false">
      <c r="A73" s="0" t="s">
        <v>4185</v>
      </c>
      <c r="B73" s="0" t="s">
        <v>4186</v>
      </c>
      <c r="C73" s="23" t="n">
        <f aca="false">dly_d1_s_lo</f>
        <v>0.25</v>
      </c>
      <c r="D73" s="20" t="s">
        <v>4184</v>
      </c>
      <c r="F73" s="0" t="str">
        <f aca="false">IF(AND(C73&gt;=0,C73&lt;=1),"OK","ERROR")</f>
        <v>OK</v>
      </c>
      <c r="G73" s="5" t="s">
        <v>4111</v>
      </c>
    </row>
    <row r="74" customFormat="false" ht="17.15" hidden="false" customHeight="false" outlineLevel="0" collapsed="false">
      <c r="A74" s="0" t="s">
        <v>4187</v>
      </c>
      <c r="B74" s="0" t="s">
        <v>4188</v>
      </c>
      <c r="C74" s="23" t="n">
        <f aca="false">dly_d1_s_hi</f>
        <v>0.45</v>
      </c>
      <c r="D74" s="20" t="s">
        <v>4184</v>
      </c>
      <c r="F74" s="0" t="str">
        <f aca="false">IF(AND(C74&gt;=0,C74&lt;=1),"OK","ERROR")</f>
        <v>OK</v>
      </c>
      <c r="G74" s="5" t="s">
        <v>4111</v>
      </c>
    </row>
    <row r="75" customFormat="false" ht="17.15" hidden="false" customHeight="false" outlineLevel="0" collapsed="false">
      <c r="A75" s="0" t="s">
        <v>4189</v>
      </c>
      <c r="B75" s="0" t="s">
        <v>4190</v>
      </c>
      <c r="C75" s="0" t="n">
        <f aca="false">dly_d2_m</f>
        <v>12</v>
      </c>
      <c r="D75" s="0" t="s">
        <v>4177</v>
      </c>
      <c r="F75" s="0" t="str">
        <f aca="false">IF(AND(C75&gt;=0,C75&lt;=36),"OK","ERROR")</f>
        <v>OK</v>
      </c>
      <c r="G75" s="5" t="s">
        <v>4111</v>
      </c>
    </row>
    <row r="76" customFormat="false" ht="17.15" hidden="false" customHeight="false" outlineLevel="0" collapsed="false">
      <c r="A76" s="0" t="s">
        <v>4191</v>
      </c>
      <c r="B76" s="0" t="s">
        <v>4192</v>
      </c>
      <c r="C76" s="0" t="n">
        <f aca="false">dly_d2_m_lo</f>
        <v>12</v>
      </c>
      <c r="D76" s="0" t="s">
        <v>4177</v>
      </c>
      <c r="F76" s="0" t="str">
        <f aca="false">IF(AND(C76&gt;=0,C76&lt;=36),"OK","ERROR")</f>
        <v>OK</v>
      </c>
      <c r="G76" s="5" t="s">
        <v>4111</v>
      </c>
    </row>
    <row r="77" customFormat="false" ht="17.15" hidden="false" customHeight="false" outlineLevel="0" collapsed="false">
      <c r="A77" s="0" t="s">
        <v>4193</v>
      </c>
      <c r="B77" s="0" t="s">
        <v>4194</v>
      </c>
      <c r="C77" s="0" t="n">
        <f aca="false">dly_d2_m_hi</f>
        <v>12</v>
      </c>
      <c r="D77" s="0" t="s">
        <v>4177</v>
      </c>
      <c r="F77" s="0" t="str">
        <f aca="false">IF(AND(C77&gt;=0,C77&lt;=36),"OK","ERROR")</f>
        <v>OK</v>
      </c>
      <c r="G77" s="5" t="s">
        <v>4111</v>
      </c>
    </row>
    <row r="78" customFormat="false" ht="17.15" hidden="false" customHeight="false" outlineLevel="0" collapsed="false">
      <c r="A78" s="0" t="s">
        <v>4195</v>
      </c>
      <c r="B78" s="0" t="s">
        <v>4196</v>
      </c>
      <c r="C78" s="23" t="n">
        <f aca="false">dly_d2_bind</f>
        <v>0.4</v>
      </c>
      <c r="D78" s="20" t="s">
        <v>4184</v>
      </c>
      <c r="F78" s="0" t="str">
        <f aca="false">IF(AND(C78&gt;=0,C78&lt;=1),"OK","ERROR")</f>
        <v>OK</v>
      </c>
      <c r="G78" s="5" t="s">
        <v>4111</v>
      </c>
    </row>
    <row r="79" customFormat="false" ht="17.15" hidden="false" customHeight="false" outlineLevel="0" collapsed="false">
      <c r="A79" s="0" t="s">
        <v>4197</v>
      </c>
      <c r="B79" s="0" t="s">
        <v>4198</v>
      </c>
      <c r="C79" s="23" t="n">
        <f aca="false">dly_d2_bind_lo</f>
        <v>0.3</v>
      </c>
      <c r="D79" s="20" t="s">
        <v>4184</v>
      </c>
      <c r="F79" s="0" t="str">
        <f aca="false">IF(AND(C79&gt;=0,C79&lt;=1),"OK","ERROR")</f>
        <v>OK</v>
      </c>
      <c r="G79" s="5" t="s">
        <v>4111</v>
      </c>
    </row>
    <row r="80" customFormat="false" ht="17.15" hidden="false" customHeight="false" outlineLevel="0" collapsed="false">
      <c r="A80" s="0" t="s">
        <v>4199</v>
      </c>
      <c r="B80" s="0" t="s">
        <v>4200</v>
      </c>
      <c r="C80" s="23" t="n">
        <f aca="false">dly_d2_bind_hi</f>
        <v>0.5</v>
      </c>
      <c r="D80" s="20" t="s">
        <v>4184</v>
      </c>
      <c r="F80" s="0" t="str">
        <f aca="false">IF(AND(C80&gt;=0,C80&lt;=1),"OK","ERROR")</f>
        <v>OK</v>
      </c>
      <c r="G80" s="5" t="s">
        <v>4111</v>
      </c>
    </row>
    <row r="81" customFormat="false" ht="17.15" hidden="false" customHeight="false" outlineLevel="0" collapsed="false">
      <c r="A81" s="0" t="s">
        <v>4201</v>
      </c>
      <c r="B81" s="0" t="s">
        <v>4202</v>
      </c>
      <c r="C81" s="23" t="n">
        <f aca="false">tolband</f>
        <v>0.15</v>
      </c>
      <c r="D81" s="20" t="s">
        <v>4184</v>
      </c>
      <c r="F81" s="0" t="str">
        <f aca="false">IF(AND(C81&gt;=0,C81&lt;=1),"OK","ERROR")</f>
        <v>OK</v>
      </c>
      <c r="G81" s="5" t="s">
        <v>4111</v>
      </c>
    </row>
    <row r="82" customFormat="false" ht="17.15" hidden="false" customHeight="false" outlineLevel="0" collapsed="false">
      <c r="A82" s="0" t="s">
        <v>4203</v>
      </c>
      <c r="B82" s="0" t="s">
        <v>4204</v>
      </c>
      <c r="C82" s="23" t="n">
        <f aca="false">tolband_lo</f>
        <v>0.1</v>
      </c>
      <c r="D82" s="20" t="s">
        <v>4184</v>
      </c>
      <c r="F82" s="0" t="str">
        <f aca="false">IF(AND(C82&gt;=0,C82&lt;=1),"OK","ERROR")</f>
        <v>OK</v>
      </c>
      <c r="G82" s="5" t="s">
        <v>4111</v>
      </c>
    </row>
    <row r="83" customFormat="false" ht="17.15" hidden="false" customHeight="false" outlineLevel="0" collapsed="false">
      <c r="A83" s="0" t="s">
        <v>4205</v>
      </c>
      <c r="B83" s="0" t="s">
        <v>4206</v>
      </c>
      <c r="C83" s="23" t="n">
        <f aca="false">tolband_hi</f>
        <v>0.2</v>
      </c>
      <c r="D83" s="20" t="s">
        <v>4184</v>
      </c>
      <c r="F83" s="0" t="str">
        <f aca="false">IF(AND(C83&gt;=0,C83&lt;=1),"OK","ERROR")</f>
        <v>OK</v>
      </c>
      <c r="G83" s="5" t="s">
        <v>4111</v>
      </c>
    </row>
    <row r="84" customFormat="false" ht="17.15" hidden="false" customHeight="false" outlineLevel="0" collapsed="false">
      <c r="A84" s="0" t="s">
        <v>4207</v>
      </c>
      <c r="B84" s="0" t="s">
        <v>4208</v>
      </c>
      <c r="C84" s="0" t="n">
        <f aca="false">k_chip2it</f>
        <v>1.85</v>
      </c>
      <c r="D84" s="0" t="s">
        <v>4209</v>
      </c>
      <c r="F84" s="0" t="str">
        <f aca="false">IF(AND(C84&gt;=1,C84&lt;=3),"OK","ERROR")</f>
        <v>OK</v>
      </c>
      <c r="G84" s="5" t="s">
        <v>4111</v>
      </c>
    </row>
    <row r="85" customFormat="false" ht="17.15" hidden="false" customHeight="false" outlineLevel="0" collapsed="false">
      <c r="A85" s="0" t="s">
        <v>4210</v>
      </c>
      <c r="B85" s="0" t="s">
        <v>4211</v>
      </c>
      <c r="C85" s="0" t="n">
        <f aca="false">k_chip2it_lo</f>
        <v>1.65</v>
      </c>
      <c r="D85" s="0" t="s">
        <v>4209</v>
      </c>
      <c r="F85" s="0" t="str">
        <f aca="false">IF(AND(C85&gt;=1,C85&lt;=3),"OK","ERROR")</f>
        <v>OK</v>
      </c>
      <c r="G85" s="5" t="s">
        <v>4111</v>
      </c>
    </row>
    <row r="86" customFormat="false" ht="17.15" hidden="false" customHeight="false" outlineLevel="0" collapsed="false">
      <c r="A86" s="0" t="s">
        <v>4212</v>
      </c>
      <c r="B86" s="0" t="s">
        <v>4213</v>
      </c>
      <c r="C86" s="0" t="n">
        <f aca="false">k_chip2it_hi</f>
        <v>2.08</v>
      </c>
      <c r="D86" s="0" t="s">
        <v>4209</v>
      </c>
      <c r="F86" s="0" t="str">
        <f aca="false">IF(AND(C86&gt;=1,C86&lt;=3),"OK","ERROR")</f>
        <v>OK</v>
      </c>
      <c r="G86" s="5" t="s">
        <v>4111</v>
      </c>
    </row>
    <row r="87" customFormat="false" ht="17.15" hidden="false" customHeight="false" outlineLevel="0" collapsed="false">
      <c r="A87" s="0" t="s">
        <v>4214</v>
      </c>
      <c r="B87" s="0" t="s">
        <v>4215</v>
      </c>
      <c r="C87" s="23" t="n">
        <f aca="false">g_lt</f>
        <v>0.1</v>
      </c>
      <c r="D87" s="20" t="s">
        <v>4216</v>
      </c>
      <c r="F87" s="0" t="str">
        <f aca="false">IF(AND(C87&gt;=-0.2,C87&lt;=0.5),"OK","ERROR")</f>
        <v>OK</v>
      </c>
      <c r="G87" s="5" t="s">
        <v>4111</v>
      </c>
    </row>
    <row r="88" customFormat="false" ht="17.15" hidden="false" customHeight="false" outlineLevel="0" collapsed="false">
      <c r="A88" s="0" t="s">
        <v>4217</v>
      </c>
      <c r="B88" s="0" t="s">
        <v>4218</v>
      </c>
      <c r="C88" s="23" t="n">
        <f aca="false">g_lt_lo</f>
        <v>0.05</v>
      </c>
      <c r="D88" s="20" t="s">
        <v>4216</v>
      </c>
      <c r="F88" s="0" t="str">
        <f aca="false">IF(AND(C88&gt;=-0.2,C88&lt;=0.5),"OK","ERROR")</f>
        <v>OK</v>
      </c>
      <c r="G88" s="5" t="s">
        <v>4111</v>
      </c>
    </row>
    <row r="89" customFormat="false" ht="17.15" hidden="false" customHeight="false" outlineLevel="0" collapsed="false">
      <c r="A89" s="0" t="s">
        <v>4219</v>
      </c>
      <c r="B89" s="0" t="s">
        <v>4220</v>
      </c>
      <c r="C89" s="23" t="n">
        <f aca="false">g_lt_hi</f>
        <v>0.15</v>
      </c>
      <c r="D89" s="20" t="s">
        <v>4216</v>
      </c>
      <c r="F89" s="0" t="str">
        <f aca="false">IF(AND(C89&gt;=-0.2,C89&lt;=0.5),"OK","ERROR")</f>
        <v>OK</v>
      </c>
      <c r="G89" s="5" t="s">
        <v>4111</v>
      </c>
    </row>
    <row r="90" customFormat="false" ht="17.15" hidden="false" customHeight="false" outlineLevel="0" collapsed="false">
      <c r="A90" s="0" t="s">
        <v>4221</v>
      </c>
      <c r="B90" s="5" t="s">
        <v>4222</v>
      </c>
      <c r="C90" s="0" t="n">
        <f aca="false">COUNTIF(Pipeline!E78:M92,"&lt;-1E-9")</f>
        <v>0</v>
      </c>
      <c r="F90" s="0" t="str">
        <f aca="false">IF(C90=0,"OK","WARN")</f>
        <v>OK</v>
      </c>
      <c r="G90" s="5" t="s">
        <v>4111</v>
      </c>
    </row>
    <row r="91" customFormat="false" ht="17.15" hidden="false" customHeight="false" outlineLevel="0" collapsed="false">
      <c r="A91" s="0" t="s">
        <v>4223</v>
      </c>
      <c r="B91" s="0" t="s">
        <v>4224</v>
      </c>
      <c r="C91" s="0" t="n">
        <v>0</v>
      </c>
      <c r="F91" s="0" t="str">
        <f aca="false">IF(C91=1,"OK","WARN")</f>
        <v>WARN</v>
      </c>
      <c r="G91" s="5" t="s">
        <v>4225</v>
      </c>
      <c r="H91" s="0" t="s">
        <v>4226</v>
      </c>
    </row>
    <row r="92" customFormat="false" ht="17.15" hidden="false" customHeight="false" outlineLevel="0" collapsed="false">
      <c r="A92" s="0" t="s">
        <v>4227</v>
      </c>
      <c r="B92" s="0" t="s">
        <v>4228</v>
      </c>
      <c r="C92" s="0" t="n">
        <f aca="false">COUNTIF(Matrix!K5:K19,"&lt;-1E-9")</f>
        <v>0</v>
      </c>
      <c r="F92" s="0" t="str">
        <f aca="false">IF(C92=0,"OK","ERROR")</f>
        <v>OK</v>
      </c>
      <c r="G92" s="5" t="s">
        <v>4111</v>
      </c>
    </row>
    <row r="93" customFormat="false" ht="17.15" hidden="false" customHeight="false" outlineLevel="0" collapsed="false">
      <c r="A93" s="0" t="s">
        <v>4229</v>
      </c>
      <c r="B93" s="0" t="s">
        <v>4230</v>
      </c>
      <c r="C93" s="0" t="n">
        <f aca="false">COUNTIF(Matrix!K26:K40,"&lt;-1E-9")</f>
        <v>0</v>
      </c>
      <c r="F93" s="0" t="str">
        <f aca="false">IF(C93=0,"OK","ERROR")</f>
        <v>OK</v>
      </c>
      <c r="G93" s="5" t="s">
        <v>4111</v>
      </c>
    </row>
    <row r="94" customFormat="false" ht="17.15" hidden="false" customHeight="false" outlineLevel="0" collapsed="false">
      <c r="A94" s="0" t="s">
        <v>4231</v>
      </c>
      <c r="B94" s="0" t="s">
        <v>4232</v>
      </c>
      <c r="C94" s="0" t="n">
        <f aca="false">COUNTIF(Matrix!K47:K61,"&lt;-1E-9")</f>
        <v>0</v>
      </c>
      <c r="F94" s="0" t="str">
        <f aca="false">IF(C94=0,"OK","ERROR")</f>
        <v>OK</v>
      </c>
      <c r="G94" s="5" t="s">
        <v>4111</v>
      </c>
    </row>
    <row r="95" customFormat="false" ht="17.15" hidden="false" customHeight="false" outlineLevel="0" collapsed="false">
      <c r="A95" s="0" t="s">
        <v>4233</v>
      </c>
      <c r="B95" s="0" t="s">
        <v>4234</v>
      </c>
      <c r="C95" s="0" t="n">
        <f aca="false">rng25_neo/1000</f>
        <v>0.5</v>
      </c>
      <c r="D95" s="24" t="n">
        <f aca="false">Players!F239</f>
        <v>0.5</v>
      </c>
      <c r="E95" s="20" t="n">
        <f aca="false">C95-D95</f>
        <v>0</v>
      </c>
      <c r="F95" s="0" t="str">
        <f aca="false">IF(ABS(E95)&lt;0.000001,"OK","ERROR")</f>
        <v>OK</v>
      </c>
      <c r="G95" s="5" t="s">
        <v>4078</v>
      </c>
    </row>
    <row r="96" customFormat="false" ht="17.15" hidden="false" customHeight="false" outlineLevel="0" collapsed="false">
      <c r="A96" s="0" t="s">
        <v>4235</v>
      </c>
      <c r="B96" s="0" t="s">
        <v>4236</v>
      </c>
      <c r="C96" s="0" t="n">
        <f aca="false">rng25_cn/1000/Players!F$13</f>
        <v>8.33333333333333</v>
      </c>
      <c r="D96" s="24" t="n">
        <f aca="false">Players!F277</f>
        <v>8.33333333333333</v>
      </c>
      <c r="E96" s="20" t="n">
        <f aca="false">C96-D96</f>
        <v>0</v>
      </c>
      <c r="F96" s="0" t="str">
        <f aca="false">IF(ABS(E96)&lt;0.000001,"OK","ERROR")</f>
        <v>OK</v>
      </c>
      <c r="G96" s="5" t="s">
        <v>4078</v>
      </c>
    </row>
    <row r="97" customFormat="false" ht="17.15" hidden="false" customHeight="false" outlineLevel="0" collapsed="false">
      <c r="A97" s="0" t="s">
        <v>4237</v>
      </c>
      <c r="B97" s="0" t="s">
        <v>4238</v>
      </c>
      <c r="C97" s="0" t="n">
        <f aca="false">rng26_cn/1000/Players!G$13</f>
        <v>11.6666666666667</v>
      </c>
      <c r="D97" s="24" t="n">
        <f aca="false">Players!G277</f>
        <v>11.6666666666667</v>
      </c>
      <c r="E97" s="20" t="n">
        <f aca="false">C97-D97</f>
        <v>0</v>
      </c>
      <c r="F97" s="0" t="str">
        <f aca="false">IF(ABS(E97)&lt;0.000001,"OK","ERROR")</f>
        <v>OK</v>
      </c>
      <c r="G97" s="5" t="s">
        <v>4078</v>
      </c>
    </row>
    <row r="98" customFormat="false" ht="17.15" hidden="false" customHeight="false" outlineLevel="0" collapsed="false">
      <c r="A98" s="0" t="s">
        <v>4239</v>
      </c>
      <c r="B98" s="0" t="s">
        <v>4240</v>
      </c>
      <c r="C98" s="0" t="n">
        <f aca="false">ovr25_googl/1000</f>
        <v>4.3</v>
      </c>
      <c r="D98" s="24" t="n">
        <f aca="false">Players!F49</f>
        <v>4.3</v>
      </c>
      <c r="E98" s="20" t="n">
        <f aca="false">C98-D98</f>
        <v>0</v>
      </c>
      <c r="F98" s="0" t="str">
        <f aca="false">IF(ABS(E98)&lt;0.000001,"OK","ERROR")</f>
        <v>OK</v>
      </c>
      <c r="G98" s="5" t="s">
        <v>4078</v>
      </c>
    </row>
    <row r="99" customFormat="false" ht="17.15" hidden="false" customHeight="false" outlineLevel="0" collapsed="false">
      <c r="A99" s="0" t="s">
        <v>4241</v>
      </c>
      <c r="B99" s="0" t="s">
        <v>4242</v>
      </c>
      <c r="C99" s="0" t="n">
        <f aca="false">ovr25_amzn/1000</f>
        <v>2.2</v>
      </c>
      <c r="D99" s="24" t="n">
        <f aca="false">Players!F68</f>
        <v>2.2</v>
      </c>
      <c r="E99" s="20" t="n">
        <f aca="false">C99-D99</f>
        <v>0</v>
      </c>
      <c r="F99" s="0" t="str">
        <f aca="false">IF(ABS(E99)&lt;0.000001,"OK","ERROR")</f>
        <v>OK</v>
      </c>
      <c r="G99" s="5" t="s">
        <v>4078</v>
      </c>
    </row>
    <row r="100" customFormat="false" ht="17.15" hidden="false" customHeight="false" outlineLevel="0" collapsed="false">
      <c r="A100" s="0" t="s">
        <v>4243</v>
      </c>
      <c r="B100" s="0" t="s">
        <v>4244</v>
      </c>
      <c r="C100" s="24" t="n">
        <f aca="false">Players!E307</f>
        <v>6.20938570515285</v>
      </c>
      <c r="D100" s="0" t="str">
        <f aca="false">TEXT(Players!E308,"0.0")&amp;"–"&amp;TEXT(Players!E309,"0.0")</f>
        <v>5.6–7.0</v>
      </c>
      <c r="F100" s="0" t="str">
        <f aca="false">IF(AND(Players!E308&lt;=C100+0.000000001,C100&lt;=Players!E309+0.000000001),"OK","ERROR")</f>
        <v>OK</v>
      </c>
      <c r="G100" s="5" t="s">
        <v>4111</v>
      </c>
    </row>
    <row r="101" customFormat="false" ht="17.15" hidden="false" customHeight="false" outlineLevel="0" collapsed="false">
      <c r="A101" s="0" t="s">
        <v>4245</v>
      </c>
      <c r="B101" s="0" t="s">
        <v>4246</v>
      </c>
      <c r="C101" s="24" t="n">
        <f aca="false">Players!F307</f>
        <v>25.3371433333333</v>
      </c>
      <c r="D101" s="0" t="str">
        <f aca="false">TEXT(Players!F308,"0.0")&amp;"–"&amp;TEXT(Players!F309,"0.0")</f>
        <v>19.1–30.3</v>
      </c>
      <c r="F101" s="0" t="str">
        <f aca="false">IF(AND(Players!F308&lt;=C101+0.000000001,C101&lt;=Players!F309+0.000000001),"OK","ERROR")</f>
        <v>OK</v>
      </c>
      <c r="G101" s="5" t="s">
        <v>4111</v>
      </c>
    </row>
    <row r="102" customFormat="false" ht="17.15" hidden="false" customHeight="false" outlineLevel="0" collapsed="false">
      <c r="A102" s="0" t="s">
        <v>4247</v>
      </c>
      <c r="B102" s="0" t="s">
        <v>4248</v>
      </c>
      <c r="C102" s="24" t="n">
        <f aca="false">Players!G307</f>
        <v>37.8525147943925</v>
      </c>
      <c r="D102" s="0" t="str">
        <f aca="false">TEXT(Players!G308,"0.0")&amp;"–"&amp;TEXT(Players!G309,"0.0")</f>
        <v>34.6–41.2</v>
      </c>
      <c r="F102" s="0" t="str">
        <f aca="false">IF(AND(Players!G308&lt;=C102+0.000000001,C102&lt;=Players!G309+0.000000001),"OK","ERROR")</f>
        <v>OK</v>
      </c>
      <c r="G102" s="5" t="s">
        <v>4111</v>
      </c>
    </row>
    <row r="103" customFormat="false" ht="17.15" hidden="false" customHeight="false" outlineLevel="0" collapsed="false">
      <c r="A103" s="0" t="s">
        <v>4249</v>
      </c>
      <c r="B103" s="0" t="s">
        <v>4250</v>
      </c>
      <c r="C103" s="24" t="n">
        <f aca="false">Players!H307</f>
        <v>46.5041599188997</v>
      </c>
      <c r="D103" s="0" t="str">
        <f aca="false">TEXT(Players!H308,"0.0")&amp;"–"&amp;TEXT(Players!H309,"0.0")</f>
        <v>46.5–46.5</v>
      </c>
      <c r="F103" s="0" t="str">
        <f aca="false">IF(AND(Players!H308&lt;=C103+0.000000001,C103&lt;=Players!H309+0.000000001),"OK","ERROR")</f>
        <v>OK</v>
      </c>
      <c r="G103" s="5" t="s">
        <v>4111</v>
      </c>
    </row>
    <row r="104" customFormat="false" ht="17.15" hidden="false" customHeight="false" outlineLevel="0" collapsed="false">
      <c r="A104" s="0" t="s">
        <v>4251</v>
      </c>
      <c r="B104" s="0" t="s">
        <v>4252</v>
      </c>
      <c r="C104" s="24" t="n">
        <f aca="false">Players!I307</f>
        <v>65.1003739798087</v>
      </c>
      <c r="D104" s="0" t="str">
        <f aca="false">TEXT(Players!I308,"0.0")&amp;"–"&amp;TEXT(Players!I309,"0.0")</f>
        <v>65.1–65.1</v>
      </c>
      <c r="F104" s="0" t="str">
        <f aca="false">IF(AND(Players!I308&lt;=C104+0.000000001,C104&lt;=Players!I309+0.000000001),"OK","ERROR")</f>
        <v>OK</v>
      </c>
      <c r="G104" s="5" t="s">
        <v>4111</v>
      </c>
    </row>
    <row r="105" customFormat="false" ht="17.15" hidden="false" customHeight="false" outlineLevel="0" collapsed="false">
      <c r="A105" s="0" t="s">
        <v>4253</v>
      </c>
      <c r="B105" s="0" t="s">
        <v>4254</v>
      </c>
      <c r="C105" s="24" t="n">
        <f aca="false">Players!J307</f>
        <v>71.4293953108062</v>
      </c>
      <c r="D105" s="0" t="str">
        <f aca="false">TEXT(Players!J308,"0.0")&amp;"–"&amp;TEXT(Players!J309,"0.0")</f>
        <v>71.4–71.4</v>
      </c>
      <c r="F105" s="0" t="str">
        <f aca="false">IF(AND(Players!J308&lt;=C105+0.000000001,C105&lt;=Players!J309+0.000000001),"OK","ERROR")</f>
        <v>OK</v>
      </c>
      <c r="G105" s="5" t="s">
        <v>4111</v>
      </c>
    </row>
    <row r="106" customFormat="false" ht="17.15" hidden="false" customHeight="false" outlineLevel="0" collapsed="false">
      <c r="A106" s="0" t="s">
        <v>4255</v>
      </c>
      <c r="B106" s="0" t="s">
        <v>4256</v>
      </c>
      <c r="C106" s="24" t="n">
        <f aca="false">Players!K307</f>
        <v>77.3044503328541</v>
      </c>
      <c r="D106" s="0" t="str">
        <f aca="false">TEXT(Players!K308,"0.0")&amp;"–"&amp;TEXT(Players!K309,"0.0")</f>
        <v>77.3–77.3</v>
      </c>
      <c r="F106" s="0" t="str">
        <f aca="false">IF(AND(Players!K308&lt;=C106+0.000000001,C106&lt;=Players!K309+0.000000001),"OK","ERROR")</f>
        <v>OK</v>
      </c>
      <c r="G106" s="5" t="s">
        <v>4111</v>
      </c>
    </row>
    <row r="107" customFormat="false" ht="17.15" hidden="false" customHeight="false" outlineLevel="0" collapsed="false">
      <c r="A107" s="0" t="s">
        <v>4257</v>
      </c>
      <c r="B107" s="0" t="s">
        <v>4258</v>
      </c>
      <c r="C107" s="24" t="n">
        <f aca="false">Players!L307</f>
        <v>80.6082964867002</v>
      </c>
      <c r="D107" s="0" t="str">
        <f aca="false">TEXT(Players!L308,"0.0")&amp;"–"&amp;TEXT(Players!L309,"0.0")</f>
        <v>80.6–80.6</v>
      </c>
      <c r="F107" s="0" t="str">
        <f aca="false">IF(AND(Players!L308&lt;=C107+0.000000001,C107&lt;=Players!L309+0.000000001),"OK","ERROR")</f>
        <v>OK</v>
      </c>
      <c r="G107" s="5" t="s">
        <v>4111</v>
      </c>
    </row>
    <row r="108" customFormat="false" ht="17.15" hidden="false" customHeight="false" outlineLevel="0" collapsed="false">
      <c r="A108" s="0" t="s">
        <v>4259</v>
      </c>
      <c r="B108" s="0" t="s">
        <v>4260</v>
      </c>
      <c r="C108" s="24" t="n">
        <f aca="false">Players!M307</f>
        <v>82.977527255931</v>
      </c>
      <c r="D108" s="0" t="str">
        <f aca="false">TEXT(Players!M308,"0.0")&amp;"–"&amp;TEXT(Players!M309,"0.0")</f>
        <v>83.0–83.0</v>
      </c>
      <c r="F108" s="0" t="str">
        <f aca="false">IF(AND(Players!M308&lt;=C108+0.000000001,C108&lt;=Players!M309+0.000000001),"OK","ERROR")</f>
        <v>OK</v>
      </c>
      <c r="G108" s="5" t="s">
        <v>4111</v>
      </c>
    </row>
    <row r="109" customFormat="false" ht="17.15" hidden="false" customHeight="false" outlineLevel="0" collapsed="false">
      <c r="A109" s="0" t="s">
        <v>4261</v>
      </c>
      <c r="B109" s="0" t="s">
        <v>4262</v>
      </c>
      <c r="C109" s="0" t="n">
        <v>0</v>
      </c>
      <c r="F109" s="0" t="str">
        <f aca="false">IF(C109=0,"OK","ERROR")</f>
        <v>OK</v>
      </c>
      <c r="G109" s="5" t="s">
        <v>4263</v>
      </c>
      <c r="H109" s="5" t="s">
        <v>4264</v>
      </c>
    </row>
    <row r="110" customFormat="false" ht="17.15" hidden="false" customHeight="false" outlineLevel="0" collapsed="false">
      <c r="A110" s="0" t="s">
        <v>4265</v>
      </c>
      <c r="B110" s="0" t="s">
        <v>4266</v>
      </c>
      <c r="C110" s="0" t="n">
        <v>967</v>
      </c>
      <c r="F110" s="0" t="str">
        <f aca="false">IF(C110&gt;0,"OK","WARN")</f>
        <v>OK</v>
      </c>
      <c r="G110" s="5" t="s">
        <v>4263</v>
      </c>
    </row>
    <row r="111" customFormat="false" ht="17.15" hidden="false" customHeight="false" outlineLevel="0" collapsed="false">
      <c r="A111" s="0" t="s">
        <v>4267</v>
      </c>
      <c r="B111" s="5" t="s">
        <v>4268</v>
      </c>
      <c r="C111" s="0" t="n">
        <f aca="false">COUNTIF(Interface!D7:L7,"&lt;0.5")</f>
        <v>4</v>
      </c>
      <c r="F111" s="0" t="str">
        <f aca="false">IF(C111=0,"OK","WARN")</f>
        <v>WARN</v>
      </c>
      <c r="G111" s="5" t="s">
        <v>4269</v>
      </c>
      <c r="H111" s="0" t="s">
        <v>4270</v>
      </c>
    </row>
    <row r="112" customFormat="false" ht="17.15" hidden="false" customHeight="false" outlineLevel="0" collapsed="false">
      <c r="A112" s="0" t="s">
        <v>4271</v>
      </c>
      <c r="B112" s="0" t="s">
        <v>4272</v>
      </c>
      <c r="C112" s="24" t="n">
        <f aca="false">Deploy!E13</f>
        <v>6.20938570515285</v>
      </c>
      <c r="D112" s="24" t="n">
        <f aca="false">Deploy!E62</f>
        <v>6.20938570515285</v>
      </c>
      <c r="E112" s="20" t="n">
        <f aca="false">C112-D112</f>
        <v>0</v>
      </c>
      <c r="F112" s="0" t="str">
        <f aca="false">IF(ABS(E112)&lt;0.000000001,"OK","ERROR")</f>
        <v>OK</v>
      </c>
      <c r="G112" s="5" t="s">
        <v>4078</v>
      </c>
    </row>
    <row r="113" customFormat="false" ht="17.15" hidden="false" customHeight="false" outlineLevel="0" collapsed="false">
      <c r="A113" s="0" t="s">
        <v>4273</v>
      </c>
      <c r="B113" s="0" t="s">
        <v>4274</v>
      </c>
      <c r="C113" s="24" t="n">
        <f aca="false">Deploy!F13</f>
        <v>25.3371433333333</v>
      </c>
      <c r="D113" s="24" t="n">
        <f aca="false">Deploy!F62</f>
        <v>25.3371433333333</v>
      </c>
      <c r="E113" s="20" t="n">
        <f aca="false">C113-D113</f>
        <v>0</v>
      </c>
      <c r="F113" s="0" t="str">
        <f aca="false">IF(ABS(E113)&lt;0.000000001,"OK","ERROR")</f>
        <v>OK</v>
      </c>
      <c r="G113" s="5" t="s">
        <v>4078</v>
      </c>
    </row>
    <row r="114" customFormat="false" ht="17.15" hidden="false" customHeight="false" outlineLevel="0" collapsed="false">
      <c r="A114" s="0" t="s">
        <v>4275</v>
      </c>
      <c r="B114" s="0" t="s">
        <v>4276</v>
      </c>
      <c r="C114" s="24" t="n">
        <f aca="false">Deploy!G13</f>
        <v>37.8525147943925</v>
      </c>
      <c r="D114" s="24" t="n">
        <f aca="false">Deploy!G62</f>
        <v>37.8525147943925</v>
      </c>
      <c r="E114" s="20" t="n">
        <f aca="false">C114-D114</f>
        <v>0</v>
      </c>
      <c r="F114" s="0" t="str">
        <f aca="false">IF(ABS(E114)&lt;0.000000001,"OK","ERROR")</f>
        <v>OK</v>
      </c>
      <c r="G114" s="5" t="s">
        <v>4078</v>
      </c>
    </row>
    <row r="115" customFormat="false" ht="17.15" hidden="false" customHeight="false" outlineLevel="0" collapsed="false">
      <c r="A115" s="0" t="s">
        <v>4277</v>
      </c>
      <c r="B115" s="5" t="s">
        <v>4278</v>
      </c>
      <c r="C115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5" s="0" t="str">
        <f aca="false">IF(C115=0,"OK","ERROR")</f>
        <v>OK</v>
      </c>
      <c r="G115" s="5" t="s">
        <v>4111</v>
      </c>
    </row>
    <row r="116" customFormat="false" ht="17.15" hidden="false" customHeight="false" outlineLevel="0" collapsed="false">
      <c r="A116" s="0" t="s">
        <v>4279</v>
      </c>
      <c r="B116" s="0" t="s">
        <v>4280</v>
      </c>
      <c r="C116" s="0" t="n">
        <f aca="false">SUMPRODUCT(Pipeline!L5:L74,Pipeline!Q5:Q74,(Pipeline!K5:K74&gt;asof)*1,((Pipeline!J5:J74&gt;0)+(Pipeline!J5:J74&lt;=0)*dly_d1_s)*(Pipeline!O5:O74-Pipeline!M5:M74)*12)</f>
        <v>54.37355</v>
      </c>
      <c r="D116" s="0" t="n">
        <f aca="false">SUMPRODUCT(ISTEXT(Pipeline!J5:J74)*1)</f>
        <v>0</v>
      </c>
      <c r="F116" s="0" t="str">
        <f aca="false">IF(AND(C116&gt;0,D116=0),"OK","ERROR")</f>
        <v>OK</v>
      </c>
      <c r="G116" s="5" t="s">
        <v>4111</v>
      </c>
      <c r="H116" s="0" t="s">
        <v>4281</v>
      </c>
    </row>
    <row r="117" customFormat="false" ht="17.15" hidden="false" customHeight="false" outlineLevel="0" collapsed="false">
      <c r="A117" s="0" t="s">
        <v>4282</v>
      </c>
      <c r="B117" s="0" t="s">
        <v>4283</v>
      </c>
      <c r="C117" s="24" t="n">
        <f aca="false">Deploy!H63</f>
        <v>44.7908553554443</v>
      </c>
      <c r="D117" s="24" t="n">
        <f aca="false">Deploy!H62</f>
        <v>46.5041599188997</v>
      </c>
      <c r="F117" s="0" t="str">
        <f aca="false">IF(C117&lt;D117-0.000001,"OK","ERROR")</f>
        <v>OK</v>
      </c>
      <c r="G117" s="5" t="s">
        <v>4111</v>
      </c>
    </row>
    <row r="118" customFormat="false" ht="17.15" hidden="false" customHeight="false" outlineLevel="0" collapsed="false">
      <c r="A118" s="0" t="s">
        <v>4284</v>
      </c>
      <c r="B118" s="0" t="s">
        <v>4285</v>
      </c>
      <c r="C118" s="24" t="n">
        <f aca="false">Deploy!J63</f>
        <v>69.9621915778816</v>
      </c>
      <c r="D118" s="24" t="n">
        <f aca="false">Deploy!J62</f>
        <v>71.4293953108062</v>
      </c>
      <c r="F118" s="0" t="str">
        <f aca="false">IF(C118&lt;D118-0.000001,"OK","ERROR")</f>
        <v>OK</v>
      </c>
      <c r="G118" s="5" t="s">
        <v>4111</v>
      </c>
    </row>
    <row r="119" customFormat="false" ht="17.15" hidden="false" customHeight="false" outlineLevel="0" collapsed="false">
      <c r="A119" s="0" t="s">
        <v>4286</v>
      </c>
      <c r="B119" s="0" t="s">
        <v>4287</v>
      </c>
      <c r="C119" s="29" t="n">
        <f aca="false">Facility!D15</f>
        <v>12.67</v>
      </c>
      <c r="D119" s="29" t="n">
        <f aca="false">Facility!D4</f>
        <v>12.67</v>
      </c>
      <c r="E119" s="20" t="n">
        <f aca="false">C119-D119</f>
        <v>0</v>
      </c>
      <c r="F119" s="0" t="str">
        <f aca="false">IF(ABS(E119)&lt;0.000000001,"OK","ERROR")</f>
        <v>OK</v>
      </c>
      <c r="G119" s="5" t="s">
        <v>4078</v>
      </c>
    </row>
    <row r="120" customFormat="false" ht="17.15" hidden="false" customHeight="false" outlineLevel="0" collapsed="false">
      <c r="A120" s="0" t="s">
        <v>4288</v>
      </c>
      <c r="B120" s="0" t="s">
        <v>4289</v>
      </c>
      <c r="C120" s="29" t="n">
        <f aca="false">Facility!E15</f>
        <v>12.67</v>
      </c>
      <c r="D120" s="29" t="n">
        <f aca="false">Facility!E4</f>
        <v>12.67</v>
      </c>
      <c r="E120" s="20" t="n">
        <f aca="false">C120-D120</f>
        <v>0</v>
      </c>
      <c r="F120" s="0" t="str">
        <f aca="false">IF(ABS(E120)&lt;0.000000001,"OK","ERROR")</f>
        <v>OK</v>
      </c>
      <c r="G120" s="5" t="s">
        <v>4078</v>
      </c>
    </row>
    <row r="121" customFormat="false" ht="17.15" hidden="false" customHeight="false" outlineLevel="0" collapsed="false">
      <c r="A121" s="0" t="s">
        <v>4290</v>
      </c>
      <c r="B121" s="0" t="s">
        <v>4291</v>
      </c>
      <c r="C121" s="29" t="n">
        <f aca="false">Facility!F15</f>
        <v>12.67</v>
      </c>
      <c r="D121" s="29" t="n">
        <f aca="false">Facility!F4</f>
        <v>12.67</v>
      </c>
      <c r="E121" s="20" t="n">
        <f aca="false">C121-D121</f>
        <v>0</v>
      </c>
      <c r="F121" s="0" t="str">
        <f aca="false">IF(ABS(E121)&lt;0.000000001,"OK","ERROR")</f>
        <v>OK</v>
      </c>
      <c r="G121" s="5" t="s">
        <v>4078</v>
      </c>
    </row>
    <row r="122" customFormat="false" ht="17.15" hidden="false" customHeight="false" outlineLevel="0" collapsed="false">
      <c r="A122" s="0" t="s">
        <v>4292</v>
      </c>
      <c r="B122" s="0" t="s">
        <v>4293</v>
      </c>
      <c r="C122" s="29" t="n">
        <f aca="false">Facility!G15</f>
        <v>12.67</v>
      </c>
      <c r="D122" s="29" t="n">
        <f aca="false">Facility!G4</f>
        <v>12.67</v>
      </c>
      <c r="E122" s="20" t="n">
        <f aca="false">C122-D122</f>
        <v>0</v>
      </c>
      <c r="F122" s="0" t="str">
        <f aca="false">IF(ABS(E122)&lt;0.000000001,"OK","ERROR")</f>
        <v>OK</v>
      </c>
      <c r="G122" s="5" t="s">
        <v>4078</v>
      </c>
    </row>
    <row r="123" customFormat="false" ht="17.15" hidden="false" customHeight="false" outlineLevel="0" collapsed="false">
      <c r="A123" s="0" t="s">
        <v>4294</v>
      </c>
      <c r="B123" s="0" t="s">
        <v>4295</v>
      </c>
      <c r="C123" s="29" t="n">
        <f aca="false">Facility!H15</f>
        <v>12.67</v>
      </c>
      <c r="D123" s="29" t="n">
        <f aca="false">Facility!H4</f>
        <v>12.67</v>
      </c>
      <c r="E123" s="20" t="n">
        <f aca="false">C123-D123</f>
        <v>0</v>
      </c>
      <c r="F123" s="0" t="str">
        <f aca="false">IF(ABS(E123)&lt;0.000000001,"OK","ERROR")</f>
        <v>OK</v>
      </c>
      <c r="G123" s="5" t="s">
        <v>4078</v>
      </c>
    </row>
    <row r="124" customFormat="false" ht="17.15" hidden="false" customHeight="false" outlineLevel="0" collapsed="false">
      <c r="A124" s="0" t="s">
        <v>4296</v>
      </c>
      <c r="B124" s="0" t="s">
        <v>4297</v>
      </c>
      <c r="C124" s="29" t="n">
        <f aca="false">Facility!I15</f>
        <v>12.67</v>
      </c>
      <c r="D124" s="29" t="n">
        <f aca="false">Facility!I4</f>
        <v>12.67</v>
      </c>
      <c r="E124" s="20" t="n">
        <f aca="false">C124-D124</f>
        <v>0</v>
      </c>
      <c r="F124" s="0" t="str">
        <f aca="false">IF(ABS(E124)&lt;0.000000001,"OK","ERROR")</f>
        <v>OK</v>
      </c>
      <c r="G124" s="5" t="s">
        <v>4078</v>
      </c>
    </row>
    <row r="125" customFormat="false" ht="17.15" hidden="false" customHeight="false" outlineLevel="0" collapsed="false">
      <c r="A125" s="0" t="s">
        <v>4298</v>
      </c>
      <c r="B125" s="0" t="s">
        <v>4299</v>
      </c>
      <c r="C125" s="29" t="n">
        <f aca="false">Facility!J15</f>
        <v>12.67</v>
      </c>
      <c r="D125" s="29" t="n">
        <f aca="false">Facility!J4</f>
        <v>12.67</v>
      </c>
      <c r="E125" s="20" t="n">
        <f aca="false">C125-D125</f>
        <v>0</v>
      </c>
      <c r="F125" s="0" t="str">
        <f aca="false">IF(ABS(E125)&lt;0.000000001,"OK","ERROR")</f>
        <v>OK</v>
      </c>
      <c r="G125" s="5" t="s">
        <v>4078</v>
      </c>
    </row>
    <row r="126" customFormat="false" ht="17.15" hidden="false" customHeight="false" outlineLevel="0" collapsed="false">
      <c r="A126" s="0" t="s">
        <v>4300</v>
      </c>
      <c r="B126" s="0" t="s">
        <v>4301</v>
      </c>
      <c r="C126" s="29" t="n">
        <f aca="false">Facility!K15</f>
        <v>12.67</v>
      </c>
      <c r="D126" s="29" t="n">
        <f aca="false">Facility!K4</f>
        <v>12.67</v>
      </c>
      <c r="E126" s="20" t="n">
        <f aca="false">C126-D126</f>
        <v>0</v>
      </c>
      <c r="F126" s="0" t="str">
        <f aca="false">IF(ABS(E126)&lt;0.000000001,"OK","ERROR")</f>
        <v>OK</v>
      </c>
      <c r="G126" s="5" t="s">
        <v>4078</v>
      </c>
    </row>
    <row r="127" customFormat="false" ht="17.15" hidden="false" customHeight="false" outlineLevel="0" collapsed="false">
      <c r="A127" s="0" t="s">
        <v>4302</v>
      </c>
      <c r="B127" s="0" t="s">
        <v>4303</v>
      </c>
      <c r="C127" s="29" t="n">
        <f aca="false">Facility!L15</f>
        <v>12.67</v>
      </c>
      <c r="D127" s="29" t="n">
        <f aca="false">Facility!L4</f>
        <v>12.67</v>
      </c>
      <c r="E127" s="20" t="n">
        <f aca="false">C127-D127</f>
        <v>0</v>
      </c>
      <c r="F127" s="0" t="str">
        <f aca="false">IF(ABS(E127)&lt;0.000000001,"OK","ERROR")</f>
        <v>OK</v>
      </c>
      <c r="G127" s="5" t="s">
        <v>4078</v>
      </c>
    </row>
    <row r="128" customFormat="false" ht="17.15" hidden="false" customHeight="false" outlineLevel="0" collapsed="false">
      <c r="A128" s="0" t="s">
        <v>4304</v>
      </c>
      <c r="B128" s="0" t="s">
        <v>4305</v>
      </c>
      <c r="C128" s="29" t="n">
        <f aca="false">Facility!M15</f>
        <v>12.67</v>
      </c>
      <c r="D128" s="29" t="n">
        <f aca="false">Facility!M4</f>
        <v>12.67</v>
      </c>
      <c r="E128" s="20" t="n">
        <f aca="false">C128-D128</f>
        <v>0</v>
      </c>
      <c r="F128" s="0" t="str">
        <f aca="false">IF(ABS(E128)&lt;0.000000001,"OK","ERROR")</f>
        <v>OK</v>
      </c>
      <c r="G128" s="5" t="s">
        <v>4078</v>
      </c>
    </row>
    <row r="129" customFormat="false" ht="17.15" hidden="false" customHeight="false" outlineLevel="0" collapsed="false">
      <c r="A129" s="0" t="s">
        <v>4306</v>
      </c>
      <c r="B129" s="0" t="s">
        <v>4307</v>
      </c>
      <c r="C129" s="29" t="n">
        <f aca="false">Facility!G14</f>
        <v>0.0200000000000014</v>
      </c>
      <c r="F129" s="0" t="str">
        <f aca="false">IF(ABS(C129)&lt;=0.5,"OK","WARN")</f>
        <v>OK</v>
      </c>
      <c r="G129" s="5" t="s">
        <v>4111</v>
      </c>
    </row>
    <row r="130" customFormat="false" ht="17.15" hidden="false" customHeight="false" outlineLevel="0" collapsed="false">
      <c r="A130" s="0" t="s">
        <v>4308</v>
      </c>
      <c r="B130" s="0" t="s">
        <v>4309</v>
      </c>
      <c r="C130" s="23" t="n">
        <f aca="false">SegIn!C12</f>
        <v>1</v>
      </c>
      <c r="D130" s="0" t="n">
        <v>1</v>
      </c>
      <c r="F130" s="0" t="str">
        <f aca="false">IF(ABS(C130-1)&lt;0.001,"OK","ERROR")</f>
        <v>OK</v>
      </c>
      <c r="G130" s="5" t="s">
        <v>4078</v>
      </c>
    </row>
    <row r="131" customFormat="false" ht="17.15" hidden="false" customHeight="false" outlineLevel="0" collapsed="false">
      <c r="A131" s="0" t="s">
        <v>4310</v>
      </c>
      <c r="B131" s="0" t="s">
        <v>4311</v>
      </c>
      <c r="C131" s="32" t="n">
        <f aca="false">Spend!D16</f>
        <v>0</v>
      </c>
      <c r="D131" s="20" t="n">
        <f aca="false">Spend!D4*Spend!D5</f>
        <v>0</v>
      </c>
      <c r="E131" s="20" t="n">
        <f aca="false">C131-D131</f>
        <v>0</v>
      </c>
      <c r="F131" s="0" t="str">
        <f aca="false">IF(ABS(E131)&lt;0.000001,"OK","ERROR")</f>
        <v>OK</v>
      </c>
      <c r="G131" s="5" t="s">
        <v>4078</v>
      </c>
    </row>
    <row r="132" customFormat="false" ht="17.15" hidden="false" customHeight="false" outlineLevel="0" collapsed="false">
      <c r="A132" s="0" t="s">
        <v>4312</v>
      </c>
      <c r="B132" s="0" t="s">
        <v>4313</v>
      </c>
      <c r="C132" s="32" t="n">
        <f aca="false">Spend!E16</f>
        <v>43.663252190161</v>
      </c>
      <c r="D132" s="20" t="n">
        <f aca="false">Spend!E4*Spend!E5</f>
        <v>43.663252190161</v>
      </c>
      <c r="E132" s="20" t="n">
        <f aca="false">C132-D132</f>
        <v>0</v>
      </c>
      <c r="F132" s="0" t="str">
        <f aca="false">IF(ABS(E132)&lt;0.000001,"OK","ERROR")</f>
        <v>OK</v>
      </c>
      <c r="G132" s="5" t="s">
        <v>4078</v>
      </c>
    </row>
    <row r="133" customFormat="false" ht="17.15" hidden="false" customHeight="false" outlineLevel="0" collapsed="false">
      <c r="A133" s="0" t="s">
        <v>4314</v>
      </c>
      <c r="B133" s="0" t="s">
        <v>4315</v>
      </c>
      <c r="C133" s="32" t="n">
        <f aca="false">Spend!F16</f>
        <v>233.578450255195</v>
      </c>
      <c r="D133" s="20" t="n">
        <f aca="false">Spend!F4*Spend!F5</f>
        <v>233.578450255195</v>
      </c>
      <c r="E133" s="20" t="n">
        <f aca="false">C133-D133</f>
        <v>0</v>
      </c>
      <c r="F133" s="0" t="str">
        <f aca="false">IF(ABS(E133)&lt;0.000001,"OK","ERROR")</f>
        <v>OK</v>
      </c>
      <c r="G133" s="5" t="s">
        <v>4078</v>
      </c>
    </row>
    <row r="134" customFormat="false" ht="17.15" hidden="false" customHeight="false" outlineLevel="0" collapsed="false">
      <c r="A134" s="0" t="s">
        <v>4316</v>
      </c>
      <c r="B134" s="0" t="s">
        <v>4317</v>
      </c>
      <c r="C134" s="32" t="n">
        <f aca="false">Spend!G16</f>
        <v>393.649521615031</v>
      </c>
      <c r="D134" s="20" t="n">
        <f aca="false">Spend!G4*Spend!G5</f>
        <v>393.649521615031</v>
      </c>
      <c r="E134" s="20" t="n">
        <f aca="false">C134-D134</f>
        <v>0</v>
      </c>
      <c r="F134" s="0" t="str">
        <f aca="false">IF(ABS(E134)&lt;0.000001,"OK","ERROR")</f>
        <v>OK</v>
      </c>
      <c r="G134" s="5" t="s">
        <v>4078</v>
      </c>
    </row>
    <row r="135" customFormat="false" ht="17.15" hidden="false" customHeight="false" outlineLevel="0" collapsed="false">
      <c r="A135" s="0" t="s">
        <v>4318</v>
      </c>
      <c r="B135" s="0" t="s">
        <v>4319</v>
      </c>
      <c r="C135" s="32" t="n">
        <f aca="false">Spend!H16</f>
        <v>797.696676332878</v>
      </c>
      <c r="D135" s="20" t="n">
        <f aca="false">Spend!H4*Spend!H5</f>
        <v>797.696676332878</v>
      </c>
      <c r="E135" s="20" t="n">
        <f aca="false">C135-D135</f>
        <v>0</v>
      </c>
      <c r="F135" s="0" t="str">
        <f aca="false">IF(ABS(E135)&lt;0.000001,"OK","ERROR")</f>
        <v>OK</v>
      </c>
      <c r="G135" s="5" t="s">
        <v>4078</v>
      </c>
    </row>
    <row r="136" customFormat="false" ht="17.15" hidden="false" customHeight="false" outlineLevel="0" collapsed="false">
      <c r="A136" s="0" t="s">
        <v>4320</v>
      </c>
      <c r="B136" s="0" t="s">
        <v>4321</v>
      </c>
      <c r="C136" s="32" t="n">
        <f aca="false">Spend!I16</f>
        <v>995.577562853289</v>
      </c>
      <c r="D136" s="20" t="n">
        <f aca="false">Spend!I4*Spend!I5</f>
        <v>995.577562853289</v>
      </c>
      <c r="E136" s="20" t="n">
        <f aca="false">C136-D136</f>
        <v>0</v>
      </c>
      <c r="F136" s="0" t="str">
        <f aca="false">IF(ABS(E136)&lt;0.000001,"OK","ERROR")</f>
        <v>OK</v>
      </c>
      <c r="G136" s="5" t="s">
        <v>4078</v>
      </c>
    </row>
    <row r="137" customFormat="false" ht="17.15" hidden="false" customHeight="false" outlineLevel="0" collapsed="false">
      <c r="A137" s="0" t="s">
        <v>4322</v>
      </c>
      <c r="B137" s="0" t="s">
        <v>4323</v>
      </c>
      <c r="C137" s="32" t="n">
        <f aca="false">Spend!J16</f>
        <v>1021.80155343636</v>
      </c>
      <c r="D137" s="20" t="n">
        <f aca="false">Spend!J4*Spend!J5</f>
        <v>1021.80155343636</v>
      </c>
      <c r="E137" s="20" t="n">
        <f aca="false">C137-D137</f>
        <v>0</v>
      </c>
      <c r="F137" s="0" t="str">
        <f aca="false">IF(ABS(E137)&lt;0.000001,"OK","ERROR")</f>
        <v>OK</v>
      </c>
      <c r="G137" s="5" t="s">
        <v>4078</v>
      </c>
    </row>
    <row r="138" customFormat="false" ht="17.15" hidden="false" customHeight="false" outlineLevel="0" collapsed="false">
      <c r="A138" s="0" t="s">
        <v>4324</v>
      </c>
      <c r="B138" s="0" t="s">
        <v>4325</v>
      </c>
      <c r="C138" s="32" t="n">
        <f aca="false">Spend!K16</f>
        <v>1038.07280411256</v>
      </c>
      <c r="D138" s="20" t="n">
        <f aca="false">Spend!K4*Spend!K5</f>
        <v>1038.07280411256</v>
      </c>
      <c r="E138" s="20" t="n">
        <f aca="false">C138-D138</f>
        <v>0</v>
      </c>
      <c r="F138" s="0" t="str">
        <f aca="false">IF(ABS(E138)&lt;0.000001,"OK","ERROR")</f>
        <v>OK</v>
      </c>
      <c r="G138" s="5" t="s">
        <v>4078</v>
      </c>
    </row>
    <row r="139" customFormat="false" ht="17.15" hidden="false" customHeight="false" outlineLevel="0" collapsed="false">
      <c r="A139" s="0" t="s">
        <v>4326</v>
      </c>
      <c r="B139" s="0" t="s">
        <v>4327</v>
      </c>
      <c r="C139" s="32" t="n">
        <f aca="false">Spend!L16</f>
        <v>910.466826717915</v>
      </c>
      <c r="D139" s="20" t="n">
        <f aca="false">Spend!L4*Spend!L5</f>
        <v>910.466826717915</v>
      </c>
      <c r="E139" s="20" t="n">
        <f aca="false">C139-D139</f>
        <v>0</v>
      </c>
      <c r="F139" s="0" t="str">
        <f aca="false">IF(ABS(E139)&lt;0.000001,"OK","ERROR")</f>
        <v>OK</v>
      </c>
      <c r="G139" s="5" t="s">
        <v>4078</v>
      </c>
    </row>
    <row r="140" customFormat="false" ht="17.15" hidden="false" customHeight="false" outlineLevel="0" collapsed="false">
      <c r="A140" s="0" t="s">
        <v>4328</v>
      </c>
      <c r="B140" s="0" t="s">
        <v>4329</v>
      </c>
      <c r="C140" s="32" t="n">
        <f aca="false">Spend!M16</f>
        <v>621.092469348892</v>
      </c>
      <c r="D140" s="20" t="n">
        <f aca="false">Spend!M4*Spend!M5</f>
        <v>621.092469348892</v>
      </c>
      <c r="E140" s="20" t="n">
        <f aca="false">C140-D140</f>
        <v>0</v>
      </c>
      <c r="F140" s="0" t="str">
        <f aca="false">IF(ABS(E140)&lt;0.000001,"OK","ERROR")</f>
        <v>OK</v>
      </c>
      <c r="G140" s="5" t="s">
        <v>4078</v>
      </c>
    </row>
    <row r="141" customFormat="false" ht="17.15" hidden="false" customHeight="false" outlineLevel="0" collapsed="false">
      <c r="A141" s="0" t="s">
        <v>4330</v>
      </c>
      <c r="B141" s="0" t="s">
        <v>4331</v>
      </c>
      <c r="C141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1" s="0" t="str">
        <f aca="false">IF(C141=0,"OK","ERROR")</f>
        <v>OK</v>
      </c>
      <c r="G141" s="5" t="s">
        <v>4078</v>
      </c>
    </row>
    <row r="142" customFormat="false" ht="17.15" hidden="false" customHeight="false" outlineLevel="0" collapsed="false">
      <c r="A142" s="0" t="s">
        <v>4332</v>
      </c>
      <c r="B142" s="0" t="s">
        <v>4333</v>
      </c>
      <c r="C142" s="0" t="n">
        <v>0</v>
      </c>
      <c r="F142" s="0" t="str">
        <f aca="false">IF(C142=0,"OK","ERROR")</f>
        <v>OK</v>
      </c>
      <c r="G142" s="5" t="s">
        <v>4263</v>
      </c>
    </row>
    <row r="143" customFormat="false" ht="17.15" hidden="false" customHeight="false" outlineLevel="0" collapsed="false">
      <c r="A143" s="0" t="s">
        <v>4334</v>
      </c>
      <c r="B143" s="0" t="s">
        <v>4335</v>
      </c>
      <c r="C143" s="0" t="n">
        <f aca="false">N(Funding!U30)</f>
        <v>36</v>
      </c>
      <c r="D143" s="0" t="n">
        <f aca="false">N(Funding!L30)</f>
        <v>35</v>
      </c>
      <c r="F143" s="0" t="str">
        <f aca="false">IF(AND(C143=36,D143=35),"OK","ERROR")</f>
        <v>OK</v>
      </c>
      <c r="G143" s="5" t="s">
        <v>4336</v>
      </c>
    </row>
    <row r="144" customFormat="false" ht="17.15" hidden="false" customHeight="false" outlineLevel="0" collapsed="false">
      <c r="A144" s="0" t="s">
        <v>4337</v>
      </c>
      <c r="B144" s="0" t="s">
        <v>4338</v>
      </c>
      <c r="C144" s="32" t="n">
        <f aca="false">Funding!AL9</f>
        <v>64.564</v>
      </c>
      <c r="D144" s="0" t="n">
        <v>64.564</v>
      </c>
      <c r="F144" s="0" t="str">
        <f aca="false">IF(C144&gt;=D144-0.000001,"OK","ERROR")</f>
        <v>OK</v>
      </c>
      <c r="G144" s="5" t="s">
        <v>4339</v>
      </c>
    </row>
    <row r="145" customFormat="false" ht="17.15" hidden="false" customHeight="false" outlineLevel="0" collapsed="false">
      <c r="A145" s="0" t="s">
        <v>4340</v>
      </c>
      <c r="B145" s="0" t="s">
        <v>4341</v>
      </c>
      <c r="C145" s="32" t="n">
        <f aca="false">Funding!AL15</f>
        <v>57.3</v>
      </c>
      <c r="D145" s="0" t="n">
        <v>57.3</v>
      </c>
      <c r="F145" s="0" t="str">
        <f aca="false">IF(C145&gt;=D145-0.000001,"OK","ERROR")</f>
        <v>OK</v>
      </c>
      <c r="G145" s="5" t="s">
        <v>4339</v>
      </c>
    </row>
    <row r="146" customFormat="false" ht="17.15" hidden="false" customHeight="false" outlineLevel="0" collapsed="false">
      <c r="A146" s="0" t="s">
        <v>4342</v>
      </c>
      <c r="B146" s="5" t="s">
        <v>4343</v>
      </c>
      <c r="C146" s="0" t="n">
        <v>17</v>
      </c>
      <c r="F146" s="0" t="str">
        <f aca="false">IF(C146=17,"OK","ERROR")</f>
        <v>OK</v>
      </c>
      <c r="G146" s="5" t="s">
        <v>4043</v>
      </c>
    </row>
    <row r="147" customFormat="false" ht="17.15" hidden="false" customHeight="false" outlineLevel="0" collapsed="false">
      <c r="A147" s="0" t="s">
        <v>4344</v>
      </c>
      <c r="B147" s="0" t="s">
        <v>4345</v>
      </c>
      <c r="C147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7" s="0" t="str">
        <f aca="false">IF(C147=0,"OK","WARN")</f>
        <v>OK</v>
      </c>
      <c r="G147" s="5" t="s">
        <v>4111</v>
      </c>
    </row>
    <row r="148" customFormat="false" ht="17.15" hidden="false" customHeight="false" outlineLevel="0" collapsed="false">
      <c r="A148" s="0" t="s">
        <v>4346</v>
      </c>
      <c r="B148" s="0" t="s">
        <v>4347</v>
      </c>
      <c r="C148" s="0" t="n">
        <f aca="false">SUMPRODUCT((In!S5:S255&lt;&gt;"")*(In!E5:E255=""))</f>
        <v>0</v>
      </c>
      <c r="F148" s="0" t="str">
        <f aca="false">IF(C148=0,"OK","ERROR")</f>
        <v>OK</v>
      </c>
      <c r="G148" s="5" t="s">
        <v>4348</v>
      </c>
    </row>
    <row r="149" customFormat="false" ht="17.15" hidden="false" customHeight="false" outlineLevel="0" collapsed="false">
      <c r="A149" s="0" t="s">
        <v>4349</v>
      </c>
      <c r="B149" s="0" t="s">
        <v>4350</v>
      </c>
      <c r="C149" s="0" t="n">
        <f aca="false">SUMPRODUCT((In!S5:S255&lt;&gt;"")*(In!F5:F255=""))</f>
        <v>0</v>
      </c>
      <c r="F149" s="0" t="str">
        <f aca="false">IF(C149=0,"OK","ERROR")</f>
        <v>OK</v>
      </c>
      <c r="G149" s="5" t="s">
        <v>4348</v>
      </c>
    </row>
    <row r="150" customFormat="false" ht="17.15" hidden="false" customHeight="false" outlineLevel="0" collapsed="false">
      <c r="A150" s="0" t="s">
        <v>4351</v>
      </c>
      <c r="B150" s="5" t="s">
        <v>4352</v>
      </c>
      <c r="C150" s="0" t="n">
        <f aca="false">SUMPRODUCT((In!S5:S255=1)*((ISNUMBER(SEARCH("Assumed",In!E5:E255))+ISNUMBER(SEARCH("Analogy",In!E5:E255)))&gt;0)*(((In!H5:H255="")+(In!J5:J255=""))&gt;0))</f>
        <v>0</v>
      </c>
      <c r="F150" s="0" t="str">
        <f aca="false">IF(C150=0,"OK","ERROR")</f>
        <v>OK</v>
      </c>
      <c r="G150" s="5" t="s">
        <v>4348</v>
      </c>
    </row>
    <row r="151" customFormat="false" ht="17.15" hidden="false" customHeight="false" outlineLevel="0" collapsed="false">
      <c r="A151" s="0" t="s">
        <v>4353</v>
      </c>
      <c r="B151" s="5" t="s">
        <v>4354</v>
      </c>
      <c r="C151" s="0" t="n">
        <f aca="false">SUMPRODUCT((In!S5:S255&gt;1)*((ISNUMBER(SEARCH("Assumed",In!E5:E255))+ISNUMBER(SEARCH("Analogy",In!E5:E255)))&gt;0))</f>
        <v>42</v>
      </c>
      <c r="F151" s="0" t="str">
        <f aca="false">IF(C151=0,"OK","WARN")</f>
        <v>WARN</v>
      </c>
      <c r="G151" s="5" t="s">
        <v>4348</v>
      </c>
    </row>
    <row r="152" customFormat="false" ht="17.15" hidden="false" customHeight="false" outlineLevel="0" collapsed="false">
      <c r="A152" s="0" t="s">
        <v>4355</v>
      </c>
      <c r="B152" s="0" t="s">
        <v>4356</v>
      </c>
      <c r="C152" s="0" t="n">
        <v>0</v>
      </c>
      <c r="F152" s="0" t="str">
        <f aca="false">IF(C152=0,"OK","ERROR")</f>
        <v>OK</v>
      </c>
      <c r="G152" s="5" t="s">
        <v>4348</v>
      </c>
    </row>
    <row r="153" customFormat="false" ht="17.15" hidden="false" customHeight="false" outlineLevel="0" collapsed="false">
      <c r="A153" s="0" t="s">
        <v>4357</v>
      </c>
      <c r="B153" s="5" t="s">
        <v>4358</v>
      </c>
      <c r="C153" s="0" t="n">
        <f aca="false">COUNTIF(In!E5:E255,"待證據")</f>
        <v>24</v>
      </c>
      <c r="F153" s="0" t="str">
        <f aca="false">IF(C153=0,"OK","WARN")</f>
        <v>WARN</v>
      </c>
      <c r="G153" s="5" t="s">
        <v>4348</v>
      </c>
      <c r="H153" s="0" t="s">
        <v>4359</v>
      </c>
    </row>
    <row r="154" customFormat="false" ht="15" hidden="false" customHeight="false" outlineLevel="0" collapsed="false">
      <c r="A154" s="0" t="s">
        <v>4360</v>
      </c>
      <c r="B154" s="5" t="s">
        <v>4361</v>
      </c>
      <c r="C154" s="0" t="n">
        <f aca="false">COUNTIF(In!G5:G255,"*【佔位】*")</f>
        <v>0</v>
      </c>
      <c r="F154" s="0" t="str">
        <f aca="false">IF(C154=0,"OK","WARN")</f>
        <v>OK</v>
      </c>
      <c r="G154" s="5" t="s">
        <v>4348</v>
      </c>
    </row>
    <row r="156" customFormat="false" ht="15" hidden="false" customHeight="false" outlineLevel="0" collapsed="false">
      <c r="A156" s="8" t="s">
        <v>4362</v>
      </c>
      <c r="C156" s="42" t="n">
        <f aca="false">COUNTIF(F4:F154,"ERROR")</f>
        <v>0</v>
      </c>
    </row>
    <row r="157" customFormat="false" ht="15" hidden="false" customHeight="false" outlineLevel="0" collapsed="false">
      <c r="A157" s="8" t="s">
        <v>4363</v>
      </c>
      <c r="C157" s="42" t="n">
        <f aca="false">COUNTIF(F4:F154,"WARN")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4364</v>
      </c>
    </row>
    <row r="3" customFormat="false" ht="17.15" hidden="false" customHeight="false" outlineLevel="0" collapsed="false">
      <c r="A3" s="6" t="s">
        <v>4365</v>
      </c>
      <c r="B3" s="6" t="s">
        <v>1365</v>
      </c>
      <c r="C3" s="6" t="s">
        <v>16</v>
      </c>
      <c r="D3" s="6" t="s">
        <v>4366</v>
      </c>
      <c r="E3" s="6" t="s">
        <v>4367</v>
      </c>
      <c r="F3" s="6" t="s">
        <v>4368</v>
      </c>
      <c r="G3" s="6" t="s">
        <v>4369</v>
      </c>
    </row>
    <row r="4" customFormat="false" ht="32.8" hidden="false" customHeight="false" outlineLevel="0" collapsed="false">
      <c r="A4" s="3" t="s">
        <v>4370</v>
      </c>
      <c r="B4" s="2" t="s">
        <v>4371</v>
      </c>
      <c r="C4" s="2" t="s">
        <v>4372</v>
      </c>
      <c r="D4" s="2" t="s">
        <v>4373</v>
      </c>
      <c r="E4" s="3" t="s">
        <v>4374</v>
      </c>
      <c r="F4" s="3" t="s">
        <v>4375</v>
      </c>
      <c r="G4" s="2" t="s">
        <v>4376</v>
      </c>
    </row>
    <row r="5" customFormat="false" ht="32.8" hidden="false" customHeight="false" outlineLevel="0" collapsed="false">
      <c r="A5" s="3" t="s">
        <v>4377</v>
      </c>
      <c r="B5" s="2" t="s">
        <v>4371</v>
      </c>
      <c r="C5" s="2" t="s">
        <v>4378</v>
      </c>
      <c r="D5" s="2" t="s">
        <v>4379</v>
      </c>
      <c r="E5" s="3" t="s">
        <v>4374</v>
      </c>
      <c r="F5" s="2" t="s">
        <v>4380</v>
      </c>
      <c r="G5" s="2" t="s">
        <v>4376</v>
      </c>
    </row>
    <row r="6" customFormat="false" ht="64.15" hidden="false" customHeight="false" outlineLevel="0" collapsed="false">
      <c r="A6" s="43" t="s">
        <v>4381</v>
      </c>
      <c r="B6" s="44" t="s">
        <v>4371</v>
      </c>
      <c r="C6" s="44" t="s">
        <v>4382</v>
      </c>
      <c r="D6" s="44" t="s">
        <v>4383</v>
      </c>
      <c r="E6" s="43" t="s">
        <v>4374</v>
      </c>
      <c r="F6" s="43" t="s">
        <v>4384</v>
      </c>
      <c r="G6" s="44" t="s">
        <v>4385</v>
      </c>
    </row>
    <row r="7" customFormat="false" ht="32.8" hidden="false" customHeight="false" outlineLevel="0" collapsed="false">
      <c r="A7" s="43" t="s">
        <v>4386</v>
      </c>
      <c r="B7" s="44" t="s">
        <v>4371</v>
      </c>
      <c r="C7" s="44" t="s">
        <v>4387</v>
      </c>
      <c r="D7" s="43" t="s">
        <v>4388</v>
      </c>
      <c r="E7" s="43" t="s">
        <v>4374</v>
      </c>
      <c r="F7" s="44" t="s">
        <v>4389</v>
      </c>
      <c r="G7" s="44" t="s">
        <v>4385</v>
      </c>
    </row>
    <row r="8" customFormat="false" ht="32.8" hidden="false" customHeight="false" outlineLevel="0" collapsed="false">
      <c r="A8" s="3" t="s">
        <v>4390</v>
      </c>
      <c r="B8" s="2" t="s">
        <v>4371</v>
      </c>
      <c r="C8" s="3" t="s">
        <v>4391</v>
      </c>
      <c r="D8" s="2" t="s">
        <v>4392</v>
      </c>
      <c r="E8" s="3" t="s">
        <v>4374</v>
      </c>
      <c r="F8" s="2" t="s">
        <v>4393</v>
      </c>
      <c r="G8" s="2" t="s">
        <v>4376</v>
      </c>
    </row>
    <row r="9" customFormat="false" ht="48.5" hidden="false" customHeight="false" outlineLevel="0" collapsed="false">
      <c r="A9" s="3" t="s">
        <v>4394</v>
      </c>
      <c r="B9" s="2" t="s">
        <v>4371</v>
      </c>
      <c r="C9" s="2" t="s">
        <v>4395</v>
      </c>
      <c r="D9" s="2" t="s">
        <v>4396</v>
      </c>
      <c r="E9" s="3" t="s">
        <v>4374</v>
      </c>
      <c r="F9" s="3" t="s">
        <v>4397</v>
      </c>
      <c r="G9" s="2" t="s">
        <v>4376</v>
      </c>
    </row>
    <row r="10" customFormat="false" ht="64.15" hidden="false" customHeight="false" outlineLevel="0" collapsed="false">
      <c r="A10" s="43" t="s">
        <v>4398</v>
      </c>
      <c r="B10" s="44" t="s">
        <v>4371</v>
      </c>
      <c r="C10" s="44" t="s">
        <v>4399</v>
      </c>
      <c r="D10" s="43" t="s">
        <v>4400</v>
      </c>
      <c r="E10" s="43" t="s">
        <v>4374</v>
      </c>
      <c r="F10" s="44" t="s">
        <v>4401</v>
      </c>
      <c r="G10" s="44" t="s">
        <v>4385</v>
      </c>
    </row>
    <row r="11" customFormat="false" ht="48.5" hidden="false" customHeight="false" outlineLevel="0" collapsed="false">
      <c r="A11" s="43" t="s">
        <v>4402</v>
      </c>
      <c r="B11" s="44" t="s">
        <v>4371</v>
      </c>
      <c r="C11" s="43" t="s">
        <v>4403</v>
      </c>
      <c r="D11" s="43" t="s">
        <v>4404</v>
      </c>
      <c r="E11" s="43" t="s">
        <v>4374</v>
      </c>
      <c r="F11" s="44" t="s">
        <v>4405</v>
      </c>
      <c r="G11" s="44" t="s">
        <v>4385</v>
      </c>
    </row>
    <row r="12" customFormat="false" ht="32.8" hidden="false" customHeight="false" outlineLevel="0" collapsed="false">
      <c r="A12" s="3" t="s">
        <v>4406</v>
      </c>
      <c r="B12" s="2" t="s">
        <v>4371</v>
      </c>
      <c r="C12" s="3" t="s">
        <v>4407</v>
      </c>
      <c r="D12" s="2" t="s">
        <v>4408</v>
      </c>
      <c r="E12" s="3" t="s">
        <v>4374</v>
      </c>
      <c r="F12" s="2" t="s">
        <v>4409</v>
      </c>
      <c r="G12" s="2" t="s">
        <v>4376</v>
      </c>
    </row>
    <row r="13" customFormat="false" ht="17.15" hidden="false" customHeight="false" outlineLevel="0" collapsed="false">
      <c r="A13" s="3" t="s">
        <v>4410</v>
      </c>
      <c r="B13" s="2" t="s">
        <v>4371</v>
      </c>
      <c r="C13" s="2" t="s">
        <v>4411</v>
      </c>
      <c r="D13" s="2" t="s">
        <v>4412</v>
      </c>
      <c r="E13" s="3" t="s">
        <v>4374</v>
      </c>
      <c r="F13" s="2" t="s">
        <v>4413</v>
      </c>
      <c r="G13" s="2" t="s">
        <v>4376</v>
      </c>
    </row>
    <row r="14" customFormat="false" ht="48.5" hidden="false" customHeight="false" outlineLevel="0" collapsed="false">
      <c r="A14" s="43" t="s">
        <v>4414</v>
      </c>
      <c r="B14" s="44" t="s">
        <v>4371</v>
      </c>
      <c r="C14" s="44" t="s">
        <v>4415</v>
      </c>
      <c r="D14" s="43" t="s">
        <v>4416</v>
      </c>
      <c r="E14" s="43" t="s">
        <v>4374</v>
      </c>
      <c r="F14" s="43" t="s">
        <v>4417</v>
      </c>
      <c r="G14" s="44" t="s">
        <v>4385</v>
      </c>
    </row>
    <row r="15" customFormat="false" ht="32.8" hidden="false" customHeight="false" outlineLevel="0" collapsed="false">
      <c r="A15" s="3" t="s">
        <v>4418</v>
      </c>
      <c r="B15" s="2" t="s">
        <v>4371</v>
      </c>
      <c r="C15" s="2" t="s">
        <v>4419</v>
      </c>
      <c r="D15" s="2" t="s">
        <v>4420</v>
      </c>
      <c r="E15" s="3" t="s">
        <v>4374</v>
      </c>
      <c r="F15" s="3" t="s">
        <v>4421</v>
      </c>
      <c r="G15" s="2" t="s">
        <v>4376</v>
      </c>
    </row>
    <row r="16" customFormat="false" ht="64.15" hidden="false" customHeight="false" outlineLevel="0" collapsed="false">
      <c r="A16" s="43" t="s">
        <v>4422</v>
      </c>
      <c r="B16" s="44" t="s">
        <v>4371</v>
      </c>
      <c r="C16" s="43" t="s">
        <v>4423</v>
      </c>
      <c r="D16" s="43" t="s">
        <v>4424</v>
      </c>
      <c r="E16" s="43" t="s">
        <v>4374</v>
      </c>
      <c r="F16" s="43" t="s">
        <v>4425</v>
      </c>
      <c r="G16" s="44" t="s">
        <v>4385</v>
      </c>
    </row>
    <row r="17" customFormat="false" ht="30.55" hidden="false" customHeight="false" outlineLevel="0" collapsed="false">
      <c r="A17" s="43" t="s">
        <v>4426</v>
      </c>
      <c r="B17" s="44" t="s">
        <v>4371</v>
      </c>
      <c r="C17" s="43" t="s">
        <v>4427</v>
      </c>
      <c r="D17" s="44" t="s">
        <v>4428</v>
      </c>
      <c r="E17" s="43" t="s">
        <v>4374</v>
      </c>
      <c r="F17" s="43" t="s">
        <v>4421</v>
      </c>
      <c r="G17" s="44" t="s">
        <v>4385</v>
      </c>
    </row>
    <row r="18" customFormat="false" ht="32.8" hidden="false" customHeight="false" outlineLevel="0" collapsed="false">
      <c r="A18" s="3" t="s">
        <v>4429</v>
      </c>
      <c r="B18" s="2" t="s">
        <v>4371</v>
      </c>
      <c r="C18" s="2" t="s">
        <v>4430</v>
      </c>
      <c r="D18" s="3" t="s">
        <v>4431</v>
      </c>
      <c r="E18" s="3" t="s">
        <v>4374</v>
      </c>
      <c r="F18" s="2" t="s">
        <v>4371</v>
      </c>
      <c r="G18" s="2" t="s">
        <v>4376</v>
      </c>
    </row>
    <row r="19" customFormat="false" ht="95.5" hidden="false" customHeight="false" outlineLevel="0" collapsed="false">
      <c r="A19" s="43" t="s">
        <v>4432</v>
      </c>
      <c r="B19" s="44" t="s">
        <v>4371</v>
      </c>
      <c r="C19" s="44" t="s">
        <v>4433</v>
      </c>
      <c r="D19" s="44" t="s">
        <v>4434</v>
      </c>
      <c r="E19" s="43" t="s">
        <v>4374</v>
      </c>
      <c r="F19" s="43" t="s">
        <v>4435</v>
      </c>
      <c r="G19" s="44" t="s">
        <v>4385</v>
      </c>
    </row>
    <row r="20" customFormat="false" ht="48.5" hidden="false" customHeight="false" outlineLevel="0" collapsed="false">
      <c r="A20" s="43" t="s">
        <v>4436</v>
      </c>
      <c r="B20" s="44" t="s">
        <v>4371</v>
      </c>
      <c r="C20" s="44" t="s">
        <v>4437</v>
      </c>
      <c r="D20" s="43" t="s">
        <v>4438</v>
      </c>
      <c r="E20" s="43" t="s">
        <v>4374</v>
      </c>
      <c r="F20" s="43" t="s">
        <v>4439</v>
      </c>
      <c r="G20" s="44" t="s">
        <v>4385</v>
      </c>
    </row>
    <row r="21" customFormat="false" ht="48.5" hidden="false" customHeight="false" outlineLevel="0" collapsed="false">
      <c r="A21" s="43" t="s">
        <v>4440</v>
      </c>
      <c r="B21" s="44" t="s">
        <v>4441</v>
      </c>
      <c r="C21" s="44" t="s">
        <v>4442</v>
      </c>
      <c r="D21" s="44" t="s">
        <v>4443</v>
      </c>
      <c r="E21" s="43" t="s">
        <v>4374</v>
      </c>
      <c r="F21" s="44" t="s">
        <v>4444</v>
      </c>
      <c r="G21" s="44" t="s">
        <v>4385</v>
      </c>
    </row>
    <row r="22" customFormat="false" ht="48.5" hidden="false" customHeight="false" outlineLevel="0" collapsed="false">
      <c r="A22" s="43" t="s">
        <v>4445</v>
      </c>
      <c r="B22" s="44" t="s">
        <v>4371</v>
      </c>
      <c r="C22" s="44" t="s">
        <v>4446</v>
      </c>
      <c r="D22" s="43" t="s">
        <v>4447</v>
      </c>
      <c r="E22" s="43" t="s">
        <v>4374</v>
      </c>
      <c r="F22" s="44" t="s">
        <v>4448</v>
      </c>
      <c r="G22" s="44" t="s">
        <v>4385</v>
      </c>
    </row>
    <row r="23" customFormat="false" ht="48.5" hidden="false" customHeight="false" outlineLevel="0" collapsed="false">
      <c r="A23" s="3" t="s">
        <v>4449</v>
      </c>
      <c r="B23" s="2" t="s">
        <v>4371</v>
      </c>
      <c r="C23" s="2" t="s">
        <v>4450</v>
      </c>
      <c r="D23" s="2" t="s">
        <v>4451</v>
      </c>
      <c r="E23" s="3" t="s">
        <v>4374</v>
      </c>
      <c r="F23" s="2" t="s">
        <v>4452</v>
      </c>
      <c r="G23" s="2" t="s">
        <v>4376</v>
      </c>
    </row>
    <row r="24" customFormat="false" ht="48.5" hidden="false" customHeight="false" outlineLevel="0" collapsed="false">
      <c r="A24" s="3" t="s">
        <v>4453</v>
      </c>
      <c r="B24" s="2" t="s">
        <v>4454</v>
      </c>
      <c r="C24" s="3" t="s">
        <v>4455</v>
      </c>
      <c r="D24" s="3" t="s">
        <v>4456</v>
      </c>
      <c r="E24" s="3" t="s">
        <v>4374</v>
      </c>
      <c r="F24" s="2" t="s">
        <v>4457</v>
      </c>
      <c r="G24" s="2" t="s">
        <v>4376</v>
      </c>
    </row>
    <row r="25" customFormat="false" ht="48.5" hidden="false" customHeight="false" outlineLevel="0" collapsed="false">
      <c r="A25" s="3" t="s">
        <v>4458</v>
      </c>
      <c r="B25" s="2" t="s">
        <v>4371</v>
      </c>
      <c r="C25" s="2" t="s">
        <v>4459</v>
      </c>
      <c r="D25" s="3" t="s">
        <v>4460</v>
      </c>
      <c r="E25" s="3" t="s">
        <v>4374</v>
      </c>
      <c r="F25" s="3" t="s">
        <v>4461</v>
      </c>
      <c r="G25" s="2" t="s">
        <v>4376</v>
      </c>
    </row>
    <row r="26" customFormat="false" ht="79.85" hidden="false" customHeight="false" outlineLevel="0" collapsed="false">
      <c r="A26" s="43" t="s">
        <v>4462</v>
      </c>
      <c r="B26" s="44" t="s">
        <v>4371</v>
      </c>
      <c r="C26" s="44" t="s">
        <v>4463</v>
      </c>
      <c r="D26" s="44" t="s">
        <v>4464</v>
      </c>
      <c r="E26" s="43" t="s">
        <v>4374</v>
      </c>
      <c r="F26" s="43" t="s">
        <v>4465</v>
      </c>
      <c r="G26" s="44" t="s">
        <v>4385</v>
      </c>
    </row>
    <row r="27" customFormat="false" ht="79.85" hidden="false" customHeight="false" outlineLevel="0" collapsed="false">
      <c r="A27" s="3" t="s">
        <v>4466</v>
      </c>
      <c r="B27" s="2" t="s">
        <v>4371</v>
      </c>
      <c r="C27" s="3" t="s">
        <v>4467</v>
      </c>
      <c r="D27" s="2" t="s">
        <v>4468</v>
      </c>
      <c r="E27" s="3" t="s">
        <v>4374</v>
      </c>
      <c r="F27" s="3" t="s">
        <v>4469</v>
      </c>
      <c r="G27" s="2" t="s">
        <v>4376</v>
      </c>
    </row>
    <row r="28" customFormat="false" ht="32.8" hidden="false" customHeight="false" outlineLevel="0" collapsed="false">
      <c r="A28" s="43" t="s">
        <v>4470</v>
      </c>
      <c r="B28" s="44" t="s">
        <v>4371</v>
      </c>
      <c r="C28" s="43" t="s">
        <v>4471</v>
      </c>
      <c r="D28" s="43" t="s">
        <v>4472</v>
      </c>
      <c r="E28" s="43" t="s">
        <v>4374</v>
      </c>
      <c r="F28" s="43" t="s">
        <v>4473</v>
      </c>
      <c r="G28" s="44" t="s">
        <v>4385</v>
      </c>
    </row>
    <row r="29" customFormat="false" ht="64.15" hidden="false" customHeight="false" outlineLevel="0" collapsed="false">
      <c r="A29" s="43" t="s">
        <v>4474</v>
      </c>
      <c r="B29" s="44" t="s">
        <v>4371</v>
      </c>
      <c r="C29" s="43" t="s">
        <v>4475</v>
      </c>
      <c r="D29" s="44" t="s">
        <v>4476</v>
      </c>
      <c r="E29" s="43" t="s">
        <v>4374</v>
      </c>
      <c r="F29" s="43" t="s">
        <v>4477</v>
      </c>
      <c r="G29" s="44" t="s">
        <v>4385</v>
      </c>
    </row>
    <row r="30" customFormat="false" ht="32.8" hidden="false" customHeight="false" outlineLevel="0" collapsed="false">
      <c r="A30" s="43" t="s">
        <v>4478</v>
      </c>
      <c r="B30" s="44" t="s">
        <v>4371</v>
      </c>
      <c r="C30" s="43" t="s">
        <v>4479</v>
      </c>
      <c r="D30" s="43" t="s">
        <v>4480</v>
      </c>
      <c r="E30" s="43" t="s">
        <v>4374</v>
      </c>
      <c r="F30" s="44" t="s">
        <v>4481</v>
      </c>
      <c r="G30" s="44" t="s">
        <v>4385</v>
      </c>
    </row>
    <row r="31" customFormat="false" ht="48.5" hidden="false" customHeight="false" outlineLevel="0" collapsed="false">
      <c r="A31" s="43" t="s">
        <v>4482</v>
      </c>
      <c r="B31" s="44" t="s">
        <v>4441</v>
      </c>
      <c r="C31" s="44" t="s">
        <v>4483</v>
      </c>
      <c r="D31" s="44" t="s">
        <v>4484</v>
      </c>
      <c r="E31" s="43" t="s">
        <v>4374</v>
      </c>
      <c r="F31" s="43" t="s">
        <v>4485</v>
      </c>
      <c r="G31" s="44" t="s">
        <v>4385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4486</v>
      </c>
    </row>
    <row r="2" customFormat="false" ht="17.15" hidden="false" customHeight="false" outlineLevel="0" collapsed="false">
      <c r="A2" s="5" t="s">
        <v>4487</v>
      </c>
    </row>
    <row r="3" customFormat="false" ht="17.15" hidden="false" customHeight="false" outlineLevel="0" collapsed="false">
      <c r="A3" s="7" t="s">
        <v>1730</v>
      </c>
      <c r="B3" s="6" t="s">
        <v>4488</v>
      </c>
      <c r="C3" s="6" t="s">
        <v>4489</v>
      </c>
      <c r="D3" s="6" t="s">
        <v>1729</v>
      </c>
      <c r="E3" s="6" t="s">
        <v>17</v>
      </c>
      <c r="F3" s="7" t="s">
        <v>4490</v>
      </c>
      <c r="G3" s="6" t="s">
        <v>4491</v>
      </c>
      <c r="H3" s="7" t="s">
        <v>4492</v>
      </c>
      <c r="I3" s="7" t="s">
        <v>4493</v>
      </c>
      <c r="J3" s="6" t="s">
        <v>4494</v>
      </c>
      <c r="K3" s="6" t="s">
        <v>1895</v>
      </c>
      <c r="L3" s="6" t="s">
        <v>1893</v>
      </c>
    </row>
    <row r="4" customFormat="false" ht="17.15" hidden="false" customHeight="false" outlineLevel="0" collapsed="false">
      <c r="A4" s="12" t="s">
        <v>4495</v>
      </c>
      <c r="B4" s="12" t="s">
        <v>1715</v>
      </c>
      <c r="C4" s="12" t="s">
        <v>4496</v>
      </c>
      <c r="D4" s="12" t="s">
        <v>4497</v>
      </c>
      <c r="E4" s="12" t="s">
        <v>4498</v>
      </c>
      <c r="F4" s="12" t="s">
        <v>2638</v>
      </c>
      <c r="G4" s="12" t="s">
        <v>1953</v>
      </c>
      <c r="H4" s="13" t="s">
        <v>1929</v>
      </c>
      <c r="I4" s="12"/>
      <c r="J4" s="12"/>
      <c r="K4" s="12" t="s">
        <v>36</v>
      </c>
      <c r="L4" s="12" t="s">
        <v>4499</v>
      </c>
    </row>
    <row r="5" customFormat="false" ht="17.15" hidden="false" customHeight="false" outlineLevel="0" collapsed="false">
      <c r="A5" s="0" t="s">
        <v>4500</v>
      </c>
      <c r="B5" s="0" t="s">
        <v>1715</v>
      </c>
      <c r="C5" s="0" t="s">
        <v>4501</v>
      </c>
      <c r="D5" s="0" t="s">
        <v>4502</v>
      </c>
      <c r="E5" s="0" t="s">
        <v>4498</v>
      </c>
      <c r="F5" s="0" t="s">
        <v>4503</v>
      </c>
      <c r="G5" s="0" t="s">
        <v>1953</v>
      </c>
      <c r="H5" s="5" t="s">
        <v>1736</v>
      </c>
      <c r="K5" s="0" t="s">
        <v>36</v>
      </c>
      <c r="L5" s="0" t="s">
        <v>4504</v>
      </c>
    </row>
    <row r="6" customFormat="false" ht="17.15" hidden="false" customHeight="false" outlineLevel="0" collapsed="false">
      <c r="A6" s="0" t="s">
        <v>4505</v>
      </c>
      <c r="B6" s="0" t="s">
        <v>1715</v>
      </c>
      <c r="C6" s="0" t="s">
        <v>4506</v>
      </c>
      <c r="D6" s="0" t="s">
        <v>4502</v>
      </c>
      <c r="E6" s="0" t="s">
        <v>4498</v>
      </c>
      <c r="F6" s="0" t="s">
        <v>4507</v>
      </c>
      <c r="G6" s="0" t="s">
        <v>1953</v>
      </c>
      <c r="H6" s="5" t="s">
        <v>1736</v>
      </c>
      <c r="K6" s="0" t="s">
        <v>36</v>
      </c>
      <c r="L6" s="0" t="s">
        <v>4508</v>
      </c>
    </row>
    <row r="7" customFormat="false" ht="17.15" hidden="false" customHeight="false" outlineLevel="0" collapsed="false">
      <c r="A7" s="0" t="s">
        <v>4509</v>
      </c>
      <c r="B7" s="0" t="s">
        <v>1715</v>
      </c>
      <c r="C7" s="0" t="s">
        <v>4510</v>
      </c>
      <c r="D7" s="0" t="s">
        <v>4502</v>
      </c>
      <c r="E7" s="0" t="s">
        <v>4498</v>
      </c>
      <c r="F7" s="0" t="s">
        <v>4511</v>
      </c>
      <c r="G7" s="0" t="s">
        <v>1953</v>
      </c>
      <c r="H7" s="5" t="s">
        <v>1736</v>
      </c>
      <c r="K7" s="0" t="s">
        <v>36</v>
      </c>
      <c r="L7" s="0" t="s">
        <v>4512</v>
      </c>
    </row>
    <row r="8" customFormat="false" ht="17.15" hidden="false" customHeight="false" outlineLevel="0" collapsed="false">
      <c r="A8" s="0" t="s">
        <v>4513</v>
      </c>
      <c r="B8" s="0" t="s">
        <v>1715</v>
      </c>
      <c r="C8" s="0" t="s">
        <v>4514</v>
      </c>
      <c r="D8" s="0" t="s">
        <v>4515</v>
      </c>
      <c r="E8" s="0" t="s">
        <v>4498</v>
      </c>
      <c r="F8" s="0" t="s">
        <v>4516</v>
      </c>
      <c r="G8" s="0" t="s">
        <v>1953</v>
      </c>
      <c r="H8" s="5" t="s">
        <v>1736</v>
      </c>
      <c r="K8" s="0" t="s">
        <v>36</v>
      </c>
      <c r="L8" s="0" t="s">
        <v>4517</v>
      </c>
    </row>
    <row r="9" customFormat="false" ht="17.15" hidden="false" customHeight="false" outlineLevel="0" collapsed="false">
      <c r="A9" s="0" t="s">
        <v>4518</v>
      </c>
      <c r="B9" s="0" t="s">
        <v>1715</v>
      </c>
      <c r="C9" s="0" t="s">
        <v>4519</v>
      </c>
      <c r="D9" s="0" t="s">
        <v>4520</v>
      </c>
      <c r="E9" s="0" t="s">
        <v>4498</v>
      </c>
      <c r="F9" s="0" t="s">
        <v>2415</v>
      </c>
      <c r="G9" s="0" t="s">
        <v>1953</v>
      </c>
      <c r="H9" s="5" t="s">
        <v>1736</v>
      </c>
      <c r="I9" s="0" t="s">
        <v>4521</v>
      </c>
      <c r="J9" s="0" t="s">
        <v>210</v>
      </c>
      <c r="K9" s="5" t="s">
        <v>1895</v>
      </c>
      <c r="L9" s="0" t="s">
        <v>4522</v>
      </c>
    </row>
    <row r="10" customFormat="false" ht="17.15" hidden="false" customHeight="false" outlineLevel="0" collapsed="false">
      <c r="A10" s="0" t="s">
        <v>4523</v>
      </c>
      <c r="B10" s="0" t="s">
        <v>1715</v>
      </c>
      <c r="C10" s="0" t="s">
        <v>4524</v>
      </c>
      <c r="D10" s="0" t="s">
        <v>4525</v>
      </c>
      <c r="E10" s="0" t="s">
        <v>4498</v>
      </c>
      <c r="F10" s="0" t="s">
        <v>2415</v>
      </c>
      <c r="G10" s="0" t="s">
        <v>1953</v>
      </c>
      <c r="H10" s="5" t="s">
        <v>1736</v>
      </c>
      <c r="J10" s="0" t="s">
        <v>210</v>
      </c>
      <c r="K10" s="5" t="s">
        <v>1895</v>
      </c>
      <c r="L10" s="0" t="s">
        <v>4522</v>
      </c>
    </row>
    <row r="11" customFormat="false" ht="17.15" hidden="false" customHeight="false" outlineLevel="0" collapsed="false">
      <c r="A11" s="0" t="s">
        <v>4526</v>
      </c>
      <c r="B11" s="0" t="s">
        <v>1715</v>
      </c>
      <c r="C11" s="0" t="s">
        <v>4527</v>
      </c>
      <c r="D11" s="0" t="s">
        <v>4528</v>
      </c>
      <c r="E11" s="0" t="s">
        <v>4498</v>
      </c>
      <c r="F11" s="0" t="s">
        <v>4529</v>
      </c>
      <c r="G11" s="0" t="s">
        <v>1953</v>
      </c>
      <c r="H11" s="5" t="s">
        <v>1902</v>
      </c>
      <c r="K11" s="0" t="s">
        <v>36</v>
      </c>
      <c r="L11" s="0" t="s">
        <v>4530</v>
      </c>
    </row>
    <row r="12" customFormat="false" ht="17.15" hidden="false" customHeight="false" outlineLevel="0" collapsed="false">
      <c r="A12" s="0" t="s">
        <v>4531</v>
      </c>
      <c r="B12" s="0" t="s">
        <v>1715</v>
      </c>
      <c r="C12" s="0" t="s">
        <v>4532</v>
      </c>
      <c r="D12" s="0" t="s">
        <v>4533</v>
      </c>
      <c r="E12" s="0" t="s">
        <v>4498</v>
      </c>
      <c r="F12" s="0" t="s">
        <v>4534</v>
      </c>
      <c r="G12" s="0" t="s">
        <v>4535</v>
      </c>
      <c r="H12" s="5" t="s">
        <v>1736</v>
      </c>
      <c r="J12" s="0" t="s">
        <v>325</v>
      </c>
      <c r="K12" s="5" t="s">
        <v>1895</v>
      </c>
      <c r="L12" s="0" t="s">
        <v>4536</v>
      </c>
    </row>
    <row r="13" customFormat="false" ht="17.15" hidden="false" customHeight="false" outlineLevel="0" collapsed="false">
      <c r="A13" s="0" t="s">
        <v>4537</v>
      </c>
      <c r="B13" s="0" t="s">
        <v>1715</v>
      </c>
      <c r="C13" s="0" t="s">
        <v>4538</v>
      </c>
      <c r="D13" s="0" t="s">
        <v>4539</v>
      </c>
      <c r="E13" s="0" t="s">
        <v>4498</v>
      </c>
      <c r="F13" s="0" t="s">
        <v>4540</v>
      </c>
      <c r="G13" s="0" t="s">
        <v>4535</v>
      </c>
      <c r="H13" s="5" t="s">
        <v>1736</v>
      </c>
      <c r="J13" s="0" t="s">
        <v>325</v>
      </c>
      <c r="K13" s="5" t="s">
        <v>1895</v>
      </c>
      <c r="L13" s="0" t="s">
        <v>4536</v>
      </c>
    </row>
    <row r="14" customFormat="false" ht="17.15" hidden="false" customHeight="false" outlineLevel="0" collapsed="false">
      <c r="A14" s="0" t="s">
        <v>4541</v>
      </c>
      <c r="B14" s="0" t="s">
        <v>1715</v>
      </c>
      <c r="C14" s="0" t="s">
        <v>4542</v>
      </c>
      <c r="D14" s="0" t="s">
        <v>4543</v>
      </c>
      <c r="E14" s="0" t="s">
        <v>4498</v>
      </c>
      <c r="F14" s="0" t="s">
        <v>2513</v>
      </c>
      <c r="G14" s="0" t="s">
        <v>4535</v>
      </c>
      <c r="H14" s="5" t="s">
        <v>1736</v>
      </c>
      <c r="K14" s="0" t="s">
        <v>36</v>
      </c>
      <c r="L14" s="0" t="s">
        <v>4536</v>
      </c>
    </row>
    <row r="15" customFormat="false" ht="17.15" hidden="false" customHeight="false" outlineLevel="0" collapsed="false">
      <c r="A15" s="0" t="s">
        <v>4544</v>
      </c>
      <c r="B15" s="0" t="s">
        <v>1715</v>
      </c>
      <c r="C15" s="0" t="s">
        <v>4545</v>
      </c>
      <c r="D15" s="0" t="s">
        <v>4546</v>
      </c>
      <c r="E15" s="0" t="s">
        <v>112</v>
      </c>
      <c r="F15" s="0" t="s">
        <v>120</v>
      </c>
      <c r="G15" s="0" t="s">
        <v>1909</v>
      </c>
      <c r="H15" s="5" t="s">
        <v>1902</v>
      </c>
      <c r="J15" s="0" t="s">
        <v>110</v>
      </c>
      <c r="K15" s="5" t="s">
        <v>4547</v>
      </c>
      <c r="L15" s="0" t="s">
        <v>4548</v>
      </c>
    </row>
    <row r="16" customFormat="false" ht="17.15" hidden="false" customHeight="false" outlineLevel="0" collapsed="false">
      <c r="A16" s="0" t="s">
        <v>4549</v>
      </c>
      <c r="B16" s="0" t="s">
        <v>1715</v>
      </c>
      <c r="C16" s="0" t="s">
        <v>4550</v>
      </c>
      <c r="D16" s="0" t="s">
        <v>4551</v>
      </c>
      <c r="E16" s="0" t="s">
        <v>112</v>
      </c>
      <c r="F16" s="0" t="s">
        <v>120</v>
      </c>
      <c r="G16" s="0" t="s">
        <v>1909</v>
      </c>
      <c r="H16" s="5" t="s">
        <v>1902</v>
      </c>
      <c r="K16" s="0" t="s">
        <v>36</v>
      </c>
      <c r="L16" s="0" t="s">
        <v>4548</v>
      </c>
    </row>
    <row r="17" customFormat="false" ht="17.15" hidden="false" customHeight="false" outlineLevel="0" collapsed="false">
      <c r="A17" s="0" t="s">
        <v>4552</v>
      </c>
      <c r="B17" s="0" t="s">
        <v>1715</v>
      </c>
      <c r="C17" s="0" t="s">
        <v>4553</v>
      </c>
      <c r="D17" s="0" t="s">
        <v>4554</v>
      </c>
      <c r="E17" s="0" t="s">
        <v>112</v>
      </c>
      <c r="F17" s="0" t="s">
        <v>4555</v>
      </c>
      <c r="G17" s="0" t="s">
        <v>4535</v>
      </c>
      <c r="H17" s="5" t="s">
        <v>1736</v>
      </c>
      <c r="J17" s="0" t="s">
        <v>561</v>
      </c>
      <c r="K17" s="5" t="s">
        <v>1895</v>
      </c>
      <c r="L17" s="0" t="s">
        <v>4556</v>
      </c>
    </row>
    <row r="18" customFormat="false" ht="17.15" hidden="false" customHeight="false" outlineLevel="0" collapsed="false">
      <c r="A18" s="0" t="s">
        <v>4557</v>
      </c>
      <c r="B18" s="0" t="s">
        <v>1715</v>
      </c>
      <c r="C18" s="0" t="s">
        <v>4558</v>
      </c>
      <c r="D18" s="0" t="s">
        <v>4559</v>
      </c>
      <c r="E18" s="0" t="s">
        <v>112</v>
      </c>
      <c r="F18" s="0" t="s">
        <v>4560</v>
      </c>
      <c r="G18" s="0" t="s">
        <v>4535</v>
      </c>
      <c r="H18" s="5" t="s">
        <v>1756</v>
      </c>
      <c r="I18" s="0" t="s">
        <v>4561</v>
      </c>
      <c r="J18" s="0" t="s">
        <v>564</v>
      </c>
      <c r="K18" s="5" t="s">
        <v>1895</v>
      </c>
      <c r="L18" s="0" t="s">
        <v>4562</v>
      </c>
    </row>
    <row r="19" customFormat="false" ht="17.15" hidden="false" customHeight="false" outlineLevel="0" collapsed="false">
      <c r="A19" s="0" t="s">
        <v>4563</v>
      </c>
      <c r="B19" s="0" t="s">
        <v>1715</v>
      </c>
      <c r="C19" s="0" t="s">
        <v>4564</v>
      </c>
      <c r="D19" s="0" t="s">
        <v>4565</v>
      </c>
      <c r="E19" s="0" t="s">
        <v>112</v>
      </c>
      <c r="F19" s="0" t="s">
        <v>4560</v>
      </c>
      <c r="G19" s="0" t="s">
        <v>4535</v>
      </c>
      <c r="H19" s="5" t="s">
        <v>1736</v>
      </c>
      <c r="J19" s="0" t="s">
        <v>567</v>
      </c>
      <c r="K19" s="5" t="s">
        <v>1895</v>
      </c>
      <c r="L19" s="0" t="s">
        <v>4562</v>
      </c>
    </row>
    <row r="20" customFormat="false" ht="17.15" hidden="false" customHeight="false" outlineLevel="0" collapsed="false">
      <c r="A20" s="0" t="s">
        <v>4566</v>
      </c>
      <c r="B20" s="0" t="s">
        <v>1715</v>
      </c>
      <c r="C20" s="0" t="s">
        <v>4567</v>
      </c>
      <c r="D20" s="0" t="s">
        <v>4568</v>
      </c>
      <c r="E20" s="0" t="s">
        <v>4498</v>
      </c>
      <c r="F20" s="0" t="s">
        <v>4569</v>
      </c>
      <c r="G20" s="0" t="s">
        <v>1953</v>
      </c>
      <c r="H20" s="5" t="s">
        <v>1736</v>
      </c>
      <c r="I20" s="0" t="s">
        <v>4570</v>
      </c>
      <c r="J20" s="0" t="s">
        <v>570</v>
      </c>
      <c r="K20" s="5" t="s">
        <v>1895</v>
      </c>
      <c r="L20" s="0" t="s">
        <v>4571</v>
      </c>
    </row>
    <row r="21" customFormat="false" ht="17.15" hidden="false" customHeight="false" outlineLevel="0" collapsed="false">
      <c r="A21" s="0" t="s">
        <v>4572</v>
      </c>
      <c r="B21" s="0" t="s">
        <v>1715</v>
      </c>
      <c r="C21" s="0" t="s">
        <v>4573</v>
      </c>
      <c r="D21" s="0" t="s">
        <v>4574</v>
      </c>
      <c r="E21" s="0" t="s">
        <v>4498</v>
      </c>
      <c r="F21" s="0" t="s">
        <v>2411</v>
      </c>
      <c r="G21" s="0" t="s">
        <v>1953</v>
      </c>
      <c r="H21" s="5" t="s">
        <v>1756</v>
      </c>
      <c r="I21" s="0" t="s">
        <v>4575</v>
      </c>
      <c r="J21" s="0" t="s">
        <v>201</v>
      </c>
      <c r="K21" s="5" t="s">
        <v>1895</v>
      </c>
      <c r="L21" s="0" t="s">
        <v>4576</v>
      </c>
    </row>
    <row r="22" customFormat="false" ht="17.15" hidden="false" customHeight="false" outlineLevel="0" collapsed="false">
      <c r="A22" s="0" t="s">
        <v>4577</v>
      </c>
      <c r="B22" s="0" t="s">
        <v>1715</v>
      </c>
      <c r="C22" s="0" t="s">
        <v>4578</v>
      </c>
      <c r="D22" s="0" t="s">
        <v>4579</v>
      </c>
      <c r="E22" s="0" t="s">
        <v>4498</v>
      </c>
      <c r="F22" s="0" t="s">
        <v>1974</v>
      </c>
      <c r="G22" s="0" t="s">
        <v>1899</v>
      </c>
      <c r="H22" s="5" t="s">
        <v>1902</v>
      </c>
      <c r="K22" s="0" t="s">
        <v>36</v>
      </c>
      <c r="L22" s="0" t="s">
        <v>4580</v>
      </c>
    </row>
    <row r="23" customFormat="false" ht="17.15" hidden="false" customHeight="false" outlineLevel="0" collapsed="false">
      <c r="A23" s="0" t="s">
        <v>4581</v>
      </c>
      <c r="B23" s="0" t="s">
        <v>1715</v>
      </c>
      <c r="C23" s="0" t="s">
        <v>4582</v>
      </c>
      <c r="D23" s="0" t="s">
        <v>4583</v>
      </c>
      <c r="F23" s="0" t="s">
        <v>4516</v>
      </c>
      <c r="G23" s="0" t="s">
        <v>1953</v>
      </c>
      <c r="H23" s="5" t="s">
        <v>1756</v>
      </c>
      <c r="I23" s="5" t="s">
        <v>4584</v>
      </c>
      <c r="K23" s="0" t="s">
        <v>36</v>
      </c>
      <c r="L23" s="0" t="s">
        <v>4585</v>
      </c>
    </row>
    <row r="24" customFormat="false" ht="17.15" hidden="false" customHeight="false" outlineLevel="0" collapsed="false">
      <c r="A24" s="0" t="s">
        <v>4586</v>
      </c>
      <c r="B24" s="0" t="s">
        <v>1715</v>
      </c>
      <c r="C24" s="0" t="s">
        <v>4587</v>
      </c>
      <c r="F24" s="0" t="s">
        <v>4374</v>
      </c>
      <c r="G24" s="0" t="s">
        <v>4588</v>
      </c>
      <c r="H24" s="5" t="s">
        <v>1902</v>
      </c>
      <c r="K24" s="0" t="s">
        <v>36</v>
      </c>
      <c r="L24" s="0" t="s">
        <v>4589</v>
      </c>
    </row>
    <row r="25" customFormat="false" ht="17.15" hidden="false" customHeight="false" outlineLevel="0" collapsed="false">
      <c r="A25" s="0" t="s">
        <v>4590</v>
      </c>
      <c r="B25" s="0" t="s">
        <v>4591</v>
      </c>
      <c r="C25" s="0" t="s">
        <v>4592</v>
      </c>
      <c r="D25" s="0" t="s">
        <v>4593</v>
      </c>
      <c r="E25" s="0" t="s">
        <v>4498</v>
      </c>
      <c r="F25" s="0" t="s">
        <v>4534</v>
      </c>
      <c r="G25" s="0" t="s">
        <v>4535</v>
      </c>
      <c r="H25" s="5" t="s">
        <v>1736</v>
      </c>
      <c r="J25" s="0" t="s">
        <v>328</v>
      </c>
      <c r="K25" s="5" t="s">
        <v>1895</v>
      </c>
      <c r="L25" s="0" t="s">
        <v>4536</v>
      </c>
    </row>
    <row r="26" customFormat="false" ht="17.15" hidden="false" customHeight="false" outlineLevel="0" collapsed="false">
      <c r="A26" s="0" t="s">
        <v>4594</v>
      </c>
      <c r="B26" s="0" t="s">
        <v>4591</v>
      </c>
      <c r="C26" s="0" t="s">
        <v>4595</v>
      </c>
      <c r="D26" s="0" t="s">
        <v>4596</v>
      </c>
      <c r="E26" s="0" t="s">
        <v>4498</v>
      </c>
      <c r="F26" s="0" t="s">
        <v>4540</v>
      </c>
      <c r="G26" s="0" t="s">
        <v>4535</v>
      </c>
      <c r="H26" s="5" t="s">
        <v>1736</v>
      </c>
      <c r="J26" s="0" t="s">
        <v>328</v>
      </c>
      <c r="K26" s="5" t="s">
        <v>1895</v>
      </c>
      <c r="L26" s="0" t="s">
        <v>4536</v>
      </c>
    </row>
    <row r="27" customFormat="false" ht="17.15" hidden="false" customHeight="false" outlineLevel="0" collapsed="false">
      <c r="A27" s="0" t="s">
        <v>4597</v>
      </c>
      <c r="B27" s="0" t="s">
        <v>4591</v>
      </c>
      <c r="C27" s="0" t="s">
        <v>4598</v>
      </c>
      <c r="D27" s="0" t="s">
        <v>4599</v>
      </c>
      <c r="E27" s="0" t="s">
        <v>112</v>
      </c>
      <c r="F27" s="0" t="s">
        <v>2277</v>
      </c>
      <c r="G27" s="0" t="s">
        <v>1909</v>
      </c>
      <c r="H27" s="5" t="s">
        <v>1736</v>
      </c>
      <c r="K27" s="0" t="s">
        <v>36</v>
      </c>
      <c r="L27" s="0" t="s">
        <v>4600</v>
      </c>
    </row>
    <row r="28" customFormat="false" ht="17.15" hidden="false" customHeight="false" outlineLevel="0" collapsed="false">
      <c r="A28" s="0" t="s">
        <v>4601</v>
      </c>
      <c r="B28" s="0" t="s">
        <v>4591</v>
      </c>
      <c r="C28" s="0" t="s">
        <v>4602</v>
      </c>
      <c r="D28" s="0" t="s">
        <v>4603</v>
      </c>
      <c r="E28" s="0" t="s">
        <v>112</v>
      </c>
      <c r="F28" s="0" t="s">
        <v>120</v>
      </c>
      <c r="G28" s="0" t="s">
        <v>1909</v>
      </c>
      <c r="H28" s="5" t="s">
        <v>1902</v>
      </c>
      <c r="K28" s="0" t="s">
        <v>36</v>
      </c>
      <c r="L28" s="0" t="s">
        <v>4600</v>
      </c>
    </row>
    <row r="29" customFormat="false" ht="17.15" hidden="false" customHeight="false" outlineLevel="0" collapsed="false">
      <c r="A29" s="12" t="s">
        <v>4604</v>
      </c>
      <c r="B29" s="12" t="s">
        <v>4591</v>
      </c>
      <c r="C29" s="12" t="s">
        <v>4605</v>
      </c>
      <c r="D29" s="12" t="s">
        <v>4606</v>
      </c>
      <c r="E29" s="12" t="s">
        <v>4607</v>
      </c>
      <c r="F29" s="12" t="s">
        <v>24</v>
      </c>
      <c r="G29" s="12" t="s">
        <v>1909</v>
      </c>
      <c r="H29" s="13" t="s">
        <v>1929</v>
      </c>
      <c r="I29" s="12"/>
      <c r="J29" s="12"/>
      <c r="K29" s="12" t="s">
        <v>36</v>
      </c>
      <c r="L29" s="12" t="s">
        <v>4608</v>
      </c>
    </row>
    <row r="30" customFormat="false" ht="17.15" hidden="false" customHeight="false" outlineLevel="0" collapsed="false">
      <c r="A30" s="0" t="s">
        <v>4609</v>
      </c>
      <c r="B30" s="0" t="s">
        <v>4591</v>
      </c>
      <c r="C30" s="0" t="s">
        <v>4610</v>
      </c>
      <c r="D30" s="0" t="s">
        <v>4611</v>
      </c>
      <c r="E30" s="0" t="s">
        <v>112</v>
      </c>
      <c r="F30" s="0" t="s">
        <v>4612</v>
      </c>
      <c r="G30" s="0" t="s">
        <v>4535</v>
      </c>
      <c r="H30" s="5" t="s">
        <v>1902</v>
      </c>
      <c r="K30" s="0" t="s">
        <v>36</v>
      </c>
      <c r="L30" s="0" t="s">
        <v>4613</v>
      </c>
    </row>
    <row r="31" customFormat="false" ht="17.15" hidden="false" customHeight="false" outlineLevel="0" collapsed="false">
      <c r="A31" s="0" t="s">
        <v>4614</v>
      </c>
      <c r="B31" s="0" t="s">
        <v>4591</v>
      </c>
      <c r="C31" s="0" t="s">
        <v>4615</v>
      </c>
      <c r="D31" s="0" t="s">
        <v>4616</v>
      </c>
      <c r="E31" s="0" t="s">
        <v>4498</v>
      </c>
      <c r="F31" s="0" t="s">
        <v>4617</v>
      </c>
      <c r="G31" s="0" t="s">
        <v>1953</v>
      </c>
      <c r="H31" s="5" t="s">
        <v>1736</v>
      </c>
      <c r="I31" s="0" t="s">
        <v>4618</v>
      </c>
      <c r="J31" s="0" t="s">
        <v>4619</v>
      </c>
      <c r="K31" s="5" t="s">
        <v>1895</v>
      </c>
      <c r="L31" s="0" t="s">
        <v>4620</v>
      </c>
    </row>
    <row r="32" customFormat="false" ht="17.15" hidden="false" customHeight="false" outlineLevel="0" collapsed="false">
      <c r="A32" s="12" t="s">
        <v>4621</v>
      </c>
      <c r="B32" s="12" t="s">
        <v>4591</v>
      </c>
      <c r="C32" s="12" t="s">
        <v>4622</v>
      </c>
      <c r="D32" s="12" t="s">
        <v>4623</v>
      </c>
      <c r="E32" s="12" t="s">
        <v>4498</v>
      </c>
      <c r="F32" s="12" t="s">
        <v>4624</v>
      </c>
      <c r="G32" s="12" t="s">
        <v>4625</v>
      </c>
      <c r="H32" s="13" t="s">
        <v>1929</v>
      </c>
      <c r="I32" s="13" t="s">
        <v>4626</v>
      </c>
      <c r="J32" s="12" t="s">
        <v>513</v>
      </c>
      <c r="K32" s="13" t="s">
        <v>4547</v>
      </c>
      <c r="L32" s="12" t="s">
        <v>4627</v>
      </c>
    </row>
    <row r="33" customFormat="false" ht="17.15" hidden="false" customHeight="false" outlineLevel="0" collapsed="false">
      <c r="A33" s="0" t="s">
        <v>4628</v>
      </c>
      <c r="B33" s="0" t="s">
        <v>4591</v>
      </c>
      <c r="C33" s="0" t="s">
        <v>4629</v>
      </c>
      <c r="D33" s="0" t="s">
        <v>4630</v>
      </c>
      <c r="E33" s="0" t="s">
        <v>4498</v>
      </c>
      <c r="F33" s="0" t="s">
        <v>2558</v>
      </c>
      <c r="G33" s="0" t="s">
        <v>1953</v>
      </c>
      <c r="H33" s="5" t="s">
        <v>1902</v>
      </c>
      <c r="J33" s="0" t="s">
        <v>665</v>
      </c>
      <c r="K33" s="5" t="s">
        <v>4631</v>
      </c>
      <c r="L33" s="0" t="s">
        <v>4632</v>
      </c>
    </row>
    <row r="34" customFormat="false" ht="17.15" hidden="false" customHeight="false" outlineLevel="0" collapsed="false">
      <c r="A34" s="0" t="s">
        <v>4633</v>
      </c>
      <c r="B34" s="0" t="s">
        <v>4591</v>
      </c>
      <c r="C34" s="0" t="s">
        <v>4634</v>
      </c>
      <c r="D34" s="0" t="s">
        <v>4635</v>
      </c>
      <c r="E34" s="0" t="s">
        <v>4498</v>
      </c>
      <c r="F34" s="0" t="s">
        <v>120</v>
      </c>
      <c r="G34" s="0" t="s">
        <v>1899</v>
      </c>
      <c r="H34" s="5" t="s">
        <v>1902</v>
      </c>
      <c r="K34" s="0" t="s">
        <v>36</v>
      </c>
      <c r="L34" s="0" t="s">
        <v>2014</v>
      </c>
    </row>
    <row r="35" customFormat="false" ht="17.15" hidden="false" customHeight="false" outlineLevel="0" collapsed="false">
      <c r="A35" s="12" t="s">
        <v>4636</v>
      </c>
      <c r="B35" s="12" t="s">
        <v>4591</v>
      </c>
      <c r="C35" s="12" t="s">
        <v>4637</v>
      </c>
      <c r="D35" s="12" t="s">
        <v>4638</v>
      </c>
      <c r="E35" s="12" t="s">
        <v>112</v>
      </c>
      <c r="F35" s="12" t="s">
        <v>4639</v>
      </c>
      <c r="G35" s="12" t="s">
        <v>1909</v>
      </c>
      <c r="H35" s="13" t="s">
        <v>4640</v>
      </c>
      <c r="I35" s="13" t="s">
        <v>4641</v>
      </c>
      <c r="J35" s="12" t="s">
        <v>533</v>
      </c>
      <c r="K35" s="13" t="s">
        <v>4547</v>
      </c>
      <c r="L35" s="12" t="s">
        <v>4642</v>
      </c>
    </row>
    <row r="36" customFormat="false" ht="17.15" hidden="false" customHeight="false" outlineLevel="0" collapsed="false">
      <c r="A36" s="0" t="s">
        <v>4643</v>
      </c>
      <c r="B36" s="0" t="s">
        <v>4591</v>
      </c>
      <c r="C36" s="0" t="s">
        <v>4644</v>
      </c>
      <c r="D36" s="0" t="s">
        <v>4645</v>
      </c>
      <c r="F36" s="0" t="s">
        <v>4646</v>
      </c>
      <c r="G36" s="0" t="s">
        <v>1953</v>
      </c>
      <c r="H36" s="5" t="s">
        <v>1902</v>
      </c>
      <c r="K36" s="0" t="s">
        <v>36</v>
      </c>
      <c r="L36" s="0" t="s">
        <v>2042</v>
      </c>
    </row>
    <row r="37" customFormat="false" ht="17.15" hidden="false" customHeight="false" outlineLevel="0" collapsed="false">
      <c r="A37" s="0" t="s">
        <v>4647</v>
      </c>
      <c r="B37" s="0" t="s">
        <v>4648</v>
      </c>
      <c r="C37" s="0" t="s">
        <v>4649</v>
      </c>
      <c r="D37" s="0" t="s">
        <v>4650</v>
      </c>
      <c r="E37" s="0" t="s">
        <v>4498</v>
      </c>
      <c r="F37" s="0" t="s">
        <v>4651</v>
      </c>
      <c r="G37" s="0" t="s">
        <v>1953</v>
      </c>
      <c r="H37" s="5" t="s">
        <v>1736</v>
      </c>
      <c r="K37" s="0" t="s">
        <v>36</v>
      </c>
      <c r="L37" s="0" t="s">
        <v>4652</v>
      </c>
    </row>
    <row r="38" customFormat="false" ht="17.15" hidden="false" customHeight="false" outlineLevel="0" collapsed="false">
      <c r="A38" s="12" t="s">
        <v>4653</v>
      </c>
      <c r="B38" s="12" t="s">
        <v>4648</v>
      </c>
      <c r="C38" s="12" t="s">
        <v>4654</v>
      </c>
      <c r="D38" s="12" t="s">
        <v>4655</v>
      </c>
      <c r="E38" s="12" t="s">
        <v>4498</v>
      </c>
      <c r="F38" s="12" t="s">
        <v>2277</v>
      </c>
      <c r="G38" s="12" t="s">
        <v>1953</v>
      </c>
      <c r="H38" s="13" t="s">
        <v>1929</v>
      </c>
      <c r="I38" s="12"/>
      <c r="J38" s="12"/>
      <c r="K38" s="12" t="s">
        <v>36</v>
      </c>
      <c r="L38" s="12" t="s">
        <v>4656</v>
      </c>
    </row>
    <row r="39" customFormat="false" ht="17.15" hidden="false" customHeight="false" outlineLevel="0" collapsed="false">
      <c r="A39" s="0" t="s">
        <v>4657</v>
      </c>
      <c r="B39" s="0" t="s">
        <v>4648</v>
      </c>
      <c r="C39" s="0" t="s">
        <v>4658</v>
      </c>
      <c r="D39" s="0" t="s">
        <v>4659</v>
      </c>
      <c r="E39" s="0" t="s">
        <v>4498</v>
      </c>
      <c r="F39" s="0" t="s">
        <v>4660</v>
      </c>
      <c r="G39" s="0" t="s">
        <v>1953</v>
      </c>
      <c r="H39" s="5" t="s">
        <v>1736</v>
      </c>
      <c r="I39" s="0" t="s">
        <v>4661</v>
      </c>
      <c r="K39" s="0" t="s">
        <v>36</v>
      </c>
      <c r="L39" s="0" t="s">
        <v>4662</v>
      </c>
    </row>
    <row r="40" customFormat="false" ht="17.15" hidden="false" customHeight="false" outlineLevel="0" collapsed="false">
      <c r="A40" s="0" t="s">
        <v>4663</v>
      </c>
      <c r="B40" s="0" t="s">
        <v>4648</v>
      </c>
      <c r="C40" s="0" t="s">
        <v>4664</v>
      </c>
      <c r="D40" s="0" t="s">
        <v>4665</v>
      </c>
      <c r="E40" s="0" t="s">
        <v>4498</v>
      </c>
      <c r="F40" s="0" t="s">
        <v>4534</v>
      </c>
      <c r="G40" s="0" t="s">
        <v>4535</v>
      </c>
      <c r="H40" s="5" t="s">
        <v>1736</v>
      </c>
      <c r="J40" s="0" t="s">
        <v>331</v>
      </c>
      <c r="K40" s="5" t="s">
        <v>1895</v>
      </c>
      <c r="L40" s="0" t="s">
        <v>4536</v>
      </c>
    </row>
    <row r="41" customFormat="false" ht="17.15" hidden="false" customHeight="false" outlineLevel="0" collapsed="false">
      <c r="A41" s="0" t="s">
        <v>4666</v>
      </c>
      <c r="B41" s="0" t="s">
        <v>4648</v>
      </c>
      <c r="C41" s="0" t="s">
        <v>4667</v>
      </c>
      <c r="D41" s="0" t="s">
        <v>4668</v>
      </c>
      <c r="E41" s="0" t="s">
        <v>4498</v>
      </c>
      <c r="F41" s="0" t="s">
        <v>4540</v>
      </c>
      <c r="G41" s="0" t="s">
        <v>4535</v>
      </c>
      <c r="H41" s="5" t="s">
        <v>1736</v>
      </c>
      <c r="J41" s="0" t="s">
        <v>331</v>
      </c>
      <c r="K41" s="5" t="s">
        <v>1895</v>
      </c>
      <c r="L41" s="0" t="s">
        <v>4536</v>
      </c>
    </row>
    <row r="42" customFormat="false" ht="17.15" hidden="false" customHeight="false" outlineLevel="0" collapsed="false">
      <c r="A42" s="0" t="s">
        <v>4669</v>
      </c>
      <c r="B42" s="0" t="s">
        <v>4648</v>
      </c>
      <c r="C42" s="0" t="s">
        <v>4670</v>
      </c>
      <c r="D42" s="0" t="s">
        <v>4671</v>
      </c>
      <c r="E42" s="0" t="s">
        <v>112</v>
      </c>
      <c r="F42" s="0" t="s">
        <v>120</v>
      </c>
      <c r="G42" s="0" t="s">
        <v>1909</v>
      </c>
      <c r="H42" s="5" t="s">
        <v>1902</v>
      </c>
      <c r="J42" s="0" t="s">
        <v>128</v>
      </c>
      <c r="K42" s="5" t="s">
        <v>4547</v>
      </c>
      <c r="L42" s="0" t="s">
        <v>4672</v>
      </c>
    </row>
    <row r="43" customFormat="false" ht="17.15" hidden="false" customHeight="false" outlineLevel="0" collapsed="false">
      <c r="A43" s="0" t="s">
        <v>4673</v>
      </c>
      <c r="B43" s="0" t="s">
        <v>4648</v>
      </c>
      <c r="C43" s="0" t="s">
        <v>4674</v>
      </c>
      <c r="D43" s="0" t="s">
        <v>4675</v>
      </c>
      <c r="E43" s="0" t="s">
        <v>112</v>
      </c>
      <c r="F43" s="0" t="s">
        <v>4676</v>
      </c>
      <c r="G43" s="0" t="s">
        <v>4535</v>
      </c>
      <c r="H43" s="5" t="s">
        <v>1736</v>
      </c>
      <c r="J43" s="0" t="s">
        <v>4677</v>
      </c>
      <c r="K43" s="5" t="s">
        <v>1895</v>
      </c>
      <c r="L43" s="0" t="s">
        <v>4678</v>
      </c>
    </row>
    <row r="44" customFormat="false" ht="17.15" hidden="false" customHeight="false" outlineLevel="0" collapsed="false">
      <c r="A44" s="0" t="s">
        <v>4679</v>
      </c>
      <c r="B44" s="0" t="s">
        <v>4648</v>
      </c>
      <c r="C44" s="0" t="s">
        <v>4680</v>
      </c>
      <c r="D44" s="0" t="s">
        <v>4681</v>
      </c>
      <c r="E44" s="0" t="s">
        <v>4498</v>
      </c>
      <c r="F44" s="0" t="s">
        <v>4682</v>
      </c>
      <c r="G44" s="0" t="s">
        <v>1953</v>
      </c>
      <c r="H44" s="5" t="s">
        <v>1736</v>
      </c>
      <c r="K44" s="0" t="s">
        <v>36</v>
      </c>
      <c r="L44" s="0" t="s">
        <v>4683</v>
      </c>
    </row>
    <row r="45" customFormat="false" ht="17.15" hidden="false" customHeight="false" outlineLevel="0" collapsed="false">
      <c r="A45" s="0" t="s">
        <v>4684</v>
      </c>
      <c r="B45" s="0" t="s">
        <v>4648</v>
      </c>
      <c r="C45" s="0" t="s">
        <v>4685</v>
      </c>
      <c r="D45" s="0" t="s">
        <v>4686</v>
      </c>
      <c r="E45" s="0" t="s">
        <v>112</v>
      </c>
      <c r="F45" s="0" t="s">
        <v>4687</v>
      </c>
      <c r="G45" s="0" t="s">
        <v>4535</v>
      </c>
      <c r="H45" s="5" t="s">
        <v>1902</v>
      </c>
      <c r="J45" s="0" t="s">
        <v>521</v>
      </c>
      <c r="K45" s="5" t="s">
        <v>4547</v>
      </c>
      <c r="L45" s="0" t="s">
        <v>4688</v>
      </c>
    </row>
    <row r="46" customFormat="false" ht="17.15" hidden="false" customHeight="false" outlineLevel="0" collapsed="false">
      <c r="A46" s="0" t="s">
        <v>4689</v>
      </c>
      <c r="B46" s="0" t="s">
        <v>4648</v>
      </c>
      <c r="C46" s="0" t="s">
        <v>4690</v>
      </c>
      <c r="D46" s="0" t="s">
        <v>4691</v>
      </c>
      <c r="E46" s="0" t="s">
        <v>112</v>
      </c>
      <c r="F46" s="0" t="s">
        <v>4692</v>
      </c>
      <c r="G46" s="0" t="s">
        <v>4535</v>
      </c>
      <c r="H46" s="5" t="s">
        <v>1902</v>
      </c>
      <c r="K46" s="0" t="s">
        <v>36</v>
      </c>
      <c r="L46" s="0" t="s">
        <v>4693</v>
      </c>
    </row>
    <row r="47" customFormat="false" ht="17.15" hidden="false" customHeight="false" outlineLevel="0" collapsed="false">
      <c r="A47" s="0" t="s">
        <v>4694</v>
      </c>
      <c r="B47" s="0" t="s">
        <v>4648</v>
      </c>
      <c r="C47" s="0" t="s">
        <v>4695</v>
      </c>
      <c r="D47" s="0" t="s">
        <v>4696</v>
      </c>
      <c r="E47" s="0" t="s">
        <v>4498</v>
      </c>
      <c r="F47" s="0" t="s">
        <v>4697</v>
      </c>
      <c r="G47" s="0" t="s">
        <v>1899</v>
      </c>
      <c r="H47" s="5" t="s">
        <v>1756</v>
      </c>
      <c r="I47" s="5" t="s">
        <v>4698</v>
      </c>
      <c r="J47" s="0" t="s">
        <v>198</v>
      </c>
      <c r="K47" s="5" t="s">
        <v>1895</v>
      </c>
      <c r="L47" s="0" t="s">
        <v>2111</v>
      </c>
    </row>
    <row r="48" customFormat="false" ht="17.15" hidden="false" customHeight="false" outlineLevel="0" collapsed="false">
      <c r="A48" s="0" t="s">
        <v>4699</v>
      </c>
      <c r="B48" s="0" t="s">
        <v>4648</v>
      </c>
      <c r="C48" s="0" t="s">
        <v>4700</v>
      </c>
      <c r="D48" s="0" t="s">
        <v>4701</v>
      </c>
      <c r="E48" s="0" t="s">
        <v>4498</v>
      </c>
      <c r="F48" s="0" t="s">
        <v>2169</v>
      </c>
      <c r="G48" s="0" t="s">
        <v>1953</v>
      </c>
      <c r="H48" s="5" t="s">
        <v>1736</v>
      </c>
      <c r="K48" s="0" t="s">
        <v>36</v>
      </c>
      <c r="L48" s="0" t="s">
        <v>4702</v>
      </c>
    </row>
    <row r="49" customFormat="false" ht="17.15" hidden="false" customHeight="false" outlineLevel="0" collapsed="false">
      <c r="A49" s="0" t="s">
        <v>4703</v>
      </c>
      <c r="B49" s="0" t="s">
        <v>4648</v>
      </c>
      <c r="C49" s="0" t="s">
        <v>4704</v>
      </c>
      <c r="D49" s="0" t="s">
        <v>4579</v>
      </c>
      <c r="E49" s="0" t="s">
        <v>4498</v>
      </c>
      <c r="F49" s="0" t="s">
        <v>4705</v>
      </c>
      <c r="G49" s="0" t="s">
        <v>1953</v>
      </c>
      <c r="H49" s="5" t="s">
        <v>1902</v>
      </c>
      <c r="K49" s="0" t="s">
        <v>36</v>
      </c>
      <c r="L49" s="0" t="s">
        <v>4706</v>
      </c>
    </row>
    <row r="50" customFormat="false" ht="17.15" hidden="false" customHeight="false" outlineLevel="0" collapsed="false">
      <c r="A50" s="0" t="s">
        <v>4707</v>
      </c>
      <c r="B50" s="0" t="s">
        <v>4648</v>
      </c>
      <c r="C50" s="0" t="s">
        <v>4708</v>
      </c>
      <c r="D50" s="0" t="s">
        <v>4709</v>
      </c>
      <c r="E50" s="0" t="s">
        <v>112</v>
      </c>
      <c r="F50" s="0" t="s">
        <v>25</v>
      </c>
      <c r="G50" s="0" t="s">
        <v>1953</v>
      </c>
      <c r="H50" s="5" t="s">
        <v>1902</v>
      </c>
      <c r="J50" s="0" t="s">
        <v>662</v>
      </c>
      <c r="K50" s="5" t="s">
        <v>4631</v>
      </c>
      <c r="L50" s="0" t="s">
        <v>4672</v>
      </c>
    </row>
    <row r="51" customFormat="false" ht="17.15" hidden="false" customHeight="false" outlineLevel="0" collapsed="false">
      <c r="A51" s="0" t="s">
        <v>4710</v>
      </c>
      <c r="B51" s="0" t="s">
        <v>4648</v>
      </c>
      <c r="C51" s="0" t="s">
        <v>4711</v>
      </c>
      <c r="D51" s="0" t="s">
        <v>4712</v>
      </c>
      <c r="E51" s="0" t="s">
        <v>4498</v>
      </c>
      <c r="F51" s="0" t="s">
        <v>4713</v>
      </c>
      <c r="G51" s="0" t="s">
        <v>1953</v>
      </c>
      <c r="H51" s="5" t="s">
        <v>1902</v>
      </c>
      <c r="K51" s="0" t="s">
        <v>36</v>
      </c>
      <c r="L51" s="0" t="s">
        <v>4714</v>
      </c>
    </row>
    <row r="52" customFormat="false" ht="17.15" hidden="false" customHeight="false" outlineLevel="0" collapsed="false">
      <c r="A52" s="0" t="s">
        <v>4715</v>
      </c>
      <c r="B52" s="0" t="s">
        <v>4648</v>
      </c>
      <c r="C52" s="0" t="s">
        <v>4716</v>
      </c>
      <c r="D52" s="0" t="s">
        <v>4717</v>
      </c>
      <c r="F52" s="0" t="s">
        <v>4660</v>
      </c>
      <c r="G52" s="0" t="s">
        <v>1953</v>
      </c>
      <c r="H52" s="5" t="s">
        <v>1736</v>
      </c>
      <c r="K52" s="0" t="s">
        <v>36</v>
      </c>
      <c r="L52" s="0" t="s">
        <v>2120</v>
      </c>
    </row>
    <row r="53" customFormat="false" ht="17.15" hidden="false" customHeight="false" outlineLevel="0" collapsed="false">
      <c r="A53" s="0" t="s">
        <v>4718</v>
      </c>
      <c r="B53" s="0" t="s">
        <v>1070</v>
      </c>
      <c r="C53" s="0" t="s">
        <v>4719</v>
      </c>
      <c r="D53" s="0" t="s">
        <v>4720</v>
      </c>
      <c r="E53" s="0" t="s">
        <v>4498</v>
      </c>
      <c r="F53" s="0" t="s">
        <v>4534</v>
      </c>
      <c r="G53" s="0" t="s">
        <v>4535</v>
      </c>
      <c r="H53" s="5" t="s">
        <v>1736</v>
      </c>
      <c r="J53" s="0" t="s">
        <v>334</v>
      </c>
      <c r="K53" s="5" t="s">
        <v>1895</v>
      </c>
      <c r="L53" s="0" t="s">
        <v>4536</v>
      </c>
    </row>
    <row r="54" customFormat="false" ht="17.15" hidden="false" customHeight="false" outlineLevel="0" collapsed="false">
      <c r="A54" s="0" t="s">
        <v>4721</v>
      </c>
      <c r="B54" s="0" t="s">
        <v>1070</v>
      </c>
      <c r="C54" s="0" t="s">
        <v>4722</v>
      </c>
      <c r="D54" s="0" t="s">
        <v>4723</v>
      </c>
      <c r="E54" s="0" t="s">
        <v>4498</v>
      </c>
      <c r="F54" s="0" t="s">
        <v>4540</v>
      </c>
      <c r="G54" s="0" t="s">
        <v>4535</v>
      </c>
      <c r="H54" s="5" t="s">
        <v>1736</v>
      </c>
      <c r="J54" s="0" t="s">
        <v>334</v>
      </c>
      <c r="K54" s="5" t="s">
        <v>1895</v>
      </c>
      <c r="L54" s="0" t="s">
        <v>4536</v>
      </c>
    </row>
    <row r="55" customFormat="false" ht="17.15" hidden="false" customHeight="false" outlineLevel="0" collapsed="false">
      <c r="A55" s="0" t="s">
        <v>4724</v>
      </c>
      <c r="B55" s="0" t="s">
        <v>1070</v>
      </c>
      <c r="C55" s="0" t="s">
        <v>4725</v>
      </c>
      <c r="D55" s="0" t="s">
        <v>4726</v>
      </c>
      <c r="E55" s="0" t="s">
        <v>4498</v>
      </c>
      <c r="F55" s="0" t="s">
        <v>2513</v>
      </c>
      <c r="G55" s="0" t="s">
        <v>4535</v>
      </c>
      <c r="H55" s="5" t="s">
        <v>1736</v>
      </c>
      <c r="K55" s="0" t="s">
        <v>36</v>
      </c>
      <c r="L55" s="0" t="s">
        <v>4536</v>
      </c>
    </row>
    <row r="56" customFormat="false" ht="17.15" hidden="false" customHeight="false" outlineLevel="0" collapsed="false">
      <c r="A56" s="0" t="s">
        <v>4727</v>
      </c>
      <c r="B56" s="0" t="s">
        <v>1070</v>
      </c>
      <c r="C56" s="0" t="s">
        <v>4728</v>
      </c>
      <c r="D56" s="0" t="s">
        <v>4729</v>
      </c>
      <c r="E56" s="0" t="s">
        <v>4607</v>
      </c>
      <c r="F56" s="0" t="s">
        <v>23</v>
      </c>
      <c r="G56" s="0" t="s">
        <v>1909</v>
      </c>
      <c r="H56" s="5" t="s">
        <v>1736</v>
      </c>
      <c r="K56" s="0" t="s">
        <v>36</v>
      </c>
      <c r="L56" s="0" t="s">
        <v>4730</v>
      </c>
    </row>
    <row r="57" customFormat="false" ht="17.15" hidden="false" customHeight="false" outlineLevel="0" collapsed="false">
      <c r="A57" s="0" t="s">
        <v>4731</v>
      </c>
      <c r="B57" s="0" t="s">
        <v>1070</v>
      </c>
      <c r="C57" s="0" t="s">
        <v>4732</v>
      </c>
      <c r="D57" s="0" t="s">
        <v>4733</v>
      </c>
      <c r="E57" s="0" t="s">
        <v>112</v>
      </c>
      <c r="F57" s="0" t="s">
        <v>139</v>
      </c>
      <c r="G57" s="0" t="s">
        <v>4535</v>
      </c>
      <c r="H57" s="5" t="s">
        <v>1736</v>
      </c>
      <c r="J57" s="0" t="s">
        <v>4734</v>
      </c>
      <c r="K57" s="5" t="s">
        <v>1895</v>
      </c>
      <c r="L57" s="0" t="s">
        <v>4735</v>
      </c>
    </row>
    <row r="58" customFormat="false" ht="17.15" hidden="false" customHeight="false" outlineLevel="0" collapsed="false">
      <c r="A58" s="0" t="s">
        <v>4736</v>
      </c>
      <c r="B58" s="0" t="s">
        <v>1070</v>
      </c>
      <c r="C58" s="0" t="s">
        <v>4737</v>
      </c>
      <c r="D58" s="0" t="s">
        <v>4738</v>
      </c>
      <c r="E58" s="0" t="s">
        <v>4498</v>
      </c>
      <c r="F58" s="0" t="s">
        <v>4676</v>
      </c>
      <c r="G58" s="0" t="s">
        <v>1953</v>
      </c>
      <c r="H58" s="5" t="s">
        <v>1902</v>
      </c>
      <c r="I58" s="0" t="s">
        <v>4739</v>
      </c>
      <c r="K58" s="0" t="s">
        <v>36</v>
      </c>
      <c r="L58" s="0" t="s">
        <v>4740</v>
      </c>
    </row>
    <row r="59" customFormat="false" ht="17.15" hidden="false" customHeight="false" outlineLevel="0" collapsed="false">
      <c r="A59" s="0" t="s">
        <v>4741</v>
      </c>
      <c r="B59" s="0" t="s">
        <v>1070</v>
      </c>
      <c r="C59" s="0" t="s">
        <v>4742</v>
      </c>
      <c r="D59" s="0" t="s">
        <v>4743</v>
      </c>
      <c r="E59" s="0" t="s">
        <v>112</v>
      </c>
      <c r="F59" s="0" t="s">
        <v>4744</v>
      </c>
      <c r="G59" s="0" t="s">
        <v>4535</v>
      </c>
      <c r="H59" s="5" t="s">
        <v>1736</v>
      </c>
      <c r="J59" s="0" t="s">
        <v>591</v>
      </c>
      <c r="K59" s="5" t="s">
        <v>1895</v>
      </c>
      <c r="L59" s="0" t="s">
        <v>4745</v>
      </c>
    </row>
    <row r="60" customFormat="false" ht="17.15" hidden="false" customHeight="false" outlineLevel="0" collapsed="false">
      <c r="A60" s="0" t="s">
        <v>4746</v>
      </c>
      <c r="B60" s="0" t="s">
        <v>1070</v>
      </c>
      <c r="C60" s="0" t="s">
        <v>4747</v>
      </c>
      <c r="D60" s="0" t="s">
        <v>4748</v>
      </c>
      <c r="E60" s="0" t="s">
        <v>4498</v>
      </c>
      <c r="F60" s="0" t="s">
        <v>4749</v>
      </c>
      <c r="G60" s="0" t="s">
        <v>1953</v>
      </c>
      <c r="H60" s="5" t="s">
        <v>1756</v>
      </c>
      <c r="I60" s="0" t="s">
        <v>4750</v>
      </c>
      <c r="J60" s="0" t="s">
        <v>4751</v>
      </c>
      <c r="K60" s="5" t="s">
        <v>1895</v>
      </c>
      <c r="L60" s="0" t="s">
        <v>4752</v>
      </c>
    </row>
    <row r="61" customFormat="false" ht="17.15" hidden="false" customHeight="false" outlineLevel="0" collapsed="false">
      <c r="A61" s="0" t="s">
        <v>4753</v>
      </c>
      <c r="B61" s="0" t="s">
        <v>1070</v>
      </c>
      <c r="C61" s="0" t="s">
        <v>4754</v>
      </c>
      <c r="D61" s="0" t="s">
        <v>4755</v>
      </c>
      <c r="E61" s="0" t="s">
        <v>4498</v>
      </c>
      <c r="F61" s="0" t="s">
        <v>4756</v>
      </c>
      <c r="G61" s="0" t="s">
        <v>1953</v>
      </c>
      <c r="H61" s="5" t="s">
        <v>1736</v>
      </c>
      <c r="J61" s="0" t="s">
        <v>597</v>
      </c>
      <c r="K61" s="5" t="s">
        <v>1895</v>
      </c>
      <c r="L61" s="0" t="s">
        <v>4757</v>
      </c>
    </row>
    <row r="62" customFormat="false" ht="17.15" hidden="false" customHeight="false" outlineLevel="0" collapsed="false">
      <c r="A62" s="0" t="s">
        <v>4758</v>
      </c>
      <c r="B62" s="0" t="s">
        <v>1070</v>
      </c>
      <c r="C62" s="0" t="s">
        <v>4759</v>
      </c>
      <c r="D62" s="0" t="s">
        <v>4579</v>
      </c>
      <c r="E62" s="0" t="s">
        <v>4498</v>
      </c>
      <c r="F62" s="0" t="s">
        <v>4760</v>
      </c>
      <c r="G62" s="0" t="s">
        <v>1953</v>
      </c>
      <c r="H62" s="5" t="s">
        <v>1902</v>
      </c>
      <c r="K62" s="0" t="s">
        <v>36</v>
      </c>
      <c r="L62" s="0" t="s">
        <v>4761</v>
      </c>
    </row>
    <row r="63" customFormat="false" ht="17.15" hidden="false" customHeight="false" outlineLevel="0" collapsed="false">
      <c r="A63" s="0" t="s">
        <v>4762</v>
      </c>
      <c r="B63" s="0" t="s">
        <v>1070</v>
      </c>
      <c r="C63" s="0" t="s">
        <v>4763</v>
      </c>
      <c r="D63" s="0" t="s">
        <v>4579</v>
      </c>
      <c r="E63" s="0" t="s">
        <v>4498</v>
      </c>
      <c r="F63" s="0" t="s">
        <v>2098</v>
      </c>
      <c r="G63" s="0" t="s">
        <v>4764</v>
      </c>
      <c r="H63" s="5" t="s">
        <v>1902</v>
      </c>
      <c r="I63" s="0" t="s">
        <v>4765</v>
      </c>
      <c r="K63" s="0" t="s">
        <v>36</v>
      </c>
      <c r="L63" s="0" t="s">
        <v>4766</v>
      </c>
    </row>
    <row r="64" customFormat="false" ht="17.15" hidden="false" customHeight="false" outlineLevel="0" collapsed="false">
      <c r="A64" s="0" t="s">
        <v>4767</v>
      </c>
      <c r="B64" s="0" t="s">
        <v>1070</v>
      </c>
      <c r="C64" s="0" t="s">
        <v>4768</v>
      </c>
      <c r="D64" s="0" t="s">
        <v>4769</v>
      </c>
      <c r="E64" s="0" t="s">
        <v>4498</v>
      </c>
      <c r="F64" s="0" t="s">
        <v>2420</v>
      </c>
      <c r="G64" s="0" t="s">
        <v>1953</v>
      </c>
      <c r="H64" s="5" t="s">
        <v>1902</v>
      </c>
      <c r="K64" s="0" t="s">
        <v>36</v>
      </c>
      <c r="L64" s="0" t="s">
        <v>4770</v>
      </c>
    </row>
    <row r="65" customFormat="false" ht="17.15" hidden="false" customHeight="false" outlineLevel="0" collapsed="false">
      <c r="A65" s="0" t="s">
        <v>4771</v>
      </c>
      <c r="B65" s="0" t="s">
        <v>1070</v>
      </c>
      <c r="C65" s="0" t="s">
        <v>4772</v>
      </c>
      <c r="D65" s="0" t="s">
        <v>4773</v>
      </c>
      <c r="F65" s="0" t="s">
        <v>4774</v>
      </c>
      <c r="G65" s="0" t="s">
        <v>1953</v>
      </c>
      <c r="H65" s="5" t="s">
        <v>1736</v>
      </c>
      <c r="J65" s="0" t="s">
        <v>4775</v>
      </c>
      <c r="K65" s="5" t="s">
        <v>1895</v>
      </c>
      <c r="L65" s="0" t="s">
        <v>4776</v>
      </c>
    </row>
    <row r="66" customFormat="false" ht="17.15" hidden="false" customHeight="false" outlineLevel="0" collapsed="false">
      <c r="A66" s="0" t="s">
        <v>4777</v>
      </c>
      <c r="B66" s="0" t="s">
        <v>1724</v>
      </c>
      <c r="C66" s="0" t="s">
        <v>4778</v>
      </c>
      <c r="D66" s="0" t="s">
        <v>4779</v>
      </c>
      <c r="E66" s="0" t="s">
        <v>4498</v>
      </c>
      <c r="F66" s="0" t="s">
        <v>2222</v>
      </c>
      <c r="G66" s="0" t="s">
        <v>1953</v>
      </c>
      <c r="H66" s="5" t="s">
        <v>1736</v>
      </c>
      <c r="J66" s="0" t="s">
        <v>133</v>
      </c>
      <c r="K66" s="5" t="s">
        <v>1895</v>
      </c>
      <c r="L66" s="0" t="s">
        <v>4780</v>
      </c>
    </row>
    <row r="67" customFormat="false" ht="17.15" hidden="false" customHeight="false" outlineLevel="0" collapsed="false">
      <c r="A67" s="0" t="s">
        <v>4781</v>
      </c>
      <c r="B67" s="0" t="s">
        <v>1724</v>
      </c>
      <c r="C67" s="0" t="s">
        <v>4782</v>
      </c>
      <c r="D67" s="0" t="s">
        <v>4783</v>
      </c>
      <c r="E67" s="0" t="s">
        <v>4498</v>
      </c>
      <c r="F67" s="0" t="s">
        <v>139</v>
      </c>
      <c r="G67" s="0" t="s">
        <v>1953</v>
      </c>
      <c r="H67" s="5" t="s">
        <v>1736</v>
      </c>
      <c r="J67" s="0" t="s">
        <v>133</v>
      </c>
      <c r="K67" s="5" t="s">
        <v>1895</v>
      </c>
      <c r="L67" s="0" t="s">
        <v>2215</v>
      </c>
    </row>
    <row r="68" customFormat="false" ht="17.15" hidden="false" customHeight="false" outlineLevel="0" collapsed="false">
      <c r="A68" s="0" t="s">
        <v>4784</v>
      </c>
      <c r="B68" s="0" t="s">
        <v>1724</v>
      </c>
      <c r="C68" s="0" t="s">
        <v>4785</v>
      </c>
      <c r="D68" s="0" t="s">
        <v>4786</v>
      </c>
      <c r="E68" s="0" t="s">
        <v>112</v>
      </c>
      <c r="F68" s="0" t="s">
        <v>139</v>
      </c>
      <c r="G68" s="0" t="s">
        <v>1909</v>
      </c>
      <c r="H68" s="5" t="s">
        <v>1902</v>
      </c>
      <c r="K68" s="0" t="s">
        <v>36</v>
      </c>
      <c r="L68" s="0" t="s">
        <v>4787</v>
      </c>
    </row>
    <row r="69" customFormat="false" ht="17.15" hidden="false" customHeight="false" outlineLevel="0" collapsed="false">
      <c r="A69" s="0" t="s">
        <v>4788</v>
      </c>
      <c r="B69" s="0" t="s">
        <v>1724</v>
      </c>
      <c r="C69" s="0" t="s">
        <v>4789</v>
      </c>
      <c r="D69" s="0" t="s">
        <v>4790</v>
      </c>
      <c r="E69" s="0" t="s">
        <v>4498</v>
      </c>
      <c r="F69" s="0" t="s">
        <v>4534</v>
      </c>
      <c r="G69" s="0" t="s">
        <v>4535</v>
      </c>
      <c r="H69" s="5" t="s">
        <v>1736</v>
      </c>
      <c r="J69" s="0" t="s">
        <v>337</v>
      </c>
      <c r="K69" s="5" t="s">
        <v>1895</v>
      </c>
      <c r="L69" s="0" t="s">
        <v>4536</v>
      </c>
    </row>
    <row r="70" customFormat="false" ht="17.15" hidden="false" customHeight="false" outlineLevel="0" collapsed="false">
      <c r="A70" s="0" t="s">
        <v>4791</v>
      </c>
      <c r="B70" s="0" t="s">
        <v>1724</v>
      </c>
      <c r="C70" s="0" t="s">
        <v>4792</v>
      </c>
      <c r="D70" s="0" t="s">
        <v>4793</v>
      </c>
      <c r="E70" s="0" t="s">
        <v>4498</v>
      </c>
      <c r="F70" s="0" t="s">
        <v>4540</v>
      </c>
      <c r="G70" s="0" t="s">
        <v>4535</v>
      </c>
      <c r="H70" s="5" t="s">
        <v>1736</v>
      </c>
      <c r="J70" s="0" t="s">
        <v>337</v>
      </c>
      <c r="K70" s="5" t="s">
        <v>1895</v>
      </c>
      <c r="L70" s="0" t="s">
        <v>4536</v>
      </c>
    </row>
    <row r="71" customFormat="false" ht="17.15" hidden="false" customHeight="false" outlineLevel="0" collapsed="false">
      <c r="A71" s="0" t="s">
        <v>4794</v>
      </c>
      <c r="B71" s="0" t="s">
        <v>1724</v>
      </c>
      <c r="C71" s="0" t="s">
        <v>4795</v>
      </c>
      <c r="D71" s="0" t="s">
        <v>4796</v>
      </c>
      <c r="E71" s="0" t="s">
        <v>4498</v>
      </c>
      <c r="F71" s="0" t="s">
        <v>139</v>
      </c>
      <c r="G71" s="0" t="s">
        <v>1953</v>
      </c>
      <c r="H71" s="5" t="s">
        <v>1736</v>
      </c>
      <c r="J71" s="0" t="s">
        <v>4797</v>
      </c>
      <c r="K71" s="5" t="s">
        <v>1895</v>
      </c>
      <c r="L71" s="0" t="s">
        <v>2217</v>
      </c>
    </row>
    <row r="72" customFormat="false" ht="17.15" hidden="false" customHeight="false" outlineLevel="0" collapsed="false">
      <c r="A72" s="0" t="s">
        <v>4798</v>
      </c>
      <c r="B72" s="0" t="s">
        <v>1724</v>
      </c>
      <c r="C72" s="0" t="s">
        <v>4799</v>
      </c>
      <c r="D72" s="0" t="s">
        <v>4800</v>
      </c>
      <c r="E72" s="0" t="s">
        <v>4498</v>
      </c>
      <c r="F72" s="0" t="s">
        <v>2098</v>
      </c>
      <c r="G72" s="0" t="s">
        <v>1953</v>
      </c>
      <c r="H72" s="5" t="s">
        <v>1902</v>
      </c>
      <c r="I72" s="0" t="s">
        <v>4801</v>
      </c>
      <c r="K72" s="0" t="s">
        <v>36</v>
      </c>
      <c r="L72" s="0" t="s">
        <v>4802</v>
      </c>
    </row>
    <row r="73" customFormat="false" ht="17.15" hidden="false" customHeight="false" outlineLevel="0" collapsed="false">
      <c r="A73" s="0" t="s">
        <v>4803</v>
      </c>
      <c r="B73" s="0" t="s">
        <v>1724</v>
      </c>
      <c r="C73" s="0" t="s">
        <v>4804</v>
      </c>
      <c r="D73" s="0" t="s">
        <v>4805</v>
      </c>
      <c r="E73" s="0" t="s">
        <v>4498</v>
      </c>
      <c r="F73" s="0" t="s">
        <v>4806</v>
      </c>
      <c r="G73" s="0" t="s">
        <v>1953</v>
      </c>
      <c r="H73" s="5" t="s">
        <v>1902</v>
      </c>
      <c r="J73" s="0" t="s">
        <v>195</v>
      </c>
      <c r="K73" s="5" t="s">
        <v>4547</v>
      </c>
      <c r="L73" s="0" t="s">
        <v>4807</v>
      </c>
    </row>
    <row r="74" customFormat="false" ht="17.15" hidden="false" customHeight="false" outlineLevel="0" collapsed="false">
      <c r="A74" s="0" t="s">
        <v>4808</v>
      </c>
      <c r="B74" s="0" t="s">
        <v>1724</v>
      </c>
      <c r="C74" s="0" t="s">
        <v>4809</v>
      </c>
      <c r="D74" s="0" t="s">
        <v>4810</v>
      </c>
      <c r="E74" s="0" t="s">
        <v>4607</v>
      </c>
      <c r="F74" s="0" t="s">
        <v>4811</v>
      </c>
      <c r="G74" s="0" t="s">
        <v>4535</v>
      </c>
      <c r="H74" s="5" t="s">
        <v>1736</v>
      </c>
      <c r="I74" s="5" t="s">
        <v>4812</v>
      </c>
      <c r="J74" s="0" t="s">
        <v>4813</v>
      </c>
      <c r="K74" s="5" t="s">
        <v>1895</v>
      </c>
      <c r="L74" s="0" t="s">
        <v>4814</v>
      </c>
    </row>
    <row r="75" customFormat="false" ht="17.15" hidden="false" customHeight="false" outlineLevel="0" collapsed="false">
      <c r="A75" s="0" t="s">
        <v>4815</v>
      </c>
      <c r="B75" s="0" t="s">
        <v>1724</v>
      </c>
      <c r="C75" s="0" t="s">
        <v>4816</v>
      </c>
      <c r="D75" s="0" t="s">
        <v>4817</v>
      </c>
      <c r="E75" s="0" t="s">
        <v>4607</v>
      </c>
      <c r="F75" s="0" t="s">
        <v>4811</v>
      </c>
      <c r="G75" s="0" t="s">
        <v>4535</v>
      </c>
      <c r="H75" s="5" t="s">
        <v>1736</v>
      </c>
      <c r="J75" s="0" t="s">
        <v>609</v>
      </c>
      <c r="K75" s="5" t="s">
        <v>1895</v>
      </c>
      <c r="L75" s="0" t="s">
        <v>4814</v>
      </c>
    </row>
    <row r="76" customFormat="false" ht="17.15" hidden="false" customHeight="false" outlineLevel="0" collapsed="false">
      <c r="A76" s="0" t="s">
        <v>4818</v>
      </c>
      <c r="B76" s="0" t="s">
        <v>1724</v>
      </c>
      <c r="C76" s="0" t="s">
        <v>4819</v>
      </c>
      <c r="D76" s="0" t="s">
        <v>4820</v>
      </c>
      <c r="E76" s="0" t="s">
        <v>4607</v>
      </c>
      <c r="F76" s="0" t="s">
        <v>4811</v>
      </c>
      <c r="G76" s="0" t="s">
        <v>4535</v>
      </c>
      <c r="H76" s="5" t="s">
        <v>1736</v>
      </c>
      <c r="J76" s="0" t="s">
        <v>612</v>
      </c>
      <c r="K76" s="5" t="s">
        <v>1895</v>
      </c>
      <c r="L76" s="0" t="s">
        <v>4814</v>
      </c>
    </row>
    <row r="77" customFormat="false" ht="17.15" hidden="false" customHeight="false" outlineLevel="0" collapsed="false">
      <c r="A77" s="0" t="s">
        <v>4821</v>
      </c>
      <c r="B77" s="0" t="s">
        <v>1724</v>
      </c>
      <c r="C77" s="0" t="s">
        <v>4822</v>
      </c>
      <c r="D77" s="0" t="s">
        <v>4823</v>
      </c>
      <c r="E77" s="0" t="s">
        <v>4607</v>
      </c>
      <c r="F77" s="0" t="s">
        <v>4811</v>
      </c>
      <c r="G77" s="0" t="s">
        <v>4535</v>
      </c>
      <c r="H77" s="5" t="s">
        <v>1736</v>
      </c>
      <c r="J77" s="0" t="s">
        <v>615</v>
      </c>
      <c r="K77" s="5" t="s">
        <v>1895</v>
      </c>
      <c r="L77" s="0" t="s">
        <v>4814</v>
      </c>
    </row>
    <row r="78" customFormat="false" ht="17.15" hidden="false" customHeight="false" outlineLevel="0" collapsed="false">
      <c r="A78" s="0" t="s">
        <v>4824</v>
      </c>
      <c r="B78" s="0" t="s">
        <v>1724</v>
      </c>
      <c r="C78" s="0" t="s">
        <v>4825</v>
      </c>
      <c r="D78" s="0" t="s">
        <v>4826</v>
      </c>
      <c r="F78" s="0" t="s">
        <v>4827</v>
      </c>
      <c r="G78" s="0" t="s">
        <v>1953</v>
      </c>
      <c r="H78" s="5" t="s">
        <v>1736</v>
      </c>
      <c r="K78" s="0" t="s">
        <v>36</v>
      </c>
      <c r="L78" s="0" t="s">
        <v>2217</v>
      </c>
    </row>
    <row r="79" customFormat="false" ht="17.15" hidden="false" customHeight="false" outlineLevel="0" collapsed="false">
      <c r="A79" s="0" t="s">
        <v>4828</v>
      </c>
      <c r="B79" s="0" t="s">
        <v>1108</v>
      </c>
      <c r="C79" s="0" t="s">
        <v>4829</v>
      </c>
      <c r="D79" s="0" t="s">
        <v>4830</v>
      </c>
      <c r="E79" s="0" t="s">
        <v>4498</v>
      </c>
      <c r="F79" s="0" t="s">
        <v>4831</v>
      </c>
      <c r="G79" s="0" t="s">
        <v>1899</v>
      </c>
      <c r="H79" s="5" t="s">
        <v>1736</v>
      </c>
      <c r="J79" s="0" t="s">
        <v>355</v>
      </c>
      <c r="K79" s="5" t="s">
        <v>1895</v>
      </c>
      <c r="L79" s="0" t="s">
        <v>4832</v>
      </c>
    </row>
    <row r="80" customFormat="false" ht="17.15" hidden="false" customHeight="false" outlineLevel="0" collapsed="false">
      <c r="A80" s="0" t="s">
        <v>4833</v>
      </c>
      <c r="B80" s="0" t="s">
        <v>1108</v>
      </c>
      <c r="C80" s="0" t="s">
        <v>4829</v>
      </c>
      <c r="D80" s="0" t="s">
        <v>4834</v>
      </c>
      <c r="E80" s="0" t="s">
        <v>4498</v>
      </c>
      <c r="F80" s="0" t="s">
        <v>4835</v>
      </c>
      <c r="G80" s="0" t="s">
        <v>1899</v>
      </c>
      <c r="H80" s="5" t="s">
        <v>1736</v>
      </c>
      <c r="K80" s="0" t="s">
        <v>36</v>
      </c>
      <c r="L80" s="0" t="s">
        <v>4836</v>
      </c>
    </row>
    <row r="81" customFormat="false" ht="17.15" hidden="false" customHeight="false" outlineLevel="0" collapsed="false">
      <c r="A81" s="0" t="s">
        <v>4837</v>
      </c>
      <c r="B81" s="0" t="s">
        <v>1108</v>
      </c>
      <c r="C81" s="0" t="s">
        <v>4829</v>
      </c>
      <c r="D81" s="0" t="s">
        <v>4838</v>
      </c>
      <c r="E81" s="0" t="s">
        <v>4498</v>
      </c>
      <c r="F81" s="0" t="s">
        <v>2277</v>
      </c>
      <c r="G81" s="0" t="s">
        <v>1899</v>
      </c>
      <c r="H81" s="5" t="s">
        <v>1736</v>
      </c>
      <c r="I81" s="0" t="s">
        <v>4839</v>
      </c>
      <c r="K81" s="0" t="s">
        <v>36</v>
      </c>
      <c r="L81" s="0" t="s">
        <v>4832</v>
      </c>
    </row>
    <row r="82" customFormat="false" ht="17.15" hidden="false" customHeight="false" outlineLevel="0" collapsed="false">
      <c r="A82" s="0" t="s">
        <v>4840</v>
      </c>
      <c r="B82" s="0" t="s">
        <v>1108</v>
      </c>
      <c r="C82" s="0" t="s">
        <v>4829</v>
      </c>
      <c r="D82" s="0" t="s">
        <v>4841</v>
      </c>
      <c r="E82" s="0" t="s">
        <v>4498</v>
      </c>
      <c r="F82" s="0" t="s">
        <v>2343</v>
      </c>
      <c r="G82" s="0" t="s">
        <v>1953</v>
      </c>
      <c r="H82" s="5" t="s">
        <v>1902</v>
      </c>
      <c r="K82" s="0" t="s">
        <v>36</v>
      </c>
      <c r="L82" s="0" t="s">
        <v>4842</v>
      </c>
    </row>
    <row r="83" customFormat="false" ht="17.15" hidden="false" customHeight="false" outlineLevel="0" collapsed="false">
      <c r="A83" s="0" t="s">
        <v>4843</v>
      </c>
      <c r="B83" s="0" t="s">
        <v>1108</v>
      </c>
      <c r="C83" s="0" t="s">
        <v>4829</v>
      </c>
      <c r="D83" s="0" t="s">
        <v>4844</v>
      </c>
      <c r="E83" s="0" t="s">
        <v>4498</v>
      </c>
      <c r="F83" s="0" t="s">
        <v>120</v>
      </c>
      <c r="G83" s="0" t="s">
        <v>1953</v>
      </c>
      <c r="H83" s="5" t="s">
        <v>1736</v>
      </c>
      <c r="J83" s="0" t="s">
        <v>140</v>
      </c>
      <c r="K83" s="5" t="s">
        <v>1895</v>
      </c>
      <c r="L83" s="0" t="s">
        <v>4845</v>
      </c>
    </row>
    <row r="84" customFormat="false" ht="17.15" hidden="false" customHeight="false" outlineLevel="0" collapsed="false">
      <c r="A84" s="0" t="s">
        <v>4846</v>
      </c>
      <c r="B84" s="0" t="s">
        <v>1108</v>
      </c>
      <c r="C84" s="0" t="s">
        <v>4847</v>
      </c>
      <c r="D84" s="0" t="s">
        <v>4848</v>
      </c>
      <c r="E84" s="0" t="s">
        <v>4498</v>
      </c>
      <c r="F84" s="0" t="s">
        <v>4849</v>
      </c>
      <c r="G84" s="0" t="s">
        <v>1953</v>
      </c>
      <c r="H84" s="5" t="s">
        <v>1736</v>
      </c>
      <c r="J84" s="0" t="s">
        <v>355</v>
      </c>
      <c r="K84" s="5" t="s">
        <v>1895</v>
      </c>
      <c r="L84" s="0" t="s">
        <v>2298</v>
      </c>
    </row>
    <row r="85" customFormat="false" ht="17.15" hidden="false" customHeight="false" outlineLevel="0" collapsed="false">
      <c r="A85" s="12" t="s">
        <v>4850</v>
      </c>
      <c r="B85" s="12" t="s">
        <v>1108</v>
      </c>
      <c r="C85" s="12" t="s">
        <v>4851</v>
      </c>
      <c r="D85" s="12" t="s">
        <v>4852</v>
      </c>
      <c r="E85" s="12" t="s">
        <v>4498</v>
      </c>
      <c r="F85" s="12" t="s">
        <v>2277</v>
      </c>
      <c r="G85" s="12" t="s">
        <v>1899</v>
      </c>
      <c r="H85" s="13" t="s">
        <v>1929</v>
      </c>
      <c r="I85" s="12" t="s">
        <v>4853</v>
      </c>
      <c r="J85" s="12"/>
      <c r="K85" s="12" t="s">
        <v>36</v>
      </c>
      <c r="L85" s="12" t="s">
        <v>4832</v>
      </c>
    </row>
    <row r="86" customFormat="false" ht="17.15" hidden="false" customHeight="false" outlineLevel="0" collapsed="false">
      <c r="A86" s="0" t="s">
        <v>4854</v>
      </c>
      <c r="B86" s="0" t="s">
        <v>1108</v>
      </c>
      <c r="C86" s="0" t="s">
        <v>4851</v>
      </c>
      <c r="D86" s="0" t="s">
        <v>4855</v>
      </c>
      <c r="E86" s="0" t="s">
        <v>4498</v>
      </c>
      <c r="F86" s="0" t="s">
        <v>120</v>
      </c>
      <c r="G86" s="0" t="s">
        <v>1953</v>
      </c>
      <c r="H86" s="5" t="s">
        <v>1736</v>
      </c>
      <c r="K86" s="0" t="s">
        <v>36</v>
      </c>
      <c r="L86" s="0" t="s">
        <v>4845</v>
      </c>
    </row>
    <row r="87" customFormat="false" ht="17.15" hidden="false" customHeight="false" outlineLevel="0" collapsed="false">
      <c r="A87" s="0" t="s">
        <v>4856</v>
      </c>
      <c r="B87" s="0" t="s">
        <v>1108</v>
      </c>
      <c r="C87" s="0" t="s">
        <v>4851</v>
      </c>
      <c r="D87" s="0" t="s">
        <v>4857</v>
      </c>
      <c r="E87" s="0" t="s">
        <v>4498</v>
      </c>
      <c r="F87" s="0" t="s">
        <v>4849</v>
      </c>
      <c r="G87" s="0" t="s">
        <v>1953</v>
      </c>
      <c r="H87" s="5" t="s">
        <v>1736</v>
      </c>
      <c r="J87" s="0" t="s">
        <v>187</v>
      </c>
      <c r="K87" s="5" t="s">
        <v>1895</v>
      </c>
      <c r="L87" s="0" t="s">
        <v>4858</v>
      </c>
    </row>
    <row r="88" customFormat="false" ht="17.15" hidden="false" customHeight="false" outlineLevel="0" collapsed="false">
      <c r="A88" s="0" t="s">
        <v>4859</v>
      </c>
      <c r="B88" s="0" t="s">
        <v>1108</v>
      </c>
      <c r="C88" s="0" t="s">
        <v>4860</v>
      </c>
      <c r="D88" s="0" t="s">
        <v>4861</v>
      </c>
      <c r="E88" s="0" t="s">
        <v>4498</v>
      </c>
      <c r="F88" s="0" t="s">
        <v>2558</v>
      </c>
      <c r="G88" s="0" t="s">
        <v>1953</v>
      </c>
      <c r="H88" s="5" t="s">
        <v>1902</v>
      </c>
      <c r="J88" s="0" t="s">
        <v>355</v>
      </c>
      <c r="K88" s="5" t="s">
        <v>4547</v>
      </c>
      <c r="L88" s="0" t="s">
        <v>4842</v>
      </c>
    </row>
    <row r="89" customFormat="false" ht="17.15" hidden="false" customHeight="false" outlineLevel="0" collapsed="false">
      <c r="A89" s="0" t="s">
        <v>4862</v>
      </c>
      <c r="B89" s="0" t="s">
        <v>1108</v>
      </c>
      <c r="C89" s="0" t="s">
        <v>4863</v>
      </c>
      <c r="D89" s="0" t="s">
        <v>4864</v>
      </c>
      <c r="E89" s="0" t="s">
        <v>112</v>
      </c>
      <c r="F89" s="0" t="s">
        <v>4865</v>
      </c>
      <c r="G89" s="0" t="s">
        <v>1953</v>
      </c>
      <c r="H89" s="5" t="s">
        <v>1736</v>
      </c>
      <c r="J89" s="0" t="s">
        <v>618</v>
      </c>
      <c r="K89" s="5" t="s">
        <v>1895</v>
      </c>
      <c r="L89" s="0" t="s">
        <v>4866</v>
      </c>
    </row>
    <row r="90" customFormat="false" ht="17.15" hidden="false" customHeight="false" outlineLevel="0" collapsed="false">
      <c r="A90" s="0" t="s">
        <v>4867</v>
      </c>
      <c r="B90" s="0" t="s">
        <v>1108</v>
      </c>
      <c r="C90" s="0" t="s">
        <v>4868</v>
      </c>
      <c r="D90" s="0" t="s">
        <v>4869</v>
      </c>
      <c r="E90" s="0" t="s">
        <v>112</v>
      </c>
      <c r="F90" s="0" t="s">
        <v>4865</v>
      </c>
      <c r="G90" s="0" t="s">
        <v>1953</v>
      </c>
      <c r="H90" s="5" t="s">
        <v>1736</v>
      </c>
      <c r="J90" s="0" t="s">
        <v>618</v>
      </c>
      <c r="K90" s="5" t="s">
        <v>1895</v>
      </c>
      <c r="L90" s="0" t="s">
        <v>4866</v>
      </c>
    </row>
    <row r="91" customFormat="false" ht="17.15" hidden="false" customHeight="false" outlineLevel="0" collapsed="false">
      <c r="A91" s="0" t="s">
        <v>4870</v>
      </c>
      <c r="B91" s="0" t="s">
        <v>1108</v>
      </c>
      <c r="C91" s="0" t="s">
        <v>4871</v>
      </c>
      <c r="D91" s="0" t="s">
        <v>4872</v>
      </c>
      <c r="E91" s="0" t="s">
        <v>112</v>
      </c>
      <c r="F91" s="0" t="s">
        <v>2430</v>
      </c>
      <c r="G91" s="0" t="s">
        <v>1953</v>
      </c>
      <c r="H91" s="5" t="s">
        <v>1902</v>
      </c>
      <c r="K91" s="0" t="s">
        <v>36</v>
      </c>
      <c r="L91" s="0" t="s">
        <v>4873</v>
      </c>
    </row>
    <row r="92" customFormat="false" ht="17.15" hidden="false" customHeight="false" outlineLevel="0" collapsed="false">
      <c r="A92" s="0" t="s">
        <v>4874</v>
      </c>
      <c r="B92" s="0" t="s">
        <v>1108</v>
      </c>
      <c r="C92" s="0" t="s">
        <v>4875</v>
      </c>
      <c r="D92" s="0" t="s">
        <v>4876</v>
      </c>
      <c r="E92" s="0" t="s">
        <v>112</v>
      </c>
      <c r="F92" s="0" t="s">
        <v>4877</v>
      </c>
      <c r="G92" s="0" t="s">
        <v>1953</v>
      </c>
      <c r="H92" s="5" t="s">
        <v>1902</v>
      </c>
      <c r="K92" s="0" t="s">
        <v>36</v>
      </c>
      <c r="L92" s="0" t="s">
        <v>4878</v>
      </c>
    </row>
    <row r="93" customFormat="false" ht="17.15" hidden="false" customHeight="false" outlineLevel="0" collapsed="false">
      <c r="A93" s="0" t="s">
        <v>4879</v>
      </c>
      <c r="B93" s="0" t="s">
        <v>1108</v>
      </c>
      <c r="C93" s="0" t="s">
        <v>4880</v>
      </c>
      <c r="D93" s="0" t="s">
        <v>113</v>
      </c>
      <c r="E93" s="0" t="s">
        <v>4498</v>
      </c>
      <c r="F93" s="0" t="s">
        <v>4849</v>
      </c>
      <c r="G93" s="0" t="s">
        <v>1953</v>
      </c>
      <c r="H93" s="5" t="s">
        <v>1902</v>
      </c>
      <c r="K93" s="0" t="s">
        <v>36</v>
      </c>
      <c r="L93" s="0" t="s">
        <v>4836</v>
      </c>
    </row>
    <row r="94" customFormat="false" ht="17.15" hidden="false" customHeight="false" outlineLevel="0" collapsed="false">
      <c r="A94" s="0" t="s">
        <v>4881</v>
      </c>
      <c r="B94" s="0" t="s">
        <v>1108</v>
      </c>
      <c r="C94" s="0" t="s">
        <v>4882</v>
      </c>
      <c r="D94" s="0" t="s">
        <v>4883</v>
      </c>
      <c r="E94" s="0" t="s">
        <v>4498</v>
      </c>
      <c r="F94" s="0" t="s">
        <v>4849</v>
      </c>
      <c r="G94" s="0" t="s">
        <v>1953</v>
      </c>
      <c r="H94" s="5" t="s">
        <v>1902</v>
      </c>
      <c r="J94" s="0" t="s">
        <v>659</v>
      </c>
      <c r="K94" s="5" t="s">
        <v>4631</v>
      </c>
      <c r="L94" s="0" t="s">
        <v>4836</v>
      </c>
    </row>
    <row r="95" customFormat="false" ht="17.15" hidden="false" customHeight="false" outlineLevel="0" collapsed="false">
      <c r="A95" s="0" t="s">
        <v>4884</v>
      </c>
      <c r="B95" s="0" t="s">
        <v>1108</v>
      </c>
      <c r="C95" s="0" t="s">
        <v>4885</v>
      </c>
      <c r="D95" s="0" t="s">
        <v>4886</v>
      </c>
      <c r="E95" s="0" t="s">
        <v>4498</v>
      </c>
      <c r="F95" s="0" t="s">
        <v>4849</v>
      </c>
      <c r="G95" s="0" t="s">
        <v>1953</v>
      </c>
      <c r="H95" s="5" t="s">
        <v>1902</v>
      </c>
      <c r="K95" s="0" t="s">
        <v>36</v>
      </c>
      <c r="L95" s="0" t="s">
        <v>4836</v>
      </c>
    </row>
    <row r="96" customFormat="false" ht="17.15" hidden="false" customHeight="false" outlineLevel="0" collapsed="false">
      <c r="A96" s="0" t="s">
        <v>4887</v>
      </c>
      <c r="B96" s="0" t="s">
        <v>1108</v>
      </c>
      <c r="C96" s="0" t="s">
        <v>4888</v>
      </c>
      <c r="D96" s="0" t="s">
        <v>4889</v>
      </c>
      <c r="F96" s="0" t="s">
        <v>4849</v>
      </c>
      <c r="G96" s="0" t="s">
        <v>1953</v>
      </c>
      <c r="H96" s="5" t="s">
        <v>1736</v>
      </c>
      <c r="K96" s="0" t="s">
        <v>36</v>
      </c>
      <c r="L96" s="0" t="s">
        <v>2298</v>
      </c>
    </row>
    <row r="97" customFormat="false" ht="17.15" hidden="false" customHeight="false" outlineLevel="0" collapsed="false">
      <c r="A97" s="0" t="s">
        <v>4890</v>
      </c>
      <c r="B97" s="0" t="s">
        <v>1127</v>
      </c>
      <c r="C97" s="0" t="s">
        <v>4891</v>
      </c>
      <c r="D97" s="0" t="s">
        <v>4892</v>
      </c>
      <c r="E97" s="0" t="s">
        <v>112</v>
      </c>
      <c r="F97" s="0" t="s">
        <v>2277</v>
      </c>
      <c r="G97" s="0" t="s">
        <v>1953</v>
      </c>
      <c r="H97" s="5" t="s">
        <v>1736</v>
      </c>
      <c r="J97" s="0" t="s">
        <v>359</v>
      </c>
      <c r="K97" s="5" t="s">
        <v>1895</v>
      </c>
      <c r="L97" s="0" t="s">
        <v>4893</v>
      </c>
    </row>
    <row r="98" customFormat="false" ht="17.15" hidden="false" customHeight="false" outlineLevel="0" collapsed="false">
      <c r="A98" s="0" t="s">
        <v>4894</v>
      </c>
      <c r="B98" s="0" t="s">
        <v>1127</v>
      </c>
      <c r="C98" s="0" t="s">
        <v>4891</v>
      </c>
      <c r="D98" s="0" t="s">
        <v>113</v>
      </c>
      <c r="E98" s="0" t="s">
        <v>4498</v>
      </c>
      <c r="F98" s="0" t="s">
        <v>4835</v>
      </c>
      <c r="G98" s="0" t="s">
        <v>4588</v>
      </c>
      <c r="H98" s="5" t="s">
        <v>1902</v>
      </c>
      <c r="K98" s="0" t="s">
        <v>36</v>
      </c>
    </row>
    <row r="99" customFormat="false" ht="17.15" hidden="false" customHeight="false" outlineLevel="0" collapsed="false">
      <c r="A99" s="0" t="s">
        <v>4895</v>
      </c>
      <c r="B99" s="0" t="s">
        <v>1127</v>
      </c>
      <c r="C99" s="0" t="s">
        <v>4896</v>
      </c>
      <c r="D99" s="0" t="s">
        <v>4897</v>
      </c>
      <c r="E99" s="0" t="s">
        <v>4498</v>
      </c>
      <c r="F99" s="0" t="s">
        <v>4898</v>
      </c>
      <c r="G99" s="0" t="s">
        <v>1953</v>
      </c>
      <c r="H99" s="5" t="s">
        <v>1902</v>
      </c>
      <c r="J99" s="0" t="s">
        <v>359</v>
      </c>
      <c r="K99" s="5" t="s">
        <v>4547</v>
      </c>
      <c r="L99" s="0" t="s">
        <v>4899</v>
      </c>
    </row>
    <row r="100" customFormat="false" ht="17.15" hidden="false" customHeight="false" outlineLevel="0" collapsed="false">
      <c r="A100" s="0" t="s">
        <v>4900</v>
      </c>
      <c r="B100" s="0" t="s">
        <v>1127</v>
      </c>
      <c r="C100" s="0" t="s">
        <v>4901</v>
      </c>
      <c r="D100" s="0" t="s">
        <v>4902</v>
      </c>
      <c r="E100" s="0" t="s">
        <v>4498</v>
      </c>
      <c r="F100" s="0" t="s">
        <v>4903</v>
      </c>
      <c r="G100" s="0" t="s">
        <v>1953</v>
      </c>
      <c r="H100" s="5" t="s">
        <v>1902</v>
      </c>
      <c r="J100" s="0" t="s">
        <v>191</v>
      </c>
      <c r="K100" s="5" t="s">
        <v>4547</v>
      </c>
      <c r="L100" s="0" t="s">
        <v>4904</v>
      </c>
    </row>
    <row r="101" customFormat="false" ht="17.15" hidden="false" customHeight="false" outlineLevel="0" collapsed="false">
      <c r="A101" s="0" t="s">
        <v>4905</v>
      </c>
      <c r="B101" s="0" t="s">
        <v>1127</v>
      </c>
      <c r="C101" s="0" t="s">
        <v>4906</v>
      </c>
      <c r="D101" s="0" t="s">
        <v>4907</v>
      </c>
      <c r="E101" s="0" t="s">
        <v>4498</v>
      </c>
      <c r="F101" s="0" t="s">
        <v>4903</v>
      </c>
      <c r="G101" s="0" t="s">
        <v>1953</v>
      </c>
      <c r="H101" s="5" t="s">
        <v>1902</v>
      </c>
      <c r="J101" s="0" t="s">
        <v>649</v>
      </c>
      <c r="K101" s="5" t="s">
        <v>4631</v>
      </c>
      <c r="L101" s="0" t="s">
        <v>4908</v>
      </c>
    </row>
    <row r="102" customFormat="false" ht="17.15" hidden="false" customHeight="false" outlineLevel="0" collapsed="false">
      <c r="A102" s="0" t="s">
        <v>4909</v>
      </c>
      <c r="B102" s="0" t="s">
        <v>1127</v>
      </c>
      <c r="C102" s="0" t="s">
        <v>4910</v>
      </c>
      <c r="D102" s="0" t="s">
        <v>4911</v>
      </c>
      <c r="E102" s="0" t="s">
        <v>4498</v>
      </c>
      <c r="F102" s="0" t="s">
        <v>4903</v>
      </c>
      <c r="G102" s="0" t="s">
        <v>1953</v>
      </c>
      <c r="H102" s="5" t="s">
        <v>1902</v>
      </c>
      <c r="J102" s="0" t="s">
        <v>653</v>
      </c>
      <c r="K102" s="5" t="s">
        <v>4631</v>
      </c>
      <c r="L102" s="0" t="s">
        <v>4908</v>
      </c>
    </row>
    <row r="103" customFormat="false" ht="17.15" hidden="false" customHeight="false" outlineLevel="0" collapsed="false">
      <c r="A103" s="0" t="s">
        <v>4912</v>
      </c>
      <c r="B103" s="0" t="s">
        <v>1127</v>
      </c>
      <c r="C103" s="0" t="s">
        <v>4913</v>
      </c>
      <c r="D103" s="0" t="s">
        <v>4911</v>
      </c>
      <c r="E103" s="0" t="s">
        <v>4498</v>
      </c>
      <c r="F103" s="0" t="s">
        <v>4903</v>
      </c>
      <c r="G103" s="0" t="s">
        <v>1953</v>
      </c>
      <c r="H103" s="5" t="s">
        <v>1902</v>
      </c>
      <c r="J103" s="0" t="s">
        <v>656</v>
      </c>
      <c r="K103" s="5" t="s">
        <v>4631</v>
      </c>
      <c r="L103" s="0" t="s">
        <v>4908</v>
      </c>
    </row>
    <row r="104" customFormat="false" ht="17.15" hidden="false" customHeight="false" outlineLevel="0" collapsed="false">
      <c r="A104" s="0" t="s">
        <v>4914</v>
      </c>
      <c r="B104" s="0" t="s">
        <v>1127</v>
      </c>
      <c r="C104" s="0" t="s">
        <v>4915</v>
      </c>
      <c r="D104" s="0" t="s">
        <v>4916</v>
      </c>
      <c r="E104" s="0" t="s">
        <v>112</v>
      </c>
      <c r="F104" s="0" t="s">
        <v>120</v>
      </c>
      <c r="G104" s="0" t="s">
        <v>1909</v>
      </c>
      <c r="H104" s="5" t="s">
        <v>1902</v>
      </c>
      <c r="K104" s="0" t="s">
        <v>36</v>
      </c>
      <c r="L104" s="0" t="s">
        <v>4548</v>
      </c>
    </row>
    <row r="105" customFormat="false" ht="17.15" hidden="false" customHeight="false" outlineLevel="0" collapsed="false">
      <c r="A105" s="0" t="s">
        <v>4917</v>
      </c>
      <c r="B105" s="0" t="s">
        <v>1127</v>
      </c>
      <c r="C105" s="0" t="s">
        <v>4918</v>
      </c>
      <c r="D105" s="0" t="s">
        <v>4919</v>
      </c>
      <c r="F105" s="0" t="s">
        <v>4898</v>
      </c>
      <c r="G105" s="0" t="s">
        <v>1953</v>
      </c>
      <c r="H105" s="5" t="s">
        <v>1902</v>
      </c>
      <c r="K105" s="0" t="s">
        <v>36</v>
      </c>
      <c r="L105" s="0" t="s">
        <v>4899</v>
      </c>
    </row>
    <row r="106" customFormat="false" ht="17.15" hidden="false" customHeight="false" outlineLevel="0" collapsed="false">
      <c r="A106" s="0" t="s">
        <v>4920</v>
      </c>
      <c r="B106" s="5" t="s">
        <v>4921</v>
      </c>
      <c r="C106" s="5" t="s">
        <v>4922</v>
      </c>
      <c r="D106" s="0" t="s">
        <v>4923</v>
      </c>
      <c r="E106" s="0" t="s">
        <v>112</v>
      </c>
      <c r="F106" s="0" t="s">
        <v>4924</v>
      </c>
      <c r="G106" s="0" t="s">
        <v>1953</v>
      </c>
      <c r="H106" s="5" t="s">
        <v>1736</v>
      </c>
      <c r="J106" s="0" t="s">
        <v>4925</v>
      </c>
      <c r="K106" s="5" t="s">
        <v>1895</v>
      </c>
      <c r="L106" s="0" t="s">
        <v>4926</v>
      </c>
    </row>
    <row r="107" customFormat="false" ht="17.15" hidden="false" customHeight="false" outlineLevel="0" collapsed="false">
      <c r="A107" s="0" t="s">
        <v>4927</v>
      </c>
      <c r="B107" s="5" t="s">
        <v>4921</v>
      </c>
      <c r="C107" s="5" t="s">
        <v>4928</v>
      </c>
      <c r="D107" s="0" t="s">
        <v>4929</v>
      </c>
      <c r="E107" s="0" t="s">
        <v>112</v>
      </c>
      <c r="F107" s="0" t="s">
        <v>4924</v>
      </c>
      <c r="G107" s="0" t="s">
        <v>1953</v>
      </c>
      <c r="H107" s="5" t="s">
        <v>1736</v>
      </c>
      <c r="J107" s="0" t="s">
        <v>625</v>
      </c>
      <c r="K107" s="5" t="s">
        <v>1895</v>
      </c>
      <c r="L107" s="0" t="s">
        <v>4926</v>
      </c>
    </row>
    <row r="108" customFormat="false" ht="17.15" hidden="false" customHeight="false" outlineLevel="0" collapsed="false">
      <c r="A108" s="0" t="s">
        <v>4930</v>
      </c>
      <c r="B108" s="5" t="s">
        <v>4921</v>
      </c>
      <c r="C108" s="5" t="s">
        <v>4931</v>
      </c>
      <c r="D108" s="0" t="s">
        <v>4932</v>
      </c>
      <c r="E108" s="0" t="s">
        <v>112</v>
      </c>
      <c r="F108" s="0" t="s">
        <v>139</v>
      </c>
      <c r="G108" s="0" t="s">
        <v>1953</v>
      </c>
      <c r="H108" s="5" t="s">
        <v>1902</v>
      </c>
      <c r="K108" s="0" t="s">
        <v>36</v>
      </c>
      <c r="L108" s="0" t="s">
        <v>4873</v>
      </c>
    </row>
    <row r="109" customFormat="false" ht="17.15" hidden="false" customHeight="false" outlineLevel="0" collapsed="false">
      <c r="A109" s="0" t="s">
        <v>4933</v>
      </c>
      <c r="B109" s="5" t="s">
        <v>4921</v>
      </c>
      <c r="C109" s="5" t="s">
        <v>4934</v>
      </c>
      <c r="D109" s="0" t="s">
        <v>4935</v>
      </c>
      <c r="E109" s="0" t="s">
        <v>112</v>
      </c>
      <c r="F109" s="0" t="s">
        <v>4936</v>
      </c>
      <c r="G109" s="0" t="s">
        <v>1953</v>
      </c>
      <c r="H109" s="5" t="s">
        <v>1902</v>
      </c>
      <c r="K109" s="0" t="s">
        <v>36</v>
      </c>
      <c r="L109" s="0" t="s">
        <v>4937</v>
      </c>
    </row>
    <row r="110" customFormat="false" ht="17.15" hidden="false" customHeight="false" outlineLevel="0" collapsed="false">
      <c r="A110" s="0" t="s">
        <v>4938</v>
      </c>
      <c r="B110" s="5" t="s">
        <v>4921</v>
      </c>
      <c r="C110" s="5" t="s">
        <v>4939</v>
      </c>
      <c r="D110" s="0" t="s">
        <v>4940</v>
      </c>
      <c r="E110" s="0" t="s">
        <v>4498</v>
      </c>
      <c r="F110" s="0" t="s">
        <v>4941</v>
      </c>
      <c r="G110" s="0" t="s">
        <v>1953</v>
      </c>
      <c r="H110" s="5" t="s">
        <v>1902</v>
      </c>
      <c r="K110" s="0" t="s">
        <v>36</v>
      </c>
      <c r="L110" s="0" t="s">
        <v>4942</v>
      </c>
    </row>
    <row r="111" customFormat="false" ht="17.15" hidden="false" customHeight="false" outlineLevel="0" collapsed="false">
      <c r="A111" s="0" t="s">
        <v>4943</v>
      </c>
      <c r="B111" s="5" t="s">
        <v>4921</v>
      </c>
      <c r="C111" s="5" t="s">
        <v>4944</v>
      </c>
      <c r="D111" s="0" t="s">
        <v>4945</v>
      </c>
      <c r="E111" s="0" t="s">
        <v>4498</v>
      </c>
      <c r="F111" s="0" t="s">
        <v>2165</v>
      </c>
      <c r="G111" s="0" t="s">
        <v>1953</v>
      </c>
      <c r="H111" s="5" t="s">
        <v>1902</v>
      </c>
      <c r="K111" s="0" t="s">
        <v>36</v>
      </c>
      <c r="L111" s="0" t="s">
        <v>4946</v>
      </c>
    </row>
    <row r="112" customFormat="false" ht="17.15" hidden="false" customHeight="false" outlineLevel="0" collapsed="false">
      <c r="A112" s="0" t="s">
        <v>4947</v>
      </c>
      <c r="B112" s="5" t="s">
        <v>4921</v>
      </c>
      <c r="C112" s="5" t="s">
        <v>4948</v>
      </c>
      <c r="D112" s="0" t="s">
        <v>4949</v>
      </c>
      <c r="E112" s="0" t="s">
        <v>4498</v>
      </c>
      <c r="F112" s="0" t="s">
        <v>4950</v>
      </c>
      <c r="G112" s="0" t="s">
        <v>1953</v>
      </c>
      <c r="H112" s="5" t="s">
        <v>1902</v>
      </c>
      <c r="K112" s="0" t="s">
        <v>36</v>
      </c>
      <c r="L112" s="0" t="s">
        <v>4951</v>
      </c>
    </row>
    <row r="113" customFormat="false" ht="17.15" hidden="false" customHeight="false" outlineLevel="0" collapsed="false">
      <c r="A113" s="0" t="s">
        <v>4952</v>
      </c>
      <c r="B113" s="5" t="s">
        <v>4921</v>
      </c>
      <c r="C113" s="5" t="s">
        <v>4953</v>
      </c>
      <c r="D113" s="0" t="s">
        <v>4954</v>
      </c>
      <c r="E113" s="0" t="s">
        <v>4498</v>
      </c>
      <c r="F113" s="0" t="s">
        <v>139</v>
      </c>
      <c r="G113" s="0" t="s">
        <v>1953</v>
      </c>
      <c r="H113" s="5" t="s">
        <v>1902</v>
      </c>
      <c r="K113" s="0" t="s">
        <v>36</v>
      </c>
      <c r="L113" s="0" t="s">
        <v>4955</v>
      </c>
    </row>
    <row r="114" customFormat="false" ht="17.15" hidden="false" customHeight="false" outlineLevel="0" collapsed="false">
      <c r="A114" s="0" t="s">
        <v>4956</v>
      </c>
      <c r="B114" s="5" t="s">
        <v>4921</v>
      </c>
      <c r="C114" s="5" t="s">
        <v>4957</v>
      </c>
      <c r="D114" s="0" t="s">
        <v>4958</v>
      </c>
      <c r="E114" s="0" t="s">
        <v>4498</v>
      </c>
      <c r="F114" s="0" t="s">
        <v>4676</v>
      </c>
      <c r="G114" s="0" t="s">
        <v>1953</v>
      </c>
      <c r="H114" s="5" t="s">
        <v>1902</v>
      </c>
      <c r="K114" s="0" t="s">
        <v>36</v>
      </c>
      <c r="L114" s="0" t="s">
        <v>4959</v>
      </c>
    </row>
    <row r="115" customFormat="false" ht="17.15" hidden="false" customHeight="false" outlineLevel="0" collapsed="false">
      <c r="A115" s="0" t="s">
        <v>4960</v>
      </c>
      <c r="B115" s="5" t="s">
        <v>4921</v>
      </c>
      <c r="C115" s="5" t="s">
        <v>4961</v>
      </c>
      <c r="D115" s="0" t="s">
        <v>4962</v>
      </c>
      <c r="E115" s="0" t="s">
        <v>112</v>
      </c>
      <c r="F115" s="0" t="s">
        <v>4963</v>
      </c>
      <c r="G115" s="0" t="s">
        <v>1909</v>
      </c>
      <c r="H115" s="5" t="s">
        <v>1902</v>
      </c>
      <c r="K115" s="0" t="s">
        <v>36</v>
      </c>
      <c r="L115" s="0" t="s">
        <v>4548</v>
      </c>
    </row>
    <row r="116" customFormat="false" ht="17.15" hidden="false" customHeight="false" outlineLevel="0" collapsed="false">
      <c r="A116" s="0" t="s">
        <v>4964</v>
      </c>
      <c r="B116" s="5" t="s">
        <v>4921</v>
      </c>
      <c r="C116" s="5" t="s">
        <v>4965</v>
      </c>
      <c r="D116" s="0" t="s">
        <v>4966</v>
      </c>
      <c r="E116" s="0" t="s">
        <v>112</v>
      </c>
      <c r="F116" s="0" t="s">
        <v>2124</v>
      </c>
      <c r="G116" s="0" t="s">
        <v>1953</v>
      </c>
      <c r="H116" s="5" t="s">
        <v>1736</v>
      </c>
      <c r="J116" s="0" t="s">
        <v>4967</v>
      </c>
      <c r="K116" s="5" t="s">
        <v>1895</v>
      </c>
      <c r="L116" s="0" t="s">
        <v>4968</v>
      </c>
    </row>
    <row r="117" customFormat="false" ht="17.15" hidden="false" customHeight="false" outlineLevel="0" collapsed="false">
      <c r="A117" s="0" t="s">
        <v>4969</v>
      </c>
      <c r="B117" s="5" t="s">
        <v>4921</v>
      </c>
      <c r="C117" s="5" t="s">
        <v>4970</v>
      </c>
      <c r="D117" s="0" t="s">
        <v>4971</v>
      </c>
      <c r="E117" s="0" t="s">
        <v>4498</v>
      </c>
      <c r="F117" s="0" t="s">
        <v>4950</v>
      </c>
      <c r="G117" s="0" t="s">
        <v>1953</v>
      </c>
      <c r="H117" s="5" t="s">
        <v>1902</v>
      </c>
      <c r="K117" s="0" t="s">
        <v>36</v>
      </c>
      <c r="L117" s="0" t="s">
        <v>4972</v>
      </c>
    </row>
    <row r="118" customFormat="false" ht="17.15" hidden="false" customHeight="false" outlineLevel="0" collapsed="false">
      <c r="A118" s="0" t="s">
        <v>4973</v>
      </c>
      <c r="B118" s="5" t="s">
        <v>4921</v>
      </c>
      <c r="C118" s="5" t="s">
        <v>4974</v>
      </c>
      <c r="D118" s="0" t="s">
        <v>4975</v>
      </c>
      <c r="E118" s="0" t="s">
        <v>4498</v>
      </c>
      <c r="F118" s="0" t="s">
        <v>4540</v>
      </c>
      <c r="G118" s="0" t="s">
        <v>4535</v>
      </c>
      <c r="H118" s="5" t="s">
        <v>1756</v>
      </c>
      <c r="I118" s="5" t="s">
        <v>4976</v>
      </c>
      <c r="J118" s="0" t="s">
        <v>4977</v>
      </c>
      <c r="K118" s="5" t="s">
        <v>1895</v>
      </c>
      <c r="L118" s="0" t="s">
        <v>4536</v>
      </c>
    </row>
    <row r="119" customFormat="false" ht="17.15" hidden="false" customHeight="false" outlineLevel="0" collapsed="false">
      <c r="A119" s="0" t="s">
        <v>4978</v>
      </c>
      <c r="B119" s="5" t="s">
        <v>4979</v>
      </c>
      <c r="C119" s="5" t="s">
        <v>4980</v>
      </c>
      <c r="D119" s="0" t="s">
        <v>4981</v>
      </c>
      <c r="F119" s="0" t="s">
        <v>4540</v>
      </c>
      <c r="G119" s="0" t="s">
        <v>4535</v>
      </c>
      <c r="H119" s="5" t="s">
        <v>1736</v>
      </c>
      <c r="K119" s="0" t="s">
        <v>36</v>
      </c>
      <c r="L119" s="0" t="s">
        <v>4982</v>
      </c>
    </row>
    <row r="120" customFormat="false" ht="17.15" hidden="false" customHeight="false" outlineLevel="0" collapsed="false">
      <c r="A120" s="0" t="s">
        <v>4983</v>
      </c>
      <c r="B120" s="5" t="s">
        <v>4979</v>
      </c>
      <c r="C120" s="5" t="s">
        <v>4984</v>
      </c>
      <c r="D120" s="0" t="s">
        <v>4985</v>
      </c>
      <c r="E120" s="0" t="s">
        <v>4498</v>
      </c>
      <c r="F120" s="0" t="s">
        <v>4676</v>
      </c>
      <c r="G120" s="0" t="s">
        <v>4535</v>
      </c>
      <c r="H120" s="5" t="s">
        <v>1902</v>
      </c>
      <c r="K120" s="0" t="s">
        <v>36</v>
      </c>
      <c r="L120" s="0" t="s">
        <v>4986</v>
      </c>
    </row>
    <row r="121" customFormat="false" ht="17.15" hidden="false" customHeight="false" outlineLevel="0" collapsed="false">
      <c r="A121" s="0" t="s">
        <v>4987</v>
      </c>
      <c r="B121" s="0" t="s">
        <v>1323</v>
      </c>
      <c r="C121" s="0" t="s">
        <v>4988</v>
      </c>
      <c r="D121" s="0" t="s">
        <v>4989</v>
      </c>
      <c r="E121" s="0" t="s">
        <v>4498</v>
      </c>
      <c r="F121" s="0" t="s">
        <v>2277</v>
      </c>
      <c r="G121" s="0" t="s">
        <v>4990</v>
      </c>
      <c r="H121" s="5" t="s">
        <v>1736</v>
      </c>
      <c r="J121" s="0" t="s">
        <v>469</v>
      </c>
      <c r="K121" s="5" t="s">
        <v>1895</v>
      </c>
      <c r="L121" s="0" t="s">
        <v>4991</v>
      </c>
    </row>
    <row r="122" customFormat="false" ht="17.15" hidden="false" customHeight="false" outlineLevel="0" collapsed="false">
      <c r="A122" s="0" t="s">
        <v>4992</v>
      </c>
      <c r="B122" s="0" t="s">
        <v>1323</v>
      </c>
      <c r="C122" s="0" t="s">
        <v>4993</v>
      </c>
      <c r="D122" s="0" t="s">
        <v>4994</v>
      </c>
      <c r="E122" s="0" t="s">
        <v>4498</v>
      </c>
      <c r="F122" s="0" t="s">
        <v>4995</v>
      </c>
      <c r="G122" s="0" t="s">
        <v>4996</v>
      </c>
      <c r="H122" s="5" t="s">
        <v>1756</v>
      </c>
      <c r="I122" s="5" t="s">
        <v>4997</v>
      </c>
      <c r="J122" s="0" t="s">
        <v>184</v>
      </c>
      <c r="K122" s="5" t="s">
        <v>1895</v>
      </c>
      <c r="L122" s="0" t="s">
        <v>4998</v>
      </c>
    </row>
    <row r="123" customFormat="false" ht="17.15" hidden="false" customHeight="false" outlineLevel="0" collapsed="false">
      <c r="A123" s="0" t="s">
        <v>4999</v>
      </c>
      <c r="B123" s="0" t="s">
        <v>1323</v>
      </c>
      <c r="C123" s="0" t="s">
        <v>5000</v>
      </c>
      <c r="D123" s="0" t="s">
        <v>5001</v>
      </c>
      <c r="E123" s="0" t="s">
        <v>4498</v>
      </c>
      <c r="F123" s="0" t="s">
        <v>4760</v>
      </c>
      <c r="G123" s="0" t="s">
        <v>5002</v>
      </c>
      <c r="H123" s="5" t="s">
        <v>1736</v>
      </c>
      <c r="I123" s="0" t="s">
        <v>5003</v>
      </c>
      <c r="J123" s="0" t="s">
        <v>469</v>
      </c>
      <c r="K123" s="5" t="s">
        <v>1895</v>
      </c>
      <c r="L123" s="0" t="s">
        <v>5004</v>
      </c>
    </row>
    <row r="124" customFormat="false" ht="17.15" hidden="false" customHeight="false" outlineLevel="0" collapsed="false">
      <c r="A124" s="0" t="s">
        <v>5005</v>
      </c>
      <c r="B124" s="0" t="s">
        <v>1323</v>
      </c>
      <c r="C124" s="0" t="s">
        <v>5006</v>
      </c>
      <c r="D124" s="0" t="s">
        <v>5007</v>
      </c>
      <c r="E124" s="0" t="s">
        <v>5008</v>
      </c>
      <c r="F124" s="0" t="s">
        <v>5009</v>
      </c>
      <c r="G124" s="0" t="s">
        <v>5010</v>
      </c>
      <c r="H124" s="5" t="s">
        <v>1902</v>
      </c>
      <c r="K124" s="0" t="s">
        <v>36</v>
      </c>
      <c r="L124" s="0" t="s">
        <v>5011</v>
      </c>
    </row>
    <row r="125" customFormat="false" ht="17.15" hidden="false" customHeight="false" outlineLevel="0" collapsed="false">
      <c r="A125" s="0" t="s">
        <v>5012</v>
      </c>
      <c r="B125" s="0" t="s">
        <v>1323</v>
      </c>
      <c r="C125" s="0" t="s">
        <v>5013</v>
      </c>
      <c r="D125" s="5" t="s">
        <v>5014</v>
      </c>
      <c r="E125" s="0" t="s">
        <v>4498</v>
      </c>
      <c r="F125" s="0" t="s">
        <v>1778</v>
      </c>
      <c r="G125" s="0" t="s">
        <v>5015</v>
      </c>
      <c r="H125" s="5" t="s">
        <v>1736</v>
      </c>
      <c r="J125" s="0" t="s">
        <v>469</v>
      </c>
      <c r="K125" s="5" t="s">
        <v>1895</v>
      </c>
      <c r="L125" s="0" t="s">
        <v>5016</v>
      </c>
    </row>
    <row r="126" customFormat="false" ht="17.15" hidden="false" customHeight="false" outlineLevel="0" collapsed="false">
      <c r="A126" s="0" t="s">
        <v>5017</v>
      </c>
      <c r="B126" s="0" t="s">
        <v>5018</v>
      </c>
      <c r="C126" s="0" t="s">
        <v>5019</v>
      </c>
      <c r="D126" s="0" t="s">
        <v>5020</v>
      </c>
      <c r="E126" s="0" t="s">
        <v>4498</v>
      </c>
      <c r="F126" s="0" t="s">
        <v>139</v>
      </c>
      <c r="G126" s="0" t="s">
        <v>5021</v>
      </c>
      <c r="H126" s="5" t="s">
        <v>1736</v>
      </c>
      <c r="K126" s="0" t="s">
        <v>36</v>
      </c>
      <c r="L126" s="0" t="s">
        <v>5022</v>
      </c>
    </row>
    <row r="127" customFormat="false" ht="17.15" hidden="false" customHeight="false" outlineLevel="0" collapsed="false">
      <c r="A127" s="0" t="s">
        <v>5023</v>
      </c>
      <c r="B127" s="0" t="s">
        <v>5018</v>
      </c>
      <c r="C127" s="0" t="s">
        <v>5024</v>
      </c>
      <c r="D127" s="0" t="s">
        <v>5025</v>
      </c>
      <c r="E127" s="0" t="s">
        <v>4498</v>
      </c>
      <c r="F127" s="0" t="s">
        <v>2098</v>
      </c>
      <c r="G127" s="0" t="s">
        <v>5026</v>
      </c>
      <c r="H127" s="5" t="s">
        <v>1902</v>
      </c>
      <c r="I127" s="0" t="s">
        <v>5027</v>
      </c>
      <c r="K127" s="0" t="s">
        <v>36</v>
      </c>
      <c r="L127" s="0" t="s">
        <v>5028</v>
      </c>
    </row>
    <row r="128" customFormat="false" ht="17.15" hidden="false" customHeight="false" outlineLevel="0" collapsed="false">
      <c r="A128" s="0" t="s">
        <v>5029</v>
      </c>
      <c r="B128" s="0" t="s">
        <v>5018</v>
      </c>
      <c r="C128" s="0" t="s">
        <v>5030</v>
      </c>
      <c r="D128" s="0" t="s">
        <v>5031</v>
      </c>
      <c r="E128" s="0" t="s">
        <v>4498</v>
      </c>
      <c r="F128" s="0" t="s">
        <v>5032</v>
      </c>
      <c r="G128" s="0" t="s">
        <v>5033</v>
      </c>
      <c r="H128" s="5" t="s">
        <v>1902</v>
      </c>
      <c r="K128" s="0" t="s">
        <v>36</v>
      </c>
      <c r="L128" s="0" t="s">
        <v>5034</v>
      </c>
    </row>
    <row r="129" customFormat="false" ht="17.15" hidden="false" customHeight="false" outlineLevel="0" collapsed="false">
      <c r="A129" s="0" t="s">
        <v>5035</v>
      </c>
      <c r="B129" s="0" t="s">
        <v>5018</v>
      </c>
      <c r="C129" s="0" t="s">
        <v>5036</v>
      </c>
      <c r="D129" s="0" t="s">
        <v>4823</v>
      </c>
      <c r="E129" s="0" t="s">
        <v>112</v>
      </c>
      <c r="F129" s="0" t="s">
        <v>2104</v>
      </c>
      <c r="G129" s="0" t="s">
        <v>5037</v>
      </c>
      <c r="H129" s="5" t="s">
        <v>1902</v>
      </c>
      <c r="J129" s="0" t="s">
        <v>5038</v>
      </c>
      <c r="K129" s="5" t="s">
        <v>4547</v>
      </c>
      <c r="L129" s="0" t="s">
        <v>5039</v>
      </c>
    </row>
    <row r="130" customFormat="false" ht="17.15" hidden="false" customHeight="false" outlineLevel="0" collapsed="false">
      <c r="A130" s="0" t="s">
        <v>5040</v>
      </c>
      <c r="B130" s="0" t="s">
        <v>5018</v>
      </c>
      <c r="C130" s="0" t="s">
        <v>5041</v>
      </c>
      <c r="D130" s="0" t="s">
        <v>5042</v>
      </c>
      <c r="E130" s="0" t="s">
        <v>112</v>
      </c>
      <c r="F130" s="0" t="s">
        <v>5043</v>
      </c>
      <c r="G130" s="0" t="s">
        <v>5044</v>
      </c>
      <c r="H130" s="5" t="s">
        <v>1902</v>
      </c>
      <c r="K130" s="0" t="s">
        <v>36</v>
      </c>
      <c r="L130" s="0" t="s">
        <v>5039</v>
      </c>
    </row>
    <row r="131" customFormat="false" ht="17.15" hidden="false" customHeight="false" outlineLevel="0" collapsed="false">
      <c r="A131" s="0" t="s">
        <v>5045</v>
      </c>
      <c r="B131" s="0" t="s">
        <v>5018</v>
      </c>
      <c r="C131" s="0" t="s">
        <v>5046</v>
      </c>
      <c r="D131" s="0" t="s">
        <v>5047</v>
      </c>
      <c r="E131" s="0" t="s">
        <v>112</v>
      </c>
      <c r="F131" s="0" t="s">
        <v>5048</v>
      </c>
      <c r="G131" s="0" t="s">
        <v>5049</v>
      </c>
      <c r="H131" s="5" t="s">
        <v>1902</v>
      </c>
      <c r="K131" s="0" t="s">
        <v>36</v>
      </c>
      <c r="L131" s="0" t="s">
        <v>5039</v>
      </c>
    </row>
    <row r="132" customFormat="false" ht="17.15" hidden="false" customHeight="false" outlineLevel="0" collapsed="false">
      <c r="A132" s="0" t="s">
        <v>5050</v>
      </c>
      <c r="B132" s="0" t="s">
        <v>5018</v>
      </c>
      <c r="C132" s="0" t="s">
        <v>5051</v>
      </c>
      <c r="D132" s="0" t="s">
        <v>5052</v>
      </c>
      <c r="E132" s="0" t="s">
        <v>112</v>
      </c>
      <c r="F132" s="0" t="s">
        <v>5053</v>
      </c>
      <c r="G132" s="0" t="s">
        <v>5049</v>
      </c>
      <c r="H132" s="5" t="s">
        <v>1902</v>
      </c>
      <c r="K132" s="0" t="s">
        <v>36</v>
      </c>
      <c r="L132" s="0" t="s">
        <v>5039</v>
      </c>
    </row>
    <row r="133" customFormat="false" ht="17.15" hidden="false" customHeight="false" outlineLevel="0" collapsed="false">
      <c r="A133" s="0" t="s">
        <v>5054</v>
      </c>
      <c r="B133" s="0" t="s">
        <v>5055</v>
      </c>
      <c r="C133" s="0" t="s">
        <v>5056</v>
      </c>
      <c r="D133" s="0" t="s">
        <v>5057</v>
      </c>
      <c r="E133" s="0" t="s">
        <v>112</v>
      </c>
      <c r="F133" s="0" t="s">
        <v>5058</v>
      </c>
      <c r="G133" s="0" t="s">
        <v>5049</v>
      </c>
      <c r="H133" s="5" t="s">
        <v>1902</v>
      </c>
      <c r="J133" s="0" t="s">
        <v>5059</v>
      </c>
      <c r="K133" s="5" t="s">
        <v>4547</v>
      </c>
      <c r="L133" s="0" t="s">
        <v>5039</v>
      </c>
    </row>
    <row r="134" customFormat="false" ht="17.15" hidden="false" customHeight="false" outlineLevel="0" collapsed="false">
      <c r="A134" s="0" t="s">
        <v>5060</v>
      </c>
      <c r="B134" s="0" t="s">
        <v>5055</v>
      </c>
      <c r="C134" s="0" t="s">
        <v>5061</v>
      </c>
      <c r="D134" s="0" t="s">
        <v>5062</v>
      </c>
      <c r="E134" s="0" t="s">
        <v>112</v>
      </c>
      <c r="F134" s="0" t="s">
        <v>4660</v>
      </c>
      <c r="G134" s="0" t="s">
        <v>5049</v>
      </c>
      <c r="H134" s="5" t="s">
        <v>1902</v>
      </c>
      <c r="J134" s="0" t="s">
        <v>5063</v>
      </c>
      <c r="K134" s="5" t="s">
        <v>4547</v>
      </c>
      <c r="L134" s="0" t="s">
        <v>5039</v>
      </c>
    </row>
    <row r="135" customFormat="false" ht="17.15" hidden="false" customHeight="false" outlineLevel="0" collapsed="false">
      <c r="A135" s="0" t="s">
        <v>5064</v>
      </c>
      <c r="B135" s="0" t="s">
        <v>5065</v>
      </c>
      <c r="C135" s="0" t="s">
        <v>5066</v>
      </c>
      <c r="D135" s="0" t="s">
        <v>5067</v>
      </c>
      <c r="E135" s="0" t="s">
        <v>112</v>
      </c>
      <c r="F135" s="0" t="s">
        <v>5068</v>
      </c>
      <c r="G135" s="0" t="s">
        <v>5069</v>
      </c>
      <c r="H135" s="5" t="s">
        <v>1756</v>
      </c>
      <c r="I135" s="5" t="s">
        <v>5070</v>
      </c>
      <c r="J135" s="0" t="s">
        <v>5071</v>
      </c>
      <c r="K135" s="5" t="s">
        <v>1895</v>
      </c>
      <c r="L135" s="0" t="s">
        <v>5072</v>
      </c>
    </row>
    <row r="136" customFormat="false" ht="17.15" hidden="false" customHeight="false" outlineLevel="0" collapsed="false">
      <c r="A136" s="0" t="s">
        <v>5073</v>
      </c>
      <c r="B136" s="0" t="s">
        <v>5074</v>
      </c>
      <c r="C136" s="0" t="s">
        <v>5075</v>
      </c>
      <c r="D136" s="0" t="s">
        <v>5076</v>
      </c>
      <c r="E136" s="0" t="s">
        <v>4498</v>
      </c>
      <c r="F136" s="0" t="s">
        <v>1974</v>
      </c>
      <c r="G136" s="0" t="s">
        <v>5077</v>
      </c>
      <c r="H136" s="5" t="s">
        <v>1902</v>
      </c>
      <c r="K136" s="0" t="s">
        <v>36</v>
      </c>
      <c r="L136" s="0" t="s">
        <v>5078</v>
      </c>
    </row>
    <row r="137" customFormat="false" ht="17.15" hidden="false" customHeight="false" outlineLevel="0" collapsed="false">
      <c r="A137" s="0" t="s">
        <v>5079</v>
      </c>
      <c r="B137" s="0" t="s">
        <v>5074</v>
      </c>
      <c r="C137" s="0" t="s">
        <v>5080</v>
      </c>
      <c r="D137" s="0" t="s">
        <v>5081</v>
      </c>
      <c r="E137" s="0" t="s">
        <v>112</v>
      </c>
      <c r="F137" s="0" t="s">
        <v>4555</v>
      </c>
      <c r="G137" s="0" t="s">
        <v>5049</v>
      </c>
      <c r="H137" s="5" t="s">
        <v>1902</v>
      </c>
      <c r="K137" s="0" t="s">
        <v>36</v>
      </c>
      <c r="L137" s="0" t="s">
        <v>5039</v>
      </c>
    </row>
    <row r="138" customFormat="false" ht="17.15" hidden="false" customHeight="false" outlineLevel="0" collapsed="false">
      <c r="A138" s="0" t="s">
        <v>5082</v>
      </c>
      <c r="B138" s="0" t="s">
        <v>5074</v>
      </c>
      <c r="C138" s="0" t="s">
        <v>5083</v>
      </c>
      <c r="D138" s="0" t="s">
        <v>5084</v>
      </c>
      <c r="E138" s="0" t="s">
        <v>112</v>
      </c>
      <c r="F138" s="0" t="s">
        <v>5085</v>
      </c>
      <c r="G138" s="0" t="s">
        <v>5044</v>
      </c>
      <c r="H138" s="5" t="s">
        <v>1902</v>
      </c>
      <c r="K138" s="0" t="s">
        <v>36</v>
      </c>
      <c r="L138" s="0" t="s">
        <v>5039</v>
      </c>
    </row>
    <row r="139" customFormat="false" ht="17.15" hidden="false" customHeight="false" outlineLevel="0" collapsed="false">
      <c r="A139" s="0" t="s">
        <v>5086</v>
      </c>
      <c r="B139" s="0" t="s">
        <v>5087</v>
      </c>
      <c r="C139" s="0" t="s">
        <v>5088</v>
      </c>
      <c r="D139" s="0" t="s">
        <v>4579</v>
      </c>
      <c r="E139" s="0" t="s">
        <v>4498</v>
      </c>
      <c r="F139" s="0" t="s">
        <v>5089</v>
      </c>
      <c r="G139" s="0" t="s">
        <v>5090</v>
      </c>
      <c r="H139" s="5" t="s">
        <v>1902</v>
      </c>
      <c r="I139" s="0" t="s">
        <v>5091</v>
      </c>
      <c r="K139" s="0" t="s">
        <v>36</v>
      </c>
      <c r="L139" s="0" t="s">
        <v>5028</v>
      </c>
    </row>
    <row r="140" customFormat="false" ht="17.15" hidden="false" customHeight="false" outlineLevel="0" collapsed="false">
      <c r="A140" s="0" t="s">
        <v>5092</v>
      </c>
      <c r="B140" s="0" t="s">
        <v>5093</v>
      </c>
      <c r="C140" s="0" t="s">
        <v>5094</v>
      </c>
      <c r="D140" s="0" t="s">
        <v>4579</v>
      </c>
      <c r="E140" s="0" t="s">
        <v>4498</v>
      </c>
      <c r="F140" s="0" t="s">
        <v>4705</v>
      </c>
      <c r="G140" s="0" t="s">
        <v>5095</v>
      </c>
      <c r="H140" s="5" t="s">
        <v>1902</v>
      </c>
      <c r="K140" s="0" t="s">
        <v>36</v>
      </c>
      <c r="L140" s="0" t="s">
        <v>4706</v>
      </c>
    </row>
    <row r="141" customFormat="false" ht="17.15" hidden="false" customHeight="false" outlineLevel="0" collapsed="false">
      <c r="A141" s="0" t="s">
        <v>5096</v>
      </c>
      <c r="B141" s="0" t="s">
        <v>5093</v>
      </c>
      <c r="C141" s="0" t="s">
        <v>5097</v>
      </c>
      <c r="D141" s="0" t="s">
        <v>5098</v>
      </c>
      <c r="E141" s="0" t="s">
        <v>4498</v>
      </c>
      <c r="F141" s="0" t="s">
        <v>5099</v>
      </c>
      <c r="G141" s="0" t="s">
        <v>5100</v>
      </c>
      <c r="H141" s="5" t="s">
        <v>1736</v>
      </c>
      <c r="K141" s="0" t="s">
        <v>36</v>
      </c>
      <c r="L141" s="0" t="s">
        <v>5101</v>
      </c>
    </row>
    <row r="142" customFormat="false" ht="17.15" hidden="false" customHeight="false" outlineLevel="0" collapsed="false">
      <c r="A142" s="0" t="s">
        <v>5102</v>
      </c>
      <c r="B142" s="0" t="s">
        <v>5103</v>
      </c>
      <c r="C142" s="0" t="s">
        <v>5104</v>
      </c>
      <c r="D142" s="0" t="s">
        <v>5105</v>
      </c>
      <c r="E142" s="0" t="s">
        <v>4498</v>
      </c>
      <c r="F142" s="0" t="s">
        <v>5099</v>
      </c>
      <c r="G142" s="0" t="s">
        <v>5106</v>
      </c>
      <c r="H142" s="5" t="s">
        <v>1736</v>
      </c>
      <c r="K142" s="0" t="s">
        <v>36</v>
      </c>
      <c r="L142" s="0" t="s">
        <v>5101</v>
      </c>
    </row>
    <row r="143" customFormat="false" ht="17.15" hidden="false" customHeight="false" outlineLevel="0" collapsed="false">
      <c r="A143" s="0" t="s">
        <v>5107</v>
      </c>
      <c r="B143" s="0" t="s">
        <v>5108</v>
      </c>
      <c r="C143" s="0" t="s">
        <v>5109</v>
      </c>
      <c r="D143" s="0" t="s">
        <v>5110</v>
      </c>
      <c r="E143" s="0" t="s">
        <v>4498</v>
      </c>
      <c r="F143" s="0" t="s">
        <v>2382</v>
      </c>
      <c r="G143" s="0" t="s">
        <v>5111</v>
      </c>
      <c r="H143" s="5" t="s">
        <v>1736</v>
      </c>
      <c r="K143" s="0" t="s">
        <v>36</v>
      </c>
      <c r="L143" s="0" t="s">
        <v>5112</v>
      </c>
    </row>
    <row r="144" customFormat="false" ht="17.15" hidden="false" customHeight="false" outlineLevel="0" collapsed="false">
      <c r="A144" s="0" t="s">
        <v>5113</v>
      </c>
      <c r="B144" s="0" t="s">
        <v>5114</v>
      </c>
      <c r="C144" s="0" t="s">
        <v>5115</v>
      </c>
      <c r="D144" s="0" t="s">
        <v>4994</v>
      </c>
      <c r="E144" s="0" t="s">
        <v>4498</v>
      </c>
      <c r="F144" s="0" t="s">
        <v>5116</v>
      </c>
      <c r="G144" s="0" t="s">
        <v>5117</v>
      </c>
      <c r="H144" s="5" t="s">
        <v>1902</v>
      </c>
      <c r="K144" s="0" t="s">
        <v>36</v>
      </c>
      <c r="L144" s="0" t="s">
        <v>5118</v>
      </c>
    </row>
    <row r="145" customFormat="false" ht="17.15" hidden="false" customHeight="false" outlineLevel="0" collapsed="false">
      <c r="A145" s="0" t="s">
        <v>5119</v>
      </c>
      <c r="B145" s="0" t="s">
        <v>5120</v>
      </c>
      <c r="C145" s="0" t="s">
        <v>5121</v>
      </c>
      <c r="D145" s="0" t="s">
        <v>5122</v>
      </c>
      <c r="E145" s="0" t="s">
        <v>5123</v>
      </c>
      <c r="F145" s="0" t="s">
        <v>4811</v>
      </c>
      <c r="G145" s="0" t="s">
        <v>5124</v>
      </c>
      <c r="H145" s="5" t="s">
        <v>1902</v>
      </c>
      <c r="J145" s="0" t="s">
        <v>674</v>
      </c>
      <c r="K145" s="5" t="s">
        <v>4631</v>
      </c>
      <c r="L145" s="0" t="s">
        <v>5125</v>
      </c>
    </row>
    <row r="146" customFormat="false" ht="17.15" hidden="false" customHeight="false" outlineLevel="0" collapsed="false">
      <c r="A146" s="0" t="s">
        <v>5126</v>
      </c>
      <c r="B146" s="0" t="s">
        <v>5127</v>
      </c>
      <c r="C146" s="0" t="s">
        <v>5128</v>
      </c>
      <c r="D146" s="0" t="s">
        <v>5129</v>
      </c>
      <c r="E146" s="0" t="s">
        <v>4498</v>
      </c>
      <c r="F146" s="0" t="s">
        <v>5130</v>
      </c>
      <c r="G146" s="0" t="s">
        <v>5131</v>
      </c>
      <c r="H146" s="5" t="s">
        <v>1902</v>
      </c>
      <c r="I146" s="0" t="s">
        <v>5132</v>
      </c>
      <c r="J146" s="0" t="s">
        <v>677</v>
      </c>
      <c r="K146" s="5" t="s">
        <v>4547</v>
      </c>
      <c r="L146" s="0" t="s">
        <v>5133</v>
      </c>
    </row>
    <row r="147" customFormat="false" ht="17.15" hidden="false" customHeight="false" outlineLevel="0" collapsed="false">
      <c r="A147" s="0" t="s">
        <v>5134</v>
      </c>
      <c r="B147" s="0" t="s">
        <v>1323</v>
      </c>
      <c r="C147" s="0" t="s">
        <v>5135</v>
      </c>
      <c r="D147" s="0" t="s">
        <v>5025</v>
      </c>
      <c r="E147" s="0" t="s">
        <v>4498</v>
      </c>
      <c r="F147" s="0" t="s">
        <v>5136</v>
      </c>
      <c r="G147" s="0" t="s">
        <v>5137</v>
      </c>
      <c r="H147" s="5" t="s">
        <v>1902</v>
      </c>
      <c r="K147" s="0" t="s">
        <v>36</v>
      </c>
      <c r="L147" s="0" t="s">
        <v>5138</v>
      </c>
    </row>
    <row r="148" customFormat="false" ht="17.15" hidden="false" customHeight="false" outlineLevel="0" collapsed="false">
      <c r="A148" s="0" t="s">
        <v>5139</v>
      </c>
      <c r="B148" s="0" t="s">
        <v>5140</v>
      </c>
      <c r="C148" s="0" t="s">
        <v>5141</v>
      </c>
      <c r="D148" s="0" t="s">
        <v>5142</v>
      </c>
      <c r="E148" s="0" t="s">
        <v>4498</v>
      </c>
      <c r="F148" s="0" t="s">
        <v>4617</v>
      </c>
      <c r="G148" s="0" t="s">
        <v>5143</v>
      </c>
      <c r="H148" s="5" t="s">
        <v>1736</v>
      </c>
      <c r="K148" s="0" t="s">
        <v>36</v>
      </c>
      <c r="L148" s="0" t="s">
        <v>4620</v>
      </c>
    </row>
    <row r="149" customFormat="false" ht="17.15" hidden="false" customHeight="false" outlineLevel="0" collapsed="false">
      <c r="A149" s="12" t="s">
        <v>5144</v>
      </c>
      <c r="B149" s="12" t="s">
        <v>5145</v>
      </c>
      <c r="C149" s="12" t="s">
        <v>5146</v>
      </c>
      <c r="D149" s="12" t="s">
        <v>5147</v>
      </c>
      <c r="E149" s="12" t="s">
        <v>4498</v>
      </c>
      <c r="F149" s="12" t="s">
        <v>4624</v>
      </c>
      <c r="G149" s="12" t="s">
        <v>4625</v>
      </c>
      <c r="H149" s="13" t="s">
        <v>1929</v>
      </c>
      <c r="I149" s="13" t="s">
        <v>5148</v>
      </c>
      <c r="J149" s="12"/>
      <c r="K149" s="12" t="s">
        <v>36</v>
      </c>
      <c r="L149" s="12" t="s">
        <v>4627</v>
      </c>
    </row>
    <row r="150" customFormat="false" ht="17.15" hidden="false" customHeight="false" outlineLevel="0" collapsed="false">
      <c r="A150" s="0" t="s">
        <v>5149</v>
      </c>
      <c r="B150" s="0" t="s">
        <v>5150</v>
      </c>
      <c r="C150" s="0" t="s">
        <v>5151</v>
      </c>
      <c r="D150" s="0" t="s">
        <v>5152</v>
      </c>
      <c r="E150" s="0" t="s">
        <v>112</v>
      </c>
      <c r="F150" s="0" t="s">
        <v>5153</v>
      </c>
      <c r="G150" s="0" t="s">
        <v>5049</v>
      </c>
      <c r="H150" s="5" t="s">
        <v>1902</v>
      </c>
      <c r="K150" s="0" t="s">
        <v>36</v>
      </c>
      <c r="L150" s="0" t="s">
        <v>5154</v>
      </c>
    </row>
    <row r="151" customFormat="false" ht="17.15" hidden="false" customHeight="false" outlineLevel="0" collapsed="false">
      <c r="A151" s="0" t="s">
        <v>5155</v>
      </c>
      <c r="B151" s="0" t="s">
        <v>5150</v>
      </c>
      <c r="C151" s="0" t="s">
        <v>5156</v>
      </c>
      <c r="D151" s="0" t="s">
        <v>5105</v>
      </c>
      <c r="E151" s="0" t="s">
        <v>4498</v>
      </c>
      <c r="F151" s="0" t="s">
        <v>4697</v>
      </c>
      <c r="G151" s="0" t="s">
        <v>5157</v>
      </c>
      <c r="H151" s="5" t="s">
        <v>1902</v>
      </c>
      <c r="K151" s="0" t="s">
        <v>36</v>
      </c>
      <c r="L151" s="0" t="s">
        <v>5158</v>
      </c>
    </row>
    <row r="152" customFormat="false" ht="17.15" hidden="false" customHeight="false" outlineLevel="0" collapsed="false">
      <c r="A152" s="0" t="s">
        <v>5159</v>
      </c>
      <c r="B152" s="0" t="s">
        <v>5160</v>
      </c>
      <c r="C152" s="0" t="s">
        <v>5161</v>
      </c>
      <c r="D152" s="0" t="s">
        <v>5162</v>
      </c>
      <c r="E152" s="0" t="s">
        <v>4498</v>
      </c>
      <c r="F152" s="0" t="s">
        <v>2411</v>
      </c>
      <c r="G152" s="0" t="s">
        <v>5163</v>
      </c>
      <c r="H152" s="5" t="s">
        <v>1736</v>
      </c>
      <c r="I152" s="0" t="s">
        <v>5164</v>
      </c>
      <c r="J152" s="0" t="s">
        <v>201</v>
      </c>
      <c r="K152" s="5" t="s">
        <v>1895</v>
      </c>
      <c r="L152" s="0" t="s">
        <v>2413</v>
      </c>
    </row>
    <row r="153" customFormat="false" ht="17.15" hidden="false" customHeight="false" outlineLevel="0" collapsed="false">
      <c r="A153" s="12" t="s">
        <v>5165</v>
      </c>
      <c r="B153" s="12" t="s">
        <v>5166</v>
      </c>
      <c r="C153" s="12" t="s">
        <v>5167</v>
      </c>
      <c r="D153" s="12" t="s">
        <v>5168</v>
      </c>
      <c r="E153" s="12" t="s">
        <v>4498</v>
      </c>
      <c r="F153" s="12" t="s">
        <v>5169</v>
      </c>
      <c r="G153" s="12" t="s">
        <v>5170</v>
      </c>
      <c r="H153" s="13" t="s">
        <v>1929</v>
      </c>
      <c r="I153" s="12" t="s">
        <v>5171</v>
      </c>
      <c r="J153" s="12" t="s">
        <v>533</v>
      </c>
      <c r="K153" s="13" t="s">
        <v>4547</v>
      </c>
      <c r="L153" s="12" t="s">
        <v>5172</v>
      </c>
    </row>
    <row r="154" customFormat="false" ht="17.15" hidden="false" customHeight="false" outlineLevel="0" collapsed="false">
      <c r="A154" s="0" t="s">
        <v>5173</v>
      </c>
      <c r="B154" s="0" t="s">
        <v>5174</v>
      </c>
      <c r="C154" s="0" t="s">
        <v>5175</v>
      </c>
      <c r="D154" s="0" t="s">
        <v>5176</v>
      </c>
      <c r="E154" s="0" t="s">
        <v>4498</v>
      </c>
      <c r="F154" s="0" t="s">
        <v>5177</v>
      </c>
      <c r="G154" s="0" t="s">
        <v>142</v>
      </c>
      <c r="H154" s="5" t="s">
        <v>1902</v>
      </c>
      <c r="J154" s="0" t="s">
        <v>686</v>
      </c>
      <c r="K154" s="5" t="s">
        <v>4631</v>
      </c>
      <c r="L154" s="0" t="s">
        <v>5178</v>
      </c>
    </row>
    <row r="155" customFormat="false" ht="17.15" hidden="false" customHeight="false" outlineLevel="0" collapsed="false">
      <c r="A155" s="0" t="s">
        <v>5179</v>
      </c>
      <c r="B155" s="0" t="s">
        <v>5180</v>
      </c>
      <c r="C155" s="0" t="s">
        <v>5181</v>
      </c>
      <c r="D155" s="0" t="s">
        <v>5182</v>
      </c>
      <c r="E155" s="0" t="s">
        <v>112</v>
      </c>
      <c r="F155" s="0" t="s">
        <v>5183</v>
      </c>
      <c r="G155" s="0" t="s">
        <v>5184</v>
      </c>
      <c r="H155" s="5" t="s">
        <v>1756</v>
      </c>
      <c r="I155" s="5" t="s">
        <v>5185</v>
      </c>
      <c r="J155" s="0" t="s">
        <v>4967</v>
      </c>
      <c r="K155" s="5" t="s">
        <v>1895</v>
      </c>
      <c r="L155" s="0" t="s">
        <v>4968</v>
      </c>
    </row>
    <row r="156" customFormat="false" ht="17.15" hidden="false" customHeight="false" outlineLevel="0" collapsed="false">
      <c r="A156" s="0" t="s">
        <v>5186</v>
      </c>
      <c r="B156" s="0" t="s">
        <v>5187</v>
      </c>
      <c r="C156" s="0" t="s">
        <v>5188</v>
      </c>
      <c r="D156" s="0" t="s">
        <v>5189</v>
      </c>
      <c r="E156" s="0" t="s">
        <v>4498</v>
      </c>
      <c r="F156" s="0" t="s">
        <v>4849</v>
      </c>
      <c r="G156" s="0" t="s">
        <v>5137</v>
      </c>
      <c r="H156" s="5" t="s">
        <v>1902</v>
      </c>
      <c r="I156" s="0" t="s">
        <v>5190</v>
      </c>
      <c r="K156" s="0" t="s">
        <v>36</v>
      </c>
      <c r="L156" s="0" t="s">
        <v>5191</v>
      </c>
    </row>
    <row r="157" customFormat="false" ht="17.15" hidden="false" customHeight="false" outlineLevel="0" collapsed="false">
      <c r="A157" s="0" t="s">
        <v>5192</v>
      </c>
      <c r="B157" s="0" t="s">
        <v>5193</v>
      </c>
      <c r="C157" s="0" t="s">
        <v>5194</v>
      </c>
      <c r="D157" s="0" t="s">
        <v>5195</v>
      </c>
      <c r="E157" s="0" t="s">
        <v>4498</v>
      </c>
      <c r="F157" s="0" t="s">
        <v>4924</v>
      </c>
      <c r="G157" s="0" t="s">
        <v>5196</v>
      </c>
      <c r="H157" s="5" t="s">
        <v>1902</v>
      </c>
      <c r="K157" s="0" t="s">
        <v>36</v>
      </c>
      <c r="L157" s="0" t="s">
        <v>5197</v>
      </c>
    </row>
    <row r="158" customFormat="false" ht="17.15" hidden="false" customHeight="false" outlineLevel="0" collapsed="false">
      <c r="A158" s="0" t="s">
        <v>5198</v>
      </c>
      <c r="B158" s="0" t="s">
        <v>5199</v>
      </c>
      <c r="C158" s="0" t="s">
        <v>5200</v>
      </c>
      <c r="D158" s="0" t="s">
        <v>5201</v>
      </c>
      <c r="E158" s="0" t="s">
        <v>4498</v>
      </c>
      <c r="F158" s="0" t="s">
        <v>4950</v>
      </c>
      <c r="G158" s="0" t="s">
        <v>5202</v>
      </c>
      <c r="H158" s="5" t="s">
        <v>1902</v>
      </c>
      <c r="K158" s="0" t="s">
        <v>36</v>
      </c>
      <c r="L158" s="0" t="s">
        <v>5203</v>
      </c>
    </row>
    <row r="159" customFormat="false" ht="17.15" hidden="false" customHeight="false" outlineLevel="0" collapsed="false">
      <c r="A159" s="0" t="s">
        <v>5204</v>
      </c>
      <c r="B159" s="0" t="s">
        <v>5205</v>
      </c>
      <c r="C159" s="0" t="s">
        <v>5206</v>
      </c>
      <c r="D159" s="0" t="s">
        <v>5207</v>
      </c>
      <c r="E159" s="0" t="s">
        <v>4498</v>
      </c>
      <c r="F159" s="0" t="s">
        <v>5183</v>
      </c>
      <c r="G159" s="0" t="s">
        <v>142</v>
      </c>
      <c r="H159" s="5" t="s">
        <v>1902</v>
      </c>
      <c r="K159" s="0" t="s">
        <v>36</v>
      </c>
      <c r="L159" s="0" t="s">
        <v>5208</v>
      </c>
    </row>
    <row r="160" customFormat="false" ht="17.15" hidden="false" customHeight="false" outlineLevel="0" collapsed="false">
      <c r="A160" s="0" t="s">
        <v>5209</v>
      </c>
      <c r="B160" s="0" t="s">
        <v>5210</v>
      </c>
      <c r="C160" s="0" t="s">
        <v>5211</v>
      </c>
      <c r="D160" s="0" t="s">
        <v>4630</v>
      </c>
      <c r="E160" s="0" t="s">
        <v>4498</v>
      </c>
      <c r="F160" s="0" t="s">
        <v>4569</v>
      </c>
      <c r="G160" s="0" t="s">
        <v>5212</v>
      </c>
      <c r="H160" s="5" t="s">
        <v>1902</v>
      </c>
      <c r="J160" s="0" t="s">
        <v>683</v>
      </c>
      <c r="K160" s="5" t="s">
        <v>4631</v>
      </c>
      <c r="L160" s="0" t="s">
        <v>5213</v>
      </c>
    </row>
    <row r="161" customFormat="false" ht="17.15" hidden="false" customHeight="false" outlineLevel="0" collapsed="false">
      <c r="A161" s="0" t="s">
        <v>5214</v>
      </c>
      <c r="B161" s="0" t="s">
        <v>5215</v>
      </c>
      <c r="C161" s="0" t="s">
        <v>5216</v>
      </c>
      <c r="D161" s="0" t="s">
        <v>5098</v>
      </c>
      <c r="E161" s="0" t="s">
        <v>4498</v>
      </c>
      <c r="F161" s="0" t="s">
        <v>4646</v>
      </c>
      <c r="G161" s="0" t="s">
        <v>5217</v>
      </c>
      <c r="H161" s="5" t="s">
        <v>1902</v>
      </c>
      <c r="K161" s="0" t="s">
        <v>36</v>
      </c>
      <c r="L161" s="0" t="s">
        <v>5218</v>
      </c>
    </row>
    <row r="162" customFormat="false" ht="17.15" hidden="false" customHeight="false" outlineLevel="0" collapsed="false">
      <c r="A162" s="0" t="s">
        <v>5219</v>
      </c>
      <c r="B162" s="0" t="s">
        <v>5220</v>
      </c>
      <c r="C162" s="0" t="s">
        <v>5221</v>
      </c>
      <c r="D162" s="0" t="s">
        <v>4579</v>
      </c>
      <c r="E162" s="0" t="s">
        <v>4498</v>
      </c>
      <c r="F162" s="0" t="s">
        <v>5222</v>
      </c>
      <c r="G162" s="0" t="s">
        <v>5223</v>
      </c>
      <c r="H162" s="5" t="s">
        <v>1902</v>
      </c>
      <c r="K162" s="0" t="s">
        <v>36</v>
      </c>
      <c r="L162" s="0" t="s">
        <v>5224</v>
      </c>
    </row>
    <row r="163" customFormat="false" ht="17.15" hidden="false" customHeight="false" outlineLevel="0" collapsed="false">
      <c r="A163" s="0" t="s">
        <v>5225</v>
      </c>
      <c r="B163" s="0" t="s">
        <v>1324</v>
      </c>
      <c r="C163" s="0" t="s">
        <v>5226</v>
      </c>
      <c r="D163" s="0" t="s">
        <v>5227</v>
      </c>
      <c r="E163" s="0" t="s">
        <v>4498</v>
      </c>
      <c r="F163" s="0" t="s">
        <v>5228</v>
      </c>
      <c r="G163" s="0" t="s">
        <v>5229</v>
      </c>
      <c r="H163" s="5" t="s">
        <v>1736</v>
      </c>
      <c r="K163" s="0" t="s">
        <v>36</v>
      </c>
      <c r="L163" s="0" t="s">
        <v>5230</v>
      </c>
    </row>
    <row r="164" customFormat="false" ht="17.15" hidden="false" customHeight="false" outlineLevel="0" collapsed="false">
      <c r="A164" s="0" t="s">
        <v>5231</v>
      </c>
      <c r="B164" s="0" t="s">
        <v>1324</v>
      </c>
      <c r="C164" s="0" t="s">
        <v>5232</v>
      </c>
      <c r="D164" s="0" t="s">
        <v>5105</v>
      </c>
      <c r="E164" s="0" t="s">
        <v>4498</v>
      </c>
      <c r="F164" s="0" t="s">
        <v>5233</v>
      </c>
      <c r="G164" s="0" t="s">
        <v>5234</v>
      </c>
      <c r="H164" s="5" t="s">
        <v>1736</v>
      </c>
      <c r="J164" s="0" t="s">
        <v>472</v>
      </c>
      <c r="K164" s="5" t="s">
        <v>1895</v>
      </c>
      <c r="L164" s="0" t="s">
        <v>5235</v>
      </c>
    </row>
    <row r="165" customFormat="false" ht="17.15" hidden="false" customHeight="false" outlineLevel="0" collapsed="false">
      <c r="A165" s="0" t="s">
        <v>5236</v>
      </c>
      <c r="B165" s="0" t="s">
        <v>5237</v>
      </c>
      <c r="C165" s="0" t="s">
        <v>5238</v>
      </c>
      <c r="D165" s="0" t="s">
        <v>5239</v>
      </c>
      <c r="E165" s="0" t="s">
        <v>5240</v>
      </c>
      <c r="F165" s="0" t="s">
        <v>120</v>
      </c>
      <c r="G165" s="0" t="s">
        <v>5241</v>
      </c>
      <c r="H165" s="5" t="s">
        <v>1736</v>
      </c>
      <c r="J165" s="0" t="s">
        <v>5242</v>
      </c>
      <c r="K165" s="5" t="s">
        <v>1895</v>
      </c>
      <c r="L165" s="0" t="s">
        <v>5243</v>
      </c>
    </row>
    <row r="166" customFormat="false" ht="17.15" hidden="false" customHeight="false" outlineLevel="0" collapsed="false">
      <c r="A166" s="0" t="s">
        <v>5244</v>
      </c>
      <c r="B166" s="0" t="s">
        <v>5237</v>
      </c>
      <c r="C166" s="0" t="s">
        <v>5245</v>
      </c>
      <c r="D166" s="0" t="s">
        <v>5246</v>
      </c>
      <c r="E166" s="0" t="s">
        <v>112</v>
      </c>
      <c r="F166" s="0" t="s">
        <v>5247</v>
      </c>
      <c r="G166" s="0" t="s">
        <v>5049</v>
      </c>
      <c r="H166" s="5" t="s">
        <v>1756</v>
      </c>
      <c r="I166" s="0" t="s">
        <v>5248</v>
      </c>
      <c r="J166" s="0" t="s">
        <v>5249</v>
      </c>
      <c r="K166" s="5" t="s">
        <v>1895</v>
      </c>
      <c r="L166" s="0" t="s">
        <v>5250</v>
      </c>
    </row>
    <row r="167" customFormat="false" ht="17.15" hidden="false" customHeight="false" outlineLevel="0" collapsed="false">
      <c r="A167" s="0" t="s">
        <v>5251</v>
      </c>
      <c r="B167" s="0" t="s">
        <v>5237</v>
      </c>
      <c r="C167" s="0" t="s">
        <v>5252</v>
      </c>
      <c r="D167" s="0" t="s">
        <v>4883</v>
      </c>
      <c r="E167" s="0" t="s">
        <v>4498</v>
      </c>
      <c r="F167" s="0" t="s">
        <v>2558</v>
      </c>
      <c r="G167" s="0" t="s">
        <v>5253</v>
      </c>
      <c r="H167" s="5" t="s">
        <v>1736</v>
      </c>
      <c r="K167" s="0" t="s">
        <v>36</v>
      </c>
      <c r="L167" s="0" t="s">
        <v>5172</v>
      </c>
    </row>
    <row r="168" customFormat="false" ht="17.15" hidden="false" customHeight="false" outlineLevel="0" collapsed="false">
      <c r="A168" s="0" t="s">
        <v>5254</v>
      </c>
      <c r="B168" s="0" t="s">
        <v>5255</v>
      </c>
      <c r="C168" s="0" t="s">
        <v>5256</v>
      </c>
      <c r="D168" s="0" t="s">
        <v>4579</v>
      </c>
      <c r="E168" s="0" t="s">
        <v>4498</v>
      </c>
      <c r="F168" s="0" t="s">
        <v>5257</v>
      </c>
      <c r="G168" s="0" t="s">
        <v>5258</v>
      </c>
      <c r="H168" s="5" t="s">
        <v>1736</v>
      </c>
      <c r="J168" s="0" t="s">
        <v>533</v>
      </c>
      <c r="K168" s="5" t="s">
        <v>1895</v>
      </c>
      <c r="L168" s="0" t="s">
        <v>5259</v>
      </c>
    </row>
    <row r="169" customFormat="false" ht="17.15" hidden="false" customHeight="false" outlineLevel="0" collapsed="false">
      <c r="A169" s="0" t="s">
        <v>5260</v>
      </c>
      <c r="B169" s="5" t="s">
        <v>5261</v>
      </c>
      <c r="C169" s="5" t="s">
        <v>5262</v>
      </c>
      <c r="D169" s="0" t="s">
        <v>5263</v>
      </c>
      <c r="E169" s="0" t="s">
        <v>4498</v>
      </c>
      <c r="F169" s="0" t="s">
        <v>120</v>
      </c>
      <c r="G169" s="0" t="s">
        <v>5264</v>
      </c>
      <c r="H169" s="5" t="s">
        <v>1902</v>
      </c>
      <c r="K169" s="0" t="s">
        <v>36</v>
      </c>
      <c r="L169" s="0" t="s">
        <v>5265</v>
      </c>
    </row>
    <row r="170" customFormat="false" ht="17.15" hidden="false" customHeight="false" outlineLevel="0" collapsed="false">
      <c r="A170" s="0" t="s">
        <v>5266</v>
      </c>
      <c r="B170" s="5" t="s">
        <v>5261</v>
      </c>
      <c r="C170" s="5" t="s">
        <v>5267</v>
      </c>
      <c r="D170" s="0" t="s">
        <v>5268</v>
      </c>
      <c r="E170" s="0" t="s">
        <v>4498</v>
      </c>
      <c r="F170" s="0" t="s">
        <v>2277</v>
      </c>
      <c r="G170" s="0" t="s">
        <v>5269</v>
      </c>
      <c r="H170" s="5" t="s">
        <v>1736</v>
      </c>
      <c r="J170" s="0" t="s">
        <v>5270</v>
      </c>
      <c r="K170" s="5" t="s">
        <v>1895</v>
      </c>
      <c r="L170" s="0" t="s">
        <v>5271</v>
      </c>
    </row>
    <row r="171" customFormat="false" ht="17.15" hidden="false" customHeight="false" outlineLevel="0" collapsed="false">
      <c r="A171" s="0" t="s">
        <v>5272</v>
      </c>
      <c r="B171" s="5" t="s">
        <v>5273</v>
      </c>
      <c r="C171" s="5" t="s">
        <v>5274</v>
      </c>
      <c r="D171" s="0" t="s">
        <v>5275</v>
      </c>
      <c r="E171" s="0" t="s">
        <v>4498</v>
      </c>
      <c r="F171" s="0" t="s">
        <v>5276</v>
      </c>
      <c r="G171" s="0" t="s">
        <v>5277</v>
      </c>
      <c r="H171" s="5" t="s">
        <v>1902</v>
      </c>
      <c r="K171" s="0" t="s">
        <v>36</v>
      </c>
      <c r="L171" s="0" t="s">
        <v>5278</v>
      </c>
    </row>
    <row r="172" customFormat="false" ht="17.15" hidden="false" customHeight="false" outlineLevel="0" collapsed="false">
      <c r="A172" s="0" t="s">
        <v>5279</v>
      </c>
      <c r="B172" s="5" t="s">
        <v>5280</v>
      </c>
      <c r="C172" s="5" t="s">
        <v>5281</v>
      </c>
      <c r="D172" s="0" t="s">
        <v>5282</v>
      </c>
      <c r="E172" s="0" t="s">
        <v>4498</v>
      </c>
      <c r="F172" s="0" t="s">
        <v>120</v>
      </c>
      <c r="G172" s="0" t="s">
        <v>5283</v>
      </c>
      <c r="H172" s="5" t="s">
        <v>1902</v>
      </c>
      <c r="K172" s="0" t="s">
        <v>36</v>
      </c>
      <c r="L172" s="0" t="s">
        <v>5284</v>
      </c>
    </row>
    <row r="173" customFormat="false" ht="17.15" hidden="false" customHeight="false" outlineLevel="0" collapsed="false">
      <c r="A173" s="0" t="s">
        <v>5285</v>
      </c>
      <c r="B173" s="5" t="s">
        <v>5286</v>
      </c>
      <c r="C173" s="5" t="s">
        <v>5287</v>
      </c>
      <c r="D173" s="0" t="s">
        <v>5288</v>
      </c>
      <c r="E173" s="0" t="s">
        <v>4498</v>
      </c>
      <c r="F173" s="0" t="s">
        <v>120</v>
      </c>
      <c r="G173" s="0" t="s">
        <v>5289</v>
      </c>
      <c r="H173" s="5" t="s">
        <v>1902</v>
      </c>
      <c r="K173" s="0" t="s">
        <v>36</v>
      </c>
      <c r="L173" s="0" t="s">
        <v>5290</v>
      </c>
    </row>
    <row r="174" customFormat="false" ht="17.15" hidden="false" customHeight="false" outlineLevel="0" collapsed="false">
      <c r="A174" s="0" t="s">
        <v>5291</v>
      </c>
      <c r="B174" s="5" t="s">
        <v>5292</v>
      </c>
      <c r="C174" s="5" t="s">
        <v>5293</v>
      </c>
      <c r="D174" s="0" t="s">
        <v>5294</v>
      </c>
      <c r="E174" s="0" t="s">
        <v>4498</v>
      </c>
      <c r="F174" s="0" t="s">
        <v>4569</v>
      </c>
      <c r="G174" s="0" t="s">
        <v>5295</v>
      </c>
      <c r="H174" s="5" t="s">
        <v>1902</v>
      </c>
      <c r="K174" s="0" t="s">
        <v>36</v>
      </c>
      <c r="L174" s="0" t="s">
        <v>5296</v>
      </c>
    </row>
    <row r="175" customFormat="false" ht="17.15" hidden="false" customHeight="false" outlineLevel="0" collapsed="false">
      <c r="A175" s="0" t="s">
        <v>5297</v>
      </c>
      <c r="B175" s="5" t="s">
        <v>5298</v>
      </c>
      <c r="C175" s="5" t="s">
        <v>5299</v>
      </c>
      <c r="D175" s="0" t="s">
        <v>5300</v>
      </c>
      <c r="E175" s="0" t="s">
        <v>5301</v>
      </c>
      <c r="F175" s="0" t="s">
        <v>5302</v>
      </c>
      <c r="G175" s="0" t="s">
        <v>5303</v>
      </c>
      <c r="H175" s="5" t="s">
        <v>1902</v>
      </c>
      <c r="K175" s="0" t="s">
        <v>36</v>
      </c>
      <c r="L175" s="0" t="s">
        <v>5304</v>
      </c>
    </row>
    <row r="176" customFormat="false" ht="17.15" hidden="false" customHeight="false" outlineLevel="0" collapsed="false">
      <c r="A176" s="0" t="s">
        <v>5305</v>
      </c>
      <c r="B176" s="5" t="s">
        <v>5306</v>
      </c>
      <c r="C176" s="5" t="s">
        <v>5307</v>
      </c>
      <c r="D176" s="0" t="s">
        <v>5308</v>
      </c>
      <c r="E176" s="0" t="s">
        <v>5301</v>
      </c>
      <c r="F176" s="0" t="s">
        <v>5309</v>
      </c>
      <c r="G176" s="0" t="s">
        <v>5137</v>
      </c>
      <c r="H176" s="5" t="s">
        <v>1902</v>
      </c>
      <c r="J176" s="0" t="s">
        <v>180</v>
      </c>
      <c r="K176" s="5" t="s">
        <v>4547</v>
      </c>
      <c r="L176" s="0" t="s">
        <v>5310</v>
      </c>
    </row>
    <row r="177" customFormat="false" ht="17.15" hidden="false" customHeight="false" outlineLevel="0" collapsed="false">
      <c r="A177" s="0" t="s">
        <v>5311</v>
      </c>
      <c r="B177" s="0" t="s">
        <v>5312</v>
      </c>
      <c r="C177" s="0" t="s">
        <v>5313</v>
      </c>
      <c r="D177" s="0" t="s">
        <v>4989</v>
      </c>
      <c r="E177" s="0" t="s">
        <v>4498</v>
      </c>
      <c r="F177" s="0" t="s">
        <v>5314</v>
      </c>
      <c r="G177" s="0" t="s">
        <v>5315</v>
      </c>
      <c r="H177" s="5" t="s">
        <v>1736</v>
      </c>
      <c r="J177" s="0" t="s">
        <v>5316</v>
      </c>
      <c r="K177" s="5" t="s">
        <v>1895</v>
      </c>
      <c r="L177" s="0" t="s">
        <v>5317</v>
      </c>
    </row>
    <row r="178" customFormat="false" ht="17.15" hidden="false" customHeight="false" outlineLevel="0" collapsed="false">
      <c r="A178" s="0" t="s">
        <v>5318</v>
      </c>
      <c r="B178" s="0" t="s">
        <v>5319</v>
      </c>
      <c r="C178" s="0" t="s">
        <v>5320</v>
      </c>
      <c r="D178" s="0" t="s">
        <v>5105</v>
      </c>
      <c r="E178" s="0" t="s">
        <v>4498</v>
      </c>
      <c r="F178" s="0" t="s">
        <v>5321</v>
      </c>
      <c r="G178" s="0" t="s">
        <v>142</v>
      </c>
      <c r="H178" s="5" t="s">
        <v>1902</v>
      </c>
      <c r="K178" s="0" t="s">
        <v>36</v>
      </c>
      <c r="L178" s="0" t="s">
        <v>5322</v>
      </c>
    </row>
    <row r="179" customFormat="false" ht="17.15" hidden="false" customHeight="false" outlineLevel="0" collapsed="false">
      <c r="A179" s="0" t="s">
        <v>5323</v>
      </c>
      <c r="B179" s="5" t="s">
        <v>5324</v>
      </c>
      <c r="C179" s="5" t="s">
        <v>5325</v>
      </c>
      <c r="D179" s="0" t="s">
        <v>5326</v>
      </c>
      <c r="E179" s="0" t="s">
        <v>4498</v>
      </c>
      <c r="F179" s="0" t="s">
        <v>4660</v>
      </c>
      <c r="G179" s="0" t="s">
        <v>5327</v>
      </c>
      <c r="H179" s="5" t="s">
        <v>1902</v>
      </c>
      <c r="K179" s="0" t="s">
        <v>36</v>
      </c>
      <c r="L179" s="0" t="s">
        <v>5328</v>
      </c>
    </row>
    <row r="180" customFormat="false" ht="17.15" hidden="false" customHeight="false" outlineLevel="0" collapsed="false">
      <c r="A180" s="0" t="s">
        <v>5329</v>
      </c>
      <c r="B180" s="0" t="s">
        <v>5330</v>
      </c>
      <c r="C180" s="0" t="s">
        <v>5331</v>
      </c>
      <c r="D180" s="0" t="s">
        <v>5239</v>
      </c>
      <c r="E180" s="0" t="s">
        <v>4498</v>
      </c>
      <c r="F180" s="0" t="s">
        <v>4569</v>
      </c>
      <c r="G180" s="0" t="s">
        <v>142</v>
      </c>
      <c r="H180" s="5" t="s">
        <v>1902</v>
      </c>
      <c r="J180" s="0" t="s">
        <v>680</v>
      </c>
      <c r="K180" s="5" t="s">
        <v>4547</v>
      </c>
      <c r="L180" s="0" t="s">
        <v>5332</v>
      </c>
    </row>
    <row r="181" customFormat="false" ht="17.15" hidden="false" customHeight="false" outlineLevel="0" collapsed="false">
      <c r="A181" s="0" t="s">
        <v>5333</v>
      </c>
      <c r="B181" s="0" t="s">
        <v>5334</v>
      </c>
      <c r="C181" s="0" t="s">
        <v>5335</v>
      </c>
      <c r="D181" s="0" t="s">
        <v>5162</v>
      </c>
      <c r="E181" s="0" t="s">
        <v>4498</v>
      </c>
      <c r="F181" s="0" t="s">
        <v>2104</v>
      </c>
      <c r="G181" s="0" t="s">
        <v>142</v>
      </c>
      <c r="H181" s="5" t="s">
        <v>1902</v>
      </c>
      <c r="K181" s="0" t="s">
        <v>36</v>
      </c>
      <c r="L181" s="0" t="s">
        <v>5336</v>
      </c>
    </row>
    <row r="182" customFormat="false" ht="17.15" hidden="false" customHeight="false" outlineLevel="0" collapsed="false">
      <c r="A182" s="0" t="s">
        <v>5337</v>
      </c>
      <c r="B182" s="5" t="s">
        <v>5338</v>
      </c>
      <c r="C182" s="5" t="s">
        <v>5339</v>
      </c>
      <c r="D182" s="0" t="s">
        <v>5340</v>
      </c>
      <c r="E182" s="0" t="s">
        <v>5341</v>
      </c>
      <c r="F182" s="0" t="s">
        <v>2277</v>
      </c>
      <c r="G182" s="0" t="s">
        <v>5342</v>
      </c>
      <c r="H182" s="5" t="s">
        <v>1736</v>
      </c>
      <c r="J182" s="0" t="s">
        <v>476</v>
      </c>
      <c r="K182" s="5" t="s">
        <v>1895</v>
      </c>
      <c r="L182" s="0" t="s">
        <v>5343</v>
      </c>
    </row>
    <row r="183" customFormat="false" ht="17.15" hidden="false" customHeight="false" outlineLevel="0" collapsed="false">
      <c r="A183" s="0" t="s">
        <v>5344</v>
      </c>
      <c r="B183" s="5" t="s">
        <v>5338</v>
      </c>
      <c r="C183" s="5" t="s">
        <v>5345</v>
      </c>
      <c r="D183" s="0" t="s">
        <v>5346</v>
      </c>
      <c r="E183" s="0" t="s">
        <v>5301</v>
      </c>
      <c r="F183" s="0" t="s">
        <v>2277</v>
      </c>
      <c r="G183" s="0" t="s">
        <v>5049</v>
      </c>
      <c r="H183" s="5" t="s">
        <v>1736</v>
      </c>
      <c r="I183" s="0" t="s">
        <v>5347</v>
      </c>
      <c r="K183" s="0" t="s">
        <v>36</v>
      </c>
      <c r="L183" s="0" t="s">
        <v>5004</v>
      </c>
    </row>
    <row r="184" customFormat="false" ht="17.15" hidden="false" customHeight="false" outlineLevel="0" collapsed="false">
      <c r="A184" s="0" t="s">
        <v>5348</v>
      </c>
      <c r="B184" s="5" t="s">
        <v>5349</v>
      </c>
      <c r="C184" s="5" t="s">
        <v>5350</v>
      </c>
      <c r="D184" s="0" t="s">
        <v>5351</v>
      </c>
      <c r="E184" s="0" t="s">
        <v>5352</v>
      </c>
      <c r="F184" s="0" t="s">
        <v>24</v>
      </c>
      <c r="G184" s="0" t="s">
        <v>5353</v>
      </c>
      <c r="H184" s="5" t="s">
        <v>1736</v>
      </c>
      <c r="K184" s="0" t="s">
        <v>36</v>
      </c>
      <c r="L184" s="0" t="s">
        <v>5354</v>
      </c>
    </row>
    <row r="185" customFormat="false" ht="17.15" hidden="false" customHeight="false" outlineLevel="0" collapsed="false">
      <c r="A185" s="0" t="s">
        <v>5355</v>
      </c>
      <c r="B185" s="5" t="s">
        <v>5356</v>
      </c>
      <c r="C185" s="5" t="s">
        <v>5357</v>
      </c>
      <c r="D185" s="0" t="s">
        <v>5358</v>
      </c>
      <c r="E185" s="0" t="s">
        <v>5352</v>
      </c>
      <c r="F185" s="0" t="s">
        <v>22</v>
      </c>
      <c r="G185" s="0" t="s">
        <v>5359</v>
      </c>
      <c r="H185" s="5" t="s">
        <v>1902</v>
      </c>
      <c r="K185" s="0" t="s">
        <v>36</v>
      </c>
      <c r="L185" s="0" t="s">
        <v>5360</v>
      </c>
    </row>
    <row r="186" customFormat="false" ht="17.15" hidden="false" customHeight="false" outlineLevel="0" collapsed="false">
      <c r="A186" s="0" t="s">
        <v>5361</v>
      </c>
      <c r="B186" s="5" t="s">
        <v>5362</v>
      </c>
      <c r="C186" s="5" t="s">
        <v>5363</v>
      </c>
      <c r="D186" s="5" t="s">
        <v>5364</v>
      </c>
      <c r="E186" s="0" t="s">
        <v>4498</v>
      </c>
      <c r="F186" s="0" t="s">
        <v>5365</v>
      </c>
      <c r="G186" s="0" t="s">
        <v>5366</v>
      </c>
      <c r="H186" s="5" t="s">
        <v>1736</v>
      </c>
      <c r="J186" s="0" t="s">
        <v>479</v>
      </c>
      <c r="K186" s="5" t="s">
        <v>1895</v>
      </c>
      <c r="L186" s="0" t="s">
        <v>5367</v>
      </c>
    </row>
    <row r="187" customFormat="false" ht="17.15" hidden="false" customHeight="false" outlineLevel="0" collapsed="false">
      <c r="A187" s="0" t="s">
        <v>5368</v>
      </c>
      <c r="B187" s="5" t="s">
        <v>5369</v>
      </c>
      <c r="C187" s="5" t="s">
        <v>5370</v>
      </c>
      <c r="D187" s="0" t="s">
        <v>5371</v>
      </c>
      <c r="E187" s="0" t="s">
        <v>5372</v>
      </c>
      <c r="F187" s="0" t="s">
        <v>4646</v>
      </c>
      <c r="G187" s="0" t="s">
        <v>5373</v>
      </c>
      <c r="H187" s="5" t="s">
        <v>1902</v>
      </c>
      <c r="K187" s="0" t="s">
        <v>36</v>
      </c>
      <c r="L187" s="0" t="s">
        <v>5374</v>
      </c>
    </row>
    <row r="188" customFormat="false" ht="17.15" hidden="false" customHeight="false" outlineLevel="0" collapsed="false">
      <c r="A188" s="0" t="s">
        <v>5375</v>
      </c>
      <c r="B188" s="5" t="s">
        <v>5376</v>
      </c>
      <c r="C188" s="5" t="s">
        <v>5377</v>
      </c>
      <c r="D188" s="0" t="s">
        <v>5378</v>
      </c>
      <c r="E188" s="0" t="s">
        <v>5379</v>
      </c>
      <c r="F188" s="0" t="s">
        <v>5380</v>
      </c>
      <c r="G188" s="0" t="s">
        <v>5381</v>
      </c>
      <c r="H188" s="5" t="s">
        <v>1902</v>
      </c>
      <c r="K188" s="0" t="s">
        <v>36</v>
      </c>
      <c r="L188" s="0" t="s">
        <v>5382</v>
      </c>
    </row>
    <row r="189" customFormat="false" ht="17.15" hidden="false" customHeight="false" outlineLevel="0" collapsed="false">
      <c r="A189" s="0" t="s">
        <v>5383</v>
      </c>
      <c r="B189" s="5" t="s">
        <v>5384</v>
      </c>
      <c r="C189" s="5" t="s">
        <v>5385</v>
      </c>
      <c r="D189" s="0" t="s">
        <v>5386</v>
      </c>
      <c r="E189" s="0" t="s">
        <v>4498</v>
      </c>
      <c r="F189" s="0" t="s">
        <v>25</v>
      </c>
      <c r="G189" s="0" t="s">
        <v>5387</v>
      </c>
      <c r="H189" s="5" t="s">
        <v>1736</v>
      </c>
      <c r="K189" s="0" t="s">
        <v>36</v>
      </c>
      <c r="L189" s="0" t="s">
        <v>5388</v>
      </c>
    </row>
    <row r="190" customFormat="false" ht="17.15" hidden="false" customHeight="false" outlineLevel="0" collapsed="false">
      <c r="A190" s="0" t="s">
        <v>5389</v>
      </c>
      <c r="B190" s="5" t="s">
        <v>5390</v>
      </c>
      <c r="C190" s="5" t="s">
        <v>5391</v>
      </c>
      <c r="D190" s="0" t="s">
        <v>5392</v>
      </c>
      <c r="E190" s="0" t="s">
        <v>4498</v>
      </c>
      <c r="F190" s="0" t="s">
        <v>5393</v>
      </c>
      <c r="G190" s="0" t="s">
        <v>5394</v>
      </c>
      <c r="H190" s="5" t="s">
        <v>1902</v>
      </c>
      <c r="K190" s="0" t="s">
        <v>36</v>
      </c>
      <c r="L190" s="0" t="s">
        <v>5395</v>
      </c>
    </row>
    <row r="191" customFormat="false" ht="17.15" hidden="false" customHeight="false" outlineLevel="0" collapsed="false">
      <c r="A191" s="0" t="s">
        <v>5396</v>
      </c>
      <c r="B191" s="5" t="s">
        <v>5397</v>
      </c>
      <c r="C191" s="5" t="s">
        <v>5398</v>
      </c>
      <c r="D191" s="0" t="s">
        <v>5399</v>
      </c>
      <c r="E191" s="0" t="s">
        <v>4498</v>
      </c>
      <c r="F191" s="0" t="s">
        <v>5400</v>
      </c>
      <c r="G191" s="0" t="s">
        <v>5401</v>
      </c>
      <c r="H191" s="5" t="s">
        <v>1736</v>
      </c>
      <c r="K191" s="0" t="s">
        <v>36</v>
      </c>
      <c r="L191" s="0" t="s">
        <v>5402</v>
      </c>
    </row>
    <row r="192" customFormat="false" ht="17.15" hidden="false" customHeight="false" outlineLevel="0" collapsed="false">
      <c r="A192" s="0" t="s">
        <v>5403</v>
      </c>
      <c r="B192" s="5" t="s">
        <v>5404</v>
      </c>
      <c r="C192" s="5" t="s">
        <v>5405</v>
      </c>
      <c r="D192" s="0" t="s">
        <v>5406</v>
      </c>
      <c r="E192" s="0" t="s">
        <v>4498</v>
      </c>
      <c r="F192" s="0" t="s">
        <v>5407</v>
      </c>
      <c r="G192" s="0" t="s">
        <v>5408</v>
      </c>
      <c r="H192" s="5" t="s">
        <v>1902</v>
      </c>
      <c r="K192" s="0" t="s">
        <v>36</v>
      </c>
      <c r="L192" s="0" t="s">
        <v>5409</v>
      </c>
    </row>
    <row r="193" customFormat="false" ht="17.15" hidden="false" customHeight="false" outlineLevel="0" collapsed="false">
      <c r="A193" s="0" t="s">
        <v>5410</v>
      </c>
      <c r="B193" s="5" t="s">
        <v>5411</v>
      </c>
      <c r="C193" s="5" t="s">
        <v>5412</v>
      </c>
      <c r="D193" s="0" t="s">
        <v>5413</v>
      </c>
      <c r="F193" s="0" t="s">
        <v>5414</v>
      </c>
      <c r="G193" s="0" t="s">
        <v>5415</v>
      </c>
      <c r="H193" s="5" t="s">
        <v>1736</v>
      </c>
      <c r="J193" s="0" t="s">
        <v>97</v>
      </c>
      <c r="K193" s="5" t="s">
        <v>1895</v>
      </c>
      <c r="L193" s="0" t="s">
        <v>5416</v>
      </c>
    </row>
    <row r="194" customFormat="false" ht="17.15" hidden="false" customHeight="false" outlineLevel="0" collapsed="false">
      <c r="A194" s="0" t="s">
        <v>5417</v>
      </c>
      <c r="B194" s="5" t="s">
        <v>5418</v>
      </c>
      <c r="C194" s="5" t="s">
        <v>5419</v>
      </c>
      <c r="D194" s="0" t="s">
        <v>5420</v>
      </c>
      <c r="F194" s="0" t="s">
        <v>5414</v>
      </c>
      <c r="G194" s="0" t="s">
        <v>5421</v>
      </c>
      <c r="H194" s="5" t="s">
        <v>1736</v>
      </c>
      <c r="J194" s="0" t="s">
        <v>97</v>
      </c>
      <c r="K194" s="5" t="s">
        <v>1895</v>
      </c>
      <c r="L194" s="0" t="s">
        <v>5416</v>
      </c>
    </row>
    <row r="195" customFormat="false" ht="17.15" hidden="false" customHeight="false" outlineLevel="0" collapsed="false">
      <c r="A195" s="0" t="s">
        <v>5422</v>
      </c>
      <c r="B195" s="5" t="s">
        <v>5423</v>
      </c>
      <c r="C195" s="5" t="s">
        <v>5424</v>
      </c>
      <c r="D195" s="0" t="s">
        <v>5425</v>
      </c>
      <c r="F195" s="0" t="s">
        <v>5426</v>
      </c>
      <c r="G195" s="0" t="s">
        <v>5427</v>
      </c>
      <c r="H195" s="5" t="s">
        <v>1902</v>
      </c>
      <c r="K195" s="0" t="s">
        <v>36</v>
      </c>
      <c r="L195" s="0" t="s">
        <v>5428</v>
      </c>
    </row>
    <row r="196" customFormat="false" ht="17.15" hidden="false" customHeight="false" outlineLevel="0" collapsed="false">
      <c r="A196" s="0" t="s">
        <v>5429</v>
      </c>
      <c r="B196" s="5" t="s">
        <v>5430</v>
      </c>
      <c r="C196" s="5" t="s">
        <v>5431</v>
      </c>
      <c r="D196" s="0" t="s">
        <v>5432</v>
      </c>
      <c r="F196" s="0" t="s">
        <v>5433</v>
      </c>
      <c r="G196" s="0" t="s">
        <v>5434</v>
      </c>
      <c r="H196" s="5" t="s">
        <v>1736</v>
      </c>
      <c r="I196" s="0" t="s">
        <v>5435</v>
      </c>
      <c r="J196" s="0" t="s">
        <v>97</v>
      </c>
      <c r="K196" s="5" t="s">
        <v>1895</v>
      </c>
      <c r="L196" s="0" t="s">
        <v>5436</v>
      </c>
    </row>
    <row r="197" customFormat="false" ht="17.15" hidden="false" customHeight="false" outlineLevel="0" collapsed="false">
      <c r="A197" s="0" t="s">
        <v>5437</v>
      </c>
      <c r="B197" s="5" t="s">
        <v>5438</v>
      </c>
      <c r="C197" s="5" t="s">
        <v>5439</v>
      </c>
      <c r="D197" s="0" t="s">
        <v>5440</v>
      </c>
      <c r="F197" s="0" t="s">
        <v>5441</v>
      </c>
      <c r="G197" s="0" t="s">
        <v>5442</v>
      </c>
      <c r="H197" s="5" t="s">
        <v>1736</v>
      </c>
      <c r="K197" s="0" t="s">
        <v>36</v>
      </c>
      <c r="L197" s="0" t="s">
        <v>5443</v>
      </c>
    </row>
    <row r="198" customFormat="false" ht="17.15" hidden="false" customHeight="false" outlineLevel="0" collapsed="false">
      <c r="A198" s="0" t="s">
        <v>5444</v>
      </c>
      <c r="B198" s="5" t="s">
        <v>5445</v>
      </c>
      <c r="C198" s="5" t="s">
        <v>5446</v>
      </c>
      <c r="D198" s="0" t="s">
        <v>5447</v>
      </c>
      <c r="F198" s="0" t="s">
        <v>5448</v>
      </c>
      <c r="G198" s="0" t="s">
        <v>5449</v>
      </c>
      <c r="H198" s="5" t="s">
        <v>1756</v>
      </c>
      <c r="I198" s="5" t="s">
        <v>5450</v>
      </c>
      <c r="J198" s="0" t="s">
        <v>97</v>
      </c>
      <c r="K198" s="5" t="s">
        <v>1895</v>
      </c>
      <c r="L198" s="0" t="s">
        <v>5451</v>
      </c>
    </row>
    <row r="199" customFormat="false" ht="17.15" hidden="false" customHeight="false" outlineLevel="0" collapsed="false">
      <c r="A199" s="0" t="s">
        <v>5452</v>
      </c>
      <c r="B199" s="5" t="s">
        <v>5453</v>
      </c>
      <c r="C199" s="5" t="s">
        <v>5454</v>
      </c>
      <c r="D199" s="0" t="s">
        <v>5425</v>
      </c>
      <c r="F199" s="0" t="s">
        <v>2016</v>
      </c>
      <c r="G199" s="0" t="s">
        <v>5455</v>
      </c>
      <c r="H199" s="5" t="s">
        <v>1736</v>
      </c>
      <c r="J199" s="0" t="s">
        <v>97</v>
      </c>
      <c r="K199" s="5" t="s">
        <v>1895</v>
      </c>
      <c r="L199" s="0" t="s">
        <v>5456</v>
      </c>
    </row>
    <row r="200" customFormat="false" ht="17.15" hidden="false" customHeight="false" outlineLevel="0" collapsed="false">
      <c r="A200" s="0" t="s">
        <v>5457</v>
      </c>
      <c r="B200" s="5" t="s">
        <v>5458</v>
      </c>
      <c r="C200" s="5" t="s">
        <v>5459</v>
      </c>
      <c r="D200" s="0" t="s">
        <v>5460</v>
      </c>
      <c r="F200" s="0" t="s">
        <v>5461</v>
      </c>
      <c r="G200" s="0" t="s">
        <v>5462</v>
      </c>
      <c r="H200" s="5" t="s">
        <v>1902</v>
      </c>
      <c r="K200" s="0" t="s">
        <v>36</v>
      </c>
      <c r="L200" s="0" t="s">
        <v>5463</v>
      </c>
    </row>
    <row r="201" customFormat="false" ht="17.15" hidden="false" customHeight="false" outlineLevel="0" collapsed="false">
      <c r="A201" s="0" t="s">
        <v>5464</v>
      </c>
      <c r="B201" s="5" t="s">
        <v>5465</v>
      </c>
      <c r="C201" s="5" t="s">
        <v>5466</v>
      </c>
      <c r="D201" s="0" t="s">
        <v>5467</v>
      </c>
      <c r="F201" s="0" t="s">
        <v>5468</v>
      </c>
      <c r="G201" s="0" t="s">
        <v>5469</v>
      </c>
      <c r="H201" s="5" t="s">
        <v>1902</v>
      </c>
      <c r="I201" s="0" t="s">
        <v>5470</v>
      </c>
      <c r="K201" s="0" t="s">
        <v>36</v>
      </c>
      <c r="L201" s="0" t="s">
        <v>5471</v>
      </c>
    </row>
    <row r="202" customFormat="false" ht="17.15" hidden="false" customHeight="false" outlineLevel="0" collapsed="false">
      <c r="A202" s="0" t="s">
        <v>5472</v>
      </c>
      <c r="B202" s="5" t="s">
        <v>5473</v>
      </c>
      <c r="C202" s="5" t="s">
        <v>5474</v>
      </c>
      <c r="D202" s="0" t="s">
        <v>5475</v>
      </c>
      <c r="F202" s="0" t="s">
        <v>5476</v>
      </c>
      <c r="G202" s="0" t="s">
        <v>5477</v>
      </c>
      <c r="H202" s="5" t="s">
        <v>1736</v>
      </c>
      <c r="J202" s="0" t="s">
        <v>97</v>
      </c>
      <c r="K202" s="5" t="s">
        <v>1895</v>
      </c>
      <c r="L202" s="0" t="s">
        <v>5478</v>
      </c>
    </row>
    <row r="203" customFormat="false" ht="17.15" hidden="false" customHeight="false" outlineLevel="0" collapsed="false">
      <c r="A203" s="0" t="s">
        <v>5479</v>
      </c>
      <c r="B203" s="5" t="s">
        <v>5473</v>
      </c>
      <c r="C203" s="5" t="s">
        <v>5480</v>
      </c>
      <c r="D203" s="0" t="s">
        <v>5481</v>
      </c>
      <c r="F203" s="0" t="s">
        <v>5482</v>
      </c>
      <c r="G203" s="0" t="s">
        <v>5483</v>
      </c>
      <c r="H203" s="5" t="s">
        <v>1756</v>
      </c>
      <c r="I203" s="5" t="s">
        <v>5484</v>
      </c>
      <c r="K203" s="0" t="s">
        <v>36</v>
      </c>
      <c r="L203" s="0" t="s">
        <v>5485</v>
      </c>
    </row>
    <row r="204" customFormat="false" ht="17.15" hidden="false" customHeight="false" outlineLevel="0" collapsed="false">
      <c r="A204" s="0" t="s">
        <v>5486</v>
      </c>
      <c r="B204" s="5" t="s">
        <v>5473</v>
      </c>
      <c r="C204" s="5" t="s">
        <v>5487</v>
      </c>
      <c r="D204" s="0" t="s">
        <v>5488</v>
      </c>
      <c r="F204" s="0" t="s">
        <v>5476</v>
      </c>
      <c r="G204" s="0" t="s">
        <v>5477</v>
      </c>
      <c r="H204" s="5" t="s">
        <v>1736</v>
      </c>
      <c r="K204" s="0" t="s">
        <v>36</v>
      </c>
      <c r="L204" s="0" t="s">
        <v>5478</v>
      </c>
    </row>
    <row r="205" customFormat="false" ht="17.15" hidden="false" customHeight="false" outlineLevel="0" collapsed="false">
      <c r="A205" s="0" t="s">
        <v>5489</v>
      </c>
      <c r="B205" s="5" t="s">
        <v>5490</v>
      </c>
      <c r="C205" s="5" t="s">
        <v>5491</v>
      </c>
      <c r="D205" s="0" t="s">
        <v>5492</v>
      </c>
      <c r="F205" s="0" t="s">
        <v>5414</v>
      </c>
      <c r="G205" s="0" t="s">
        <v>5493</v>
      </c>
      <c r="H205" s="5" t="s">
        <v>1736</v>
      </c>
      <c r="J205" s="0" t="s">
        <v>5494</v>
      </c>
      <c r="K205" s="5" t="s">
        <v>1895</v>
      </c>
      <c r="L205" s="0" t="s">
        <v>5402</v>
      </c>
    </row>
    <row r="206" customFormat="false" ht="17.15" hidden="false" customHeight="false" outlineLevel="0" collapsed="false">
      <c r="A206" s="0" t="s">
        <v>5495</v>
      </c>
      <c r="B206" s="5" t="s">
        <v>5465</v>
      </c>
      <c r="C206" s="5" t="s">
        <v>5496</v>
      </c>
      <c r="F206" s="0" t="s">
        <v>5400</v>
      </c>
      <c r="G206" s="0" t="s">
        <v>5497</v>
      </c>
      <c r="H206" s="5" t="s">
        <v>1736</v>
      </c>
      <c r="J206" s="0" t="s">
        <v>90</v>
      </c>
      <c r="K206" s="5" t="s">
        <v>1895</v>
      </c>
      <c r="L206" s="0" t="s">
        <v>5402</v>
      </c>
    </row>
    <row r="207" customFormat="false" ht="17.15" hidden="false" customHeight="false" outlineLevel="0" collapsed="false">
      <c r="A207" s="0" t="s">
        <v>5498</v>
      </c>
      <c r="B207" s="5" t="s">
        <v>5499</v>
      </c>
      <c r="C207" s="5" t="s">
        <v>5500</v>
      </c>
      <c r="D207" s="0" t="s">
        <v>5501</v>
      </c>
      <c r="F207" s="0" t="s">
        <v>2252</v>
      </c>
      <c r="G207" s="0" t="s">
        <v>5502</v>
      </c>
      <c r="H207" s="5" t="s">
        <v>1736</v>
      </c>
      <c r="J207" s="0" t="s">
        <v>94</v>
      </c>
      <c r="K207" s="5" t="s">
        <v>1895</v>
      </c>
      <c r="L207" s="0" t="s">
        <v>5503</v>
      </c>
    </row>
    <row r="208" customFormat="false" ht="17.15" hidden="false" customHeight="false" outlineLevel="0" collapsed="false">
      <c r="A208" s="0" t="s">
        <v>5504</v>
      </c>
      <c r="B208" s="5" t="s">
        <v>5505</v>
      </c>
      <c r="C208" s="5" t="s">
        <v>5506</v>
      </c>
      <c r="D208" s="0" t="s">
        <v>5507</v>
      </c>
      <c r="F208" s="0" t="s">
        <v>5508</v>
      </c>
      <c r="G208" s="0" t="s">
        <v>5509</v>
      </c>
      <c r="H208" s="5" t="s">
        <v>1736</v>
      </c>
      <c r="K208" s="0" t="s">
        <v>36</v>
      </c>
      <c r="L208" s="0" t="s">
        <v>5510</v>
      </c>
    </row>
    <row r="209" customFormat="false" ht="17.15" hidden="false" customHeight="false" outlineLevel="0" collapsed="false">
      <c r="A209" s="12" t="s">
        <v>5511</v>
      </c>
      <c r="B209" s="13" t="s">
        <v>5512</v>
      </c>
      <c r="C209" s="13" t="s">
        <v>5513</v>
      </c>
      <c r="D209" s="12" t="s">
        <v>5514</v>
      </c>
      <c r="E209" s="12"/>
      <c r="F209" s="13" t="s">
        <v>5515</v>
      </c>
      <c r="G209" s="12" t="s">
        <v>5516</v>
      </c>
      <c r="H209" s="13" t="s">
        <v>1929</v>
      </c>
      <c r="I209" s="12" t="s">
        <v>5517</v>
      </c>
      <c r="J209" s="12" t="s">
        <v>94</v>
      </c>
      <c r="K209" s="13" t="s">
        <v>4547</v>
      </c>
      <c r="L209" s="12" t="s">
        <v>5518</v>
      </c>
    </row>
    <row r="210" customFormat="false" ht="17.15" hidden="false" customHeight="false" outlineLevel="0" collapsed="false">
      <c r="A210" s="0" t="s">
        <v>5519</v>
      </c>
      <c r="B210" s="5" t="s">
        <v>5520</v>
      </c>
      <c r="C210" s="5" t="s">
        <v>5521</v>
      </c>
      <c r="D210" s="0" t="s">
        <v>5522</v>
      </c>
      <c r="F210" s="0" t="s">
        <v>5523</v>
      </c>
      <c r="G210" s="0" t="s">
        <v>5524</v>
      </c>
      <c r="H210" s="5" t="s">
        <v>1736</v>
      </c>
      <c r="I210" s="0" t="s">
        <v>5525</v>
      </c>
      <c r="J210" s="0" t="s">
        <v>94</v>
      </c>
      <c r="K210" s="5" t="s">
        <v>1895</v>
      </c>
      <c r="L210" s="0" t="s">
        <v>5510</v>
      </c>
    </row>
    <row r="211" customFormat="false" ht="17.15" hidden="false" customHeight="false" outlineLevel="0" collapsed="false">
      <c r="A211" s="0" t="s">
        <v>5526</v>
      </c>
      <c r="B211" s="5" t="s">
        <v>5527</v>
      </c>
      <c r="C211" s="5" t="s">
        <v>5528</v>
      </c>
      <c r="F211" s="0" t="s">
        <v>2525</v>
      </c>
      <c r="G211" s="0" t="s">
        <v>5529</v>
      </c>
      <c r="H211" s="5" t="s">
        <v>1736</v>
      </c>
      <c r="K211" s="0" t="s">
        <v>36</v>
      </c>
      <c r="L211" s="0" t="s">
        <v>5530</v>
      </c>
    </row>
    <row r="212" customFormat="false" ht="17.15" hidden="false" customHeight="false" outlineLevel="0" collapsed="false">
      <c r="A212" s="0" t="s">
        <v>5531</v>
      </c>
      <c r="B212" s="0" t="s">
        <v>5532</v>
      </c>
      <c r="C212" s="5" t="s">
        <v>5533</v>
      </c>
      <c r="D212" s="0" t="s">
        <v>5534</v>
      </c>
      <c r="F212" s="0" t="s">
        <v>5130</v>
      </c>
      <c r="G212" s="0" t="s">
        <v>5535</v>
      </c>
      <c r="H212" s="5" t="s">
        <v>1736</v>
      </c>
      <c r="I212" s="0" t="s">
        <v>5536</v>
      </c>
      <c r="K212" s="0" t="s">
        <v>36</v>
      </c>
      <c r="L212" s="0" t="s">
        <v>5133</v>
      </c>
    </row>
    <row r="213" customFormat="false" ht="17.15" hidden="false" customHeight="false" outlineLevel="0" collapsed="false">
      <c r="A213" s="0" t="s">
        <v>5537</v>
      </c>
      <c r="B213" s="0" t="s">
        <v>1715</v>
      </c>
      <c r="C213" s="5" t="s">
        <v>5538</v>
      </c>
      <c r="F213" s="0" t="s">
        <v>5539</v>
      </c>
      <c r="G213" s="0" t="s">
        <v>5540</v>
      </c>
      <c r="H213" s="5" t="s">
        <v>1736</v>
      </c>
      <c r="K213" s="0" t="s">
        <v>36</v>
      </c>
      <c r="L213" s="0" t="s">
        <v>5541</v>
      </c>
    </row>
    <row r="214" customFormat="false" ht="17.15" hidden="false" customHeight="false" outlineLevel="0" collapsed="false">
      <c r="A214" s="0" t="s">
        <v>5542</v>
      </c>
      <c r="B214" s="0" t="s">
        <v>5543</v>
      </c>
      <c r="C214" s="5" t="s">
        <v>5544</v>
      </c>
      <c r="D214" s="0" t="s">
        <v>5545</v>
      </c>
      <c r="F214" s="0" t="s">
        <v>5546</v>
      </c>
      <c r="G214" s="0" t="s">
        <v>5547</v>
      </c>
      <c r="H214" s="5" t="s">
        <v>1736</v>
      </c>
      <c r="I214" s="0" t="s">
        <v>5548</v>
      </c>
      <c r="K214" s="0" t="s">
        <v>36</v>
      </c>
      <c r="L214" s="0" t="s">
        <v>5549</v>
      </c>
    </row>
    <row r="215" customFormat="false" ht="17.15" hidden="false" customHeight="false" outlineLevel="0" collapsed="false">
      <c r="A215" s="0" t="s">
        <v>5550</v>
      </c>
      <c r="B215" s="0" t="s">
        <v>5551</v>
      </c>
      <c r="C215" s="5" t="s">
        <v>5552</v>
      </c>
      <c r="D215" s="0" t="s">
        <v>5553</v>
      </c>
      <c r="F215" s="0" t="s">
        <v>5130</v>
      </c>
      <c r="G215" s="0" t="s">
        <v>5554</v>
      </c>
      <c r="H215" s="5" t="s">
        <v>1736</v>
      </c>
      <c r="J215" s="0" t="s">
        <v>159</v>
      </c>
      <c r="K215" s="5" t="s">
        <v>1895</v>
      </c>
      <c r="L215" s="0" t="s">
        <v>5555</v>
      </c>
    </row>
    <row r="216" customFormat="false" ht="17.15" hidden="false" customHeight="false" outlineLevel="0" collapsed="false">
      <c r="A216" s="0" t="s">
        <v>5556</v>
      </c>
      <c r="B216" s="5" t="s">
        <v>5557</v>
      </c>
      <c r="C216" s="5" t="s">
        <v>5558</v>
      </c>
      <c r="F216" s="0" t="s">
        <v>4903</v>
      </c>
      <c r="G216" s="0" t="s">
        <v>5559</v>
      </c>
      <c r="H216" s="5" t="s">
        <v>1736</v>
      </c>
      <c r="J216" s="0" t="s">
        <v>97</v>
      </c>
      <c r="K216" s="5" t="s">
        <v>1895</v>
      </c>
      <c r="L216" s="0" t="s">
        <v>5560</v>
      </c>
    </row>
    <row r="217" customFormat="false" ht="17.15" hidden="false" customHeight="false" outlineLevel="0" collapsed="false">
      <c r="A217" s="0" t="s">
        <v>5561</v>
      </c>
      <c r="B217" s="0" t="s">
        <v>5562</v>
      </c>
      <c r="C217" s="0" t="s">
        <v>5563</v>
      </c>
      <c r="D217" s="0" t="s">
        <v>5564</v>
      </c>
      <c r="E217" s="5" t="s">
        <v>77</v>
      </c>
      <c r="F217" s="0" t="s">
        <v>5565</v>
      </c>
      <c r="G217" s="0" t="s">
        <v>1953</v>
      </c>
      <c r="H217" s="0" t="s">
        <v>5566</v>
      </c>
      <c r="I217" s="0" t="s">
        <v>5567</v>
      </c>
      <c r="K217" s="0" t="s">
        <v>36</v>
      </c>
      <c r="L217" s="0" t="s">
        <v>5568</v>
      </c>
    </row>
    <row r="218" customFormat="false" ht="17.15" hidden="false" customHeight="false" outlineLevel="0" collapsed="false">
      <c r="A218" s="0" t="s">
        <v>5569</v>
      </c>
      <c r="B218" s="0" t="s">
        <v>5570</v>
      </c>
      <c r="C218" s="0" t="s">
        <v>5571</v>
      </c>
      <c r="D218" s="0" t="s">
        <v>5572</v>
      </c>
      <c r="E218" s="5" t="s">
        <v>77</v>
      </c>
      <c r="F218" s="0" t="s">
        <v>5573</v>
      </c>
      <c r="G218" s="0" t="s">
        <v>1909</v>
      </c>
      <c r="H218" s="0" t="s">
        <v>5566</v>
      </c>
      <c r="I218" s="0" t="s">
        <v>5574</v>
      </c>
      <c r="K218" s="0" t="s">
        <v>36</v>
      </c>
      <c r="L218" s="0" t="s">
        <v>5575</v>
      </c>
    </row>
    <row r="219" customFormat="false" ht="17.15" hidden="false" customHeight="false" outlineLevel="0" collapsed="false">
      <c r="A219" s="0" t="s">
        <v>5576</v>
      </c>
      <c r="B219" s="0" t="s">
        <v>5577</v>
      </c>
      <c r="C219" s="0" t="s">
        <v>5578</v>
      </c>
      <c r="D219" s="0" t="s">
        <v>5129</v>
      </c>
      <c r="E219" s="5" t="s">
        <v>77</v>
      </c>
      <c r="F219" s="0" t="s">
        <v>1737</v>
      </c>
      <c r="G219" s="0" t="s">
        <v>1953</v>
      </c>
      <c r="H219" s="0" t="s">
        <v>5566</v>
      </c>
      <c r="I219" s="0" t="s">
        <v>5579</v>
      </c>
      <c r="J219" s="0" t="s">
        <v>677</v>
      </c>
      <c r="K219" s="5" t="s">
        <v>1895</v>
      </c>
      <c r="L219" s="0" t="s">
        <v>5580</v>
      </c>
    </row>
    <row r="220" customFormat="false" ht="17.15" hidden="false" customHeight="false" outlineLevel="0" collapsed="false">
      <c r="A220" s="0" t="s">
        <v>5581</v>
      </c>
      <c r="B220" s="0" t="s">
        <v>1715</v>
      </c>
      <c r="C220" s="0" t="s">
        <v>5582</v>
      </c>
      <c r="D220" s="0" t="s">
        <v>5081</v>
      </c>
      <c r="E220" s="0" t="s">
        <v>112</v>
      </c>
      <c r="F220" s="0" t="s">
        <v>5583</v>
      </c>
      <c r="G220" s="0" t="s">
        <v>1899</v>
      </c>
      <c r="H220" s="0" t="s">
        <v>5566</v>
      </c>
      <c r="I220" s="0" t="s">
        <v>5584</v>
      </c>
      <c r="J220" s="0" t="s">
        <v>5585</v>
      </c>
      <c r="K220" s="5" t="s">
        <v>1895</v>
      </c>
      <c r="L220" s="0" t="s">
        <v>4556</v>
      </c>
    </row>
    <row r="221" customFormat="false" ht="17.15" hidden="false" customHeight="false" outlineLevel="0" collapsed="false">
      <c r="A221" s="0" t="s">
        <v>5586</v>
      </c>
      <c r="B221" s="0" t="s">
        <v>1715</v>
      </c>
      <c r="C221" s="0" t="s">
        <v>5587</v>
      </c>
      <c r="D221" s="0" t="s">
        <v>5588</v>
      </c>
      <c r="E221" s="0" t="s">
        <v>112</v>
      </c>
      <c r="F221" s="0" t="s">
        <v>5583</v>
      </c>
      <c r="G221" s="0" t="s">
        <v>1899</v>
      </c>
      <c r="H221" s="0" t="s">
        <v>5566</v>
      </c>
      <c r="I221" s="0" t="s">
        <v>5589</v>
      </c>
      <c r="K221" s="0" t="s">
        <v>36</v>
      </c>
      <c r="L221" s="0" t="s">
        <v>4556</v>
      </c>
    </row>
    <row r="222" customFormat="false" ht="17.15" hidden="false" customHeight="false" outlineLevel="0" collapsed="false">
      <c r="A222" s="0" t="s">
        <v>5590</v>
      </c>
      <c r="B222" s="0" t="s">
        <v>1715</v>
      </c>
      <c r="C222" s="0" t="s">
        <v>5591</v>
      </c>
      <c r="D222" s="0" t="s">
        <v>113</v>
      </c>
      <c r="E222" s="5" t="s">
        <v>77</v>
      </c>
      <c r="F222" s="0" t="s">
        <v>5583</v>
      </c>
      <c r="G222" s="0" t="s">
        <v>1899</v>
      </c>
      <c r="H222" s="0" t="s">
        <v>5592</v>
      </c>
      <c r="I222" s="0" t="s">
        <v>5593</v>
      </c>
      <c r="K222" s="0" t="s">
        <v>36</v>
      </c>
      <c r="L222" s="0" t="s">
        <v>4556</v>
      </c>
    </row>
    <row r="223" customFormat="false" ht="17.15" hidden="false" customHeight="false" outlineLevel="0" collapsed="false">
      <c r="A223" s="0" t="s">
        <v>5594</v>
      </c>
      <c r="B223" s="0" t="s">
        <v>5595</v>
      </c>
      <c r="C223" s="0" t="s">
        <v>5596</v>
      </c>
      <c r="D223" s="0" t="s">
        <v>4883</v>
      </c>
      <c r="E223" s="5" t="s">
        <v>77</v>
      </c>
      <c r="F223" s="0" t="s">
        <v>5597</v>
      </c>
      <c r="G223" s="0" t="s">
        <v>1953</v>
      </c>
      <c r="H223" s="0" t="s">
        <v>5598</v>
      </c>
      <c r="I223" s="5" t="s">
        <v>5599</v>
      </c>
      <c r="K223" s="0" t="s">
        <v>36</v>
      </c>
      <c r="L223" s="0" t="s">
        <v>5600</v>
      </c>
    </row>
    <row r="224" customFormat="false" ht="17.15" hidden="false" customHeight="false" outlineLevel="0" collapsed="false">
      <c r="A224" s="0" t="s">
        <v>5601</v>
      </c>
      <c r="B224" s="0" t="s">
        <v>5595</v>
      </c>
      <c r="C224" s="0" t="s">
        <v>5602</v>
      </c>
      <c r="D224" s="0" t="s">
        <v>113</v>
      </c>
      <c r="E224" s="5" t="s">
        <v>77</v>
      </c>
      <c r="F224" s="0" t="s">
        <v>5603</v>
      </c>
      <c r="G224" s="0" t="s">
        <v>1899</v>
      </c>
      <c r="H224" s="0" t="s">
        <v>5598</v>
      </c>
      <c r="I224" s="5" t="s">
        <v>5604</v>
      </c>
      <c r="K224" s="0" t="s">
        <v>36</v>
      </c>
      <c r="L224" s="0" t="s">
        <v>5605</v>
      </c>
    </row>
    <row r="225" customFormat="false" ht="17.15" hidden="false" customHeight="false" outlineLevel="0" collapsed="false">
      <c r="A225" s="0" t="s">
        <v>5606</v>
      </c>
      <c r="B225" s="0" t="s">
        <v>5595</v>
      </c>
      <c r="C225" s="0" t="s">
        <v>5607</v>
      </c>
      <c r="D225" s="0" t="s">
        <v>5608</v>
      </c>
      <c r="E225" s="5" t="s">
        <v>77</v>
      </c>
      <c r="F225" s="0" t="s">
        <v>4865</v>
      </c>
      <c r="G225" s="0" t="s">
        <v>1899</v>
      </c>
      <c r="H225" s="0" t="s">
        <v>5609</v>
      </c>
      <c r="I225" s="5" t="s">
        <v>5610</v>
      </c>
      <c r="K225" s="0" t="s">
        <v>36</v>
      </c>
      <c r="L225" s="0" t="s">
        <v>5611</v>
      </c>
    </row>
    <row r="226" customFormat="false" ht="17.15" hidden="false" customHeight="false" outlineLevel="0" collapsed="false">
      <c r="A226" s="0" t="s">
        <v>5612</v>
      </c>
      <c r="B226" s="0" t="s">
        <v>1715</v>
      </c>
      <c r="C226" s="0" t="s">
        <v>5613</v>
      </c>
      <c r="D226" s="0" t="s">
        <v>113</v>
      </c>
      <c r="E226" s="5" t="s">
        <v>77</v>
      </c>
      <c r="F226" s="0" t="s">
        <v>2440</v>
      </c>
      <c r="G226" s="0" t="s">
        <v>1953</v>
      </c>
      <c r="H226" s="0" t="s">
        <v>5614</v>
      </c>
      <c r="I226" s="5" t="s">
        <v>5615</v>
      </c>
      <c r="K226" s="0" t="s">
        <v>36</v>
      </c>
      <c r="L226" s="0" t="s">
        <v>5616</v>
      </c>
    </row>
    <row r="227" customFormat="false" ht="17.15" hidden="false" customHeight="false" outlineLevel="0" collapsed="false">
      <c r="A227" s="0" t="s">
        <v>5617</v>
      </c>
      <c r="B227" s="0" t="s">
        <v>1715</v>
      </c>
      <c r="C227" s="0" t="s">
        <v>5618</v>
      </c>
      <c r="D227" s="0" t="s">
        <v>5084</v>
      </c>
      <c r="E227" s="0" t="s">
        <v>112</v>
      </c>
      <c r="F227" s="0" t="s">
        <v>5619</v>
      </c>
      <c r="G227" s="0" t="s">
        <v>1899</v>
      </c>
      <c r="H227" s="0" t="s">
        <v>5592</v>
      </c>
      <c r="I227" s="0" t="s">
        <v>5620</v>
      </c>
      <c r="J227" s="0" t="s">
        <v>5621</v>
      </c>
      <c r="K227" s="5" t="s">
        <v>1895</v>
      </c>
      <c r="L227" s="0" t="s">
        <v>4562</v>
      </c>
    </row>
    <row r="228" customFormat="false" ht="17.15" hidden="false" customHeight="false" outlineLevel="0" collapsed="false">
      <c r="A228" s="0" t="s">
        <v>5622</v>
      </c>
      <c r="B228" s="0" t="s">
        <v>1715</v>
      </c>
      <c r="C228" s="0" t="s">
        <v>5623</v>
      </c>
      <c r="D228" s="0" t="s">
        <v>5624</v>
      </c>
      <c r="E228" s="5" t="s">
        <v>77</v>
      </c>
      <c r="F228" s="0" t="s">
        <v>5625</v>
      </c>
      <c r="G228" s="0" t="s">
        <v>1953</v>
      </c>
      <c r="H228" s="0" t="s">
        <v>5598</v>
      </c>
      <c r="I228" s="0" t="s">
        <v>5626</v>
      </c>
      <c r="K228" s="0" t="s">
        <v>36</v>
      </c>
      <c r="L228" s="0" t="s">
        <v>5627</v>
      </c>
    </row>
    <row r="229" customFormat="false" ht="17.15" hidden="false" customHeight="false" outlineLevel="0" collapsed="false">
      <c r="A229" s="0" t="s">
        <v>5628</v>
      </c>
      <c r="B229" s="0" t="s">
        <v>1715</v>
      </c>
      <c r="C229" s="0" t="s">
        <v>5629</v>
      </c>
      <c r="D229" s="0" t="s">
        <v>113</v>
      </c>
      <c r="E229" s="5" t="s">
        <v>77</v>
      </c>
      <c r="F229" s="0" t="s">
        <v>5630</v>
      </c>
      <c r="G229" s="0" t="s">
        <v>1953</v>
      </c>
      <c r="H229" s="0" t="s">
        <v>5631</v>
      </c>
      <c r="I229" s="5" t="s">
        <v>5632</v>
      </c>
      <c r="K229" s="0" t="s">
        <v>36</v>
      </c>
      <c r="L229" s="0" t="s">
        <v>5633</v>
      </c>
    </row>
    <row r="230" customFormat="false" ht="17.15" hidden="false" customHeight="false" outlineLevel="0" collapsed="false">
      <c r="A230" s="0" t="s">
        <v>5634</v>
      </c>
      <c r="B230" s="0" t="s">
        <v>1715</v>
      </c>
      <c r="C230" s="0" t="s">
        <v>5635</v>
      </c>
      <c r="D230" s="0" t="s">
        <v>113</v>
      </c>
      <c r="E230" s="5" t="s">
        <v>77</v>
      </c>
      <c r="F230" s="0" t="s">
        <v>4697</v>
      </c>
      <c r="G230" s="0" t="s">
        <v>1899</v>
      </c>
      <c r="H230" s="0" t="s">
        <v>5566</v>
      </c>
      <c r="I230" s="5" t="s">
        <v>5636</v>
      </c>
      <c r="K230" s="0" t="s">
        <v>36</v>
      </c>
      <c r="L230" s="0" t="s">
        <v>5637</v>
      </c>
    </row>
    <row r="231" customFormat="false" ht="17.15" hidden="false" customHeight="false" outlineLevel="0" collapsed="false">
      <c r="A231" s="0" t="s">
        <v>5638</v>
      </c>
      <c r="B231" s="0" t="s">
        <v>1715</v>
      </c>
      <c r="C231" s="0" t="s">
        <v>5639</v>
      </c>
      <c r="D231" s="0" t="s">
        <v>5640</v>
      </c>
      <c r="E231" s="0" t="s">
        <v>112</v>
      </c>
      <c r="F231" s="0" t="s">
        <v>5619</v>
      </c>
      <c r="G231" s="0" t="s">
        <v>1899</v>
      </c>
      <c r="H231" s="0" t="s">
        <v>5566</v>
      </c>
      <c r="I231" s="0" t="s">
        <v>5641</v>
      </c>
      <c r="K231" s="0" t="s">
        <v>36</v>
      </c>
      <c r="L231" s="0" t="s">
        <v>4562</v>
      </c>
    </row>
    <row r="232" customFormat="false" ht="17.15" hidden="false" customHeight="false" outlineLevel="0" collapsed="false">
      <c r="A232" s="0" t="s">
        <v>5642</v>
      </c>
      <c r="B232" s="0" t="s">
        <v>1715</v>
      </c>
      <c r="C232" s="0" t="s">
        <v>5643</v>
      </c>
      <c r="D232" s="0" t="s">
        <v>4810</v>
      </c>
      <c r="E232" s="5" t="s">
        <v>77</v>
      </c>
      <c r="F232" s="0" t="s">
        <v>4682</v>
      </c>
      <c r="G232" s="0" t="s">
        <v>1953</v>
      </c>
      <c r="H232" s="0" t="s">
        <v>5566</v>
      </c>
      <c r="I232" s="5" t="s">
        <v>5644</v>
      </c>
      <c r="K232" s="0" t="s">
        <v>36</v>
      </c>
      <c r="L232" s="0" t="s">
        <v>5645</v>
      </c>
    </row>
    <row r="233" customFormat="false" ht="17.15" hidden="false" customHeight="false" outlineLevel="0" collapsed="false">
      <c r="A233" s="0" t="s">
        <v>5646</v>
      </c>
      <c r="B233" s="0" t="s">
        <v>1715</v>
      </c>
      <c r="C233" s="0" t="s">
        <v>5647</v>
      </c>
      <c r="D233" s="0" t="s">
        <v>5648</v>
      </c>
      <c r="E233" s="5" t="s">
        <v>77</v>
      </c>
      <c r="F233" s="0" t="s">
        <v>5649</v>
      </c>
      <c r="G233" s="0" t="s">
        <v>1899</v>
      </c>
      <c r="H233" s="0" t="s">
        <v>5598</v>
      </c>
      <c r="I233" s="0" t="s">
        <v>5650</v>
      </c>
      <c r="K233" s="0" t="s">
        <v>36</v>
      </c>
      <c r="L233" s="0" t="s">
        <v>5651</v>
      </c>
    </row>
    <row r="234" customFormat="false" ht="17.15" hidden="false" customHeight="false" outlineLevel="0" collapsed="false">
      <c r="A234" s="0" t="s">
        <v>5652</v>
      </c>
      <c r="B234" s="0" t="s">
        <v>5653</v>
      </c>
      <c r="C234" s="0" t="s">
        <v>5654</v>
      </c>
      <c r="D234" s="0" t="s">
        <v>4911</v>
      </c>
      <c r="E234" s="5" t="s">
        <v>77</v>
      </c>
      <c r="F234" s="0" t="s">
        <v>5655</v>
      </c>
      <c r="G234" s="0" t="s">
        <v>1953</v>
      </c>
      <c r="H234" s="0" t="s">
        <v>5598</v>
      </c>
      <c r="I234" s="0" t="s">
        <v>5656</v>
      </c>
      <c r="K234" s="0" t="s">
        <v>36</v>
      </c>
      <c r="L234" s="0" t="s">
        <v>5657</v>
      </c>
    </row>
    <row r="235" customFormat="false" ht="17.15" hidden="false" customHeight="false" outlineLevel="0" collapsed="false">
      <c r="A235" s="0" t="s">
        <v>5658</v>
      </c>
      <c r="B235" s="0" t="s">
        <v>5653</v>
      </c>
      <c r="C235" s="0" t="s">
        <v>5659</v>
      </c>
      <c r="D235" s="0" t="s">
        <v>5129</v>
      </c>
      <c r="E235" s="0" t="s">
        <v>112</v>
      </c>
      <c r="F235" s="0" t="s">
        <v>5660</v>
      </c>
      <c r="G235" s="0" t="s">
        <v>1953</v>
      </c>
      <c r="H235" s="0" t="s">
        <v>5566</v>
      </c>
      <c r="I235" s="0" t="s">
        <v>5661</v>
      </c>
      <c r="K235" s="0" t="s">
        <v>36</v>
      </c>
      <c r="L235" s="0" t="s">
        <v>5662</v>
      </c>
    </row>
    <row r="236" customFormat="false" ht="17.15" hidden="false" customHeight="false" outlineLevel="0" collapsed="false">
      <c r="A236" s="0" t="s">
        <v>5663</v>
      </c>
      <c r="B236" s="0" t="s">
        <v>5653</v>
      </c>
      <c r="C236" s="0" t="s">
        <v>5664</v>
      </c>
      <c r="D236" s="0" t="s">
        <v>113</v>
      </c>
      <c r="E236" s="5" t="s">
        <v>77</v>
      </c>
      <c r="F236" s="0" t="s">
        <v>5655</v>
      </c>
      <c r="G236" s="0" t="s">
        <v>1953</v>
      </c>
      <c r="H236" s="0" t="s">
        <v>5631</v>
      </c>
      <c r="I236" s="5" t="s">
        <v>5665</v>
      </c>
      <c r="K236" s="0" t="s">
        <v>36</v>
      </c>
      <c r="L236" s="0" t="s">
        <v>5657</v>
      </c>
    </row>
    <row r="237" customFormat="false" ht="17.15" hidden="false" customHeight="false" outlineLevel="0" collapsed="false">
      <c r="A237" s="0" t="s">
        <v>5666</v>
      </c>
      <c r="B237" s="0" t="s">
        <v>5653</v>
      </c>
      <c r="C237" s="0" t="s">
        <v>5667</v>
      </c>
      <c r="D237" s="0" t="s">
        <v>5020</v>
      </c>
      <c r="E237" s="5" t="s">
        <v>77</v>
      </c>
      <c r="F237" s="0" t="s">
        <v>4827</v>
      </c>
      <c r="G237" s="0" t="s">
        <v>1899</v>
      </c>
      <c r="H237" s="0" t="s">
        <v>5609</v>
      </c>
      <c r="I237" s="5" t="s">
        <v>5610</v>
      </c>
      <c r="K237" s="0" t="s">
        <v>36</v>
      </c>
      <c r="L237" s="0" t="s">
        <v>5668</v>
      </c>
    </row>
    <row r="238" customFormat="false" ht="17.15" hidden="false" customHeight="false" outlineLevel="0" collapsed="false">
      <c r="A238" s="0" t="s">
        <v>5669</v>
      </c>
      <c r="B238" s="0" t="s">
        <v>5653</v>
      </c>
      <c r="C238" s="0" t="s">
        <v>5670</v>
      </c>
      <c r="D238" s="0" t="s">
        <v>5671</v>
      </c>
      <c r="E238" s="0" t="s">
        <v>112</v>
      </c>
      <c r="F238" s="0" t="s">
        <v>4676</v>
      </c>
      <c r="G238" s="0" t="s">
        <v>1899</v>
      </c>
      <c r="H238" s="0" t="s">
        <v>5592</v>
      </c>
      <c r="I238" s="0" t="s">
        <v>5672</v>
      </c>
      <c r="K238" s="0" t="s">
        <v>36</v>
      </c>
      <c r="L238" s="0" t="s">
        <v>5673</v>
      </c>
    </row>
    <row r="239" customFormat="false" ht="17.15" hidden="false" customHeight="false" outlineLevel="0" collapsed="false">
      <c r="A239" s="0" t="s">
        <v>5674</v>
      </c>
      <c r="B239" s="0" t="s">
        <v>2532</v>
      </c>
      <c r="C239" s="0" t="s">
        <v>5675</v>
      </c>
      <c r="D239" s="0" t="s">
        <v>5676</v>
      </c>
      <c r="E239" s="5" t="s">
        <v>77</v>
      </c>
      <c r="F239" s="0" t="s">
        <v>2388</v>
      </c>
      <c r="G239" s="0" t="s">
        <v>1953</v>
      </c>
      <c r="H239" s="0" t="s">
        <v>5566</v>
      </c>
      <c r="I239" s="0" t="s">
        <v>5677</v>
      </c>
      <c r="J239" s="0" t="s">
        <v>5678</v>
      </c>
      <c r="K239" s="5" t="s">
        <v>1895</v>
      </c>
      <c r="L239" s="0" t="s">
        <v>5679</v>
      </c>
    </row>
    <row r="240" customFormat="false" ht="17.15" hidden="false" customHeight="false" outlineLevel="0" collapsed="false">
      <c r="A240" s="0" t="s">
        <v>5680</v>
      </c>
      <c r="B240" s="0" t="s">
        <v>2532</v>
      </c>
      <c r="C240" s="0" t="s">
        <v>5681</v>
      </c>
      <c r="D240" s="0" t="s">
        <v>5682</v>
      </c>
      <c r="E240" s="0" t="s">
        <v>112</v>
      </c>
      <c r="F240" s="0" t="s">
        <v>2388</v>
      </c>
      <c r="G240" s="0" t="s">
        <v>1953</v>
      </c>
      <c r="H240" s="0" t="s">
        <v>5566</v>
      </c>
      <c r="I240" s="0" t="s">
        <v>5683</v>
      </c>
      <c r="K240" s="0" t="s">
        <v>36</v>
      </c>
      <c r="L240" s="0" t="s">
        <v>5684</v>
      </c>
    </row>
    <row r="241" customFormat="false" ht="17.15" hidden="false" customHeight="false" outlineLevel="0" collapsed="false">
      <c r="A241" s="0" t="s">
        <v>5685</v>
      </c>
      <c r="B241" s="0" t="s">
        <v>2532</v>
      </c>
      <c r="C241" s="0" t="s">
        <v>5686</v>
      </c>
      <c r="D241" s="0" t="s">
        <v>5682</v>
      </c>
      <c r="E241" s="0" t="s">
        <v>112</v>
      </c>
      <c r="F241" s="0" t="s">
        <v>2388</v>
      </c>
      <c r="G241" s="0" t="s">
        <v>1953</v>
      </c>
      <c r="H241" s="0" t="s">
        <v>5566</v>
      </c>
      <c r="I241" s="5" t="s">
        <v>5687</v>
      </c>
      <c r="K241" s="0" t="s">
        <v>36</v>
      </c>
      <c r="L241" s="0" t="s">
        <v>5684</v>
      </c>
    </row>
    <row r="242" customFormat="false" ht="17.15" hidden="false" customHeight="false" outlineLevel="0" collapsed="false">
      <c r="A242" s="0" t="s">
        <v>5688</v>
      </c>
      <c r="B242" s="0" t="s">
        <v>1868</v>
      </c>
      <c r="C242" s="0" t="s">
        <v>5689</v>
      </c>
      <c r="D242" s="0" t="s">
        <v>5690</v>
      </c>
      <c r="E242" s="5" t="s">
        <v>77</v>
      </c>
      <c r="F242" s="0" t="s">
        <v>139</v>
      </c>
      <c r="G242" s="0" t="s">
        <v>1953</v>
      </c>
      <c r="H242" s="0" t="s">
        <v>5566</v>
      </c>
      <c r="I242" s="0" t="s">
        <v>5691</v>
      </c>
      <c r="K242" s="0" t="s">
        <v>36</v>
      </c>
      <c r="L242" s="0" t="s">
        <v>5692</v>
      </c>
    </row>
    <row r="243" customFormat="false" ht="17.15" hidden="false" customHeight="false" outlineLevel="0" collapsed="false">
      <c r="A243" s="0" t="s">
        <v>5693</v>
      </c>
      <c r="B243" s="0" t="s">
        <v>1868</v>
      </c>
      <c r="C243" s="0" t="s">
        <v>5694</v>
      </c>
      <c r="D243" s="0" t="s">
        <v>5695</v>
      </c>
      <c r="E243" s="0" t="s">
        <v>112</v>
      </c>
      <c r="F243" s="0" t="s">
        <v>4560</v>
      </c>
      <c r="G243" s="0" t="s">
        <v>1899</v>
      </c>
      <c r="H243" s="0" t="s">
        <v>5598</v>
      </c>
      <c r="I243" s="0" t="s">
        <v>5696</v>
      </c>
      <c r="K243" s="0" t="s">
        <v>36</v>
      </c>
      <c r="L243" s="0" t="s">
        <v>4613</v>
      </c>
    </row>
    <row r="244" customFormat="false" ht="17.15" hidden="false" customHeight="false" outlineLevel="0" collapsed="false">
      <c r="A244" s="0" t="s">
        <v>5697</v>
      </c>
      <c r="B244" s="0" t="s">
        <v>1868</v>
      </c>
      <c r="C244" s="0" t="s">
        <v>5698</v>
      </c>
      <c r="D244" s="0" t="s">
        <v>113</v>
      </c>
      <c r="E244" s="5" t="s">
        <v>77</v>
      </c>
      <c r="F244" s="0" t="s">
        <v>139</v>
      </c>
      <c r="G244" s="0" t="s">
        <v>1953</v>
      </c>
      <c r="H244" s="0" t="s">
        <v>5598</v>
      </c>
      <c r="I244" s="0" t="s">
        <v>5699</v>
      </c>
      <c r="K244" s="0" t="s">
        <v>36</v>
      </c>
      <c r="L244" s="0" t="s">
        <v>5692</v>
      </c>
    </row>
    <row r="245" customFormat="false" ht="17.15" hidden="false" customHeight="false" outlineLevel="0" collapsed="false">
      <c r="A245" s="0" t="s">
        <v>5700</v>
      </c>
      <c r="B245" s="0" t="s">
        <v>1868</v>
      </c>
      <c r="C245" s="0" t="s">
        <v>5701</v>
      </c>
      <c r="D245" s="0" t="s">
        <v>113</v>
      </c>
      <c r="E245" s="5" t="s">
        <v>77</v>
      </c>
      <c r="F245" s="0" t="s">
        <v>5702</v>
      </c>
      <c r="G245" s="0" t="s">
        <v>1953</v>
      </c>
      <c r="H245" s="0" t="s">
        <v>5631</v>
      </c>
      <c r="I245" s="0" t="s">
        <v>5703</v>
      </c>
      <c r="K245" s="0" t="s">
        <v>36</v>
      </c>
      <c r="L245" s="0" t="s">
        <v>5704</v>
      </c>
    </row>
    <row r="246" customFormat="false" ht="17.15" hidden="false" customHeight="false" outlineLevel="0" collapsed="false">
      <c r="A246" s="0" t="s">
        <v>5705</v>
      </c>
      <c r="B246" s="0" t="s">
        <v>5706</v>
      </c>
      <c r="C246" s="0" t="s">
        <v>5707</v>
      </c>
      <c r="D246" s="0" t="s">
        <v>4817</v>
      </c>
      <c r="E246" s="5" t="s">
        <v>77</v>
      </c>
      <c r="F246" s="0" t="s">
        <v>4682</v>
      </c>
      <c r="G246" s="0" t="s">
        <v>1953</v>
      </c>
      <c r="H246" s="0" t="s">
        <v>5566</v>
      </c>
      <c r="I246" s="0" t="s">
        <v>5708</v>
      </c>
      <c r="K246" s="0" t="s">
        <v>36</v>
      </c>
      <c r="L246" s="0" t="s">
        <v>5709</v>
      </c>
    </row>
    <row r="247" customFormat="false" ht="17.15" hidden="false" customHeight="false" outlineLevel="0" collapsed="false">
      <c r="A247" s="0" t="s">
        <v>5710</v>
      </c>
      <c r="B247" s="0" t="s">
        <v>5706</v>
      </c>
      <c r="C247" s="0" t="s">
        <v>5711</v>
      </c>
      <c r="D247" s="0" t="s">
        <v>5152</v>
      </c>
      <c r="E247" s="0" t="s">
        <v>112</v>
      </c>
      <c r="F247" s="0" t="s">
        <v>4676</v>
      </c>
      <c r="G247" s="0" t="s">
        <v>1899</v>
      </c>
      <c r="H247" s="0" t="s">
        <v>5598</v>
      </c>
      <c r="I247" s="0" t="s">
        <v>5712</v>
      </c>
      <c r="K247" s="0" t="s">
        <v>36</v>
      </c>
      <c r="L247" s="0" t="s">
        <v>5713</v>
      </c>
    </row>
    <row r="248" customFormat="false" ht="17.15" hidden="false" customHeight="false" outlineLevel="0" collapsed="false">
      <c r="A248" s="0" t="s">
        <v>5714</v>
      </c>
      <c r="B248" s="0" t="s">
        <v>5706</v>
      </c>
      <c r="C248" s="0" t="s">
        <v>5715</v>
      </c>
      <c r="D248" s="0" t="s">
        <v>5716</v>
      </c>
      <c r="E248" s="5" t="s">
        <v>77</v>
      </c>
      <c r="F248" s="0" t="s">
        <v>5476</v>
      </c>
      <c r="G248" s="0" t="s">
        <v>1899</v>
      </c>
      <c r="H248" s="0" t="s">
        <v>5609</v>
      </c>
      <c r="I248" s="5" t="s">
        <v>5610</v>
      </c>
      <c r="K248" s="0" t="s">
        <v>36</v>
      </c>
      <c r="L248" s="0" t="s">
        <v>5717</v>
      </c>
    </row>
    <row r="249" customFormat="false" ht="17.15" hidden="false" customHeight="false" outlineLevel="0" collapsed="false">
      <c r="A249" s="0" t="s">
        <v>5718</v>
      </c>
      <c r="B249" s="0" t="s">
        <v>1723</v>
      </c>
      <c r="C249" s="0" t="s">
        <v>5719</v>
      </c>
      <c r="D249" s="0" t="s">
        <v>5720</v>
      </c>
      <c r="E249" s="0" t="s">
        <v>112</v>
      </c>
      <c r="F249" s="0" t="s">
        <v>5565</v>
      </c>
      <c r="G249" s="0" t="s">
        <v>1899</v>
      </c>
      <c r="H249" s="0" t="s">
        <v>5566</v>
      </c>
      <c r="I249" s="0" t="s">
        <v>5721</v>
      </c>
      <c r="K249" s="0" t="s">
        <v>36</v>
      </c>
      <c r="L249" s="0" t="s">
        <v>4688</v>
      </c>
    </row>
    <row r="250" customFormat="false" ht="17.15" hidden="false" customHeight="false" outlineLevel="0" collapsed="false">
      <c r="A250" s="0" t="s">
        <v>5722</v>
      </c>
      <c r="B250" s="0" t="s">
        <v>1723</v>
      </c>
      <c r="C250" s="0" t="s">
        <v>5723</v>
      </c>
      <c r="D250" s="0" t="s">
        <v>5724</v>
      </c>
      <c r="E250" s="0" t="s">
        <v>112</v>
      </c>
      <c r="F250" s="0" t="s">
        <v>5565</v>
      </c>
      <c r="G250" s="0" t="s">
        <v>1899</v>
      </c>
      <c r="H250" s="0" t="s">
        <v>5592</v>
      </c>
      <c r="I250" s="0" t="s">
        <v>5725</v>
      </c>
      <c r="K250" s="0" t="s">
        <v>36</v>
      </c>
      <c r="L250" s="0" t="s">
        <v>4688</v>
      </c>
    </row>
    <row r="251" customFormat="false" ht="17.15" hidden="false" customHeight="false" outlineLevel="0" collapsed="false">
      <c r="A251" s="0" t="s">
        <v>5726</v>
      </c>
      <c r="B251" s="0" t="s">
        <v>1723</v>
      </c>
      <c r="C251" s="0" t="s">
        <v>5727</v>
      </c>
      <c r="D251" s="0" t="s">
        <v>5728</v>
      </c>
      <c r="E251" s="0" t="s">
        <v>112</v>
      </c>
      <c r="F251" s="0" t="s">
        <v>5565</v>
      </c>
      <c r="G251" s="0" t="s">
        <v>1899</v>
      </c>
      <c r="H251" s="0" t="s">
        <v>5566</v>
      </c>
      <c r="I251" s="0" t="s">
        <v>5729</v>
      </c>
      <c r="J251" s="0" t="s">
        <v>711</v>
      </c>
      <c r="K251" s="5" t="s">
        <v>1895</v>
      </c>
      <c r="L251" s="0" t="s">
        <v>4688</v>
      </c>
    </row>
    <row r="252" customFormat="false" ht="17.15" hidden="false" customHeight="false" outlineLevel="0" collapsed="false">
      <c r="A252" s="0" t="s">
        <v>5730</v>
      </c>
      <c r="B252" s="0" t="s">
        <v>1723</v>
      </c>
      <c r="C252" s="0" t="s">
        <v>5731</v>
      </c>
      <c r="D252" s="0" t="s">
        <v>113</v>
      </c>
      <c r="E252" s="5" t="s">
        <v>77</v>
      </c>
      <c r="F252" s="0" t="s">
        <v>5222</v>
      </c>
      <c r="G252" s="0" t="s">
        <v>1953</v>
      </c>
      <c r="H252" s="0" t="s">
        <v>5566</v>
      </c>
      <c r="I252" s="5" t="s">
        <v>5732</v>
      </c>
      <c r="K252" s="0" t="s">
        <v>36</v>
      </c>
      <c r="L252" s="0" t="s">
        <v>5733</v>
      </c>
    </row>
    <row r="253" customFormat="false" ht="17.15" hidden="false" customHeight="false" outlineLevel="0" collapsed="false">
      <c r="A253" s="0" t="s">
        <v>5734</v>
      </c>
      <c r="B253" s="0" t="s">
        <v>5735</v>
      </c>
      <c r="C253" s="0" t="s">
        <v>5736</v>
      </c>
      <c r="D253" s="0" t="s">
        <v>5724</v>
      </c>
      <c r="E253" s="0" t="s">
        <v>112</v>
      </c>
      <c r="G253" s="0" t="s">
        <v>1899</v>
      </c>
      <c r="H253" s="0" t="s">
        <v>5598</v>
      </c>
      <c r="I253" s="0" t="s">
        <v>5737</v>
      </c>
      <c r="K253" s="0" t="s">
        <v>36</v>
      </c>
      <c r="L253" s="0" t="s">
        <v>4693</v>
      </c>
    </row>
    <row r="254" customFormat="false" ht="17.15" hidden="false" customHeight="false" outlineLevel="0" collapsed="false">
      <c r="A254" s="0" t="s">
        <v>5738</v>
      </c>
      <c r="B254" s="0" t="s">
        <v>5735</v>
      </c>
      <c r="C254" s="0" t="s">
        <v>5739</v>
      </c>
      <c r="D254" s="0" t="s">
        <v>113</v>
      </c>
      <c r="E254" s="5" t="s">
        <v>77</v>
      </c>
      <c r="F254" s="0" t="s">
        <v>4941</v>
      </c>
      <c r="G254" s="0" t="s">
        <v>1953</v>
      </c>
      <c r="H254" s="0" t="s">
        <v>5609</v>
      </c>
      <c r="I254" s="5" t="s">
        <v>5610</v>
      </c>
      <c r="K254" s="0" t="s">
        <v>36</v>
      </c>
      <c r="L254" s="0" t="s">
        <v>5740</v>
      </c>
    </row>
    <row r="255" customFormat="false" ht="17.15" hidden="false" customHeight="false" outlineLevel="0" collapsed="false">
      <c r="A255" s="0" t="s">
        <v>5741</v>
      </c>
      <c r="B255" s="0" t="s">
        <v>5735</v>
      </c>
      <c r="C255" s="0" t="s">
        <v>5742</v>
      </c>
      <c r="D255" s="0" t="s">
        <v>5743</v>
      </c>
      <c r="E255" s="0" t="s">
        <v>112</v>
      </c>
      <c r="G255" s="0" t="s">
        <v>1899</v>
      </c>
      <c r="H255" s="0" t="s">
        <v>5598</v>
      </c>
      <c r="I255" s="0" t="s">
        <v>5744</v>
      </c>
      <c r="K255" s="0" t="s">
        <v>36</v>
      </c>
      <c r="L255" s="0" t="s">
        <v>4693</v>
      </c>
    </row>
    <row r="256" customFormat="false" ht="17.15" hidden="false" customHeight="false" outlineLevel="0" collapsed="false">
      <c r="A256" s="0" t="s">
        <v>5745</v>
      </c>
      <c r="B256" s="0" t="s">
        <v>5735</v>
      </c>
      <c r="C256" s="0" t="s">
        <v>5746</v>
      </c>
      <c r="D256" s="0" t="s">
        <v>5572</v>
      </c>
      <c r="E256" s="5" t="s">
        <v>77</v>
      </c>
      <c r="F256" s="0" t="s">
        <v>5747</v>
      </c>
      <c r="G256" s="0" t="s">
        <v>1953</v>
      </c>
      <c r="H256" s="0" t="s">
        <v>5592</v>
      </c>
      <c r="I256" s="5" t="s">
        <v>5748</v>
      </c>
      <c r="K256" s="0" t="s">
        <v>36</v>
      </c>
      <c r="L256" s="0" t="s">
        <v>5749</v>
      </c>
    </row>
    <row r="257" customFormat="false" ht="17.15" hidden="false" customHeight="false" outlineLevel="0" collapsed="false">
      <c r="A257" s="0" t="s">
        <v>5750</v>
      </c>
      <c r="B257" s="0" t="s">
        <v>5751</v>
      </c>
      <c r="C257" s="0" t="s">
        <v>5752</v>
      </c>
      <c r="D257" s="0" t="s">
        <v>4883</v>
      </c>
      <c r="E257" s="5" t="s">
        <v>77</v>
      </c>
      <c r="F257" s="0" t="s">
        <v>2343</v>
      </c>
      <c r="G257" s="0" t="s">
        <v>1899</v>
      </c>
      <c r="H257" s="0" t="s">
        <v>5609</v>
      </c>
      <c r="I257" s="5" t="s">
        <v>5610</v>
      </c>
      <c r="J257" s="0" t="s">
        <v>662</v>
      </c>
      <c r="K257" s="5" t="s">
        <v>4631</v>
      </c>
      <c r="L257" s="0" t="s">
        <v>5753</v>
      </c>
    </row>
    <row r="258" customFormat="false" ht="17.15" hidden="false" customHeight="false" outlineLevel="0" collapsed="false">
      <c r="A258" s="0" t="s">
        <v>5754</v>
      </c>
      <c r="B258" s="0" t="s">
        <v>5751</v>
      </c>
      <c r="C258" s="0" t="s">
        <v>5755</v>
      </c>
      <c r="D258" s="0" t="s">
        <v>113</v>
      </c>
      <c r="E258" s="5" t="s">
        <v>77</v>
      </c>
      <c r="F258" s="0" t="s">
        <v>5433</v>
      </c>
      <c r="G258" s="0" t="s">
        <v>1953</v>
      </c>
      <c r="H258" s="0" t="s">
        <v>5609</v>
      </c>
      <c r="I258" s="5" t="s">
        <v>5610</v>
      </c>
      <c r="K258" s="0" t="s">
        <v>36</v>
      </c>
      <c r="L258" s="0" t="s">
        <v>5756</v>
      </c>
    </row>
    <row r="259" customFormat="false" ht="17.15" hidden="false" customHeight="false" outlineLevel="0" collapsed="false">
      <c r="A259" s="0" t="s">
        <v>5757</v>
      </c>
      <c r="B259" s="0" t="s">
        <v>5751</v>
      </c>
      <c r="C259" s="0" t="s">
        <v>5758</v>
      </c>
      <c r="D259" s="0" t="s">
        <v>113</v>
      </c>
      <c r="E259" s="5" t="s">
        <v>77</v>
      </c>
      <c r="F259" s="0" t="s">
        <v>5433</v>
      </c>
      <c r="G259" s="0" t="s">
        <v>1953</v>
      </c>
      <c r="H259" s="0" t="s">
        <v>5609</v>
      </c>
      <c r="I259" s="5" t="s">
        <v>5610</v>
      </c>
      <c r="K259" s="0" t="s">
        <v>36</v>
      </c>
      <c r="L259" s="0" t="s">
        <v>5756</v>
      </c>
    </row>
    <row r="260" customFormat="false" ht="17.15" hidden="false" customHeight="false" outlineLevel="0" collapsed="false">
      <c r="A260" s="0" t="s">
        <v>5759</v>
      </c>
      <c r="B260" s="0" t="s">
        <v>1070</v>
      </c>
      <c r="C260" s="0" t="s">
        <v>5760</v>
      </c>
      <c r="D260" s="0" t="s">
        <v>5572</v>
      </c>
      <c r="E260" s="5" t="s">
        <v>77</v>
      </c>
      <c r="F260" s="0" t="s">
        <v>5761</v>
      </c>
      <c r="G260" s="0" t="s">
        <v>1953</v>
      </c>
      <c r="H260" s="0" t="s">
        <v>5614</v>
      </c>
      <c r="I260" s="5" t="s">
        <v>5762</v>
      </c>
      <c r="K260" s="0" t="s">
        <v>36</v>
      </c>
      <c r="L260" s="0" t="s">
        <v>5763</v>
      </c>
    </row>
    <row r="261" customFormat="false" ht="17.15" hidden="false" customHeight="false" outlineLevel="0" collapsed="false">
      <c r="A261" s="0" t="s">
        <v>5764</v>
      </c>
      <c r="B261" s="0" t="s">
        <v>1070</v>
      </c>
      <c r="C261" s="0" t="s">
        <v>5765</v>
      </c>
      <c r="D261" s="0" t="s">
        <v>5766</v>
      </c>
      <c r="E261" s="0" t="s">
        <v>112</v>
      </c>
      <c r="F261" s="0" t="s">
        <v>5747</v>
      </c>
      <c r="G261" s="0" t="s">
        <v>1899</v>
      </c>
      <c r="H261" s="0" t="s">
        <v>5566</v>
      </c>
      <c r="I261" s="0" t="s">
        <v>5767</v>
      </c>
      <c r="K261" s="0" t="s">
        <v>36</v>
      </c>
      <c r="L261" s="0" t="s">
        <v>5768</v>
      </c>
    </row>
    <row r="262" customFormat="false" ht="17.15" hidden="false" customHeight="false" outlineLevel="0" collapsed="false">
      <c r="A262" s="0" t="s">
        <v>5769</v>
      </c>
      <c r="B262" s="0" t="s">
        <v>1070</v>
      </c>
      <c r="C262" s="0" t="s">
        <v>5770</v>
      </c>
      <c r="D262" s="0" t="s">
        <v>5771</v>
      </c>
      <c r="E262" s="0" t="s">
        <v>112</v>
      </c>
      <c r="F262" s="0" t="s">
        <v>5772</v>
      </c>
      <c r="G262" s="0" t="s">
        <v>1899</v>
      </c>
      <c r="H262" s="0" t="s">
        <v>5598</v>
      </c>
      <c r="I262" s="0" t="s">
        <v>5773</v>
      </c>
      <c r="K262" s="0" t="s">
        <v>36</v>
      </c>
      <c r="L262" s="0" t="s">
        <v>5774</v>
      </c>
    </row>
    <row r="263" customFormat="false" ht="17.15" hidden="false" customHeight="false" outlineLevel="0" collapsed="false">
      <c r="A263" s="0" t="s">
        <v>5775</v>
      </c>
      <c r="B263" s="0" t="s">
        <v>5776</v>
      </c>
      <c r="C263" s="0" t="s">
        <v>5777</v>
      </c>
      <c r="D263" s="0" t="s">
        <v>5564</v>
      </c>
      <c r="E263" s="5" t="s">
        <v>77</v>
      </c>
      <c r="F263" s="0" t="s">
        <v>4749</v>
      </c>
      <c r="G263" s="0" t="s">
        <v>1953</v>
      </c>
      <c r="H263" s="0" t="s">
        <v>5614</v>
      </c>
      <c r="I263" s="0" t="s">
        <v>5778</v>
      </c>
      <c r="J263" s="0" t="s">
        <v>732</v>
      </c>
      <c r="K263" s="5" t="s">
        <v>4631</v>
      </c>
      <c r="L263" s="0" t="s">
        <v>5779</v>
      </c>
    </row>
    <row r="264" customFormat="false" ht="17.15" hidden="false" customHeight="false" outlineLevel="0" collapsed="false">
      <c r="A264" s="0" t="s">
        <v>5780</v>
      </c>
      <c r="B264" s="0" t="s">
        <v>5776</v>
      </c>
      <c r="C264" s="0" t="s">
        <v>5781</v>
      </c>
      <c r="D264" s="0" t="s">
        <v>4810</v>
      </c>
      <c r="E264" s="5" t="s">
        <v>77</v>
      </c>
      <c r="F264" s="0" t="s">
        <v>4749</v>
      </c>
      <c r="G264" s="0" t="s">
        <v>1953</v>
      </c>
      <c r="H264" s="0" t="s">
        <v>5566</v>
      </c>
      <c r="I264" s="0" t="s">
        <v>5782</v>
      </c>
      <c r="K264" s="0" t="s">
        <v>36</v>
      </c>
      <c r="L264" s="0" t="s">
        <v>5779</v>
      </c>
    </row>
    <row r="265" customFormat="false" ht="17.15" hidden="false" customHeight="false" outlineLevel="0" collapsed="false">
      <c r="A265" s="0" t="s">
        <v>5783</v>
      </c>
      <c r="B265" s="0" t="s">
        <v>5776</v>
      </c>
      <c r="C265" s="0" t="s">
        <v>5784</v>
      </c>
      <c r="D265" s="0" t="s">
        <v>5785</v>
      </c>
      <c r="E265" s="5" t="s">
        <v>77</v>
      </c>
      <c r="F265" s="0" t="s">
        <v>4749</v>
      </c>
      <c r="G265" s="0" t="s">
        <v>1909</v>
      </c>
      <c r="H265" s="0" t="s">
        <v>5614</v>
      </c>
      <c r="I265" s="5" t="s">
        <v>5786</v>
      </c>
      <c r="J265" s="0" t="s">
        <v>732</v>
      </c>
      <c r="K265" s="5" t="s">
        <v>4631</v>
      </c>
      <c r="L265" s="0" t="s">
        <v>5779</v>
      </c>
    </row>
    <row r="266" customFormat="false" ht="17.15" hidden="false" customHeight="false" outlineLevel="0" collapsed="false">
      <c r="A266" s="0" t="s">
        <v>5787</v>
      </c>
      <c r="B266" s="0" t="s">
        <v>5788</v>
      </c>
      <c r="C266" s="0" t="s">
        <v>5789</v>
      </c>
      <c r="D266" s="0" t="s">
        <v>5572</v>
      </c>
      <c r="E266" s="5" t="s">
        <v>77</v>
      </c>
      <c r="F266" s="0" t="s">
        <v>4756</v>
      </c>
      <c r="G266" s="0" t="s">
        <v>1953</v>
      </c>
      <c r="H266" s="0" t="s">
        <v>5566</v>
      </c>
      <c r="I266" s="0" t="s">
        <v>5790</v>
      </c>
      <c r="K266" s="0" t="s">
        <v>36</v>
      </c>
      <c r="L266" s="0" t="s">
        <v>5791</v>
      </c>
    </row>
    <row r="267" customFormat="false" ht="17.15" hidden="false" customHeight="false" outlineLevel="0" collapsed="false">
      <c r="A267" s="0" t="s">
        <v>5792</v>
      </c>
      <c r="B267" s="0" t="s">
        <v>2532</v>
      </c>
      <c r="C267" s="0" t="s">
        <v>5793</v>
      </c>
      <c r="D267" s="0" t="s">
        <v>5572</v>
      </c>
      <c r="E267" s="5" t="s">
        <v>77</v>
      </c>
      <c r="F267" s="0" t="s">
        <v>4936</v>
      </c>
      <c r="G267" s="0" t="s">
        <v>1953</v>
      </c>
      <c r="H267" s="0" t="s">
        <v>5614</v>
      </c>
      <c r="I267" s="0" t="s">
        <v>5794</v>
      </c>
      <c r="K267" s="0" t="s">
        <v>36</v>
      </c>
      <c r="L267" s="0" t="s">
        <v>5795</v>
      </c>
    </row>
    <row r="268" customFormat="false" ht="17.15" hidden="false" customHeight="false" outlineLevel="0" collapsed="false">
      <c r="A268" s="0" t="s">
        <v>5796</v>
      </c>
      <c r="B268" s="0" t="s">
        <v>2532</v>
      </c>
      <c r="C268" s="0" t="s">
        <v>5797</v>
      </c>
      <c r="D268" s="0" t="s">
        <v>113</v>
      </c>
      <c r="E268" s="5" t="s">
        <v>77</v>
      </c>
      <c r="F268" s="0" t="s">
        <v>5798</v>
      </c>
      <c r="G268" s="0" t="s">
        <v>1899</v>
      </c>
      <c r="H268" s="0" t="s">
        <v>5614</v>
      </c>
      <c r="I268" s="5" t="s">
        <v>5799</v>
      </c>
      <c r="K268" s="0" t="s">
        <v>36</v>
      </c>
      <c r="L268" s="0" t="s">
        <v>5800</v>
      </c>
    </row>
    <row r="269" customFormat="false" ht="17.15" hidden="false" customHeight="false" outlineLevel="0" collapsed="false">
      <c r="A269" s="0" t="s">
        <v>5801</v>
      </c>
      <c r="B269" s="0" t="s">
        <v>2532</v>
      </c>
      <c r="C269" s="0" t="s">
        <v>5802</v>
      </c>
      <c r="D269" s="0" t="s">
        <v>113</v>
      </c>
      <c r="E269" s="5" t="s">
        <v>77</v>
      </c>
      <c r="F269" s="0" t="s">
        <v>5798</v>
      </c>
      <c r="G269" s="0" t="s">
        <v>1899</v>
      </c>
      <c r="H269" s="0" t="s">
        <v>5631</v>
      </c>
      <c r="I269" s="5" t="s">
        <v>5803</v>
      </c>
      <c r="K269" s="0" t="s">
        <v>36</v>
      </c>
      <c r="L269" s="0" t="s">
        <v>5804</v>
      </c>
    </row>
    <row r="270" customFormat="false" ht="17.15" hidden="false" customHeight="false" outlineLevel="0" collapsed="false">
      <c r="A270" s="0" t="s">
        <v>5805</v>
      </c>
      <c r="B270" s="0" t="s">
        <v>2532</v>
      </c>
      <c r="C270" s="0" t="s">
        <v>5806</v>
      </c>
      <c r="D270" s="0" t="s">
        <v>113</v>
      </c>
      <c r="E270" s="5" t="s">
        <v>77</v>
      </c>
      <c r="F270" s="0" t="s">
        <v>5523</v>
      </c>
      <c r="G270" s="0" t="s">
        <v>1953</v>
      </c>
      <c r="H270" s="0" t="s">
        <v>5566</v>
      </c>
      <c r="I270" s="0" t="s">
        <v>5807</v>
      </c>
      <c r="K270" s="0" t="s">
        <v>36</v>
      </c>
      <c r="L270" s="0" t="s">
        <v>5808</v>
      </c>
    </row>
    <row r="271" customFormat="false" ht="17.15" hidden="false" customHeight="false" outlineLevel="0" collapsed="false">
      <c r="A271" s="0" t="s">
        <v>5809</v>
      </c>
      <c r="B271" s="0" t="s">
        <v>5810</v>
      </c>
      <c r="C271" s="0" t="s">
        <v>5811</v>
      </c>
      <c r="D271" s="0" t="s">
        <v>4823</v>
      </c>
      <c r="E271" s="5" t="s">
        <v>77</v>
      </c>
      <c r="F271" s="0" t="s">
        <v>5812</v>
      </c>
      <c r="G271" s="0" t="s">
        <v>1953</v>
      </c>
      <c r="H271" s="0" t="s">
        <v>5566</v>
      </c>
      <c r="I271" s="0" t="s">
        <v>5813</v>
      </c>
      <c r="K271" s="0" t="s">
        <v>36</v>
      </c>
      <c r="L271" s="0" t="s">
        <v>5814</v>
      </c>
    </row>
    <row r="272" customFormat="false" ht="17.15" hidden="false" customHeight="false" outlineLevel="0" collapsed="false">
      <c r="A272" s="0" t="s">
        <v>5815</v>
      </c>
      <c r="B272" s="0" t="s">
        <v>5816</v>
      </c>
      <c r="C272" s="0" t="s">
        <v>5817</v>
      </c>
      <c r="D272" s="0" t="s">
        <v>113</v>
      </c>
      <c r="E272" s="5" t="s">
        <v>77</v>
      </c>
      <c r="F272" s="0" t="s">
        <v>5818</v>
      </c>
      <c r="G272" s="0" t="s">
        <v>1953</v>
      </c>
      <c r="H272" s="0" t="s">
        <v>5609</v>
      </c>
      <c r="I272" s="5" t="s">
        <v>5819</v>
      </c>
      <c r="K272" s="0" t="s">
        <v>36</v>
      </c>
      <c r="L272" s="0" t="s">
        <v>5820</v>
      </c>
    </row>
    <row r="273" customFormat="false" ht="17.15" hidden="false" customHeight="false" outlineLevel="0" collapsed="false">
      <c r="A273" s="0" t="s">
        <v>5821</v>
      </c>
      <c r="B273" s="0" t="s">
        <v>5822</v>
      </c>
      <c r="C273" s="0" t="s">
        <v>5823</v>
      </c>
      <c r="D273" s="0" t="s">
        <v>4568</v>
      </c>
      <c r="E273" s="5" t="s">
        <v>77</v>
      </c>
      <c r="F273" s="0" t="s">
        <v>5824</v>
      </c>
      <c r="G273" s="0" t="s">
        <v>1899</v>
      </c>
      <c r="H273" s="0" t="s">
        <v>5609</v>
      </c>
      <c r="I273" s="5" t="s">
        <v>5825</v>
      </c>
      <c r="K273" s="0" t="s">
        <v>36</v>
      </c>
      <c r="L273" s="0" t="s">
        <v>5826</v>
      </c>
    </row>
    <row r="274" customFormat="false" ht="17.15" hidden="false" customHeight="false" outlineLevel="0" collapsed="false">
      <c r="A274" s="0" t="s">
        <v>5827</v>
      </c>
      <c r="B274" s="0" t="s">
        <v>5828</v>
      </c>
      <c r="C274" s="0" t="s">
        <v>5829</v>
      </c>
      <c r="D274" s="0" t="s">
        <v>5830</v>
      </c>
      <c r="E274" s="5" t="s">
        <v>77</v>
      </c>
      <c r="F274" s="0" t="s">
        <v>5831</v>
      </c>
      <c r="G274" s="0" t="s">
        <v>1899</v>
      </c>
      <c r="H274" s="0" t="s">
        <v>5566</v>
      </c>
      <c r="I274" s="0" t="s">
        <v>5832</v>
      </c>
      <c r="K274" s="0" t="s">
        <v>36</v>
      </c>
      <c r="L274" s="0" t="s">
        <v>5833</v>
      </c>
    </row>
    <row r="275" customFormat="false" ht="17.15" hidden="false" customHeight="false" outlineLevel="0" collapsed="false">
      <c r="A275" s="0" t="s">
        <v>5834</v>
      </c>
      <c r="B275" s="0" t="s">
        <v>5835</v>
      </c>
      <c r="C275" s="0" t="s">
        <v>5836</v>
      </c>
      <c r="D275" s="0" t="s">
        <v>113</v>
      </c>
      <c r="E275" s="5" t="s">
        <v>77</v>
      </c>
      <c r="F275" s="0" t="s">
        <v>5837</v>
      </c>
      <c r="G275" s="0" t="s">
        <v>1953</v>
      </c>
      <c r="H275" s="0" t="s">
        <v>5631</v>
      </c>
      <c r="I275" s="0" t="s">
        <v>5838</v>
      </c>
      <c r="K275" s="0" t="s">
        <v>36</v>
      </c>
      <c r="L275" s="0" t="s">
        <v>5839</v>
      </c>
    </row>
    <row r="276" customFormat="false" ht="17.15" hidden="false" customHeight="false" outlineLevel="0" collapsed="false">
      <c r="A276" s="0" t="s">
        <v>5840</v>
      </c>
      <c r="B276" s="0" t="s">
        <v>5841</v>
      </c>
      <c r="C276" s="0" t="s">
        <v>5842</v>
      </c>
      <c r="D276" s="0" t="s">
        <v>5843</v>
      </c>
      <c r="E276" s="5" t="s">
        <v>77</v>
      </c>
      <c r="F276" s="0" t="s">
        <v>4374</v>
      </c>
      <c r="G276" s="0" t="s">
        <v>1899</v>
      </c>
      <c r="H276" s="0" t="s">
        <v>5566</v>
      </c>
      <c r="I276" s="0" t="s">
        <v>5844</v>
      </c>
      <c r="K276" s="0" t="s">
        <v>36</v>
      </c>
      <c r="L276" s="0" t="s">
        <v>5845</v>
      </c>
    </row>
    <row r="277" customFormat="false" ht="17.15" hidden="false" customHeight="false" outlineLevel="0" collapsed="false">
      <c r="A277" s="0" t="s">
        <v>5846</v>
      </c>
      <c r="B277" s="0" t="s">
        <v>5847</v>
      </c>
      <c r="C277" s="0" t="s">
        <v>5848</v>
      </c>
      <c r="D277" s="0" t="s">
        <v>5052</v>
      </c>
      <c r="E277" s="0" t="s">
        <v>112</v>
      </c>
      <c r="G277" s="0" t="s">
        <v>1953</v>
      </c>
      <c r="H277" s="0" t="s">
        <v>5849</v>
      </c>
      <c r="K277" s="0" t="s">
        <v>36</v>
      </c>
      <c r="L277" s="0" t="s">
        <v>5850</v>
      </c>
    </row>
    <row r="278" customFormat="false" ht="17.15" hidden="false" customHeight="false" outlineLevel="0" collapsed="false">
      <c r="A278" s="0" t="s">
        <v>5851</v>
      </c>
      <c r="B278" s="0" t="s">
        <v>5852</v>
      </c>
      <c r="C278" s="0" t="s">
        <v>5853</v>
      </c>
      <c r="D278" s="0" t="s">
        <v>113</v>
      </c>
      <c r="E278" s="5" t="s">
        <v>77</v>
      </c>
      <c r="G278" s="0" t="s">
        <v>1953</v>
      </c>
      <c r="H278" s="0" t="s">
        <v>5598</v>
      </c>
      <c r="I278" s="5" t="s">
        <v>5854</v>
      </c>
      <c r="K278" s="0" t="s">
        <v>36</v>
      </c>
      <c r="L278" s="0" t="s">
        <v>5855</v>
      </c>
    </row>
    <row r="279" customFormat="false" ht="17.15" hidden="false" customHeight="false" outlineLevel="0" collapsed="false">
      <c r="A279" s="0" t="s">
        <v>5856</v>
      </c>
      <c r="B279" s="0" t="s">
        <v>5852</v>
      </c>
      <c r="C279" s="0" t="s">
        <v>5857</v>
      </c>
      <c r="D279" s="0" t="s">
        <v>4820</v>
      </c>
      <c r="E279" s="5" t="s">
        <v>77</v>
      </c>
      <c r="G279" s="0" t="s">
        <v>1953</v>
      </c>
      <c r="H279" s="0" t="s">
        <v>5592</v>
      </c>
      <c r="I279" s="0" t="s">
        <v>5858</v>
      </c>
      <c r="K279" s="0" t="s">
        <v>36</v>
      </c>
      <c r="L279" s="0" t="s">
        <v>5859</v>
      </c>
    </row>
    <row r="280" customFormat="false" ht="17.15" hidden="false" customHeight="false" outlineLevel="0" collapsed="false">
      <c r="A280" s="0" t="s">
        <v>5860</v>
      </c>
      <c r="B280" s="0" t="s">
        <v>5861</v>
      </c>
      <c r="C280" s="0" t="s">
        <v>5862</v>
      </c>
      <c r="D280" s="0" t="s">
        <v>5863</v>
      </c>
      <c r="E280" s="5" t="s">
        <v>77</v>
      </c>
      <c r="F280" s="0" t="s">
        <v>4924</v>
      </c>
      <c r="G280" s="0" t="s">
        <v>1899</v>
      </c>
      <c r="H280" s="0" t="s">
        <v>5609</v>
      </c>
      <c r="I280" s="5" t="s">
        <v>5610</v>
      </c>
      <c r="K280" s="0" t="s">
        <v>36</v>
      </c>
      <c r="L280" s="0" t="s">
        <v>5864</v>
      </c>
    </row>
    <row r="281" customFormat="false" ht="17.15" hidden="false" customHeight="false" outlineLevel="0" collapsed="false">
      <c r="A281" s="0" t="s">
        <v>5865</v>
      </c>
      <c r="B281" s="0" t="s">
        <v>5866</v>
      </c>
      <c r="C281" s="0" t="s">
        <v>5867</v>
      </c>
      <c r="D281" s="0" t="s">
        <v>5207</v>
      </c>
      <c r="E281" s="0" t="s">
        <v>112</v>
      </c>
      <c r="F281" s="0" t="s">
        <v>4865</v>
      </c>
      <c r="G281" s="0" t="s">
        <v>1953</v>
      </c>
      <c r="H281" s="0" t="s">
        <v>5609</v>
      </c>
      <c r="I281" s="5" t="s">
        <v>5868</v>
      </c>
      <c r="K281" s="0" t="s">
        <v>36</v>
      </c>
      <c r="L281" s="0" t="s">
        <v>5869</v>
      </c>
    </row>
    <row r="282" customFormat="false" ht="17.15" hidden="false" customHeight="false" outlineLevel="0" collapsed="false">
      <c r="A282" s="0" t="s">
        <v>5870</v>
      </c>
      <c r="B282" s="0" t="s">
        <v>5866</v>
      </c>
      <c r="C282" s="0" t="s">
        <v>5871</v>
      </c>
      <c r="D282" s="0" t="s">
        <v>5872</v>
      </c>
      <c r="E282" s="0" t="s">
        <v>112</v>
      </c>
      <c r="F282" s="0" t="s">
        <v>4646</v>
      </c>
      <c r="G282" s="0" t="s">
        <v>1899</v>
      </c>
      <c r="H282" s="0" t="s">
        <v>5566</v>
      </c>
      <c r="I282" s="0" t="s">
        <v>5873</v>
      </c>
      <c r="K282" s="0" t="s">
        <v>36</v>
      </c>
      <c r="L282" s="0" t="s">
        <v>5874</v>
      </c>
    </row>
    <row r="283" customFormat="false" ht="17.15" hidden="false" customHeight="false" outlineLevel="0" collapsed="false">
      <c r="A283" s="0" t="s">
        <v>5875</v>
      </c>
      <c r="B283" s="0" t="s">
        <v>5866</v>
      </c>
      <c r="C283" s="0" t="s">
        <v>5876</v>
      </c>
      <c r="D283" s="0" t="s">
        <v>5207</v>
      </c>
      <c r="E283" s="0" t="s">
        <v>112</v>
      </c>
      <c r="F283" s="0" t="s">
        <v>5877</v>
      </c>
      <c r="G283" s="0" t="s">
        <v>1953</v>
      </c>
      <c r="H283" s="0" t="s">
        <v>5609</v>
      </c>
      <c r="I283" s="5" t="s">
        <v>5610</v>
      </c>
      <c r="K283" s="0" t="s">
        <v>36</v>
      </c>
      <c r="L283" s="0" t="s">
        <v>5878</v>
      </c>
    </row>
    <row r="284" customFormat="false" ht="17.15" hidden="false" customHeight="false" outlineLevel="0" collapsed="false">
      <c r="A284" s="0" t="s">
        <v>5879</v>
      </c>
      <c r="B284" s="0" t="s">
        <v>5866</v>
      </c>
      <c r="C284" s="0" t="s">
        <v>5880</v>
      </c>
      <c r="D284" s="0" t="s">
        <v>5881</v>
      </c>
      <c r="E284" s="5" t="s">
        <v>168</v>
      </c>
      <c r="F284" s="0" t="s">
        <v>4865</v>
      </c>
      <c r="G284" s="0" t="s">
        <v>1953</v>
      </c>
      <c r="H284" s="0" t="s">
        <v>5609</v>
      </c>
      <c r="I284" s="5" t="s">
        <v>5868</v>
      </c>
      <c r="K284" s="0" t="s">
        <v>36</v>
      </c>
      <c r="L284" s="0" t="s">
        <v>5869</v>
      </c>
    </row>
    <row r="285" customFormat="false" ht="17.15" hidden="false" customHeight="false" outlineLevel="0" collapsed="false">
      <c r="A285" s="0" t="s">
        <v>5882</v>
      </c>
      <c r="B285" s="0" t="s">
        <v>5883</v>
      </c>
      <c r="C285" s="0" t="s">
        <v>5884</v>
      </c>
      <c r="D285" s="0" t="s">
        <v>5690</v>
      </c>
      <c r="E285" s="0" t="s">
        <v>112</v>
      </c>
      <c r="F285" s="0" t="s">
        <v>5798</v>
      </c>
      <c r="G285" s="0" t="s">
        <v>1953</v>
      </c>
      <c r="H285" s="0" t="s">
        <v>5598</v>
      </c>
      <c r="I285" s="0" t="s">
        <v>5885</v>
      </c>
      <c r="K285" s="0" t="s">
        <v>36</v>
      </c>
      <c r="L285" s="0" t="s">
        <v>5886</v>
      </c>
    </row>
    <row r="286" customFormat="false" ht="17.15" hidden="false" customHeight="false" outlineLevel="0" collapsed="false">
      <c r="A286" s="0" t="s">
        <v>5887</v>
      </c>
      <c r="B286" s="0" t="s">
        <v>5883</v>
      </c>
      <c r="C286" s="0" t="s">
        <v>5888</v>
      </c>
      <c r="D286" s="0" t="s">
        <v>5889</v>
      </c>
      <c r="E286" s="0" t="s">
        <v>112</v>
      </c>
      <c r="F286" s="0" t="s">
        <v>5890</v>
      </c>
      <c r="G286" s="0" t="s">
        <v>1953</v>
      </c>
      <c r="H286" s="0" t="s">
        <v>5614</v>
      </c>
      <c r="I286" s="5" t="s">
        <v>5891</v>
      </c>
      <c r="K286" s="0" t="s">
        <v>36</v>
      </c>
      <c r="L286" s="0" t="s">
        <v>5892</v>
      </c>
    </row>
    <row r="287" customFormat="false" ht="17.15" hidden="false" customHeight="false" outlineLevel="0" collapsed="false">
      <c r="A287" s="0" t="s">
        <v>5893</v>
      </c>
      <c r="B287" s="0" t="s">
        <v>5883</v>
      </c>
      <c r="C287" s="0" t="s">
        <v>5894</v>
      </c>
      <c r="D287" s="0" t="s">
        <v>5895</v>
      </c>
      <c r="E287" s="0" t="s">
        <v>112</v>
      </c>
      <c r="F287" s="0" t="s">
        <v>5414</v>
      </c>
      <c r="G287" s="0" t="s">
        <v>1953</v>
      </c>
      <c r="H287" s="0" t="s">
        <v>5566</v>
      </c>
      <c r="I287" s="0" t="s">
        <v>5896</v>
      </c>
      <c r="K287" s="0" t="s">
        <v>36</v>
      </c>
      <c r="L287" s="0" t="s">
        <v>5897</v>
      </c>
    </row>
    <row r="288" customFormat="false" ht="17.15" hidden="false" customHeight="false" outlineLevel="0" collapsed="false">
      <c r="A288" s="0" t="s">
        <v>5898</v>
      </c>
      <c r="B288" s="0" t="s">
        <v>5883</v>
      </c>
      <c r="C288" s="0" t="s">
        <v>5899</v>
      </c>
      <c r="D288" s="0" t="s">
        <v>5895</v>
      </c>
      <c r="E288" s="0" t="s">
        <v>112</v>
      </c>
      <c r="F288" s="0" t="s">
        <v>5798</v>
      </c>
      <c r="G288" s="0" t="s">
        <v>1953</v>
      </c>
      <c r="H288" s="0" t="s">
        <v>5598</v>
      </c>
      <c r="I288" s="0" t="s">
        <v>5900</v>
      </c>
      <c r="K288" s="0" t="s">
        <v>36</v>
      </c>
      <c r="L288" s="0" t="s">
        <v>5886</v>
      </c>
    </row>
    <row r="289" customFormat="false" ht="17.15" hidden="false" customHeight="false" outlineLevel="0" collapsed="false">
      <c r="A289" s="0" t="s">
        <v>5901</v>
      </c>
      <c r="B289" s="0" t="s">
        <v>5883</v>
      </c>
      <c r="C289" s="0" t="s">
        <v>5902</v>
      </c>
      <c r="D289" s="0" t="s">
        <v>5903</v>
      </c>
      <c r="E289" s="0" t="s">
        <v>112</v>
      </c>
      <c r="F289" s="0" t="s">
        <v>4941</v>
      </c>
      <c r="G289" s="0" t="s">
        <v>1953</v>
      </c>
      <c r="H289" s="0" t="s">
        <v>5609</v>
      </c>
      <c r="I289" s="5" t="s">
        <v>5610</v>
      </c>
      <c r="K289" s="0" t="s">
        <v>36</v>
      </c>
      <c r="L289" s="0" t="s">
        <v>5904</v>
      </c>
    </row>
    <row r="290" customFormat="false" ht="17.15" hidden="false" customHeight="false" outlineLevel="0" collapsed="false">
      <c r="A290" s="0" t="s">
        <v>5905</v>
      </c>
      <c r="B290" s="0" t="s">
        <v>5906</v>
      </c>
      <c r="C290" s="0" t="s">
        <v>5907</v>
      </c>
      <c r="D290" s="0" t="s">
        <v>5872</v>
      </c>
      <c r="E290" s="5" t="s">
        <v>77</v>
      </c>
      <c r="F290" s="0" t="s">
        <v>4756</v>
      </c>
      <c r="G290" s="0" t="s">
        <v>1899</v>
      </c>
      <c r="H290" s="0" t="s">
        <v>5609</v>
      </c>
      <c r="I290" s="5" t="s">
        <v>5610</v>
      </c>
      <c r="K290" s="0" t="s">
        <v>36</v>
      </c>
      <c r="L290" s="0" t="s">
        <v>5908</v>
      </c>
    </row>
    <row r="291" customFormat="false" ht="17.15" hidden="false" customHeight="false" outlineLevel="0" collapsed="false">
      <c r="A291" s="0" t="s">
        <v>5909</v>
      </c>
      <c r="B291" s="0" t="s">
        <v>5906</v>
      </c>
      <c r="C291" s="0" t="s">
        <v>5910</v>
      </c>
      <c r="D291" s="0" t="s">
        <v>5911</v>
      </c>
      <c r="E291" s="5" t="s">
        <v>77</v>
      </c>
      <c r="F291" s="0" t="s">
        <v>5912</v>
      </c>
      <c r="G291" s="0" t="s">
        <v>1899</v>
      </c>
      <c r="H291" s="0" t="s">
        <v>5566</v>
      </c>
      <c r="I291" s="0" t="s">
        <v>5913</v>
      </c>
      <c r="K291" s="0" t="s">
        <v>36</v>
      </c>
      <c r="L291" s="0" t="s">
        <v>5914</v>
      </c>
    </row>
    <row r="292" customFormat="false" ht="17.15" hidden="false" customHeight="false" outlineLevel="0" collapsed="false">
      <c r="A292" s="0" t="s">
        <v>5915</v>
      </c>
      <c r="B292" s="0" t="s">
        <v>1108</v>
      </c>
      <c r="C292" s="0" t="s">
        <v>5916</v>
      </c>
      <c r="D292" s="0" t="s">
        <v>5917</v>
      </c>
      <c r="E292" s="5" t="s">
        <v>77</v>
      </c>
      <c r="F292" s="0" t="s">
        <v>5918</v>
      </c>
      <c r="G292" s="0" t="s">
        <v>1953</v>
      </c>
      <c r="H292" s="0" t="s">
        <v>5566</v>
      </c>
      <c r="I292" s="0" t="s">
        <v>5919</v>
      </c>
      <c r="K292" s="0" t="s">
        <v>36</v>
      </c>
      <c r="L292" s="0" t="s">
        <v>5920</v>
      </c>
    </row>
    <row r="293" customFormat="false" ht="17.15" hidden="false" customHeight="false" outlineLevel="0" collapsed="false">
      <c r="A293" s="0" t="s">
        <v>5921</v>
      </c>
      <c r="B293" s="0" t="s">
        <v>1108</v>
      </c>
      <c r="C293" s="0" t="s">
        <v>5922</v>
      </c>
      <c r="D293" s="0" t="s">
        <v>4971</v>
      </c>
      <c r="E293" s="5" t="s">
        <v>77</v>
      </c>
      <c r="F293" s="0" t="s">
        <v>5923</v>
      </c>
      <c r="G293" s="0" t="s">
        <v>1953</v>
      </c>
      <c r="H293" s="0" t="s">
        <v>5609</v>
      </c>
      <c r="I293" s="5" t="s">
        <v>5868</v>
      </c>
      <c r="K293" s="0" t="s">
        <v>36</v>
      </c>
      <c r="L293" s="0" t="s">
        <v>5924</v>
      </c>
    </row>
    <row r="294" customFormat="false" ht="17.15" hidden="false" customHeight="false" outlineLevel="0" collapsed="false">
      <c r="A294" s="0" t="s">
        <v>5925</v>
      </c>
      <c r="B294" s="0" t="s">
        <v>1108</v>
      </c>
      <c r="C294" s="0" t="s">
        <v>5926</v>
      </c>
      <c r="D294" s="0" t="s">
        <v>5889</v>
      </c>
      <c r="E294" s="5" t="s">
        <v>77</v>
      </c>
      <c r="F294" s="0" t="s">
        <v>5927</v>
      </c>
      <c r="G294" s="0" t="s">
        <v>1953</v>
      </c>
      <c r="H294" s="0" t="s">
        <v>5566</v>
      </c>
      <c r="I294" s="5" t="s">
        <v>5928</v>
      </c>
      <c r="J294" s="0" t="s">
        <v>659</v>
      </c>
      <c r="K294" s="5" t="s">
        <v>4631</v>
      </c>
      <c r="L294" s="0" t="s">
        <v>5929</v>
      </c>
    </row>
    <row r="295" customFormat="false" ht="17.15" hidden="false" customHeight="false" outlineLevel="0" collapsed="false">
      <c r="A295" s="0" t="s">
        <v>5930</v>
      </c>
      <c r="B295" s="0" t="s">
        <v>1108</v>
      </c>
      <c r="C295" s="0" t="s">
        <v>5931</v>
      </c>
      <c r="D295" s="0" t="s">
        <v>4883</v>
      </c>
      <c r="E295" s="5" t="s">
        <v>77</v>
      </c>
      <c r="F295" s="0" t="s">
        <v>5927</v>
      </c>
      <c r="G295" s="0" t="s">
        <v>1953</v>
      </c>
      <c r="H295" s="0" t="s">
        <v>5566</v>
      </c>
      <c r="I295" s="0" t="s">
        <v>5932</v>
      </c>
      <c r="K295" s="0" t="s">
        <v>36</v>
      </c>
      <c r="L295" s="0" t="s">
        <v>5929</v>
      </c>
    </row>
    <row r="296" customFormat="false" ht="17.15" hidden="false" customHeight="false" outlineLevel="0" collapsed="false">
      <c r="A296" s="0" t="s">
        <v>5933</v>
      </c>
      <c r="B296" s="0" t="s">
        <v>1127</v>
      </c>
      <c r="C296" s="0" t="s">
        <v>5934</v>
      </c>
      <c r="D296" s="0" t="s">
        <v>4907</v>
      </c>
      <c r="E296" s="5" t="s">
        <v>77</v>
      </c>
      <c r="F296" s="0" t="s">
        <v>2343</v>
      </c>
      <c r="G296" s="0" t="s">
        <v>1953</v>
      </c>
      <c r="H296" s="0" t="s">
        <v>5566</v>
      </c>
      <c r="I296" s="0" t="s">
        <v>5935</v>
      </c>
      <c r="J296" s="0" t="s">
        <v>649</v>
      </c>
      <c r="K296" s="5" t="s">
        <v>4631</v>
      </c>
      <c r="L296" s="0" t="s">
        <v>5936</v>
      </c>
    </row>
    <row r="297" customFormat="false" ht="17.15" hidden="false" customHeight="false" outlineLevel="0" collapsed="false">
      <c r="A297" s="0" t="s">
        <v>5937</v>
      </c>
      <c r="B297" s="0" t="s">
        <v>1127</v>
      </c>
      <c r="C297" s="0" t="s">
        <v>5938</v>
      </c>
      <c r="D297" s="0" t="s">
        <v>4911</v>
      </c>
      <c r="E297" s="5" t="s">
        <v>77</v>
      </c>
      <c r="G297" s="0" t="s">
        <v>1953</v>
      </c>
      <c r="H297" s="0" t="s">
        <v>5566</v>
      </c>
      <c r="I297" s="0" t="s">
        <v>5939</v>
      </c>
      <c r="J297" s="0" t="s">
        <v>653</v>
      </c>
      <c r="K297" s="5" t="s">
        <v>4631</v>
      </c>
      <c r="L297" s="0" t="s">
        <v>5940</v>
      </c>
    </row>
    <row r="298" customFormat="false" ht="17.15" hidden="false" customHeight="false" outlineLevel="0" collapsed="false">
      <c r="A298" s="0" t="s">
        <v>5941</v>
      </c>
      <c r="B298" s="0" t="s">
        <v>1127</v>
      </c>
      <c r="C298" s="0" t="s">
        <v>5942</v>
      </c>
      <c r="D298" s="0" t="s">
        <v>5129</v>
      </c>
      <c r="E298" s="5" t="s">
        <v>77</v>
      </c>
      <c r="G298" s="0" t="s">
        <v>1953</v>
      </c>
      <c r="H298" s="0" t="s">
        <v>5566</v>
      </c>
      <c r="I298" s="0" t="s">
        <v>5943</v>
      </c>
      <c r="K298" s="0" t="s">
        <v>36</v>
      </c>
      <c r="L298" s="0" t="s">
        <v>5944</v>
      </c>
    </row>
    <row r="299" customFormat="false" ht="17.15" hidden="false" customHeight="false" outlineLevel="0" collapsed="false">
      <c r="A299" s="0" t="s">
        <v>5945</v>
      </c>
      <c r="B299" s="0" t="s">
        <v>5946</v>
      </c>
      <c r="C299" s="0" t="s">
        <v>5947</v>
      </c>
      <c r="D299" s="0" t="s">
        <v>4883</v>
      </c>
      <c r="E299" s="5" t="s">
        <v>77</v>
      </c>
      <c r="F299" s="0" t="s">
        <v>5772</v>
      </c>
      <c r="G299" s="0" t="s">
        <v>1953</v>
      </c>
      <c r="H299" s="0" t="s">
        <v>5566</v>
      </c>
      <c r="I299" s="0" t="s">
        <v>5948</v>
      </c>
      <c r="K299" s="0" t="s">
        <v>36</v>
      </c>
      <c r="L299" s="0" t="s">
        <v>5949</v>
      </c>
    </row>
    <row r="300" customFormat="false" ht="17.15" hidden="false" customHeight="false" outlineLevel="0" collapsed="false">
      <c r="A300" s="0" t="s">
        <v>5950</v>
      </c>
      <c r="B300" s="0" t="s">
        <v>5951</v>
      </c>
      <c r="C300" s="0" t="s">
        <v>5952</v>
      </c>
      <c r="D300" s="0" t="s">
        <v>4958</v>
      </c>
      <c r="E300" s="0" t="s">
        <v>112</v>
      </c>
      <c r="F300" s="0" t="s">
        <v>5953</v>
      </c>
      <c r="G300" s="0" t="s">
        <v>1899</v>
      </c>
      <c r="H300" s="0" t="s">
        <v>5566</v>
      </c>
      <c r="I300" s="0" t="s">
        <v>5954</v>
      </c>
      <c r="K300" s="0" t="s">
        <v>36</v>
      </c>
      <c r="L300" s="0" t="s">
        <v>5955</v>
      </c>
    </row>
    <row r="301" customFormat="false" ht="17.15" hidden="false" customHeight="false" outlineLevel="0" collapsed="false">
      <c r="A301" s="0" t="s">
        <v>5956</v>
      </c>
      <c r="B301" s="0" t="s">
        <v>5957</v>
      </c>
      <c r="C301" s="0" t="s">
        <v>5958</v>
      </c>
      <c r="D301" s="0" t="s">
        <v>113</v>
      </c>
      <c r="E301" s="5" t="s">
        <v>77</v>
      </c>
      <c r="F301" s="0" t="s">
        <v>4713</v>
      </c>
      <c r="G301" s="0" t="s">
        <v>1899</v>
      </c>
      <c r="H301" s="0" t="s">
        <v>5631</v>
      </c>
      <c r="I301" s="0" t="s">
        <v>5959</v>
      </c>
      <c r="K301" s="0" t="s">
        <v>36</v>
      </c>
      <c r="L301" s="0" t="s">
        <v>5960</v>
      </c>
    </row>
    <row r="302" customFormat="false" ht="17.15" hidden="false" customHeight="false" outlineLevel="0" collapsed="false">
      <c r="A302" s="0" t="s">
        <v>5961</v>
      </c>
      <c r="B302" s="0" t="s">
        <v>2557</v>
      </c>
      <c r="C302" s="0" t="s">
        <v>5962</v>
      </c>
      <c r="D302" s="0" t="s">
        <v>4958</v>
      </c>
      <c r="E302" s="0" t="s">
        <v>112</v>
      </c>
      <c r="F302" s="0" t="s">
        <v>5461</v>
      </c>
      <c r="G302" s="0" t="s">
        <v>1953</v>
      </c>
      <c r="H302" s="0" t="s">
        <v>5609</v>
      </c>
      <c r="I302" s="5" t="s">
        <v>5610</v>
      </c>
      <c r="K302" s="0" t="s">
        <v>36</v>
      </c>
      <c r="L302" s="0" t="s">
        <v>5963</v>
      </c>
    </row>
    <row r="303" customFormat="false" ht="17.15" hidden="false" customHeight="false" outlineLevel="0" collapsed="false">
      <c r="A303" s="0" t="s">
        <v>5964</v>
      </c>
      <c r="B303" s="0" t="s">
        <v>2557</v>
      </c>
      <c r="C303" s="0" t="s">
        <v>5965</v>
      </c>
      <c r="D303" s="0" t="s">
        <v>4958</v>
      </c>
      <c r="E303" s="0" t="s">
        <v>112</v>
      </c>
      <c r="F303" s="0" t="s">
        <v>4924</v>
      </c>
      <c r="G303" s="0" t="s">
        <v>1953</v>
      </c>
      <c r="H303" s="0" t="s">
        <v>5609</v>
      </c>
      <c r="I303" s="5" t="s">
        <v>5610</v>
      </c>
      <c r="K303" s="0" t="s">
        <v>36</v>
      </c>
      <c r="L303" s="0" t="s">
        <v>5966</v>
      </c>
    </row>
    <row r="304" customFormat="false" ht="17.15" hidden="false" customHeight="false" outlineLevel="0" collapsed="false">
      <c r="A304" s="0" t="s">
        <v>5967</v>
      </c>
      <c r="B304" s="0" t="s">
        <v>2557</v>
      </c>
      <c r="C304" s="0" t="s">
        <v>5968</v>
      </c>
      <c r="D304" s="0" t="s">
        <v>4958</v>
      </c>
      <c r="E304" s="0" t="s">
        <v>112</v>
      </c>
      <c r="F304" s="0" t="s">
        <v>4924</v>
      </c>
      <c r="G304" s="0" t="s">
        <v>1953</v>
      </c>
      <c r="H304" s="0" t="s">
        <v>5609</v>
      </c>
      <c r="I304" s="5" t="s">
        <v>5610</v>
      </c>
      <c r="K304" s="0" t="s">
        <v>36</v>
      </c>
      <c r="L304" s="0" t="s">
        <v>5966</v>
      </c>
    </row>
    <row r="305" customFormat="false" ht="17.15" hidden="false" customHeight="false" outlineLevel="0" collapsed="false">
      <c r="A305" s="0" t="s">
        <v>5969</v>
      </c>
      <c r="B305" s="0" t="s">
        <v>2557</v>
      </c>
      <c r="C305" s="0" t="s">
        <v>5970</v>
      </c>
      <c r="D305" s="0" t="s">
        <v>4958</v>
      </c>
      <c r="E305" s="0" t="s">
        <v>112</v>
      </c>
      <c r="F305" s="0" t="s">
        <v>4924</v>
      </c>
      <c r="G305" s="0" t="s">
        <v>1953</v>
      </c>
      <c r="H305" s="0" t="s">
        <v>5609</v>
      </c>
      <c r="I305" s="5" t="s">
        <v>5610</v>
      </c>
      <c r="K305" s="0" t="s">
        <v>36</v>
      </c>
      <c r="L305" s="0" t="s">
        <v>5966</v>
      </c>
    </row>
    <row r="306" customFormat="false" ht="17.15" hidden="false" customHeight="false" outlineLevel="0" collapsed="false">
      <c r="A306" s="0" t="s">
        <v>5971</v>
      </c>
      <c r="B306" s="0" t="s">
        <v>2557</v>
      </c>
      <c r="C306" s="0" t="s">
        <v>5972</v>
      </c>
      <c r="D306" s="0" t="s">
        <v>5122</v>
      </c>
      <c r="E306" s="5" t="s">
        <v>77</v>
      </c>
      <c r="F306" s="0" t="s">
        <v>5068</v>
      </c>
      <c r="G306" s="0" t="s">
        <v>1953</v>
      </c>
      <c r="H306" s="0" t="s">
        <v>5598</v>
      </c>
      <c r="I306" s="0" t="s">
        <v>5973</v>
      </c>
      <c r="K306" s="0" t="s">
        <v>36</v>
      </c>
      <c r="L306" s="0" t="s">
        <v>5974</v>
      </c>
    </row>
    <row r="307" customFormat="false" ht="17.15" hidden="false" customHeight="false" outlineLevel="0" collapsed="false">
      <c r="A307" s="0" t="s">
        <v>5975</v>
      </c>
      <c r="B307" s="0" t="s">
        <v>2552</v>
      </c>
      <c r="C307" s="0" t="s">
        <v>5976</v>
      </c>
      <c r="D307" s="0" t="s">
        <v>5977</v>
      </c>
      <c r="E307" s="5" t="s">
        <v>77</v>
      </c>
      <c r="F307" s="0" t="s">
        <v>1974</v>
      </c>
      <c r="G307" s="0" t="s">
        <v>1953</v>
      </c>
      <c r="H307" s="0" t="s">
        <v>5609</v>
      </c>
      <c r="I307" s="5" t="s">
        <v>5868</v>
      </c>
      <c r="K307" s="0" t="s">
        <v>36</v>
      </c>
      <c r="L307" s="0" t="s">
        <v>5978</v>
      </c>
    </row>
    <row r="308" customFormat="false" ht="17.15" hidden="false" customHeight="false" outlineLevel="0" collapsed="false">
      <c r="A308" s="0" t="s">
        <v>5979</v>
      </c>
      <c r="B308" s="0" t="s">
        <v>2552</v>
      </c>
      <c r="C308" s="0" t="s">
        <v>5980</v>
      </c>
      <c r="D308" s="0" t="s">
        <v>5889</v>
      </c>
      <c r="E308" s="5" t="s">
        <v>77</v>
      </c>
      <c r="F308" s="0" t="s">
        <v>1974</v>
      </c>
      <c r="G308" s="0" t="s">
        <v>1953</v>
      </c>
      <c r="H308" s="0" t="s">
        <v>5609</v>
      </c>
      <c r="I308" s="5" t="s">
        <v>5868</v>
      </c>
      <c r="K308" s="0" t="s">
        <v>36</v>
      </c>
      <c r="L308" s="0" t="s">
        <v>5978</v>
      </c>
    </row>
    <row r="309" customFormat="false" ht="17.15" hidden="false" customHeight="false" outlineLevel="0" collapsed="false">
      <c r="A309" s="0" t="s">
        <v>5981</v>
      </c>
      <c r="B309" s="0" t="s">
        <v>2544</v>
      </c>
      <c r="C309" s="0" t="s">
        <v>5982</v>
      </c>
      <c r="D309" s="0" t="s">
        <v>4958</v>
      </c>
      <c r="E309" s="5" t="s">
        <v>77</v>
      </c>
      <c r="F309" s="0" t="s">
        <v>5983</v>
      </c>
      <c r="G309" s="0" t="s">
        <v>1953</v>
      </c>
      <c r="H309" s="0" t="s">
        <v>5566</v>
      </c>
      <c r="I309" s="0" t="s">
        <v>5984</v>
      </c>
      <c r="K309" s="0" t="s">
        <v>36</v>
      </c>
      <c r="L309" s="0" t="s">
        <v>5985</v>
      </c>
    </row>
    <row r="310" customFormat="false" ht="17.15" hidden="false" customHeight="false" outlineLevel="0" collapsed="false">
      <c r="A310" s="0" t="s">
        <v>5986</v>
      </c>
      <c r="B310" s="0" t="s">
        <v>2544</v>
      </c>
      <c r="C310" s="0" t="s">
        <v>5987</v>
      </c>
      <c r="D310" s="0" t="s">
        <v>5988</v>
      </c>
      <c r="E310" s="5" t="s">
        <v>77</v>
      </c>
      <c r="F310" s="0" t="s">
        <v>5989</v>
      </c>
      <c r="G310" s="0" t="s">
        <v>1953</v>
      </c>
      <c r="H310" s="0" t="s">
        <v>5592</v>
      </c>
      <c r="I310" s="0" t="s">
        <v>5990</v>
      </c>
      <c r="K310" s="0" t="s">
        <v>36</v>
      </c>
      <c r="L310" s="0" t="s">
        <v>5991</v>
      </c>
    </row>
    <row r="311" customFormat="false" ht="17.15" hidden="false" customHeight="false" outlineLevel="0" collapsed="false">
      <c r="A311" s="0" t="s">
        <v>5992</v>
      </c>
      <c r="B311" s="0" t="s">
        <v>5993</v>
      </c>
      <c r="C311" s="0" t="s">
        <v>5994</v>
      </c>
      <c r="D311" s="0" t="s">
        <v>5995</v>
      </c>
      <c r="E311" s="5" t="s">
        <v>77</v>
      </c>
      <c r="F311" s="0" t="s">
        <v>4950</v>
      </c>
      <c r="G311" s="0" t="s">
        <v>1899</v>
      </c>
      <c r="H311" s="0" t="s">
        <v>5609</v>
      </c>
      <c r="I311" s="5" t="s">
        <v>5610</v>
      </c>
      <c r="K311" s="0" t="s">
        <v>36</v>
      </c>
      <c r="L311" s="0" t="s">
        <v>5996</v>
      </c>
    </row>
    <row r="312" customFormat="false" ht="17.15" hidden="false" customHeight="false" outlineLevel="0" collapsed="false">
      <c r="A312" s="0" t="s">
        <v>5997</v>
      </c>
      <c r="B312" s="0" t="s">
        <v>5993</v>
      </c>
      <c r="C312" s="0" t="s">
        <v>5998</v>
      </c>
      <c r="D312" s="0" t="s">
        <v>5999</v>
      </c>
      <c r="E312" s="5" t="s">
        <v>77</v>
      </c>
      <c r="F312" s="0" t="s">
        <v>4950</v>
      </c>
      <c r="G312" s="0" t="s">
        <v>1899</v>
      </c>
      <c r="H312" s="0" t="s">
        <v>5609</v>
      </c>
      <c r="I312" s="5" t="s">
        <v>5610</v>
      </c>
      <c r="K312" s="0" t="s">
        <v>36</v>
      </c>
      <c r="L312" s="0" t="s">
        <v>5996</v>
      </c>
    </row>
    <row r="313" customFormat="false" ht="17.15" hidden="false" customHeight="false" outlineLevel="0" collapsed="false">
      <c r="A313" s="0" t="s">
        <v>6000</v>
      </c>
      <c r="B313" s="0" t="s">
        <v>2544</v>
      </c>
      <c r="C313" s="0" t="s">
        <v>6001</v>
      </c>
      <c r="D313" s="0" t="s">
        <v>4568</v>
      </c>
      <c r="E313" s="5" t="s">
        <v>77</v>
      </c>
      <c r="F313" s="0" t="s">
        <v>4963</v>
      </c>
      <c r="G313" s="0" t="s">
        <v>1953</v>
      </c>
      <c r="H313" s="0" t="s">
        <v>5566</v>
      </c>
      <c r="I313" s="0" t="s">
        <v>6002</v>
      </c>
      <c r="K313" s="0" t="s">
        <v>36</v>
      </c>
      <c r="L313" s="0" t="s">
        <v>6003</v>
      </c>
    </row>
    <row r="314" customFormat="false" ht="17.15" hidden="false" customHeight="false" outlineLevel="0" collapsed="false">
      <c r="A314" s="0" t="s">
        <v>6004</v>
      </c>
      <c r="B314" s="0" t="s">
        <v>2544</v>
      </c>
      <c r="C314" s="0" t="s">
        <v>6005</v>
      </c>
      <c r="D314" s="0" t="s">
        <v>4911</v>
      </c>
      <c r="E314" s="5" t="s">
        <v>77</v>
      </c>
      <c r="F314" s="0" t="s">
        <v>4963</v>
      </c>
      <c r="G314" s="0" t="s">
        <v>1953</v>
      </c>
      <c r="H314" s="0" t="s">
        <v>5614</v>
      </c>
      <c r="I314" s="0" t="s">
        <v>6006</v>
      </c>
      <c r="K314" s="0" t="s">
        <v>36</v>
      </c>
      <c r="L314" s="0" t="s">
        <v>6003</v>
      </c>
    </row>
    <row r="315" customFormat="false" ht="17.15" hidden="false" customHeight="false" outlineLevel="0" collapsed="false">
      <c r="A315" s="0" t="s">
        <v>6007</v>
      </c>
      <c r="B315" s="0" t="s">
        <v>6008</v>
      </c>
      <c r="C315" s="0" t="s">
        <v>6009</v>
      </c>
      <c r="D315" s="0" t="s">
        <v>4911</v>
      </c>
      <c r="E315" s="5" t="s">
        <v>77</v>
      </c>
      <c r="F315" s="0" t="s">
        <v>6010</v>
      </c>
      <c r="G315" s="0" t="s">
        <v>1953</v>
      </c>
      <c r="H315" s="0" t="s">
        <v>5566</v>
      </c>
      <c r="I315" s="0" t="s">
        <v>6011</v>
      </c>
      <c r="K315" s="0" t="s">
        <v>36</v>
      </c>
      <c r="L315" s="0" t="s">
        <v>6012</v>
      </c>
    </row>
    <row r="316" customFormat="false" ht="17.15" hidden="false" customHeight="false" outlineLevel="0" collapsed="false">
      <c r="A316" s="0" t="s">
        <v>6013</v>
      </c>
      <c r="B316" s="0" t="s">
        <v>6008</v>
      </c>
      <c r="C316" s="0" t="s">
        <v>6014</v>
      </c>
      <c r="D316" s="0" t="s">
        <v>6015</v>
      </c>
      <c r="E316" s="5" t="s">
        <v>77</v>
      </c>
      <c r="F316" s="0" t="s">
        <v>6010</v>
      </c>
      <c r="G316" s="0" t="s">
        <v>1953</v>
      </c>
      <c r="H316" s="0" t="s">
        <v>5566</v>
      </c>
      <c r="I316" s="5" t="s">
        <v>6016</v>
      </c>
      <c r="K316" s="0" t="s">
        <v>36</v>
      </c>
      <c r="L316" s="0" t="s">
        <v>6017</v>
      </c>
    </row>
    <row r="317" customFormat="false" ht="17.15" hidden="false" customHeight="false" outlineLevel="0" collapsed="false">
      <c r="A317" s="0" t="s">
        <v>6018</v>
      </c>
      <c r="B317" s="0" t="s">
        <v>6008</v>
      </c>
      <c r="C317" s="0" t="s">
        <v>6019</v>
      </c>
      <c r="D317" s="0" t="s">
        <v>5129</v>
      </c>
      <c r="E317" s="5" t="s">
        <v>77</v>
      </c>
      <c r="F317" s="0" t="s">
        <v>6020</v>
      </c>
      <c r="G317" s="0" t="s">
        <v>1953</v>
      </c>
      <c r="H317" s="0" t="s">
        <v>5566</v>
      </c>
      <c r="I317" s="0" t="s">
        <v>6021</v>
      </c>
      <c r="K317" s="0" t="s">
        <v>36</v>
      </c>
      <c r="L317" s="0" t="s">
        <v>6022</v>
      </c>
    </row>
    <row r="318" customFormat="false" ht="17.15" hidden="false" customHeight="false" outlineLevel="0" collapsed="false">
      <c r="A318" s="0" t="s">
        <v>6023</v>
      </c>
      <c r="B318" s="0" t="s">
        <v>6008</v>
      </c>
      <c r="C318" s="0" t="s">
        <v>6024</v>
      </c>
      <c r="D318" s="0" t="s">
        <v>113</v>
      </c>
      <c r="E318" s="5" t="s">
        <v>77</v>
      </c>
      <c r="F318" s="0" t="s">
        <v>5649</v>
      </c>
      <c r="G318" s="0" t="s">
        <v>1953</v>
      </c>
      <c r="H318" s="0" t="s">
        <v>5566</v>
      </c>
      <c r="I318" s="5" t="s">
        <v>6025</v>
      </c>
      <c r="K318" s="0" t="s">
        <v>36</v>
      </c>
      <c r="L318" s="0" t="s">
        <v>6026</v>
      </c>
    </row>
    <row r="319" customFormat="false" ht="17.15" hidden="false" customHeight="false" outlineLevel="0" collapsed="false">
      <c r="A319" s="0" t="s">
        <v>6027</v>
      </c>
      <c r="B319" s="0" t="s">
        <v>6028</v>
      </c>
      <c r="C319" s="0" t="s">
        <v>6029</v>
      </c>
      <c r="D319" s="0" t="s">
        <v>6030</v>
      </c>
      <c r="E319" s="5" t="s">
        <v>77</v>
      </c>
      <c r="F319" s="0" t="s">
        <v>6031</v>
      </c>
      <c r="G319" s="0" t="s">
        <v>1953</v>
      </c>
      <c r="H319" s="0" t="s">
        <v>5598</v>
      </c>
      <c r="I319" s="0" t="s">
        <v>6032</v>
      </c>
      <c r="K319" s="0" t="s">
        <v>36</v>
      </c>
      <c r="L319" s="0" t="s">
        <v>6033</v>
      </c>
    </row>
    <row r="320" customFormat="false" ht="17.15" hidden="false" customHeight="false" outlineLevel="0" collapsed="false">
      <c r="A320" s="0" t="s">
        <v>6034</v>
      </c>
      <c r="B320" s="0" t="s">
        <v>2544</v>
      </c>
      <c r="C320" s="0" t="s">
        <v>6035</v>
      </c>
      <c r="D320" s="0" t="s">
        <v>6036</v>
      </c>
      <c r="E320" s="5" t="s">
        <v>77</v>
      </c>
      <c r="F320" s="0" t="s">
        <v>6037</v>
      </c>
      <c r="G320" s="0" t="s">
        <v>1953</v>
      </c>
      <c r="H320" s="0" t="s">
        <v>5566</v>
      </c>
      <c r="I320" s="0" t="s">
        <v>6038</v>
      </c>
      <c r="K320" s="0" t="s">
        <v>36</v>
      </c>
      <c r="L320" s="0" t="s">
        <v>6039</v>
      </c>
    </row>
    <row r="321" customFormat="false" ht="17.15" hidden="false" customHeight="false" outlineLevel="0" collapsed="false">
      <c r="A321" s="0" t="s">
        <v>6040</v>
      </c>
      <c r="B321" s="0" t="s">
        <v>2544</v>
      </c>
      <c r="C321" s="0" t="s">
        <v>6041</v>
      </c>
      <c r="D321" s="0" t="s">
        <v>113</v>
      </c>
      <c r="E321" s="5" t="s">
        <v>77</v>
      </c>
      <c r="F321" s="0" t="s">
        <v>6042</v>
      </c>
      <c r="G321" s="0" t="s">
        <v>1953</v>
      </c>
      <c r="H321" s="0" t="s">
        <v>5566</v>
      </c>
      <c r="I321" s="0" t="s">
        <v>6043</v>
      </c>
      <c r="K321" s="0" t="s">
        <v>36</v>
      </c>
      <c r="L321" s="0" t="s">
        <v>6044</v>
      </c>
    </row>
    <row r="322" customFormat="false" ht="17.15" hidden="false" customHeight="false" outlineLevel="0" collapsed="false">
      <c r="A322" s="0" t="s">
        <v>6045</v>
      </c>
      <c r="B322" s="5" t="s">
        <v>6046</v>
      </c>
      <c r="C322" s="5" t="s">
        <v>6047</v>
      </c>
      <c r="D322" s="0" t="s">
        <v>6048</v>
      </c>
      <c r="E322" s="5" t="s">
        <v>77</v>
      </c>
      <c r="F322" s="0" t="s">
        <v>6042</v>
      </c>
      <c r="G322" s="0" t="s">
        <v>1953</v>
      </c>
      <c r="H322" s="0" t="s">
        <v>5614</v>
      </c>
      <c r="I322" s="5" t="s">
        <v>6049</v>
      </c>
      <c r="K322" s="0" t="s">
        <v>36</v>
      </c>
      <c r="L322" s="0" t="s">
        <v>6050</v>
      </c>
    </row>
    <row r="323" customFormat="false" ht="17.15" hidden="false" customHeight="false" outlineLevel="0" collapsed="false">
      <c r="A323" s="0" t="s">
        <v>6051</v>
      </c>
      <c r="B323" s="0" t="s">
        <v>6052</v>
      </c>
      <c r="C323" s="0" t="s">
        <v>6053</v>
      </c>
      <c r="D323" s="0" t="s">
        <v>6054</v>
      </c>
      <c r="E323" s="5" t="s">
        <v>77</v>
      </c>
      <c r="F323" s="0" t="s">
        <v>6042</v>
      </c>
      <c r="G323" s="0" t="s">
        <v>1909</v>
      </c>
      <c r="H323" s="0" t="s">
        <v>5566</v>
      </c>
      <c r="I323" s="5" t="s">
        <v>6055</v>
      </c>
      <c r="K323" s="0" t="s">
        <v>36</v>
      </c>
      <c r="L323" s="0" t="s">
        <v>6056</v>
      </c>
    </row>
    <row r="324" customFormat="false" ht="17.15" hidden="false" customHeight="false" outlineLevel="0" collapsed="false">
      <c r="A324" s="0" t="s">
        <v>6057</v>
      </c>
      <c r="B324" s="0" t="s">
        <v>6058</v>
      </c>
      <c r="C324" s="0" t="s">
        <v>6059</v>
      </c>
      <c r="D324" s="0" t="s">
        <v>6060</v>
      </c>
      <c r="E324" s="0" t="s">
        <v>112</v>
      </c>
      <c r="F324" s="0" t="s">
        <v>5183</v>
      </c>
      <c r="G324" s="0" t="s">
        <v>1953</v>
      </c>
      <c r="H324" s="0" t="s">
        <v>5609</v>
      </c>
      <c r="I324" s="5" t="s">
        <v>5610</v>
      </c>
      <c r="K324" s="0" t="s">
        <v>36</v>
      </c>
      <c r="L324" s="0" t="s">
        <v>6061</v>
      </c>
    </row>
    <row r="325" customFormat="false" ht="17.15" hidden="false" customHeight="false" outlineLevel="0" collapsed="false">
      <c r="A325" s="0" t="s">
        <v>6062</v>
      </c>
      <c r="B325" s="0" t="s">
        <v>6058</v>
      </c>
      <c r="C325" s="0" t="s">
        <v>6063</v>
      </c>
      <c r="D325" s="0" t="s">
        <v>6064</v>
      </c>
      <c r="E325" s="0" t="s">
        <v>112</v>
      </c>
      <c r="F325" s="0" t="s">
        <v>6037</v>
      </c>
      <c r="G325" s="0" t="s">
        <v>1899</v>
      </c>
      <c r="H325" s="0" t="s">
        <v>5566</v>
      </c>
      <c r="I325" s="0" t="s">
        <v>6065</v>
      </c>
      <c r="K325" s="0" t="s">
        <v>36</v>
      </c>
      <c r="L325" s="0" t="s">
        <v>6066</v>
      </c>
    </row>
    <row r="326" customFormat="false" ht="17.15" hidden="false" customHeight="false" outlineLevel="0" collapsed="false">
      <c r="A326" s="0" t="s">
        <v>6067</v>
      </c>
      <c r="B326" s="0" t="s">
        <v>6058</v>
      </c>
      <c r="C326" s="0" t="s">
        <v>6068</v>
      </c>
      <c r="D326" s="0" t="s">
        <v>6069</v>
      </c>
      <c r="E326" s="0" t="s">
        <v>112</v>
      </c>
      <c r="F326" s="0" t="s">
        <v>5183</v>
      </c>
      <c r="G326" s="0" t="s">
        <v>1953</v>
      </c>
      <c r="H326" s="0" t="s">
        <v>5609</v>
      </c>
      <c r="I326" s="5" t="s">
        <v>5610</v>
      </c>
      <c r="K326" s="0" t="s">
        <v>36</v>
      </c>
      <c r="L326" s="0" t="s">
        <v>6070</v>
      </c>
    </row>
    <row r="327" customFormat="false" ht="17.15" hidden="false" customHeight="false" outlineLevel="0" collapsed="false">
      <c r="A327" s="0" t="s">
        <v>6071</v>
      </c>
      <c r="B327" s="0" t="s">
        <v>6058</v>
      </c>
      <c r="C327" s="0" t="s">
        <v>6072</v>
      </c>
      <c r="D327" s="0" t="s">
        <v>6073</v>
      </c>
      <c r="E327" s="0" t="s">
        <v>112</v>
      </c>
      <c r="F327" s="0" t="s">
        <v>5183</v>
      </c>
      <c r="G327" s="0" t="s">
        <v>1953</v>
      </c>
      <c r="H327" s="0" t="s">
        <v>5609</v>
      </c>
      <c r="I327" s="5" t="s">
        <v>5610</v>
      </c>
      <c r="K327" s="0" t="s">
        <v>36</v>
      </c>
      <c r="L327" s="0" t="s">
        <v>6070</v>
      </c>
    </row>
    <row r="328" customFormat="false" ht="17.15" hidden="false" customHeight="false" outlineLevel="0" collapsed="false">
      <c r="A328" s="0" t="s">
        <v>6074</v>
      </c>
      <c r="B328" s="0" t="s">
        <v>6058</v>
      </c>
      <c r="C328" s="0" t="s">
        <v>6075</v>
      </c>
      <c r="D328" s="0" t="s">
        <v>6073</v>
      </c>
      <c r="E328" s="0" t="s">
        <v>112</v>
      </c>
      <c r="F328" s="0" t="s">
        <v>5183</v>
      </c>
      <c r="G328" s="0" t="s">
        <v>1953</v>
      </c>
      <c r="H328" s="0" t="s">
        <v>5609</v>
      </c>
      <c r="I328" s="5" t="s">
        <v>5610</v>
      </c>
      <c r="K328" s="0" t="s">
        <v>36</v>
      </c>
      <c r="L328" s="0" t="s">
        <v>6070</v>
      </c>
    </row>
    <row r="329" customFormat="false" ht="17.15" hidden="false" customHeight="false" outlineLevel="0" collapsed="false">
      <c r="A329" s="0" t="s">
        <v>6076</v>
      </c>
      <c r="B329" s="0" t="s">
        <v>6058</v>
      </c>
      <c r="C329" s="0" t="s">
        <v>6077</v>
      </c>
      <c r="D329" s="0" t="s">
        <v>6078</v>
      </c>
      <c r="E329" s="0" t="s">
        <v>112</v>
      </c>
      <c r="F329" s="0" t="s">
        <v>5183</v>
      </c>
      <c r="G329" s="0" t="s">
        <v>1953</v>
      </c>
      <c r="H329" s="0" t="s">
        <v>5609</v>
      </c>
      <c r="I329" s="5" t="s">
        <v>5610</v>
      </c>
      <c r="K329" s="0" t="s">
        <v>36</v>
      </c>
      <c r="L329" s="0" t="s">
        <v>6061</v>
      </c>
    </row>
    <row r="330" customFormat="false" ht="17.15" hidden="false" customHeight="false" outlineLevel="0" collapsed="false">
      <c r="A330" s="0" t="s">
        <v>6079</v>
      </c>
      <c r="B330" s="0" t="s">
        <v>6080</v>
      </c>
      <c r="C330" s="0" t="s">
        <v>6081</v>
      </c>
      <c r="D330" s="0" t="s">
        <v>5176</v>
      </c>
      <c r="E330" s="0" t="s">
        <v>112</v>
      </c>
      <c r="F330" s="0" t="s">
        <v>5177</v>
      </c>
      <c r="G330" s="0" t="s">
        <v>1953</v>
      </c>
      <c r="H330" s="0" t="s">
        <v>5631</v>
      </c>
      <c r="I330" s="0" t="s">
        <v>6082</v>
      </c>
      <c r="K330" s="0" t="s">
        <v>36</v>
      </c>
      <c r="L330" s="0" t="s">
        <v>6083</v>
      </c>
    </row>
    <row r="331" customFormat="false" ht="17.15" hidden="false" customHeight="false" outlineLevel="0" collapsed="false">
      <c r="A331" s="0" t="s">
        <v>6084</v>
      </c>
      <c r="B331" s="0" t="s">
        <v>6080</v>
      </c>
      <c r="C331" s="0" t="s">
        <v>6085</v>
      </c>
      <c r="D331" s="0" t="s">
        <v>5572</v>
      </c>
      <c r="E331" s="0" t="s">
        <v>112</v>
      </c>
      <c r="F331" s="0" t="s">
        <v>5177</v>
      </c>
      <c r="G331" s="0" t="s">
        <v>1953</v>
      </c>
      <c r="H331" s="0" t="s">
        <v>5566</v>
      </c>
      <c r="I331" s="0" t="s">
        <v>6086</v>
      </c>
      <c r="K331" s="0" t="s">
        <v>36</v>
      </c>
      <c r="L331" s="0" t="s">
        <v>6083</v>
      </c>
    </row>
    <row r="332" customFormat="false" ht="17.15" hidden="false" customHeight="false" outlineLevel="0" collapsed="false">
      <c r="A332" s="0" t="s">
        <v>6087</v>
      </c>
      <c r="B332" s="0" t="s">
        <v>6088</v>
      </c>
      <c r="C332" s="0" t="s">
        <v>6089</v>
      </c>
      <c r="D332" s="0" t="s">
        <v>5182</v>
      </c>
      <c r="E332" s="0" t="s">
        <v>112</v>
      </c>
      <c r="F332" s="0" t="s">
        <v>4865</v>
      </c>
      <c r="G332" s="0" t="s">
        <v>1899</v>
      </c>
      <c r="H332" s="0" t="s">
        <v>5609</v>
      </c>
      <c r="I332" s="5" t="s">
        <v>5610</v>
      </c>
      <c r="K332" s="0" t="s">
        <v>36</v>
      </c>
      <c r="L332" s="0" t="s">
        <v>6090</v>
      </c>
    </row>
    <row r="333" customFormat="false" ht="17.15" hidden="false" customHeight="false" outlineLevel="0" collapsed="false">
      <c r="A333" s="0" t="s">
        <v>6091</v>
      </c>
      <c r="B333" s="0" t="s">
        <v>6092</v>
      </c>
      <c r="C333" s="0" t="s">
        <v>6093</v>
      </c>
      <c r="D333" s="0" t="s">
        <v>6094</v>
      </c>
      <c r="E333" s="0" t="s">
        <v>112</v>
      </c>
      <c r="F333" s="0" t="s">
        <v>2016</v>
      </c>
      <c r="G333" s="0" t="s">
        <v>1953</v>
      </c>
      <c r="H333" s="0" t="s">
        <v>5609</v>
      </c>
      <c r="I333" s="5" t="s">
        <v>5610</v>
      </c>
      <c r="K333" s="0" t="s">
        <v>36</v>
      </c>
      <c r="L333" s="0" t="s">
        <v>6095</v>
      </c>
    </row>
    <row r="334" customFormat="false" ht="17.15" hidden="false" customHeight="false" outlineLevel="0" collapsed="false">
      <c r="A334" s="0" t="s">
        <v>6096</v>
      </c>
      <c r="B334" s="0" t="s">
        <v>6092</v>
      </c>
      <c r="C334" s="0" t="s">
        <v>6097</v>
      </c>
      <c r="D334" s="0" t="s">
        <v>6098</v>
      </c>
      <c r="E334" s="0" t="s">
        <v>112</v>
      </c>
      <c r="F334" s="0" t="s">
        <v>2016</v>
      </c>
      <c r="G334" s="0" t="s">
        <v>1953</v>
      </c>
      <c r="H334" s="0" t="s">
        <v>5609</v>
      </c>
      <c r="I334" s="5" t="s">
        <v>5610</v>
      </c>
      <c r="K334" s="0" t="s">
        <v>36</v>
      </c>
      <c r="L334" s="0" t="s">
        <v>6095</v>
      </c>
    </row>
    <row r="335" customFormat="false" ht="17.15" hidden="false" customHeight="false" outlineLevel="0" collapsed="false">
      <c r="A335" s="0" t="s">
        <v>6099</v>
      </c>
      <c r="B335" s="0" t="s">
        <v>6092</v>
      </c>
      <c r="C335" s="0" t="s">
        <v>6100</v>
      </c>
      <c r="D335" s="0" t="s">
        <v>6101</v>
      </c>
      <c r="E335" s="0" t="s">
        <v>112</v>
      </c>
      <c r="F335" s="0" t="s">
        <v>2016</v>
      </c>
      <c r="G335" s="0" t="s">
        <v>1953</v>
      </c>
      <c r="H335" s="0" t="s">
        <v>5609</v>
      </c>
      <c r="I335" s="5" t="s">
        <v>5610</v>
      </c>
      <c r="K335" s="0" t="s">
        <v>36</v>
      </c>
      <c r="L335" s="0" t="s">
        <v>6102</v>
      </c>
    </row>
    <row r="336" customFormat="false" ht="17.15" hidden="false" customHeight="false" outlineLevel="0" collapsed="false">
      <c r="A336" s="0" t="s">
        <v>6103</v>
      </c>
      <c r="B336" s="0" t="s">
        <v>6092</v>
      </c>
      <c r="C336" s="0" t="s">
        <v>6104</v>
      </c>
      <c r="D336" s="0" t="s">
        <v>6105</v>
      </c>
      <c r="E336" s="0" t="s">
        <v>112</v>
      </c>
      <c r="F336" s="0" t="s">
        <v>2016</v>
      </c>
      <c r="G336" s="0" t="s">
        <v>1953</v>
      </c>
      <c r="H336" s="0" t="s">
        <v>5609</v>
      </c>
      <c r="I336" s="5" t="s">
        <v>5610</v>
      </c>
      <c r="K336" s="0" t="s">
        <v>36</v>
      </c>
      <c r="L336" s="0" t="s">
        <v>6106</v>
      </c>
    </row>
    <row r="337" customFormat="false" ht="17.15" hidden="false" customHeight="false" outlineLevel="0" collapsed="false">
      <c r="A337" s="0" t="s">
        <v>6107</v>
      </c>
      <c r="B337" s="0" t="s">
        <v>6092</v>
      </c>
      <c r="C337" s="0" t="s">
        <v>6108</v>
      </c>
      <c r="D337" s="0" t="s">
        <v>6109</v>
      </c>
      <c r="E337" s="0" t="s">
        <v>112</v>
      </c>
      <c r="F337" s="0" t="s">
        <v>2016</v>
      </c>
      <c r="G337" s="0" t="s">
        <v>1953</v>
      </c>
      <c r="H337" s="0" t="s">
        <v>5609</v>
      </c>
      <c r="I337" s="5" t="s">
        <v>5610</v>
      </c>
      <c r="K337" s="0" t="s">
        <v>36</v>
      </c>
      <c r="L337" s="0" t="s">
        <v>6106</v>
      </c>
    </row>
    <row r="338" customFormat="false" ht="17.15" hidden="false" customHeight="false" outlineLevel="0" collapsed="false">
      <c r="A338" s="0" t="s">
        <v>6110</v>
      </c>
      <c r="B338" s="0" t="s">
        <v>6111</v>
      </c>
      <c r="C338" s="0" t="s">
        <v>6112</v>
      </c>
      <c r="D338" s="0" t="s">
        <v>5572</v>
      </c>
      <c r="E338" s="5" t="s">
        <v>77</v>
      </c>
      <c r="F338" s="0" t="s">
        <v>6113</v>
      </c>
      <c r="G338" s="0" t="s">
        <v>1953</v>
      </c>
      <c r="H338" s="0" t="s">
        <v>5609</v>
      </c>
      <c r="I338" s="5" t="s">
        <v>5610</v>
      </c>
      <c r="J338" s="0" t="s">
        <v>729</v>
      </c>
      <c r="K338" s="5" t="s">
        <v>1895</v>
      </c>
      <c r="L338" s="0" t="s">
        <v>6114</v>
      </c>
    </row>
    <row r="339" customFormat="false" ht="17.15" hidden="false" customHeight="false" outlineLevel="0" collapsed="false">
      <c r="A339" s="0" t="s">
        <v>6115</v>
      </c>
      <c r="B339" s="0" t="s">
        <v>6111</v>
      </c>
      <c r="C339" s="0" t="s">
        <v>6116</v>
      </c>
      <c r="D339" s="0" t="s">
        <v>6117</v>
      </c>
      <c r="E339" s="0" t="s">
        <v>112</v>
      </c>
      <c r="F339" s="0" t="s">
        <v>5169</v>
      </c>
      <c r="G339" s="0" t="s">
        <v>1953</v>
      </c>
      <c r="H339" s="0" t="s">
        <v>5566</v>
      </c>
      <c r="I339" s="0" t="s">
        <v>6118</v>
      </c>
      <c r="K339" s="0" t="s">
        <v>36</v>
      </c>
      <c r="L339" s="0" t="s">
        <v>6119</v>
      </c>
    </row>
    <row r="340" customFormat="false" ht="17.15" hidden="false" customHeight="false" outlineLevel="0" collapsed="false">
      <c r="A340" s="0" t="s">
        <v>6120</v>
      </c>
      <c r="B340" s="0" t="s">
        <v>6111</v>
      </c>
      <c r="C340" s="0" t="s">
        <v>6121</v>
      </c>
      <c r="D340" s="0" t="s">
        <v>6117</v>
      </c>
      <c r="E340" s="0" t="s">
        <v>112</v>
      </c>
      <c r="F340" s="0" t="s">
        <v>6113</v>
      </c>
      <c r="G340" s="0" t="s">
        <v>1953</v>
      </c>
      <c r="H340" s="0" t="s">
        <v>5609</v>
      </c>
      <c r="I340" s="5" t="s">
        <v>5610</v>
      </c>
      <c r="K340" s="0" t="s">
        <v>36</v>
      </c>
      <c r="L340" s="0" t="s">
        <v>6114</v>
      </c>
    </row>
    <row r="341" customFormat="false" ht="17.15" hidden="false" customHeight="false" outlineLevel="0" collapsed="false">
      <c r="A341" s="0" t="s">
        <v>6122</v>
      </c>
      <c r="B341" s="0" t="s">
        <v>6123</v>
      </c>
      <c r="C341" s="0" t="s">
        <v>6124</v>
      </c>
      <c r="D341" s="0" t="s">
        <v>6125</v>
      </c>
      <c r="E341" s="0" t="s">
        <v>112</v>
      </c>
      <c r="F341" s="0" t="s">
        <v>5433</v>
      </c>
      <c r="G341" s="0" t="s">
        <v>1953</v>
      </c>
      <c r="H341" s="0" t="s">
        <v>5609</v>
      </c>
      <c r="I341" s="5" t="s">
        <v>5610</v>
      </c>
      <c r="K341" s="0" t="s">
        <v>36</v>
      </c>
      <c r="L341" s="0" t="s">
        <v>6126</v>
      </c>
    </row>
    <row r="342" customFormat="false" ht="17.15" hidden="false" customHeight="false" outlineLevel="0" collapsed="false">
      <c r="A342" s="0" t="s">
        <v>6127</v>
      </c>
      <c r="B342" s="0" t="s">
        <v>6123</v>
      </c>
      <c r="C342" s="0" t="s">
        <v>6128</v>
      </c>
      <c r="D342" s="0" t="s">
        <v>6129</v>
      </c>
      <c r="E342" s="0" t="s">
        <v>112</v>
      </c>
      <c r="F342" s="0" t="s">
        <v>5433</v>
      </c>
      <c r="G342" s="0" t="s">
        <v>1909</v>
      </c>
      <c r="H342" s="0" t="s">
        <v>5609</v>
      </c>
      <c r="I342" s="5" t="s">
        <v>5610</v>
      </c>
      <c r="K342" s="0" t="s">
        <v>36</v>
      </c>
      <c r="L342" s="0" t="s">
        <v>6126</v>
      </c>
    </row>
    <row r="343" customFormat="false" ht="17.15" hidden="false" customHeight="false" outlineLevel="0" collapsed="false">
      <c r="A343" s="0" t="s">
        <v>6130</v>
      </c>
      <c r="B343" s="0" t="s">
        <v>6123</v>
      </c>
      <c r="C343" s="0" t="s">
        <v>6131</v>
      </c>
      <c r="D343" s="0" t="s">
        <v>6129</v>
      </c>
      <c r="E343" s="0" t="s">
        <v>112</v>
      </c>
      <c r="F343" s="0" t="s">
        <v>5433</v>
      </c>
      <c r="G343" s="0" t="s">
        <v>1909</v>
      </c>
      <c r="H343" s="0" t="s">
        <v>5609</v>
      </c>
      <c r="I343" s="5" t="s">
        <v>5610</v>
      </c>
      <c r="K343" s="0" t="s">
        <v>36</v>
      </c>
      <c r="L343" s="0" t="s">
        <v>6126</v>
      </c>
    </row>
    <row r="344" customFormat="false" ht="17.15" hidden="false" customHeight="false" outlineLevel="0" collapsed="false">
      <c r="A344" s="0" t="s">
        <v>6132</v>
      </c>
      <c r="B344" s="0" t="s">
        <v>6133</v>
      </c>
      <c r="C344" s="0" t="s">
        <v>6134</v>
      </c>
      <c r="D344" s="0" t="s">
        <v>6135</v>
      </c>
      <c r="E344" s="5" t="s">
        <v>168</v>
      </c>
      <c r="F344" s="0" t="s">
        <v>5433</v>
      </c>
      <c r="G344" s="0" t="s">
        <v>1953</v>
      </c>
      <c r="H344" s="0" t="s">
        <v>5609</v>
      </c>
      <c r="I344" s="5" t="s">
        <v>5610</v>
      </c>
      <c r="K344" s="0" t="s">
        <v>36</v>
      </c>
      <c r="L344" s="0" t="s">
        <v>6126</v>
      </c>
    </row>
    <row r="345" customFormat="false" ht="17.15" hidden="false" customHeight="false" outlineLevel="0" collapsed="false">
      <c r="A345" s="0" t="s">
        <v>6136</v>
      </c>
      <c r="B345" s="0" t="s">
        <v>6137</v>
      </c>
      <c r="C345" s="0" t="s">
        <v>6138</v>
      </c>
      <c r="D345" s="0" t="s">
        <v>4630</v>
      </c>
      <c r="E345" s="5" t="s">
        <v>77</v>
      </c>
      <c r="F345" s="0" t="s">
        <v>5619</v>
      </c>
      <c r="G345" s="0" t="s">
        <v>1953</v>
      </c>
      <c r="H345" s="0" t="s">
        <v>5592</v>
      </c>
      <c r="I345" s="5" t="s">
        <v>6139</v>
      </c>
      <c r="J345" s="0" t="s">
        <v>683</v>
      </c>
      <c r="K345" s="5" t="s">
        <v>4631</v>
      </c>
      <c r="L345" s="0" t="s">
        <v>5213</v>
      </c>
    </row>
    <row r="346" customFormat="false" ht="17.15" hidden="false" customHeight="false" outlineLevel="0" collapsed="false">
      <c r="A346" s="0" t="s">
        <v>6140</v>
      </c>
      <c r="B346" s="0" t="s">
        <v>6137</v>
      </c>
      <c r="C346" s="0" t="s">
        <v>6141</v>
      </c>
      <c r="D346" s="0" t="s">
        <v>6142</v>
      </c>
      <c r="E346" s="5" t="s">
        <v>77</v>
      </c>
      <c r="F346" s="0" t="s">
        <v>5393</v>
      </c>
      <c r="G346" s="0" t="s">
        <v>1899</v>
      </c>
      <c r="H346" s="0" t="s">
        <v>5566</v>
      </c>
      <c r="I346" s="0" t="s">
        <v>6143</v>
      </c>
      <c r="K346" s="0" t="s">
        <v>36</v>
      </c>
      <c r="L346" s="0" t="s">
        <v>6144</v>
      </c>
    </row>
    <row r="347" customFormat="false" ht="17.15" hidden="false" customHeight="false" outlineLevel="0" collapsed="false">
      <c r="A347" s="0" t="s">
        <v>6145</v>
      </c>
      <c r="B347" s="0" t="s">
        <v>6137</v>
      </c>
      <c r="C347" s="0" t="s">
        <v>6146</v>
      </c>
      <c r="D347" s="0" t="s">
        <v>5843</v>
      </c>
      <c r="E347" s="5" t="s">
        <v>77</v>
      </c>
      <c r="F347" s="0" t="s">
        <v>6147</v>
      </c>
      <c r="G347" s="0" t="s">
        <v>1953</v>
      </c>
      <c r="H347" s="0" t="s">
        <v>5598</v>
      </c>
      <c r="I347" s="0" t="s">
        <v>6148</v>
      </c>
      <c r="K347" s="0" t="s">
        <v>36</v>
      </c>
      <c r="L347" s="0" t="s">
        <v>6149</v>
      </c>
    </row>
    <row r="348" customFormat="false" ht="17.15" hidden="false" customHeight="false" outlineLevel="0" collapsed="false">
      <c r="A348" s="0" t="s">
        <v>6150</v>
      </c>
      <c r="B348" s="0" t="s">
        <v>6137</v>
      </c>
      <c r="C348" s="0" t="s">
        <v>6151</v>
      </c>
      <c r="D348" s="0" t="s">
        <v>6152</v>
      </c>
      <c r="E348" s="5" t="s">
        <v>77</v>
      </c>
      <c r="F348" s="0" t="s">
        <v>5619</v>
      </c>
      <c r="G348" s="0" t="s">
        <v>1953</v>
      </c>
      <c r="H348" s="0" t="s">
        <v>5592</v>
      </c>
      <c r="I348" s="0" t="s">
        <v>6153</v>
      </c>
      <c r="K348" s="0" t="s">
        <v>36</v>
      </c>
      <c r="L348" s="0" t="s">
        <v>5213</v>
      </c>
    </row>
    <row r="349" customFormat="false" ht="17.15" hidden="false" customHeight="false" outlineLevel="0" collapsed="false">
      <c r="A349" s="0" t="s">
        <v>6154</v>
      </c>
      <c r="B349" s="0" t="s">
        <v>6155</v>
      </c>
      <c r="C349" s="0" t="s">
        <v>6156</v>
      </c>
      <c r="D349" s="0" t="s">
        <v>5246</v>
      </c>
      <c r="E349" s="0" t="s">
        <v>112</v>
      </c>
      <c r="F349" s="0" t="s">
        <v>5247</v>
      </c>
      <c r="G349" s="0" t="s">
        <v>1899</v>
      </c>
      <c r="H349" s="0" t="s">
        <v>5566</v>
      </c>
      <c r="I349" s="0" t="s">
        <v>6157</v>
      </c>
      <c r="J349" s="0" t="s">
        <v>689</v>
      </c>
      <c r="K349" s="5" t="s">
        <v>1895</v>
      </c>
      <c r="L349" s="0" t="s">
        <v>6158</v>
      </c>
    </row>
    <row r="350" customFormat="false" ht="17.15" hidden="false" customHeight="false" outlineLevel="0" collapsed="false">
      <c r="A350" s="0" t="s">
        <v>6159</v>
      </c>
      <c r="B350" s="0" t="s">
        <v>6155</v>
      </c>
      <c r="C350" s="0" t="s">
        <v>6160</v>
      </c>
      <c r="D350" s="0" t="s">
        <v>6161</v>
      </c>
      <c r="E350" s="0" t="s">
        <v>112</v>
      </c>
      <c r="F350" s="0" t="s">
        <v>6162</v>
      </c>
      <c r="G350" s="0" t="s">
        <v>1899</v>
      </c>
      <c r="H350" s="0" t="s">
        <v>5566</v>
      </c>
      <c r="I350" s="0" t="s">
        <v>6163</v>
      </c>
      <c r="K350" s="0" t="s">
        <v>36</v>
      </c>
      <c r="L350" s="0" t="s">
        <v>6164</v>
      </c>
    </row>
    <row r="351" customFormat="false" ht="17.15" hidden="false" customHeight="false" outlineLevel="0" collapsed="false">
      <c r="A351" s="0" t="s">
        <v>6165</v>
      </c>
      <c r="B351" s="0" t="s">
        <v>6155</v>
      </c>
      <c r="C351" s="0" t="s">
        <v>6166</v>
      </c>
      <c r="D351" s="0" t="s">
        <v>6167</v>
      </c>
      <c r="E351" s="5" t="s">
        <v>77</v>
      </c>
      <c r="F351" s="0" t="s">
        <v>5393</v>
      </c>
      <c r="G351" s="0" t="s">
        <v>1899</v>
      </c>
      <c r="H351" s="0" t="s">
        <v>5609</v>
      </c>
      <c r="I351" s="5" t="s">
        <v>5610</v>
      </c>
      <c r="K351" s="0" t="s">
        <v>36</v>
      </c>
      <c r="L351" s="0" t="s">
        <v>6168</v>
      </c>
    </row>
    <row r="352" customFormat="false" ht="17.15" hidden="false" customHeight="false" outlineLevel="0" collapsed="false">
      <c r="A352" s="0" t="s">
        <v>6169</v>
      </c>
      <c r="B352" s="0" t="s">
        <v>6170</v>
      </c>
      <c r="C352" s="0" t="s">
        <v>6171</v>
      </c>
      <c r="D352" s="0" t="s">
        <v>6172</v>
      </c>
      <c r="E352" s="5" t="s">
        <v>77</v>
      </c>
      <c r="F352" s="0" t="s">
        <v>6173</v>
      </c>
      <c r="G352" s="0" t="s">
        <v>1899</v>
      </c>
      <c r="H352" s="0" t="s">
        <v>5609</v>
      </c>
      <c r="I352" s="5" t="s">
        <v>5819</v>
      </c>
      <c r="K352" s="0" t="s">
        <v>36</v>
      </c>
      <c r="L352" s="0" t="s">
        <v>6174</v>
      </c>
    </row>
    <row r="353" customFormat="false" ht="17.15" hidden="false" customHeight="false" outlineLevel="0" collapsed="false">
      <c r="A353" s="0" t="s">
        <v>6175</v>
      </c>
      <c r="B353" s="0" t="s">
        <v>6155</v>
      </c>
      <c r="C353" s="0" t="s">
        <v>6176</v>
      </c>
      <c r="D353" s="0" t="s">
        <v>113</v>
      </c>
      <c r="E353" s="5" t="s">
        <v>77</v>
      </c>
      <c r="F353" s="0" t="s">
        <v>5702</v>
      </c>
      <c r="G353" s="0" t="s">
        <v>1953</v>
      </c>
      <c r="H353" s="0" t="s">
        <v>5598</v>
      </c>
      <c r="I353" s="5" t="s">
        <v>6177</v>
      </c>
      <c r="K353" s="0" t="s">
        <v>36</v>
      </c>
      <c r="L353" s="0" t="s">
        <v>6178</v>
      </c>
    </row>
    <row r="354" customFormat="false" ht="17.15" hidden="false" customHeight="false" outlineLevel="0" collapsed="false">
      <c r="A354" s="0" t="s">
        <v>6179</v>
      </c>
      <c r="B354" s="0" t="s">
        <v>6155</v>
      </c>
      <c r="C354" s="0" t="s">
        <v>6180</v>
      </c>
      <c r="D354" s="0" t="s">
        <v>4810</v>
      </c>
      <c r="E354" s="5" t="s">
        <v>77</v>
      </c>
      <c r="F354" s="0" t="s">
        <v>6181</v>
      </c>
      <c r="G354" s="0" t="s">
        <v>1953</v>
      </c>
      <c r="H354" s="0" t="s">
        <v>5614</v>
      </c>
      <c r="I354" s="5" t="s">
        <v>6182</v>
      </c>
      <c r="K354" s="0" t="s">
        <v>36</v>
      </c>
      <c r="L354" s="0" t="s">
        <v>6183</v>
      </c>
    </row>
    <row r="355" customFormat="false" ht="17.15" hidden="false" customHeight="false" outlineLevel="0" collapsed="false">
      <c r="A355" s="0" t="s">
        <v>6184</v>
      </c>
      <c r="B355" s="0" t="s">
        <v>6155</v>
      </c>
      <c r="C355" s="0" t="s">
        <v>6185</v>
      </c>
      <c r="D355" s="0" t="s">
        <v>113</v>
      </c>
      <c r="E355" s="5" t="s">
        <v>77</v>
      </c>
      <c r="F355" s="0" t="s">
        <v>2466</v>
      </c>
      <c r="G355" s="0" t="s">
        <v>1953</v>
      </c>
      <c r="H355" s="0" t="s">
        <v>5609</v>
      </c>
      <c r="I355" s="5" t="s">
        <v>5610</v>
      </c>
      <c r="K355" s="0" t="s">
        <v>36</v>
      </c>
      <c r="L355" s="0" t="s">
        <v>6186</v>
      </c>
    </row>
    <row r="356" customFormat="false" ht="17.15" hidden="false" customHeight="false" outlineLevel="0" collapsed="false">
      <c r="A356" s="0" t="s">
        <v>6187</v>
      </c>
      <c r="B356" s="0" t="s">
        <v>6155</v>
      </c>
      <c r="C356" s="0" t="s">
        <v>6188</v>
      </c>
      <c r="D356" s="0" t="s">
        <v>4883</v>
      </c>
      <c r="E356" s="5" t="s">
        <v>77</v>
      </c>
      <c r="F356" s="0" t="s">
        <v>5169</v>
      </c>
      <c r="G356" s="0" t="s">
        <v>1953</v>
      </c>
      <c r="H356" s="0" t="s">
        <v>5614</v>
      </c>
      <c r="I356" s="5" t="s">
        <v>6189</v>
      </c>
      <c r="K356" s="0" t="s">
        <v>36</v>
      </c>
      <c r="L356" s="0" t="s">
        <v>5172</v>
      </c>
    </row>
    <row r="357" customFormat="false" ht="17.15" hidden="false" customHeight="false" outlineLevel="0" collapsed="false">
      <c r="A357" s="0" t="s">
        <v>6190</v>
      </c>
      <c r="B357" s="0" t="s">
        <v>6191</v>
      </c>
      <c r="C357" s="0" t="s">
        <v>6192</v>
      </c>
      <c r="D357" s="0" t="s">
        <v>4911</v>
      </c>
      <c r="E357" s="5" t="s">
        <v>77</v>
      </c>
      <c r="F357" s="0" t="s">
        <v>5761</v>
      </c>
      <c r="G357" s="0" t="s">
        <v>1953</v>
      </c>
      <c r="H357" s="0" t="s">
        <v>5566</v>
      </c>
      <c r="I357" s="0" t="s">
        <v>6193</v>
      </c>
      <c r="J357" s="0" t="s">
        <v>6194</v>
      </c>
      <c r="K357" s="5" t="s">
        <v>1895</v>
      </c>
      <c r="L357" s="0" t="s">
        <v>6195</v>
      </c>
    </row>
    <row r="358" customFormat="false" ht="17.15" hidden="false" customHeight="false" outlineLevel="0" collapsed="false">
      <c r="A358" s="0" t="s">
        <v>6196</v>
      </c>
      <c r="B358" s="0" t="s">
        <v>6191</v>
      </c>
      <c r="C358" s="0" t="s">
        <v>6197</v>
      </c>
      <c r="D358" s="0" t="s">
        <v>6198</v>
      </c>
      <c r="E358" s="5" t="s">
        <v>77</v>
      </c>
      <c r="F358" s="0" t="s">
        <v>5565</v>
      </c>
      <c r="G358" s="0" t="s">
        <v>1953</v>
      </c>
      <c r="H358" s="0" t="s">
        <v>5598</v>
      </c>
      <c r="I358" s="0" t="s">
        <v>6199</v>
      </c>
      <c r="K358" s="0" t="s">
        <v>36</v>
      </c>
      <c r="L358" s="0" t="s">
        <v>6200</v>
      </c>
    </row>
    <row r="359" customFormat="false" ht="17.15" hidden="false" customHeight="false" outlineLevel="0" collapsed="false">
      <c r="A359" s="0" t="s">
        <v>6201</v>
      </c>
      <c r="B359" s="0" t="s">
        <v>6191</v>
      </c>
      <c r="C359" s="0" t="s">
        <v>6202</v>
      </c>
      <c r="D359" s="0" t="s">
        <v>113</v>
      </c>
      <c r="E359" s="5" t="s">
        <v>77</v>
      </c>
      <c r="F359" s="0" t="s">
        <v>6203</v>
      </c>
      <c r="G359" s="0" t="s">
        <v>1899</v>
      </c>
      <c r="H359" s="0" t="s">
        <v>5598</v>
      </c>
      <c r="I359" s="0" t="s">
        <v>6204</v>
      </c>
      <c r="K359" s="0" t="s">
        <v>36</v>
      </c>
      <c r="L359" s="0" t="s">
        <v>6205</v>
      </c>
    </row>
    <row r="360" customFormat="false" ht="17.15" hidden="false" customHeight="false" outlineLevel="0" collapsed="false">
      <c r="A360" s="0" t="s">
        <v>6206</v>
      </c>
      <c r="B360" s="0" t="s">
        <v>1876</v>
      </c>
      <c r="C360" s="0" t="s">
        <v>6207</v>
      </c>
      <c r="D360" s="0" t="s">
        <v>5062</v>
      </c>
      <c r="E360" s="0" t="s">
        <v>112</v>
      </c>
      <c r="F360" s="0" t="s">
        <v>5798</v>
      </c>
      <c r="G360" s="0" t="s">
        <v>1899</v>
      </c>
      <c r="H360" s="0" t="s">
        <v>5592</v>
      </c>
      <c r="I360" s="0" t="s">
        <v>6208</v>
      </c>
      <c r="K360" s="0" t="s">
        <v>36</v>
      </c>
      <c r="L360" s="0" t="s">
        <v>6209</v>
      </c>
    </row>
    <row r="361" customFormat="false" ht="17.15" hidden="false" customHeight="false" outlineLevel="0" collapsed="false">
      <c r="A361" s="0" t="s">
        <v>6210</v>
      </c>
      <c r="B361" s="0" t="s">
        <v>1876</v>
      </c>
      <c r="C361" s="0" t="s">
        <v>6211</v>
      </c>
      <c r="D361" s="0" t="s">
        <v>6069</v>
      </c>
      <c r="E361" s="5" t="s">
        <v>77</v>
      </c>
      <c r="F361" s="0" t="s">
        <v>5508</v>
      </c>
      <c r="G361" s="0" t="s">
        <v>1953</v>
      </c>
      <c r="H361" s="0" t="s">
        <v>5609</v>
      </c>
      <c r="I361" s="5" t="s">
        <v>5610</v>
      </c>
      <c r="K361" s="0" t="s">
        <v>36</v>
      </c>
      <c r="L361" s="0" t="s">
        <v>6212</v>
      </c>
    </row>
    <row r="362" customFormat="false" ht="17.15" hidden="false" customHeight="false" outlineLevel="0" collapsed="false">
      <c r="A362" s="0" t="s">
        <v>6213</v>
      </c>
      <c r="B362" s="0" t="s">
        <v>6191</v>
      </c>
      <c r="C362" s="0" t="s">
        <v>6214</v>
      </c>
      <c r="D362" s="0" t="s">
        <v>6215</v>
      </c>
      <c r="E362" s="5" t="s">
        <v>77</v>
      </c>
      <c r="F362" s="0" t="s">
        <v>6216</v>
      </c>
      <c r="G362" s="0" t="s">
        <v>1953</v>
      </c>
      <c r="H362" s="0" t="s">
        <v>5566</v>
      </c>
      <c r="I362" s="0" t="s">
        <v>6217</v>
      </c>
      <c r="K362" s="0" t="s">
        <v>36</v>
      </c>
      <c r="L362" s="0" t="s">
        <v>6218</v>
      </c>
    </row>
    <row r="363" customFormat="false" ht="17.15" hidden="false" customHeight="false" outlineLevel="0" collapsed="false">
      <c r="A363" s="0" t="s">
        <v>6219</v>
      </c>
      <c r="B363" s="0" t="s">
        <v>6191</v>
      </c>
      <c r="C363" s="0" t="s">
        <v>6220</v>
      </c>
      <c r="D363" s="0" t="s">
        <v>6221</v>
      </c>
      <c r="E363" s="0" t="s">
        <v>112</v>
      </c>
      <c r="F363" s="0" t="s">
        <v>5068</v>
      </c>
      <c r="G363" s="0" t="s">
        <v>1953</v>
      </c>
      <c r="H363" s="0" t="s">
        <v>5609</v>
      </c>
      <c r="I363" s="5" t="s">
        <v>5610</v>
      </c>
      <c r="J363" s="0" t="s">
        <v>6222</v>
      </c>
      <c r="K363" s="5" t="s">
        <v>1895</v>
      </c>
      <c r="L363" s="0" t="s">
        <v>6223</v>
      </c>
    </row>
    <row r="364" customFormat="false" ht="17.15" hidden="false" customHeight="false" outlineLevel="0" collapsed="false">
      <c r="A364" s="0" t="s">
        <v>6224</v>
      </c>
      <c r="B364" s="0" t="s">
        <v>6191</v>
      </c>
      <c r="C364" s="0" t="s">
        <v>6225</v>
      </c>
      <c r="D364" s="0" t="s">
        <v>6226</v>
      </c>
      <c r="E364" s="0" t="s">
        <v>112</v>
      </c>
      <c r="F364" s="0" t="s">
        <v>5068</v>
      </c>
      <c r="G364" s="0" t="s">
        <v>1899</v>
      </c>
      <c r="H364" s="0" t="s">
        <v>5598</v>
      </c>
      <c r="I364" s="5" t="s">
        <v>6227</v>
      </c>
      <c r="K364" s="0" t="s">
        <v>36</v>
      </c>
      <c r="L364" s="0" t="s">
        <v>6228</v>
      </c>
    </row>
    <row r="365" customFormat="false" ht="17.15" hidden="false" customHeight="false" outlineLevel="0" collapsed="false">
      <c r="A365" s="0" t="s">
        <v>6229</v>
      </c>
      <c r="B365" s="0" t="s">
        <v>6191</v>
      </c>
      <c r="C365" s="0" t="s">
        <v>6230</v>
      </c>
      <c r="D365" s="0" t="s">
        <v>6198</v>
      </c>
      <c r="E365" s="5" t="s">
        <v>77</v>
      </c>
      <c r="F365" s="0" t="s">
        <v>4374</v>
      </c>
      <c r="G365" s="0" t="s">
        <v>1899</v>
      </c>
      <c r="H365" s="0" t="s">
        <v>5609</v>
      </c>
      <c r="I365" s="5" t="s">
        <v>5610</v>
      </c>
      <c r="K365" s="0" t="s">
        <v>36</v>
      </c>
      <c r="L365" s="0" t="s">
        <v>6231</v>
      </c>
    </row>
    <row r="366" customFormat="false" ht="17.15" hidden="false" customHeight="false" outlineLevel="0" collapsed="false">
      <c r="A366" s="0" t="s">
        <v>6232</v>
      </c>
      <c r="B366" s="0" t="s">
        <v>6233</v>
      </c>
      <c r="C366" s="0" t="s">
        <v>6234</v>
      </c>
      <c r="D366" s="0" t="s">
        <v>4823</v>
      </c>
      <c r="E366" s="5" t="s">
        <v>77</v>
      </c>
      <c r="F366" s="0" t="s">
        <v>6235</v>
      </c>
      <c r="G366" s="0" t="s">
        <v>1953</v>
      </c>
      <c r="H366" s="0" t="s">
        <v>5614</v>
      </c>
      <c r="I366" s="0" t="s">
        <v>6236</v>
      </c>
      <c r="K366" s="0" t="s">
        <v>36</v>
      </c>
      <c r="L366" s="0" t="s">
        <v>6237</v>
      </c>
    </row>
    <row r="367" customFormat="false" ht="17.15" hidden="false" customHeight="false" outlineLevel="0" collapsed="false">
      <c r="A367" s="0" t="s">
        <v>6238</v>
      </c>
      <c r="B367" s="0" t="s">
        <v>6233</v>
      </c>
      <c r="C367" s="0" t="s">
        <v>6239</v>
      </c>
      <c r="D367" s="0" t="s">
        <v>4568</v>
      </c>
      <c r="E367" s="5" t="s">
        <v>77</v>
      </c>
      <c r="F367" s="0" t="s">
        <v>6240</v>
      </c>
      <c r="G367" s="0" t="s">
        <v>1953</v>
      </c>
      <c r="H367" s="0" t="s">
        <v>5598</v>
      </c>
      <c r="I367" s="0" t="s">
        <v>6241</v>
      </c>
      <c r="K367" s="0" t="s">
        <v>36</v>
      </c>
      <c r="L367" s="0" t="s">
        <v>6242</v>
      </c>
    </row>
    <row r="368" customFormat="false" ht="17.15" hidden="false" customHeight="false" outlineLevel="0" collapsed="false">
      <c r="A368" s="0" t="s">
        <v>6243</v>
      </c>
      <c r="B368" s="0" t="s">
        <v>6233</v>
      </c>
      <c r="C368" s="0" t="s">
        <v>6244</v>
      </c>
      <c r="D368" s="0" t="s">
        <v>6094</v>
      </c>
      <c r="E368" s="5" t="s">
        <v>77</v>
      </c>
      <c r="F368" s="0" t="s">
        <v>6235</v>
      </c>
      <c r="G368" s="0" t="s">
        <v>1953</v>
      </c>
      <c r="H368" s="0" t="s">
        <v>5614</v>
      </c>
      <c r="I368" s="0" t="s">
        <v>6245</v>
      </c>
      <c r="J368" s="0" t="s">
        <v>680</v>
      </c>
      <c r="K368" s="5" t="s">
        <v>1895</v>
      </c>
      <c r="L368" s="0" t="s">
        <v>6237</v>
      </c>
    </row>
    <row r="369" customFormat="false" ht="17.15" hidden="false" customHeight="false" outlineLevel="0" collapsed="false">
      <c r="A369" s="0" t="s">
        <v>6246</v>
      </c>
      <c r="B369" s="0" t="s">
        <v>6233</v>
      </c>
      <c r="C369" s="0" t="s">
        <v>6247</v>
      </c>
      <c r="D369" s="0" t="s">
        <v>5129</v>
      </c>
      <c r="E369" s="5" t="s">
        <v>77</v>
      </c>
      <c r="F369" s="0" t="s">
        <v>6235</v>
      </c>
      <c r="G369" s="0" t="s">
        <v>1953</v>
      </c>
      <c r="H369" s="0" t="s">
        <v>5614</v>
      </c>
      <c r="I369" s="0" t="s">
        <v>6248</v>
      </c>
      <c r="K369" s="0" t="s">
        <v>36</v>
      </c>
      <c r="L369" s="0" t="s">
        <v>6237</v>
      </c>
    </row>
    <row r="370" customFormat="false" ht="17.15" hidden="false" customHeight="false" outlineLevel="0" collapsed="false">
      <c r="A370" s="0" t="s">
        <v>6249</v>
      </c>
      <c r="B370" s="0" t="s">
        <v>6233</v>
      </c>
      <c r="C370" s="0" t="s">
        <v>6250</v>
      </c>
      <c r="D370" s="0" t="s">
        <v>113</v>
      </c>
      <c r="E370" s="5" t="s">
        <v>77</v>
      </c>
      <c r="F370" s="0" t="s">
        <v>6251</v>
      </c>
      <c r="G370" s="0" t="s">
        <v>1953</v>
      </c>
      <c r="H370" s="0" t="s">
        <v>5592</v>
      </c>
      <c r="I370" s="5" t="s">
        <v>6252</v>
      </c>
      <c r="K370" s="0" t="s">
        <v>36</v>
      </c>
      <c r="L370" s="0" t="s">
        <v>6253</v>
      </c>
    </row>
    <row r="371" customFormat="false" ht="17.15" hidden="false" customHeight="false" outlineLevel="0" collapsed="false">
      <c r="A371" s="0" t="s">
        <v>6254</v>
      </c>
      <c r="B371" s="0" t="s">
        <v>6255</v>
      </c>
      <c r="C371" s="0" t="s">
        <v>6256</v>
      </c>
      <c r="D371" s="0" t="s">
        <v>5572</v>
      </c>
      <c r="E371" s="5" t="s">
        <v>77</v>
      </c>
      <c r="F371" s="0" t="s">
        <v>6257</v>
      </c>
      <c r="G371" s="0" t="s">
        <v>1953</v>
      </c>
      <c r="H371" s="0" t="s">
        <v>5566</v>
      </c>
      <c r="I371" s="0" t="s">
        <v>6258</v>
      </c>
      <c r="K371" s="0" t="s">
        <v>36</v>
      </c>
      <c r="L371" s="0" t="s">
        <v>6259</v>
      </c>
    </row>
    <row r="372" customFormat="false" ht="17.15" hidden="false" customHeight="false" outlineLevel="0" collapsed="false">
      <c r="A372" s="0" t="s">
        <v>6260</v>
      </c>
      <c r="B372" s="0" t="s">
        <v>6261</v>
      </c>
      <c r="C372" s="0" t="s">
        <v>6262</v>
      </c>
      <c r="D372" s="0" t="s">
        <v>6263</v>
      </c>
      <c r="E372" s="5" t="s">
        <v>77</v>
      </c>
      <c r="F372" s="0" t="s">
        <v>5508</v>
      </c>
      <c r="G372" s="0" t="s">
        <v>1953</v>
      </c>
      <c r="H372" s="0" t="s">
        <v>5609</v>
      </c>
      <c r="I372" s="5" t="s">
        <v>5825</v>
      </c>
      <c r="K372" s="0" t="s">
        <v>36</v>
      </c>
      <c r="L372" s="0" t="s">
        <v>6264</v>
      </c>
    </row>
    <row r="373" customFormat="false" ht="17.15" hidden="false" customHeight="false" outlineLevel="0" collapsed="false">
      <c r="A373" s="0" t="s">
        <v>6265</v>
      </c>
      <c r="B373" s="0" t="s">
        <v>6261</v>
      </c>
      <c r="C373" s="0" t="s">
        <v>6266</v>
      </c>
      <c r="D373" s="0" t="s">
        <v>5572</v>
      </c>
      <c r="E373" s="5" t="s">
        <v>77</v>
      </c>
      <c r="F373" s="0" t="s">
        <v>6267</v>
      </c>
      <c r="G373" s="0" t="s">
        <v>1953</v>
      </c>
      <c r="H373" s="0" t="s">
        <v>5614</v>
      </c>
      <c r="I373" s="5" t="s">
        <v>6268</v>
      </c>
      <c r="J373" s="0" t="s">
        <v>6269</v>
      </c>
      <c r="K373" s="5" t="s">
        <v>1895</v>
      </c>
      <c r="L373" s="0" t="s">
        <v>6270</v>
      </c>
    </row>
    <row r="374" customFormat="false" ht="17.15" hidden="false" customHeight="false" outlineLevel="0" collapsed="false">
      <c r="A374" s="0" t="s">
        <v>6271</v>
      </c>
      <c r="B374" s="0" t="s">
        <v>6261</v>
      </c>
      <c r="C374" s="0" t="s">
        <v>6272</v>
      </c>
      <c r="D374" s="0" t="s">
        <v>6273</v>
      </c>
      <c r="E374" s="5" t="s">
        <v>77</v>
      </c>
      <c r="F374" s="0" t="s">
        <v>4950</v>
      </c>
      <c r="G374" s="0" t="s">
        <v>1909</v>
      </c>
      <c r="H374" s="0" t="s">
        <v>5614</v>
      </c>
      <c r="I374" s="5" t="s">
        <v>6274</v>
      </c>
      <c r="K374" s="0" t="s">
        <v>36</v>
      </c>
      <c r="L374" s="0" t="s">
        <v>6275</v>
      </c>
    </row>
    <row r="375" customFormat="false" ht="17.15" hidden="false" customHeight="false" outlineLevel="0" collapsed="false">
      <c r="A375" s="0" t="s">
        <v>6276</v>
      </c>
      <c r="B375" s="0" t="s">
        <v>6261</v>
      </c>
      <c r="C375" s="0" t="s">
        <v>6277</v>
      </c>
      <c r="D375" s="0" t="s">
        <v>5889</v>
      </c>
      <c r="E375" s="5" t="s">
        <v>77</v>
      </c>
      <c r="F375" s="0" t="s">
        <v>6278</v>
      </c>
      <c r="G375" s="0" t="s">
        <v>1953</v>
      </c>
      <c r="H375" s="0" t="s">
        <v>5614</v>
      </c>
      <c r="I375" s="0" t="s">
        <v>6279</v>
      </c>
      <c r="J375" s="0" t="s">
        <v>6269</v>
      </c>
      <c r="K375" s="5" t="s">
        <v>1895</v>
      </c>
      <c r="L375" s="0" t="s">
        <v>6280</v>
      </c>
    </row>
    <row r="376" customFormat="false" ht="17.15" hidden="false" customHeight="false" outlineLevel="0" collapsed="false">
      <c r="A376" s="0" t="s">
        <v>6281</v>
      </c>
      <c r="B376" s="0" t="s">
        <v>6261</v>
      </c>
      <c r="C376" s="0" t="s">
        <v>6282</v>
      </c>
      <c r="D376" s="0" t="s">
        <v>4971</v>
      </c>
      <c r="E376" s="5" t="s">
        <v>77</v>
      </c>
      <c r="F376" s="0" t="s">
        <v>6267</v>
      </c>
      <c r="G376" s="0" t="s">
        <v>1953</v>
      </c>
      <c r="H376" s="0" t="s">
        <v>5598</v>
      </c>
      <c r="I376" s="0" t="s">
        <v>6283</v>
      </c>
      <c r="K376" s="0" t="s">
        <v>36</v>
      </c>
      <c r="L376" s="0" t="s">
        <v>6270</v>
      </c>
    </row>
    <row r="377" customFormat="false" ht="17.15" hidden="false" customHeight="false" outlineLevel="0" collapsed="false">
      <c r="A377" s="0" t="s">
        <v>6284</v>
      </c>
      <c r="B377" s="0" t="s">
        <v>6285</v>
      </c>
      <c r="C377" s="0" t="s">
        <v>6286</v>
      </c>
      <c r="D377" s="0" t="s">
        <v>4958</v>
      </c>
      <c r="E377" s="5" t="s">
        <v>77</v>
      </c>
      <c r="F377" s="0" t="s">
        <v>6287</v>
      </c>
      <c r="G377" s="0" t="s">
        <v>1953</v>
      </c>
      <c r="H377" s="0" t="s">
        <v>5566</v>
      </c>
      <c r="I377" s="0" t="s">
        <v>6288</v>
      </c>
      <c r="K377" s="0" t="s">
        <v>36</v>
      </c>
      <c r="L377" s="0" t="s">
        <v>6289</v>
      </c>
    </row>
    <row r="378" customFormat="false" ht="17.15" hidden="false" customHeight="false" outlineLevel="0" collapsed="false">
      <c r="A378" s="0" t="s">
        <v>6290</v>
      </c>
      <c r="B378" s="0" t="s">
        <v>6261</v>
      </c>
      <c r="C378" s="0" t="s">
        <v>6291</v>
      </c>
      <c r="D378" s="0" t="s">
        <v>5889</v>
      </c>
      <c r="E378" s="5" t="s">
        <v>77</v>
      </c>
      <c r="F378" s="0" t="s">
        <v>5048</v>
      </c>
      <c r="G378" s="0" t="s">
        <v>1953</v>
      </c>
      <c r="H378" s="0" t="s">
        <v>5566</v>
      </c>
      <c r="I378" s="0" t="s">
        <v>6292</v>
      </c>
      <c r="J378" s="0" t="s">
        <v>642</v>
      </c>
      <c r="K378" s="5" t="s">
        <v>1895</v>
      </c>
      <c r="L378" s="0" t="s">
        <v>6293</v>
      </c>
    </row>
    <row r="379" customFormat="false" ht="17.15" hidden="false" customHeight="false" outlineLevel="0" collapsed="false">
      <c r="A379" s="0" t="s">
        <v>6294</v>
      </c>
      <c r="B379" s="0" t="s">
        <v>6295</v>
      </c>
      <c r="C379" s="0" t="s">
        <v>6296</v>
      </c>
      <c r="D379" s="0" t="s">
        <v>113</v>
      </c>
      <c r="E379" s="5" t="s">
        <v>77</v>
      </c>
      <c r="F379" s="0" t="s">
        <v>6297</v>
      </c>
      <c r="G379" s="0" t="s">
        <v>1953</v>
      </c>
      <c r="H379" s="0" t="s">
        <v>5566</v>
      </c>
      <c r="I379" s="5" t="s">
        <v>6298</v>
      </c>
      <c r="K379" s="0" t="s">
        <v>36</v>
      </c>
      <c r="L379" s="0" t="s">
        <v>6299</v>
      </c>
    </row>
    <row r="380" customFormat="false" ht="17.15" hidden="false" customHeight="false" outlineLevel="0" collapsed="false">
      <c r="A380" s="0" t="s">
        <v>6300</v>
      </c>
      <c r="B380" s="0" t="s">
        <v>6261</v>
      </c>
      <c r="C380" s="0" t="s">
        <v>6301</v>
      </c>
      <c r="D380" s="0" t="s">
        <v>4971</v>
      </c>
      <c r="E380" s="5" t="s">
        <v>77</v>
      </c>
      <c r="F380" s="0" t="s">
        <v>139</v>
      </c>
      <c r="G380" s="0" t="s">
        <v>1953</v>
      </c>
      <c r="H380" s="0" t="s">
        <v>5566</v>
      </c>
      <c r="I380" s="0" t="s">
        <v>6302</v>
      </c>
      <c r="K380" s="0" t="s">
        <v>36</v>
      </c>
      <c r="L380" s="0" t="s">
        <v>6303</v>
      </c>
    </row>
    <row r="381" customFormat="false" ht="17.15" hidden="false" customHeight="false" outlineLevel="0" collapsed="false">
      <c r="A381" s="0" t="s">
        <v>6304</v>
      </c>
      <c r="B381" s="0" t="s">
        <v>6305</v>
      </c>
      <c r="C381" s="0" t="s">
        <v>6306</v>
      </c>
      <c r="D381" s="0" t="s">
        <v>5572</v>
      </c>
      <c r="E381" s="5" t="s">
        <v>77</v>
      </c>
      <c r="F381" s="0" t="s">
        <v>5136</v>
      </c>
      <c r="G381" s="0" t="s">
        <v>1953</v>
      </c>
      <c r="H381" s="0" t="s">
        <v>5566</v>
      </c>
      <c r="I381" s="5" t="s">
        <v>6307</v>
      </c>
      <c r="K381" s="0" t="s">
        <v>36</v>
      </c>
      <c r="L381" s="0" t="s">
        <v>6308</v>
      </c>
    </row>
    <row r="382" customFormat="false" ht="17.15" hidden="false" customHeight="false" outlineLevel="0" collapsed="false">
      <c r="A382" s="0" t="s">
        <v>6309</v>
      </c>
      <c r="B382" s="0" t="s">
        <v>6305</v>
      </c>
      <c r="C382" s="0" t="s">
        <v>6310</v>
      </c>
      <c r="D382" s="0" t="s">
        <v>113</v>
      </c>
      <c r="E382" s="5" t="s">
        <v>77</v>
      </c>
      <c r="F382" s="0" t="s">
        <v>5009</v>
      </c>
      <c r="G382" s="0" t="s">
        <v>1953</v>
      </c>
      <c r="H382" s="0" t="s">
        <v>5566</v>
      </c>
      <c r="I382" s="0" t="s">
        <v>6311</v>
      </c>
      <c r="K382" s="0" t="s">
        <v>36</v>
      </c>
      <c r="L382" s="0" t="s">
        <v>6312</v>
      </c>
    </row>
    <row r="383" customFormat="false" ht="17.15" hidden="false" customHeight="false" outlineLevel="0" collapsed="false">
      <c r="A383" s="0" t="s">
        <v>6313</v>
      </c>
      <c r="B383" s="0" t="s">
        <v>6305</v>
      </c>
      <c r="C383" s="0" t="s">
        <v>6314</v>
      </c>
      <c r="D383" s="0" t="s">
        <v>113</v>
      </c>
      <c r="E383" s="5" t="s">
        <v>77</v>
      </c>
      <c r="F383" s="0" t="s">
        <v>6315</v>
      </c>
      <c r="G383" s="0" t="s">
        <v>1953</v>
      </c>
      <c r="H383" s="0" t="s">
        <v>5566</v>
      </c>
      <c r="I383" s="0" t="s">
        <v>6316</v>
      </c>
      <c r="K383" s="0" t="s">
        <v>36</v>
      </c>
      <c r="L383" s="0" t="s">
        <v>6317</v>
      </c>
    </row>
    <row r="384" customFormat="false" ht="17.15" hidden="false" customHeight="false" outlineLevel="0" collapsed="false">
      <c r="A384" s="0" t="s">
        <v>6318</v>
      </c>
      <c r="B384" s="0" t="s">
        <v>6305</v>
      </c>
      <c r="C384" s="0" t="s">
        <v>6319</v>
      </c>
      <c r="D384" s="0" t="s">
        <v>113</v>
      </c>
      <c r="E384" s="5" t="s">
        <v>77</v>
      </c>
      <c r="F384" s="0" t="s">
        <v>6315</v>
      </c>
      <c r="G384" s="0" t="s">
        <v>1953</v>
      </c>
      <c r="H384" s="0" t="s">
        <v>5566</v>
      </c>
      <c r="I384" s="0" t="s">
        <v>6320</v>
      </c>
      <c r="K384" s="0" t="s">
        <v>36</v>
      </c>
      <c r="L384" s="0" t="s">
        <v>6317</v>
      </c>
    </row>
    <row r="385" customFormat="false" ht="17.15" hidden="false" customHeight="false" outlineLevel="0" collapsed="false">
      <c r="A385" s="0" t="s">
        <v>6321</v>
      </c>
      <c r="B385" s="0" t="s">
        <v>6322</v>
      </c>
      <c r="C385" s="0" t="s">
        <v>6323</v>
      </c>
      <c r="D385" s="0" t="s">
        <v>6073</v>
      </c>
      <c r="E385" s="5" t="s">
        <v>77</v>
      </c>
      <c r="F385" s="0" t="s">
        <v>6324</v>
      </c>
      <c r="G385" s="0" t="s">
        <v>1953</v>
      </c>
      <c r="H385" s="0" t="s">
        <v>5566</v>
      </c>
      <c r="I385" s="0" t="s">
        <v>6325</v>
      </c>
      <c r="K385" s="0" t="s">
        <v>36</v>
      </c>
      <c r="L385" s="0" t="s">
        <v>6326</v>
      </c>
    </row>
    <row r="386" customFormat="false" ht="17.15" hidden="false" customHeight="false" outlineLevel="0" collapsed="false">
      <c r="A386" s="0" t="s">
        <v>6327</v>
      </c>
      <c r="B386" s="0" t="s">
        <v>6328</v>
      </c>
      <c r="C386" s="0" t="s">
        <v>6329</v>
      </c>
      <c r="D386" s="0" t="s">
        <v>6330</v>
      </c>
      <c r="E386" s="5" t="s">
        <v>77</v>
      </c>
      <c r="F386" s="0" t="s">
        <v>6331</v>
      </c>
      <c r="G386" s="0" t="s">
        <v>1953</v>
      </c>
      <c r="H386" s="0" t="s">
        <v>5566</v>
      </c>
      <c r="I386" s="0" t="s">
        <v>6332</v>
      </c>
      <c r="K386" s="0" t="s">
        <v>36</v>
      </c>
      <c r="L386" s="0" t="s">
        <v>6333</v>
      </c>
    </row>
    <row r="387" customFormat="false" ht="17.15" hidden="false" customHeight="false" outlineLevel="0" collapsed="false">
      <c r="A387" s="0" t="s">
        <v>6334</v>
      </c>
      <c r="B387" s="0" t="s">
        <v>6335</v>
      </c>
      <c r="C387" s="0" t="s">
        <v>6336</v>
      </c>
      <c r="D387" s="0" t="s">
        <v>5785</v>
      </c>
      <c r="E387" s="5" t="s">
        <v>77</v>
      </c>
      <c r="F387" s="0" t="s">
        <v>6337</v>
      </c>
      <c r="G387" s="0" t="s">
        <v>1953</v>
      </c>
      <c r="H387" s="0" t="s">
        <v>5609</v>
      </c>
      <c r="I387" s="5" t="s">
        <v>6338</v>
      </c>
      <c r="K387" s="0" t="s">
        <v>36</v>
      </c>
      <c r="L387" s="0" t="s">
        <v>6339</v>
      </c>
    </row>
    <row r="388" customFormat="false" ht="17.15" hidden="false" customHeight="false" outlineLevel="0" collapsed="false">
      <c r="A388" s="0" t="s">
        <v>6340</v>
      </c>
      <c r="B388" s="0" t="s">
        <v>6341</v>
      </c>
      <c r="C388" s="0" t="s">
        <v>6342</v>
      </c>
      <c r="D388" s="0" t="s">
        <v>6343</v>
      </c>
      <c r="E388" s="5" t="s">
        <v>77</v>
      </c>
      <c r="F388" s="0" t="s">
        <v>6344</v>
      </c>
      <c r="G388" s="0" t="s">
        <v>1953</v>
      </c>
      <c r="H388" s="0" t="s">
        <v>5609</v>
      </c>
      <c r="I388" s="5" t="s">
        <v>5868</v>
      </c>
      <c r="K388" s="0" t="s">
        <v>36</v>
      </c>
      <c r="L388" s="0" t="s">
        <v>6345</v>
      </c>
    </row>
    <row r="389" customFormat="false" ht="17.15" hidden="false" customHeight="false" outlineLevel="0" collapsed="false">
      <c r="A389" s="0" t="s">
        <v>6346</v>
      </c>
      <c r="B389" s="0" t="s">
        <v>6341</v>
      </c>
      <c r="C389" s="0" t="s">
        <v>6347</v>
      </c>
      <c r="D389" s="0" t="s">
        <v>4810</v>
      </c>
      <c r="E389" s="5" t="s">
        <v>77</v>
      </c>
      <c r="F389" s="0" t="s">
        <v>6344</v>
      </c>
      <c r="G389" s="0" t="s">
        <v>1953</v>
      </c>
      <c r="H389" s="0" t="s">
        <v>5566</v>
      </c>
      <c r="I389" s="0" t="s">
        <v>6348</v>
      </c>
      <c r="K389" s="0" t="s">
        <v>36</v>
      </c>
      <c r="L389" s="0" t="s">
        <v>6349</v>
      </c>
    </row>
    <row r="390" customFormat="false" ht="17.15" hidden="false" customHeight="false" outlineLevel="0" collapsed="false">
      <c r="A390" s="0" t="s">
        <v>6350</v>
      </c>
      <c r="B390" s="0" t="s">
        <v>6341</v>
      </c>
      <c r="C390" s="0" t="s">
        <v>6351</v>
      </c>
      <c r="D390" s="0" t="s">
        <v>5564</v>
      </c>
      <c r="E390" s="5" t="s">
        <v>77</v>
      </c>
      <c r="F390" s="0" t="s">
        <v>6344</v>
      </c>
      <c r="G390" s="0" t="s">
        <v>1953</v>
      </c>
      <c r="H390" s="0" t="s">
        <v>5609</v>
      </c>
      <c r="I390" s="5" t="s">
        <v>5868</v>
      </c>
      <c r="K390" s="0" t="s">
        <v>36</v>
      </c>
      <c r="L390" s="0" t="s">
        <v>6345</v>
      </c>
    </row>
    <row r="391" customFormat="false" ht="17.15" hidden="false" customHeight="false" outlineLevel="0" collapsed="false">
      <c r="A391" s="0" t="s">
        <v>6352</v>
      </c>
      <c r="B391" s="0" t="s">
        <v>1323</v>
      </c>
      <c r="C391" s="0" t="s">
        <v>6353</v>
      </c>
      <c r="D391" s="0" t="s">
        <v>6354</v>
      </c>
      <c r="E391" s="5" t="s">
        <v>77</v>
      </c>
      <c r="F391" s="0" t="s">
        <v>6355</v>
      </c>
      <c r="G391" s="0" t="s">
        <v>1899</v>
      </c>
      <c r="H391" s="0" t="s">
        <v>5598</v>
      </c>
      <c r="I391" s="0" t="s">
        <v>6356</v>
      </c>
      <c r="K391" s="0" t="s">
        <v>36</v>
      </c>
      <c r="L391" s="0" t="s">
        <v>6357</v>
      </c>
    </row>
    <row r="392" customFormat="false" ht="17.15" hidden="false" customHeight="false" outlineLevel="0" collapsed="false">
      <c r="A392" s="0" t="s">
        <v>6358</v>
      </c>
      <c r="B392" s="0" t="s">
        <v>1070</v>
      </c>
      <c r="C392" s="0" t="s">
        <v>6359</v>
      </c>
      <c r="D392" s="0" t="s">
        <v>5572</v>
      </c>
      <c r="E392" s="5" t="s">
        <v>77</v>
      </c>
      <c r="F392" s="0" t="s">
        <v>6360</v>
      </c>
      <c r="G392" s="0" t="s">
        <v>1953</v>
      </c>
      <c r="H392" s="0" t="s">
        <v>5566</v>
      </c>
      <c r="I392" s="0" t="s">
        <v>6361</v>
      </c>
      <c r="K392" s="0" t="s">
        <v>36</v>
      </c>
      <c r="L392" s="0" t="s">
        <v>6362</v>
      </c>
    </row>
    <row r="393" customFormat="false" ht="17.15" hidden="false" customHeight="false" outlineLevel="0" collapsed="false">
      <c r="A393" s="0" t="s">
        <v>6363</v>
      </c>
      <c r="B393" s="0" t="s">
        <v>6364</v>
      </c>
      <c r="C393" s="0" t="s">
        <v>6365</v>
      </c>
      <c r="D393" s="0" t="s">
        <v>6366</v>
      </c>
      <c r="E393" s="0" t="s">
        <v>112</v>
      </c>
      <c r="F393" s="5" t="s">
        <v>6367</v>
      </c>
      <c r="G393" s="0" t="s">
        <v>1899</v>
      </c>
      <c r="H393" s="0" t="s">
        <v>5598</v>
      </c>
      <c r="I393" s="0" t="s">
        <v>6368</v>
      </c>
      <c r="K393" s="0" t="s">
        <v>36</v>
      </c>
      <c r="L393" s="0" t="s">
        <v>6369</v>
      </c>
    </row>
    <row r="394" customFormat="false" ht="17.15" hidden="false" customHeight="false" outlineLevel="0" collapsed="false">
      <c r="A394" s="0" t="s">
        <v>6370</v>
      </c>
      <c r="B394" s="0" t="s">
        <v>6364</v>
      </c>
      <c r="C394" s="0" t="s">
        <v>6371</v>
      </c>
      <c r="D394" s="0" t="s">
        <v>113</v>
      </c>
      <c r="E394" s="5" t="s">
        <v>77</v>
      </c>
      <c r="F394" s="0" t="s">
        <v>6372</v>
      </c>
      <c r="G394" s="0" t="s">
        <v>1953</v>
      </c>
      <c r="H394" s="0" t="s">
        <v>5566</v>
      </c>
      <c r="I394" s="5" t="s">
        <v>6373</v>
      </c>
      <c r="K394" s="0" t="s">
        <v>36</v>
      </c>
      <c r="L394" s="0" t="s">
        <v>6374</v>
      </c>
    </row>
    <row r="395" customFormat="false" ht="17.15" hidden="false" customHeight="false" outlineLevel="0" collapsed="false">
      <c r="A395" s="0" t="s">
        <v>6375</v>
      </c>
      <c r="B395" s="0" t="s">
        <v>6364</v>
      </c>
      <c r="C395" s="0" t="s">
        <v>6376</v>
      </c>
      <c r="D395" s="0" t="s">
        <v>113</v>
      </c>
      <c r="E395" s="5" t="s">
        <v>77</v>
      </c>
      <c r="F395" s="0" t="s">
        <v>6377</v>
      </c>
      <c r="G395" s="0" t="s">
        <v>1899</v>
      </c>
      <c r="H395" s="0" t="s">
        <v>5609</v>
      </c>
      <c r="I395" s="5" t="s">
        <v>6338</v>
      </c>
      <c r="K395" s="0" t="s">
        <v>36</v>
      </c>
      <c r="L395" s="0" t="s">
        <v>6378</v>
      </c>
    </row>
    <row r="396" customFormat="false" ht="17.15" hidden="false" customHeight="false" outlineLevel="0" collapsed="false">
      <c r="A396" s="0" t="s">
        <v>6379</v>
      </c>
      <c r="B396" s="0" t="s">
        <v>6380</v>
      </c>
      <c r="C396" s="0" t="s">
        <v>6381</v>
      </c>
      <c r="D396" s="0" t="s">
        <v>113</v>
      </c>
      <c r="E396" s="5" t="s">
        <v>77</v>
      </c>
      <c r="F396" s="0" t="s">
        <v>5831</v>
      </c>
      <c r="G396" s="0" t="s">
        <v>1953</v>
      </c>
      <c r="H396" s="0" t="s">
        <v>5609</v>
      </c>
      <c r="I396" s="5" t="s">
        <v>5610</v>
      </c>
      <c r="K396" s="0" t="s">
        <v>36</v>
      </c>
      <c r="L396" s="0" t="s">
        <v>6382</v>
      </c>
    </row>
    <row r="397" customFormat="false" ht="17.15" hidden="false" customHeight="false" outlineLevel="0" collapsed="false">
      <c r="A397" s="0" t="s">
        <v>6383</v>
      </c>
      <c r="B397" s="0" t="s">
        <v>6384</v>
      </c>
      <c r="C397" s="0" t="s">
        <v>6385</v>
      </c>
      <c r="D397" s="0" t="s">
        <v>6386</v>
      </c>
      <c r="E397" s="5" t="s">
        <v>168</v>
      </c>
      <c r="F397" s="0" t="s">
        <v>5597</v>
      </c>
      <c r="G397" s="0" t="s">
        <v>1899</v>
      </c>
      <c r="H397" s="0" t="s">
        <v>5592</v>
      </c>
      <c r="I397" s="5" t="s">
        <v>6387</v>
      </c>
      <c r="K397" s="0" t="s">
        <v>36</v>
      </c>
      <c r="L397" s="0" t="s">
        <v>6388</v>
      </c>
    </row>
    <row r="398" customFormat="false" ht="17.15" hidden="false" customHeight="false" outlineLevel="0" collapsed="false">
      <c r="A398" s="0" t="s">
        <v>6389</v>
      </c>
      <c r="B398" s="0" t="s">
        <v>6390</v>
      </c>
      <c r="C398" s="0" t="s">
        <v>6391</v>
      </c>
      <c r="D398" s="0" t="s">
        <v>5872</v>
      </c>
      <c r="E398" s="5" t="s">
        <v>168</v>
      </c>
      <c r="F398" s="0" t="s">
        <v>6392</v>
      </c>
      <c r="G398" s="0" t="s">
        <v>1899</v>
      </c>
      <c r="H398" s="0" t="s">
        <v>5598</v>
      </c>
      <c r="I398" s="0" t="s">
        <v>6393</v>
      </c>
      <c r="K398" s="0" t="s">
        <v>36</v>
      </c>
      <c r="L398" s="0" t="s">
        <v>6394</v>
      </c>
    </row>
    <row r="399" customFormat="false" ht="17.15" hidden="false" customHeight="false" outlineLevel="0" collapsed="false">
      <c r="A399" s="0" t="s">
        <v>6395</v>
      </c>
      <c r="B399" s="0" t="s">
        <v>2532</v>
      </c>
      <c r="C399" s="0" t="s">
        <v>6396</v>
      </c>
      <c r="D399" s="0" t="s">
        <v>6397</v>
      </c>
      <c r="E399" s="5" t="s">
        <v>77</v>
      </c>
      <c r="F399" s="0" t="s">
        <v>2348</v>
      </c>
      <c r="G399" s="0" t="s">
        <v>1899</v>
      </c>
      <c r="H399" s="0" t="s">
        <v>5566</v>
      </c>
      <c r="I399" s="0" t="s">
        <v>6398</v>
      </c>
      <c r="K399" s="0" t="s">
        <v>36</v>
      </c>
      <c r="L399" s="0" t="s">
        <v>6399</v>
      </c>
    </row>
    <row r="400" customFormat="false" ht="17.15" hidden="false" customHeight="false" outlineLevel="0" collapsed="false">
      <c r="A400" s="0" t="s">
        <v>6400</v>
      </c>
      <c r="B400" s="0" t="s">
        <v>6380</v>
      </c>
      <c r="C400" s="0" t="s">
        <v>6401</v>
      </c>
      <c r="D400" s="0" t="s">
        <v>6402</v>
      </c>
      <c r="E400" s="5" t="s">
        <v>77</v>
      </c>
      <c r="F400" s="0" t="s">
        <v>4676</v>
      </c>
      <c r="G400" s="0" t="s">
        <v>1899</v>
      </c>
      <c r="H400" s="0" t="s">
        <v>5598</v>
      </c>
      <c r="I400" s="0" t="s">
        <v>6403</v>
      </c>
      <c r="K400" s="0" t="s">
        <v>36</v>
      </c>
      <c r="L400" s="0" t="s">
        <v>6404</v>
      </c>
    </row>
    <row r="401" customFormat="false" ht="17.15" hidden="false" customHeight="false" outlineLevel="0" collapsed="false">
      <c r="A401" s="0" t="s">
        <v>6405</v>
      </c>
      <c r="B401" s="0" t="s">
        <v>6380</v>
      </c>
      <c r="C401" s="0" t="s">
        <v>6406</v>
      </c>
      <c r="D401" s="0" t="s">
        <v>4630</v>
      </c>
      <c r="E401" s="5" t="s">
        <v>77</v>
      </c>
      <c r="F401" s="0" t="s">
        <v>4676</v>
      </c>
      <c r="G401" s="0" t="s">
        <v>1899</v>
      </c>
      <c r="H401" s="0" t="s">
        <v>5598</v>
      </c>
      <c r="I401" s="0" t="s">
        <v>6407</v>
      </c>
      <c r="K401" s="0" t="s">
        <v>36</v>
      </c>
      <c r="L401" s="0" t="s">
        <v>6404</v>
      </c>
    </row>
    <row r="402" customFormat="false" ht="17.15" hidden="false" customHeight="false" outlineLevel="0" collapsed="false">
      <c r="A402" s="0" t="s">
        <v>6408</v>
      </c>
      <c r="B402" s="0" t="s">
        <v>1868</v>
      </c>
      <c r="C402" s="0" t="s">
        <v>6409</v>
      </c>
      <c r="D402" s="0" t="s">
        <v>113</v>
      </c>
      <c r="E402" s="5" t="s">
        <v>77</v>
      </c>
      <c r="F402" s="0" t="s">
        <v>6410</v>
      </c>
      <c r="G402" s="0" t="s">
        <v>1953</v>
      </c>
      <c r="H402" s="0" t="s">
        <v>5566</v>
      </c>
      <c r="I402" s="0" t="s">
        <v>6411</v>
      </c>
      <c r="K402" s="0" t="s">
        <v>36</v>
      </c>
      <c r="L402" s="0" t="s">
        <v>6412</v>
      </c>
    </row>
    <row r="403" customFormat="false" ht="17.15" hidden="false" customHeight="false" outlineLevel="0" collapsed="false">
      <c r="A403" s="0" t="s">
        <v>6413</v>
      </c>
      <c r="B403" s="0" t="s">
        <v>1868</v>
      </c>
      <c r="C403" s="0" t="s">
        <v>6414</v>
      </c>
      <c r="D403" s="0" t="s">
        <v>113</v>
      </c>
      <c r="E403" s="5" t="s">
        <v>77</v>
      </c>
      <c r="F403" s="0" t="s">
        <v>6415</v>
      </c>
      <c r="G403" s="0" t="s">
        <v>1899</v>
      </c>
      <c r="H403" s="0" t="s">
        <v>5566</v>
      </c>
      <c r="I403" s="5" t="s">
        <v>6416</v>
      </c>
      <c r="K403" s="0" t="s">
        <v>36</v>
      </c>
      <c r="L403" s="0" t="s">
        <v>6417</v>
      </c>
    </row>
    <row r="404" customFormat="false" ht="17.15" hidden="false" customHeight="false" outlineLevel="0" collapsed="false">
      <c r="A404" s="0" t="s">
        <v>6418</v>
      </c>
      <c r="B404" s="0" t="s">
        <v>1868</v>
      </c>
      <c r="C404" s="0" t="s">
        <v>6419</v>
      </c>
      <c r="D404" s="0" t="s">
        <v>113</v>
      </c>
      <c r="E404" s="5" t="s">
        <v>77</v>
      </c>
      <c r="F404" s="0" t="s">
        <v>6420</v>
      </c>
      <c r="G404" s="0" t="s">
        <v>1899</v>
      </c>
      <c r="H404" s="0" t="s">
        <v>5566</v>
      </c>
      <c r="I404" s="0" t="s">
        <v>6421</v>
      </c>
      <c r="K404" s="0" t="s">
        <v>36</v>
      </c>
      <c r="L404" s="0" t="s">
        <v>6417</v>
      </c>
    </row>
    <row r="405" customFormat="false" ht="17.15" hidden="false" customHeight="false" outlineLevel="0" collapsed="false">
      <c r="A405" s="0" t="s">
        <v>6422</v>
      </c>
      <c r="B405" s="0" t="s">
        <v>6423</v>
      </c>
      <c r="C405" s="0" t="s">
        <v>6424</v>
      </c>
      <c r="D405" s="0" t="s">
        <v>6425</v>
      </c>
      <c r="E405" s="5" t="s">
        <v>77</v>
      </c>
      <c r="F405" s="0" t="s">
        <v>6426</v>
      </c>
      <c r="G405" s="0" t="s">
        <v>1953</v>
      </c>
      <c r="H405" s="0" t="s">
        <v>5598</v>
      </c>
      <c r="I405" s="0" t="s">
        <v>6427</v>
      </c>
      <c r="K405" s="0" t="s">
        <v>36</v>
      </c>
      <c r="L405" s="0" t="s">
        <v>6428</v>
      </c>
    </row>
    <row r="406" customFormat="false" ht="17.15" hidden="false" customHeight="false" outlineLevel="0" collapsed="false">
      <c r="A406" s="0" t="s">
        <v>6429</v>
      </c>
      <c r="B406" s="0" t="s">
        <v>6430</v>
      </c>
      <c r="C406" s="0" t="s">
        <v>6431</v>
      </c>
      <c r="D406" s="0" t="s">
        <v>6432</v>
      </c>
      <c r="E406" s="5" t="s">
        <v>77</v>
      </c>
      <c r="F406" s="0" t="s">
        <v>6433</v>
      </c>
      <c r="G406" s="0" t="s">
        <v>1953</v>
      </c>
      <c r="H406" s="0" t="s">
        <v>5566</v>
      </c>
      <c r="I406" s="0" t="s">
        <v>6434</v>
      </c>
      <c r="K406" s="0" t="s">
        <v>36</v>
      </c>
      <c r="L406" s="0" t="s">
        <v>6435</v>
      </c>
    </row>
    <row r="407" customFormat="false" ht="17.15" hidden="false" customHeight="false" outlineLevel="0" collapsed="false">
      <c r="A407" s="0" t="s">
        <v>6436</v>
      </c>
      <c r="B407" s="0" t="s">
        <v>6430</v>
      </c>
      <c r="C407" s="0" t="s">
        <v>6437</v>
      </c>
      <c r="D407" s="0" t="s">
        <v>6438</v>
      </c>
      <c r="E407" s="5" t="s">
        <v>77</v>
      </c>
      <c r="F407" s="0" t="s">
        <v>5619</v>
      </c>
      <c r="G407" s="0" t="s">
        <v>1953</v>
      </c>
      <c r="H407" s="0" t="s">
        <v>5609</v>
      </c>
      <c r="I407" s="5" t="s">
        <v>5610</v>
      </c>
      <c r="K407" s="0" t="s">
        <v>36</v>
      </c>
      <c r="L407" s="0" t="s">
        <v>6439</v>
      </c>
    </row>
    <row r="408" customFormat="false" ht="17.15" hidden="false" customHeight="false" outlineLevel="0" collapsed="false">
      <c r="A408" s="0" t="s">
        <v>6440</v>
      </c>
      <c r="B408" s="0" t="s">
        <v>1868</v>
      </c>
      <c r="C408" s="0" t="s">
        <v>6441</v>
      </c>
      <c r="D408" s="0" t="s">
        <v>6442</v>
      </c>
      <c r="E408" s="5" t="s">
        <v>77</v>
      </c>
      <c r="F408" s="0" t="s">
        <v>5393</v>
      </c>
      <c r="G408" s="0" t="s">
        <v>1899</v>
      </c>
      <c r="H408" s="0" t="s">
        <v>5566</v>
      </c>
      <c r="I408" s="0" t="s">
        <v>6443</v>
      </c>
      <c r="K408" s="0" t="s">
        <v>36</v>
      </c>
      <c r="L408" s="0" t="s">
        <v>6444</v>
      </c>
    </row>
    <row r="409" customFormat="false" ht="17.15" hidden="false" customHeight="false" outlineLevel="0" collapsed="false">
      <c r="A409" s="0" t="s">
        <v>6445</v>
      </c>
      <c r="B409" s="0" t="s">
        <v>1868</v>
      </c>
      <c r="C409" s="0" t="s">
        <v>6446</v>
      </c>
      <c r="D409" s="0" t="s">
        <v>113</v>
      </c>
      <c r="E409" s="5" t="s">
        <v>77</v>
      </c>
      <c r="F409" s="0" t="s">
        <v>5393</v>
      </c>
      <c r="G409" s="0" t="s">
        <v>1899</v>
      </c>
      <c r="H409" s="0" t="s">
        <v>5566</v>
      </c>
      <c r="I409" s="5" t="s">
        <v>6447</v>
      </c>
      <c r="K409" s="0" t="s">
        <v>36</v>
      </c>
      <c r="L409" s="0" t="s">
        <v>6444</v>
      </c>
    </row>
    <row r="410" customFormat="false" ht="17.15" hidden="false" customHeight="false" outlineLevel="0" collapsed="false">
      <c r="A410" s="0" t="s">
        <v>6448</v>
      </c>
      <c r="B410" s="0" t="s">
        <v>1868</v>
      </c>
      <c r="C410" s="0" t="s">
        <v>6449</v>
      </c>
      <c r="D410" s="0" t="s">
        <v>6450</v>
      </c>
      <c r="E410" s="0" t="s">
        <v>112</v>
      </c>
      <c r="F410" s="0" t="s">
        <v>2540</v>
      </c>
      <c r="G410" s="0" t="s">
        <v>1899</v>
      </c>
      <c r="H410" s="0" t="s">
        <v>5598</v>
      </c>
      <c r="I410" s="0" t="s">
        <v>6451</v>
      </c>
      <c r="K410" s="0" t="s">
        <v>36</v>
      </c>
      <c r="L410" s="0" t="s">
        <v>6452</v>
      </c>
    </row>
    <row r="411" customFormat="false" ht="17.15" hidden="false" customHeight="false" outlineLevel="0" collapsed="false">
      <c r="A411" s="0" t="s">
        <v>6453</v>
      </c>
      <c r="B411" s="0" t="s">
        <v>1868</v>
      </c>
      <c r="C411" s="0" t="s">
        <v>6454</v>
      </c>
      <c r="D411" s="0" t="s">
        <v>6455</v>
      </c>
      <c r="E411" s="5" t="s">
        <v>77</v>
      </c>
      <c r="F411" s="0" t="s">
        <v>6456</v>
      </c>
      <c r="G411" s="0" t="s">
        <v>1899</v>
      </c>
      <c r="H411" s="0" t="s">
        <v>5598</v>
      </c>
      <c r="I411" s="0" t="s">
        <v>6457</v>
      </c>
      <c r="K411" s="0" t="s">
        <v>36</v>
      </c>
      <c r="L411" s="0" t="s">
        <v>6458</v>
      </c>
    </row>
    <row r="412" customFormat="false" ht="17.15" hidden="false" customHeight="false" outlineLevel="0" collapsed="false">
      <c r="A412" s="0" t="s">
        <v>6459</v>
      </c>
      <c r="B412" s="0" t="s">
        <v>1868</v>
      </c>
      <c r="C412" s="0" t="s">
        <v>6460</v>
      </c>
      <c r="D412" s="0" t="s">
        <v>6461</v>
      </c>
      <c r="E412" s="5" t="s">
        <v>77</v>
      </c>
      <c r="G412" s="0" t="s">
        <v>1899</v>
      </c>
      <c r="H412" s="0" t="s">
        <v>5631</v>
      </c>
      <c r="I412" s="5" t="s">
        <v>6462</v>
      </c>
      <c r="K412" s="0" t="s">
        <v>36</v>
      </c>
      <c r="L412" s="0" t="s">
        <v>6463</v>
      </c>
    </row>
    <row r="413" customFormat="false" ht="17.15" hidden="false" customHeight="false" outlineLevel="0" collapsed="false">
      <c r="A413" s="0" t="s">
        <v>6464</v>
      </c>
      <c r="B413" s="0" t="s">
        <v>1868</v>
      </c>
      <c r="C413" s="0" t="s">
        <v>6465</v>
      </c>
      <c r="D413" s="0" t="s">
        <v>113</v>
      </c>
      <c r="E413" s="5" t="s">
        <v>77</v>
      </c>
      <c r="F413" s="0" t="s">
        <v>6466</v>
      </c>
      <c r="G413" s="0" t="s">
        <v>1953</v>
      </c>
      <c r="H413" s="0" t="s">
        <v>5566</v>
      </c>
      <c r="I413" s="0" t="s">
        <v>6467</v>
      </c>
      <c r="K413" s="0" t="s">
        <v>36</v>
      </c>
      <c r="L413" s="0" t="s">
        <v>6468</v>
      </c>
    </row>
    <row r="414" customFormat="false" ht="17.15" hidden="false" customHeight="false" outlineLevel="0" collapsed="false">
      <c r="A414" s="0" t="s">
        <v>6469</v>
      </c>
      <c r="B414" s="0" t="s">
        <v>1868</v>
      </c>
      <c r="C414" s="0" t="s">
        <v>6470</v>
      </c>
      <c r="D414" s="0" t="s">
        <v>113</v>
      </c>
      <c r="E414" s="5" t="s">
        <v>77</v>
      </c>
      <c r="F414" s="0" t="s">
        <v>6471</v>
      </c>
      <c r="G414" s="0" t="s">
        <v>1953</v>
      </c>
      <c r="H414" s="0" t="s">
        <v>5598</v>
      </c>
      <c r="I414" s="5" t="s">
        <v>6472</v>
      </c>
      <c r="K414" s="0" t="s">
        <v>36</v>
      </c>
      <c r="L414" s="0" t="s">
        <v>6473</v>
      </c>
    </row>
    <row r="415" customFormat="false" ht="17.15" hidden="false" customHeight="false" outlineLevel="0" collapsed="false">
      <c r="A415" s="0" t="s">
        <v>6474</v>
      </c>
      <c r="B415" s="0" t="s">
        <v>1868</v>
      </c>
      <c r="C415" s="0" t="s">
        <v>6475</v>
      </c>
      <c r="D415" s="0" t="s">
        <v>113</v>
      </c>
      <c r="E415" s="5" t="s">
        <v>77</v>
      </c>
      <c r="F415" s="0" t="s">
        <v>6476</v>
      </c>
      <c r="G415" s="0" t="s">
        <v>1899</v>
      </c>
      <c r="H415" s="0" t="s">
        <v>5598</v>
      </c>
      <c r="I415" s="5" t="s">
        <v>6477</v>
      </c>
      <c r="K415" s="0" t="s">
        <v>36</v>
      </c>
      <c r="L415" s="0" t="s">
        <v>6478</v>
      </c>
    </row>
    <row r="416" customFormat="false" ht="17.15" hidden="false" customHeight="false" outlineLevel="0" collapsed="false">
      <c r="A416" s="0" t="s">
        <v>6479</v>
      </c>
      <c r="B416" s="0" t="s">
        <v>1868</v>
      </c>
      <c r="C416" s="0" t="s">
        <v>6480</v>
      </c>
      <c r="D416" s="0" t="s">
        <v>113</v>
      </c>
      <c r="E416" s="5" t="s">
        <v>77</v>
      </c>
      <c r="F416" s="0" t="s">
        <v>5565</v>
      </c>
      <c r="G416" s="0" t="s">
        <v>1899</v>
      </c>
      <c r="H416" s="0" t="s">
        <v>5631</v>
      </c>
      <c r="I416" s="0" t="s">
        <v>6481</v>
      </c>
      <c r="K416" s="0" t="s">
        <v>36</v>
      </c>
      <c r="L416" s="0" t="s">
        <v>6482</v>
      </c>
    </row>
    <row r="417" customFormat="false" ht="17.15" hidden="false" customHeight="false" outlineLevel="0" collapsed="false">
      <c r="A417" s="0" t="s">
        <v>6483</v>
      </c>
      <c r="B417" s="0" t="s">
        <v>1868</v>
      </c>
      <c r="C417" s="0" t="s">
        <v>6484</v>
      </c>
      <c r="D417" s="0" t="s">
        <v>113</v>
      </c>
      <c r="E417" s="5" t="s">
        <v>77</v>
      </c>
      <c r="F417" s="0" t="s">
        <v>6471</v>
      </c>
      <c r="G417" s="0" t="s">
        <v>1953</v>
      </c>
      <c r="H417" s="0" t="s">
        <v>5598</v>
      </c>
      <c r="I417" s="5" t="s">
        <v>6485</v>
      </c>
      <c r="K417" s="0" t="s">
        <v>36</v>
      </c>
      <c r="L417" s="0" t="s">
        <v>6473</v>
      </c>
    </row>
    <row r="418" customFormat="false" ht="17.15" hidden="false" customHeight="false" outlineLevel="0" collapsed="false">
      <c r="A418" s="0" t="s">
        <v>6486</v>
      </c>
      <c r="B418" s="0" t="s">
        <v>6487</v>
      </c>
      <c r="C418" s="0" t="s">
        <v>6488</v>
      </c>
      <c r="D418" s="0" t="s">
        <v>6489</v>
      </c>
      <c r="E418" s="5" t="s">
        <v>77</v>
      </c>
      <c r="G418" s="0" t="s">
        <v>1953</v>
      </c>
      <c r="H418" s="0" t="s">
        <v>5566</v>
      </c>
      <c r="I418" s="0" t="s">
        <v>6490</v>
      </c>
      <c r="K418" s="0" t="s">
        <v>36</v>
      </c>
      <c r="L418" s="0" t="s">
        <v>6491</v>
      </c>
    </row>
    <row r="419" customFormat="false" ht="17.15" hidden="false" customHeight="false" outlineLevel="0" collapsed="false">
      <c r="A419" s="0" t="s">
        <v>6492</v>
      </c>
      <c r="B419" s="0" t="s">
        <v>6487</v>
      </c>
      <c r="C419" s="0" t="s">
        <v>6493</v>
      </c>
      <c r="D419" s="0" t="s">
        <v>6494</v>
      </c>
      <c r="E419" s="5" t="s">
        <v>77</v>
      </c>
      <c r="F419" s="0" t="s">
        <v>2277</v>
      </c>
      <c r="G419" s="0" t="s">
        <v>1899</v>
      </c>
      <c r="H419" s="0" t="s">
        <v>5609</v>
      </c>
      <c r="I419" s="5" t="s">
        <v>5610</v>
      </c>
      <c r="K419" s="0" t="s">
        <v>36</v>
      </c>
      <c r="L419" s="0" t="s">
        <v>6495</v>
      </c>
    </row>
    <row r="420" customFormat="false" ht="17.15" hidden="false" customHeight="false" outlineLevel="0" collapsed="false">
      <c r="A420" s="0" t="s">
        <v>6496</v>
      </c>
      <c r="B420" s="0" t="s">
        <v>6487</v>
      </c>
      <c r="C420" s="0" t="s">
        <v>6497</v>
      </c>
      <c r="D420" s="0" t="s">
        <v>6498</v>
      </c>
      <c r="E420" s="5" t="s">
        <v>77</v>
      </c>
      <c r="F420" s="0" t="s">
        <v>2277</v>
      </c>
      <c r="G420" s="0" t="s">
        <v>1899</v>
      </c>
      <c r="H420" s="0" t="s">
        <v>5609</v>
      </c>
      <c r="I420" s="5" t="s">
        <v>5610</v>
      </c>
      <c r="K420" s="0" t="s">
        <v>36</v>
      </c>
      <c r="L420" s="0" t="s">
        <v>6495</v>
      </c>
    </row>
    <row r="421" customFormat="false" ht="17.15" hidden="false" customHeight="false" outlineLevel="0" collapsed="false">
      <c r="A421" s="0" t="s">
        <v>6499</v>
      </c>
      <c r="B421" s="0" t="s">
        <v>6487</v>
      </c>
      <c r="C421" s="0" t="s">
        <v>6500</v>
      </c>
      <c r="D421" s="0" t="s">
        <v>4883</v>
      </c>
      <c r="E421" s="5" t="s">
        <v>77</v>
      </c>
      <c r="G421" s="0" t="s">
        <v>1953</v>
      </c>
      <c r="H421" s="0" t="s">
        <v>5609</v>
      </c>
      <c r="I421" s="5" t="s">
        <v>5610</v>
      </c>
      <c r="K421" s="0" t="s">
        <v>36</v>
      </c>
      <c r="L421" s="0" t="s">
        <v>6501</v>
      </c>
    </row>
    <row r="422" customFormat="false" ht="17.15" hidden="false" customHeight="false" outlineLevel="0" collapsed="false">
      <c r="A422" s="0" t="s">
        <v>6502</v>
      </c>
      <c r="B422" s="0" t="s">
        <v>6487</v>
      </c>
      <c r="C422" s="0" t="s">
        <v>6503</v>
      </c>
      <c r="D422" s="0" t="s">
        <v>113</v>
      </c>
      <c r="E422" s="5" t="s">
        <v>77</v>
      </c>
      <c r="G422" s="0" t="s">
        <v>1899</v>
      </c>
      <c r="H422" s="0" t="s">
        <v>5566</v>
      </c>
      <c r="I422" s="0" t="s">
        <v>6504</v>
      </c>
      <c r="K422" s="0" t="s">
        <v>36</v>
      </c>
      <c r="L422" s="0" t="s">
        <v>6505</v>
      </c>
    </row>
    <row r="423" customFormat="false" ht="17.15" hidden="false" customHeight="false" outlineLevel="0" collapsed="false">
      <c r="A423" s="0" t="s">
        <v>6506</v>
      </c>
      <c r="B423" s="0" t="s">
        <v>6507</v>
      </c>
      <c r="C423" s="0" t="s">
        <v>6508</v>
      </c>
      <c r="D423" s="0" t="s">
        <v>113</v>
      </c>
      <c r="E423" s="5" t="s">
        <v>77</v>
      </c>
      <c r="F423" s="0" t="s">
        <v>6509</v>
      </c>
      <c r="G423" s="0" t="s">
        <v>1899</v>
      </c>
      <c r="H423" s="0" t="s">
        <v>5609</v>
      </c>
      <c r="I423" s="5" t="s">
        <v>5819</v>
      </c>
      <c r="K423" s="0" t="s">
        <v>36</v>
      </c>
      <c r="L423" s="0" t="s">
        <v>6510</v>
      </c>
    </row>
    <row r="424" customFormat="false" ht="17.15" hidden="false" customHeight="false" outlineLevel="0" collapsed="false">
      <c r="A424" s="0" t="s">
        <v>6511</v>
      </c>
      <c r="B424" s="0" t="s">
        <v>6507</v>
      </c>
      <c r="C424" s="0" t="s">
        <v>6512</v>
      </c>
      <c r="D424" s="0" t="s">
        <v>113</v>
      </c>
      <c r="E424" s="5" t="s">
        <v>77</v>
      </c>
      <c r="F424" s="0" t="s">
        <v>1809</v>
      </c>
      <c r="G424" s="0" t="s">
        <v>1899</v>
      </c>
      <c r="H424" s="0" t="s">
        <v>5631</v>
      </c>
      <c r="I424" s="0" t="s">
        <v>6513</v>
      </c>
      <c r="K424" s="0" t="s">
        <v>36</v>
      </c>
      <c r="L424" s="0" t="s">
        <v>6514</v>
      </c>
    </row>
    <row r="425" customFormat="false" ht="17.15" hidden="false" customHeight="false" outlineLevel="0" collapsed="false">
      <c r="A425" s="0" t="s">
        <v>6515</v>
      </c>
      <c r="B425" s="0" t="s">
        <v>6507</v>
      </c>
      <c r="C425" s="0" t="s">
        <v>6516</v>
      </c>
      <c r="D425" s="0" t="s">
        <v>113</v>
      </c>
      <c r="E425" s="5" t="s">
        <v>77</v>
      </c>
      <c r="F425" s="0" t="s">
        <v>1809</v>
      </c>
      <c r="G425" s="0" t="s">
        <v>1899</v>
      </c>
      <c r="H425" s="0" t="s">
        <v>5566</v>
      </c>
      <c r="I425" s="0" t="s">
        <v>6517</v>
      </c>
      <c r="K425" s="0" t="s">
        <v>36</v>
      </c>
      <c r="L425" s="0" t="s">
        <v>6514</v>
      </c>
    </row>
    <row r="426" customFormat="false" ht="17.15" hidden="false" customHeight="false" outlineLevel="0" collapsed="false">
      <c r="A426" s="0" t="s">
        <v>6518</v>
      </c>
      <c r="B426" s="0" t="s">
        <v>6507</v>
      </c>
      <c r="C426" s="0" t="s">
        <v>6519</v>
      </c>
      <c r="D426" s="0" t="s">
        <v>5608</v>
      </c>
      <c r="E426" s="5" t="s">
        <v>77</v>
      </c>
      <c r="F426" s="0" t="s">
        <v>2435</v>
      </c>
      <c r="G426" s="0" t="s">
        <v>1899</v>
      </c>
      <c r="H426" s="0" t="s">
        <v>5609</v>
      </c>
      <c r="I426" s="5" t="s">
        <v>5819</v>
      </c>
      <c r="K426" s="0" t="s">
        <v>36</v>
      </c>
      <c r="L426" s="0" t="s">
        <v>6520</v>
      </c>
    </row>
    <row r="427" customFormat="false" ht="17.15" hidden="false" customHeight="false" outlineLevel="0" collapsed="false">
      <c r="A427" s="0" t="s">
        <v>6521</v>
      </c>
      <c r="B427" s="0" t="s">
        <v>6507</v>
      </c>
      <c r="C427" s="0" t="s">
        <v>6522</v>
      </c>
      <c r="D427" s="0" t="s">
        <v>6523</v>
      </c>
      <c r="E427" s="5" t="s">
        <v>77</v>
      </c>
      <c r="F427" s="0" t="s">
        <v>6524</v>
      </c>
      <c r="G427" s="0" t="s">
        <v>1899</v>
      </c>
      <c r="H427" s="0" t="s">
        <v>5566</v>
      </c>
      <c r="I427" s="0" t="s">
        <v>6525</v>
      </c>
      <c r="K427" s="0" t="s">
        <v>36</v>
      </c>
      <c r="L427" s="0" t="s">
        <v>6526</v>
      </c>
    </row>
    <row r="428" customFormat="false" ht="17.15" hidden="false" customHeight="false" outlineLevel="0" collapsed="false">
      <c r="A428" s="0" t="s">
        <v>6527</v>
      </c>
      <c r="B428" s="0" t="s">
        <v>5735</v>
      </c>
      <c r="C428" s="0" t="s">
        <v>6528</v>
      </c>
      <c r="D428" s="0" t="s">
        <v>4568</v>
      </c>
      <c r="E428" s="5" t="s">
        <v>77</v>
      </c>
      <c r="G428" s="0" t="s">
        <v>1953</v>
      </c>
      <c r="H428" s="0" t="s">
        <v>5609</v>
      </c>
      <c r="I428" s="5" t="s">
        <v>5610</v>
      </c>
      <c r="K428" s="0" t="s">
        <v>36</v>
      </c>
      <c r="L428" s="0" t="s">
        <v>6529</v>
      </c>
    </row>
    <row r="429" customFormat="false" ht="17.15" hidden="false" customHeight="false" outlineLevel="0" collapsed="false">
      <c r="A429" s="0" t="s">
        <v>6530</v>
      </c>
      <c r="B429" s="0" t="s">
        <v>5735</v>
      </c>
      <c r="C429" s="0" t="s">
        <v>6531</v>
      </c>
      <c r="D429" s="0" t="s">
        <v>113</v>
      </c>
      <c r="E429" s="5" t="s">
        <v>77</v>
      </c>
      <c r="F429" s="0" t="s">
        <v>4756</v>
      </c>
      <c r="G429" s="0" t="s">
        <v>1953</v>
      </c>
      <c r="H429" s="0" t="s">
        <v>5566</v>
      </c>
      <c r="I429" s="0" t="s">
        <v>6532</v>
      </c>
      <c r="K429" s="0" t="s">
        <v>36</v>
      </c>
      <c r="L429" s="0" t="s">
        <v>6533</v>
      </c>
    </row>
    <row r="430" customFormat="false" ht="17.15" hidden="false" customHeight="false" outlineLevel="0" collapsed="false">
      <c r="A430" s="0" t="s">
        <v>6534</v>
      </c>
      <c r="B430" s="0" t="s">
        <v>6535</v>
      </c>
      <c r="C430" s="0" t="s">
        <v>6536</v>
      </c>
      <c r="D430" s="0" t="s">
        <v>113</v>
      </c>
      <c r="E430" s="5" t="s">
        <v>77</v>
      </c>
      <c r="F430" s="0" t="s">
        <v>6537</v>
      </c>
      <c r="G430" s="0" t="s">
        <v>1953</v>
      </c>
      <c r="H430" s="0" t="s">
        <v>5631</v>
      </c>
      <c r="I430" s="0" t="s">
        <v>6538</v>
      </c>
      <c r="K430" s="0" t="s">
        <v>36</v>
      </c>
      <c r="L430" s="0" t="s">
        <v>6539</v>
      </c>
    </row>
    <row r="431" customFormat="false" ht="17.15" hidden="false" customHeight="false" outlineLevel="0" collapsed="false">
      <c r="A431" s="0" t="s">
        <v>6540</v>
      </c>
      <c r="B431" s="0" t="s">
        <v>6541</v>
      </c>
      <c r="C431" s="0" t="s">
        <v>6542</v>
      </c>
      <c r="D431" s="0" t="s">
        <v>113</v>
      </c>
      <c r="E431" s="5" t="s">
        <v>77</v>
      </c>
      <c r="F431" s="0" t="s">
        <v>139</v>
      </c>
      <c r="G431" s="0" t="s">
        <v>142</v>
      </c>
      <c r="H431" s="0" t="s">
        <v>5566</v>
      </c>
      <c r="I431" s="5" t="s">
        <v>6543</v>
      </c>
      <c r="K431" s="0" t="s">
        <v>36</v>
      </c>
      <c r="L431" s="0" t="s">
        <v>6544</v>
      </c>
    </row>
    <row r="432" customFormat="false" ht="17.15" hidden="false" customHeight="false" outlineLevel="0" collapsed="false">
      <c r="A432" s="0" t="s">
        <v>6545</v>
      </c>
      <c r="B432" s="0" t="s">
        <v>6541</v>
      </c>
      <c r="C432" s="0" t="s">
        <v>6546</v>
      </c>
      <c r="D432" s="0" t="s">
        <v>113</v>
      </c>
      <c r="E432" s="5" t="s">
        <v>77</v>
      </c>
      <c r="F432" s="0" t="s">
        <v>5433</v>
      </c>
      <c r="G432" s="0" t="s">
        <v>119</v>
      </c>
      <c r="H432" s="0" t="s">
        <v>5566</v>
      </c>
      <c r="I432" s="5" t="s">
        <v>6547</v>
      </c>
      <c r="K432" s="0" t="s">
        <v>36</v>
      </c>
      <c r="L432" s="0" t="s">
        <v>6548</v>
      </c>
    </row>
    <row r="433" customFormat="false" ht="17.15" hidden="false" customHeight="false" outlineLevel="0" collapsed="false">
      <c r="A433" s="0" t="s">
        <v>6549</v>
      </c>
      <c r="B433" s="0" t="s">
        <v>6550</v>
      </c>
      <c r="C433" s="0" t="s">
        <v>6551</v>
      </c>
      <c r="D433" s="0" t="s">
        <v>5572</v>
      </c>
      <c r="E433" s="5" t="s">
        <v>77</v>
      </c>
      <c r="F433" s="0" t="s">
        <v>6552</v>
      </c>
      <c r="G433" s="0" t="s">
        <v>142</v>
      </c>
      <c r="H433" s="0" t="s">
        <v>5598</v>
      </c>
      <c r="I433" s="0" t="s">
        <v>6553</v>
      </c>
      <c r="K433" s="0" t="s">
        <v>36</v>
      </c>
      <c r="L433" s="0" t="s">
        <v>6554</v>
      </c>
    </row>
    <row r="434" customFormat="false" ht="17.15" hidden="false" customHeight="false" outlineLevel="0" collapsed="false">
      <c r="A434" s="0" t="s">
        <v>6555</v>
      </c>
      <c r="B434" s="0" t="s">
        <v>6550</v>
      </c>
      <c r="C434" s="0" t="s">
        <v>6556</v>
      </c>
      <c r="D434" s="0" t="s">
        <v>6557</v>
      </c>
      <c r="E434" s="5" t="s">
        <v>77</v>
      </c>
      <c r="F434" s="0" t="s">
        <v>2016</v>
      </c>
      <c r="G434" s="0" t="s">
        <v>119</v>
      </c>
      <c r="H434" s="0" t="s">
        <v>5631</v>
      </c>
      <c r="I434" s="0" t="s">
        <v>6558</v>
      </c>
      <c r="K434" s="0" t="s">
        <v>36</v>
      </c>
      <c r="L434" s="0" t="s">
        <v>6559</v>
      </c>
    </row>
    <row r="435" customFormat="false" ht="17.15" hidden="false" customHeight="false" outlineLevel="0" collapsed="false">
      <c r="A435" s="0" t="s">
        <v>6560</v>
      </c>
      <c r="B435" s="0" t="s">
        <v>6561</v>
      </c>
      <c r="C435" s="0" t="s">
        <v>6562</v>
      </c>
      <c r="D435" s="0" t="s">
        <v>4911</v>
      </c>
      <c r="E435" s="5" t="s">
        <v>77</v>
      </c>
      <c r="F435" s="0" t="s">
        <v>120</v>
      </c>
      <c r="G435" s="0" t="s">
        <v>1899</v>
      </c>
      <c r="H435" s="0" t="s">
        <v>5609</v>
      </c>
      <c r="I435" s="5" t="s">
        <v>5610</v>
      </c>
      <c r="K435" s="0" t="s">
        <v>36</v>
      </c>
      <c r="L435" s="0" t="s">
        <v>6563</v>
      </c>
    </row>
    <row r="436" customFormat="false" ht="17.15" hidden="false" customHeight="false" outlineLevel="0" collapsed="false">
      <c r="A436" s="0" t="s">
        <v>6564</v>
      </c>
      <c r="B436" s="0" t="s">
        <v>6561</v>
      </c>
      <c r="C436" s="0" t="s">
        <v>6565</v>
      </c>
      <c r="D436" s="0" t="s">
        <v>113</v>
      </c>
      <c r="E436" s="5" t="s">
        <v>77</v>
      </c>
      <c r="F436" s="0" t="s">
        <v>4374</v>
      </c>
      <c r="G436" s="0" t="s">
        <v>1953</v>
      </c>
      <c r="H436" s="0" t="s">
        <v>5566</v>
      </c>
      <c r="I436" s="0" t="s">
        <v>6566</v>
      </c>
      <c r="K436" s="0" t="s">
        <v>36</v>
      </c>
      <c r="L436" s="0" t="s">
        <v>6567</v>
      </c>
    </row>
    <row r="437" customFormat="false" ht="17.15" hidden="false" customHeight="false" outlineLevel="0" collapsed="false">
      <c r="A437" s="0" t="s">
        <v>6568</v>
      </c>
      <c r="B437" s="0" t="s">
        <v>6561</v>
      </c>
      <c r="C437" s="0" t="s">
        <v>6569</v>
      </c>
      <c r="D437" s="0" t="s">
        <v>113</v>
      </c>
      <c r="E437" s="5" t="s">
        <v>77</v>
      </c>
      <c r="F437" s="0" t="s">
        <v>6426</v>
      </c>
      <c r="G437" s="0" t="s">
        <v>1899</v>
      </c>
      <c r="H437" s="0" t="s">
        <v>5598</v>
      </c>
      <c r="I437" s="5" t="s">
        <v>6570</v>
      </c>
      <c r="K437" s="0" t="s">
        <v>36</v>
      </c>
      <c r="L437" s="0" t="s">
        <v>6571</v>
      </c>
    </row>
    <row r="438" customFormat="false" ht="17.15" hidden="false" customHeight="false" outlineLevel="0" collapsed="false">
      <c r="A438" s="0" t="s">
        <v>6572</v>
      </c>
      <c r="B438" s="0" t="s">
        <v>1715</v>
      </c>
      <c r="C438" s="0" t="s">
        <v>6573</v>
      </c>
      <c r="D438" s="0" t="s">
        <v>4810</v>
      </c>
      <c r="E438" s="5" t="s">
        <v>77</v>
      </c>
      <c r="F438" s="0" t="s">
        <v>5043</v>
      </c>
      <c r="G438" s="0" t="s">
        <v>1953</v>
      </c>
      <c r="H438" s="0" t="s">
        <v>5566</v>
      </c>
      <c r="I438" s="5" t="s">
        <v>6574</v>
      </c>
      <c r="K438" s="0" t="s">
        <v>36</v>
      </c>
      <c r="L438" s="0" t="s">
        <v>6575</v>
      </c>
    </row>
    <row r="439" customFormat="false" ht="17.15" hidden="false" customHeight="false" outlineLevel="0" collapsed="false">
      <c r="A439" s="0" t="s">
        <v>6576</v>
      </c>
      <c r="B439" s="0" t="s">
        <v>6577</v>
      </c>
      <c r="C439" s="0" t="s">
        <v>6578</v>
      </c>
      <c r="D439" s="0" t="s">
        <v>6579</v>
      </c>
      <c r="E439" s="5" t="s">
        <v>77</v>
      </c>
      <c r="F439" s="0" t="s">
        <v>5649</v>
      </c>
      <c r="G439" s="0" t="s">
        <v>1953</v>
      </c>
      <c r="H439" s="0" t="s">
        <v>5566</v>
      </c>
      <c r="I439" s="0" t="s">
        <v>6580</v>
      </c>
      <c r="K439" s="0" t="s">
        <v>36</v>
      </c>
      <c r="L439" s="0" t="s">
        <v>6581</v>
      </c>
    </row>
    <row r="440" customFormat="false" ht="17.15" hidden="false" customHeight="false" outlineLevel="0" collapsed="false">
      <c r="A440" s="0" t="s">
        <v>6582</v>
      </c>
      <c r="B440" s="0" t="s">
        <v>6583</v>
      </c>
      <c r="C440" s="0" t="s">
        <v>6584</v>
      </c>
      <c r="D440" s="0" t="s">
        <v>4810</v>
      </c>
      <c r="E440" s="5" t="s">
        <v>77</v>
      </c>
      <c r="F440" s="0" t="s">
        <v>4963</v>
      </c>
      <c r="G440" s="0" t="s">
        <v>1953</v>
      </c>
      <c r="H440" s="0" t="s">
        <v>5614</v>
      </c>
      <c r="I440" s="0" t="s">
        <v>6585</v>
      </c>
      <c r="K440" s="0" t="s">
        <v>36</v>
      </c>
      <c r="L440" s="0" t="s">
        <v>6586</v>
      </c>
    </row>
    <row r="441" customFormat="false" ht="17.15" hidden="false" customHeight="false" outlineLevel="0" collapsed="false">
      <c r="A441" s="0" t="s">
        <v>6587</v>
      </c>
      <c r="B441" s="0" t="s">
        <v>6583</v>
      </c>
      <c r="C441" s="0" t="s">
        <v>6588</v>
      </c>
      <c r="D441" s="0" t="s">
        <v>4971</v>
      </c>
      <c r="E441" s="5" t="s">
        <v>168</v>
      </c>
      <c r="F441" s="0" t="s">
        <v>2176</v>
      </c>
      <c r="G441" s="0" t="s">
        <v>1953</v>
      </c>
      <c r="H441" s="0" t="s">
        <v>5566</v>
      </c>
      <c r="I441" s="0" t="s">
        <v>6589</v>
      </c>
      <c r="K441" s="0" t="s">
        <v>36</v>
      </c>
      <c r="L441" s="0" t="s">
        <v>6590</v>
      </c>
    </row>
    <row r="442" customFormat="false" ht="17.15" hidden="false" customHeight="false" outlineLevel="0" collapsed="false">
      <c r="A442" s="0" t="s">
        <v>6591</v>
      </c>
      <c r="B442" s="0" t="s">
        <v>6583</v>
      </c>
      <c r="C442" s="0" t="s">
        <v>6592</v>
      </c>
      <c r="D442" s="0" t="s">
        <v>5690</v>
      </c>
      <c r="E442" s="5" t="s">
        <v>77</v>
      </c>
      <c r="F442" s="0" t="s">
        <v>6593</v>
      </c>
      <c r="G442" s="0" t="s">
        <v>1953</v>
      </c>
      <c r="H442" s="0" t="s">
        <v>5566</v>
      </c>
      <c r="I442" s="0" t="s">
        <v>6594</v>
      </c>
      <c r="K442" s="0" t="s">
        <v>36</v>
      </c>
      <c r="L442" s="0" t="s">
        <v>6595</v>
      </c>
    </row>
    <row r="443" customFormat="false" ht="17.15" hidden="false" customHeight="false" outlineLevel="0" collapsed="false">
      <c r="A443" s="0" t="s">
        <v>6596</v>
      </c>
      <c r="B443" s="0" t="s">
        <v>6597</v>
      </c>
      <c r="C443" s="0" t="s">
        <v>6598</v>
      </c>
      <c r="D443" s="0" t="s">
        <v>113</v>
      </c>
      <c r="E443" s="5" t="s">
        <v>77</v>
      </c>
      <c r="F443" s="0" t="s">
        <v>2545</v>
      </c>
      <c r="G443" s="0" t="s">
        <v>1899</v>
      </c>
      <c r="H443" s="0" t="s">
        <v>5566</v>
      </c>
      <c r="I443" s="5" t="s">
        <v>6599</v>
      </c>
      <c r="K443" s="0" t="s">
        <v>36</v>
      </c>
      <c r="L443" s="0" t="s">
        <v>6600</v>
      </c>
    </row>
    <row r="444" customFormat="false" ht="17.15" hidden="false" customHeight="false" outlineLevel="0" collapsed="false">
      <c r="A444" s="0" t="s">
        <v>6601</v>
      </c>
      <c r="B444" s="0" t="s">
        <v>2532</v>
      </c>
      <c r="C444" s="0" t="s">
        <v>6602</v>
      </c>
      <c r="D444" s="0" t="s">
        <v>5608</v>
      </c>
      <c r="E444" s="5" t="s">
        <v>77</v>
      </c>
      <c r="F444" s="0" t="s">
        <v>2165</v>
      </c>
      <c r="G444" s="0" t="s">
        <v>1953</v>
      </c>
      <c r="H444" s="0" t="s">
        <v>5598</v>
      </c>
      <c r="I444" s="0" t="s">
        <v>6603</v>
      </c>
      <c r="K444" s="0" t="s">
        <v>36</v>
      </c>
      <c r="L444" s="0" t="s">
        <v>6604</v>
      </c>
    </row>
    <row r="445" customFormat="false" ht="17.15" hidden="false" customHeight="false" outlineLevel="0" collapsed="false">
      <c r="A445" s="0" t="s">
        <v>6605</v>
      </c>
      <c r="B445" s="0" t="s">
        <v>5906</v>
      </c>
      <c r="C445" s="0" t="s">
        <v>6606</v>
      </c>
      <c r="D445" s="0" t="s">
        <v>4883</v>
      </c>
      <c r="E445" s="5" t="s">
        <v>77</v>
      </c>
      <c r="F445" s="0" t="s">
        <v>5136</v>
      </c>
      <c r="G445" s="0" t="s">
        <v>1953</v>
      </c>
      <c r="H445" s="0" t="s">
        <v>5598</v>
      </c>
      <c r="I445" s="0" t="s">
        <v>6607</v>
      </c>
      <c r="K445" s="0" t="s">
        <v>36</v>
      </c>
      <c r="L445" s="0" t="s">
        <v>6608</v>
      </c>
    </row>
    <row r="446" customFormat="false" ht="17.15" hidden="false" customHeight="false" outlineLevel="0" collapsed="false">
      <c r="A446" s="0" t="s">
        <v>6609</v>
      </c>
      <c r="B446" s="0" t="s">
        <v>5906</v>
      </c>
      <c r="C446" s="0" t="s">
        <v>6610</v>
      </c>
      <c r="D446" s="0" t="s">
        <v>6611</v>
      </c>
      <c r="E446" s="5" t="s">
        <v>77</v>
      </c>
      <c r="F446" s="0" t="s">
        <v>4756</v>
      </c>
      <c r="G446" s="0" t="s">
        <v>1899</v>
      </c>
      <c r="H446" s="0" t="s">
        <v>5609</v>
      </c>
      <c r="I446" s="5" t="s">
        <v>5610</v>
      </c>
      <c r="K446" s="0" t="s">
        <v>36</v>
      </c>
      <c r="L446" s="0" t="s">
        <v>6612</v>
      </c>
    </row>
    <row r="447" customFormat="false" ht="17.15" hidden="false" customHeight="false" outlineLevel="0" collapsed="false">
      <c r="A447" s="0" t="s">
        <v>6613</v>
      </c>
      <c r="B447" s="0" t="s">
        <v>5906</v>
      </c>
      <c r="C447" s="0" t="s">
        <v>6614</v>
      </c>
      <c r="D447" s="0" t="s">
        <v>4883</v>
      </c>
      <c r="E447" s="5" t="s">
        <v>77</v>
      </c>
      <c r="F447" s="0" t="s">
        <v>5136</v>
      </c>
      <c r="G447" s="0" t="s">
        <v>1953</v>
      </c>
      <c r="H447" s="0" t="s">
        <v>5566</v>
      </c>
      <c r="I447" s="0" t="s">
        <v>6615</v>
      </c>
      <c r="K447" s="0" t="s">
        <v>36</v>
      </c>
      <c r="L447" s="0" t="s">
        <v>6608</v>
      </c>
    </row>
    <row r="448" customFormat="false" ht="17.15" hidden="false" customHeight="false" outlineLevel="0" collapsed="false">
      <c r="A448" s="0" t="s">
        <v>6616</v>
      </c>
      <c r="B448" s="0" t="s">
        <v>5906</v>
      </c>
      <c r="C448" s="0" t="s">
        <v>6617</v>
      </c>
      <c r="D448" s="0" t="s">
        <v>6618</v>
      </c>
      <c r="E448" s="5" t="s">
        <v>77</v>
      </c>
      <c r="F448" s="0" t="s">
        <v>4756</v>
      </c>
      <c r="G448" s="0" t="s">
        <v>1953</v>
      </c>
      <c r="H448" s="0" t="s">
        <v>5609</v>
      </c>
      <c r="I448" s="5" t="s">
        <v>5610</v>
      </c>
      <c r="K448" s="0" t="s">
        <v>36</v>
      </c>
      <c r="L448" s="0" t="s">
        <v>6612</v>
      </c>
    </row>
    <row r="449" customFormat="false" ht="17.15" hidden="false" customHeight="false" outlineLevel="0" collapsed="false">
      <c r="A449" s="0" t="s">
        <v>6619</v>
      </c>
      <c r="B449" s="0" t="s">
        <v>5906</v>
      </c>
      <c r="C449" s="0" t="s">
        <v>6620</v>
      </c>
      <c r="D449" s="0" t="s">
        <v>5608</v>
      </c>
      <c r="E449" s="5" t="s">
        <v>77</v>
      </c>
      <c r="F449" s="0" t="s">
        <v>5136</v>
      </c>
      <c r="G449" s="0" t="s">
        <v>1953</v>
      </c>
      <c r="H449" s="0" t="s">
        <v>5566</v>
      </c>
      <c r="I449" s="0" t="s">
        <v>6621</v>
      </c>
      <c r="K449" s="0" t="s">
        <v>36</v>
      </c>
      <c r="L449" s="0" t="s">
        <v>6608</v>
      </c>
    </row>
    <row r="450" customFormat="false" ht="17.15" hidden="false" customHeight="false" outlineLevel="0" collapsed="false">
      <c r="A450" s="0" t="s">
        <v>6622</v>
      </c>
      <c r="B450" s="0" t="s">
        <v>6623</v>
      </c>
      <c r="C450" s="0" t="s">
        <v>6624</v>
      </c>
      <c r="D450" s="0" t="s">
        <v>5572</v>
      </c>
      <c r="E450" s="5" t="s">
        <v>77</v>
      </c>
      <c r="F450" s="0" t="s">
        <v>6509</v>
      </c>
      <c r="G450" s="0" t="s">
        <v>1953</v>
      </c>
      <c r="H450" s="0" t="s">
        <v>5566</v>
      </c>
      <c r="I450" s="0" t="s">
        <v>6625</v>
      </c>
      <c r="K450" s="0" t="s">
        <v>36</v>
      </c>
      <c r="L450" s="0" t="s">
        <v>6626</v>
      </c>
    </row>
    <row r="451" customFormat="false" ht="17.15" hidden="false" customHeight="false" outlineLevel="0" collapsed="false">
      <c r="A451" s="0" t="s">
        <v>6627</v>
      </c>
      <c r="B451" s="0" t="s">
        <v>6623</v>
      </c>
      <c r="C451" s="0" t="s">
        <v>6628</v>
      </c>
      <c r="D451" s="0" t="s">
        <v>4823</v>
      </c>
      <c r="E451" s="5" t="s">
        <v>77</v>
      </c>
      <c r="F451" s="0" t="s">
        <v>6509</v>
      </c>
      <c r="G451" s="0" t="s">
        <v>1953</v>
      </c>
      <c r="H451" s="0" t="s">
        <v>5566</v>
      </c>
      <c r="I451" s="0" t="s">
        <v>6629</v>
      </c>
      <c r="K451" s="0" t="s">
        <v>36</v>
      </c>
      <c r="L451" s="0" t="s">
        <v>6626</v>
      </c>
    </row>
    <row r="452" customFormat="false" ht="17.15" hidden="false" customHeight="false" outlineLevel="0" collapsed="false">
      <c r="A452" s="0" t="s">
        <v>6630</v>
      </c>
      <c r="B452" s="0" t="s">
        <v>6631</v>
      </c>
      <c r="C452" s="0" t="s">
        <v>6632</v>
      </c>
      <c r="D452" s="0" t="s">
        <v>6633</v>
      </c>
      <c r="E452" s="5" t="s">
        <v>77</v>
      </c>
      <c r="F452" s="0" t="s">
        <v>6278</v>
      </c>
      <c r="G452" s="0" t="s">
        <v>1953</v>
      </c>
      <c r="H452" s="0" t="s">
        <v>5598</v>
      </c>
      <c r="I452" s="0" t="s">
        <v>6634</v>
      </c>
      <c r="K452" s="0" t="s">
        <v>36</v>
      </c>
      <c r="L452" s="0" t="s">
        <v>6635</v>
      </c>
    </row>
    <row r="453" customFormat="false" ht="17.15" hidden="false" customHeight="false" outlineLevel="0" collapsed="false">
      <c r="A453" s="0" t="s">
        <v>6636</v>
      </c>
      <c r="B453" s="0" t="s">
        <v>6631</v>
      </c>
      <c r="C453" s="0" t="s">
        <v>6637</v>
      </c>
      <c r="D453" s="0" t="s">
        <v>5785</v>
      </c>
      <c r="E453" s="5" t="s">
        <v>77</v>
      </c>
      <c r="F453" s="0" t="s">
        <v>2046</v>
      </c>
      <c r="G453" s="0" t="s">
        <v>1953</v>
      </c>
      <c r="H453" s="0" t="s">
        <v>5566</v>
      </c>
      <c r="I453" s="0" t="s">
        <v>6638</v>
      </c>
      <c r="K453" s="0" t="s">
        <v>36</v>
      </c>
      <c r="L453" s="0" t="s">
        <v>6639</v>
      </c>
    </row>
    <row r="454" customFormat="false" ht="17.15" hidden="false" customHeight="false" outlineLevel="0" collapsed="false">
      <c r="A454" s="0" t="s">
        <v>6640</v>
      </c>
      <c r="B454" s="0" t="s">
        <v>6641</v>
      </c>
      <c r="C454" s="0" t="s">
        <v>6642</v>
      </c>
      <c r="D454" s="0" t="s">
        <v>6643</v>
      </c>
      <c r="E454" s="5" t="s">
        <v>77</v>
      </c>
      <c r="F454" s="0" t="s">
        <v>6644</v>
      </c>
      <c r="G454" s="0" t="s">
        <v>1953</v>
      </c>
      <c r="H454" s="0" t="s">
        <v>5609</v>
      </c>
      <c r="I454" s="5" t="s">
        <v>5868</v>
      </c>
      <c r="K454" s="0" t="s">
        <v>36</v>
      </c>
      <c r="L454" s="0" t="s">
        <v>6645</v>
      </c>
    </row>
    <row r="455" customFormat="false" ht="17.15" hidden="false" customHeight="false" outlineLevel="0" collapsed="false">
      <c r="A455" s="0" t="s">
        <v>6646</v>
      </c>
      <c r="B455" s="0" t="s">
        <v>6647</v>
      </c>
      <c r="C455" s="0" t="s">
        <v>6648</v>
      </c>
      <c r="D455" s="0" t="s">
        <v>113</v>
      </c>
      <c r="E455" s="5" t="s">
        <v>77</v>
      </c>
      <c r="F455" s="0" t="s">
        <v>5619</v>
      </c>
      <c r="G455" s="0" t="s">
        <v>1953</v>
      </c>
      <c r="H455" s="0" t="s">
        <v>5631</v>
      </c>
      <c r="I455" s="5" t="s">
        <v>6649</v>
      </c>
      <c r="K455" s="0" t="s">
        <v>36</v>
      </c>
      <c r="L455" s="0" t="s">
        <v>6650</v>
      </c>
    </row>
    <row r="456" customFormat="false" ht="17.15" hidden="false" customHeight="false" outlineLevel="0" collapsed="false">
      <c r="A456" s="0" t="s">
        <v>6651</v>
      </c>
      <c r="B456" s="0" t="s">
        <v>6652</v>
      </c>
      <c r="C456" s="0" t="s">
        <v>6653</v>
      </c>
      <c r="D456" s="0" t="s">
        <v>6073</v>
      </c>
      <c r="E456" s="0" t="s">
        <v>112</v>
      </c>
      <c r="F456" s="0" t="s">
        <v>4865</v>
      </c>
      <c r="G456" s="0" t="s">
        <v>1953</v>
      </c>
      <c r="H456" s="0" t="s">
        <v>5609</v>
      </c>
      <c r="I456" s="5" t="s">
        <v>5610</v>
      </c>
      <c r="K456" s="0" t="s">
        <v>36</v>
      </c>
      <c r="L456" s="0" t="s">
        <v>6654</v>
      </c>
    </row>
    <row r="457" customFormat="false" ht="17.15" hidden="false" customHeight="false" outlineLevel="0" collapsed="false">
      <c r="A457" s="0" t="s">
        <v>6655</v>
      </c>
      <c r="B457" s="0" t="s">
        <v>6656</v>
      </c>
      <c r="C457" s="0" t="s">
        <v>6657</v>
      </c>
      <c r="D457" s="0" t="s">
        <v>6658</v>
      </c>
      <c r="E457" s="5" t="s">
        <v>168</v>
      </c>
      <c r="F457" s="0" t="s">
        <v>4682</v>
      </c>
      <c r="G457" s="0" t="s">
        <v>1953</v>
      </c>
      <c r="H457" s="0" t="s">
        <v>5598</v>
      </c>
      <c r="I457" s="5" t="s">
        <v>6659</v>
      </c>
      <c r="K457" s="0" t="s">
        <v>36</v>
      </c>
      <c r="L457" s="0" t="s">
        <v>6660</v>
      </c>
    </row>
    <row r="458" customFormat="false" ht="17.15" hidden="false" customHeight="false" outlineLevel="0" collapsed="false">
      <c r="A458" s="0" t="s">
        <v>6661</v>
      </c>
      <c r="B458" s="0" t="s">
        <v>5751</v>
      </c>
      <c r="C458" s="0" t="s">
        <v>6662</v>
      </c>
      <c r="D458" s="0" t="s">
        <v>6073</v>
      </c>
      <c r="E458" s="0" t="s">
        <v>112</v>
      </c>
      <c r="F458" s="0" t="s">
        <v>4705</v>
      </c>
      <c r="G458" s="0" t="s">
        <v>1953</v>
      </c>
      <c r="H458" s="0" t="s">
        <v>5609</v>
      </c>
      <c r="I458" s="5" t="s">
        <v>5610</v>
      </c>
      <c r="J458" s="0" t="s">
        <v>720</v>
      </c>
      <c r="K458" s="5" t="s">
        <v>1895</v>
      </c>
      <c r="L458" s="0" t="s">
        <v>6663</v>
      </c>
    </row>
    <row r="459" customFormat="false" ht="17.15" hidden="false" customHeight="false" outlineLevel="0" collapsed="false">
      <c r="A459" s="0" t="s">
        <v>6664</v>
      </c>
      <c r="B459" s="0" t="s">
        <v>5751</v>
      </c>
      <c r="C459" s="0" t="s">
        <v>6665</v>
      </c>
      <c r="D459" s="0" t="s">
        <v>6666</v>
      </c>
      <c r="E459" s="0" t="s">
        <v>112</v>
      </c>
      <c r="F459" s="0" t="s">
        <v>6644</v>
      </c>
      <c r="G459" s="0" t="s">
        <v>1953</v>
      </c>
      <c r="H459" s="0" t="s">
        <v>5609</v>
      </c>
      <c r="I459" s="5" t="s">
        <v>5610</v>
      </c>
      <c r="K459" s="0" t="s">
        <v>36</v>
      </c>
      <c r="L459" s="0" t="s">
        <v>6667</v>
      </c>
    </row>
    <row r="460" customFormat="false" ht="17.15" hidden="false" customHeight="false" outlineLevel="0" collapsed="false">
      <c r="A460" s="0" t="s">
        <v>6668</v>
      </c>
      <c r="B460" s="0" t="s">
        <v>5751</v>
      </c>
      <c r="C460" s="0" t="s">
        <v>6669</v>
      </c>
      <c r="D460" s="0" t="s">
        <v>4883</v>
      </c>
      <c r="E460" s="5" t="s">
        <v>77</v>
      </c>
      <c r="F460" s="0" t="s">
        <v>6670</v>
      </c>
      <c r="G460" s="0" t="s">
        <v>1953</v>
      </c>
      <c r="H460" s="0" t="s">
        <v>5566</v>
      </c>
      <c r="I460" s="0" t="s">
        <v>6671</v>
      </c>
      <c r="K460" s="0" t="s">
        <v>36</v>
      </c>
      <c r="L460" s="0" t="s">
        <v>6672</v>
      </c>
    </row>
    <row r="461" customFormat="false" ht="17.15" hidden="false" customHeight="false" outlineLevel="0" collapsed="false">
      <c r="A461" s="0" t="s">
        <v>6673</v>
      </c>
      <c r="B461" s="0" t="s">
        <v>5883</v>
      </c>
      <c r="C461" s="0" t="s">
        <v>6674</v>
      </c>
      <c r="D461" s="0" t="s">
        <v>6675</v>
      </c>
      <c r="E461" s="5" t="s">
        <v>77</v>
      </c>
      <c r="F461" s="0" t="s">
        <v>6676</v>
      </c>
      <c r="G461" s="0" t="s">
        <v>1953</v>
      </c>
      <c r="H461" s="0" t="s">
        <v>5566</v>
      </c>
      <c r="I461" s="0" t="s">
        <v>6677</v>
      </c>
      <c r="J461" s="0" t="s">
        <v>723</v>
      </c>
      <c r="K461" s="5" t="s">
        <v>1895</v>
      </c>
      <c r="L461" s="0" t="s">
        <v>6678</v>
      </c>
    </row>
    <row r="462" customFormat="false" ht="17.15" hidden="false" customHeight="false" outlineLevel="0" collapsed="false">
      <c r="A462" s="0" t="s">
        <v>6679</v>
      </c>
      <c r="B462" s="0" t="s">
        <v>5883</v>
      </c>
      <c r="C462" s="0" t="s">
        <v>6680</v>
      </c>
      <c r="D462" s="0" t="s">
        <v>5903</v>
      </c>
      <c r="E462" s="0" t="s">
        <v>112</v>
      </c>
      <c r="F462" s="0" t="s">
        <v>6681</v>
      </c>
      <c r="G462" s="0" t="s">
        <v>1899</v>
      </c>
      <c r="H462" s="0" t="s">
        <v>5609</v>
      </c>
      <c r="I462" s="5" t="s">
        <v>5610</v>
      </c>
      <c r="K462" s="0" t="s">
        <v>36</v>
      </c>
      <c r="L462" s="0" t="s">
        <v>6682</v>
      </c>
    </row>
    <row r="463" customFormat="false" ht="17.15" hidden="false" customHeight="false" outlineLevel="0" collapsed="false">
      <c r="A463" s="0" t="s">
        <v>6683</v>
      </c>
      <c r="B463" s="0" t="s">
        <v>5883</v>
      </c>
      <c r="C463" s="0" t="s">
        <v>6684</v>
      </c>
      <c r="D463" s="0" t="s">
        <v>5903</v>
      </c>
      <c r="E463" s="0" t="s">
        <v>112</v>
      </c>
      <c r="F463" s="0" t="s">
        <v>6681</v>
      </c>
      <c r="G463" s="0" t="s">
        <v>1899</v>
      </c>
      <c r="H463" s="0" t="s">
        <v>5609</v>
      </c>
      <c r="I463" s="5" t="s">
        <v>5610</v>
      </c>
      <c r="K463" s="0" t="s">
        <v>36</v>
      </c>
      <c r="L463" s="0" t="s">
        <v>6682</v>
      </c>
    </row>
    <row r="464" customFormat="false" ht="17.15" hidden="false" customHeight="false" outlineLevel="0" collapsed="false">
      <c r="A464" s="0" t="s">
        <v>6685</v>
      </c>
      <c r="B464" s="0" t="s">
        <v>5883</v>
      </c>
      <c r="C464" s="0" t="s">
        <v>6686</v>
      </c>
      <c r="D464" s="0" t="s">
        <v>5129</v>
      </c>
      <c r="E464" s="0" t="s">
        <v>112</v>
      </c>
      <c r="F464" s="0" t="s">
        <v>6681</v>
      </c>
      <c r="G464" s="0" t="s">
        <v>1899</v>
      </c>
      <c r="H464" s="0" t="s">
        <v>5614</v>
      </c>
      <c r="I464" s="0" t="s">
        <v>6687</v>
      </c>
      <c r="K464" s="0" t="s">
        <v>36</v>
      </c>
      <c r="L464" s="0" t="s">
        <v>6688</v>
      </c>
    </row>
    <row r="465" customFormat="false" ht="17.15" hidden="false" customHeight="false" outlineLevel="0" collapsed="false">
      <c r="A465" s="0" t="s">
        <v>6689</v>
      </c>
      <c r="B465" s="0" t="s">
        <v>6690</v>
      </c>
      <c r="C465" s="0" t="s">
        <v>6691</v>
      </c>
      <c r="D465" s="0" t="s">
        <v>6692</v>
      </c>
      <c r="E465" s="5" t="s">
        <v>77</v>
      </c>
      <c r="F465" s="0" t="s">
        <v>6693</v>
      </c>
      <c r="G465" s="0" t="s">
        <v>1953</v>
      </c>
      <c r="H465" s="0" t="s">
        <v>5566</v>
      </c>
      <c r="I465" s="0" t="s">
        <v>6694</v>
      </c>
      <c r="K465" s="0" t="s">
        <v>36</v>
      </c>
      <c r="L465" s="0" t="s">
        <v>6695</v>
      </c>
    </row>
    <row r="466" customFormat="false" ht="17.15" hidden="false" customHeight="false" outlineLevel="0" collapsed="false">
      <c r="A466" s="0" t="s">
        <v>6696</v>
      </c>
      <c r="B466" s="0" t="s">
        <v>6697</v>
      </c>
      <c r="C466" s="0" t="s">
        <v>6698</v>
      </c>
      <c r="D466" s="0" t="s">
        <v>6432</v>
      </c>
      <c r="E466" s="5" t="s">
        <v>77</v>
      </c>
      <c r="F466" s="0" t="s">
        <v>2104</v>
      </c>
      <c r="G466" s="0" t="s">
        <v>1899</v>
      </c>
      <c r="H466" s="0" t="s">
        <v>5598</v>
      </c>
      <c r="I466" s="0" t="s">
        <v>6699</v>
      </c>
      <c r="K466" s="0" t="s">
        <v>36</v>
      </c>
      <c r="L466" s="0" t="s">
        <v>6700</v>
      </c>
    </row>
    <row r="467" customFormat="false" ht="17.15" hidden="false" customHeight="false" outlineLevel="0" collapsed="false">
      <c r="A467" s="0" t="s">
        <v>6701</v>
      </c>
      <c r="B467" s="0" t="s">
        <v>6697</v>
      </c>
      <c r="C467" s="0" t="s">
        <v>6702</v>
      </c>
      <c r="D467" s="0" t="s">
        <v>6215</v>
      </c>
      <c r="E467" s="5" t="s">
        <v>77</v>
      </c>
      <c r="F467" s="0" t="s">
        <v>6703</v>
      </c>
      <c r="G467" s="0" t="s">
        <v>1953</v>
      </c>
      <c r="H467" s="0" t="s">
        <v>5631</v>
      </c>
      <c r="I467" s="0" t="s">
        <v>6704</v>
      </c>
      <c r="K467" s="0" t="s">
        <v>36</v>
      </c>
      <c r="L467" s="0" t="s">
        <v>6705</v>
      </c>
    </row>
    <row r="468" customFormat="false" ht="17.15" hidden="false" customHeight="false" outlineLevel="0" collapsed="false">
      <c r="A468" s="0" t="s">
        <v>6706</v>
      </c>
      <c r="B468" s="0" t="s">
        <v>6707</v>
      </c>
      <c r="C468" s="0" t="s">
        <v>6708</v>
      </c>
      <c r="D468" s="0" t="s">
        <v>113</v>
      </c>
      <c r="E468" s="5" t="s">
        <v>77</v>
      </c>
      <c r="F468" s="0" t="s">
        <v>6324</v>
      </c>
      <c r="G468" s="0" t="s">
        <v>1953</v>
      </c>
      <c r="H468" s="0" t="s">
        <v>5631</v>
      </c>
      <c r="I468" s="5" t="s">
        <v>6709</v>
      </c>
      <c r="K468" s="0" t="s">
        <v>36</v>
      </c>
      <c r="L468" s="0" t="s">
        <v>6710</v>
      </c>
    </row>
    <row r="469" customFormat="false" ht="17.15" hidden="false" customHeight="false" outlineLevel="0" collapsed="false">
      <c r="A469" s="0" t="s">
        <v>6711</v>
      </c>
      <c r="B469" s="0" t="s">
        <v>2544</v>
      </c>
      <c r="C469" s="0" t="s">
        <v>6712</v>
      </c>
      <c r="D469" s="0" t="s">
        <v>6221</v>
      </c>
      <c r="E469" s="5" t="s">
        <v>77</v>
      </c>
      <c r="F469" s="0" t="s">
        <v>6713</v>
      </c>
      <c r="G469" s="0" t="s">
        <v>1953</v>
      </c>
      <c r="H469" s="0" t="s">
        <v>5614</v>
      </c>
      <c r="I469" s="5" t="s">
        <v>6714</v>
      </c>
      <c r="K469" s="0" t="s">
        <v>36</v>
      </c>
      <c r="L469" s="0" t="s">
        <v>6715</v>
      </c>
    </row>
    <row r="470" customFormat="false" ht="17.15" hidden="false" customHeight="false" outlineLevel="0" collapsed="false">
      <c r="A470" s="0" t="s">
        <v>6716</v>
      </c>
      <c r="B470" s="0" t="s">
        <v>2544</v>
      </c>
      <c r="C470" s="0" t="s">
        <v>6717</v>
      </c>
      <c r="D470" s="0" t="s">
        <v>6718</v>
      </c>
      <c r="E470" s="5" t="s">
        <v>77</v>
      </c>
      <c r="F470" s="0" t="s">
        <v>5393</v>
      </c>
      <c r="G470" s="0" t="s">
        <v>1953</v>
      </c>
      <c r="H470" s="0" t="s">
        <v>5566</v>
      </c>
      <c r="I470" s="0" t="s">
        <v>6719</v>
      </c>
      <c r="J470" s="0" t="s">
        <v>726</v>
      </c>
      <c r="K470" s="5" t="s">
        <v>1895</v>
      </c>
      <c r="L470" s="0" t="s">
        <v>6720</v>
      </c>
    </row>
    <row r="471" customFormat="false" ht="17.15" hidden="false" customHeight="false" outlineLevel="0" collapsed="false">
      <c r="A471" s="0" t="s">
        <v>6721</v>
      </c>
      <c r="B471" s="0" t="s">
        <v>2544</v>
      </c>
      <c r="C471" s="0" t="s">
        <v>6722</v>
      </c>
      <c r="D471" s="0" t="s">
        <v>5195</v>
      </c>
      <c r="E471" s="5" t="s">
        <v>77</v>
      </c>
      <c r="F471" s="0" t="s">
        <v>6278</v>
      </c>
      <c r="G471" s="0" t="s">
        <v>1953</v>
      </c>
      <c r="H471" s="0" t="s">
        <v>5631</v>
      </c>
      <c r="I471" s="0" t="s">
        <v>6723</v>
      </c>
      <c r="K471" s="0" t="s">
        <v>36</v>
      </c>
      <c r="L471" s="0" t="s">
        <v>6724</v>
      </c>
    </row>
    <row r="472" customFormat="false" ht="17.15" hidden="false" customHeight="false" outlineLevel="0" collapsed="false">
      <c r="A472" s="0" t="s">
        <v>6725</v>
      </c>
      <c r="B472" s="0" t="s">
        <v>2544</v>
      </c>
      <c r="C472" s="0" t="s">
        <v>6726</v>
      </c>
      <c r="D472" s="0" t="s">
        <v>5195</v>
      </c>
      <c r="E472" s="5" t="s">
        <v>77</v>
      </c>
      <c r="F472" s="0" t="s">
        <v>5393</v>
      </c>
      <c r="G472" s="0" t="s">
        <v>1953</v>
      </c>
      <c r="H472" s="0" t="s">
        <v>5631</v>
      </c>
      <c r="I472" s="5" t="s">
        <v>6727</v>
      </c>
      <c r="K472" s="0" t="s">
        <v>36</v>
      </c>
      <c r="L472" s="0" t="s">
        <v>6728</v>
      </c>
    </row>
    <row r="473" customFormat="false" ht="17.15" hidden="false" customHeight="false" outlineLevel="0" collapsed="false">
      <c r="A473" s="0" t="s">
        <v>6729</v>
      </c>
      <c r="B473" s="0" t="s">
        <v>2557</v>
      </c>
      <c r="C473" s="0" t="s">
        <v>6730</v>
      </c>
      <c r="D473" s="0" t="s">
        <v>4810</v>
      </c>
      <c r="E473" s="5" t="s">
        <v>77</v>
      </c>
      <c r="F473" s="0" t="s">
        <v>6731</v>
      </c>
      <c r="G473" s="0" t="s">
        <v>1953</v>
      </c>
      <c r="H473" s="0" t="s">
        <v>5609</v>
      </c>
      <c r="I473" s="5" t="s">
        <v>5610</v>
      </c>
      <c r="K473" s="0" t="s">
        <v>36</v>
      </c>
      <c r="L473" s="0" t="s">
        <v>6732</v>
      </c>
    </row>
    <row r="474" customFormat="false" ht="17.15" hidden="false" customHeight="false" outlineLevel="0" collapsed="false">
      <c r="A474" s="0" t="s">
        <v>6733</v>
      </c>
      <c r="B474" s="0" t="s">
        <v>2557</v>
      </c>
      <c r="C474" s="0" t="s">
        <v>6734</v>
      </c>
      <c r="D474" s="0" t="s">
        <v>4823</v>
      </c>
      <c r="E474" s="5" t="s">
        <v>77</v>
      </c>
      <c r="F474" s="0" t="s">
        <v>6735</v>
      </c>
      <c r="G474" s="0" t="s">
        <v>1953</v>
      </c>
      <c r="H474" s="0" t="s">
        <v>5566</v>
      </c>
      <c r="I474" s="0" t="s">
        <v>6736</v>
      </c>
      <c r="K474" s="0" t="s">
        <v>36</v>
      </c>
      <c r="L474" s="0" t="s">
        <v>6737</v>
      </c>
    </row>
    <row r="475" customFormat="false" ht="17.15" hidden="false" customHeight="false" outlineLevel="0" collapsed="false">
      <c r="A475" s="0" t="s">
        <v>6738</v>
      </c>
      <c r="B475" s="0" t="s">
        <v>2557</v>
      </c>
      <c r="C475" s="0" t="s">
        <v>6739</v>
      </c>
      <c r="D475" s="0" t="s">
        <v>4883</v>
      </c>
      <c r="E475" s="5" t="s">
        <v>77</v>
      </c>
      <c r="F475" s="0" t="s">
        <v>6731</v>
      </c>
      <c r="G475" s="0" t="s">
        <v>1953</v>
      </c>
      <c r="H475" s="0" t="s">
        <v>5609</v>
      </c>
      <c r="I475" s="5" t="s">
        <v>5610</v>
      </c>
      <c r="K475" s="0" t="s">
        <v>36</v>
      </c>
      <c r="L475" s="0" t="s">
        <v>6732</v>
      </c>
    </row>
    <row r="476" customFormat="false" ht="17.15" hidden="false" customHeight="false" outlineLevel="0" collapsed="false">
      <c r="A476" s="0" t="s">
        <v>6740</v>
      </c>
      <c r="B476" s="0" t="s">
        <v>2557</v>
      </c>
      <c r="C476" s="0" t="s">
        <v>6741</v>
      </c>
      <c r="D476" s="0" t="s">
        <v>6442</v>
      </c>
      <c r="E476" s="5" t="s">
        <v>77</v>
      </c>
      <c r="F476" s="0" t="s">
        <v>6344</v>
      </c>
      <c r="G476" s="0" t="s">
        <v>1953</v>
      </c>
      <c r="H476" s="0" t="s">
        <v>5609</v>
      </c>
      <c r="I476" s="5" t="s">
        <v>5610</v>
      </c>
      <c r="K476" s="0" t="s">
        <v>36</v>
      </c>
      <c r="L476" s="0" t="s">
        <v>6742</v>
      </c>
    </row>
    <row r="477" customFormat="false" ht="17.15" hidden="false" customHeight="false" outlineLevel="0" collapsed="false">
      <c r="A477" s="0" t="s">
        <v>6743</v>
      </c>
      <c r="B477" s="0" t="s">
        <v>6744</v>
      </c>
      <c r="C477" s="0" t="s">
        <v>6745</v>
      </c>
      <c r="D477" s="0" t="s">
        <v>6746</v>
      </c>
      <c r="E477" s="5" t="s">
        <v>77</v>
      </c>
      <c r="F477" s="0" t="s">
        <v>6747</v>
      </c>
      <c r="G477" s="0" t="s">
        <v>1953</v>
      </c>
      <c r="H477" s="0" t="s">
        <v>5609</v>
      </c>
      <c r="I477" s="5" t="s">
        <v>5868</v>
      </c>
      <c r="K477" s="0" t="s">
        <v>36</v>
      </c>
      <c r="L477" s="0" t="s">
        <v>6748</v>
      </c>
    </row>
    <row r="478" customFormat="false" ht="17.15" hidden="false" customHeight="false" outlineLevel="0" collapsed="false">
      <c r="A478" s="0" t="s">
        <v>6749</v>
      </c>
      <c r="B478" s="0" t="s">
        <v>6744</v>
      </c>
      <c r="C478" s="0" t="s">
        <v>6750</v>
      </c>
      <c r="D478" s="0" t="s">
        <v>4810</v>
      </c>
      <c r="E478" s="5" t="s">
        <v>77</v>
      </c>
      <c r="F478" s="0" t="s">
        <v>6747</v>
      </c>
      <c r="G478" s="0" t="s">
        <v>1953</v>
      </c>
      <c r="H478" s="0" t="s">
        <v>5566</v>
      </c>
      <c r="I478" s="0" t="s">
        <v>6751</v>
      </c>
      <c r="K478" s="0" t="s">
        <v>36</v>
      </c>
      <c r="L478" s="0" t="s">
        <v>6752</v>
      </c>
    </row>
    <row r="479" customFormat="false" ht="17.15" hidden="false" customHeight="false" outlineLevel="0" collapsed="false">
      <c r="A479" s="0" t="s">
        <v>6753</v>
      </c>
      <c r="B479" s="0" t="s">
        <v>6754</v>
      </c>
      <c r="C479" s="0" t="s">
        <v>6755</v>
      </c>
      <c r="D479" s="0" t="s">
        <v>6756</v>
      </c>
      <c r="E479" s="5" t="s">
        <v>77</v>
      </c>
      <c r="F479" s="0" t="s">
        <v>5314</v>
      </c>
      <c r="G479" s="0" t="s">
        <v>1953</v>
      </c>
      <c r="H479" s="0" t="s">
        <v>5614</v>
      </c>
      <c r="I479" s="0" t="s">
        <v>6757</v>
      </c>
      <c r="K479" s="0" t="s">
        <v>36</v>
      </c>
      <c r="L479" s="0" t="s">
        <v>6758</v>
      </c>
    </row>
    <row r="480" customFormat="false" ht="17.15" hidden="false" customHeight="false" outlineLevel="0" collapsed="false">
      <c r="A480" s="0" t="s">
        <v>6759</v>
      </c>
      <c r="B480" s="0" t="s">
        <v>6754</v>
      </c>
      <c r="C480" s="0" t="s">
        <v>6760</v>
      </c>
      <c r="D480" s="0" t="s">
        <v>6761</v>
      </c>
      <c r="E480" s="5" t="s">
        <v>77</v>
      </c>
      <c r="F480" s="0" t="s">
        <v>5448</v>
      </c>
      <c r="G480" s="0" t="s">
        <v>1953</v>
      </c>
      <c r="H480" s="0" t="s">
        <v>5631</v>
      </c>
      <c r="I480" s="5" t="s">
        <v>6762</v>
      </c>
      <c r="K480" s="0" t="s">
        <v>36</v>
      </c>
      <c r="L480" s="0" t="s">
        <v>6763</v>
      </c>
    </row>
    <row r="481" customFormat="false" ht="17.15" hidden="false" customHeight="false" outlineLevel="0" collapsed="false">
      <c r="A481" s="0" t="s">
        <v>6764</v>
      </c>
      <c r="B481" s="0" t="s">
        <v>6754</v>
      </c>
      <c r="C481" s="0" t="s">
        <v>6765</v>
      </c>
      <c r="D481" s="0" t="s">
        <v>6761</v>
      </c>
      <c r="E481" s="5" t="s">
        <v>77</v>
      </c>
      <c r="F481" s="0" t="s">
        <v>5314</v>
      </c>
      <c r="G481" s="0" t="s">
        <v>1953</v>
      </c>
      <c r="H481" s="0" t="s">
        <v>5614</v>
      </c>
      <c r="I481" s="5" t="s">
        <v>6766</v>
      </c>
      <c r="K481" s="0" t="s">
        <v>36</v>
      </c>
      <c r="L481" s="0" t="s">
        <v>6758</v>
      </c>
    </row>
    <row r="482" customFormat="false" ht="17.15" hidden="false" customHeight="false" outlineLevel="0" collapsed="false">
      <c r="A482" s="0" t="s">
        <v>6767</v>
      </c>
      <c r="B482" s="0" t="s">
        <v>6768</v>
      </c>
      <c r="C482" s="0" t="s">
        <v>6769</v>
      </c>
      <c r="D482" s="0" t="s">
        <v>5889</v>
      </c>
      <c r="E482" s="0" t="s">
        <v>112</v>
      </c>
      <c r="F482" s="0" t="s">
        <v>6770</v>
      </c>
      <c r="G482" s="0" t="s">
        <v>1899</v>
      </c>
      <c r="H482" s="0" t="s">
        <v>5609</v>
      </c>
      <c r="I482" s="5" t="s">
        <v>5868</v>
      </c>
      <c r="K482" s="0" t="s">
        <v>36</v>
      </c>
      <c r="L482" s="0" t="s">
        <v>6771</v>
      </c>
    </row>
    <row r="483" customFormat="false" ht="17.15" hidden="false" customHeight="false" outlineLevel="0" collapsed="false">
      <c r="A483" s="0" t="s">
        <v>6772</v>
      </c>
      <c r="B483" s="0" t="s">
        <v>6768</v>
      </c>
      <c r="C483" s="0" t="s">
        <v>6773</v>
      </c>
      <c r="D483" s="0" t="s">
        <v>6774</v>
      </c>
      <c r="E483" s="0" t="s">
        <v>112</v>
      </c>
      <c r="F483" s="0" t="s">
        <v>2169</v>
      </c>
      <c r="G483" s="0" t="s">
        <v>4588</v>
      </c>
      <c r="H483" s="0" t="s">
        <v>5566</v>
      </c>
      <c r="I483" s="0" t="s">
        <v>6775</v>
      </c>
      <c r="J483" s="0" t="s">
        <v>742</v>
      </c>
      <c r="K483" s="5" t="s">
        <v>4631</v>
      </c>
      <c r="L483" s="0" t="s">
        <v>6776</v>
      </c>
    </row>
    <row r="484" customFormat="false" ht="17.15" hidden="false" customHeight="false" outlineLevel="0" collapsed="false">
      <c r="A484" s="0" t="s">
        <v>6777</v>
      </c>
      <c r="B484" s="0" t="s">
        <v>6778</v>
      </c>
      <c r="C484" s="0" t="s">
        <v>6779</v>
      </c>
      <c r="D484" s="0" t="s">
        <v>5608</v>
      </c>
      <c r="E484" s="5" t="s">
        <v>77</v>
      </c>
      <c r="F484" s="0" t="s">
        <v>139</v>
      </c>
      <c r="G484" s="0" t="s">
        <v>1953</v>
      </c>
      <c r="H484" s="0" t="s">
        <v>5566</v>
      </c>
      <c r="I484" s="0" t="s">
        <v>6780</v>
      </c>
      <c r="K484" s="0" t="s">
        <v>36</v>
      </c>
      <c r="L484" s="0" t="s">
        <v>6781</v>
      </c>
    </row>
    <row r="485" customFormat="false" ht="17.15" hidden="false" customHeight="false" outlineLevel="0" collapsed="false">
      <c r="A485" s="0" t="s">
        <v>6782</v>
      </c>
      <c r="B485" s="0" t="s">
        <v>6778</v>
      </c>
      <c r="C485" s="0" t="s">
        <v>6783</v>
      </c>
      <c r="D485" s="0" t="s">
        <v>4886</v>
      </c>
      <c r="E485" s="5" t="s">
        <v>77</v>
      </c>
      <c r="F485" s="0" t="s">
        <v>139</v>
      </c>
      <c r="G485" s="0" t="s">
        <v>1953</v>
      </c>
      <c r="H485" s="0" t="s">
        <v>5598</v>
      </c>
      <c r="I485" s="0" t="s">
        <v>6784</v>
      </c>
      <c r="K485" s="0" t="s">
        <v>36</v>
      </c>
      <c r="L485" s="0" t="s">
        <v>6781</v>
      </c>
    </row>
    <row r="486" customFormat="false" ht="17.15" hidden="false" customHeight="false" outlineLevel="0" collapsed="false">
      <c r="A486" s="0" t="s">
        <v>6785</v>
      </c>
      <c r="B486" s="0" t="s">
        <v>6778</v>
      </c>
      <c r="C486" s="0" t="s">
        <v>6786</v>
      </c>
      <c r="D486" s="0" t="s">
        <v>5889</v>
      </c>
      <c r="E486" s="5" t="s">
        <v>77</v>
      </c>
      <c r="F486" s="0" t="s">
        <v>139</v>
      </c>
      <c r="G486" s="0" t="s">
        <v>1953</v>
      </c>
      <c r="H486" s="0" t="s">
        <v>5631</v>
      </c>
      <c r="I486" s="0" t="s">
        <v>6787</v>
      </c>
      <c r="J486" s="0" t="s">
        <v>739</v>
      </c>
      <c r="K486" s="5" t="s">
        <v>4631</v>
      </c>
      <c r="L486" s="0" t="s">
        <v>6781</v>
      </c>
    </row>
    <row r="487" customFormat="false" ht="17.15" hidden="false" customHeight="false" outlineLevel="0" collapsed="false">
      <c r="A487" s="0" t="s">
        <v>6788</v>
      </c>
      <c r="B487" s="0" t="s">
        <v>6778</v>
      </c>
      <c r="C487" s="0" t="s">
        <v>6789</v>
      </c>
      <c r="D487" s="0" t="s">
        <v>4958</v>
      </c>
      <c r="E487" s="5" t="s">
        <v>77</v>
      </c>
      <c r="F487" s="0" t="s">
        <v>6790</v>
      </c>
      <c r="G487" s="0" t="s">
        <v>1953</v>
      </c>
      <c r="H487" s="0" t="s">
        <v>5566</v>
      </c>
      <c r="I487" s="0" t="s">
        <v>6791</v>
      </c>
      <c r="K487" s="0" t="s">
        <v>36</v>
      </c>
      <c r="L487" s="0" t="s">
        <v>6792</v>
      </c>
    </row>
    <row r="488" customFormat="false" ht="17.15" hidden="false" customHeight="false" outlineLevel="0" collapsed="false">
      <c r="A488" s="0" t="s">
        <v>6793</v>
      </c>
      <c r="B488" s="0" t="s">
        <v>6794</v>
      </c>
      <c r="C488" s="0" t="s">
        <v>6795</v>
      </c>
      <c r="D488" s="0" t="s">
        <v>113</v>
      </c>
      <c r="E488" s="5" t="s">
        <v>77</v>
      </c>
      <c r="F488" s="0" t="s">
        <v>6796</v>
      </c>
      <c r="G488" s="0" t="s">
        <v>1953</v>
      </c>
      <c r="H488" s="0" t="s">
        <v>5566</v>
      </c>
      <c r="I488" s="5" t="s">
        <v>6797</v>
      </c>
      <c r="K488" s="0" t="s">
        <v>36</v>
      </c>
      <c r="L488" s="0" t="s">
        <v>6798</v>
      </c>
    </row>
    <row r="489" customFormat="false" ht="17.15" hidden="false" customHeight="false" outlineLevel="0" collapsed="false">
      <c r="A489" s="0" t="s">
        <v>6799</v>
      </c>
      <c r="B489" s="0" t="s">
        <v>6800</v>
      </c>
      <c r="C489" s="0" t="s">
        <v>6801</v>
      </c>
      <c r="D489" s="0" t="s">
        <v>113</v>
      </c>
      <c r="E489" s="5" t="s">
        <v>77</v>
      </c>
      <c r="F489" s="0" t="s">
        <v>4560</v>
      </c>
      <c r="G489" s="0" t="s">
        <v>1953</v>
      </c>
      <c r="H489" s="0" t="s">
        <v>5614</v>
      </c>
      <c r="I489" s="5" t="s">
        <v>6802</v>
      </c>
      <c r="K489" s="0" t="s">
        <v>36</v>
      </c>
      <c r="L489" s="0" t="s">
        <v>6803</v>
      </c>
    </row>
    <row r="490" customFormat="false" ht="17.15" hidden="false" customHeight="false" outlineLevel="0" collapsed="false">
      <c r="A490" s="0" t="s">
        <v>6804</v>
      </c>
      <c r="B490" s="0" t="s">
        <v>6805</v>
      </c>
      <c r="C490" s="0" t="s">
        <v>6806</v>
      </c>
      <c r="D490" s="0" t="s">
        <v>5572</v>
      </c>
      <c r="E490" s="5" t="s">
        <v>77</v>
      </c>
      <c r="F490" s="0" t="s">
        <v>5818</v>
      </c>
      <c r="G490" s="0" t="s">
        <v>1953</v>
      </c>
      <c r="H490" s="0" t="s">
        <v>5598</v>
      </c>
      <c r="I490" s="5" t="s">
        <v>6807</v>
      </c>
      <c r="K490" s="0" t="s">
        <v>36</v>
      </c>
      <c r="L490" s="0" t="s">
        <v>6808</v>
      </c>
    </row>
    <row r="491" customFormat="false" ht="17.15" hidden="false" customHeight="false" outlineLevel="0" collapsed="false">
      <c r="A491" s="0" t="s">
        <v>6809</v>
      </c>
      <c r="B491" s="0" t="s">
        <v>6805</v>
      </c>
      <c r="C491" s="0" t="s">
        <v>6810</v>
      </c>
      <c r="D491" s="0" t="s">
        <v>4883</v>
      </c>
      <c r="E491" s="5" t="s">
        <v>77</v>
      </c>
      <c r="F491" s="0" t="s">
        <v>5818</v>
      </c>
      <c r="G491" s="0" t="s">
        <v>1953</v>
      </c>
      <c r="H491" s="0" t="s">
        <v>5598</v>
      </c>
      <c r="I491" s="0" t="s">
        <v>6811</v>
      </c>
      <c r="K491" s="0" t="s">
        <v>36</v>
      </c>
      <c r="L491" s="0" t="s">
        <v>6808</v>
      </c>
    </row>
    <row r="492" customFormat="false" ht="17.15" hidden="false" customHeight="false" outlineLevel="0" collapsed="false">
      <c r="A492" s="0" t="s">
        <v>6812</v>
      </c>
      <c r="B492" s="0" t="s">
        <v>6813</v>
      </c>
      <c r="C492" s="0" t="s">
        <v>6814</v>
      </c>
      <c r="D492" s="0" t="s">
        <v>5572</v>
      </c>
      <c r="E492" s="5" t="s">
        <v>77</v>
      </c>
      <c r="F492" s="0" t="s">
        <v>6815</v>
      </c>
      <c r="G492" s="0" t="s">
        <v>1953</v>
      </c>
      <c r="H492" s="0" t="s">
        <v>5609</v>
      </c>
      <c r="I492" s="5" t="s">
        <v>5868</v>
      </c>
      <c r="K492" s="0" t="s">
        <v>36</v>
      </c>
      <c r="L492" s="0" t="s">
        <v>6816</v>
      </c>
    </row>
    <row r="493" customFormat="false" ht="17.15" hidden="false" customHeight="false" outlineLevel="0" collapsed="false">
      <c r="A493" s="0" t="s">
        <v>6817</v>
      </c>
      <c r="B493" s="0" t="s">
        <v>6813</v>
      </c>
      <c r="C493" s="0" t="s">
        <v>6818</v>
      </c>
      <c r="D493" s="0" t="s">
        <v>113</v>
      </c>
      <c r="E493" s="5" t="s">
        <v>77</v>
      </c>
      <c r="F493" s="0" t="s">
        <v>6815</v>
      </c>
      <c r="G493" s="0" t="s">
        <v>1953</v>
      </c>
      <c r="H493" s="0" t="s">
        <v>5609</v>
      </c>
      <c r="I493" s="5" t="s">
        <v>5868</v>
      </c>
      <c r="K493" s="0" t="s">
        <v>36</v>
      </c>
      <c r="L493" s="0" t="s">
        <v>6816</v>
      </c>
    </row>
    <row r="494" customFormat="false" ht="17.15" hidden="false" customHeight="false" outlineLevel="0" collapsed="false">
      <c r="A494" s="0" t="s">
        <v>6819</v>
      </c>
      <c r="B494" s="0" t="s">
        <v>6820</v>
      </c>
      <c r="C494" s="0" t="s">
        <v>6821</v>
      </c>
      <c r="D494" s="0" t="s">
        <v>5572</v>
      </c>
      <c r="E494" s="5" t="s">
        <v>77</v>
      </c>
      <c r="F494" s="0" t="s">
        <v>6822</v>
      </c>
      <c r="G494" s="0" t="s">
        <v>1899</v>
      </c>
      <c r="H494" s="0" t="s">
        <v>5609</v>
      </c>
      <c r="I494" s="5" t="s">
        <v>5610</v>
      </c>
      <c r="K494" s="0" t="s">
        <v>36</v>
      </c>
      <c r="L494" s="0" t="s">
        <v>6823</v>
      </c>
    </row>
    <row r="495" customFormat="false" ht="17.15" hidden="false" customHeight="false" outlineLevel="0" collapsed="false">
      <c r="A495" s="0" t="s">
        <v>6824</v>
      </c>
      <c r="B495" s="0" t="s">
        <v>6825</v>
      </c>
      <c r="C495" s="0" t="s">
        <v>6826</v>
      </c>
      <c r="D495" s="0" t="s">
        <v>5572</v>
      </c>
      <c r="E495" s="5" t="s">
        <v>77</v>
      </c>
      <c r="F495" s="0" t="s">
        <v>2222</v>
      </c>
      <c r="G495" s="0" t="s">
        <v>1953</v>
      </c>
      <c r="H495" s="0" t="s">
        <v>5566</v>
      </c>
      <c r="I495" s="0" t="s">
        <v>6827</v>
      </c>
      <c r="K495" s="0" t="s">
        <v>36</v>
      </c>
      <c r="L495" s="0" t="s">
        <v>6828</v>
      </c>
    </row>
    <row r="496" customFormat="false" ht="17.15" hidden="false" customHeight="false" outlineLevel="0" collapsed="false">
      <c r="A496" s="0" t="s">
        <v>6829</v>
      </c>
      <c r="B496" s="0" t="s">
        <v>6830</v>
      </c>
      <c r="C496" s="0" t="s">
        <v>6831</v>
      </c>
      <c r="D496" s="0" t="s">
        <v>6442</v>
      </c>
      <c r="E496" s="5" t="s">
        <v>77</v>
      </c>
      <c r="F496" s="0" t="s">
        <v>6832</v>
      </c>
      <c r="G496" s="0" t="s">
        <v>1953</v>
      </c>
      <c r="H496" s="0" t="s">
        <v>5614</v>
      </c>
      <c r="I496" s="0" t="s">
        <v>6833</v>
      </c>
      <c r="K496" s="0" t="s">
        <v>36</v>
      </c>
      <c r="L496" s="0" t="s">
        <v>6834</v>
      </c>
    </row>
    <row r="497" customFormat="false" ht="17.15" hidden="false" customHeight="false" outlineLevel="0" collapsed="false">
      <c r="A497" s="0" t="s">
        <v>6835</v>
      </c>
      <c r="B497" s="0" t="s">
        <v>6830</v>
      </c>
      <c r="C497" s="0" t="s">
        <v>6836</v>
      </c>
      <c r="D497" s="0" t="s">
        <v>4971</v>
      </c>
      <c r="E497" s="5" t="s">
        <v>77</v>
      </c>
      <c r="F497" s="0" t="s">
        <v>6832</v>
      </c>
      <c r="G497" s="0" t="s">
        <v>1953</v>
      </c>
      <c r="H497" s="0" t="s">
        <v>5614</v>
      </c>
      <c r="I497" s="0" t="s">
        <v>6837</v>
      </c>
      <c r="K497" s="0" t="s">
        <v>36</v>
      </c>
      <c r="L497" s="0" t="s">
        <v>6834</v>
      </c>
    </row>
    <row r="498" customFormat="false" ht="17.15" hidden="false" customHeight="false" outlineLevel="0" collapsed="false">
      <c r="A498" s="0" t="s">
        <v>6838</v>
      </c>
      <c r="B498" s="0" t="s">
        <v>6830</v>
      </c>
      <c r="C498" s="0" t="s">
        <v>6839</v>
      </c>
      <c r="D498" s="0" t="s">
        <v>113</v>
      </c>
      <c r="E498" s="5" t="s">
        <v>77</v>
      </c>
      <c r="F498" s="0" t="s">
        <v>6360</v>
      </c>
      <c r="G498" s="0" t="s">
        <v>1953</v>
      </c>
      <c r="H498" s="0" t="s">
        <v>5566</v>
      </c>
      <c r="I498" s="0" t="s">
        <v>6840</v>
      </c>
      <c r="K498" s="0" t="s">
        <v>36</v>
      </c>
      <c r="L498" s="0" t="s">
        <v>6841</v>
      </c>
    </row>
    <row r="499" customFormat="false" ht="17.15" hidden="false" customHeight="false" outlineLevel="0" collapsed="false">
      <c r="A499" s="0" t="s">
        <v>6842</v>
      </c>
      <c r="B499" s="0" t="s">
        <v>6843</v>
      </c>
      <c r="C499" s="0" t="s">
        <v>6844</v>
      </c>
      <c r="D499" s="0" t="s">
        <v>6845</v>
      </c>
      <c r="E499" s="5" t="s">
        <v>77</v>
      </c>
      <c r="F499" s="0" t="s">
        <v>6031</v>
      </c>
      <c r="G499" s="0" t="s">
        <v>1953</v>
      </c>
      <c r="H499" s="0" t="s">
        <v>5631</v>
      </c>
      <c r="I499" s="0" t="s">
        <v>6846</v>
      </c>
      <c r="K499" s="0" t="s">
        <v>36</v>
      </c>
      <c r="L499" s="0" t="s">
        <v>6847</v>
      </c>
    </row>
    <row r="500" customFormat="false" ht="17.15" hidden="false" customHeight="false" outlineLevel="0" collapsed="false">
      <c r="A500" s="0" t="s">
        <v>6848</v>
      </c>
      <c r="B500" s="0" t="s">
        <v>6843</v>
      </c>
      <c r="C500" s="0" t="s">
        <v>6849</v>
      </c>
      <c r="D500" s="0" t="s">
        <v>6850</v>
      </c>
      <c r="E500" s="0" t="s">
        <v>112</v>
      </c>
      <c r="F500" s="0" t="s">
        <v>2466</v>
      </c>
      <c r="G500" s="0" t="s">
        <v>1909</v>
      </c>
      <c r="H500" s="0" t="s">
        <v>5631</v>
      </c>
      <c r="I500" s="5" t="s">
        <v>6851</v>
      </c>
      <c r="K500" s="0" t="s">
        <v>36</v>
      </c>
      <c r="L500" s="0" t="s">
        <v>6852</v>
      </c>
    </row>
    <row r="501" customFormat="false" ht="17.15" hidden="false" customHeight="false" outlineLevel="0" collapsed="false">
      <c r="A501" s="0" t="s">
        <v>6853</v>
      </c>
      <c r="B501" s="0" t="s">
        <v>6843</v>
      </c>
      <c r="C501" s="0" t="s">
        <v>6854</v>
      </c>
      <c r="D501" s="0" t="s">
        <v>6850</v>
      </c>
      <c r="E501" s="0" t="s">
        <v>112</v>
      </c>
      <c r="F501" s="0" t="s">
        <v>2466</v>
      </c>
      <c r="G501" s="0" t="s">
        <v>1909</v>
      </c>
      <c r="H501" s="0" t="s">
        <v>5631</v>
      </c>
      <c r="I501" s="0" t="s">
        <v>6855</v>
      </c>
      <c r="K501" s="0" t="s">
        <v>36</v>
      </c>
      <c r="L501" s="0" t="s">
        <v>6852</v>
      </c>
    </row>
    <row r="502" customFormat="false" ht="17.15" hidden="false" customHeight="false" outlineLevel="0" collapsed="false">
      <c r="A502" s="0" t="s">
        <v>6856</v>
      </c>
      <c r="B502" s="0" t="s">
        <v>6857</v>
      </c>
      <c r="C502" s="0" t="s">
        <v>6858</v>
      </c>
      <c r="D502" s="0" t="s">
        <v>5572</v>
      </c>
      <c r="E502" s="0" t="s">
        <v>112</v>
      </c>
      <c r="F502" s="0" t="s">
        <v>5048</v>
      </c>
      <c r="G502" s="0" t="s">
        <v>1953</v>
      </c>
      <c r="H502" s="0" t="s">
        <v>5614</v>
      </c>
      <c r="I502" s="0" t="s">
        <v>6859</v>
      </c>
      <c r="K502" s="0" t="s">
        <v>36</v>
      </c>
      <c r="L502" s="0" t="s">
        <v>6860</v>
      </c>
    </row>
    <row r="503" customFormat="false" ht="17.15" hidden="false" customHeight="false" outlineLevel="0" collapsed="false">
      <c r="A503" s="0" t="s">
        <v>6861</v>
      </c>
      <c r="B503" s="0" t="s">
        <v>6857</v>
      </c>
      <c r="C503" s="0" t="s">
        <v>6862</v>
      </c>
      <c r="D503" s="0" t="s">
        <v>113</v>
      </c>
      <c r="E503" s="5" t="s">
        <v>77</v>
      </c>
      <c r="F503" s="0" t="s">
        <v>5048</v>
      </c>
      <c r="G503" s="0" t="s">
        <v>1953</v>
      </c>
      <c r="H503" s="0" t="s">
        <v>5566</v>
      </c>
      <c r="I503" s="0" t="s">
        <v>6863</v>
      </c>
      <c r="K503" s="0" t="s">
        <v>36</v>
      </c>
      <c r="L503" s="0" t="s">
        <v>6864</v>
      </c>
    </row>
    <row r="504" customFormat="false" ht="17.15" hidden="false" customHeight="false" outlineLevel="0" collapsed="false">
      <c r="A504" s="0" t="s">
        <v>6865</v>
      </c>
      <c r="B504" s="0" t="s">
        <v>6866</v>
      </c>
      <c r="C504" s="0" t="s">
        <v>6867</v>
      </c>
      <c r="D504" s="0" t="s">
        <v>5129</v>
      </c>
      <c r="E504" s="5" t="s">
        <v>77</v>
      </c>
      <c r="F504" s="0" t="s">
        <v>6868</v>
      </c>
      <c r="G504" s="0" t="s">
        <v>1953</v>
      </c>
      <c r="H504" s="0" t="s">
        <v>5566</v>
      </c>
      <c r="I504" s="0" t="s">
        <v>6869</v>
      </c>
      <c r="K504" s="0" t="s">
        <v>36</v>
      </c>
      <c r="L504" s="0" t="s">
        <v>6870</v>
      </c>
    </row>
    <row r="505" customFormat="false" ht="17.15" hidden="false" customHeight="false" outlineLevel="0" collapsed="false">
      <c r="A505" s="0" t="s">
        <v>6871</v>
      </c>
      <c r="B505" s="0" t="s">
        <v>6866</v>
      </c>
      <c r="C505" s="0" t="s">
        <v>6872</v>
      </c>
      <c r="D505" s="0" t="s">
        <v>5690</v>
      </c>
      <c r="E505" s="5" t="s">
        <v>77</v>
      </c>
      <c r="F505" s="0" t="s">
        <v>6868</v>
      </c>
      <c r="G505" s="0" t="s">
        <v>1909</v>
      </c>
      <c r="H505" s="0" t="s">
        <v>5614</v>
      </c>
      <c r="I505" s="5" t="s">
        <v>6873</v>
      </c>
      <c r="K505" s="0" t="s">
        <v>36</v>
      </c>
      <c r="L505" s="0" t="s">
        <v>6870</v>
      </c>
    </row>
    <row r="506" customFormat="false" ht="17.15" hidden="false" customHeight="false" outlineLevel="0" collapsed="false">
      <c r="A506" s="0" t="s">
        <v>6874</v>
      </c>
      <c r="B506" s="0" t="s">
        <v>6875</v>
      </c>
      <c r="C506" s="0" t="s">
        <v>6876</v>
      </c>
      <c r="D506" s="0" t="s">
        <v>5122</v>
      </c>
      <c r="E506" s="5" t="s">
        <v>77</v>
      </c>
      <c r="F506" s="0" t="s">
        <v>6877</v>
      </c>
      <c r="G506" s="0" t="s">
        <v>1953</v>
      </c>
      <c r="H506" s="0" t="s">
        <v>5609</v>
      </c>
      <c r="I506" s="5" t="s">
        <v>5819</v>
      </c>
      <c r="K506" s="0" t="s">
        <v>36</v>
      </c>
      <c r="L506" s="0" t="s">
        <v>6878</v>
      </c>
    </row>
    <row r="507" customFormat="false" ht="17.15" hidden="false" customHeight="false" outlineLevel="0" collapsed="false">
      <c r="A507" s="0" t="s">
        <v>6879</v>
      </c>
      <c r="B507" s="0" t="s">
        <v>6875</v>
      </c>
      <c r="C507" s="0" t="s">
        <v>6880</v>
      </c>
      <c r="D507" s="0" t="s">
        <v>4883</v>
      </c>
      <c r="E507" s="5" t="s">
        <v>77</v>
      </c>
      <c r="F507" s="0" t="s">
        <v>6877</v>
      </c>
      <c r="G507" s="0" t="s">
        <v>1953</v>
      </c>
      <c r="H507" s="0" t="s">
        <v>5609</v>
      </c>
      <c r="I507" s="5" t="s">
        <v>5819</v>
      </c>
      <c r="K507" s="0" t="s">
        <v>36</v>
      </c>
      <c r="L507" s="0" t="s">
        <v>6878</v>
      </c>
    </row>
    <row r="508" customFormat="false" ht="17.15" hidden="false" customHeight="false" outlineLevel="0" collapsed="false">
      <c r="A508" s="0" t="s">
        <v>6881</v>
      </c>
      <c r="B508" s="0" t="s">
        <v>6882</v>
      </c>
      <c r="C508" s="0" t="s">
        <v>6883</v>
      </c>
      <c r="D508" s="0" t="s">
        <v>5129</v>
      </c>
      <c r="E508" s="5" t="s">
        <v>77</v>
      </c>
      <c r="F508" s="0" t="s">
        <v>5660</v>
      </c>
      <c r="G508" s="0" t="s">
        <v>1953</v>
      </c>
      <c r="H508" s="0" t="s">
        <v>5566</v>
      </c>
      <c r="I508" s="0" t="s">
        <v>6884</v>
      </c>
      <c r="K508" s="0" t="s">
        <v>36</v>
      </c>
      <c r="L508" s="0" t="s">
        <v>6885</v>
      </c>
    </row>
    <row r="509" customFormat="false" ht="17.15" hidden="false" customHeight="false" outlineLevel="0" collapsed="false">
      <c r="A509" s="0" t="s">
        <v>6886</v>
      </c>
      <c r="B509" s="0" t="s">
        <v>6887</v>
      </c>
      <c r="C509" s="0" t="s">
        <v>6888</v>
      </c>
      <c r="D509" s="0" t="s">
        <v>113</v>
      </c>
      <c r="E509" s="5" t="s">
        <v>77</v>
      </c>
      <c r="F509" s="0" t="s">
        <v>5660</v>
      </c>
      <c r="G509" s="0" t="s">
        <v>1953</v>
      </c>
      <c r="H509" s="0" t="s">
        <v>5614</v>
      </c>
      <c r="I509" s="5" t="s">
        <v>6889</v>
      </c>
      <c r="K509" s="0" t="s">
        <v>36</v>
      </c>
      <c r="L509" s="0" t="s">
        <v>6885</v>
      </c>
    </row>
    <row r="510" customFormat="false" ht="17.15" hidden="false" customHeight="false" outlineLevel="0" collapsed="false">
      <c r="A510" s="0" t="s">
        <v>6890</v>
      </c>
      <c r="B510" s="0" t="s">
        <v>6887</v>
      </c>
      <c r="C510" s="0" t="s">
        <v>6891</v>
      </c>
      <c r="D510" s="0" t="s">
        <v>113</v>
      </c>
      <c r="E510" s="5" t="s">
        <v>77</v>
      </c>
      <c r="F510" s="0" t="s">
        <v>5660</v>
      </c>
      <c r="G510" s="0" t="s">
        <v>1953</v>
      </c>
      <c r="H510" s="0" t="s">
        <v>5566</v>
      </c>
      <c r="I510" s="5" t="s">
        <v>6892</v>
      </c>
      <c r="K510" s="0" t="s">
        <v>36</v>
      </c>
      <c r="L510" s="0" t="s">
        <v>6893</v>
      </c>
    </row>
    <row r="511" customFormat="false" ht="17.15" hidden="false" customHeight="false" outlineLevel="0" collapsed="false">
      <c r="A511" s="0" t="s">
        <v>6894</v>
      </c>
      <c r="B511" s="0" t="s">
        <v>6895</v>
      </c>
      <c r="C511" s="0" t="s">
        <v>6896</v>
      </c>
      <c r="D511" s="0" t="s">
        <v>4823</v>
      </c>
      <c r="E511" s="5" t="s">
        <v>77</v>
      </c>
      <c r="F511" s="0" t="s">
        <v>2016</v>
      </c>
      <c r="G511" s="0" t="s">
        <v>1953</v>
      </c>
      <c r="H511" s="0" t="s">
        <v>5566</v>
      </c>
      <c r="I511" s="0" t="s">
        <v>6897</v>
      </c>
      <c r="K511" s="0" t="s">
        <v>36</v>
      </c>
      <c r="L511" s="0" t="s">
        <v>6898</v>
      </c>
    </row>
    <row r="512" customFormat="false" ht="17.15" hidden="false" customHeight="false" outlineLevel="0" collapsed="false">
      <c r="A512" s="0" t="s">
        <v>6899</v>
      </c>
      <c r="B512" s="0" t="s">
        <v>6895</v>
      </c>
      <c r="C512" s="0" t="s">
        <v>6900</v>
      </c>
      <c r="D512" s="0" t="s">
        <v>6901</v>
      </c>
      <c r="E512" s="0" t="s">
        <v>112</v>
      </c>
      <c r="F512" s="0" t="s">
        <v>2016</v>
      </c>
      <c r="G512" s="0" t="s">
        <v>1953</v>
      </c>
      <c r="H512" s="0" t="s">
        <v>5566</v>
      </c>
      <c r="I512" s="0" t="s">
        <v>6902</v>
      </c>
      <c r="K512" s="0" t="s">
        <v>36</v>
      </c>
      <c r="L512" s="0" t="s">
        <v>6898</v>
      </c>
    </row>
    <row r="513" customFormat="false" ht="17.15" hidden="false" customHeight="false" outlineLevel="0" collapsed="false">
      <c r="A513" s="0" t="s">
        <v>6903</v>
      </c>
      <c r="B513" s="0" t="s">
        <v>6895</v>
      </c>
      <c r="C513" s="0" t="s">
        <v>6904</v>
      </c>
      <c r="D513" s="0" t="s">
        <v>6905</v>
      </c>
      <c r="E513" s="5" t="s">
        <v>168</v>
      </c>
      <c r="F513" s="0" t="s">
        <v>5228</v>
      </c>
      <c r="G513" s="0" t="s">
        <v>1953</v>
      </c>
      <c r="H513" s="0" t="s">
        <v>5598</v>
      </c>
      <c r="I513" s="0" t="s">
        <v>6906</v>
      </c>
      <c r="K513" s="0" t="s">
        <v>36</v>
      </c>
      <c r="L513" s="0" t="s">
        <v>6907</v>
      </c>
    </row>
    <row r="514" customFormat="false" ht="17.15" hidden="false" customHeight="false" outlineLevel="0" collapsed="false">
      <c r="A514" s="0" t="s">
        <v>6908</v>
      </c>
      <c r="B514" s="0" t="s">
        <v>6909</v>
      </c>
      <c r="C514" s="0" t="s">
        <v>6910</v>
      </c>
      <c r="D514" s="0" t="s">
        <v>6911</v>
      </c>
      <c r="E514" s="5" t="s">
        <v>77</v>
      </c>
      <c r="F514" s="0" t="s">
        <v>6912</v>
      </c>
      <c r="G514" s="0" t="s">
        <v>1899</v>
      </c>
      <c r="H514" s="0" t="s">
        <v>5566</v>
      </c>
      <c r="I514" s="0" t="s">
        <v>6913</v>
      </c>
      <c r="K514" s="0" t="s">
        <v>36</v>
      </c>
      <c r="L514" s="0" t="s">
        <v>6914</v>
      </c>
    </row>
    <row r="515" customFormat="false" ht="17.15" hidden="false" customHeight="false" outlineLevel="0" collapsed="false">
      <c r="A515" s="0" t="s">
        <v>6915</v>
      </c>
      <c r="B515" s="0" t="s">
        <v>6895</v>
      </c>
      <c r="C515" s="0" t="s">
        <v>6916</v>
      </c>
      <c r="D515" s="0" t="s">
        <v>5129</v>
      </c>
      <c r="E515" s="5" t="s">
        <v>77</v>
      </c>
      <c r="F515" s="0" t="s">
        <v>5228</v>
      </c>
      <c r="G515" s="0" t="s">
        <v>1953</v>
      </c>
      <c r="H515" s="0" t="s">
        <v>5566</v>
      </c>
      <c r="I515" s="5" t="s">
        <v>6917</v>
      </c>
      <c r="K515" s="0" t="s">
        <v>36</v>
      </c>
      <c r="L515" s="0" t="s">
        <v>6907</v>
      </c>
    </row>
    <row r="516" customFormat="false" ht="17.15" hidden="false" customHeight="false" outlineLevel="0" collapsed="false">
      <c r="A516" s="0" t="s">
        <v>6918</v>
      </c>
      <c r="B516" s="0" t="s">
        <v>6895</v>
      </c>
      <c r="C516" s="0" t="s">
        <v>6919</v>
      </c>
      <c r="D516" s="0" t="s">
        <v>4911</v>
      </c>
      <c r="E516" s="5" t="s">
        <v>77</v>
      </c>
      <c r="F516" s="0" t="s">
        <v>5228</v>
      </c>
      <c r="G516" s="0" t="s">
        <v>1953</v>
      </c>
      <c r="H516" s="0" t="s">
        <v>5566</v>
      </c>
      <c r="I516" s="0" t="s">
        <v>6920</v>
      </c>
      <c r="K516" s="0" t="s">
        <v>36</v>
      </c>
      <c r="L516" s="0" t="s">
        <v>6907</v>
      </c>
    </row>
    <row r="517" customFormat="false" ht="17.15" hidden="false" customHeight="false" outlineLevel="0" collapsed="false">
      <c r="A517" s="0" t="s">
        <v>6921</v>
      </c>
      <c r="B517" s="0" t="s">
        <v>6843</v>
      </c>
      <c r="C517" s="0" t="s">
        <v>6922</v>
      </c>
      <c r="D517" s="0" t="s">
        <v>6923</v>
      </c>
      <c r="E517" s="0" t="s">
        <v>112</v>
      </c>
      <c r="F517" s="0" t="s">
        <v>1809</v>
      </c>
      <c r="G517" s="0" t="s">
        <v>119</v>
      </c>
      <c r="H517" s="0" t="s">
        <v>5609</v>
      </c>
      <c r="I517" s="5" t="s">
        <v>5610</v>
      </c>
      <c r="K517" s="0" t="s">
        <v>36</v>
      </c>
      <c r="L517" s="0" t="s">
        <v>6924</v>
      </c>
    </row>
    <row r="518" customFormat="false" ht="17.15" hidden="false" customHeight="false" outlineLevel="0" collapsed="false">
      <c r="A518" s="0" t="s">
        <v>6925</v>
      </c>
      <c r="B518" s="0" t="s">
        <v>6843</v>
      </c>
      <c r="C518" s="0" t="s">
        <v>6926</v>
      </c>
      <c r="D518" s="0" t="s">
        <v>113</v>
      </c>
      <c r="E518" s="5" t="s">
        <v>77</v>
      </c>
      <c r="F518" s="0" t="s">
        <v>1809</v>
      </c>
      <c r="G518" s="0" t="s">
        <v>119</v>
      </c>
      <c r="H518" s="0" t="s">
        <v>5609</v>
      </c>
      <c r="I518" s="5" t="s">
        <v>5610</v>
      </c>
      <c r="K518" s="0" t="s">
        <v>36</v>
      </c>
      <c r="L518" s="0" t="s">
        <v>6924</v>
      </c>
    </row>
    <row r="519" customFormat="false" ht="17.15" hidden="false" customHeight="false" outlineLevel="0" collapsed="false">
      <c r="A519" s="0" t="s">
        <v>6927</v>
      </c>
      <c r="B519" s="0" t="s">
        <v>6843</v>
      </c>
      <c r="C519" s="0" t="s">
        <v>6928</v>
      </c>
      <c r="D519" s="0" t="s">
        <v>113</v>
      </c>
      <c r="E519" s="5" t="s">
        <v>77</v>
      </c>
      <c r="F519" s="0" t="s">
        <v>1809</v>
      </c>
      <c r="G519" s="0" t="s">
        <v>142</v>
      </c>
      <c r="H519" s="0" t="s">
        <v>5631</v>
      </c>
      <c r="I519" s="5" t="s">
        <v>6929</v>
      </c>
      <c r="K519" s="0" t="s">
        <v>36</v>
      </c>
      <c r="L519" s="0" t="s">
        <v>6930</v>
      </c>
    </row>
    <row r="520" customFormat="false" ht="17.15" hidden="false" customHeight="false" outlineLevel="0" collapsed="false">
      <c r="A520" s="0" t="s">
        <v>6931</v>
      </c>
      <c r="B520" s="0" t="s">
        <v>6932</v>
      </c>
      <c r="C520" s="0" t="s">
        <v>6933</v>
      </c>
      <c r="D520" s="0" t="s">
        <v>4958</v>
      </c>
      <c r="E520" s="5" t="s">
        <v>77</v>
      </c>
      <c r="F520" s="0" t="s">
        <v>6934</v>
      </c>
      <c r="G520" s="0" t="s">
        <v>1953</v>
      </c>
      <c r="H520" s="0" t="s">
        <v>5566</v>
      </c>
      <c r="I520" s="5" t="s">
        <v>6935</v>
      </c>
      <c r="K520" s="0" t="s">
        <v>36</v>
      </c>
      <c r="L520" s="0" t="s">
        <v>6936</v>
      </c>
    </row>
    <row r="521" customFormat="false" ht="17.15" hidden="false" customHeight="false" outlineLevel="0" collapsed="false">
      <c r="A521" s="0" t="s">
        <v>6937</v>
      </c>
      <c r="B521" s="0" t="s">
        <v>6932</v>
      </c>
      <c r="C521" s="0" t="s">
        <v>6938</v>
      </c>
      <c r="D521" s="0" t="s">
        <v>4958</v>
      </c>
      <c r="E521" s="5" t="s">
        <v>77</v>
      </c>
      <c r="F521" s="0" t="s">
        <v>6934</v>
      </c>
      <c r="G521" s="0" t="s">
        <v>1953</v>
      </c>
      <c r="H521" s="0" t="s">
        <v>5566</v>
      </c>
      <c r="I521" s="0" t="s">
        <v>6939</v>
      </c>
      <c r="K521" s="0" t="s">
        <v>36</v>
      </c>
      <c r="L521" s="0" t="s">
        <v>6936</v>
      </c>
    </row>
    <row r="522" customFormat="false" ht="17.15" hidden="false" customHeight="false" outlineLevel="0" collapsed="false">
      <c r="A522" s="0" t="s">
        <v>6940</v>
      </c>
      <c r="B522" s="0" t="s">
        <v>6932</v>
      </c>
      <c r="C522" s="0" t="s">
        <v>6941</v>
      </c>
      <c r="D522" s="0" t="s">
        <v>4958</v>
      </c>
      <c r="E522" s="5" t="s">
        <v>77</v>
      </c>
      <c r="F522" s="0" t="s">
        <v>6934</v>
      </c>
      <c r="G522" s="0" t="s">
        <v>1953</v>
      </c>
      <c r="H522" s="0" t="s">
        <v>5566</v>
      </c>
      <c r="I522" s="0" t="s">
        <v>6942</v>
      </c>
      <c r="K522" s="0" t="s">
        <v>36</v>
      </c>
      <c r="L522" s="0" t="s">
        <v>6936</v>
      </c>
    </row>
    <row r="523" customFormat="false" ht="17.15" hidden="false" customHeight="false" outlineLevel="0" collapsed="false">
      <c r="A523" s="0" t="s">
        <v>6943</v>
      </c>
      <c r="B523" s="0" t="s">
        <v>6932</v>
      </c>
      <c r="C523" s="0" t="s">
        <v>6944</v>
      </c>
      <c r="D523" s="0" t="s">
        <v>5676</v>
      </c>
      <c r="E523" s="5" t="s">
        <v>77</v>
      </c>
      <c r="F523" s="0" t="s">
        <v>2411</v>
      </c>
      <c r="G523" s="0" t="s">
        <v>1953</v>
      </c>
      <c r="H523" s="0" t="s">
        <v>5566</v>
      </c>
      <c r="I523" s="0" t="s">
        <v>6945</v>
      </c>
      <c r="K523" s="0" t="s">
        <v>36</v>
      </c>
      <c r="L523" s="0" t="s">
        <v>6946</v>
      </c>
    </row>
    <row r="524" customFormat="false" ht="17.15" hidden="false" customHeight="false" outlineLevel="0" collapsed="false">
      <c r="A524" s="0" t="s">
        <v>6947</v>
      </c>
      <c r="B524" s="0" t="s">
        <v>6948</v>
      </c>
      <c r="C524" s="0" t="s">
        <v>6949</v>
      </c>
      <c r="D524" s="0" t="s">
        <v>4630</v>
      </c>
      <c r="E524" s="0" t="s">
        <v>112</v>
      </c>
      <c r="F524" s="0" t="s">
        <v>2016</v>
      </c>
      <c r="G524" s="0" t="s">
        <v>1953</v>
      </c>
      <c r="H524" s="0" t="s">
        <v>5566</v>
      </c>
      <c r="I524" s="0" t="s">
        <v>6950</v>
      </c>
      <c r="K524" s="0" t="s">
        <v>36</v>
      </c>
      <c r="L524" s="0" t="s">
        <v>6951</v>
      </c>
    </row>
    <row r="525" customFormat="false" ht="17.15" hidden="false" customHeight="false" outlineLevel="0" collapsed="false">
      <c r="A525" s="0" t="s">
        <v>6952</v>
      </c>
      <c r="B525" s="0" t="s">
        <v>6953</v>
      </c>
      <c r="C525" s="0" t="s">
        <v>6954</v>
      </c>
      <c r="D525" s="0" t="s">
        <v>4630</v>
      </c>
      <c r="E525" s="0" t="s">
        <v>112</v>
      </c>
      <c r="F525" s="0" t="s">
        <v>6955</v>
      </c>
      <c r="G525" s="0" t="s">
        <v>1953</v>
      </c>
      <c r="H525" s="0" t="s">
        <v>5566</v>
      </c>
      <c r="I525" s="0" t="s">
        <v>6956</v>
      </c>
      <c r="K525" s="0" t="s">
        <v>36</v>
      </c>
      <c r="L525" s="0" t="s">
        <v>6957</v>
      </c>
    </row>
    <row r="526" customFormat="false" ht="17.15" hidden="false" customHeight="false" outlineLevel="0" collapsed="false">
      <c r="A526" s="0" t="s">
        <v>6958</v>
      </c>
      <c r="B526" s="0" t="s">
        <v>6959</v>
      </c>
      <c r="C526" s="0" t="s">
        <v>6960</v>
      </c>
      <c r="D526" s="0" t="s">
        <v>6774</v>
      </c>
      <c r="E526" s="5" t="s">
        <v>77</v>
      </c>
      <c r="F526" s="0" t="s">
        <v>6961</v>
      </c>
      <c r="G526" s="0" t="s">
        <v>1953</v>
      </c>
      <c r="H526" s="0" t="s">
        <v>5566</v>
      </c>
      <c r="I526" s="0" t="s">
        <v>6962</v>
      </c>
      <c r="K526" s="0" t="s">
        <v>36</v>
      </c>
      <c r="L526" s="0" t="s">
        <v>6963</v>
      </c>
    </row>
    <row r="527" customFormat="false" ht="17.15" hidden="false" customHeight="false" outlineLevel="0" collapsed="false">
      <c r="A527" s="0" t="s">
        <v>6964</v>
      </c>
      <c r="B527" s="0" t="s">
        <v>6965</v>
      </c>
      <c r="C527" s="0" t="s">
        <v>6966</v>
      </c>
      <c r="D527" s="0" t="s">
        <v>4883</v>
      </c>
      <c r="E527" s="5" t="s">
        <v>77</v>
      </c>
      <c r="F527" s="0" t="s">
        <v>5619</v>
      </c>
      <c r="G527" s="0" t="s">
        <v>1953</v>
      </c>
      <c r="H527" s="0" t="s">
        <v>5631</v>
      </c>
      <c r="I527" s="0" t="s">
        <v>6967</v>
      </c>
      <c r="K527" s="0" t="s">
        <v>36</v>
      </c>
      <c r="L527" s="0" t="s">
        <v>6968</v>
      </c>
    </row>
    <row r="528" customFormat="false" ht="17.15" hidden="false" customHeight="false" outlineLevel="0" collapsed="false">
      <c r="A528" s="0" t="s">
        <v>6969</v>
      </c>
      <c r="B528" s="0" t="s">
        <v>6965</v>
      </c>
      <c r="C528" s="0" t="s">
        <v>6970</v>
      </c>
      <c r="D528" s="0" t="s">
        <v>113</v>
      </c>
      <c r="E528" s="5" t="s">
        <v>77</v>
      </c>
      <c r="F528" s="0" t="s">
        <v>2584</v>
      </c>
      <c r="G528" s="0" t="s">
        <v>1953</v>
      </c>
      <c r="H528" s="0" t="s">
        <v>5631</v>
      </c>
      <c r="I528" s="0" t="s">
        <v>6971</v>
      </c>
      <c r="K528" s="0" t="s">
        <v>36</v>
      </c>
      <c r="L528" s="0" t="s">
        <v>6972</v>
      </c>
    </row>
    <row r="529" customFormat="false" ht="17.15" hidden="false" customHeight="false" outlineLevel="0" collapsed="false">
      <c r="A529" s="0" t="s">
        <v>6973</v>
      </c>
      <c r="B529" s="5" t="s">
        <v>6974</v>
      </c>
      <c r="C529" s="5" t="s">
        <v>6975</v>
      </c>
      <c r="D529" s="0" t="s">
        <v>5564</v>
      </c>
      <c r="E529" s="5" t="s">
        <v>77</v>
      </c>
      <c r="F529" s="0" t="s">
        <v>6267</v>
      </c>
      <c r="G529" s="0" t="s">
        <v>1953</v>
      </c>
      <c r="H529" s="0" t="s">
        <v>5566</v>
      </c>
      <c r="I529" s="0" t="s">
        <v>6976</v>
      </c>
      <c r="K529" s="0" t="s">
        <v>36</v>
      </c>
      <c r="L529" s="0" t="s">
        <v>6977</v>
      </c>
    </row>
    <row r="530" customFormat="false" ht="17.15" hidden="false" customHeight="false" outlineLevel="0" collapsed="false">
      <c r="A530" s="0" t="s">
        <v>6978</v>
      </c>
      <c r="B530" s="5" t="s">
        <v>6979</v>
      </c>
      <c r="C530" s="5" t="s">
        <v>6980</v>
      </c>
      <c r="D530" s="0" t="s">
        <v>113</v>
      </c>
      <c r="E530" s="5" t="s">
        <v>77</v>
      </c>
      <c r="F530" s="0" t="s">
        <v>4676</v>
      </c>
      <c r="G530" s="0" t="s">
        <v>1953</v>
      </c>
      <c r="H530" s="0" t="s">
        <v>5598</v>
      </c>
      <c r="I530" s="5" t="s">
        <v>6981</v>
      </c>
      <c r="K530" s="0" t="s">
        <v>36</v>
      </c>
      <c r="L530" s="0" t="s">
        <v>6982</v>
      </c>
    </row>
    <row r="531" customFormat="false" ht="17.15" hidden="false" customHeight="false" outlineLevel="0" collapsed="false">
      <c r="A531" s="0" t="s">
        <v>6983</v>
      </c>
      <c r="B531" s="0" t="s">
        <v>6984</v>
      </c>
      <c r="C531" s="0" t="s">
        <v>6985</v>
      </c>
      <c r="D531" s="0" t="s">
        <v>6986</v>
      </c>
      <c r="E531" s="0" t="s">
        <v>112</v>
      </c>
      <c r="G531" s="0" t="s">
        <v>1899</v>
      </c>
      <c r="H531" s="0" t="s">
        <v>5598</v>
      </c>
      <c r="I531" s="0" t="s">
        <v>6987</v>
      </c>
      <c r="K531" s="0" t="s">
        <v>36</v>
      </c>
      <c r="L531" s="0" t="s">
        <v>6988</v>
      </c>
    </row>
    <row r="532" customFormat="false" ht="17.15" hidden="false" customHeight="false" outlineLevel="0" collapsed="false">
      <c r="A532" s="0" t="s">
        <v>6989</v>
      </c>
      <c r="B532" s="0" t="s">
        <v>6990</v>
      </c>
      <c r="C532" s="0" t="s">
        <v>6991</v>
      </c>
      <c r="D532" s="0" t="s">
        <v>4810</v>
      </c>
      <c r="E532" s="5" t="s">
        <v>77</v>
      </c>
      <c r="F532" s="0" t="s">
        <v>6992</v>
      </c>
      <c r="G532" s="0" t="s">
        <v>1953</v>
      </c>
      <c r="H532" s="0" t="s">
        <v>5566</v>
      </c>
      <c r="I532" s="5" t="s">
        <v>6993</v>
      </c>
      <c r="K532" s="0" t="s">
        <v>36</v>
      </c>
      <c r="L532" s="0" t="s">
        <v>6994</v>
      </c>
    </row>
    <row r="533" customFormat="false" ht="17.15" hidden="false" customHeight="false" outlineLevel="0" collapsed="false">
      <c r="A533" s="0" t="s">
        <v>6995</v>
      </c>
      <c r="B533" s="0" t="s">
        <v>6996</v>
      </c>
      <c r="C533" s="0" t="s">
        <v>6997</v>
      </c>
      <c r="D533" s="0" t="s">
        <v>6330</v>
      </c>
      <c r="E533" s="5" t="s">
        <v>77</v>
      </c>
      <c r="F533" s="0" t="s">
        <v>6992</v>
      </c>
      <c r="G533" s="0" t="s">
        <v>1953</v>
      </c>
      <c r="H533" s="0" t="s">
        <v>5609</v>
      </c>
      <c r="I533" s="5" t="s">
        <v>5610</v>
      </c>
      <c r="K533" s="0" t="s">
        <v>36</v>
      </c>
      <c r="L533" s="0" t="s">
        <v>6998</v>
      </c>
    </row>
    <row r="534" customFormat="false" ht="17.15" hidden="false" customHeight="false" outlineLevel="0" collapsed="false">
      <c r="A534" s="0" t="s">
        <v>6999</v>
      </c>
      <c r="B534" s="0" t="s">
        <v>6996</v>
      </c>
      <c r="C534" s="0" t="s">
        <v>7000</v>
      </c>
      <c r="D534" s="0" t="s">
        <v>113</v>
      </c>
      <c r="E534" s="5" t="s">
        <v>77</v>
      </c>
      <c r="F534" s="0" t="s">
        <v>5877</v>
      </c>
      <c r="G534" s="0" t="s">
        <v>1953</v>
      </c>
      <c r="H534" s="0" t="s">
        <v>5566</v>
      </c>
      <c r="I534" s="5" t="s">
        <v>7001</v>
      </c>
      <c r="K534" s="0" t="s">
        <v>36</v>
      </c>
      <c r="L534" s="0" t="s">
        <v>7002</v>
      </c>
    </row>
    <row r="535" customFormat="false" ht="17.15" hidden="false" customHeight="false" outlineLevel="0" collapsed="false">
      <c r="A535" s="0" t="s">
        <v>7003</v>
      </c>
      <c r="B535" s="0" t="s">
        <v>7004</v>
      </c>
      <c r="C535" s="0" t="s">
        <v>7005</v>
      </c>
      <c r="D535" s="0" t="s">
        <v>5572</v>
      </c>
      <c r="E535" s="5" t="s">
        <v>77</v>
      </c>
      <c r="F535" s="0" t="s">
        <v>6147</v>
      </c>
      <c r="G535" s="0" t="s">
        <v>1953</v>
      </c>
      <c r="H535" s="0" t="s">
        <v>5598</v>
      </c>
      <c r="I535" s="5" t="s">
        <v>7006</v>
      </c>
      <c r="K535" s="0" t="s">
        <v>36</v>
      </c>
      <c r="L535" s="0" t="s">
        <v>7007</v>
      </c>
    </row>
    <row r="536" customFormat="false" ht="17.15" hidden="false" customHeight="false" outlineLevel="0" collapsed="false">
      <c r="A536" s="0" t="s">
        <v>7008</v>
      </c>
      <c r="B536" s="0" t="s">
        <v>7009</v>
      </c>
      <c r="C536" s="0" t="s">
        <v>7010</v>
      </c>
      <c r="D536" s="0" t="s">
        <v>113</v>
      </c>
      <c r="E536" s="5" t="s">
        <v>77</v>
      </c>
      <c r="F536" s="0" t="s">
        <v>6552</v>
      </c>
      <c r="G536" s="0" t="s">
        <v>1953</v>
      </c>
      <c r="H536" s="0" t="s">
        <v>5631</v>
      </c>
      <c r="I536" s="5" t="s">
        <v>7011</v>
      </c>
      <c r="K536" s="0" t="s">
        <v>36</v>
      </c>
      <c r="L536" s="0" t="s">
        <v>7012</v>
      </c>
    </row>
    <row r="537" customFormat="false" ht="17.15" hidden="false" customHeight="false" outlineLevel="0" collapsed="false">
      <c r="A537" s="0" t="s">
        <v>7013</v>
      </c>
      <c r="B537" s="0" t="s">
        <v>7009</v>
      </c>
      <c r="C537" s="0" t="s">
        <v>7014</v>
      </c>
      <c r="D537" s="0" t="s">
        <v>113</v>
      </c>
      <c r="E537" s="5" t="s">
        <v>77</v>
      </c>
      <c r="F537" s="0" t="s">
        <v>7015</v>
      </c>
      <c r="G537" s="0" t="s">
        <v>1953</v>
      </c>
      <c r="H537" s="0" t="s">
        <v>5566</v>
      </c>
      <c r="I537" s="5" t="s">
        <v>7016</v>
      </c>
      <c r="K537" s="0" t="s">
        <v>36</v>
      </c>
      <c r="L537" s="0" t="s">
        <v>7017</v>
      </c>
    </row>
    <row r="538" customFormat="false" ht="17.15" hidden="false" customHeight="false" outlineLevel="0" collapsed="false">
      <c r="A538" s="0" t="s">
        <v>7018</v>
      </c>
      <c r="B538" s="0" t="s">
        <v>7019</v>
      </c>
      <c r="C538" s="0" t="s">
        <v>7020</v>
      </c>
      <c r="D538" s="0" t="s">
        <v>7021</v>
      </c>
      <c r="E538" s="5" t="s">
        <v>77</v>
      </c>
      <c r="F538" s="0" t="s">
        <v>5747</v>
      </c>
      <c r="G538" s="0" t="s">
        <v>119</v>
      </c>
      <c r="H538" s="0" t="s">
        <v>5614</v>
      </c>
      <c r="I538" s="5" t="s">
        <v>7022</v>
      </c>
      <c r="K538" s="0" t="s">
        <v>36</v>
      </c>
      <c r="L538" s="0" t="s">
        <v>5768</v>
      </c>
    </row>
    <row r="539" customFormat="false" ht="17.15" hidden="false" customHeight="false" outlineLevel="0" collapsed="false">
      <c r="A539" s="0" t="s">
        <v>7023</v>
      </c>
      <c r="B539" s="0" t="s">
        <v>7009</v>
      </c>
      <c r="C539" s="0" t="s">
        <v>7024</v>
      </c>
      <c r="D539" s="0" t="s">
        <v>5690</v>
      </c>
      <c r="E539" s="5" t="s">
        <v>77</v>
      </c>
      <c r="F539" s="0" t="s">
        <v>7025</v>
      </c>
      <c r="G539" s="0" t="s">
        <v>1899</v>
      </c>
      <c r="H539" s="0" t="s">
        <v>5566</v>
      </c>
      <c r="I539" s="0" t="s">
        <v>7026</v>
      </c>
      <c r="K539" s="0" t="s">
        <v>36</v>
      </c>
      <c r="L539" s="0" t="s">
        <v>7027</v>
      </c>
    </row>
    <row r="540" customFormat="false" ht="17.15" hidden="false" customHeight="false" outlineLevel="0" collapsed="false">
      <c r="A540" s="0" t="s">
        <v>7028</v>
      </c>
      <c r="B540" s="0" t="s">
        <v>7009</v>
      </c>
      <c r="C540" s="0" t="s">
        <v>7029</v>
      </c>
      <c r="D540" s="0" t="s">
        <v>113</v>
      </c>
      <c r="E540" s="5" t="s">
        <v>77</v>
      </c>
      <c r="F540" s="0" t="s">
        <v>7030</v>
      </c>
      <c r="G540" s="0" t="s">
        <v>1953</v>
      </c>
      <c r="H540" s="0" t="s">
        <v>5566</v>
      </c>
      <c r="I540" s="5" t="s">
        <v>7031</v>
      </c>
      <c r="K540" s="0" t="s">
        <v>36</v>
      </c>
      <c r="L540" s="0" t="s">
        <v>7032</v>
      </c>
    </row>
    <row r="541" customFormat="false" ht="17.15" hidden="false" customHeight="false" outlineLevel="0" collapsed="false">
      <c r="A541" s="0" t="s">
        <v>7033</v>
      </c>
      <c r="B541" s="0" t="s">
        <v>7009</v>
      </c>
      <c r="C541" s="0" t="s">
        <v>7034</v>
      </c>
      <c r="D541" s="0" t="s">
        <v>113</v>
      </c>
      <c r="E541" s="5" t="s">
        <v>77</v>
      </c>
      <c r="F541" s="0" t="s">
        <v>6372</v>
      </c>
      <c r="G541" s="0" t="s">
        <v>1953</v>
      </c>
      <c r="H541" s="0" t="s">
        <v>5566</v>
      </c>
      <c r="I541" s="5" t="s">
        <v>7035</v>
      </c>
      <c r="K541" s="0" t="s">
        <v>36</v>
      </c>
      <c r="L541" s="0" t="s">
        <v>7036</v>
      </c>
    </row>
    <row r="542" customFormat="false" ht="17.15" hidden="false" customHeight="false" outlineLevel="0" collapsed="false">
      <c r="A542" s="0" t="s">
        <v>7037</v>
      </c>
      <c r="B542" s="0" t="s">
        <v>7038</v>
      </c>
      <c r="C542" s="0" t="s">
        <v>7039</v>
      </c>
      <c r="D542" s="0" t="s">
        <v>6064</v>
      </c>
      <c r="E542" s="5" t="s">
        <v>77</v>
      </c>
      <c r="F542" s="0" t="s">
        <v>7040</v>
      </c>
      <c r="G542" s="0" t="s">
        <v>1953</v>
      </c>
      <c r="H542" s="0" t="s">
        <v>5614</v>
      </c>
      <c r="I542" s="0" t="s">
        <v>7041</v>
      </c>
      <c r="K542" s="0" t="s">
        <v>36</v>
      </c>
      <c r="L542" s="0" t="s">
        <v>7042</v>
      </c>
    </row>
    <row r="543" customFormat="false" ht="17.15" hidden="false" customHeight="false" outlineLevel="0" collapsed="false">
      <c r="A543" s="0" t="s">
        <v>7043</v>
      </c>
      <c r="B543" s="0" t="s">
        <v>7038</v>
      </c>
      <c r="C543" s="0" t="s">
        <v>7044</v>
      </c>
      <c r="D543" s="0" t="s">
        <v>4971</v>
      </c>
      <c r="E543" s="5" t="s">
        <v>77</v>
      </c>
      <c r="F543" s="0" t="s">
        <v>7040</v>
      </c>
      <c r="G543" s="0" t="s">
        <v>1953</v>
      </c>
      <c r="H543" s="0" t="s">
        <v>5614</v>
      </c>
      <c r="I543" s="5" t="s">
        <v>7045</v>
      </c>
      <c r="K543" s="0" t="s">
        <v>36</v>
      </c>
      <c r="L543" s="0" t="s">
        <v>7042</v>
      </c>
    </row>
    <row r="544" customFormat="false" ht="17.15" hidden="false" customHeight="false" outlineLevel="0" collapsed="false">
      <c r="A544" s="0" t="s">
        <v>7046</v>
      </c>
      <c r="B544" s="0" t="s">
        <v>7038</v>
      </c>
      <c r="C544" s="0" t="s">
        <v>7047</v>
      </c>
      <c r="D544" s="0" t="s">
        <v>7048</v>
      </c>
      <c r="E544" s="0" t="s">
        <v>112</v>
      </c>
      <c r="F544" s="0" t="s">
        <v>7049</v>
      </c>
      <c r="G544" s="0" t="s">
        <v>1953</v>
      </c>
      <c r="H544" s="0" t="s">
        <v>5566</v>
      </c>
      <c r="I544" s="0" t="s">
        <v>7050</v>
      </c>
      <c r="K544" s="0" t="s">
        <v>36</v>
      </c>
      <c r="L544" s="0" t="s">
        <v>7051</v>
      </c>
    </row>
    <row r="545" customFormat="false" ht="17.15" hidden="false" customHeight="false" outlineLevel="0" collapsed="false">
      <c r="A545" s="0" t="s">
        <v>7052</v>
      </c>
      <c r="B545" s="0" t="s">
        <v>7053</v>
      </c>
      <c r="C545" s="0" t="s">
        <v>7054</v>
      </c>
      <c r="D545" s="0" t="s">
        <v>5690</v>
      </c>
      <c r="E545" s="5" t="s">
        <v>77</v>
      </c>
      <c r="F545" s="0" t="s">
        <v>7055</v>
      </c>
      <c r="G545" s="0" t="s">
        <v>1953</v>
      </c>
      <c r="H545" s="0" t="s">
        <v>5566</v>
      </c>
      <c r="I545" s="0" t="s">
        <v>7056</v>
      </c>
      <c r="K545" s="0" t="s">
        <v>36</v>
      </c>
      <c r="L545" s="0" t="s">
        <v>7057</v>
      </c>
    </row>
    <row r="546" customFormat="false" ht="17.15" hidden="false" customHeight="false" outlineLevel="0" collapsed="false">
      <c r="A546" s="0" t="s">
        <v>7058</v>
      </c>
      <c r="B546" s="0" t="s">
        <v>7059</v>
      </c>
      <c r="C546" s="0" t="s">
        <v>7060</v>
      </c>
      <c r="D546" s="0" t="s">
        <v>4568</v>
      </c>
      <c r="E546" s="5" t="s">
        <v>77</v>
      </c>
      <c r="F546" s="0" t="s">
        <v>7061</v>
      </c>
      <c r="G546" s="0" t="s">
        <v>1953</v>
      </c>
      <c r="H546" s="0" t="s">
        <v>5566</v>
      </c>
      <c r="I546" s="0" t="s">
        <v>7062</v>
      </c>
      <c r="K546" s="0" t="s">
        <v>36</v>
      </c>
      <c r="L546" s="0" t="s">
        <v>7063</v>
      </c>
    </row>
    <row r="547" customFormat="false" ht="17.15" hidden="false" customHeight="false" outlineLevel="0" collapsed="false">
      <c r="A547" s="0" t="s">
        <v>7064</v>
      </c>
      <c r="B547" s="0" t="s">
        <v>7059</v>
      </c>
      <c r="C547" s="0" t="s">
        <v>7065</v>
      </c>
      <c r="D547" s="0" t="s">
        <v>4971</v>
      </c>
      <c r="E547" s="5" t="s">
        <v>77</v>
      </c>
      <c r="F547" s="0" t="s">
        <v>7066</v>
      </c>
      <c r="G547" s="0" t="s">
        <v>1953</v>
      </c>
      <c r="H547" s="0" t="s">
        <v>5631</v>
      </c>
      <c r="I547" s="0" t="s">
        <v>7067</v>
      </c>
      <c r="K547" s="0" t="s">
        <v>36</v>
      </c>
      <c r="L547" s="0" t="s">
        <v>7068</v>
      </c>
    </row>
    <row r="548" customFormat="false" ht="17.15" hidden="false" customHeight="false" outlineLevel="0" collapsed="false">
      <c r="A548" s="0" t="s">
        <v>7069</v>
      </c>
      <c r="B548" s="0" t="s">
        <v>7070</v>
      </c>
      <c r="C548" s="0" t="s">
        <v>7071</v>
      </c>
      <c r="D548" s="0" t="s">
        <v>4958</v>
      </c>
      <c r="E548" s="5" t="s">
        <v>77</v>
      </c>
      <c r="F548" s="0" t="s">
        <v>7072</v>
      </c>
      <c r="G548" s="0" t="s">
        <v>1953</v>
      </c>
      <c r="H548" s="0" t="s">
        <v>5566</v>
      </c>
      <c r="I548" s="0" t="s">
        <v>7073</v>
      </c>
      <c r="J548" s="0" t="s">
        <v>735</v>
      </c>
      <c r="K548" s="5" t="s">
        <v>4631</v>
      </c>
      <c r="L548" s="0" t="s">
        <v>7074</v>
      </c>
    </row>
    <row r="549" customFormat="false" ht="17.15" hidden="false" customHeight="false" outlineLevel="0" collapsed="false">
      <c r="A549" s="0" t="s">
        <v>7075</v>
      </c>
      <c r="B549" s="0" t="s">
        <v>7070</v>
      </c>
      <c r="C549" s="0" t="s">
        <v>7076</v>
      </c>
      <c r="D549" s="0" t="s">
        <v>4883</v>
      </c>
      <c r="E549" s="5" t="s">
        <v>77</v>
      </c>
      <c r="F549" s="0" t="s">
        <v>7077</v>
      </c>
      <c r="G549" s="0" t="s">
        <v>1953</v>
      </c>
      <c r="H549" s="0" t="s">
        <v>5614</v>
      </c>
      <c r="I549" s="0" t="s">
        <v>7078</v>
      </c>
      <c r="K549" s="0" t="s">
        <v>36</v>
      </c>
      <c r="L549" s="0" t="s">
        <v>7079</v>
      </c>
    </row>
    <row r="550" customFormat="false" ht="17.15" hidden="false" customHeight="false" outlineLevel="0" collapsed="false">
      <c r="A550" s="0" t="s">
        <v>7080</v>
      </c>
      <c r="B550" s="0" t="s">
        <v>7081</v>
      </c>
      <c r="C550" s="0" t="s">
        <v>7082</v>
      </c>
      <c r="D550" s="0" t="s">
        <v>5903</v>
      </c>
      <c r="E550" s="5" t="s">
        <v>77</v>
      </c>
      <c r="F550" s="0" t="s">
        <v>7083</v>
      </c>
      <c r="G550" s="0" t="s">
        <v>1953</v>
      </c>
      <c r="H550" s="0" t="s">
        <v>5609</v>
      </c>
      <c r="I550" s="5" t="s">
        <v>6338</v>
      </c>
      <c r="K550" s="0" t="s">
        <v>36</v>
      </c>
      <c r="L550" s="0" t="s">
        <v>7084</v>
      </c>
    </row>
    <row r="551" customFormat="false" ht="17.15" hidden="false" customHeight="false" outlineLevel="0" collapsed="false">
      <c r="A551" s="0" t="s">
        <v>7085</v>
      </c>
      <c r="B551" s="0" t="s">
        <v>7081</v>
      </c>
      <c r="C551" s="0" t="s">
        <v>7086</v>
      </c>
      <c r="D551" s="0" t="s">
        <v>4971</v>
      </c>
      <c r="E551" s="5" t="s">
        <v>77</v>
      </c>
      <c r="F551" s="0" t="s">
        <v>7083</v>
      </c>
      <c r="G551" s="0" t="s">
        <v>1953</v>
      </c>
      <c r="H551" s="0" t="s">
        <v>5609</v>
      </c>
      <c r="I551" s="5" t="s">
        <v>6338</v>
      </c>
      <c r="K551" s="0" t="s">
        <v>36</v>
      </c>
      <c r="L551" s="0" t="s">
        <v>7084</v>
      </c>
    </row>
    <row r="552" customFormat="false" ht="17.15" hidden="false" customHeight="false" outlineLevel="0" collapsed="false">
      <c r="A552" s="0" t="s">
        <v>7087</v>
      </c>
      <c r="B552" s="0" t="s">
        <v>7088</v>
      </c>
      <c r="C552" s="0" t="s">
        <v>7089</v>
      </c>
      <c r="D552" s="0" t="s">
        <v>4630</v>
      </c>
      <c r="E552" s="5" t="s">
        <v>77</v>
      </c>
      <c r="F552" s="0" t="s">
        <v>6992</v>
      </c>
      <c r="G552" s="0" t="s">
        <v>1953</v>
      </c>
      <c r="H552" s="0" t="s">
        <v>5566</v>
      </c>
      <c r="I552" s="0" t="s">
        <v>7090</v>
      </c>
      <c r="K552" s="0" t="s">
        <v>36</v>
      </c>
      <c r="L552" s="0" t="s">
        <v>7091</v>
      </c>
    </row>
    <row r="553" customFormat="false" ht="17.15" hidden="false" customHeight="false" outlineLevel="0" collapsed="false">
      <c r="A553" s="0" t="s">
        <v>7092</v>
      </c>
      <c r="B553" s="0" t="s">
        <v>7093</v>
      </c>
      <c r="C553" s="0" t="s">
        <v>7094</v>
      </c>
      <c r="D553" s="0" t="s">
        <v>7095</v>
      </c>
      <c r="E553" s="5" t="s">
        <v>77</v>
      </c>
      <c r="F553" s="0" t="s">
        <v>6992</v>
      </c>
      <c r="G553" s="0" t="s">
        <v>1953</v>
      </c>
      <c r="H553" s="0" t="s">
        <v>5566</v>
      </c>
      <c r="I553" s="0" t="s">
        <v>7096</v>
      </c>
      <c r="K553" s="0" t="s">
        <v>36</v>
      </c>
      <c r="L553" s="0" t="s">
        <v>7091</v>
      </c>
    </row>
    <row r="554" customFormat="false" ht="17.15" hidden="false" customHeight="false" outlineLevel="0" collapsed="false">
      <c r="A554" s="0" t="s">
        <v>7097</v>
      </c>
      <c r="B554" s="0" t="s">
        <v>7098</v>
      </c>
      <c r="C554" s="0" t="s">
        <v>7099</v>
      </c>
      <c r="D554" s="0" t="s">
        <v>7100</v>
      </c>
      <c r="E554" s="5" t="s">
        <v>77</v>
      </c>
      <c r="F554" s="0" t="s">
        <v>7101</v>
      </c>
      <c r="G554" s="0" t="s">
        <v>1953</v>
      </c>
      <c r="H554" s="0" t="s">
        <v>5566</v>
      </c>
      <c r="I554" s="0" t="s">
        <v>7102</v>
      </c>
      <c r="J554" s="0" t="s">
        <v>714</v>
      </c>
      <c r="K554" s="5" t="s">
        <v>1895</v>
      </c>
      <c r="L554" s="0" t="s">
        <v>7103</v>
      </c>
    </row>
    <row r="555" customFormat="false" ht="17.15" hidden="false" customHeight="false" outlineLevel="0" collapsed="false">
      <c r="A555" s="0" t="s">
        <v>7104</v>
      </c>
      <c r="B555" s="0" t="s">
        <v>7098</v>
      </c>
      <c r="C555" s="0" t="s">
        <v>7105</v>
      </c>
      <c r="D555" s="0" t="s">
        <v>7106</v>
      </c>
      <c r="E555" s="5" t="s">
        <v>77</v>
      </c>
      <c r="F555" s="0" t="s">
        <v>7107</v>
      </c>
      <c r="G555" s="0" t="s">
        <v>1909</v>
      </c>
      <c r="H555" s="0" t="s">
        <v>5566</v>
      </c>
      <c r="I555" s="0" t="s">
        <v>7108</v>
      </c>
      <c r="J555" s="0" t="s">
        <v>717</v>
      </c>
      <c r="K555" s="5" t="s">
        <v>1895</v>
      </c>
      <c r="L555" s="0" t="s">
        <v>7109</v>
      </c>
    </row>
    <row r="556" customFormat="false" ht="17.15" hidden="false" customHeight="false" outlineLevel="0" collapsed="false">
      <c r="A556" s="0" t="s">
        <v>7110</v>
      </c>
      <c r="B556" s="0" t="s">
        <v>7111</v>
      </c>
      <c r="C556" s="0" t="s">
        <v>7112</v>
      </c>
      <c r="D556" s="0" t="s">
        <v>5889</v>
      </c>
      <c r="E556" s="5" t="s">
        <v>77</v>
      </c>
      <c r="F556" s="0" t="s">
        <v>7113</v>
      </c>
      <c r="G556" s="0" t="s">
        <v>1953</v>
      </c>
      <c r="H556" s="0" t="s">
        <v>5566</v>
      </c>
      <c r="I556" s="0" t="s">
        <v>7114</v>
      </c>
      <c r="J556" s="0" t="s">
        <v>714</v>
      </c>
      <c r="K556" s="5" t="s">
        <v>1895</v>
      </c>
      <c r="L556" s="0" t="s">
        <v>7115</v>
      </c>
    </row>
    <row r="557" customFormat="false" ht="17.15" hidden="false" customHeight="false" outlineLevel="0" collapsed="false">
      <c r="A557" s="0" t="s">
        <v>7116</v>
      </c>
      <c r="B557" s="0" t="s">
        <v>7117</v>
      </c>
      <c r="C557" s="0" t="s">
        <v>7118</v>
      </c>
      <c r="D557" s="0" t="s">
        <v>5676</v>
      </c>
      <c r="E557" s="5" t="s">
        <v>77</v>
      </c>
      <c r="F557" s="0" t="s">
        <v>7113</v>
      </c>
      <c r="G557" s="0" t="s">
        <v>1953</v>
      </c>
      <c r="H557" s="0" t="s">
        <v>5566</v>
      </c>
      <c r="I557" s="5" t="s">
        <v>7119</v>
      </c>
      <c r="K557" s="0" t="s">
        <v>36</v>
      </c>
      <c r="L557" s="0" t="s">
        <v>7115</v>
      </c>
    </row>
    <row r="558" customFormat="false" ht="17.15" hidden="false" customHeight="false" outlineLevel="0" collapsed="false">
      <c r="A558" s="0" t="s">
        <v>7120</v>
      </c>
      <c r="B558" s="0" t="s">
        <v>7121</v>
      </c>
      <c r="C558" s="0" t="s">
        <v>7122</v>
      </c>
      <c r="D558" s="0" t="s">
        <v>6901</v>
      </c>
      <c r="E558" s="5" t="s">
        <v>77</v>
      </c>
      <c r="F558" s="0" t="s">
        <v>5625</v>
      </c>
      <c r="G558" s="0" t="s">
        <v>1953</v>
      </c>
      <c r="H558" s="0" t="s">
        <v>5598</v>
      </c>
      <c r="I558" s="5" t="s">
        <v>7123</v>
      </c>
      <c r="K558" s="0" t="s">
        <v>36</v>
      </c>
      <c r="L558" s="0" t="s">
        <v>7124</v>
      </c>
    </row>
    <row r="559" customFormat="false" ht="17.15" hidden="false" customHeight="false" outlineLevel="0" collapsed="false">
      <c r="A559" s="0" t="s">
        <v>7125</v>
      </c>
      <c r="B559" s="0" t="s">
        <v>7121</v>
      </c>
      <c r="C559" s="0" t="s">
        <v>7126</v>
      </c>
      <c r="D559" s="0" t="s">
        <v>113</v>
      </c>
      <c r="E559" s="5" t="s">
        <v>77</v>
      </c>
      <c r="F559" s="0" t="s">
        <v>6456</v>
      </c>
      <c r="G559" s="0" t="s">
        <v>1953</v>
      </c>
      <c r="H559" s="0" t="s">
        <v>5598</v>
      </c>
      <c r="I559" s="0" t="s">
        <v>7127</v>
      </c>
      <c r="K559" s="0" t="s">
        <v>36</v>
      </c>
      <c r="L559" s="0" t="s">
        <v>7128</v>
      </c>
    </row>
    <row r="560" customFormat="false" ht="17.15" hidden="false" customHeight="false" outlineLevel="0" collapsed="false">
      <c r="A560" s="0" t="s">
        <v>7129</v>
      </c>
      <c r="B560" s="0" t="s">
        <v>7130</v>
      </c>
      <c r="C560" s="0" t="s">
        <v>7131</v>
      </c>
      <c r="D560" s="0" t="s">
        <v>5889</v>
      </c>
      <c r="E560" s="5" t="s">
        <v>77</v>
      </c>
      <c r="F560" s="0" t="s">
        <v>7132</v>
      </c>
      <c r="G560" s="0" t="s">
        <v>1953</v>
      </c>
      <c r="H560" s="0" t="s">
        <v>5614</v>
      </c>
      <c r="I560" s="0" t="s">
        <v>7133</v>
      </c>
      <c r="K560" s="0" t="s">
        <v>36</v>
      </c>
      <c r="L560" s="0" t="s">
        <v>7134</v>
      </c>
    </row>
    <row r="561" customFormat="false" ht="17.15" hidden="false" customHeight="false" outlineLevel="0" collapsed="false">
      <c r="A561" s="0" t="s">
        <v>7135</v>
      </c>
      <c r="B561" s="0" t="s">
        <v>7130</v>
      </c>
      <c r="C561" s="0" t="s">
        <v>7136</v>
      </c>
      <c r="D561" s="0" t="s">
        <v>6901</v>
      </c>
      <c r="E561" s="5" t="s">
        <v>77</v>
      </c>
      <c r="F561" s="0" t="s">
        <v>7132</v>
      </c>
      <c r="G561" s="0" t="s">
        <v>1953</v>
      </c>
      <c r="H561" s="0" t="s">
        <v>5614</v>
      </c>
      <c r="I561" s="5" t="s">
        <v>7137</v>
      </c>
      <c r="K561" s="0" t="s">
        <v>36</v>
      </c>
      <c r="L561" s="0" t="s">
        <v>7134</v>
      </c>
    </row>
    <row r="562" customFormat="false" ht="17.15" hidden="false" customHeight="false" outlineLevel="0" collapsed="false">
      <c r="A562" s="0" t="s">
        <v>7138</v>
      </c>
      <c r="B562" s="0" t="s">
        <v>7130</v>
      </c>
      <c r="C562" s="0" t="s">
        <v>7139</v>
      </c>
      <c r="D562" s="0" t="s">
        <v>5917</v>
      </c>
      <c r="E562" s="5" t="s">
        <v>77</v>
      </c>
      <c r="F562" s="0" t="s">
        <v>7132</v>
      </c>
      <c r="G562" s="0" t="s">
        <v>1953</v>
      </c>
      <c r="H562" s="0" t="s">
        <v>5614</v>
      </c>
      <c r="I562" s="5" t="s">
        <v>7140</v>
      </c>
      <c r="K562" s="0" t="s">
        <v>36</v>
      </c>
      <c r="L562" s="0" t="s">
        <v>7134</v>
      </c>
    </row>
    <row r="563" customFormat="false" ht="17.15" hidden="false" customHeight="false" outlineLevel="0" collapsed="false">
      <c r="A563" s="0" t="s">
        <v>7141</v>
      </c>
      <c r="B563" s="0" t="s">
        <v>7130</v>
      </c>
      <c r="C563" s="0" t="s">
        <v>7142</v>
      </c>
      <c r="D563" s="0" t="s">
        <v>5917</v>
      </c>
      <c r="E563" s="5" t="s">
        <v>77</v>
      </c>
      <c r="F563" s="0" t="s">
        <v>7132</v>
      </c>
      <c r="G563" s="0" t="s">
        <v>1909</v>
      </c>
      <c r="H563" s="0" t="s">
        <v>5614</v>
      </c>
      <c r="I563" s="5" t="s">
        <v>7143</v>
      </c>
      <c r="K563" s="0" t="s">
        <v>36</v>
      </c>
      <c r="L563" s="0" t="s">
        <v>7134</v>
      </c>
    </row>
    <row r="564" customFormat="false" ht="17.15" hidden="false" customHeight="false" outlineLevel="0" collapsed="false">
      <c r="A564" s="0" t="s">
        <v>7144</v>
      </c>
      <c r="B564" s="0" t="s">
        <v>7145</v>
      </c>
      <c r="C564" s="0" t="s">
        <v>7146</v>
      </c>
      <c r="D564" s="0" t="s">
        <v>7147</v>
      </c>
      <c r="E564" s="5" t="s">
        <v>77</v>
      </c>
      <c r="F564" s="0" t="s">
        <v>7148</v>
      </c>
      <c r="G564" s="0" t="s">
        <v>1953</v>
      </c>
      <c r="H564" s="0" t="s">
        <v>5566</v>
      </c>
      <c r="I564" s="0" t="s">
        <v>7149</v>
      </c>
      <c r="K564" s="0" t="s">
        <v>36</v>
      </c>
      <c r="L564" s="0" t="s">
        <v>7150</v>
      </c>
    </row>
    <row r="565" customFormat="false" ht="17.15" hidden="false" customHeight="false" outlineLevel="0" collapsed="false">
      <c r="A565" s="0" t="s">
        <v>7151</v>
      </c>
      <c r="B565" s="0" t="s">
        <v>7130</v>
      </c>
      <c r="C565" s="0" t="s">
        <v>7152</v>
      </c>
      <c r="D565" s="0" t="s">
        <v>113</v>
      </c>
      <c r="E565" s="5" t="s">
        <v>77</v>
      </c>
      <c r="F565" s="0" t="s">
        <v>7153</v>
      </c>
      <c r="G565" s="0" t="s">
        <v>1953</v>
      </c>
      <c r="H565" s="0" t="s">
        <v>5566</v>
      </c>
      <c r="I565" s="0" t="s">
        <v>7154</v>
      </c>
      <c r="K565" s="0" t="s">
        <v>36</v>
      </c>
      <c r="L565" s="0" t="s">
        <v>7155</v>
      </c>
    </row>
    <row r="566" customFormat="false" ht="17.15" hidden="false" customHeight="false" outlineLevel="0" collapsed="false">
      <c r="A566" s="0" t="s">
        <v>7156</v>
      </c>
      <c r="B566" s="0" t="s">
        <v>7157</v>
      </c>
      <c r="C566" s="0" t="s">
        <v>7158</v>
      </c>
      <c r="D566" s="0" t="s">
        <v>6442</v>
      </c>
      <c r="E566" s="5" t="s">
        <v>77</v>
      </c>
      <c r="F566" s="0" t="s">
        <v>7159</v>
      </c>
      <c r="G566" s="0" t="s">
        <v>1953</v>
      </c>
      <c r="H566" s="0" t="s">
        <v>5566</v>
      </c>
      <c r="I566" s="5" t="s">
        <v>7160</v>
      </c>
      <c r="K566" s="0" t="s">
        <v>36</v>
      </c>
      <c r="L566" s="0" t="s">
        <v>7161</v>
      </c>
    </row>
    <row r="567" customFormat="false" ht="17.15" hidden="false" customHeight="false" outlineLevel="0" collapsed="false">
      <c r="A567" s="0" t="s">
        <v>7162</v>
      </c>
      <c r="B567" s="0" t="s">
        <v>7157</v>
      </c>
      <c r="C567" s="0" t="s">
        <v>7163</v>
      </c>
      <c r="D567" s="0" t="s">
        <v>7164</v>
      </c>
      <c r="E567" s="5" t="s">
        <v>77</v>
      </c>
      <c r="F567" s="0" t="s">
        <v>7159</v>
      </c>
      <c r="G567" s="0" t="s">
        <v>1953</v>
      </c>
      <c r="H567" s="0" t="s">
        <v>5614</v>
      </c>
      <c r="I567" s="0" t="s">
        <v>7165</v>
      </c>
      <c r="K567" s="0" t="s">
        <v>36</v>
      </c>
      <c r="L567" s="0" t="s">
        <v>7161</v>
      </c>
    </row>
    <row r="568" customFormat="false" ht="17.15" hidden="false" customHeight="false" outlineLevel="0" collapsed="false">
      <c r="A568" s="0" t="s">
        <v>7166</v>
      </c>
      <c r="B568" s="0" t="s">
        <v>7157</v>
      </c>
      <c r="C568" s="0" t="s">
        <v>7167</v>
      </c>
      <c r="D568" s="0" t="s">
        <v>5572</v>
      </c>
      <c r="E568" s="5" t="s">
        <v>77</v>
      </c>
      <c r="F568" s="0" t="s">
        <v>7159</v>
      </c>
      <c r="G568" s="0" t="s">
        <v>1953</v>
      </c>
      <c r="H568" s="0" t="s">
        <v>5614</v>
      </c>
      <c r="I568" s="0" t="s">
        <v>7168</v>
      </c>
      <c r="K568" s="0" t="s">
        <v>36</v>
      </c>
      <c r="L568" s="0" t="s">
        <v>7161</v>
      </c>
    </row>
    <row r="569" customFormat="false" ht="17.15" hidden="false" customHeight="false" outlineLevel="0" collapsed="false">
      <c r="A569" s="0" t="s">
        <v>7169</v>
      </c>
      <c r="B569" s="0" t="s">
        <v>7170</v>
      </c>
      <c r="C569" s="0" t="s">
        <v>7171</v>
      </c>
      <c r="D569" s="0" t="s">
        <v>6489</v>
      </c>
      <c r="E569" s="0" t="s">
        <v>112</v>
      </c>
      <c r="F569" s="5" t="s">
        <v>6367</v>
      </c>
      <c r="G569" s="0" t="s">
        <v>1953</v>
      </c>
      <c r="H569" s="0" t="s">
        <v>5566</v>
      </c>
      <c r="I569" s="0" t="s">
        <v>7172</v>
      </c>
      <c r="K569" s="0" t="s">
        <v>36</v>
      </c>
      <c r="L569" s="0" t="s">
        <v>7173</v>
      </c>
    </row>
    <row r="570" customFormat="false" ht="17.15" hidden="false" customHeight="false" outlineLevel="0" collapsed="false">
      <c r="A570" s="0" t="s">
        <v>7174</v>
      </c>
      <c r="B570" s="0" t="s">
        <v>7175</v>
      </c>
      <c r="C570" s="0" t="s">
        <v>7176</v>
      </c>
      <c r="D570" s="0" t="s">
        <v>6901</v>
      </c>
      <c r="E570" s="0" t="s">
        <v>112</v>
      </c>
      <c r="F570" s="5" t="s">
        <v>6367</v>
      </c>
      <c r="G570" s="0" t="s">
        <v>1953</v>
      </c>
      <c r="H570" s="0" t="s">
        <v>5566</v>
      </c>
      <c r="I570" s="0" t="s">
        <v>7177</v>
      </c>
      <c r="K570" s="0" t="s">
        <v>36</v>
      </c>
      <c r="L570" s="0" t="s">
        <v>7173</v>
      </c>
    </row>
    <row r="571" customFormat="false" ht="17.15" hidden="false" customHeight="false" outlineLevel="0" collapsed="false">
      <c r="A571" s="0" t="s">
        <v>7178</v>
      </c>
      <c r="B571" s="0" t="s">
        <v>7170</v>
      </c>
      <c r="C571" s="0" t="s">
        <v>7179</v>
      </c>
      <c r="D571" s="0" t="s">
        <v>113</v>
      </c>
      <c r="E571" s="5" t="s">
        <v>77</v>
      </c>
      <c r="F571" s="5" t="s">
        <v>6367</v>
      </c>
      <c r="G571" s="0" t="s">
        <v>1953</v>
      </c>
      <c r="H571" s="0" t="s">
        <v>5614</v>
      </c>
      <c r="I571" s="5" t="s">
        <v>7180</v>
      </c>
      <c r="K571" s="0" t="s">
        <v>36</v>
      </c>
      <c r="L571" s="0" t="s">
        <v>7173</v>
      </c>
    </row>
    <row r="572" customFormat="false" ht="17.15" hidden="false" customHeight="false" outlineLevel="0" collapsed="false">
      <c r="A572" s="0" t="s">
        <v>7181</v>
      </c>
      <c r="B572" s="0" t="s">
        <v>7182</v>
      </c>
      <c r="C572" s="0" t="s">
        <v>7183</v>
      </c>
      <c r="D572" s="0" t="s">
        <v>7184</v>
      </c>
      <c r="E572" s="5" t="s">
        <v>77</v>
      </c>
      <c r="F572" s="0" t="s">
        <v>120</v>
      </c>
      <c r="G572" s="0" t="s">
        <v>1953</v>
      </c>
      <c r="H572" s="0" t="s">
        <v>5566</v>
      </c>
      <c r="I572" s="0" t="s">
        <v>7185</v>
      </c>
      <c r="K572" s="0" t="s">
        <v>36</v>
      </c>
      <c r="L572" s="0" t="s">
        <v>7186</v>
      </c>
    </row>
    <row r="573" customFormat="false" ht="17.15" hidden="false" customHeight="false" outlineLevel="0" collapsed="false">
      <c r="A573" s="0" t="s">
        <v>7187</v>
      </c>
      <c r="B573" s="0" t="s">
        <v>7182</v>
      </c>
      <c r="C573" s="0" t="s">
        <v>7188</v>
      </c>
      <c r="D573" s="0" t="s">
        <v>7189</v>
      </c>
      <c r="E573" s="5" t="s">
        <v>77</v>
      </c>
      <c r="F573" s="0" t="s">
        <v>120</v>
      </c>
      <c r="G573" s="0" t="s">
        <v>1953</v>
      </c>
      <c r="H573" s="0" t="s">
        <v>5566</v>
      </c>
      <c r="I573" s="0" t="s">
        <v>7190</v>
      </c>
      <c r="K573" s="0" t="s">
        <v>36</v>
      </c>
      <c r="L573" s="0" t="s">
        <v>7186</v>
      </c>
    </row>
    <row r="574" customFormat="false" ht="17.15" hidden="false" customHeight="false" outlineLevel="0" collapsed="false">
      <c r="A574" s="0" t="s">
        <v>7191</v>
      </c>
      <c r="B574" s="0" t="s">
        <v>7182</v>
      </c>
      <c r="C574" s="0" t="s">
        <v>7192</v>
      </c>
      <c r="D574" s="0" t="s">
        <v>6330</v>
      </c>
      <c r="E574" s="5" t="s">
        <v>77</v>
      </c>
      <c r="F574" s="0" t="s">
        <v>120</v>
      </c>
      <c r="G574" s="0" t="s">
        <v>1953</v>
      </c>
      <c r="H574" s="0" t="s">
        <v>5598</v>
      </c>
      <c r="I574" s="0" t="s">
        <v>7193</v>
      </c>
      <c r="K574" s="0" t="s">
        <v>36</v>
      </c>
      <c r="L574" s="0" t="s">
        <v>7194</v>
      </c>
    </row>
    <row r="575" customFormat="false" ht="17.15" hidden="false" customHeight="false" outlineLevel="0" collapsed="false">
      <c r="A575" s="0" t="s">
        <v>7195</v>
      </c>
      <c r="B575" s="0" t="s">
        <v>7182</v>
      </c>
      <c r="C575" s="0" t="s">
        <v>7196</v>
      </c>
      <c r="D575" s="0" t="s">
        <v>5129</v>
      </c>
      <c r="E575" s="5" t="s">
        <v>77</v>
      </c>
      <c r="F575" s="0" t="s">
        <v>120</v>
      </c>
      <c r="G575" s="0" t="s">
        <v>1953</v>
      </c>
      <c r="H575" s="0" t="s">
        <v>5631</v>
      </c>
      <c r="I575" s="5" t="s">
        <v>7197</v>
      </c>
      <c r="K575" s="0" t="s">
        <v>36</v>
      </c>
      <c r="L575" s="0" t="s">
        <v>7198</v>
      </c>
    </row>
    <row r="576" customFormat="false" ht="17.15" hidden="false" customHeight="false" outlineLevel="0" collapsed="false">
      <c r="A576" s="0" t="s">
        <v>7199</v>
      </c>
      <c r="B576" s="0" t="s">
        <v>7182</v>
      </c>
      <c r="C576" s="0" t="s">
        <v>7200</v>
      </c>
      <c r="D576" s="0" t="s">
        <v>6901</v>
      </c>
      <c r="E576" s="5" t="s">
        <v>77</v>
      </c>
      <c r="F576" s="0" t="s">
        <v>120</v>
      </c>
      <c r="G576" s="0" t="s">
        <v>1953</v>
      </c>
      <c r="H576" s="0" t="s">
        <v>5631</v>
      </c>
      <c r="I576" s="5" t="s">
        <v>7201</v>
      </c>
      <c r="K576" s="0" t="s">
        <v>36</v>
      </c>
      <c r="L576" s="0" t="s">
        <v>7198</v>
      </c>
    </row>
    <row r="577" customFormat="false" ht="17.15" hidden="false" customHeight="false" outlineLevel="0" collapsed="false">
      <c r="A577" s="0" t="s">
        <v>7202</v>
      </c>
      <c r="B577" s="0" t="s">
        <v>7203</v>
      </c>
      <c r="C577" s="0" t="s">
        <v>7204</v>
      </c>
      <c r="D577" s="0" t="s">
        <v>7205</v>
      </c>
      <c r="E577" s="5" t="s">
        <v>77</v>
      </c>
      <c r="F577" s="0" t="s">
        <v>7206</v>
      </c>
      <c r="G577" s="0" t="s">
        <v>1953</v>
      </c>
      <c r="H577" s="0" t="s">
        <v>5566</v>
      </c>
      <c r="I577" s="0" t="s">
        <v>7207</v>
      </c>
      <c r="K577" s="0" t="s">
        <v>36</v>
      </c>
      <c r="L577" s="0" t="s">
        <v>7208</v>
      </c>
    </row>
    <row r="578" customFormat="false" ht="17.15" hidden="false" customHeight="false" outlineLevel="0" collapsed="false">
      <c r="A578" s="0" t="s">
        <v>7209</v>
      </c>
      <c r="B578" s="0" t="s">
        <v>7203</v>
      </c>
      <c r="C578" s="0" t="s">
        <v>7210</v>
      </c>
      <c r="D578" s="0" t="s">
        <v>5129</v>
      </c>
      <c r="E578" s="5" t="s">
        <v>77</v>
      </c>
      <c r="F578" s="0" t="s">
        <v>7211</v>
      </c>
      <c r="G578" s="0" t="s">
        <v>1953</v>
      </c>
      <c r="H578" s="0" t="s">
        <v>5566</v>
      </c>
      <c r="I578" s="5" t="s">
        <v>7212</v>
      </c>
      <c r="K578" s="0" t="s">
        <v>36</v>
      </c>
      <c r="L578" s="0" t="s">
        <v>7213</v>
      </c>
    </row>
    <row r="579" customFormat="false" ht="17.15" hidden="false" customHeight="false" outlineLevel="0" collapsed="false">
      <c r="A579" s="0" t="s">
        <v>7214</v>
      </c>
      <c r="B579" s="0" t="s">
        <v>7203</v>
      </c>
      <c r="C579" s="0" t="s">
        <v>7215</v>
      </c>
      <c r="D579" s="0" t="s">
        <v>6675</v>
      </c>
      <c r="E579" s="5" t="s">
        <v>77</v>
      </c>
      <c r="F579" s="0" t="s">
        <v>7211</v>
      </c>
      <c r="G579" s="0" t="s">
        <v>1953</v>
      </c>
      <c r="H579" s="0" t="s">
        <v>5566</v>
      </c>
      <c r="I579" s="0" t="s">
        <v>7216</v>
      </c>
      <c r="K579" s="0" t="s">
        <v>36</v>
      </c>
      <c r="L579" s="0" t="s">
        <v>7213</v>
      </c>
    </row>
    <row r="580" customFormat="false" ht="17.15" hidden="false" customHeight="false" outlineLevel="0" collapsed="false">
      <c r="A580" s="0" t="s">
        <v>7217</v>
      </c>
      <c r="B580" s="0" t="s">
        <v>5852</v>
      </c>
      <c r="C580" s="0" t="s">
        <v>7218</v>
      </c>
      <c r="D580" s="0" t="s">
        <v>4883</v>
      </c>
      <c r="E580" s="0" t="s">
        <v>112</v>
      </c>
      <c r="F580" s="0" t="s">
        <v>2407</v>
      </c>
      <c r="G580" s="0" t="s">
        <v>1953</v>
      </c>
      <c r="H580" s="0" t="s">
        <v>5566</v>
      </c>
      <c r="I580" s="0" t="s">
        <v>7219</v>
      </c>
      <c r="K580" s="0" t="s">
        <v>36</v>
      </c>
      <c r="L580" s="0" t="s">
        <v>7220</v>
      </c>
    </row>
    <row r="581" customFormat="false" ht="17.15" hidden="false" customHeight="false" outlineLevel="0" collapsed="false">
      <c r="A581" s="0" t="s">
        <v>7221</v>
      </c>
      <c r="B581" s="0" t="s">
        <v>7222</v>
      </c>
      <c r="C581" s="0" t="s">
        <v>7223</v>
      </c>
      <c r="D581" s="0" t="s">
        <v>7224</v>
      </c>
      <c r="E581" s="5" t="s">
        <v>77</v>
      </c>
      <c r="F581" s="0" t="s">
        <v>7225</v>
      </c>
      <c r="G581" s="0" t="s">
        <v>1899</v>
      </c>
      <c r="H581" s="0" t="s">
        <v>5566</v>
      </c>
      <c r="I581" s="0" t="s">
        <v>7226</v>
      </c>
      <c r="K581" s="0" t="s">
        <v>36</v>
      </c>
      <c r="L581" s="0" t="s">
        <v>7227</v>
      </c>
    </row>
    <row r="582" customFormat="false" ht="17.15" hidden="false" customHeight="false" outlineLevel="0" collapsed="false">
      <c r="A582" s="0" t="s">
        <v>7228</v>
      </c>
      <c r="B582" s="0" t="s">
        <v>7222</v>
      </c>
      <c r="C582" s="0" t="s">
        <v>7229</v>
      </c>
      <c r="D582" s="0" t="s">
        <v>6101</v>
      </c>
      <c r="E582" s="0" t="s">
        <v>112</v>
      </c>
      <c r="F582" s="0" t="s">
        <v>7230</v>
      </c>
      <c r="G582" s="0" t="s">
        <v>1953</v>
      </c>
      <c r="H582" s="0" t="s">
        <v>5566</v>
      </c>
      <c r="I582" s="0" t="s">
        <v>7231</v>
      </c>
      <c r="K582" s="0" t="s">
        <v>36</v>
      </c>
      <c r="L582" s="0" t="s">
        <v>7232</v>
      </c>
    </row>
    <row r="583" customFormat="false" ht="17.15" hidden="false" customHeight="false" outlineLevel="0" collapsed="false">
      <c r="A583" s="0" t="s">
        <v>7233</v>
      </c>
      <c r="B583" s="0" t="s">
        <v>5852</v>
      </c>
      <c r="C583" s="0" t="s">
        <v>7234</v>
      </c>
      <c r="D583" s="0" t="s">
        <v>113</v>
      </c>
      <c r="E583" s="5" t="s">
        <v>77</v>
      </c>
      <c r="G583" s="0" t="s">
        <v>4588</v>
      </c>
      <c r="H583" s="0" t="s">
        <v>5614</v>
      </c>
      <c r="I583" s="5" t="s">
        <v>7235</v>
      </c>
      <c r="K583" s="0" t="s">
        <v>36</v>
      </c>
      <c r="L583" s="0" t="s">
        <v>7236</v>
      </c>
    </row>
    <row r="584" customFormat="false" ht="17.15" hidden="false" customHeight="false" outlineLevel="0" collapsed="false">
      <c r="A584" s="0" t="s">
        <v>7237</v>
      </c>
      <c r="B584" s="0" t="s">
        <v>7238</v>
      </c>
      <c r="C584" s="0" t="s">
        <v>7239</v>
      </c>
      <c r="D584" s="0" t="s">
        <v>7240</v>
      </c>
      <c r="E584" s="5" t="s">
        <v>77</v>
      </c>
      <c r="F584" s="0" t="s">
        <v>2402</v>
      </c>
      <c r="G584" s="0" t="s">
        <v>1953</v>
      </c>
      <c r="H584" s="0" t="s">
        <v>5598</v>
      </c>
      <c r="I584" s="5" t="s">
        <v>7241</v>
      </c>
      <c r="K584" s="0" t="s">
        <v>36</v>
      </c>
      <c r="L584" s="0" t="s">
        <v>7242</v>
      </c>
    </row>
    <row r="585" customFormat="false" ht="17.15" hidden="false" customHeight="false" outlineLevel="0" collapsed="false">
      <c r="A585" s="0" t="s">
        <v>7243</v>
      </c>
      <c r="B585" s="0" t="s">
        <v>7238</v>
      </c>
      <c r="C585" s="0" t="s">
        <v>7244</v>
      </c>
      <c r="D585" s="0" t="s">
        <v>4823</v>
      </c>
      <c r="E585" s="5" t="s">
        <v>77</v>
      </c>
      <c r="F585" s="0" t="s">
        <v>6426</v>
      </c>
      <c r="G585" s="0" t="s">
        <v>1953</v>
      </c>
      <c r="H585" s="0" t="s">
        <v>5566</v>
      </c>
      <c r="I585" s="0" t="s">
        <v>7245</v>
      </c>
      <c r="K585" s="0" t="s">
        <v>36</v>
      </c>
      <c r="L585" s="0" t="s">
        <v>7246</v>
      </c>
    </row>
    <row r="586" customFormat="false" ht="17.15" hidden="false" customHeight="false" outlineLevel="0" collapsed="false">
      <c r="A586" s="0" t="s">
        <v>7247</v>
      </c>
      <c r="B586" s="0" t="s">
        <v>7248</v>
      </c>
      <c r="C586" s="0" t="s">
        <v>7249</v>
      </c>
      <c r="D586" s="0" t="s">
        <v>7250</v>
      </c>
      <c r="E586" s="0" t="s">
        <v>112</v>
      </c>
      <c r="G586" s="0" t="s">
        <v>1953</v>
      </c>
      <c r="H586" s="0" t="s">
        <v>5598</v>
      </c>
      <c r="I586" s="5" t="s">
        <v>7251</v>
      </c>
      <c r="K586" s="0" t="s">
        <v>36</v>
      </c>
      <c r="L586" s="0" t="s">
        <v>7252</v>
      </c>
    </row>
    <row r="587" customFormat="false" ht="17.15" hidden="false" customHeight="false" outlineLevel="0" collapsed="false">
      <c r="A587" s="0" t="s">
        <v>7253</v>
      </c>
      <c r="B587" s="0" t="s">
        <v>7238</v>
      </c>
      <c r="C587" s="0" t="s">
        <v>7254</v>
      </c>
      <c r="D587" s="0" t="s">
        <v>6658</v>
      </c>
      <c r="E587" s="0" t="s">
        <v>112</v>
      </c>
      <c r="F587" s="0" t="s">
        <v>4560</v>
      </c>
      <c r="G587" s="0" t="s">
        <v>1899</v>
      </c>
      <c r="H587" s="0" t="s">
        <v>5592</v>
      </c>
      <c r="I587" s="5" t="s">
        <v>7255</v>
      </c>
      <c r="K587" s="0" t="s">
        <v>36</v>
      </c>
      <c r="L587" s="0" t="s">
        <v>7256</v>
      </c>
    </row>
    <row r="588" customFormat="false" ht="17.15" hidden="false" customHeight="false" outlineLevel="0" collapsed="false">
      <c r="A588" s="0" t="s">
        <v>7257</v>
      </c>
      <c r="B588" s="0" t="s">
        <v>7238</v>
      </c>
      <c r="C588" s="0" t="s">
        <v>7258</v>
      </c>
      <c r="D588" s="0" t="s">
        <v>7259</v>
      </c>
      <c r="E588" s="0" t="s">
        <v>112</v>
      </c>
      <c r="F588" s="0" t="s">
        <v>4560</v>
      </c>
      <c r="G588" s="0" t="s">
        <v>1899</v>
      </c>
      <c r="H588" s="0" t="s">
        <v>5598</v>
      </c>
      <c r="I588" s="0" t="s">
        <v>7260</v>
      </c>
      <c r="K588" s="0" t="s">
        <v>36</v>
      </c>
      <c r="L588" s="0" t="s">
        <v>7256</v>
      </c>
    </row>
    <row r="589" customFormat="false" ht="17.15" hidden="false" customHeight="false" outlineLevel="0" collapsed="false">
      <c r="A589" s="0" t="s">
        <v>7261</v>
      </c>
      <c r="B589" s="0" t="s">
        <v>7238</v>
      </c>
      <c r="C589" s="0" t="s">
        <v>7262</v>
      </c>
      <c r="D589" s="0" t="s">
        <v>113</v>
      </c>
      <c r="E589" s="5" t="s">
        <v>77</v>
      </c>
      <c r="G589" s="0" t="s">
        <v>1953</v>
      </c>
      <c r="H589" s="0" t="s">
        <v>5614</v>
      </c>
      <c r="I589" s="5" t="s">
        <v>7263</v>
      </c>
      <c r="K589" s="0" t="s">
        <v>36</v>
      </c>
      <c r="L589" s="0" t="s">
        <v>7264</v>
      </c>
    </row>
    <row r="590" customFormat="false" ht="17.15" hidden="false" customHeight="false" outlineLevel="0" collapsed="false">
      <c r="A590" s="0" t="s">
        <v>7265</v>
      </c>
      <c r="B590" s="0" t="s">
        <v>7266</v>
      </c>
      <c r="C590" s="0" t="s">
        <v>7267</v>
      </c>
      <c r="D590" s="0" t="s">
        <v>113</v>
      </c>
      <c r="E590" s="5" t="s">
        <v>77</v>
      </c>
      <c r="F590" s="0" t="s">
        <v>7268</v>
      </c>
      <c r="G590" s="0" t="s">
        <v>1899</v>
      </c>
      <c r="H590" s="0" t="s">
        <v>5566</v>
      </c>
      <c r="I590" s="5" t="s">
        <v>7269</v>
      </c>
      <c r="K590" s="0" t="s">
        <v>36</v>
      </c>
      <c r="L590" s="0" t="s">
        <v>7270</v>
      </c>
    </row>
    <row r="591" customFormat="false" ht="17.15" hidden="false" customHeight="false" outlineLevel="0" collapsed="false">
      <c r="A591" s="0" t="s">
        <v>7271</v>
      </c>
      <c r="B591" s="0" t="s">
        <v>7272</v>
      </c>
      <c r="C591" s="0" t="s">
        <v>7273</v>
      </c>
      <c r="D591" s="0" t="s">
        <v>7274</v>
      </c>
      <c r="E591" s="5" t="s">
        <v>77</v>
      </c>
      <c r="F591" s="0" t="s">
        <v>6868</v>
      </c>
      <c r="G591" s="0" t="s">
        <v>1899</v>
      </c>
      <c r="H591" s="0" t="s">
        <v>5598</v>
      </c>
      <c r="I591" s="0" t="s">
        <v>7275</v>
      </c>
      <c r="K591" s="0" t="s">
        <v>36</v>
      </c>
      <c r="L591" s="0" t="s">
        <v>7276</v>
      </c>
    </row>
    <row r="592" customFormat="false" ht="17.15" hidden="false" customHeight="false" outlineLevel="0" collapsed="false">
      <c r="A592" s="0" t="s">
        <v>7277</v>
      </c>
      <c r="B592" s="0" t="s">
        <v>7272</v>
      </c>
      <c r="C592" s="0" t="s">
        <v>7278</v>
      </c>
      <c r="D592" s="0" t="s">
        <v>7279</v>
      </c>
      <c r="E592" s="5" t="s">
        <v>77</v>
      </c>
      <c r="F592" s="0" t="s">
        <v>6426</v>
      </c>
      <c r="G592" s="0" t="s">
        <v>1899</v>
      </c>
      <c r="H592" s="0" t="s">
        <v>5598</v>
      </c>
      <c r="I592" s="0" t="s">
        <v>7280</v>
      </c>
      <c r="K592" s="0" t="s">
        <v>36</v>
      </c>
      <c r="L592" s="0" t="s">
        <v>7281</v>
      </c>
    </row>
    <row r="593" customFormat="false" ht="17.15" hidden="false" customHeight="false" outlineLevel="0" collapsed="false">
      <c r="A593" s="0" t="s">
        <v>7282</v>
      </c>
      <c r="B593" s="0" t="s">
        <v>7283</v>
      </c>
      <c r="C593" s="0" t="s">
        <v>7284</v>
      </c>
      <c r="D593" s="0" t="s">
        <v>7285</v>
      </c>
      <c r="E593" s="0" t="s">
        <v>112</v>
      </c>
      <c r="F593" s="0" t="s">
        <v>4374</v>
      </c>
      <c r="G593" s="0" t="s">
        <v>1953</v>
      </c>
      <c r="H593" s="0" t="s">
        <v>5614</v>
      </c>
      <c r="I593" s="0" t="s">
        <v>7286</v>
      </c>
      <c r="K593" s="0" t="s">
        <v>36</v>
      </c>
      <c r="L593" s="0" t="s">
        <v>7287</v>
      </c>
    </row>
    <row r="594" customFormat="false" ht="17.15" hidden="false" customHeight="false" outlineLevel="0" collapsed="false">
      <c r="A594" s="0" t="s">
        <v>7288</v>
      </c>
      <c r="B594" s="0" t="s">
        <v>7289</v>
      </c>
      <c r="C594" s="0" t="s">
        <v>7290</v>
      </c>
      <c r="D594" s="0" t="s">
        <v>7291</v>
      </c>
      <c r="E594" s="0" t="s">
        <v>112</v>
      </c>
      <c r="F594" s="0" t="s">
        <v>7292</v>
      </c>
      <c r="G594" s="0" t="s">
        <v>1899</v>
      </c>
      <c r="H594" s="0" t="s">
        <v>5598</v>
      </c>
      <c r="I594" s="0" t="s">
        <v>7293</v>
      </c>
      <c r="K594" s="0" t="s">
        <v>36</v>
      </c>
      <c r="L594" s="0" t="s">
        <v>7294</v>
      </c>
    </row>
    <row r="595" customFormat="false" ht="17.15" hidden="false" customHeight="false" outlineLevel="0" collapsed="false">
      <c r="A595" s="0" t="s">
        <v>7295</v>
      </c>
      <c r="B595" s="0" t="s">
        <v>7283</v>
      </c>
      <c r="C595" s="0" t="s">
        <v>7296</v>
      </c>
      <c r="D595" s="0" t="s">
        <v>5903</v>
      </c>
      <c r="E595" s="0" t="s">
        <v>112</v>
      </c>
      <c r="F595" s="0" t="s">
        <v>7292</v>
      </c>
      <c r="G595" s="0" t="s">
        <v>1899</v>
      </c>
      <c r="H595" s="0" t="s">
        <v>5598</v>
      </c>
      <c r="I595" s="0" t="s">
        <v>7297</v>
      </c>
      <c r="K595" s="0" t="s">
        <v>36</v>
      </c>
      <c r="L595" s="0" t="s">
        <v>7294</v>
      </c>
    </row>
    <row r="596" customFormat="false" ht="17.15" hidden="false" customHeight="false" outlineLevel="0" collapsed="false">
      <c r="A596" s="0" t="s">
        <v>7298</v>
      </c>
      <c r="B596" s="0" t="s">
        <v>7299</v>
      </c>
      <c r="C596" s="0" t="s">
        <v>7300</v>
      </c>
      <c r="D596" s="0" t="s">
        <v>7301</v>
      </c>
      <c r="E596" s="5" t="s">
        <v>77</v>
      </c>
      <c r="F596" s="0" t="s">
        <v>6392</v>
      </c>
      <c r="G596" s="0" t="s">
        <v>1899</v>
      </c>
      <c r="H596" s="0" t="s">
        <v>5566</v>
      </c>
      <c r="I596" s="0" t="s">
        <v>7302</v>
      </c>
      <c r="K596" s="0" t="s">
        <v>36</v>
      </c>
      <c r="L596" s="0" t="s">
        <v>7303</v>
      </c>
    </row>
    <row r="597" customFormat="false" ht="17.15" hidden="false" customHeight="false" outlineLevel="0" collapsed="false">
      <c r="A597" s="0" t="s">
        <v>7304</v>
      </c>
      <c r="B597" s="0" t="s">
        <v>7299</v>
      </c>
      <c r="C597" s="0" t="s">
        <v>7305</v>
      </c>
      <c r="D597" s="0" t="s">
        <v>113</v>
      </c>
      <c r="E597" s="5" t="s">
        <v>77</v>
      </c>
      <c r="F597" s="0" t="s">
        <v>5573</v>
      </c>
      <c r="G597" s="0" t="s">
        <v>1953</v>
      </c>
      <c r="H597" s="0" t="s">
        <v>5631</v>
      </c>
      <c r="I597" s="5" t="s">
        <v>7306</v>
      </c>
      <c r="K597" s="0" t="s">
        <v>36</v>
      </c>
      <c r="L597" s="0" t="s">
        <v>7307</v>
      </c>
    </row>
    <row r="598" customFormat="false" ht="17.15" hidden="false" customHeight="false" outlineLevel="0" collapsed="false">
      <c r="A598" s="0" t="s">
        <v>7308</v>
      </c>
      <c r="B598" s="0" t="s">
        <v>7272</v>
      </c>
      <c r="C598" s="0" t="s">
        <v>7309</v>
      </c>
      <c r="D598" s="0" t="s">
        <v>7310</v>
      </c>
      <c r="E598" s="0" t="s">
        <v>112</v>
      </c>
      <c r="F598" s="0" t="s">
        <v>5831</v>
      </c>
      <c r="G598" s="0" t="s">
        <v>1953</v>
      </c>
      <c r="H598" s="0" t="s">
        <v>5631</v>
      </c>
      <c r="I598" s="0" t="s">
        <v>7311</v>
      </c>
      <c r="K598" s="0" t="s">
        <v>36</v>
      </c>
      <c r="L598" s="0" t="s">
        <v>7312</v>
      </c>
    </row>
    <row r="599" customFormat="false" ht="17.15" hidden="false" customHeight="false" outlineLevel="0" collapsed="false">
      <c r="A599" s="0" t="s">
        <v>7313</v>
      </c>
      <c r="B599" s="0" t="s">
        <v>7272</v>
      </c>
      <c r="C599" s="0" t="s">
        <v>7314</v>
      </c>
      <c r="D599" s="0" t="s">
        <v>7315</v>
      </c>
      <c r="E599" s="5" t="s">
        <v>77</v>
      </c>
      <c r="F599" s="0" t="s">
        <v>6297</v>
      </c>
      <c r="G599" s="0" t="s">
        <v>1899</v>
      </c>
      <c r="H599" s="0" t="s">
        <v>5598</v>
      </c>
      <c r="I599" s="0" t="s">
        <v>7316</v>
      </c>
      <c r="K599" s="0" t="s">
        <v>36</v>
      </c>
      <c r="L599" s="0" t="s">
        <v>7317</v>
      </c>
    </row>
    <row r="600" customFormat="false" ht="17.15" hidden="false" customHeight="false" outlineLevel="0" collapsed="false">
      <c r="A600" s="0" t="s">
        <v>7318</v>
      </c>
      <c r="B600" s="0" t="s">
        <v>7272</v>
      </c>
      <c r="C600" s="0" t="s">
        <v>7319</v>
      </c>
      <c r="D600" s="0" t="s">
        <v>7320</v>
      </c>
      <c r="E600" s="5" t="s">
        <v>77</v>
      </c>
      <c r="F600" s="0" t="s">
        <v>7321</v>
      </c>
      <c r="G600" s="0" t="s">
        <v>1909</v>
      </c>
      <c r="H600" s="0" t="s">
        <v>5566</v>
      </c>
      <c r="I600" s="0" t="s">
        <v>7322</v>
      </c>
      <c r="K600" s="0" t="s">
        <v>36</v>
      </c>
      <c r="L600" s="0" t="s">
        <v>7323</v>
      </c>
    </row>
    <row r="601" customFormat="false" ht="17.15" hidden="false" customHeight="false" outlineLevel="0" collapsed="false">
      <c r="A601" s="0" t="s">
        <v>7324</v>
      </c>
      <c r="B601" s="0" t="s">
        <v>7272</v>
      </c>
      <c r="C601" s="0" t="s">
        <v>7325</v>
      </c>
      <c r="D601" s="0" t="s">
        <v>4883</v>
      </c>
      <c r="E601" s="5" t="s">
        <v>77</v>
      </c>
      <c r="F601" s="0" t="s">
        <v>6297</v>
      </c>
      <c r="G601" s="0" t="s">
        <v>1953</v>
      </c>
      <c r="H601" s="0" t="s">
        <v>5614</v>
      </c>
      <c r="I601" s="5" t="s">
        <v>7326</v>
      </c>
      <c r="K601" s="0" t="s">
        <v>36</v>
      </c>
      <c r="L601" s="0" t="s">
        <v>7317</v>
      </c>
    </row>
    <row r="602" customFormat="false" ht="17.15" hidden="false" customHeight="false" outlineLevel="0" collapsed="false">
      <c r="A602" s="0" t="s">
        <v>7327</v>
      </c>
      <c r="B602" s="0" t="s">
        <v>7328</v>
      </c>
      <c r="C602" s="0" t="s">
        <v>7329</v>
      </c>
      <c r="D602" s="0" t="s">
        <v>6069</v>
      </c>
      <c r="E602" s="5" t="s">
        <v>77</v>
      </c>
      <c r="F602" s="0" t="s">
        <v>6426</v>
      </c>
      <c r="G602" s="0" t="s">
        <v>1953</v>
      </c>
      <c r="H602" s="0" t="s">
        <v>5614</v>
      </c>
      <c r="I602" s="0" t="s">
        <v>7330</v>
      </c>
      <c r="K602" s="0" t="s">
        <v>36</v>
      </c>
      <c r="L602" s="0" t="s">
        <v>7281</v>
      </c>
    </row>
    <row r="603" customFormat="false" ht="17.15" hidden="false" customHeight="false" outlineLevel="0" collapsed="false">
      <c r="A603" s="0" t="s">
        <v>7331</v>
      </c>
      <c r="B603" s="0" t="s">
        <v>7328</v>
      </c>
      <c r="C603" s="0" t="s">
        <v>7332</v>
      </c>
      <c r="D603" s="0" t="s">
        <v>113</v>
      </c>
      <c r="E603" s="5" t="s">
        <v>77</v>
      </c>
      <c r="F603" s="0" t="s">
        <v>7333</v>
      </c>
      <c r="G603" s="0" t="s">
        <v>1953</v>
      </c>
      <c r="H603" s="0" t="s">
        <v>5566</v>
      </c>
      <c r="I603" s="5" t="s">
        <v>7334</v>
      </c>
      <c r="K603" s="0" t="s">
        <v>36</v>
      </c>
      <c r="L603" s="0" t="s">
        <v>7335</v>
      </c>
    </row>
    <row r="604" customFormat="false" ht="17.15" hidden="false" customHeight="false" outlineLevel="0" collapsed="false">
      <c r="A604" s="0" t="s">
        <v>7336</v>
      </c>
      <c r="B604" s="0" t="s">
        <v>7328</v>
      </c>
      <c r="C604" s="0" t="s">
        <v>7337</v>
      </c>
      <c r="D604" s="0" t="s">
        <v>5903</v>
      </c>
      <c r="E604" s="5" t="s">
        <v>77</v>
      </c>
      <c r="F604" s="0" t="s">
        <v>5619</v>
      </c>
      <c r="G604" s="0" t="s">
        <v>1953</v>
      </c>
      <c r="H604" s="0" t="s">
        <v>5566</v>
      </c>
      <c r="I604" s="0" t="s">
        <v>7338</v>
      </c>
      <c r="K604" s="0" t="s">
        <v>36</v>
      </c>
      <c r="L604" s="0" t="s">
        <v>7339</v>
      </c>
    </row>
    <row r="605" customFormat="false" ht="17.15" hidden="false" customHeight="false" outlineLevel="0" collapsed="false">
      <c r="A605" s="0" t="s">
        <v>7340</v>
      </c>
      <c r="B605" s="0" t="s">
        <v>7328</v>
      </c>
      <c r="C605" s="0" t="s">
        <v>7341</v>
      </c>
      <c r="D605" s="0" t="s">
        <v>5843</v>
      </c>
      <c r="E605" s="5" t="s">
        <v>77</v>
      </c>
      <c r="F605" s="0" t="s">
        <v>5619</v>
      </c>
      <c r="G605" s="0" t="s">
        <v>1953</v>
      </c>
      <c r="H605" s="0" t="s">
        <v>5566</v>
      </c>
      <c r="I605" s="0" t="s">
        <v>7342</v>
      </c>
      <c r="K605" s="0" t="s">
        <v>36</v>
      </c>
      <c r="L605" s="0" t="s">
        <v>7339</v>
      </c>
    </row>
    <row r="606" customFormat="false" ht="17.15" hidden="false" customHeight="false" outlineLevel="0" collapsed="false">
      <c r="A606" s="0" t="s">
        <v>7343</v>
      </c>
      <c r="B606" s="0" t="s">
        <v>7344</v>
      </c>
      <c r="C606" s="0" t="s">
        <v>7345</v>
      </c>
      <c r="D606" s="0" t="s">
        <v>113</v>
      </c>
      <c r="E606" s="5" t="s">
        <v>77</v>
      </c>
      <c r="F606" s="0" t="s">
        <v>7346</v>
      </c>
      <c r="G606" s="0" t="s">
        <v>1953</v>
      </c>
      <c r="H606" s="0" t="s">
        <v>5614</v>
      </c>
      <c r="I606" s="5" t="s">
        <v>7347</v>
      </c>
      <c r="K606" s="0" t="s">
        <v>36</v>
      </c>
      <c r="L606" s="0" t="s">
        <v>7348</v>
      </c>
    </row>
    <row r="607" customFormat="false" ht="17.15" hidden="false" customHeight="false" outlineLevel="0" collapsed="false">
      <c r="A607" s="0" t="s">
        <v>7349</v>
      </c>
      <c r="B607" s="0" t="s">
        <v>7344</v>
      </c>
      <c r="C607" s="0" t="s">
        <v>7350</v>
      </c>
      <c r="D607" s="0" t="s">
        <v>7351</v>
      </c>
      <c r="E607" s="5" t="s">
        <v>77</v>
      </c>
      <c r="F607" s="0" t="s">
        <v>7352</v>
      </c>
      <c r="G607" s="0" t="s">
        <v>1953</v>
      </c>
      <c r="H607" s="0" t="s">
        <v>5614</v>
      </c>
      <c r="I607" s="5" t="s">
        <v>7353</v>
      </c>
      <c r="K607" s="0" t="s">
        <v>36</v>
      </c>
      <c r="L607" s="0" t="s">
        <v>7354</v>
      </c>
    </row>
    <row r="608" customFormat="false" ht="17.15" hidden="false" customHeight="false" outlineLevel="0" collapsed="false">
      <c r="A608" s="0" t="s">
        <v>7355</v>
      </c>
      <c r="B608" s="0" t="s">
        <v>7344</v>
      </c>
      <c r="C608" s="0" t="s">
        <v>7356</v>
      </c>
      <c r="D608" s="0" t="s">
        <v>6330</v>
      </c>
      <c r="E608" s="5" t="s">
        <v>77</v>
      </c>
      <c r="F608" s="0" t="s">
        <v>7352</v>
      </c>
      <c r="G608" s="0" t="s">
        <v>1953</v>
      </c>
      <c r="H608" s="0" t="s">
        <v>5614</v>
      </c>
      <c r="I608" s="0" t="s">
        <v>7357</v>
      </c>
      <c r="K608" s="0" t="s">
        <v>36</v>
      </c>
      <c r="L608" s="0" t="s">
        <v>7354</v>
      </c>
    </row>
    <row r="609" customFormat="false" ht="17.15" hidden="false" customHeight="false" outlineLevel="0" collapsed="false">
      <c r="A609" s="0" t="s">
        <v>7358</v>
      </c>
      <c r="B609" s="0" t="s">
        <v>7344</v>
      </c>
      <c r="C609" s="0" t="s">
        <v>7359</v>
      </c>
      <c r="D609" s="0" t="s">
        <v>5608</v>
      </c>
      <c r="E609" s="5" t="s">
        <v>77</v>
      </c>
      <c r="F609" s="0" t="s">
        <v>7360</v>
      </c>
      <c r="G609" s="0" t="s">
        <v>1953</v>
      </c>
      <c r="H609" s="0" t="s">
        <v>5598</v>
      </c>
      <c r="I609" s="5" t="s">
        <v>7361</v>
      </c>
      <c r="K609" s="0" t="s">
        <v>36</v>
      </c>
      <c r="L609" s="0" t="s">
        <v>7362</v>
      </c>
    </row>
    <row r="610" customFormat="false" ht="17.15" hidden="false" customHeight="false" outlineLevel="0" collapsed="false">
      <c r="A610" s="0" t="s">
        <v>7363</v>
      </c>
      <c r="B610" s="0" t="s">
        <v>7344</v>
      </c>
      <c r="C610" s="0" t="s">
        <v>7364</v>
      </c>
      <c r="D610" s="0" t="s">
        <v>7365</v>
      </c>
      <c r="E610" s="5" t="s">
        <v>77</v>
      </c>
      <c r="F610" s="0" t="s">
        <v>7346</v>
      </c>
      <c r="G610" s="0" t="s">
        <v>1953</v>
      </c>
      <c r="H610" s="0" t="s">
        <v>5566</v>
      </c>
      <c r="I610" s="0" t="s">
        <v>7366</v>
      </c>
      <c r="K610" s="0" t="s">
        <v>36</v>
      </c>
      <c r="L610" s="0" t="s">
        <v>7348</v>
      </c>
    </row>
    <row r="611" customFormat="false" ht="17.15" hidden="false" customHeight="false" outlineLevel="0" collapsed="false">
      <c r="A611" s="0" t="s">
        <v>7367</v>
      </c>
      <c r="B611" s="0" t="s">
        <v>7344</v>
      </c>
      <c r="C611" s="0" t="s">
        <v>7368</v>
      </c>
      <c r="D611" s="0" t="s">
        <v>7369</v>
      </c>
      <c r="E611" s="5" t="s">
        <v>77</v>
      </c>
      <c r="F611" s="0" t="s">
        <v>7370</v>
      </c>
      <c r="G611" s="0" t="s">
        <v>1899</v>
      </c>
      <c r="H611" s="0" t="s">
        <v>5609</v>
      </c>
      <c r="I611" s="5" t="s">
        <v>5819</v>
      </c>
      <c r="K611" s="0" t="s">
        <v>36</v>
      </c>
      <c r="L611" s="0" t="s">
        <v>7371</v>
      </c>
    </row>
    <row r="612" customFormat="false" ht="17.15" hidden="false" customHeight="false" outlineLevel="0" collapsed="false">
      <c r="A612" s="0" t="s">
        <v>7372</v>
      </c>
      <c r="B612" s="0" t="s">
        <v>7373</v>
      </c>
      <c r="C612" s="0" t="s">
        <v>7374</v>
      </c>
      <c r="D612" s="0" t="s">
        <v>7375</v>
      </c>
      <c r="E612" s="0" t="s">
        <v>112</v>
      </c>
      <c r="F612" s="0" t="s">
        <v>4774</v>
      </c>
      <c r="G612" s="0" t="s">
        <v>1953</v>
      </c>
      <c r="H612" s="0" t="s">
        <v>5598</v>
      </c>
      <c r="I612" s="0" t="s">
        <v>7376</v>
      </c>
      <c r="K612" s="0" t="s">
        <v>36</v>
      </c>
      <c r="L612" s="0" t="s">
        <v>7377</v>
      </c>
    </row>
    <row r="613" customFormat="false" ht="17.15" hidden="false" customHeight="false" outlineLevel="0" collapsed="false">
      <c r="A613" s="0" t="s">
        <v>7378</v>
      </c>
      <c r="B613" s="0" t="s">
        <v>7373</v>
      </c>
      <c r="C613" s="0" t="s">
        <v>7379</v>
      </c>
      <c r="D613" s="0" t="s">
        <v>6330</v>
      </c>
      <c r="E613" s="5" t="s">
        <v>77</v>
      </c>
      <c r="F613" s="0" t="s">
        <v>4827</v>
      </c>
      <c r="G613" s="0" t="s">
        <v>1899</v>
      </c>
      <c r="H613" s="0" t="s">
        <v>5598</v>
      </c>
      <c r="I613" s="0" t="s">
        <v>7380</v>
      </c>
      <c r="K613" s="0" t="s">
        <v>36</v>
      </c>
      <c r="L613" s="0" t="s">
        <v>7381</v>
      </c>
    </row>
    <row r="614" customFormat="false" ht="17.15" hidden="false" customHeight="false" outlineLevel="0" collapsed="false">
      <c r="A614" s="0" t="s">
        <v>7382</v>
      </c>
      <c r="B614" s="0" t="s">
        <v>7373</v>
      </c>
      <c r="C614" s="0" t="s">
        <v>7383</v>
      </c>
      <c r="D614" s="0" t="s">
        <v>7384</v>
      </c>
      <c r="E614" s="5" t="s">
        <v>77</v>
      </c>
      <c r="F614" s="0" t="s">
        <v>4774</v>
      </c>
      <c r="G614" s="0" t="s">
        <v>1953</v>
      </c>
      <c r="H614" s="0" t="s">
        <v>5614</v>
      </c>
      <c r="I614" s="0" t="s">
        <v>7385</v>
      </c>
      <c r="K614" s="0" t="s">
        <v>36</v>
      </c>
      <c r="L614" s="0" t="s">
        <v>7377</v>
      </c>
    </row>
    <row r="615" customFormat="false" ht="17.15" hidden="false" customHeight="false" outlineLevel="0" collapsed="false">
      <c r="A615" s="0" t="s">
        <v>7386</v>
      </c>
      <c r="B615" s="0" t="s">
        <v>7387</v>
      </c>
      <c r="C615" s="0" t="s">
        <v>7388</v>
      </c>
      <c r="D615" s="0" t="s">
        <v>5129</v>
      </c>
      <c r="E615" s="0" t="s">
        <v>112</v>
      </c>
      <c r="F615" s="0" t="s">
        <v>2466</v>
      </c>
      <c r="G615" s="0" t="s">
        <v>1953</v>
      </c>
      <c r="H615" s="0" t="s">
        <v>5566</v>
      </c>
      <c r="I615" s="5" t="s">
        <v>7389</v>
      </c>
      <c r="K615" s="0" t="s">
        <v>36</v>
      </c>
      <c r="L615" s="0" t="s">
        <v>7390</v>
      </c>
    </row>
    <row r="616" customFormat="false" ht="17.15" hidden="false" customHeight="false" outlineLevel="0" collapsed="false">
      <c r="A616" s="0" t="s">
        <v>7391</v>
      </c>
      <c r="B616" s="0" t="s">
        <v>7387</v>
      </c>
      <c r="C616" s="0" t="s">
        <v>7392</v>
      </c>
      <c r="D616" s="0" t="s">
        <v>5572</v>
      </c>
      <c r="E616" s="5" t="s">
        <v>77</v>
      </c>
      <c r="F616" s="0" t="s">
        <v>1809</v>
      </c>
      <c r="G616" s="0" t="s">
        <v>1953</v>
      </c>
      <c r="H616" s="0" t="s">
        <v>5566</v>
      </c>
      <c r="I616" s="0" t="s">
        <v>7393</v>
      </c>
      <c r="K616" s="0" t="s">
        <v>36</v>
      </c>
      <c r="L616" s="0" t="s">
        <v>7394</v>
      </c>
    </row>
    <row r="617" customFormat="false" ht="17.15" hidden="false" customHeight="false" outlineLevel="0" collapsed="false">
      <c r="A617" s="0" t="s">
        <v>7395</v>
      </c>
      <c r="B617" s="0" t="s">
        <v>7396</v>
      </c>
      <c r="C617" s="0" t="s">
        <v>7397</v>
      </c>
      <c r="D617" s="0" t="s">
        <v>4630</v>
      </c>
      <c r="E617" s="5" t="s">
        <v>77</v>
      </c>
      <c r="F617" s="0" t="s">
        <v>7398</v>
      </c>
      <c r="G617" s="0" t="s">
        <v>1953</v>
      </c>
      <c r="H617" s="0" t="s">
        <v>5631</v>
      </c>
      <c r="I617" s="0" t="s">
        <v>7399</v>
      </c>
      <c r="K617" s="0" t="s">
        <v>36</v>
      </c>
      <c r="L617" s="0" t="s">
        <v>7400</v>
      </c>
    </row>
    <row r="618" customFormat="false" ht="17.15" hidden="false" customHeight="false" outlineLevel="0" collapsed="false">
      <c r="A618" s="0" t="s">
        <v>7401</v>
      </c>
      <c r="B618" s="0" t="s">
        <v>7396</v>
      </c>
      <c r="C618" s="0" t="s">
        <v>7402</v>
      </c>
      <c r="D618" s="0" t="s">
        <v>5889</v>
      </c>
      <c r="E618" s="5" t="s">
        <v>77</v>
      </c>
      <c r="F618" s="0" t="s">
        <v>5116</v>
      </c>
      <c r="G618" s="0" t="s">
        <v>1953</v>
      </c>
      <c r="H618" s="0" t="s">
        <v>5566</v>
      </c>
      <c r="I618" s="0" t="s">
        <v>7403</v>
      </c>
      <c r="K618" s="0" t="s">
        <v>36</v>
      </c>
      <c r="L618" s="0" t="s">
        <v>7404</v>
      </c>
    </row>
    <row r="619" customFormat="false" ht="17.15" hidden="false" customHeight="false" outlineLevel="0" collapsed="false">
      <c r="A619" s="0" t="s">
        <v>7405</v>
      </c>
      <c r="B619" s="0" t="s">
        <v>7406</v>
      </c>
      <c r="C619" s="0" t="s">
        <v>7407</v>
      </c>
      <c r="D619" s="0" t="s">
        <v>5572</v>
      </c>
      <c r="E619" s="5" t="s">
        <v>77</v>
      </c>
      <c r="F619" s="0" t="s">
        <v>5619</v>
      </c>
      <c r="G619" s="0" t="s">
        <v>1953</v>
      </c>
      <c r="H619" s="0" t="s">
        <v>5566</v>
      </c>
      <c r="I619" s="0" t="s">
        <v>7408</v>
      </c>
      <c r="K619" s="0" t="s">
        <v>36</v>
      </c>
      <c r="L619" s="0" t="s">
        <v>7409</v>
      </c>
    </row>
    <row r="620" customFormat="false" ht="17.15" hidden="false" customHeight="false" outlineLevel="0" collapsed="false">
      <c r="A620" s="0" t="s">
        <v>7410</v>
      </c>
      <c r="B620" s="0" t="s">
        <v>7406</v>
      </c>
      <c r="C620" s="0" t="s">
        <v>7411</v>
      </c>
      <c r="D620" s="0" t="s">
        <v>5129</v>
      </c>
      <c r="E620" s="5" t="s">
        <v>77</v>
      </c>
      <c r="F620" s="0" t="s">
        <v>5089</v>
      </c>
      <c r="G620" s="0" t="s">
        <v>1953</v>
      </c>
      <c r="H620" s="0" t="s">
        <v>5598</v>
      </c>
      <c r="I620" s="5" t="s">
        <v>7412</v>
      </c>
      <c r="K620" s="0" t="s">
        <v>36</v>
      </c>
      <c r="L620" s="0" t="s">
        <v>7413</v>
      </c>
    </row>
    <row r="621" customFormat="false" ht="17.15" hidden="false" customHeight="false" outlineLevel="0" collapsed="false">
      <c r="A621" s="0" t="s">
        <v>7414</v>
      </c>
      <c r="B621" s="0" t="s">
        <v>7406</v>
      </c>
      <c r="C621" s="0" t="s">
        <v>7415</v>
      </c>
      <c r="D621" s="0" t="s">
        <v>6911</v>
      </c>
      <c r="E621" s="0" t="s">
        <v>112</v>
      </c>
      <c r="F621" s="0" t="s">
        <v>5089</v>
      </c>
      <c r="G621" s="0" t="s">
        <v>1909</v>
      </c>
      <c r="H621" s="0" t="s">
        <v>5614</v>
      </c>
      <c r="I621" s="5" t="s">
        <v>7416</v>
      </c>
      <c r="K621" s="0" t="s">
        <v>36</v>
      </c>
      <c r="L621" s="0" t="s">
        <v>7417</v>
      </c>
    </row>
    <row r="622" customFormat="false" ht="17.15" hidden="false" customHeight="false" outlineLevel="0" collapsed="false">
      <c r="A622" s="0" t="s">
        <v>7418</v>
      </c>
      <c r="B622" s="0" t="s">
        <v>7419</v>
      </c>
      <c r="C622" s="0" t="s">
        <v>7420</v>
      </c>
      <c r="D622" s="0" t="s">
        <v>5889</v>
      </c>
      <c r="E622" s="5" t="s">
        <v>77</v>
      </c>
      <c r="F622" s="0" t="s">
        <v>6037</v>
      </c>
      <c r="G622" s="0" t="s">
        <v>1953</v>
      </c>
      <c r="H622" s="0" t="s">
        <v>5631</v>
      </c>
      <c r="I622" s="0" t="s">
        <v>7421</v>
      </c>
      <c r="K622" s="0" t="s">
        <v>36</v>
      </c>
      <c r="L622" s="0" t="s">
        <v>7422</v>
      </c>
    </row>
    <row r="623" customFormat="false" ht="17.15" hidden="false" customHeight="false" outlineLevel="0" collapsed="false">
      <c r="A623" s="0" t="s">
        <v>7423</v>
      </c>
      <c r="B623" s="0" t="s">
        <v>7419</v>
      </c>
      <c r="C623" s="0" t="s">
        <v>7424</v>
      </c>
      <c r="D623" s="0" t="s">
        <v>5572</v>
      </c>
      <c r="E623" s="5" t="s">
        <v>77</v>
      </c>
      <c r="F623" s="0" t="s">
        <v>7425</v>
      </c>
      <c r="G623" s="0" t="s">
        <v>1953</v>
      </c>
      <c r="H623" s="0" t="s">
        <v>5592</v>
      </c>
      <c r="I623" s="5" t="s">
        <v>7426</v>
      </c>
      <c r="K623" s="0" t="s">
        <v>36</v>
      </c>
      <c r="L623" s="0" t="s">
        <v>7427</v>
      </c>
    </row>
    <row r="624" customFormat="false" ht="17.15" hidden="false" customHeight="false" outlineLevel="0" collapsed="false">
      <c r="A624" s="0" t="s">
        <v>7428</v>
      </c>
      <c r="B624" s="0" t="s">
        <v>7429</v>
      </c>
      <c r="C624" s="0" t="s">
        <v>7430</v>
      </c>
      <c r="D624" s="0" t="s">
        <v>5977</v>
      </c>
      <c r="E624" s="0" t="s">
        <v>112</v>
      </c>
      <c r="F624" s="0" t="s">
        <v>7431</v>
      </c>
      <c r="G624" s="0" t="s">
        <v>1953</v>
      </c>
      <c r="H624" s="0" t="s">
        <v>5609</v>
      </c>
      <c r="I624" s="5" t="s">
        <v>5610</v>
      </c>
      <c r="K624" s="0" t="s">
        <v>36</v>
      </c>
      <c r="L624" s="0" t="s">
        <v>7432</v>
      </c>
    </row>
    <row r="625" customFormat="false" ht="17.15" hidden="false" customHeight="false" outlineLevel="0" collapsed="false">
      <c r="A625" s="0" t="s">
        <v>7433</v>
      </c>
      <c r="B625" s="0" t="s">
        <v>7429</v>
      </c>
      <c r="C625" s="0" t="s">
        <v>7434</v>
      </c>
      <c r="D625" s="0" t="s">
        <v>6064</v>
      </c>
      <c r="E625" s="0" t="s">
        <v>112</v>
      </c>
      <c r="F625" s="0" t="s">
        <v>7435</v>
      </c>
      <c r="G625" s="0" t="s">
        <v>1953</v>
      </c>
      <c r="H625" s="0" t="s">
        <v>5566</v>
      </c>
      <c r="I625" s="0" t="s">
        <v>7436</v>
      </c>
      <c r="K625" s="0" t="s">
        <v>36</v>
      </c>
      <c r="L625" s="0" t="s">
        <v>7437</v>
      </c>
    </row>
    <row r="626" customFormat="false" ht="17.15" hidden="false" customHeight="false" outlineLevel="0" collapsed="false">
      <c r="A626" s="0" t="s">
        <v>7438</v>
      </c>
      <c r="B626" s="0" t="s">
        <v>7439</v>
      </c>
      <c r="C626" s="0" t="s">
        <v>7440</v>
      </c>
      <c r="D626" s="0" t="s">
        <v>7441</v>
      </c>
      <c r="E626" s="5" t="s">
        <v>77</v>
      </c>
      <c r="F626" s="0" t="s">
        <v>6240</v>
      </c>
      <c r="G626" s="0" t="s">
        <v>1953</v>
      </c>
      <c r="H626" s="0" t="s">
        <v>5609</v>
      </c>
      <c r="I626" s="5" t="s">
        <v>5819</v>
      </c>
      <c r="K626" s="0" t="s">
        <v>36</v>
      </c>
      <c r="L626" s="0" t="s">
        <v>7442</v>
      </c>
    </row>
    <row r="627" customFormat="false" ht="17.15" hidden="false" customHeight="false" outlineLevel="0" collapsed="false">
      <c r="A627" s="0" t="s">
        <v>7443</v>
      </c>
      <c r="B627" s="0" t="s">
        <v>7444</v>
      </c>
      <c r="C627" s="0" t="s">
        <v>7445</v>
      </c>
      <c r="D627" s="0" t="s">
        <v>4971</v>
      </c>
      <c r="E627" s="5" t="s">
        <v>77</v>
      </c>
      <c r="F627" s="0" t="s">
        <v>7446</v>
      </c>
      <c r="G627" s="0" t="s">
        <v>1953</v>
      </c>
      <c r="H627" s="0" t="s">
        <v>5566</v>
      </c>
      <c r="I627" s="0" t="s">
        <v>7447</v>
      </c>
      <c r="K627" s="0" t="s">
        <v>36</v>
      </c>
      <c r="L627" s="0" t="s">
        <v>7448</v>
      </c>
    </row>
    <row r="628" customFormat="false" ht="17.15" hidden="false" customHeight="false" outlineLevel="0" collapsed="false">
      <c r="A628" s="0" t="s">
        <v>7449</v>
      </c>
      <c r="B628" s="0" t="s">
        <v>6261</v>
      </c>
      <c r="C628" s="0" t="s">
        <v>7450</v>
      </c>
      <c r="D628" s="0" t="s">
        <v>4971</v>
      </c>
      <c r="E628" s="5" t="s">
        <v>77</v>
      </c>
      <c r="F628" s="0" t="s">
        <v>4744</v>
      </c>
      <c r="G628" s="0" t="s">
        <v>1899</v>
      </c>
      <c r="H628" s="0" t="s">
        <v>5598</v>
      </c>
      <c r="I628" s="0" t="s">
        <v>7451</v>
      </c>
      <c r="K628" s="0" t="s">
        <v>36</v>
      </c>
      <c r="L628" s="0" t="s">
        <v>7452</v>
      </c>
    </row>
    <row r="629" customFormat="false" ht="17.15" hidden="false" customHeight="false" outlineLevel="0" collapsed="false">
      <c r="A629" s="0" t="s">
        <v>7453</v>
      </c>
      <c r="B629" s="0" t="s">
        <v>6261</v>
      </c>
      <c r="C629" s="0" t="s">
        <v>7454</v>
      </c>
      <c r="D629" s="0" t="s">
        <v>4958</v>
      </c>
      <c r="E629" s="5" t="s">
        <v>77</v>
      </c>
      <c r="F629" s="0" t="s">
        <v>7455</v>
      </c>
      <c r="G629" s="0" t="s">
        <v>1899</v>
      </c>
      <c r="H629" s="0" t="s">
        <v>5566</v>
      </c>
      <c r="I629" s="0" t="s">
        <v>7456</v>
      </c>
      <c r="K629" s="0" t="s">
        <v>36</v>
      </c>
      <c r="L629" s="0" t="s">
        <v>7457</v>
      </c>
    </row>
    <row r="630" customFormat="false" ht="17.15" hidden="false" customHeight="false" outlineLevel="0" collapsed="false">
      <c r="A630" s="0" t="s">
        <v>7458</v>
      </c>
      <c r="B630" s="0" t="s">
        <v>6261</v>
      </c>
      <c r="C630" s="0" t="s">
        <v>7459</v>
      </c>
      <c r="D630" s="0" t="s">
        <v>113</v>
      </c>
      <c r="E630" s="5" t="s">
        <v>77</v>
      </c>
      <c r="F630" s="0" t="s">
        <v>4560</v>
      </c>
      <c r="G630" s="0" t="s">
        <v>1899</v>
      </c>
      <c r="H630" s="0" t="s">
        <v>5609</v>
      </c>
      <c r="I630" s="5" t="s">
        <v>5610</v>
      </c>
      <c r="K630" s="0" t="s">
        <v>36</v>
      </c>
      <c r="L630" s="0" t="s">
        <v>7460</v>
      </c>
    </row>
    <row r="631" customFormat="false" ht="17.15" hidden="false" customHeight="false" outlineLevel="0" collapsed="false">
      <c r="A631" s="0" t="s">
        <v>7461</v>
      </c>
      <c r="B631" s="0" t="s">
        <v>6261</v>
      </c>
      <c r="C631" s="0" t="s">
        <v>7462</v>
      </c>
      <c r="D631" s="0" t="s">
        <v>113</v>
      </c>
      <c r="E631" s="5" t="s">
        <v>77</v>
      </c>
      <c r="F631" s="0" t="s">
        <v>6670</v>
      </c>
      <c r="G631" s="0" t="s">
        <v>1899</v>
      </c>
      <c r="H631" s="0" t="s">
        <v>5566</v>
      </c>
      <c r="I631" s="5" t="s">
        <v>7463</v>
      </c>
      <c r="K631" s="0" t="s">
        <v>36</v>
      </c>
      <c r="L631" s="0" t="s">
        <v>7464</v>
      </c>
    </row>
    <row r="632" customFormat="false" ht="17.15" hidden="false" customHeight="false" outlineLevel="0" collapsed="false">
      <c r="A632" s="0" t="s">
        <v>7465</v>
      </c>
      <c r="B632" s="0" t="s">
        <v>6261</v>
      </c>
      <c r="C632" s="0" t="s">
        <v>7466</v>
      </c>
      <c r="D632" s="0" t="s">
        <v>5129</v>
      </c>
      <c r="E632" s="5" t="s">
        <v>77</v>
      </c>
      <c r="F632" s="0" t="s">
        <v>7467</v>
      </c>
      <c r="G632" s="0" t="s">
        <v>1953</v>
      </c>
      <c r="H632" s="0" t="s">
        <v>5566</v>
      </c>
      <c r="I632" s="0" t="s">
        <v>7468</v>
      </c>
      <c r="K632" s="0" t="s">
        <v>36</v>
      </c>
      <c r="L632" s="0" t="s">
        <v>7469</v>
      </c>
    </row>
    <row r="633" customFormat="false" ht="17.15" hidden="false" customHeight="false" outlineLevel="0" collapsed="false">
      <c r="A633" s="0" t="s">
        <v>7470</v>
      </c>
      <c r="B633" s="0" t="s">
        <v>6261</v>
      </c>
      <c r="C633" s="0" t="s">
        <v>7471</v>
      </c>
      <c r="D633" s="0" t="s">
        <v>4971</v>
      </c>
      <c r="E633" s="5" t="s">
        <v>77</v>
      </c>
      <c r="F633" s="0" t="s">
        <v>5393</v>
      </c>
      <c r="G633" s="0" t="s">
        <v>1953</v>
      </c>
      <c r="H633" s="0" t="s">
        <v>5598</v>
      </c>
      <c r="I633" s="0" t="s">
        <v>7472</v>
      </c>
      <c r="K633" s="0" t="s">
        <v>36</v>
      </c>
      <c r="L633" s="0" t="s">
        <v>7473</v>
      </c>
    </row>
    <row r="634" customFormat="false" ht="17.15" hidden="false" customHeight="false" outlineLevel="0" collapsed="false">
      <c r="A634" s="0" t="s">
        <v>7474</v>
      </c>
      <c r="B634" s="0" t="s">
        <v>6261</v>
      </c>
      <c r="C634" s="0" t="s">
        <v>7475</v>
      </c>
      <c r="D634" s="0" t="s">
        <v>4958</v>
      </c>
      <c r="E634" s="5" t="s">
        <v>77</v>
      </c>
      <c r="F634" s="0" t="s">
        <v>4950</v>
      </c>
      <c r="G634" s="0" t="s">
        <v>1953</v>
      </c>
      <c r="H634" s="0" t="s">
        <v>5609</v>
      </c>
      <c r="I634" s="5" t="s">
        <v>5819</v>
      </c>
      <c r="K634" s="0" t="s">
        <v>36</v>
      </c>
      <c r="L634" s="0" t="s">
        <v>7476</v>
      </c>
    </row>
    <row r="635" customFormat="false" ht="17.15" hidden="false" customHeight="false" outlineLevel="0" collapsed="false">
      <c r="A635" s="0" t="s">
        <v>7477</v>
      </c>
      <c r="B635" s="0" t="s">
        <v>6261</v>
      </c>
      <c r="C635" s="0" t="s">
        <v>7478</v>
      </c>
      <c r="D635" s="0" t="s">
        <v>113</v>
      </c>
      <c r="E635" s="5" t="s">
        <v>77</v>
      </c>
      <c r="F635" s="0" t="s">
        <v>5747</v>
      </c>
      <c r="G635" s="0" t="s">
        <v>1953</v>
      </c>
      <c r="H635" s="0" t="s">
        <v>5598</v>
      </c>
      <c r="I635" s="5" t="s">
        <v>7479</v>
      </c>
      <c r="K635" s="0" t="s">
        <v>36</v>
      </c>
      <c r="L635" s="0" t="s">
        <v>7480</v>
      </c>
    </row>
    <row r="636" customFormat="false" ht="17.15" hidden="false" customHeight="false" outlineLevel="0" collapsed="false">
      <c r="A636" s="0" t="s">
        <v>7481</v>
      </c>
      <c r="B636" s="0" t="s">
        <v>6295</v>
      </c>
      <c r="C636" s="0" t="s">
        <v>7482</v>
      </c>
      <c r="D636" s="0" t="s">
        <v>4958</v>
      </c>
      <c r="E636" s="5" t="s">
        <v>77</v>
      </c>
      <c r="F636" s="0" t="s">
        <v>6147</v>
      </c>
      <c r="G636" s="0" t="s">
        <v>4588</v>
      </c>
      <c r="H636" s="0" t="s">
        <v>5609</v>
      </c>
      <c r="I636" s="5" t="s">
        <v>5868</v>
      </c>
      <c r="K636" s="0" t="s">
        <v>36</v>
      </c>
      <c r="L636" s="0" t="s">
        <v>7483</v>
      </c>
    </row>
    <row r="637" customFormat="false" ht="17.15" hidden="false" customHeight="false" outlineLevel="0" collapsed="false">
      <c r="A637" s="0" t="s">
        <v>7484</v>
      </c>
      <c r="B637" s="0" t="s">
        <v>6295</v>
      </c>
      <c r="C637" s="0" t="s">
        <v>7485</v>
      </c>
      <c r="D637" s="0" t="s">
        <v>113</v>
      </c>
      <c r="E637" s="5" t="s">
        <v>77</v>
      </c>
      <c r="F637" s="0" t="s">
        <v>6815</v>
      </c>
      <c r="G637" s="0" t="s">
        <v>1953</v>
      </c>
      <c r="H637" s="0" t="s">
        <v>5631</v>
      </c>
      <c r="I637" s="5" t="s">
        <v>7486</v>
      </c>
      <c r="K637" s="0" t="s">
        <v>36</v>
      </c>
      <c r="L637" s="0" t="s">
        <v>7487</v>
      </c>
    </row>
    <row r="638" customFormat="false" ht="17.15" hidden="false" customHeight="false" outlineLevel="0" collapsed="false">
      <c r="A638" s="0" t="s">
        <v>7488</v>
      </c>
      <c r="B638" s="0" t="s">
        <v>6261</v>
      </c>
      <c r="C638" s="0" t="s">
        <v>7489</v>
      </c>
      <c r="D638" s="0" t="s">
        <v>4630</v>
      </c>
      <c r="E638" s="5" t="s">
        <v>77</v>
      </c>
      <c r="F638" s="0" t="s">
        <v>6644</v>
      </c>
      <c r="G638" s="0" t="s">
        <v>1953</v>
      </c>
      <c r="H638" s="0" t="s">
        <v>5566</v>
      </c>
      <c r="I638" s="0" t="s">
        <v>7490</v>
      </c>
      <c r="K638" s="0" t="s">
        <v>36</v>
      </c>
      <c r="L638" s="0" t="s">
        <v>7491</v>
      </c>
    </row>
    <row r="639" customFormat="false" ht="17.15" hidden="false" customHeight="false" outlineLevel="0" collapsed="false">
      <c r="A639" s="0" t="s">
        <v>7492</v>
      </c>
      <c r="B639" s="0" t="s">
        <v>6261</v>
      </c>
      <c r="C639" s="0" t="s">
        <v>7493</v>
      </c>
      <c r="D639" s="0" t="s">
        <v>113</v>
      </c>
      <c r="E639" s="5" t="s">
        <v>77</v>
      </c>
      <c r="F639" s="0" t="s">
        <v>7494</v>
      </c>
      <c r="G639" s="0" t="s">
        <v>1953</v>
      </c>
      <c r="H639" s="0" t="s">
        <v>5566</v>
      </c>
      <c r="I639" s="5" t="s">
        <v>7495</v>
      </c>
      <c r="K639" s="0" t="s">
        <v>36</v>
      </c>
      <c r="L639" s="0" t="s">
        <v>7496</v>
      </c>
    </row>
    <row r="640" customFormat="false" ht="17.15" hidden="false" customHeight="false" outlineLevel="0" collapsed="false">
      <c r="A640" s="0" t="s">
        <v>7497</v>
      </c>
      <c r="B640" s="0" t="s">
        <v>6768</v>
      </c>
      <c r="C640" s="0" t="s">
        <v>7498</v>
      </c>
      <c r="D640" s="0" t="s">
        <v>5889</v>
      </c>
      <c r="E640" s="5" t="s">
        <v>77</v>
      </c>
      <c r="F640" s="0" t="s">
        <v>7499</v>
      </c>
      <c r="G640" s="0" t="s">
        <v>1953</v>
      </c>
      <c r="H640" s="0" t="s">
        <v>5566</v>
      </c>
      <c r="I640" s="0" t="s">
        <v>7500</v>
      </c>
      <c r="K640" s="0" t="s">
        <v>36</v>
      </c>
      <c r="L640" s="0" t="s">
        <v>7501</v>
      </c>
    </row>
    <row r="641" customFormat="false" ht="17.15" hidden="false" customHeight="false" outlineLevel="0" collapsed="false">
      <c r="A641" s="0" t="s">
        <v>7502</v>
      </c>
      <c r="B641" s="0" t="s">
        <v>7503</v>
      </c>
      <c r="C641" s="0" t="s">
        <v>7504</v>
      </c>
      <c r="D641" s="0" t="s">
        <v>113</v>
      </c>
      <c r="E641" s="5" t="s">
        <v>77</v>
      </c>
      <c r="F641" s="0" t="s">
        <v>2440</v>
      </c>
      <c r="G641" s="0" t="s">
        <v>1953</v>
      </c>
      <c r="H641" s="0" t="s">
        <v>5609</v>
      </c>
      <c r="I641" s="5" t="s">
        <v>5610</v>
      </c>
      <c r="K641" s="0" t="s">
        <v>36</v>
      </c>
      <c r="L641" s="0" t="s">
        <v>7505</v>
      </c>
    </row>
    <row r="642" customFormat="false" ht="17.15" hidden="false" customHeight="false" outlineLevel="0" collapsed="false">
      <c r="A642" s="0" t="s">
        <v>7506</v>
      </c>
      <c r="B642" s="0" t="s">
        <v>7507</v>
      </c>
      <c r="C642" s="0" t="s">
        <v>7508</v>
      </c>
      <c r="D642" s="0" t="s">
        <v>7509</v>
      </c>
      <c r="E642" s="5" t="s">
        <v>77</v>
      </c>
      <c r="F642" s="0" t="s">
        <v>7510</v>
      </c>
      <c r="G642" s="0" t="s">
        <v>1953</v>
      </c>
      <c r="H642" s="0" t="s">
        <v>5566</v>
      </c>
      <c r="I642" s="0" t="s">
        <v>7511</v>
      </c>
      <c r="J642" s="0" t="s">
        <v>745</v>
      </c>
      <c r="K642" s="5" t="s">
        <v>1895</v>
      </c>
      <c r="L642" s="0" t="s">
        <v>7512</v>
      </c>
    </row>
    <row r="643" customFormat="false" ht="17.15" hidden="false" customHeight="false" outlineLevel="0" collapsed="false">
      <c r="A643" s="0" t="s">
        <v>7513</v>
      </c>
      <c r="B643" s="0" t="s">
        <v>7507</v>
      </c>
      <c r="C643" s="0" t="s">
        <v>7514</v>
      </c>
      <c r="D643" s="0" t="s">
        <v>113</v>
      </c>
      <c r="E643" s="5" t="s">
        <v>77</v>
      </c>
      <c r="F643" s="0" t="s">
        <v>5136</v>
      </c>
      <c r="G643" s="0" t="s">
        <v>1953</v>
      </c>
      <c r="H643" s="0" t="s">
        <v>5566</v>
      </c>
      <c r="I643" s="5" t="s">
        <v>7515</v>
      </c>
      <c r="K643" s="0" t="s">
        <v>36</v>
      </c>
      <c r="L643" s="0" t="s">
        <v>7516</v>
      </c>
    </row>
    <row r="644" customFormat="false" ht="17.15" hidden="false" customHeight="false" outlineLevel="0" collapsed="false">
      <c r="A644" s="0" t="s">
        <v>7517</v>
      </c>
      <c r="B644" s="0" t="s">
        <v>7507</v>
      </c>
      <c r="C644" s="0" t="s">
        <v>7518</v>
      </c>
      <c r="D644" s="0" t="s">
        <v>7519</v>
      </c>
      <c r="E644" s="5" t="s">
        <v>77</v>
      </c>
      <c r="F644" s="0" t="s">
        <v>7510</v>
      </c>
      <c r="G644" s="0" t="s">
        <v>1953</v>
      </c>
      <c r="H644" s="0" t="s">
        <v>5609</v>
      </c>
      <c r="I644" s="5" t="s">
        <v>6338</v>
      </c>
      <c r="J644" s="0" t="s">
        <v>745</v>
      </c>
      <c r="K644" s="5" t="s">
        <v>1895</v>
      </c>
      <c r="L644" s="0" t="s">
        <v>7520</v>
      </c>
    </row>
    <row r="645" customFormat="false" ht="17.15" hidden="false" customHeight="false" outlineLevel="0" collapsed="false">
      <c r="A645" s="0" t="s">
        <v>7521</v>
      </c>
      <c r="B645" s="0" t="s">
        <v>7522</v>
      </c>
      <c r="C645" s="0" t="s">
        <v>7523</v>
      </c>
      <c r="D645" s="0" t="s">
        <v>6774</v>
      </c>
      <c r="E645" s="5" t="s">
        <v>77</v>
      </c>
      <c r="F645" s="0" t="s">
        <v>1974</v>
      </c>
      <c r="G645" s="0" t="s">
        <v>1953</v>
      </c>
      <c r="H645" s="0" t="s">
        <v>5566</v>
      </c>
      <c r="I645" s="0" t="s">
        <v>7524</v>
      </c>
      <c r="K645" s="0" t="s">
        <v>36</v>
      </c>
      <c r="L645" s="0" t="s">
        <v>7525</v>
      </c>
    </row>
    <row r="646" customFormat="false" ht="17.15" hidden="false" customHeight="false" outlineLevel="0" collapsed="false">
      <c r="A646" s="0" t="s">
        <v>7526</v>
      </c>
      <c r="B646" s="0" t="s">
        <v>7522</v>
      </c>
      <c r="C646" s="0" t="s">
        <v>7527</v>
      </c>
      <c r="D646" s="0" t="s">
        <v>7205</v>
      </c>
      <c r="E646" s="5" t="s">
        <v>77</v>
      </c>
      <c r="F646" s="0" t="s">
        <v>7528</v>
      </c>
      <c r="G646" s="0" t="s">
        <v>1953</v>
      </c>
      <c r="H646" s="0" t="s">
        <v>5598</v>
      </c>
      <c r="I646" s="0" t="s">
        <v>7529</v>
      </c>
      <c r="K646" s="0" t="s">
        <v>36</v>
      </c>
      <c r="L646" s="0" t="s">
        <v>7530</v>
      </c>
    </row>
    <row r="647" customFormat="false" ht="17.15" hidden="false" customHeight="false" outlineLevel="0" collapsed="false">
      <c r="A647" s="0" t="s">
        <v>7531</v>
      </c>
      <c r="B647" s="0" t="s">
        <v>7522</v>
      </c>
      <c r="C647" s="0" t="s">
        <v>7532</v>
      </c>
      <c r="D647" s="0" t="s">
        <v>5889</v>
      </c>
      <c r="E647" s="5" t="s">
        <v>77</v>
      </c>
      <c r="F647" s="0" t="s">
        <v>7528</v>
      </c>
      <c r="G647" s="0" t="s">
        <v>1953</v>
      </c>
      <c r="H647" s="0" t="s">
        <v>5598</v>
      </c>
      <c r="I647" s="5" t="s">
        <v>7533</v>
      </c>
      <c r="K647" s="0" t="s">
        <v>36</v>
      </c>
      <c r="L647" s="0" t="s">
        <v>7530</v>
      </c>
    </row>
    <row r="648" customFormat="false" ht="17.15" hidden="false" customHeight="false" outlineLevel="0" collapsed="false">
      <c r="A648" s="0" t="s">
        <v>7534</v>
      </c>
      <c r="B648" s="0" t="s">
        <v>7535</v>
      </c>
      <c r="C648" s="0" t="s">
        <v>7536</v>
      </c>
      <c r="D648" s="0" t="s">
        <v>6901</v>
      </c>
      <c r="E648" s="5" t="s">
        <v>77</v>
      </c>
      <c r="F648" s="0" t="s">
        <v>6456</v>
      </c>
      <c r="G648" s="0" t="s">
        <v>1953</v>
      </c>
      <c r="H648" s="0" t="s">
        <v>5566</v>
      </c>
      <c r="I648" s="0" t="s">
        <v>7537</v>
      </c>
      <c r="K648" s="0" t="s">
        <v>36</v>
      </c>
      <c r="L648" s="0" t="s">
        <v>7538</v>
      </c>
    </row>
    <row r="649" customFormat="false" ht="17.15" hidden="false" customHeight="false" outlineLevel="0" collapsed="false">
      <c r="A649" s="0" t="s">
        <v>7539</v>
      </c>
      <c r="B649" s="0" t="s">
        <v>7535</v>
      </c>
      <c r="C649" s="0" t="s">
        <v>7540</v>
      </c>
      <c r="D649" s="0" t="s">
        <v>5129</v>
      </c>
      <c r="E649" s="5" t="s">
        <v>77</v>
      </c>
      <c r="F649" s="0" t="s">
        <v>6731</v>
      </c>
      <c r="G649" s="0" t="s">
        <v>1953</v>
      </c>
      <c r="H649" s="0" t="s">
        <v>5566</v>
      </c>
      <c r="I649" s="0" t="s">
        <v>7541</v>
      </c>
      <c r="K649" s="0" t="s">
        <v>36</v>
      </c>
      <c r="L649" s="0" t="s">
        <v>7542</v>
      </c>
    </row>
    <row r="650" customFormat="false" ht="17.15" hidden="false" customHeight="false" outlineLevel="0" collapsed="false">
      <c r="A650" s="0" t="s">
        <v>7543</v>
      </c>
      <c r="B650" s="5" t="s">
        <v>6046</v>
      </c>
      <c r="C650" s="5" t="s">
        <v>7544</v>
      </c>
      <c r="D650" s="0" t="s">
        <v>5690</v>
      </c>
      <c r="E650" s="5" t="s">
        <v>77</v>
      </c>
      <c r="F650" s="0" t="s">
        <v>1737</v>
      </c>
      <c r="G650" s="0" t="s">
        <v>1953</v>
      </c>
      <c r="H650" s="0" t="s">
        <v>5566</v>
      </c>
      <c r="I650" s="0" t="s">
        <v>7545</v>
      </c>
      <c r="K650" s="0" t="s">
        <v>36</v>
      </c>
      <c r="L650" s="0" t="s">
        <v>7546</v>
      </c>
    </row>
    <row r="651" customFormat="false" ht="17.15" hidden="false" customHeight="false" outlineLevel="0" collapsed="false">
      <c r="A651" s="0" t="s">
        <v>7547</v>
      </c>
      <c r="B651" s="0" t="s">
        <v>7548</v>
      </c>
      <c r="C651" s="0" t="s">
        <v>7549</v>
      </c>
      <c r="D651" s="0" t="s">
        <v>113</v>
      </c>
      <c r="E651" s="5" t="s">
        <v>77</v>
      </c>
      <c r="F651" s="0" t="s">
        <v>6162</v>
      </c>
      <c r="G651" s="0" t="s">
        <v>1953</v>
      </c>
      <c r="H651" s="0" t="s">
        <v>5566</v>
      </c>
      <c r="I651" s="5" t="s">
        <v>7550</v>
      </c>
      <c r="K651" s="0" t="s">
        <v>36</v>
      </c>
      <c r="L651" s="0" t="s">
        <v>7551</v>
      </c>
    </row>
    <row r="652" customFormat="false" ht="17.15" hidden="false" customHeight="false" outlineLevel="0" collapsed="false">
      <c r="A652" s="0" t="s">
        <v>7552</v>
      </c>
      <c r="B652" s="0" t="s">
        <v>7553</v>
      </c>
      <c r="C652" s="0" t="s">
        <v>7554</v>
      </c>
      <c r="D652" s="0" t="s">
        <v>5889</v>
      </c>
      <c r="E652" s="0" t="s">
        <v>112</v>
      </c>
      <c r="G652" s="0" t="s">
        <v>1953</v>
      </c>
      <c r="H652" s="0" t="s">
        <v>5566</v>
      </c>
      <c r="I652" s="0" t="s">
        <v>7555</v>
      </c>
      <c r="K652" s="0" t="s">
        <v>36</v>
      </c>
      <c r="L652" s="0" t="s">
        <v>7556</v>
      </c>
    </row>
    <row r="653" customFormat="false" ht="17.15" hidden="false" customHeight="false" outlineLevel="0" collapsed="false">
      <c r="A653" s="0" t="s">
        <v>7557</v>
      </c>
      <c r="B653" s="0" t="s">
        <v>7558</v>
      </c>
      <c r="C653" s="0" t="s">
        <v>7559</v>
      </c>
      <c r="D653" s="0" t="s">
        <v>5572</v>
      </c>
      <c r="E653" s="5" t="s">
        <v>77</v>
      </c>
      <c r="F653" s="0" t="s">
        <v>2222</v>
      </c>
      <c r="G653" s="0" t="s">
        <v>1953</v>
      </c>
      <c r="H653" s="0" t="s">
        <v>5631</v>
      </c>
      <c r="I653" s="0" t="s">
        <v>7560</v>
      </c>
      <c r="K653" s="0" t="s">
        <v>36</v>
      </c>
      <c r="L653" s="0" t="s">
        <v>6828</v>
      </c>
    </row>
    <row r="654" customFormat="false" ht="17.15" hidden="false" customHeight="false" outlineLevel="0" collapsed="false">
      <c r="A654" s="0" t="s">
        <v>7561</v>
      </c>
      <c r="B654" s="0" t="s">
        <v>7562</v>
      </c>
      <c r="C654" s="0" t="s">
        <v>7563</v>
      </c>
      <c r="D654" s="0" t="s">
        <v>5690</v>
      </c>
      <c r="E654" s="5" t="s">
        <v>77</v>
      </c>
      <c r="F654" s="0" t="s">
        <v>6235</v>
      </c>
      <c r="G654" s="0" t="s">
        <v>1953</v>
      </c>
      <c r="H654" s="0" t="s">
        <v>5566</v>
      </c>
      <c r="I654" s="0" t="s">
        <v>7564</v>
      </c>
      <c r="K654" s="0" t="s">
        <v>36</v>
      </c>
      <c r="L654" s="0" t="s">
        <v>7565</v>
      </c>
    </row>
    <row r="655" customFormat="false" ht="17.15" hidden="false" customHeight="false" outlineLevel="0" collapsed="false">
      <c r="A655" s="0" t="s">
        <v>7566</v>
      </c>
      <c r="B655" s="0" t="s">
        <v>7567</v>
      </c>
      <c r="C655" s="0" t="s">
        <v>7568</v>
      </c>
      <c r="D655" s="0" t="s">
        <v>4568</v>
      </c>
      <c r="E655" s="5" t="s">
        <v>77</v>
      </c>
      <c r="F655" s="0" t="s">
        <v>7569</v>
      </c>
      <c r="G655" s="0" t="s">
        <v>1953</v>
      </c>
      <c r="H655" s="0" t="s">
        <v>5598</v>
      </c>
      <c r="I655" s="0" t="s">
        <v>7570</v>
      </c>
      <c r="K655" s="0" t="s">
        <v>36</v>
      </c>
      <c r="L655" s="0" t="s">
        <v>7571</v>
      </c>
    </row>
    <row r="656" customFormat="false" ht="17.15" hidden="false" customHeight="false" outlineLevel="0" collapsed="false">
      <c r="A656" s="0" t="s">
        <v>7572</v>
      </c>
      <c r="B656" s="0" t="s">
        <v>7573</v>
      </c>
      <c r="C656" s="0" t="s">
        <v>7574</v>
      </c>
      <c r="D656" s="0" t="s">
        <v>113</v>
      </c>
      <c r="E656" s="5" t="s">
        <v>77</v>
      </c>
      <c r="F656" s="0" t="s">
        <v>6235</v>
      </c>
      <c r="G656" s="0" t="s">
        <v>1953</v>
      </c>
      <c r="H656" s="0" t="s">
        <v>5609</v>
      </c>
      <c r="I656" s="5" t="s">
        <v>5610</v>
      </c>
      <c r="K656" s="0" t="s">
        <v>36</v>
      </c>
      <c r="L656" s="0" t="s">
        <v>7575</v>
      </c>
    </row>
    <row r="657" customFormat="false" ht="17.15" hidden="false" customHeight="false" outlineLevel="0" collapsed="false">
      <c r="A657" s="0" t="s">
        <v>7576</v>
      </c>
      <c r="B657" s="5" t="s">
        <v>7577</v>
      </c>
      <c r="C657" s="5" t="s">
        <v>7578</v>
      </c>
      <c r="D657" s="0" t="s">
        <v>113</v>
      </c>
      <c r="E657" s="5" t="s">
        <v>77</v>
      </c>
      <c r="F657" s="0" t="s">
        <v>7579</v>
      </c>
      <c r="G657" s="0" t="s">
        <v>1953</v>
      </c>
      <c r="H657" s="0" t="s">
        <v>5631</v>
      </c>
      <c r="I657" s="5" t="s">
        <v>7580</v>
      </c>
      <c r="K657" s="0" t="s">
        <v>36</v>
      </c>
      <c r="L657" s="0" t="s">
        <v>7581</v>
      </c>
    </row>
    <row r="658" customFormat="false" ht="17.15" hidden="false" customHeight="false" outlineLevel="0" collapsed="false">
      <c r="A658" s="0" t="s">
        <v>7582</v>
      </c>
      <c r="B658" s="5" t="s">
        <v>6046</v>
      </c>
      <c r="C658" s="5" t="s">
        <v>7583</v>
      </c>
      <c r="D658" s="0" t="s">
        <v>4630</v>
      </c>
      <c r="E658" s="5" t="s">
        <v>77</v>
      </c>
      <c r="F658" s="0" t="s">
        <v>7584</v>
      </c>
      <c r="G658" s="0" t="s">
        <v>1953</v>
      </c>
      <c r="H658" s="0" t="s">
        <v>5592</v>
      </c>
      <c r="I658" s="0" t="s">
        <v>7585</v>
      </c>
      <c r="K658" s="0" t="s">
        <v>36</v>
      </c>
      <c r="L658" s="0" t="s">
        <v>7586</v>
      </c>
    </row>
    <row r="659" customFormat="false" ht="17.15" hidden="false" customHeight="false" outlineLevel="0" collapsed="false">
      <c r="A659" s="0" t="s">
        <v>7587</v>
      </c>
      <c r="B659" s="5" t="s">
        <v>6046</v>
      </c>
      <c r="C659" s="5" t="s">
        <v>7588</v>
      </c>
      <c r="D659" s="0" t="s">
        <v>5889</v>
      </c>
      <c r="E659" s="5" t="s">
        <v>77</v>
      </c>
      <c r="F659" s="0" t="s">
        <v>4995</v>
      </c>
      <c r="G659" s="0" t="s">
        <v>1953</v>
      </c>
      <c r="H659" s="0" t="s">
        <v>5566</v>
      </c>
      <c r="I659" s="0" t="s">
        <v>7589</v>
      </c>
      <c r="K659" s="0" t="s">
        <v>36</v>
      </c>
      <c r="L659" s="0" t="s">
        <v>7590</v>
      </c>
    </row>
    <row r="660" customFormat="false" ht="17.15" hidden="false" customHeight="false" outlineLevel="0" collapsed="false">
      <c r="A660" s="0" t="s">
        <v>7591</v>
      </c>
      <c r="B660" s="5" t="s">
        <v>6046</v>
      </c>
      <c r="C660" s="5" t="s">
        <v>7592</v>
      </c>
      <c r="D660" s="0" t="s">
        <v>5889</v>
      </c>
      <c r="E660" s="5" t="s">
        <v>77</v>
      </c>
      <c r="F660" s="0" t="s">
        <v>7584</v>
      </c>
      <c r="G660" s="0" t="s">
        <v>1953</v>
      </c>
      <c r="H660" s="0" t="s">
        <v>5592</v>
      </c>
      <c r="I660" s="0" t="s">
        <v>7593</v>
      </c>
      <c r="K660" s="0" t="s">
        <v>36</v>
      </c>
      <c r="L660" s="0" t="s">
        <v>7586</v>
      </c>
    </row>
    <row r="661" customFormat="false" ht="17.15" hidden="false" customHeight="false" outlineLevel="0" collapsed="false">
      <c r="A661" s="0" t="s">
        <v>7594</v>
      </c>
      <c r="B661" s="0" t="s">
        <v>7595</v>
      </c>
      <c r="C661" s="0" t="s">
        <v>7596</v>
      </c>
      <c r="D661" s="0" t="s">
        <v>113</v>
      </c>
      <c r="E661" s="5" t="s">
        <v>77</v>
      </c>
      <c r="F661" s="0" t="s">
        <v>7597</v>
      </c>
      <c r="G661" s="0" t="s">
        <v>1953</v>
      </c>
      <c r="H661" s="0" t="s">
        <v>5592</v>
      </c>
      <c r="I661" s="5" t="s">
        <v>7598</v>
      </c>
      <c r="K661" s="0" t="s">
        <v>36</v>
      </c>
      <c r="L661" s="0" t="s">
        <v>7599</v>
      </c>
    </row>
    <row r="662" customFormat="false" ht="17.15" hidden="false" customHeight="false" outlineLevel="0" collapsed="false">
      <c r="A662" s="0" t="s">
        <v>7600</v>
      </c>
      <c r="B662" s="0" t="s">
        <v>7601</v>
      </c>
      <c r="C662" s="0" t="s">
        <v>7602</v>
      </c>
      <c r="D662" s="0" t="s">
        <v>113</v>
      </c>
      <c r="E662" s="5" t="s">
        <v>77</v>
      </c>
      <c r="F662" s="0" t="s">
        <v>5448</v>
      </c>
      <c r="G662" s="0" t="s">
        <v>1953</v>
      </c>
      <c r="H662" s="0" t="s">
        <v>5614</v>
      </c>
      <c r="I662" s="5" t="s">
        <v>7603</v>
      </c>
      <c r="K662" s="0" t="s">
        <v>36</v>
      </c>
      <c r="L662" s="0" t="s">
        <v>7604</v>
      </c>
    </row>
    <row r="663" customFormat="false" ht="17.15" hidden="false" customHeight="false" outlineLevel="0" collapsed="false">
      <c r="A663" s="0" t="s">
        <v>7605</v>
      </c>
      <c r="B663" s="0" t="s">
        <v>7606</v>
      </c>
      <c r="C663" s="0" t="s">
        <v>7607</v>
      </c>
      <c r="D663" s="0" t="s">
        <v>5917</v>
      </c>
      <c r="E663" s="5" t="s">
        <v>77</v>
      </c>
      <c r="F663" s="0" t="s">
        <v>7159</v>
      </c>
      <c r="G663" s="0" t="s">
        <v>1953</v>
      </c>
      <c r="H663" s="0" t="s">
        <v>5614</v>
      </c>
      <c r="I663" s="0" t="s">
        <v>7608</v>
      </c>
      <c r="J663" s="0" t="s">
        <v>7609</v>
      </c>
      <c r="K663" s="5" t="s">
        <v>1895</v>
      </c>
      <c r="L663" s="0" t="s">
        <v>7610</v>
      </c>
    </row>
    <row r="664" customFormat="false" ht="17.15" hidden="false" customHeight="false" outlineLevel="0" collapsed="false">
      <c r="A664" s="0" t="s">
        <v>7611</v>
      </c>
      <c r="B664" s="0" t="s">
        <v>7606</v>
      </c>
      <c r="C664" s="0" t="s">
        <v>7612</v>
      </c>
      <c r="D664" s="0" t="s">
        <v>5917</v>
      </c>
      <c r="E664" s="5" t="s">
        <v>77</v>
      </c>
      <c r="F664" s="0" t="s">
        <v>7159</v>
      </c>
      <c r="G664" s="0" t="s">
        <v>1953</v>
      </c>
      <c r="H664" s="0" t="s">
        <v>5614</v>
      </c>
      <c r="I664" s="0" t="s">
        <v>7613</v>
      </c>
      <c r="J664" s="0" t="s">
        <v>7609</v>
      </c>
      <c r="K664" s="5" t="s">
        <v>1895</v>
      </c>
      <c r="L664" s="0" t="s">
        <v>7610</v>
      </c>
    </row>
    <row r="665" customFormat="false" ht="17.15" hidden="false" customHeight="false" outlineLevel="0" collapsed="false">
      <c r="A665" s="0" t="s">
        <v>7614</v>
      </c>
      <c r="B665" s="0" t="s">
        <v>7606</v>
      </c>
      <c r="C665" s="0" t="s">
        <v>7615</v>
      </c>
      <c r="D665" s="0" t="s">
        <v>113</v>
      </c>
      <c r="E665" s="5" t="s">
        <v>77</v>
      </c>
      <c r="F665" s="0" t="s">
        <v>6731</v>
      </c>
      <c r="G665" s="0" t="s">
        <v>1953</v>
      </c>
      <c r="H665" s="0" t="s">
        <v>5566</v>
      </c>
      <c r="I665" s="5" t="s">
        <v>7616</v>
      </c>
      <c r="K665" s="0" t="s">
        <v>36</v>
      </c>
      <c r="L665" s="0" t="s">
        <v>7617</v>
      </c>
    </row>
    <row r="666" customFormat="false" ht="17.15" hidden="false" customHeight="false" outlineLevel="0" collapsed="false">
      <c r="A666" s="0" t="s">
        <v>7618</v>
      </c>
      <c r="B666" s="0" t="s">
        <v>7606</v>
      </c>
      <c r="C666" s="0" t="s">
        <v>7619</v>
      </c>
      <c r="D666" s="0" t="s">
        <v>4630</v>
      </c>
      <c r="E666" s="5" t="s">
        <v>77</v>
      </c>
      <c r="F666" s="0" t="s">
        <v>7620</v>
      </c>
      <c r="G666" s="0" t="s">
        <v>1953</v>
      </c>
      <c r="H666" s="0" t="s">
        <v>5614</v>
      </c>
      <c r="I666" s="0" t="s">
        <v>7621</v>
      </c>
      <c r="J666" s="0" t="s">
        <v>7609</v>
      </c>
      <c r="K666" s="5" t="s">
        <v>1895</v>
      </c>
      <c r="L666" s="0" t="s">
        <v>7622</v>
      </c>
    </row>
    <row r="667" customFormat="false" ht="17.15" hidden="false" customHeight="false" outlineLevel="0" collapsed="false">
      <c r="A667" s="0" t="s">
        <v>7623</v>
      </c>
      <c r="B667" s="5" t="s">
        <v>7624</v>
      </c>
      <c r="C667" s="5" t="s">
        <v>7625</v>
      </c>
      <c r="D667" s="0" t="s">
        <v>113</v>
      </c>
      <c r="E667" s="5" t="s">
        <v>77</v>
      </c>
      <c r="F667" s="0" t="s">
        <v>5468</v>
      </c>
      <c r="G667" s="0" t="s">
        <v>1953</v>
      </c>
      <c r="H667" s="0" t="s">
        <v>5598</v>
      </c>
      <c r="I667" s="5" t="s">
        <v>7626</v>
      </c>
      <c r="K667" s="0" t="s">
        <v>36</v>
      </c>
      <c r="L667" s="0" t="s">
        <v>7627</v>
      </c>
    </row>
    <row r="668" customFormat="false" ht="17.15" hidden="false" customHeight="false" outlineLevel="0" collapsed="false">
      <c r="A668" s="0" t="s">
        <v>7628</v>
      </c>
      <c r="B668" s="0" t="s">
        <v>7629</v>
      </c>
      <c r="C668" s="0" t="s">
        <v>7630</v>
      </c>
      <c r="D668" s="0" t="s">
        <v>7631</v>
      </c>
      <c r="E668" s="5" t="s">
        <v>77</v>
      </c>
      <c r="F668" s="0" t="s">
        <v>7632</v>
      </c>
      <c r="G668" s="0" t="s">
        <v>1953</v>
      </c>
      <c r="H668" s="0" t="s">
        <v>5566</v>
      </c>
      <c r="I668" s="0" t="s">
        <v>7633</v>
      </c>
      <c r="K668" s="0" t="s">
        <v>36</v>
      </c>
      <c r="L668" s="0" t="s">
        <v>7634</v>
      </c>
    </row>
    <row r="669" customFormat="false" ht="17.15" hidden="false" customHeight="false" outlineLevel="0" collapsed="false">
      <c r="A669" s="0" t="s">
        <v>7635</v>
      </c>
      <c r="B669" s="5" t="s">
        <v>6046</v>
      </c>
      <c r="C669" s="5" t="s">
        <v>7636</v>
      </c>
      <c r="D669" s="0" t="s">
        <v>113</v>
      </c>
      <c r="E669" s="5" t="s">
        <v>77</v>
      </c>
      <c r="F669" s="0" t="s">
        <v>4612</v>
      </c>
      <c r="G669" s="0" t="s">
        <v>1899</v>
      </c>
      <c r="H669" s="0" t="s">
        <v>5566</v>
      </c>
      <c r="I669" s="5" t="s">
        <v>7637</v>
      </c>
      <c r="K669" s="0" t="s">
        <v>36</v>
      </c>
      <c r="L669" s="0" t="s">
        <v>7638</v>
      </c>
    </row>
    <row r="670" customFormat="false" ht="17.15" hidden="false" customHeight="false" outlineLevel="0" collapsed="false">
      <c r="A670" s="0" t="s">
        <v>7639</v>
      </c>
      <c r="B670" s="5" t="s">
        <v>6046</v>
      </c>
      <c r="C670" s="5" t="s">
        <v>7640</v>
      </c>
      <c r="D670" s="0" t="s">
        <v>4630</v>
      </c>
      <c r="E670" s="5" t="s">
        <v>77</v>
      </c>
      <c r="F670" s="0" t="s">
        <v>7641</v>
      </c>
      <c r="G670" s="0" t="s">
        <v>1953</v>
      </c>
      <c r="H670" s="0" t="s">
        <v>5566</v>
      </c>
      <c r="I670" s="0" t="s">
        <v>7642</v>
      </c>
      <c r="K670" s="0" t="s">
        <v>36</v>
      </c>
      <c r="L670" s="0" t="s">
        <v>7643</v>
      </c>
    </row>
    <row r="671" customFormat="false" ht="17.15" hidden="false" customHeight="false" outlineLevel="0" collapsed="false">
      <c r="A671" s="0" t="s">
        <v>7644</v>
      </c>
      <c r="B671" s="0" t="s">
        <v>5852</v>
      </c>
      <c r="C671" s="0" t="s">
        <v>7645</v>
      </c>
      <c r="D671" s="0" t="s">
        <v>5572</v>
      </c>
      <c r="E671" s="5" t="s">
        <v>77</v>
      </c>
      <c r="F671" s="0" t="s">
        <v>5461</v>
      </c>
      <c r="G671" s="0" t="s">
        <v>1953</v>
      </c>
      <c r="H671" s="0" t="s">
        <v>5609</v>
      </c>
      <c r="I671" s="5" t="s">
        <v>5610</v>
      </c>
      <c r="K671" s="0" t="s">
        <v>36</v>
      </c>
      <c r="L671" s="0" t="s">
        <v>7646</v>
      </c>
    </row>
    <row r="672" customFormat="false" ht="17.15" hidden="false" customHeight="false" outlineLevel="0" collapsed="false">
      <c r="A672" s="0" t="s">
        <v>7647</v>
      </c>
      <c r="B672" s="0" t="s">
        <v>5852</v>
      </c>
      <c r="C672" s="0" t="s">
        <v>7648</v>
      </c>
      <c r="D672" s="0" t="s">
        <v>7649</v>
      </c>
      <c r="E672" s="0" t="s">
        <v>112</v>
      </c>
      <c r="F672" s="0" t="s">
        <v>7230</v>
      </c>
      <c r="G672" s="0" t="s">
        <v>1953</v>
      </c>
      <c r="H672" s="0" t="s">
        <v>5598</v>
      </c>
      <c r="I672" s="0" t="s">
        <v>7650</v>
      </c>
      <c r="K672" s="0" t="s">
        <v>36</v>
      </c>
      <c r="L672" s="0" t="s">
        <v>7651</v>
      </c>
    </row>
    <row r="673" customFormat="false" ht="17.15" hidden="false" customHeight="false" outlineLevel="0" collapsed="false">
      <c r="A673" s="0" t="s">
        <v>7652</v>
      </c>
      <c r="B673" s="0" t="s">
        <v>5852</v>
      </c>
      <c r="C673" s="0" t="s">
        <v>7653</v>
      </c>
      <c r="D673" s="0" t="s">
        <v>113</v>
      </c>
      <c r="E673" s="5" t="s">
        <v>77</v>
      </c>
      <c r="F673" s="0" t="s">
        <v>5461</v>
      </c>
      <c r="G673" s="0" t="s">
        <v>1953</v>
      </c>
      <c r="H673" s="0" t="s">
        <v>5631</v>
      </c>
      <c r="I673" s="5" t="s">
        <v>7654</v>
      </c>
      <c r="K673" s="0" t="s">
        <v>36</v>
      </c>
      <c r="L673" s="0" t="s">
        <v>7655</v>
      </c>
    </row>
    <row r="674" customFormat="false" ht="17.15" hidden="false" customHeight="false" outlineLevel="0" collapsed="false">
      <c r="A674" s="0" t="s">
        <v>7656</v>
      </c>
      <c r="B674" s="0" t="s">
        <v>5852</v>
      </c>
      <c r="C674" s="0" t="s">
        <v>7657</v>
      </c>
      <c r="D674" s="0" t="s">
        <v>6330</v>
      </c>
      <c r="E674" s="5" t="s">
        <v>77</v>
      </c>
      <c r="F674" s="0" t="s">
        <v>7658</v>
      </c>
      <c r="G674" s="0" t="s">
        <v>1953</v>
      </c>
      <c r="H674" s="0" t="s">
        <v>5566</v>
      </c>
      <c r="I674" s="0" t="s">
        <v>7659</v>
      </c>
      <c r="K674" s="0" t="s">
        <v>36</v>
      </c>
      <c r="L674" s="0" t="s">
        <v>7660</v>
      </c>
    </row>
    <row r="675" customFormat="false" ht="17.15" hidden="false" customHeight="false" outlineLevel="0" collapsed="false">
      <c r="A675" s="0" t="s">
        <v>7661</v>
      </c>
      <c r="B675" s="0" t="s">
        <v>5852</v>
      </c>
      <c r="C675" s="0" t="s">
        <v>7662</v>
      </c>
      <c r="D675" s="0" t="s">
        <v>113</v>
      </c>
      <c r="E675" s="5" t="s">
        <v>77</v>
      </c>
      <c r="F675" s="0" t="s">
        <v>6251</v>
      </c>
      <c r="G675" s="0" t="s">
        <v>1953</v>
      </c>
      <c r="H675" s="0" t="s">
        <v>5598</v>
      </c>
      <c r="I675" s="5" t="s">
        <v>7663</v>
      </c>
      <c r="K675" s="0" t="s">
        <v>36</v>
      </c>
      <c r="L675" s="0" t="s">
        <v>7664</v>
      </c>
    </row>
    <row r="676" customFormat="false" ht="17.15" hidden="false" customHeight="false" outlineLevel="0" collapsed="false">
      <c r="A676" s="0" t="s">
        <v>7665</v>
      </c>
      <c r="B676" s="0" t="s">
        <v>5852</v>
      </c>
      <c r="C676" s="0" t="s">
        <v>7666</v>
      </c>
      <c r="D676" s="0" t="s">
        <v>7667</v>
      </c>
      <c r="E676" s="5" t="s">
        <v>77</v>
      </c>
      <c r="F676" s="0" t="s">
        <v>7668</v>
      </c>
      <c r="G676" s="0" t="s">
        <v>1909</v>
      </c>
      <c r="H676" s="0" t="s">
        <v>5598</v>
      </c>
      <c r="I676" s="5" t="s">
        <v>7669</v>
      </c>
      <c r="K676" s="0" t="s">
        <v>36</v>
      </c>
      <c r="L676" s="0" t="s">
        <v>7670</v>
      </c>
    </row>
    <row r="677" customFormat="false" ht="17.15" hidden="false" customHeight="false" outlineLevel="0" collapsed="false">
      <c r="A677" s="0" t="s">
        <v>7671</v>
      </c>
      <c r="B677" s="0" t="s">
        <v>7672</v>
      </c>
      <c r="C677" s="0" t="s">
        <v>7673</v>
      </c>
      <c r="D677" s="0" t="s">
        <v>7375</v>
      </c>
      <c r="E677" s="5" t="s">
        <v>77</v>
      </c>
      <c r="F677" s="0" t="s">
        <v>4941</v>
      </c>
      <c r="G677" s="0" t="s">
        <v>1953</v>
      </c>
      <c r="H677" s="0" t="s">
        <v>5598</v>
      </c>
      <c r="I677" s="5" t="s">
        <v>7674</v>
      </c>
      <c r="K677" s="0" t="s">
        <v>36</v>
      </c>
      <c r="L677" s="0" t="s">
        <v>7675</v>
      </c>
    </row>
    <row r="678" customFormat="false" ht="17.15" hidden="false" customHeight="false" outlineLevel="0" collapsed="false">
      <c r="A678" s="0" t="s">
        <v>7676</v>
      </c>
      <c r="B678" s="0" t="s">
        <v>7672</v>
      </c>
      <c r="C678" s="0" t="s">
        <v>7677</v>
      </c>
      <c r="D678" s="0" t="s">
        <v>7678</v>
      </c>
      <c r="E678" s="5" t="s">
        <v>77</v>
      </c>
      <c r="F678" s="0" t="s">
        <v>2222</v>
      </c>
      <c r="G678" s="0" t="s">
        <v>1953</v>
      </c>
      <c r="H678" s="0" t="s">
        <v>5598</v>
      </c>
      <c r="I678" s="5" t="s">
        <v>7679</v>
      </c>
      <c r="K678" s="0" t="s">
        <v>36</v>
      </c>
      <c r="L678" s="0" t="s">
        <v>7680</v>
      </c>
    </row>
    <row r="679" customFormat="false" ht="17.15" hidden="false" customHeight="false" outlineLevel="0" collapsed="false">
      <c r="A679" s="0" t="s">
        <v>7681</v>
      </c>
      <c r="B679" s="0" t="s">
        <v>7672</v>
      </c>
      <c r="C679" s="0" t="s">
        <v>7682</v>
      </c>
      <c r="D679" s="0" t="s">
        <v>7683</v>
      </c>
      <c r="E679" s="5" t="s">
        <v>77</v>
      </c>
      <c r="F679" s="0" t="s">
        <v>6324</v>
      </c>
      <c r="G679" s="0" t="s">
        <v>1953</v>
      </c>
      <c r="H679" s="0" t="s">
        <v>5566</v>
      </c>
      <c r="I679" s="0" t="s">
        <v>7684</v>
      </c>
      <c r="K679" s="0" t="s">
        <v>36</v>
      </c>
      <c r="L679" s="0" t="s">
        <v>7685</v>
      </c>
    </row>
    <row r="680" customFormat="false" ht="17.15" hidden="false" customHeight="false" outlineLevel="0" collapsed="false">
      <c r="A680" s="0" t="s">
        <v>7686</v>
      </c>
      <c r="B680" s="0" t="s">
        <v>7687</v>
      </c>
      <c r="C680" s="0" t="s">
        <v>7688</v>
      </c>
      <c r="D680" s="0" t="s">
        <v>5572</v>
      </c>
      <c r="E680" s="5" t="s">
        <v>77</v>
      </c>
      <c r="F680" s="0" t="s">
        <v>5136</v>
      </c>
      <c r="G680" s="0" t="s">
        <v>1953</v>
      </c>
      <c r="H680" s="0" t="s">
        <v>5566</v>
      </c>
      <c r="I680" s="0" t="s">
        <v>7689</v>
      </c>
      <c r="K680" s="0" t="s">
        <v>36</v>
      </c>
      <c r="L680" s="0" t="s">
        <v>7690</v>
      </c>
    </row>
    <row r="681" customFormat="false" ht="17.15" hidden="false" customHeight="false" outlineLevel="0" collapsed="false">
      <c r="A681" s="0" t="s">
        <v>7691</v>
      </c>
      <c r="B681" s="0" t="s">
        <v>7687</v>
      </c>
      <c r="C681" s="0" t="s">
        <v>7692</v>
      </c>
      <c r="D681" s="0" t="s">
        <v>6198</v>
      </c>
      <c r="E681" s="0" t="s">
        <v>112</v>
      </c>
      <c r="F681" s="0" t="s">
        <v>5053</v>
      </c>
      <c r="G681" s="0" t="s">
        <v>1953</v>
      </c>
      <c r="H681" s="0" t="s">
        <v>5631</v>
      </c>
      <c r="I681" s="0" t="s">
        <v>7693</v>
      </c>
      <c r="K681" s="0" t="s">
        <v>36</v>
      </c>
      <c r="L681" s="0" t="s">
        <v>7694</v>
      </c>
    </row>
    <row r="682" customFormat="false" ht="17.15" hidden="false" customHeight="false" outlineLevel="0" collapsed="false">
      <c r="A682" s="0" t="s">
        <v>7695</v>
      </c>
      <c r="B682" s="5" t="s">
        <v>7696</v>
      </c>
      <c r="C682" s="5" t="s">
        <v>7697</v>
      </c>
      <c r="D682" s="0" t="s">
        <v>5608</v>
      </c>
      <c r="E682" s="5" t="s">
        <v>77</v>
      </c>
      <c r="F682" s="0" t="s">
        <v>5085</v>
      </c>
      <c r="G682" s="0" t="s">
        <v>1953</v>
      </c>
      <c r="H682" s="0" t="s">
        <v>5598</v>
      </c>
      <c r="I682" s="0" t="s">
        <v>7698</v>
      </c>
      <c r="J682" s="0" t="s">
        <v>773</v>
      </c>
      <c r="K682" s="5" t="s">
        <v>4631</v>
      </c>
      <c r="L682" s="0" t="s">
        <v>7699</v>
      </c>
    </row>
    <row r="683" customFormat="false" ht="17.15" hidden="false" customHeight="false" outlineLevel="0" collapsed="false">
      <c r="A683" s="0" t="s">
        <v>7700</v>
      </c>
      <c r="B683" s="5" t="s">
        <v>7696</v>
      </c>
      <c r="C683" s="5" t="s">
        <v>7701</v>
      </c>
      <c r="D683" s="0" t="s">
        <v>113</v>
      </c>
      <c r="E683" s="5" t="s">
        <v>77</v>
      </c>
      <c r="F683" s="0" t="s">
        <v>5085</v>
      </c>
      <c r="G683" s="0" t="s">
        <v>1953</v>
      </c>
      <c r="H683" s="0" t="s">
        <v>5609</v>
      </c>
      <c r="I683" s="5" t="s">
        <v>6338</v>
      </c>
      <c r="K683" s="0" t="s">
        <v>36</v>
      </c>
      <c r="L683" s="0" t="s">
        <v>7702</v>
      </c>
    </row>
    <row r="684" customFormat="false" ht="17.15" hidden="false" customHeight="false" outlineLevel="0" collapsed="false">
      <c r="A684" s="0" t="s">
        <v>7703</v>
      </c>
      <c r="B684" s="5" t="s">
        <v>7696</v>
      </c>
      <c r="C684" s="5" t="s">
        <v>7704</v>
      </c>
      <c r="D684" s="0" t="s">
        <v>113</v>
      </c>
      <c r="E684" s="5" t="s">
        <v>77</v>
      </c>
      <c r="F684" s="0" t="s">
        <v>5085</v>
      </c>
      <c r="G684" s="0" t="s">
        <v>1953</v>
      </c>
      <c r="H684" s="0" t="s">
        <v>5598</v>
      </c>
      <c r="I684" s="0" t="s">
        <v>7705</v>
      </c>
      <c r="K684" s="0" t="s">
        <v>36</v>
      </c>
      <c r="L684" s="0" t="s">
        <v>7699</v>
      </c>
    </row>
    <row r="685" customFormat="false" ht="17.15" hidden="false" customHeight="false" outlineLevel="0" collapsed="false">
      <c r="A685" s="0" t="s">
        <v>7706</v>
      </c>
      <c r="B685" s="0" t="s">
        <v>7707</v>
      </c>
      <c r="C685" s="0" t="s">
        <v>7708</v>
      </c>
      <c r="D685" s="0" t="s">
        <v>7709</v>
      </c>
      <c r="E685" s="5" t="s">
        <v>77</v>
      </c>
      <c r="F685" s="0" t="s">
        <v>4849</v>
      </c>
      <c r="G685" s="0" t="s">
        <v>1953</v>
      </c>
      <c r="H685" s="0" t="s">
        <v>5566</v>
      </c>
      <c r="I685" s="0" t="s">
        <v>7710</v>
      </c>
      <c r="J685" s="0" t="s">
        <v>773</v>
      </c>
      <c r="K685" s="5" t="s">
        <v>4631</v>
      </c>
      <c r="L685" s="0" t="s">
        <v>7711</v>
      </c>
    </row>
    <row r="686" customFormat="false" ht="17.15" hidden="false" customHeight="false" outlineLevel="0" collapsed="false">
      <c r="A686" s="0" t="s">
        <v>7712</v>
      </c>
      <c r="B686" s="0" t="s">
        <v>7707</v>
      </c>
      <c r="C686" s="0" t="s">
        <v>7713</v>
      </c>
      <c r="D686" s="0" t="s">
        <v>6098</v>
      </c>
      <c r="E686" s="5" t="s">
        <v>77</v>
      </c>
      <c r="F686" s="0" t="s">
        <v>4849</v>
      </c>
      <c r="G686" s="0" t="s">
        <v>1909</v>
      </c>
      <c r="H686" s="0" t="s">
        <v>5614</v>
      </c>
      <c r="I686" s="0" t="s">
        <v>7714</v>
      </c>
      <c r="J686" s="0" t="s">
        <v>773</v>
      </c>
      <c r="K686" s="5" t="s">
        <v>4631</v>
      </c>
      <c r="L686" s="0" t="s">
        <v>7711</v>
      </c>
    </row>
    <row r="687" customFormat="false" ht="17.15" hidden="false" customHeight="false" outlineLevel="0" collapsed="false">
      <c r="A687" s="0" t="s">
        <v>7715</v>
      </c>
      <c r="B687" s="0" t="s">
        <v>7707</v>
      </c>
      <c r="C687" s="0" t="s">
        <v>7716</v>
      </c>
      <c r="D687" s="0" t="s">
        <v>5903</v>
      </c>
      <c r="E687" s="5" t="s">
        <v>77</v>
      </c>
      <c r="F687" s="0" t="s">
        <v>4849</v>
      </c>
      <c r="G687" s="0" t="s">
        <v>1953</v>
      </c>
      <c r="H687" s="0" t="s">
        <v>5566</v>
      </c>
      <c r="I687" s="0" t="s">
        <v>7717</v>
      </c>
      <c r="J687" s="0" t="s">
        <v>773</v>
      </c>
      <c r="K687" s="5" t="s">
        <v>4631</v>
      </c>
      <c r="L687" s="0" t="s">
        <v>7711</v>
      </c>
    </row>
    <row r="688" customFormat="false" ht="17.15" hidden="false" customHeight="false" outlineLevel="0" collapsed="false">
      <c r="A688" s="0" t="s">
        <v>7718</v>
      </c>
      <c r="B688" s="0" t="s">
        <v>7719</v>
      </c>
      <c r="C688" s="0" t="s">
        <v>7720</v>
      </c>
      <c r="D688" s="0" t="s">
        <v>113</v>
      </c>
      <c r="E688" s="5" t="s">
        <v>77</v>
      </c>
      <c r="F688" s="0" t="s">
        <v>7721</v>
      </c>
      <c r="G688" s="0" t="s">
        <v>1899</v>
      </c>
      <c r="H688" s="0" t="s">
        <v>5598</v>
      </c>
      <c r="I688" s="0" t="s">
        <v>7722</v>
      </c>
      <c r="K688" s="0" t="s">
        <v>36</v>
      </c>
      <c r="L688" s="0" t="s">
        <v>7723</v>
      </c>
    </row>
    <row r="689" customFormat="false" ht="17.15" hidden="false" customHeight="false" outlineLevel="0" collapsed="false">
      <c r="A689" s="0" t="s">
        <v>7724</v>
      </c>
      <c r="B689" s="0" t="s">
        <v>1070</v>
      </c>
      <c r="C689" s="0" t="s">
        <v>7725</v>
      </c>
      <c r="D689" s="0" t="s">
        <v>113</v>
      </c>
      <c r="E689" s="5" t="s">
        <v>77</v>
      </c>
      <c r="F689" s="0" t="s">
        <v>7721</v>
      </c>
      <c r="G689" s="0" t="s">
        <v>1899</v>
      </c>
      <c r="H689" s="0" t="s">
        <v>5598</v>
      </c>
      <c r="I689" s="5" t="s">
        <v>7726</v>
      </c>
      <c r="K689" s="0" t="s">
        <v>36</v>
      </c>
      <c r="L689" s="0" t="s">
        <v>7723</v>
      </c>
    </row>
    <row r="690" customFormat="false" ht="17.15" hidden="false" customHeight="false" outlineLevel="0" collapsed="false">
      <c r="A690" s="0" t="s">
        <v>7727</v>
      </c>
      <c r="B690" s="0" t="s">
        <v>1070</v>
      </c>
      <c r="C690" s="0" t="s">
        <v>7728</v>
      </c>
      <c r="D690" s="0" t="s">
        <v>113</v>
      </c>
      <c r="E690" s="5" t="s">
        <v>77</v>
      </c>
      <c r="F690" s="0" t="s">
        <v>7729</v>
      </c>
      <c r="G690" s="0" t="s">
        <v>1899</v>
      </c>
      <c r="H690" s="0" t="s">
        <v>5598</v>
      </c>
      <c r="I690" s="5" t="s">
        <v>7730</v>
      </c>
      <c r="K690" s="0" t="s">
        <v>36</v>
      </c>
      <c r="L690" s="0" t="s">
        <v>7731</v>
      </c>
    </row>
    <row r="691" customFormat="false" ht="17.15" hidden="false" customHeight="false" outlineLevel="0" collapsed="false">
      <c r="A691" s="0" t="s">
        <v>7732</v>
      </c>
      <c r="B691" s="0" t="s">
        <v>7733</v>
      </c>
      <c r="C691" s="0" t="s">
        <v>7734</v>
      </c>
      <c r="D691" s="0" t="s">
        <v>4883</v>
      </c>
      <c r="E691" s="5" t="s">
        <v>77</v>
      </c>
      <c r="F691" s="0" t="s">
        <v>7735</v>
      </c>
      <c r="G691" s="0" t="s">
        <v>1953</v>
      </c>
      <c r="H691" s="0" t="s">
        <v>5631</v>
      </c>
      <c r="I691" s="0" t="s">
        <v>7736</v>
      </c>
      <c r="K691" s="0" t="s">
        <v>36</v>
      </c>
      <c r="L691" s="0" t="s">
        <v>7737</v>
      </c>
    </row>
    <row r="692" customFormat="false" ht="17.15" hidden="false" customHeight="false" outlineLevel="0" collapsed="false">
      <c r="A692" s="0" t="s">
        <v>7738</v>
      </c>
      <c r="B692" s="0" t="s">
        <v>7733</v>
      </c>
      <c r="C692" s="0" t="s">
        <v>7739</v>
      </c>
      <c r="D692" s="0" t="s">
        <v>5572</v>
      </c>
      <c r="E692" s="5" t="s">
        <v>77</v>
      </c>
      <c r="F692" s="0" t="s">
        <v>7735</v>
      </c>
      <c r="G692" s="0" t="s">
        <v>1953</v>
      </c>
      <c r="H692" s="0" t="s">
        <v>5598</v>
      </c>
      <c r="I692" s="5" t="s">
        <v>7740</v>
      </c>
      <c r="K692" s="0" t="s">
        <v>36</v>
      </c>
      <c r="L692" s="0" t="s">
        <v>7741</v>
      </c>
    </row>
    <row r="693" customFormat="false" ht="17.15" hidden="false" customHeight="false" outlineLevel="0" collapsed="false">
      <c r="A693" s="0" t="s">
        <v>7742</v>
      </c>
      <c r="B693" s="0" t="s">
        <v>2544</v>
      </c>
      <c r="C693" s="0" t="s">
        <v>7743</v>
      </c>
      <c r="D693" s="0" t="s">
        <v>4971</v>
      </c>
      <c r="E693" s="5" t="s">
        <v>77</v>
      </c>
      <c r="F693" s="0" t="s">
        <v>7744</v>
      </c>
      <c r="G693" s="0" t="s">
        <v>1953</v>
      </c>
      <c r="H693" s="0" t="s">
        <v>5598</v>
      </c>
      <c r="I693" s="0" t="s">
        <v>7745</v>
      </c>
      <c r="K693" s="0" t="s">
        <v>36</v>
      </c>
      <c r="L693" s="0" t="s">
        <v>7746</v>
      </c>
    </row>
    <row r="694" customFormat="false" ht="17.15" hidden="false" customHeight="false" outlineLevel="0" collapsed="false">
      <c r="A694" s="0" t="s">
        <v>7747</v>
      </c>
      <c r="B694" s="0" t="s">
        <v>7748</v>
      </c>
      <c r="C694" s="0" t="s">
        <v>7749</v>
      </c>
      <c r="D694" s="0" t="s">
        <v>7750</v>
      </c>
      <c r="E694" s="0" t="s">
        <v>112</v>
      </c>
      <c r="F694" s="0" t="s">
        <v>4950</v>
      </c>
      <c r="G694" s="0" t="s">
        <v>1953</v>
      </c>
      <c r="H694" s="0" t="s">
        <v>5609</v>
      </c>
      <c r="I694" s="5" t="s">
        <v>5610</v>
      </c>
      <c r="K694" s="0" t="s">
        <v>36</v>
      </c>
      <c r="L694" s="0" t="s">
        <v>7751</v>
      </c>
    </row>
    <row r="695" customFormat="false" ht="17.15" hidden="false" customHeight="false" outlineLevel="0" collapsed="false">
      <c r="A695" s="0" t="s">
        <v>7752</v>
      </c>
      <c r="B695" s="0" t="s">
        <v>7748</v>
      </c>
      <c r="C695" s="0" t="s">
        <v>7753</v>
      </c>
      <c r="D695" s="0" t="s">
        <v>4958</v>
      </c>
      <c r="E695" s="0" t="s">
        <v>112</v>
      </c>
      <c r="F695" s="0" t="s">
        <v>4950</v>
      </c>
      <c r="G695" s="0" t="s">
        <v>1953</v>
      </c>
      <c r="H695" s="0" t="s">
        <v>5609</v>
      </c>
      <c r="I695" s="5" t="s">
        <v>5610</v>
      </c>
      <c r="K695" s="0" t="s">
        <v>36</v>
      </c>
      <c r="L695" s="0" t="s">
        <v>7751</v>
      </c>
    </row>
    <row r="696" customFormat="false" ht="17.15" hidden="false" customHeight="false" outlineLevel="0" collapsed="false">
      <c r="A696" s="0" t="s">
        <v>7754</v>
      </c>
      <c r="B696" s="0" t="s">
        <v>7748</v>
      </c>
      <c r="C696" s="0" t="s">
        <v>7755</v>
      </c>
      <c r="D696" s="0" t="s">
        <v>7351</v>
      </c>
      <c r="E696" s="0" t="s">
        <v>112</v>
      </c>
      <c r="F696" s="0" t="s">
        <v>4950</v>
      </c>
      <c r="G696" s="0" t="s">
        <v>1953</v>
      </c>
      <c r="H696" s="0" t="s">
        <v>5609</v>
      </c>
      <c r="I696" s="5" t="s">
        <v>5610</v>
      </c>
      <c r="K696" s="0" t="s">
        <v>36</v>
      </c>
      <c r="L696" s="0" t="s">
        <v>7751</v>
      </c>
    </row>
    <row r="697" customFormat="false" ht="17.15" hidden="false" customHeight="false" outlineLevel="0" collapsed="false">
      <c r="A697" s="0" t="s">
        <v>7756</v>
      </c>
      <c r="B697" s="0" t="s">
        <v>7757</v>
      </c>
      <c r="C697" s="0" t="s">
        <v>7758</v>
      </c>
      <c r="D697" s="0" t="s">
        <v>5889</v>
      </c>
      <c r="E697" s="5" t="s">
        <v>77</v>
      </c>
      <c r="F697" s="0" t="s">
        <v>5314</v>
      </c>
      <c r="G697" s="0" t="s">
        <v>1953</v>
      </c>
      <c r="H697" s="0" t="s">
        <v>5566</v>
      </c>
      <c r="I697" s="0" t="s">
        <v>7759</v>
      </c>
      <c r="K697" s="0" t="s">
        <v>36</v>
      </c>
      <c r="L697" s="0" t="s">
        <v>7760</v>
      </c>
    </row>
    <row r="698" customFormat="false" ht="17.15" hidden="false" customHeight="false" outlineLevel="0" collapsed="false">
      <c r="A698" s="0" t="s">
        <v>7761</v>
      </c>
      <c r="B698" s="0" t="s">
        <v>7757</v>
      </c>
      <c r="C698" s="0" t="s">
        <v>7762</v>
      </c>
      <c r="D698" s="0" t="s">
        <v>6064</v>
      </c>
      <c r="E698" s="5" t="s">
        <v>77</v>
      </c>
      <c r="F698" s="0" t="s">
        <v>6524</v>
      </c>
      <c r="G698" s="0" t="s">
        <v>1953</v>
      </c>
      <c r="H698" s="0" t="s">
        <v>5598</v>
      </c>
      <c r="I698" s="5" t="s">
        <v>7763</v>
      </c>
      <c r="K698" s="0" t="s">
        <v>36</v>
      </c>
      <c r="L698" s="0" t="s">
        <v>7764</v>
      </c>
    </row>
    <row r="699" customFormat="false" ht="17.15" hidden="false" customHeight="false" outlineLevel="0" collapsed="false">
      <c r="A699" s="0" t="s">
        <v>7765</v>
      </c>
      <c r="B699" s="0" t="s">
        <v>7757</v>
      </c>
      <c r="C699" s="0" t="s">
        <v>7766</v>
      </c>
      <c r="D699" s="0" t="s">
        <v>5917</v>
      </c>
      <c r="E699" s="5" t="s">
        <v>77</v>
      </c>
      <c r="F699" s="0" t="s">
        <v>5314</v>
      </c>
      <c r="G699" s="0" t="s">
        <v>1953</v>
      </c>
      <c r="H699" s="0" t="s">
        <v>5614</v>
      </c>
      <c r="I699" s="5" t="s">
        <v>7767</v>
      </c>
      <c r="K699" s="0" t="s">
        <v>36</v>
      </c>
      <c r="L699" s="0" t="s">
        <v>7760</v>
      </c>
    </row>
    <row r="700" customFormat="false" ht="17.15" hidden="false" customHeight="false" outlineLevel="0" collapsed="false">
      <c r="A700" s="0" t="s">
        <v>7768</v>
      </c>
      <c r="B700" s="0" t="s">
        <v>7757</v>
      </c>
      <c r="C700" s="0" t="s">
        <v>7769</v>
      </c>
      <c r="D700" s="0" t="s">
        <v>4958</v>
      </c>
      <c r="E700" s="5" t="s">
        <v>77</v>
      </c>
      <c r="F700" s="0" t="s">
        <v>7370</v>
      </c>
      <c r="G700" s="0" t="s">
        <v>1899</v>
      </c>
      <c r="H700" s="0" t="s">
        <v>5592</v>
      </c>
      <c r="I700" s="5" t="s">
        <v>7770</v>
      </c>
      <c r="K700" s="0" t="s">
        <v>36</v>
      </c>
      <c r="L700" s="0" t="s">
        <v>7771</v>
      </c>
    </row>
    <row r="701" customFormat="false" ht="17.15" hidden="false" customHeight="false" outlineLevel="0" collapsed="false">
      <c r="A701" s="0" t="s">
        <v>7772</v>
      </c>
      <c r="B701" s="0" t="s">
        <v>7773</v>
      </c>
      <c r="C701" s="0" t="s">
        <v>7774</v>
      </c>
      <c r="D701" s="0" t="s">
        <v>7775</v>
      </c>
      <c r="E701" s="0" t="s">
        <v>112</v>
      </c>
      <c r="F701" s="0" t="s">
        <v>2388</v>
      </c>
      <c r="G701" s="0" t="s">
        <v>1953</v>
      </c>
      <c r="H701" s="0" t="s">
        <v>5566</v>
      </c>
      <c r="I701" s="0" t="s">
        <v>7776</v>
      </c>
      <c r="K701" s="0" t="s">
        <v>36</v>
      </c>
      <c r="L701" s="0" t="s">
        <v>7777</v>
      </c>
    </row>
    <row r="702" customFormat="false" ht="17.15" hidden="false" customHeight="false" outlineLevel="0" collapsed="false">
      <c r="A702" s="0" t="s">
        <v>7778</v>
      </c>
      <c r="B702" s="0" t="s">
        <v>7773</v>
      </c>
      <c r="C702" s="0" t="s">
        <v>7779</v>
      </c>
      <c r="D702" s="0" t="s">
        <v>7291</v>
      </c>
      <c r="E702" s="0" t="s">
        <v>112</v>
      </c>
      <c r="F702" s="0" t="s">
        <v>2388</v>
      </c>
      <c r="G702" s="0" t="s">
        <v>1953</v>
      </c>
      <c r="H702" s="0" t="s">
        <v>5609</v>
      </c>
      <c r="I702" s="5" t="s">
        <v>5610</v>
      </c>
      <c r="K702" s="0" t="s">
        <v>36</v>
      </c>
      <c r="L702" s="0" t="s">
        <v>7780</v>
      </c>
    </row>
    <row r="703" customFormat="false" ht="17.15" hidden="false" customHeight="false" outlineLevel="0" collapsed="false">
      <c r="A703" s="0" t="s">
        <v>7781</v>
      </c>
      <c r="B703" s="0" t="s">
        <v>7773</v>
      </c>
      <c r="C703" s="0" t="s">
        <v>7782</v>
      </c>
      <c r="D703" s="0" t="s">
        <v>7783</v>
      </c>
      <c r="E703" s="0" t="s">
        <v>112</v>
      </c>
      <c r="F703" s="0" t="s">
        <v>2388</v>
      </c>
      <c r="G703" s="0" t="s">
        <v>1909</v>
      </c>
      <c r="H703" s="0" t="s">
        <v>5609</v>
      </c>
      <c r="I703" s="5" t="s">
        <v>5610</v>
      </c>
      <c r="K703" s="0" t="s">
        <v>36</v>
      </c>
      <c r="L703" s="0" t="s">
        <v>7780</v>
      </c>
    </row>
    <row r="704" customFormat="false" ht="17.15" hidden="false" customHeight="false" outlineLevel="0" collapsed="false">
      <c r="A704" s="0" t="s">
        <v>7784</v>
      </c>
      <c r="B704" s="0" t="s">
        <v>7785</v>
      </c>
      <c r="C704" s="0" t="s">
        <v>7786</v>
      </c>
      <c r="D704" s="0" t="s">
        <v>6489</v>
      </c>
      <c r="E704" s="5" t="s">
        <v>77</v>
      </c>
      <c r="F704" s="0" t="s">
        <v>6731</v>
      </c>
      <c r="G704" s="0" t="s">
        <v>1953</v>
      </c>
      <c r="H704" s="0" t="s">
        <v>5598</v>
      </c>
      <c r="I704" s="0" t="s">
        <v>7787</v>
      </c>
      <c r="K704" s="0" t="s">
        <v>36</v>
      </c>
      <c r="L704" s="0" t="s">
        <v>7788</v>
      </c>
    </row>
    <row r="705" customFormat="false" ht="17.15" hidden="false" customHeight="false" outlineLevel="0" collapsed="false">
      <c r="A705" s="0" t="s">
        <v>7789</v>
      </c>
      <c r="B705" s="0" t="s">
        <v>7785</v>
      </c>
      <c r="C705" s="0" t="s">
        <v>7790</v>
      </c>
      <c r="D705" s="0" t="s">
        <v>6330</v>
      </c>
      <c r="E705" s="5" t="s">
        <v>77</v>
      </c>
      <c r="F705" s="0" t="s">
        <v>5824</v>
      </c>
      <c r="G705" s="0" t="s">
        <v>1953</v>
      </c>
      <c r="H705" s="0" t="s">
        <v>5566</v>
      </c>
      <c r="I705" s="0" t="s">
        <v>7791</v>
      </c>
      <c r="K705" s="0" t="s">
        <v>36</v>
      </c>
      <c r="L705" s="0" t="s">
        <v>7792</v>
      </c>
    </row>
    <row r="706" customFormat="false" ht="17.15" hidden="false" customHeight="false" outlineLevel="0" collapsed="false">
      <c r="A706" s="0" t="s">
        <v>7793</v>
      </c>
      <c r="B706" s="0" t="s">
        <v>7785</v>
      </c>
      <c r="C706" s="0" t="s">
        <v>7794</v>
      </c>
      <c r="D706" s="0" t="s">
        <v>4971</v>
      </c>
      <c r="E706" s="5" t="s">
        <v>77</v>
      </c>
      <c r="F706" s="0" t="s">
        <v>7795</v>
      </c>
      <c r="G706" s="0" t="s">
        <v>1953</v>
      </c>
      <c r="H706" s="0" t="s">
        <v>5566</v>
      </c>
      <c r="I706" s="0" t="s">
        <v>7796</v>
      </c>
      <c r="K706" s="0" t="s">
        <v>36</v>
      </c>
      <c r="L706" s="0" t="s">
        <v>7797</v>
      </c>
    </row>
    <row r="707" customFormat="false" ht="17.15" hidden="false" customHeight="false" outlineLevel="0" collapsed="false">
      <c r="A707" s="0" t="s">
        <v>7798</v>
      </c>
      <c r="B707" s="0" t="s">
        <v>1868</v>
      </c>
      <c r="C707" s="0" t="s">
        <v>7799</v>
      </c>
      <c r="D707" s="0" t="s">
        <v>5903</v>
      </c>
      <c r="E707" s="5" t="s">
        <v>77</v>
      </c>
      <c r="F707" s="0" t="s">
        <v>5448</v>
      </c>
      <c r="G707" s="0" t="s">
        <v>1953</v>
      </c>
      <c r="H707" s="0" t="s">
        <v>5566</v>
      </c>
      <c r="I707" s="0" t="s">
        <v>7800</v>
      </c>
      <c r="J707" s="0" t="s">
        <v>749</v>
      </c>
      <c r="K707" s="5" t="s">
        <v>1895</v>
      </c>
      <c r="L707" s="0" t="s">
        <v>7801</v>
      </c>
    </row>
    <row r="708" customFormat="false" ht="17.15" hidden="false" customHeight="false" outlineLevel="0" collapsed="false">
      <c r="A708" s="0" t="s">
        <v>7802</v>
      </c>
      <c r="B708" s="0" t="s">
        <v>1868</v>
      </c>
      <c r="C708" s="0" t="s">
        <v>7803</v>
      </c>
      <c r="D708" s="0" t="s">
        <v>4630</v>
      </c>
      <c r="E708" s="5" t="s">
        <v>77</v>
      </c>
      <c r="F708" s="0" t="s">
        <v>6113</v>
      </c>
      <c r="G708" s="0" t="s">
        <v>1899</v>
      </c>
      <c r="H708" s="0" t="s">
        <v>5598</v>
      </c>
      <c r="I708" s="0" t="s">
        <v>7804</v>
      </c>
      <c r="J708" s="0" t="s">
        <v>749</v>
      </c>
      <c r="K708" s="5" t="s">
        <v>1895</v>
      </c>
      <c r="L708" s="0" t="s">
        <v>7805</v>
      </c>
    </row>
    <row r="709" customFormat="false" ht="17.15" hidden="false" customHeight="false" outlineLevel="0" collapsed="false">
      <c r="A709" s="0" t="s">
        <v>7806</v>
      </c>
      <c r="B709" s="0" t="s">
        <v>1715</v>
      </c>
      <c r="C709" s="0" t="s">
        <v>7807</v>
      </c>
      <c r="D709" s="0" t="s">
        <v>7351</v>
      </c>
      <c r="E709" s="5" t="s">
        <v>77</v>
      </c>
      <c r="F709" s="0" t="s">
        <v>7808</v>
      </c>
      <c r="G709" s="0" t="s">
        <v>1953</v>
      </c>
      <c r="H709" s="0" t="s">
        <v>5566</v>
      </c>
      <c r="I709" s="0" t="s">
        <v>7809</v>
      </c>
      <c r="K709" s="0" t="s">
        <v>36</v>
      </c>
      <c r="L709" s="0" t="s">
        <v>7810</v>
      </c>
    </row>
    <row r="710" customFormat="false" ht="17.15" hidden="false" customHeight="false" outlineLevel="0" collapsed="false">
      <c r="A710" s="0" t="s">
        <v>7811</v>
      </c>
      <c r="B710" s="0" t="s">
        <v>1715</v>
      </c>
      <c r="C710" s="0" t="s">
        <v>7812</v>
      </c>
      <c r="D710" s="0" t="s">
        <v>113</v>
      </c>
      <c r="E710" s="5" t="s">
        <v>77</v>
      </c>
      <c r="F710" s="0" t="s">
        <v>7813</v>
      </c>
      <c r="G710" s="0" t="s">
        <v>1953</v>
      </c>
      <c r="H710" s="0" t="s">
        <v>5566</v>
      </c>
      <c r="I710" s="5" t="s">
        <v>7814</v>
      </c>
      <c r="K710" s="0" t="s">
        <v>36</v>
      </c>
      <c r="L710" s="0" t="s">
        <v>7815</v>
      </c>
    </row>
    <row r="711" customFormat="false" ht="17.15" hidden="false" customHeight="false" outlineLevel="0" collapsed="false">
      <c r="A711" s="0" t="s">
        <v>7816</v>
      </c>
      <c r="B711" s="0" t="s">
        <v>1868</v>
      </c>
      <c r="C711" s="0" t="s">
        <v>7817</v>
      </c>
      <c r="D711" s="0" t="s">
        <v>113</v>
      </c>
      <c r="E711" s="5" t="s">
        <v>77</v>
      </c>
      <c r="F711" s="0" t="s">
        <v>6456</v>
      </c>
      <c r="G711" s="0" t="s">
        <v>1953</v>
      </c>
      <c r="H711" s="0" t="s">
        <v>5631</v>
      </c>
      <c r="I711" s="5" t="s">
        <v>7818</v>
      </c>
      <c r="K711" s="0" t="s">
        <v>36</v>
      </c>
      <c r="L711" s="0" t="s">
        <v>7819</v>
      </c>
    </row>
    <row r="712" customFormat="false" ht="17.15" hidden="false" customHeight="false" outlineLevel="0" collapsed="false">
      <c r="A712" s="0" t="s">
        <v>7820</v>
      </c>
      <c r="B712" s="0" t="s">
        <v>1868</v>
      </c>
      <c r="C712" s="0" t="s">
        <v>7821</v>
      </c>
      <c r="D712" s="0" t="s">
        <v>113</v>
      </c>
      <c r="E712" s="5" t="s">
        <v>77</v>
      </c>
      <c r="F712" s="0" t="s">
        <v>6456</v>
      </c>
      <c r="G712" s="0" t="s">
        <v>1953</v>
      </c>
      <c r="H712" s="0" t="s">
        <v>5631</v>
      </c>
      <c r="I712" s="5" t="s">
        <v>7822</v>
      </c>
      <c r="K712" s="0" t="s">
        <v>36</v>
      </c>
      <c r="L712" s="0" t="s">
        <v>7819</v>
      </c>
    </row>
    <row r="713" customFormat="false" ht="17.15" hidden="false" customHeight="false" outlineLevel="0" collapsed="false">
      <c r="A713" s="0" t="s">
        <v>7823</v>
      </c>
      <c r="B713" s="0" t="s">
        <v>7824</v>
      </c>
      <c r="C713" s="0" t="s">
        <v>7825</v>
      </c>
      <c r="D713" s="0" t="s">
        <v>6923</v>
      </c>
      <c r="E713" s="5" t="s">
        <v>77</v>
      </c>
      <c r="F713" s="0" t="s">
        <v>7658</v>
      </c>
      <c r="G713" s="0" t="s">
        <v>1953</v>
      </c>
      <c r="H713" s="0" t="s">
        <v>5614</v>
      </c>
      <c r="I713" s="0" t="s">
        <v>7826</v>
      </c>
      <c r="K713" s="0" t="s">
        <v>36</v>
      </c>
      <c r="L713" s="0" t="s">
        <v>7827</v>
      </c>
    </row>
    <row r="714" customFormat="false" ht="17.15" hidden="false" customHeight="false" outlineLevel="0" collapsed="false">
      <c r="A714" s="0" t="s">
        <v>7828</v>
      </c>
      <c r="B714" s="0" t="s">
        <v>7824</v>
      </c>
      <c r="C714" s="0" t="s">
        <v>7829</v>
      </c>
      <c r="D714" s="0" t="s">
        <v>6064</v>
      </c>
      <c r="E714" s="5" t="s">
        <v>77</v>
      </c>
      <c r="F714" s="0" t="s">
        <v>7830</v>
      </c>
      <c r="G714" s="0" t="s">
        <v>1953</v>
      </c>
      <c r="H714" s="0" t="s">
        <v>5592</v>
      </c>
      <c r="I714" s="0" t="s">
        <v>7831</v>
      </c>
      <c r="K714" s="0" t="s">
        <v>36</v>
      </c>
      <c r="L714" s="0" t="s">
        <v>7832</v>
      </c>
    </row>
    <row r="715" customFormat="false" ht="17.15" hidden="false" customHeight="false" outlineLevel="0" collapsed="false">
      <c r="A715" s="0" t="s">
        <v>7833</v>
      </c>
      <c r="B715" s="0" t="s">
        <v>7824</v>
      </c>
      <c r="C715" s="0" t="s">
        <v>7834</v>
      </c>
      <c r="D715" s="0" t="s">
        <v>113</v>
      </c>
      <c r="E715" s="5" t="s">
        <v>77</v>
      </c>
      <c r="F715" s="0" t="s">
        <v>7658</v>
      </c>
      <c r="G715" s="0" t="s">
        <v>1953</v>
      </c>
      <c r="H715" s="0" t="s">
        <v>5614</v>
      </c>
      <c r="I715" s="5" t="s">
        <v>7835</v>
      </c>
      <c r="K715" s="0" t="s">
        <v>36</v>
      </c>
      <c r="L715" s="0" t="s">
        <v>7827</v>
      </c>
    </row>
    <row r="716" customFormat="false" ht="17.15" hidden="false" customHeight="false" outlineLevel="0" collapsed="false">
      <c r="A716" s="0" t="s">
        <v>7836</v>
      </c>
      <c r="B716" s="0" t="s">
        <v>7824</v>
      </c>
      <c r="C716" s="0" t="s">
        <v>7837</v>
      </c>
      <c r="D716" s="0" t="s">
        <v>113</v>
      </c>
      <c r="E716" s="5" t="s">
        <v>77</v>
      </c>
      <c r="F716" s="0" t="s">
        <v>4756</v>
      </c>
      <c r="G716" s="0" t="s">
        <v>1953</v>
      </c>
      <c r="H716" s="0" t="s">
        <v>5566</v>
      </c>
      <c r="I716" s="0" t="s">
        <v>7838</v>
      </c>
      <c r="K716" s="0" t="s">
        <v>36</v>
      </c>
      <c r="L716" s="0" t="s">
        <v>7839</v>
      </c>
    </row>
    <row r="717" customFormat="false" ht="17.15" hidden="false" customHeight="false" outlineLevel="0" collapsed="false">
      <c r="A717" s="0" t="s">
        <v>7840</v>
      </c>
      <c r="B717" s="0" t="s">
        <v>7824</v>
      </c>
      <c r="C717" s="0" t="s">
        <v>7841</v>
      </c>
      <c r="D717" s="0" t="s">
        <v>4630</v>
      </c>
      <c r="E717" s="5" t="s">
        <v>77</v>
      </c>
      <c r="F717" s="0" t="s">
        <v>6426</v>
      </c>
      <c r="G717" s="0" t="s">
        <v>1953</v>
      </c>
      <c r="H717" s="0" t="s">
        <v>5631</v>
      </c>
      <c r="I717" s="0" t="s">
        <v>7842</v>
      </c>
      <c r="K717" s="0" t="s">
        <v>36</v>
      </c>
      <c r="L717" s="0" t="s">
        <v>7843</v>
      </c>
    </row>
    <row r="718" customFormat="false" ht="17.15" hidden="false" customHeight="false" outlineLevel="0" collapsed="false">
      <c r="A718" s="0" t="s">
        <v>7844</v>
      </c>
      <c r="B718" s="0" t="s">
        <v>7824</v>
      </c>
      <c r="C718" s="0" t="s">
        <v>7845</v>
      </c>
      <c r="D718" s="0" t="s">
        <v>6064</v>
      </c>
      <c r="E718" s="5" t="s">
        <v>77</v>
      </c>
      <c r="F718" s="0" t="s">
        <v>6426</v>
      </c>
      <c r="G718" s="0" t="s">
        <v>1953</v>
      </c>
      <c r="H718" s="0" t="s">
        <v>5598</v>
      </c>
      <c r="I718" s="0" t="s">
        <v>7846</v>
      </c>
      <c r="K718" s="0" t="s">
        <v>36</v>
      </c>
      <c r="L718" s="0" t="s">
        <v>7843</v>
      </c>
    </row>
    <row r="719" customFormat="false" ht="17.15" hidden="false" customHeight="false" outlineLevel="0" collapsed="false">
      <c r="A719" s="0" t="s">
        <v>7847</v>
      </c>
      <c r="B719" s="0" t="s">
        <v>7824</v>
      </c>
      <c r="C719" s="0" t="s">
        <v>7848</v>
      </c>
      <c r="D719" s="0" t="s">
        <v>4883</v>
      </c>
      <c r="E719" s="5" t="s">
        <v>77</v>
      </c>
      <c r="F719" s="0" t="s">
        <v>7569</v>
      </c>
      <c r="G719" s="0" t="s">
        <v>1953</v>
      </c>
      <c r="H719" s="0" t="s">
        <v>5566</v>
      </c>
      <c r="I719" s="0" t="s">
        <v>7849</v>
      </c>
      <c r="K719" s="0" t="s">
        <v>36</v>
      </c>
      <c r="L719" s="0" t="s">
        <v>7850</v>
      </c>
    </row>
    <row r="720" customFormat="false" ht="17.15" hidden="false" customHeight="false" outlineLevel="0" collapsed="false">
      <c r="A720" s="0" t="s">
        <v>7851</v>
      </c>
      <c r="B720" s="0" t="s">
        <v>7824</v>
      </c>
      <c r="C720" s="0" t="s">
        <v>7852</v>
      </c>
      <c r="D720" s="0" t="s">
        <v>5129</v>
      </c>
      <c r="E720" s="5" t="s">
        <v>77</v>
      </c>
      <c r="F720" s="0" t="s">
        <v>2407</v>
      </c>
      <c r="G720" s="0" t="s">
        <v>1953</v>
      </c>
      <c r="H720" s="0" t="s">
        <v>5566</v>
      </c>
      <c r="I720" s="0" t="s">
        <v>7853</v>
      </c>
      <c r="K720" s="0" t="s">
        <v>36</v>
      </c>
      <c r="L720" s="0" t="s">
        <v>7854</v>
      </c>
    </row>
    <row r="721" customFormat="false" ht="17.15" hidden="false" customHeight="false" outlineLevel="0" collapsed="false">
      <c r="A721" s="0" t="s">
        <v>7855</v>
      </c>
      <c r="B721" s="0" t="s">
        <v>7824</v>
      </c>
      <c r="C721" s="0" t="s">
        <v>7856</v>
      </c>
      <c r="D721" s="0" t="s">
        <v>6330</v>
      </c>
      <c r="E721" s="5" t="s">
        <v>77</v>
      </c>
      <c r="F721" s="0" t="s">
        <v>6747</v>
      </c>
      <c r="G721" s="0" t="s">
        <v>1953</v>
      </c>
      <c r="H721" s="0" t="s">
        <v>5614</v>
      </c>
      <c r="I721" s="0" t="s">
        <v>7857</v>
      </c>
      <c r="K721" s="0" t="s">
        <v>36</v>
      </c>
      <c r="L721" s="0" t="s">
        <v>7858</v>
      </c>
    </row>
    <row r="722" customFormat="false" ht="17.15" hidden="false" customHeight="false" outlineLevel="0" collapsed="false">
      <c r="A722" s="0" t="s">
        <v>7859</v>
      </c>
      <c r="B722" s="0" t="s">
        <v>7824</v>
      </c>
      <c r="C722" s="0" t="s">
        <v>7860</v>
      </c>
      <c r="D722" s="0" t="s">
        <v>5201</v>
      </c>
      <c r="E722" s="5" t="s">
        <v>77</v>
      </c>
      <c r="F722" s="0" t="s">
        <v>6747</v>
      </c>
      <c r="G722" s="0" t="s">
        <v>1953</v>
      </c>
      <c r="H722" s="0" t="s">
        <v>5566</v>
      </c>
      <c r="I722" s="0" t="s">
        <v>7861</v>
      </c>
      <c r="K722" s="0" t="s">
        <v>36</v>
      </c>
      <c r="L722" s="0" t="s">
        <v>7858</v>
      </c>
    </row>
    <row r="723" customFormat="false" ht="17.15" hidden="false" customHeight="false" outlineLevel="0" collapsed="false">
      <c r="A723" s="0" t="s">
        <v>7862</v>
      </c>
      <c r="B723" s="0" t="s">
        <v>7863</v>
      </c>
      <c r="C723" s="0" t="s">
        <v>7864</v>
      </c>
      <c r="D723" s="0" t="s">
        <v>5129</v>
      </c>
      <c r="E723" s="5" t="s">
        <v>77</v>
      </c>
      <c r="F723" s="0" t="s">
        <v>5433</v>
      </c>
      <c r="G723" s="0" t="s">
        <v>1953</v>
      </c>
      <c r="H723" s="0" t="s">
        <v>5566</v>
      </c>
      <c r="I723" s="0" t="s">
        <v>7865</v>
      </c>
      <c r="K723" s="0" t="s">
        <v>36</v>
      </c>
      <c r="L723" s="0" t="s">
        <v>7866</v>
      </c>
    </row>
    <row r="724" customFormat="false" ht="17.15" hidden="false" customHeight="false" outlineLevel="0" collapsed="false">
      <c r="A724" s="0" t="s">
        <v>7867</v>
      </c>
      <c r="B724" s="0" t="s">
        <v>7863</v>
      </c>
      <c r="C724" s="0" t="s">
        <v>7868</v>
      </c>
      <c r="D724" s="0" t="s">
        <v>5903</v>
      </c>
      <c r="E724" s="5" t="s">
        <v>77</v>
      </c>
      <c r="F724" s="0" t="s">
        <v>7869</v>
      </c>
      <c r="G724" s="0" t="s">
        <v>1953</v>
      </c>
      <c r="H724" s="0" t="s">
        <v>5631</v>
      </c>
      <c r="I724" s="5" t="s">
        <v>7870</v>
      </c>
      <c r="K724" s="0" t="s">
        <v>36</v>
      </c>
      <c r="L724" s="0" t="s">
        <v>7871</v>
      </c>
    </row>
    <row r="725" customFormat="false" ht="17.15" hidden="false" customHeight="false" outlineLevel="0" collapsed="false">
      <c r="A725" s="0" t="s">
        <v>7872</v>
      </c>
      <c r="B725" s="0" t="s">
        <v>7873</v>
      </c>
      <c r="C725" s="0" t="s">
        <v>7874</v>
      </c>
      <c r="D725" s="0" t="s">
        <v>7875</v>
      </c>
      <c r="E725" s="5" t="s">
        <v>77</v>
      </c>
      <c r="G725" s="0" t="s">
        <v>1953</v>
      </c>
      <c r="H725" s="0" t="s">
        <v>5566</v>
      </c>
      <c r="I725" s="0" t="s">
        <v>7876</v>
      </c>
      <c r="K725" s="0" t="s">
        <v>36</v>
      </c>
      <c r="L725" s="0" t="s">
        <v>7877</v>
      </c>
    </row>
    <row r="726" customFormat="false" ht="17.15" hidden="false" customHeight="false" outlineLevel="0" collapsed="false">
      <c r="A726" s="0" t="s">
        <v>7878</v>
      </c>
      <c r="B726" s="0" t="s">
        <v>7879</v>
      </c>
      <c r="C726" s="0" t="s">
        <v>7880</v>
      </c>
      <c r="D726" s="0" t="s">
        <v>113</v>
      </c>
      <c r="E726" s="5" t="s">
        <v>77</v>
      </c>
      <c r="F726" s="0" t="s">
        <v>7881</v>
      </c>
      <c r="G726" s="0" t="s">
        <v>1899</v>
      </c>
      <c r="H726" s="0" t="s">
        <v>5598</v>
      </c>
      <c r="I726" s="0" t="s">
        <v>7882</v>
      </c>
      <c r="K726" s="0" t="s">
        <v>36</v>
      </c>
      <c r="L726" s="0" t="s">
        <v>7883</v>
      </c>
    </row>
    <row r="727" customFormat="false" ht="17.15" hidden="false" customHeight="false" outlineLevel="0" collapsed="false">
      <c r="A727" s="0" t="s">
        <v>7884</v>
      </c>
      <c r="B727" s="0" t="s">
        <v>7879</v>
      </c>
      <c r="C727" s="0" t="s">
        <v>7885</v>
      </c>
      <c r="D727" s="0" t="s">
        <v>113</v>
      </c>
      <c r="E727" s="5" t="s">
        <v>77</v>
      </c>
      <c r="F727" s="0" t="s">
        <v>7333</v>
      </c>
      <c r="G727" s="0" t="s">
        <v>1953</v>
      </c>
      <c r="H727" s="0" t="s">
        <v>5566</v>
      </c>
      <c r="I727" s="5" t="s">
        <v>7886</v>
      </c>
      <c r="K727" s="0" t="s">
        <v>36</v>
      </c>
      <c r="L727" s="0" t="s">
        <v>7887</v>
      </c>
    </row>
    <row r="728" customFormat="false" ht="17.15" hidden="false" customHeight="false" outlineLevel="0" collapsed="false">
      <c r="A728" s="0" t="s">
        <v>7888</v>
      </c>
      <c r="B728" s="0" t="s">
        <v>7879</v>
      </c>
      <c r="C728" s="0" t="s">
        <v>7889</v>
      </c>
      <c r="D728" s="0" t="s">
        <v>113</v>
      </c>
      <c r="E728" s="5" t="s">
        <v>77</v>
      </c>
      <c r="F728" s="0" t="s">
        <v>6020</v>
      </c>
      <c r="G728" s="0" t="s">
        <v>1899</v>
      </c>
      <c r="H728" s="0" t="s">
        <v>5598</v>
      </c>
      <c r="I728" s="5" t="s">
        <v>7890</v>
      </c>
      <c r="K728" s="0" t="s">
        <v>36</v>
      </c>
      <c r="L728" s="0" t="s">
        <v>7891</v>
      </c>
    </row>
    <row r="729" customFormat="false" ht="17.15" hidden="false" customHeight="false" outlineLevel="0" collapsed="false">
      <c r="A729" s="0" t="s">
        <v>7892</v>
      </c>
      <c r="B729" s="0" t="s">
        <v>7879</v>
      </c>
      <c r="C729" s="0" t="s">
        <v>7893</v>
      </c>
      <c r="D729" s="0" t="s">
        <v>113</v>
      </c>
      <c r="E729" s="5" t="s">
        <v>77</v>
      </c>
      <c r="F729" s="0" t="s">
        <v>7360</v>
      </c>
      <c r="G729" s="0" t="s">
        <v>1899</v>
      </c>
      <c r="H729" s="0" t="s">
        <v>5609</v>
      </c>
      <c r="I729" s="5" t="s">
        <v>5610</v>
      </c>
      <c r="K729" s="0" t="s">
        <v>36</v>
      </c>
      <c r="L729" s="0" t="s">
        <v>7894</v>
      </c>
    </row>
    <row r="730" customFormat="false" ht="17.15" hidden="false" customHeight="false" outlineLevel="0" collapsed="false">
      <c r="A730" s="0" t="s">
        <v>7895</v>
      </c>
      <c r="B730" s="0" t="s">
        <v>7879</v>
      </c>
      <c r="C730" s="0" t="s">
        <v>7896</v>
      </c>
      <c r="D730" s="0" t="s">
        <v>7897</v>
      </c>
      <c r="E730" s="5" t="s">
        <v>77</v>
      </c>
      <c r="F730" s="0" t="s">
        <v>4516</v>
      </c>
      <c r="G730" s="0" t="s">
        <v>1899</v>
      </c>
      <c r="H730" s="0" t="s">
        <v>5566</v>
      </c>
      <c r="I730" s="0" t="s">
        <v>7898</v>
      </c>
      <c r="K730" s="0" t="s">
        <v>36</v>
      </c>
      <c r="L730" s="0" t="s">
        <v>7899</v>
      </c>
    </row>
    <row r="731" customFormat="false" ht="17.15" hidden="false" customHeight="false" outlineLevel="0" collapsed="false">
      <c r="A731" s="0" t="s">
        <v>7900</v>
      </c>
      <c r="B731" s="0" t="s">
        <v>7879</v>
      </c>
      <c r="C731" s="0" t="s">
        <v>7901</v>
      </c>
      <c r="D731" s="0" t="s">
        <v>5889</v>
      </c>
      <c r="E731" s="5" t="s">
        <v>77</v>
      </c>
      <c r="F731" s="0" t="s">
        <v>7881</v>
      </c>
      <c r="G731" s="0" t="s">
        <v>1953</v>
      </c>
      <c r="H731" s="0" t="s">
        <v>5598</v>
      </c>
      <c r="I731" s="0" t="s">
        <v>7902</v>
      </c>
      <c r="K731" s="0" t="s">
        <v>36</v>
      </c>
      <c r="L731" s="0" t="s">
        <v>7883</v>
      </c>
    </row>
    <row r="732" customFormat="false" ht="17.15" hidden="false" customHeight="false" outlineLevel="0" collapsed="false">
      <c r="A732" s="0" t="s">
        <v>7903</v>
      </c>
      <c r="B732" s="0" t="s">
        <v>7879</v>
      </c>
      <c r="C732" s="0" t="s">
        <v>7904</v>
      </c>
      <c r="D732" s="0" t="s">
        <v>113</v>
      </c>
      <c r="E732" s="5" t="s">
        <v>77</v>
      </c>
      <c r="F732" s="0" t="s">
        <v>7333</v>
      </c>
      <c r="G732" s="0" t="s">
        <v>1953</v>
      </c>
      <c r="H732" s="0" t="s">
        <v>5566</v>
      </c>
      <c r="I732" s="0" t="s">
        <v>7905</v>
      </c>
      <c r="K732" s="0" t="s">
        <v>36</v>
      </c>
      <c r="L732" s="0" t="s">
        <v>7887</v>
      </c>
    </row>
    <row r="733" customFormat="false" ht="17.15" hidden="false" customHeight="false" outlineLevel="0" collapsed="false">
      <c r="A733" s="0" t="s">
        <v>7906</v>
      </c>
      <c r="B733" s="0" t="s">
        <v>7907</v>
      </c>
      <c r="C733" s="0" t="s">
        <v>7908</v>
      </c>
      <c r="D733" s="0" t="s">
        <v>7909</v>
      </c>
      <c r="E733" s="5" t="s">
        <v>77</v>
      </c>
      <c r="F733" s="0" t="s">
        <v>6173</v>
      </c>
      <c r="G733" s="0" t="s">
        <v>1953</v>
      </c>
      <c r="H733" s="0" t="s">
        <v>5566</v>
      </c>
      <c r="I733" s="0" t="s">
        <v>7910</v>
      </c>
      <c r="K733" s="0" t="s">
        <v>36</v>
      </c>
      <c r="L733" s="0" t="s">
        <v>7911</v>
      </c>
    </row>
    <row r="734" customFormat="false" ht="17.15" hidden="false" customHeight="false" outlineLevel="0" collapsed="false">
      <c r="A734" s="0" t="s">
        <v>7912</v>
      </c>
      <c r="B734" s="0" t="s">
        <v>7907</v>
      </c>
      <c r="C734" s="0" t="s">
        <v>7913</v>
      </c>
      <c r="D734" s="0" t="s">
        <v>7914</v>
      </c>
      <c r="E734" s="5" t="s">
        <v>77</v>
      </c>
      <c r="F734" s="0" t="s">
        <v>6173</v>
      </c>
      <c r="G734" s="0" t="s">
        <v>1953</v>
      </c>
      <c r="H734" s="0" t="s">
        <v>5566</v>
      </c>
      <c r="I734" s="0" t="s">
        <v>7915</v>
      </c>
      <c r="K734" s="0" t="s">
        <v>36</v>
      </c>
      <c r="L734" s="0" t="s">
        <v>7911</v>
      </c>
    </row>
    <row r="735" customFormat="false" ht="17.15" hidden="false" customHeight="false" outlineLevel="0" collapsed="false">
      <c r="A735" s="0" t="s">
        <v>7916</v>
      </c>
      <c r="B735" s="0" t="s">
        <v>7907</v>
      </c>
      <c r="C735" s="0" t="s">
        <v>7917</v>
      </c>
      <c r="D735" s="0" t="s">
        <v>5129</v>
      </c>
      <c r="E735" s="5" t="s">
        <v>77</v>
      </c>
      <c r="F735" s="0" t="s">
        <v>6173</v>
      </c>
      <c r="G735" s="0" t="s">
        <v>1953</v>
      </c>
      <c r="H735" s="0" t="s">
        <v>5566</v>
      </c>
      <c r="I735" s="0" t="s">
        <v>7918</v>
      </c>
      <c r="K735" s="0" t="s">
        <v>36</v>
      </c>
      <c r="L735" s="0" t="s">
        <v>7919</v>
      </c>
    </row>
    <row r="736" customFormat="false" ht="17.15" hidden="false" customHeight="false" outlineLevel="0" collapsed="false">
      <c r="A736" s="0" t="s">
        <v>7920</v>
      </c>
      <c r="B736" s="0" t="s">
        <v>7907</v>
      </c>
      <c r="C736" s="0" t="s">
        <v>7921</v>
      </c>
      <c r="D736" s="0" t="s">
        <v>113</v>
      </c>
      <c r="E736" s="5" t="s">
        <v>77</v>
      </c>
      <c r="F736" s="0" t="s">
        <v>2348</v>
      </c>
      <c r="G736" s="0" t="s">
        <v>1953</v>
      </c>
      <c r="H736" s="0" t="s">
        <v>5566</v>
      </c>
      <c r="I736" s="5" t="s">
        <v>7922</v>
      </c>
      <c r="K736" s="0" t="s">
        <v>36</v>
      </c>
      <c r="L736" s="0" t="s">
        <v>7923</v>
      </c>
    </row>
    <row r="737" customFormat="false" ht="17.15" hidden="false" customHeight="false" outlineLevel="0" collapsed="false">
      <c r="A737" s="0" t="s">
        <v>7924</v>
      </c>
      <c r="B737" s="0" t="s">
        <v>7925</v>
      </c>
      <c r="C737" s="0" t="s">
        <v>7926</v>
      </c>
      <c r="D737" s="0" t="s">
        <v>4883</v>
      </c>
      <c r="E737" s="5" t="s">
        <v>77</v>
      </c>
      <c r="F737" s="0" t="s">
        <v>6426</v>
      </c>
      <c r="G737" s="0" t="s">
        <v>1953</v>
      </c>
      <c r="H737" s="0" t="s">
        <v>5609</v>
      </c>
      <c r="I737" s="5" t="s">
        <v>5868</v>
      </c>
      <c r="K737" s="0" t="s">
        <v>36</v>
      </c>
      <c r="L737" s="0" t="s">
        <v>7927</v>
      </c>
    </row>
    <row r="738" customFormat="false" ht="17.15" hidden="false" customHeight="false" outlineLevel="0" collapsed="false">
      <c r="A738" s="0" t="s">
        <v>7928</v>
      </c>
      <c r="B738" s="0" t="s">
        <v>7925</v>
      </c>
      <c r="C738" s="0" t="s">
        <v>7929</v>
      </c>
      <c r="D738" s="0" t="s">
        <v>6064</v>
      </c>
      <c r="E738" s="5" t="s">
        <v>77</v>
      </c>
      <c r="F738" s="0" t="s">
        <v>6868</v>
      </c>
      <c r="G738" s="0" t="s">
        <v>1953</v>
      </c>
      <c r="H738" s="0" t="s">
        <v>5566</v>
      </c>
      <c r="I738" s="0" t="s">
        <v>7930</v>
      </c>
      <c r="K738" s="0" t="s">
        <v>36</v>
      </c>
      <c r="L738" s="0" t="s">
        <v>7931</v>
      </c>
    </row>
    <row r="739" customFormat="false" ht="17.15" hidden="false" customHeight="false" outlineLevel="0" collapsed="false">
      <c r="A739" s="0" t="s">
        <v>7932</v>
      </c>
      <c r="B739" s="0" t="s">
        <v>7925</v>
      </c>
      <c r="C739" s="0" t="s">
        <v>7933</v>
      </c>
      <c r="D739" s="0" t="s">
        <v>7709</v>
      </c>
      <c r="E739" s="5" t="s">
        <v>77</v>
      </c>
      <c r="F739" s="0" t="s">
        <v>7934</v>
      </c>
      <c r="G739" s="0" t="s">
        <v>1953</v>
      </c>
      <c r="H739" s="0" t="s">
        <v>5614</v>
      </c>
      <c r="I739" s="5" t="s">
        <v>7935</v>
      </c>
      <c r="K739" s="0" t="s">
        <v>36</v>
      </c>
      <c r="L739" s="0" t="s">
        <v>7936</v>
      </c>
    </row>
    <row r="740" customFormat="false" ht="17.15" hidden="false" customHeight="false" outlineLevel="0" collapsed="false">
      <c r="A740" s="0" t="s">
        <v>7937</v>
      </c>
      <c r="B740" s="0" t="s">
        <v>7925</v>
      </c>
      <c r="C740" s="0" t="s">
        <v>7938</v>
      </c>
      <c r="D740" s="0" t="s">
        <v>5917</v>
      </c>
      <c r="E740" s="5" t="s">
        <v>77</v>
      </c>
      <c r="F740" s="0" t="s">
        <v>7939</v>
      </c>
      <c r="G740" s="0" t="s">
        <v>1953</v>
      </c>
      <c r="H740" s="0" t="s">
        <v>5566</v>
      </c>
      <c r="I740" s="5" t="s">
        <v>7940</v>
      </c>
      <c r="K740" s="0" t="s">
        <v>36</v>
      </c>
      <c r="L740" s="0" t="s">
        <v>7941</v>
      </c>
    </row>
    <row r="741" customFormat="false" ht="17.15" hidden="false" customHeight="false" outlineLevel="0" collapsed="false">
      <c r="A741" s="0" t="s">
        <v>7942</v>
      </c>
      <c r="B741" s="0" t="s">
        <v>7925</v>
      </c>
      <c r="C741" s="0" t="s">
        <v>7943</v>
      </c>
      <c r="D741" s="0" t="s">
        <v>5889</v>
      </c>
      <c r="E741" s="0" t="s">
        <v>112</v>
      </c>
      <c r="F741" s="0" t="s">
        <v>5702</v>
      </c>
      <c r="G741" s="0" t="s">
        <v>1953</v>
      </c>
      <c r="H741" s="0" t="s">
        <v>5566</v>
      </c>
      <c r="I741" s="5" t="s">
        <v>7944</v>
      </c>
      <c r="K741" s="0" t="s">
        <v>36</v>
      </c>
      <c r="L741" s="0" t="s">
        <v>7945</v>
      </c>
    </row>
    <row r="742" customFormat="false" ht="17.15" hidden="false" customHeight="false" outlineLevel="0" collapsed="false">
      <c r="A742" s="0" t="s">
        <v>7946</v>
      </c>
      <c r="B742" s="0" t="s">
        <v>7925</v>
      </c>
      <c r="C742" s="0" t="s">
        <v>7947</v>
      </c>
      <c r="D742" s="0" t="s">
        <v>113</v>
      </c>
      <c r="E742" s="5" t="s">
        <v>77</v>
      </c>
      <c r="F742" s="0" t="s">
        <v>6426</v>
      </c>
      <c r="G742" s="0" t="s">
        <v>1953</v>
      </c>
      <c r="H742" s="0" t="s">
        <v>5598</v>
      </c>
      <c r="I742" s="5" t="s">
        <v>7948</v>
      </c>
      <c r="K742" s="0" t="s">
        <v>36</v>
      </c>
      <c r="L742" s="0" t="s">
        <v>7949</v>
      </c>
    </row>
    <row r="743" customFormat="false" ht="17.15" hidden="false" customHeight="false" outlineLevel="0" collapsed="false">
      <c r="A743" s="0" t="s">
        <v>7950</v>
      </c>
      <c r="B743" s="0" t="s">
        <v>7951</v>
      </c>
      <c r="C743" s="0" t="s">
        <v>7952</v>
      </c>
      <c r="D743" s="0" t="s">
        <v>5129</v>
      </c>
      <c r="E743" s="5" t="s">
        <v>77</v>
      </c>
      <c r="F743" s="0" t="s">
        <v>7597</v>
      </c>
      <c r="G743" s="0" t="s">
        <v>1953</v>
      </c>
      <c r="H743" s="0" t="s">
        <v>5614</v>
      </c>
      <c r="I743" s="0" t="s">
        <v>7953</v>
      </c>
      <c r="K743" s="0" t="s">
        <v>36</v>
      </c>
      <c r="L743" s="0" t="s">
        <v>7954</v>
      </c>
    </row>
    <row r="744" customFormat="false" ht="17.15" hidden="false" customHeight="false" outlineLevel="0" collapsed="false">
      <c r="A744" s="0" t="s">
        <v>7955</v>
      </c>
      <c r="B744" s="0" t="s">
        <v>7951</v>
      </c>
      <c r="C744" s="0" t="s">
        <v>7956</v>
      </c>
      <c r="D744" s="0" t="s">
        <v>7957</v>
      </c>
      <c r="E744" s="5" t="s">
        <v>77</v>
      </c>
      <c r="F744" s="0" t="s">
        <v>7597</v>
      </c>
      <c r="G744" s="0" t="s">
        <v>1953</v>
      </c>
      <c r="H744" s="0" t="s">
        <v>5566</v>
      </c>
      <c r="I744" s="0" t="s">
        <v>7958</v>
      </c>
      <c r="K744" s="0" t="s">
        <v>36</v>
      </c>
      <c r="L744" s="0" t="s">
        <v>7959</v>
      </c>
    </row>
    <row r="745" customFormat="false" ht="17.15" hidden="false" customHeight="false" outlineLevel="0" collapsed="false">
      <c r="A745" s="0" t="s">
        <v>7960</v>
      </c>
      <c r="B745" s="0" t="s">
        <v>7961</v>
      </c>
      <c r="C745" s="0" t="s">
        <v>7962</v>
      </c>
      <c r="D745" s="0" t="s">
        <v>7963</v>
      </c>
      <c r="E745" s="5" t="s">
        <v>77</v>
      </c>
      <c r="F745" s="0" t="s">
        <v>7964</v>
      </c>
      <c r="G745" s="0" t="s">
        <v>1953</v>
      </c>
      <c r="H745" s="0" t="s">
        <v>5566</v>
      </c>
      <c r="I745" s="0" t="s">
        <v>7965</v>
      </c>
      <c r="K745" s="0" t="s">
        <v>36</v>
      </c>
      <c r="L745" s="0" t="s">
        <v>7966</v>
      </c>
    </row>
    <row r="746" customFormat="false" ht="17.15" hidden="false" customHeight="false" outlineLevel="0" collapsed="false">
      <c r="A746" s="0" t="s">
        <v>7967</v>
      </c>
      <c r="B746" s="0" t="s">
        <v>7961</v>
      </c>
      <c r="C746" s="0" t="s">
        <v>7968</v>
      </c>
      <c r="D746" s="0" t="s">
        <v>5690</v>
      </c>
      <c r="E746" s="5" t="s">
        <v>77</v>
      </c>
      <c r="F746" s="0" t="s">
        <v>7964</v>
      </c>
      <c r="G746" s="0" t="s">
        <v>1953</v>
      </c>
      <c r="H746" s="0" t="s">
        <v>5566</v>
      </c>
      <c r="I746" s="0" t="s">
        <v>7969</v>
      </c>
      <c r="K746" s="0" t="s">
        <v>36</v>
      </c>
      <c r="L746" s="0" t="s">
        <v>7966</v>
      </c>
    </row>
    <row r="747" customFormat="false" ht="17.15" hidden="false" customHeight="false" outlineLevel="0" collapsed="false">
      <c r="A747" s="0" t="s">
        <v>7970</v>
      </c>
      <c r="B747" s="0" t="s">
        <v>7971</v>
      </c>
      <c r="C747" s="0" t="s">
        <v>7972</v>
      </c>
      <c r="D747" s="0" t="s">
        <v>4958</v>
      </c>
      <c r="E747" s="5" t="s">
        <v>77</v>
      </c>
      <c r="F747" s="0" t="s">
        <v>4713</v>
      </c>
      <c r="G747" s="0" t="s">
        <v>1953</v>
      </c>
      <c r="H747" s="0" t="s">
        <v>5566</v>
      </c>
      <c r="I747" s="0" t="s">
        <v>7973</v>
      </c>
      <c r="K747" s="0" t="s">
        <v>36</v>
      </c>
      <c r="L747" s="0" t="s">
        <v>7974</v>
      </c>
    </row>
    <row r="748" customFormat="false" ht="17.15" hidden="false" customHeight="false" outlineLevel="0" collapsed="false">
      <c r="A748" s="0" t="s">
        <v>7975</v>
      </c>
      <c r="B748" s="0" t="s">
        <v>7971</v>
      </c>
      <c r="C748" s="0" t="s">
        <v>7976</v>
      </c>
      <c r="D748" s="0" t="s">
        <v>5572</v>
      </c>
      <c r="E748" s="5" t="s">
        <v>77</v>
      </c>
      <c r="F748" s="0" t="s">
        <v>4713</v>
      </c>
      <c r="G748" s="0" t="s">
        <v>1953</v>
      </c>
      <c r="H748" s="0" t="s">
        <v>5566</v>
      </c>
      <c r="I748" s="0" t="s">
        <v>7977</v>
      </c>
      <c r="K748" s="0" t="s">
        <v>36</v>
      </c>
      <c r="L748" s="0" t="s">
        <v>7974</v>
      </c>
    </row>
    <row r="749" customFormat="false" ht="17.15" hidden="false" customHeight="false" outlineLevel="0" collapsed="false">
      <c r="A749" s="0" t="s">
        <v>7978</v>
      </c>
      <c r="B749" s="0" t="s">
        <v>7971</v>
      </c>
      <c r="C749" s="0" t="s">
        <v>7979</v>
      </c>
      <c r="D749" s="0" t="s">
        <v>7980</v>
      </c>
      <c r="E749" s="5" t="s">
        <v>77</v>
      </c>
      <c r="F749" s="0" t="s">
        <v>7159</v>
      </c>
      <c r="G749" s="0" t="s">
        <v>1909</v>
      </c>
      <c r="H749" s="0" t="s">
        <v>5566</v>
      </c>
      <c r="I749" s="0" t="s">
        <v>7981</v>
      </c>
      <c r="K749" s="0" t="s">
        <v>36</v>
      </c>
      <c r="L749" s="0" t="s">
        <v>7982</v>
      </c>
    </row>
    <row r="750" customFormat="false" ht="17.15" hidden="false" customHeight="false" outlineLevel="0" collapsed="false">
      <c r="A750" s="0" t="s">
        <v>7983</v>
      </c>
      <c r="B750" s="0" t="s">
        <v>7984</v>
      </c>
      <c r="C750" s="0" t="s">
        <v>7985</v>
      </c>
      <c r="D750" s="0" t="s">
        <v>4958</v>
      </c>
      <c r="E750" s="5" t="s">
        <v>77</v>
      </c>
      <c r="F750" s="0" t="s">
        <v>7620</v>
      </c>
      <c r="G750" s="0" t="s">
        <v>1953</v>
      </c>
      <c r="H750" s="0" t="s">
        <v>5609</v>
      </c>
      <c r="I750" s="5" t="s">
        <v>7986</v>
      </c>
      <c r="K750" s="0" t="s">
        <v>36</v>
      </c>
      <c r="L750" s="0" t="s">
        <v>7987</v>
      </c>
    </row>
    <row r="751" customFormat="false" ht="17.15" hidden="false" customHeight="false" outlineLevel="0" collapsed="false">
      <c r="A751" s="0" t="s">
        <v>7988</v>
      </c>
      <c r="B751" s="0" t="s">
        <v>7984</v>
      </c>
      <c r="C751" s="0" t="s">
        <v>7989</v>
      </c>
      <c r="D751" s="0" t="s">
        <v>113</v>
      </c>
      <c r="E751" s="5" t="s">
        <v>77</v>
      </c>
      <c r="F751" s="0" t="s">
        <v>7990</v>
      </c>
      <c r="G751" s="0" t="s">
        <v>1953</v>
      </c>
      <c r="H751" s="0" t="s">
        <v>5631</v>
      </c>
      <c r="I751" s="0" t="s">
        <v>7991</v>
      </c>
      <c r="K751" s="0" t="s">
        <v>36</v>
      </c>
      <c r="L751" s="0" t="s">
        <v>7992</v>
      </c>
    </row>
    <row r="752" customFormat="false" ht="17.15" hidden="false" customHeight="false" outlineLevel="0" collapsed="false">
      <c r="A752" s="0" t="s">
        <v>7993</v>
      </c>
      <c r="B752" s="0" t="s">
        <v>7925</v>
      </c>
      <c r="C752" s="0" t="s">
        <v>7994</v>
      </c>
      <c r="D752" s="0" t="s">
        <v>5889</v>
      </c>
      <c r="E752" s="0" t="s">
        <v>112</v>
      </c>
      <c r="F752" s="0" t="s">
        <v>5177</v>
      </c>
      <c r="G752" s="0" t="s">
        <v>1953</v>
      </c>
      <c r="H752" s="0" t="s">
        <v>5566</v>
      </c>
      <c r="I752" s="0" t="s">
        <v>7995</v>
      </c>
      <c r="K752" s="0" t="s">
        <v>36</v>
      </c>
      <c r="L752" s="0" t="s">
        <v>7996</v>
      </c>
    </row>
    <row r="753" customFormat="false" ht="17.15" hidden="false" customHeight="false" outlineLevel="0" collapsed="false">
      <c r="A753" s="0" t="s">
        <v>7997</v>
      </c>
      <c r="B753" s="0" t="s">
        <v>7998</v>
      </c>
      <c r="C753" s="0" t="s">
        <v>7999</v>
      </c>
      <c r="D753" s="0" t="s">
        <v>4883</v>
      </c>
      <c r="E753" s="5" t="s">
        <v>77</v>
      </c>
      <c r="F753" s="0" t="s">
        <v>8000</v>
      </c>
      <c r="G753" s="0" t="s">
        <v>1953</v>
      </c>
      <c r="H753" s="0" t="s">
        <v>5614</v>
      </c>
      <c r="I753" s="0" t="s">
        <v>8001</v>
      </c>
      <c r="K753" s="0" t="s">
        <v>36</v>
      </c>
      <c r="L753" s="0" t="s">
        <v>8002</v>
      </c>
    </row>
    <row r="754" customFormat="false" ht="17.15" hidden="false" customHeight="false" outlineLevel="0" collapsed="false">
      <c r="A754" s="0" t="s">
        <v>8003</v>
      </c>
      <c r="B754" s="0" t="s">
        <v>7998</v>
      </c>
      <c r="C754" s="0" t="s">
        <v>8004</v>
      </c>
      <c r="D754" s="0" t="s">
        <v>5889</v>
      </c>
      <c r="E754" s="5" t="s">
        <v>77</v>
      </c>
      <c r="F754" s="0" t="s">
        <v>8000</v>
      </c>
      <c r="G754" s="0" t="s">
        <v>1953</v>
      </c>
      <c r="H754" s="0" t="s">
        <v>5631</v>
      </c>
      <c r="I754" s="5" t="s">
        <v>8005</v>
      </c>
      <c r="K754" s="0" t="s">
        <v>36</v>
      </c>
      <c r="L754" s="0" t="s">
        <v>8002</v>
      </c>
    </row>
    <row r="755" customFormat="false" ht="17.15" hidden="false" customHeight="false" outlineLevel="0" collapsed="false">
      <c r="A755" s="0" t="s">
        <v>8006</v>
      </c>
      <c r="B755" s="0" t="s">
        <v>7998</v>
      </c>
      <c r="C755" s="0" t="s">
        <v>8007</v>
      </c>
      <c r="D755" s="0" t="s">
        <v>5889</v>
      </c>
      <c r="E755" s="5" t="s">
        <v>77</v>
      </c>
      <c r="F755" s="0" t="s">
        <v>8000</v>
      </c>
      <c r="G755" s="0" t="s">
        <v>1909</v>
      </c>
      <c r="H755" s="0" t="s">
        <v>5614</v>
      </c>
      <c r="I755" s="5" t="s">
        <v>8008</v>
      </c>
      <c r="K755" s="0" t="s">
        <v>36</v>
      </c>
      <c r="L755" s="0" t="s">
        <v>8002</v>
      </c>
    </row>
    <row r="756" customFormat="false" ht="17.15" hidden="false" customHeight="false" outlineLevel="0" collapsed="false">
      <c r="A756" s="0" t="s">
        <v>8009</v>
      </c>
      <c r="B756" s="0" t="s">
        <v>7998</v>
      </c>
      <c r="C756" s="0" t="s">
        <v>8010</v>
      </c>
      <c r="D756" s="0" t="s">
        <v>5889</v>
      </c>
      <c r="E756" s="5" t="s">
        <v>77</v>
      </c>
      <c r="F756" s="0" t="s">
        <v>6456</v>
      </c>
      <c r="G756" s="0" t="s">
        <v>1953</v>
      </c>
      <c r="H756" s="0" t="s">
        <v>5631</v>
      </c>
      <c r="I756" s="0" t="s">
        <v>8011</v>
      </c>
      <c r="K756" s="0" t="s">
        <v>36</v>
      </c>
      <c r="L756" s="0" t="s">
        <v>8012</v>
      </c>
    </row>
    <row r="757" customFormat="false" ht="17.15" hidden="false" customHeight="false" outlineLevel="0" collapsed="false">
      <c r="A757" s="0" t="s">
        <v>8013</v>
      </c>
      <c r="B757" s="0" t="s">
        <v>7998</v>
      </c>
      <c r="C757" s="0" t="s">
        <v>8014</v>
      </c>
      <c r="D757" s="0" t="s">
        <v>6523</v>
      </c>
      <c r="E757" s="5" t="s">
        <v>77</v>
      </c>
      <c r="F757" s="0" t="s">
        <v>8015</v>
      </c>
      <c r="G757" s="0" t="s">
        <v>1953</v>
      </c>
      <c r="H757" s="0" t="s">
        <v>5566</v>
      </c>
      <c r="I757" s="0" t="s">
        <v>8016</v>
      </c>
      <c r="K757" s="0" t="s">
        <v>36</v>
      </c>
      <c r="L757" s="0" t="s">
        <v>8017</v>
      </c>
    </row>
    <row r="758" customFormat="false" ht="17.15" hidden="false" customHeight="false" outlineLevel="0" collapsed="false">
      <c r="A758" s="0" t="s">
        <v>8018</v>
      </c>
      <c r="B758" s="0" t="s">
        <v>8019</v>
      </c>
      <c r="C758" s="0" t="s">
        <v>8020</v>
      </c>
      <c r="D758" s="0" t="s">
        <v>6523</v>
      </c>
      <c r="E758" s="5" t="s">
        <v>77</v>
      </c>
      <c r="F758" s="0" t="s">
        <v>7528</v>
      </c>
      <c r="G758" s="0" t="s">
        <v>1953</v>
      </c>
      <c r="H758" s="0" t="s">
        <v>5631</v>
      </c>
      <c r="I758" s="0" t="s">
        <v>8021</v>
      </c>
      <c r="K758" s="0" t="s">
        <v>36</v>
      </c>
      <c r="L758" s="0" t="s">
        <v>8022</v>
      </c>
    </row>
    <row r="759" customFormat="false" ht="17.15" hidden="false" customHeight="false" outlineLevel="0" collapsed="false">
      <c r="A759" s="0" t="s">
        <v>8023</v>
      </c>
      <c r="B759" s="0" t="s">
        <v>8024</v>
      </c>
      <c r="C759" s="0" t="s">
        <v>8025</v>
      </c>
      <c r="D759" s="0" t="s">
        <v>4911</v>
      </c>
      <c r="E759" s="5" t="s">
        <v>77</v>
      </c>
      <c r="F759" s="0" t="s">
        <v>7528</v>
      </c>
      <c r="G759" s="0" t="s">
        <v>1953</v>
      </c>
      <c r="H759" s="0" t="s">
        <v>5631</v>
      </c>
      <c r="I759" s="5" t="s">
        <v>8026</v>
      </c>
      <c r="K759" s="0" t="s">
        <v>36</v>
      </c>
      <c r="L759" s="0" t="s">
        <v>8022</v>
      </c>
    </row>
    <row r="760" customFormat="false" ht="17.15" hidden="false" customHeight="false" outlineLevel="0" collapsed="false">
      <c r="A760" s="0" t="s">
        <v>8027</v>
      </c>
      <c r="B760" s="0" t="s">
        <v>8024</v>
      </c>
      <c r="C760" s="0" t="s">
        <v>8028</v>
      </c>
      <c r="D760" s="0" t="s">
        <v>5889</v>
      </c>
      <c r="E760" s="5" t="s">
        <v>77</v>
      </c>
      <c r="F760" s="0" t="s">
        <v>5798</v>
      </c>
      <c r="G760" s="0" t="s">
        <v>1899</v>
      </c>
      <c r="H760" s="0" t="s">
        <v>5566</v>
      </c>
      <c r="I760" s="5" t="s">
        <v>8029</v>
      </c>
      <c r="K760" s="0" t="s">
        <v>36</v>
      </c>
      <c r="L760" s="0" t="s">
        <v>8030</v>
      </c>
    </row>
    <row r="761" customFormat="false" ht="17.15" hidden="false" customHeight="false" outlineLevel="0" collapsed="false">
      <c r="A761" s="0" t="s">
        <v>8031</v>
      </c>
      <c r="B761" s="0" t="s">
        <v>8019</v>
      </c>
      <c r="C761" s="0" t="s">
        <v>8032</v>
      </c>
      <c r="D761" s="0" t="s">
        <v>4911</v>
      </c>
      <c r="E761" s="5" t="s">
        <v>77</v>
      </c>
      <c r="F761" s="0" t="s">
        <v>7528</v>
      </c>
      <c r="G761" s="0" t="s">
        <v>1953</v>
      </c>
      <c r="H761" s="0" t="s">
        <v>5631</v>
      </c>
      <c r="I761" s="5" t="s">
        <v>8033</v>
      </c>
      <c r="K761" s="0" t="s">
        <v>36</v>
      </c>
      <c r="L761" s="0" t="s">
        <v>8022</v>
      </c>
    </row>
    <row r="762" customFormat="false" ht="17.15" hidden="false" customHeight="false" outlineLevel="0" collapsed="false">
      <c r="A762" s="0" t="s">
        <v>8034</v>
      </c>
      <c r="B762" s="0" t="s">
        <v>8035</v>
      </c>
      <c r="C762" s="0" t="s">
        <v>8036</v>
      </c>
      <c r="D762" s="0" t="s">
        <v>6064</v>
      </c>
      <c r="E762" s="5" t="s">
        <v>77</v>
      </c>
      <c r="F762" s="0" t="s">
        <v>5565</v>
      </c>
      <c r="G762" s="0" t="s">
        <v>1953</v>
      </c>
      <c r="H762" s="0" t="s">
        <v>5598</v>
      </c>
      <c r="I762" s="0" t="s">
        <v>8037</v>
      </c>
      <c r="K762" s="0" t="s">
        <v>36</v>
      </c>
      <c r="L762" s="0" t="s">
        <v>8038</v>
      </c>
    </row>
    <row r="763" customFormat="false" ht="17.15" hidden="false" customHeight="false" outlineLevel="0" collapsed="false">
      <c r="A763" s="0" t="s">
        <v>8039</v>
      </c>
      <c r="B763" s="0" t="s">
        <v>8035</v>
      </c>
      <c r="C763" s="0" t="s">
        <v>8040</v>
      </c>
      <c r="D763" s="0" t="s">
        <v>6658</v>
      </c>
      <c r="E763" s="5" t="s">
        <v>77</v>
      </c>
      <c r="F763" s="0" t="s">
        <v>5565</v>
      </c>
      <c r="G763" s="0" t="s">
        <v>1953</v>
      </c>
      <c r="H763" s="0" t="s">
        <v>5614</v>
      </c>
      <c r="I763" s="0" t="s">
        <v>8041</v>
      </c>
      <c r="K763" s="0" t="s">
        <v>36</v>
      </c>
      <c r="L763" s="0" t="s">
        <v>8038</v>
      </c>
    </row>
    <row r="764" customFormat="false" ht="17.15" hidden="false" customHeight="false" outlineLevel="0" collapsed="false">
      <c r="A764" s="0" t="s">
        <v>8042</v>
      </c>
      <c r="B764" s="0" t="s">
        <v>8035</v>
      </c>
      <c r="C764" s="0" t="s">
        <v>8043</v>
      </c>
      <c r="D764" s="0" t="s">
        <v>4883</v>
      </c>
      <c r="E764" s="5" t="s">
        <v>77</v>
      </c>
      <c r="F764" s="0" t="s">
        <v>8044</v>
      </c>
      <c r="G764" s="0" t="s">
        <v>1953</v>
      </c>
      <c r="H764" s="0" t="s">
        <v>5566</v>
      </c>
      <c r="I764" s="5" t="s">
        <v>8045</v>
      </c>
      <c r="K764" s="0" t="s">
        <v>36</v>
      </c>
      <c r="L764" s="0" t="s">
        <v>8046</v>
      </c>
    </row>
    <row r="765" customFormat="false" ht="17.15" hidden="false" customHeight="false" outlineLevel="0" collapsed="false">
      <c r="A765" s="0" t="s">
        <v>8047</v>
      </c>
      <c r="B765" s="0" t="s">
        <v>8048</v>
      </c>
      <c r="C765" s="0" t="s">
        <v>8049</v>
      </c>
      <c r="D765" s="0" t="s">
        <v>8050</v>
      </c>
      <c r="E765" s="5" t="s">
        <v>77</v>
      </c>
      <c r="F765" s="0" t="s">
        <v>6509</v>
      </c>
      <c r="G765" s="0" t="s">
        <v>1953</v>
      </c>
      <c r="H765" s="0" t="s">
        <v>5598</v>
      </c>
      <c r="I765" s="0" t="s">
        <v>8051</v>
      </c>
      <c r="K765" s="0" t="s">
        <v>36</v>
      </c>
      <c r="L765" s="0" t="s">
        <v>8052</v>
      </c>
    </row>
    <row r="766" customFormat="false" ht="17.15" hidden="false" customHeight="false" outlineLevel="0" collapsed="false">
      <c r="A766" s="0" t="s">
        <v>8053</v>
      </c>
      <c r="B766" s="0" t="s">
        <v>8048</v>
      </c>
      <c r="C766" s="0" t="s">
        <v>8054</v>
      </c>
      <c r="D766" s="0" t="s">
        <v>6135</v>
      </c>
      <c r="E766" s="5" t="s">
        <v>77</v>
      </c>
      <c r="F766" s="0" t="s">
        <v>8055</v>
      </c>
      <c r="G766" s="0" t="s">
        <v>1953</v>
      </c>
      <c r="H766" s="0" t="s">
        <v>5598</v>
      </c>
      <c r="I766" s="5" t="s">
        <v>8056</v>
      </c>
      <c r="K766" s="0" t="s">
        <v>36</v>
      </c>
      <c r="L766" s="0" t="s">
        <v>8057</v>
      </c>
    </row>
    <row r="767" customFormat="false" ht="17.15" hidden="false" customHeight="false" outlineLevel="0" collapsed="false">
      <c r="A767" s="0" t="s">
        <v>8058</v>
      </c>
      <c r="B767" s="0" t="s">
        <v>8048</v>
      </c>
      <c r="C767" s="0" t="s">
        <v>8059</v>
      </c>
      <c r="D767" s="0" t="s">
        <v>5917</v>
      </c>
      <c r="E767" s="5" t="s">
        <v>77</v>
      </c>
      <c r="F767" s="0" t="s">
        <v>8060</v>
      </c>
      <c r="G767" s="0" t="s">
        <v>1953</v>
      </c>
      <c r="H767" s="0" t="s">
        <v>5609</v>
      </c>
      <c r="I767" s="5" t="s">
        <v>5819</v>
      </c>
      <c r="K767" s="0" t="s">
        <v>36</v>
      </c>
      <c r="L767" s="0" t="s">
        <v>8061</v>
      </c>
    </row>
    <row r="768" customFormat="false" ht="17.15" hidden="false" customHeight="false" outlineLevel="0" collapsed="false">
      <c r="A768" s="0" t="s">
        <v>8062</v>
      </c>
      <c r="B768" s="0" t="s">
        <v>8048</v>
      </c>
      <c r="C768" s="0" t="s">
        <v>8063</v>
      </c>
      <c r="D768" s="0" t="s">
        <v>5917</v>
      </c>
      <c r="E768" s="5" t="s">
        <v>77</v>
      </c>
      <c r="F768" s="0" t="s">
        <v>8060</v>
      </c>
      <c r="G768" s="0" t="s">
        <v>1953</v>
      </c>
      <c r="H768" s="0" t="s">
        <v>5609</v>
      </c>
      <c r="I768" s="5" t="s">
        <v>5819</v>
      </c>
      <c r="K768" s="0" t="s">
        <v>36</v>
      </c>
      <c r="L768" s="0" t="s">
        <v>8061</v>
      </c>
    </row>
    <row r="769" customFormat="false" ht="17.15" hidden="false" customHeight="false" outlineLevel="0" collapsed="false">
      <c r="A769" s="0" t="s">
        <v>8064</v>
      </c>
      <c r="B769" s="0" t="s">
        <v>8048</v>
      </c>
      <c r="C769" s="0" t="s">
        <v>8065</v>
      </c>
      <c r="D769" s="0" t="s">
        <v>8066</v>
      </c>
      <c r="E769" s="5" t="s">
        <v>77</v>
      </c>
      <c r="F769" s="0" t="s">
        <v>8060</v>
      </c>
      <c r="G769" s="0" t="s">
        <v>1909</v>
      </c>
      <c r="H769" s="0" t="s">
        <v>5609</v>
      </c>
      <c r="I769" s="5" t="s">
        <v>5819</v>
      </c>
      <c r="K769" s="0" t="s">
        <v>36</v>
      </c>
      <c r="L769" s="0" t="s">
        <v>8061</v>
      </c>
    </row>
    <row r="770" customFormat="false" ht="17.15" hidden="false" customHeight="false" outlineLevel="0" collapsed="false">
      <c r="A770" s="0" t="s">
        <v>8067</v>
      </c>
      <c r="B770" s="0" t="s">
        <v>8048</v>
      </c>
      <c r="C770" s="0" t="s">
        <v>8068</v>
      </c>
      <c r="D770" s="0" t="s">
        <v>7709</v>
      </c>
      <c r="E770" s="5" t="s">
        <v>77</v>
      </c>
      <c r="F770" s="0" t="s">
        <v>7360</v>
      </c>
      <c r="G770" s="0" t="s">
        <v>1953</v>
      </c>
      <c r="H770" s="0" t="s">
        <v>5566</v>
      </c>
      <c r="I770" s="0" t="s">
        <v>8069</v>
      </c>
      <c r="K770" s="0" t="s">
        <v>36</v>
      </c>
      <c r="L770" s="0" t="s">
        <v>8070</v>
      </c>
    </row>
    <row r="771" customFormat="false" ht="17.15" hidden="false" customHeight="false" outlineLevel="0" collapsed="false">
      <c r="A771" s="0" t="s">
        <v>8071</v>
      </c>
      <c r="B771" s="0" t="s">
        <v>8048</v>
      </c>
      <c r="C771" s="0" t="s">
        <v>8072</v>
      </c>
      <c r="D771" s="0" t="s">
        <v>5129</v>
      </c>
      <c r="E771" s="5" t="s">
        <v>77</v>
      </c>
      <c r="F771" s="0" t="s">
        <v>5053</v>
      </c>
      <c r="G771" s="0" t="s">
        <v>1953</v>
      </c>
      <c r="H771" s="0" t="s">
        <v>5631</v>
      </c>
      <c r="I771" s="0" t="s">
        <v>8073</v>
      </c>
      <c r="K771" s="0" t="s">
        <v>36</v>
      </c>
      <c r="L771" s="0" t="s">
        <v>8074</v>
      </c>
    </row>
    <row r="772" customFormat="false" ht="17.15" hidden="false" customHeight="false" outlineLevel="0" collapsed="false">
      <c r="A772" s="0" t="s">
        <v>8075</v>
      </c>
      <c r="B772" s="5" t="s">
        <v>8076</v>
      </c>
      <c r="C772" s="5" t="s">
        <v>8077</v>
      </c>
      <c r="D772" s="0" t="s">
        <v>5889</v>
      </c>
      <c r="E772" s="5" t="s">
        <v>77</v>
      </c>
      <c r="F772" s="0" t="s">
        <v>8078</v>
      </c>
      <c r="G772" s="0" t="s">
        <v>1953</v>
      </c>
      <c r="H772" s="0" t="s">
        <v>5631</v>
      </c>
      <c r="I772" s="0" t="s">
        <v>8079</v>
      </c>
      <c r="K772" s="0" t="s">
        <v>36</v>
      </c>
      <c r="L772" s="0" t="s">
        <v>8080</v>
      </c>
    </row>
    <row r="773" customFormat="false" ht="17.15" hidden="false" customHeight="false" outlineLevel="0" collapsed="false">
      <c r="A773" s="0" t="s">
        <v>8081</v>
      </c>
      <c r="B773" s="5" t="s">
        <v>8076</v>
      </c>
      <c r="C773" s="5" t="s">
        <v>8082</v>
      </c>
      <c r="D773" s="0" t="s">
        <v>4630</v>
      </c>
      <c r="E773" s="5" t="s">
        <v>77</v>
      </c>
      <c r="F773" s="0" t="s">
        <v>1809</v>
      </c>
      <c r="G773" s="0" t="s">
        <v>1953</v>
      </c>
      <c r="H773" s="0" t="s">
        <v>5598</v>
      </c>
      <c r="I773" s="0" t="s">
        <v>8083</v>
      </c>
      <c r="K773" s="0" t="s">
        <v>36</v>
      </c>
      <c r="L773" s="0" t="s">
        <v>8084</v>
      </c>
    </row>
    <row r="774" customFormat="false" ht="17.15" hidden="false" customHeight="false" outlineLevel="0" collapsed="false">
      <c r="A774" s="0" t="s">
        <v>8085</v>
      </c>
      <c r="B774" s="0" t="s">
        <v>8086</v>
      </c>
      <c r="C774" s="0" t="s">
        <v>8087</v>
      </c>
      <c r="D774" s="0" t="s">
        <v>5917</v>
      </c>
      <c r="E774" s="5" t="s">
        <v>77</v>
      </c>
      <c r="F774" s="0" t="s">
        <v>2435</v>
      </c>
      <c r="G774" s="0" t="s">
        <v>1953</v>
      </c>
      <c r="H774" s="0" t="s">
        <v>5631</v>
      </c>
      <c r="I774" s="0" t="s">
        <v>8088</v>
      </c>
      <c r="K774" s="0" t="s">
        <v>36</v>
      </c>
      <c r="L774" s="0" t="s">
        <v>8089</v>
      </c>
    </row>
    <row r="775" customFormat="false" ht="17.15" hidden="false" customHeight="false" outlineLevel="0" collapsed="false">
      <c r="A775" s="0" t="s">
        <v>8090</v>
      </c>
      <c r="B775" s="0" t="s">
        <v>8091</v>
      </c>
      <c r="C775" s="0" t="s">
        <v>8092</v>
      </c>
      <c r="D775" s="0" t="s">
        <v>5917</v>
      </c>
      <c r="E775" s="5" t="s">
        <v>77</v>
      </c>
      <c r="F775" s="0" t="s">
        <v>2435</v>
      </c>
      <c r="G775" s="0" t="s">
        <v>1953</v>
      </c>
      <c r="H775" s="0" t="s">
        <v>5566</v>
      </c>
      <c r="I775" s="5" t="s">
        <v>8093</v>
      </c>
      <c r="K775" s="0" t="s">
        <v>36</v>
      </c>
      <c r="L775" s="0" t="s">
        <v>8094</v>
      </c>
    </row>
    <row r="776" customFormat="false" ht="17.15" hidden="false" customHeight="false" outlineLevel="0" collapsed="false">
      <c r="A776" s="0" t="s">
        <v>8095</v>
      </c>
      <c r="B776" s="0" t="s">
        <v>8096</v>
      </c>
      <c r="C776" s="0" t="s">
        <v>8097</v>
      </c>
      <c r="D776" s="0" t="s">
        <v>8098</v>
      </c>
      <c r="E776" s="5" t="s">
        <v>77</v>
      </c>
      <c r="F776" s="0" t="s">
        <v>120</v>
      </c>
      <c r="G776" s="0" t="s">
        <v>1953</v>
      </c>
      <c r="H776" s="0" t="s">
        <v>5566</v>
      </c>
      <c r="I776" s="0" t="s">
        <v>8099</v>
      </c>
      <c r="K776" s="0" t="s">
        <v>36</v>
      </c>
      <c r="L776" s="0" t="s">
        <v>8100</v>
      </c>
    </row>
    <row r="777" customFormat="false" ht="17.15" hidden="false" customHeight="false" outlineLevel="0" collapsed="false">
      <c r="A777" s="0" t="s">
        <v>8101</v>
      </c>
      <c r="B777" s="5" t="s">
        <v>8102</v>
      </c>
      <c r="C777" s="5" t="s">
        <v>8103</v>
      </c>
      <c r="D777" s="0" t="s">
        <v>5572</v>
      </c>
      <c r="E777" s="5" t="s">
        <v>77</v>
      </c>
      <c r="F777" s="5" t="s">
        <v>6367</v>
      </c>
      <c r="G777" s="0" t="s">
        <v>1953</v>
      </c>
      <c r="H777" s="0" t="s">
        <v>5598</v>
      </c>
      <c r="I777" s="5" t="s">
        <v>8104</v>
      </c>
      <c r="K777" s="0" t="s">
        <v>36</v>
      </c>
      <c r="L777" s="0" t="s">
        <v>8105</v>
      </c>
    </row>
    <row r="778" customFormat="false" ht="17.15" hidden="false" customHeight="false" outlineLevel="0" collapsed="false">
      <c r="A778" s="0" t="s">
        <v>8106</v>
      </c>
      <c r="B778" s="0" t="s">
        <v>1715</v>
      </c>
      <c r="C778" s="0" t="s">
        <v>8107</v>
      </c>
      <c r="D778" s="0" t="s">
        <v>113</v>
      </c>
      <c r="E778" s="5" t="s">
        <v>77</v>
      </c>
      <c r="F778" s="0" t="s">
        <v>4950</v>
      </c>
      <c r="G778" s="0" t="s">
        <v>1953</v>
      </c>
      <c r="H778" s="0" t="s">
        <v>5631</v>
      </c>
      <c r="I778" s="5" t="s">
        <v>8108</v>
      </c>
      <c r="K778" s="0" t="s">
        <v>36</v>
      </c>
      <c r="L778" s="0" t="s">
        <v>8109</v>
      </c>
    </row>
    <row r="779" customFormat="false" ht="17.15" hidden="false" customHeight="false" outlineLevel="0" collapsed="false">
      <c r="A779" s="0" t="s">
        <v>8110</v>
      </c>
      <c r="B779" s="0" t="s">
        <v>1868</v>
      </c>
      <c r="C779" s="0" t="s">
        <v>8111</v>
      </c>
      <c r="D779" s="0" t="s">
        <v>4971</v>
      </c>
      <c r="E779" s="5" t="s">
        <v>77</v>
      </c>
      <c r="F779" s="0" t="s">
        <v>5912</v>
      </c>
      <c r="G779" s="0" t="s">
        <v>4588</v>
      </c>
      <c r="H779" s="0" t="s">
        <v>5566</v>
      </c>
      <c r="I779" s="0" t="s">
        <v>8112</v>
      </c>
      <c r="K779" s="0" t="s">
        <v>36</v>
      </c>
      <c r="L779" s="0" t="s">
        <v>8113</v>
      </c>
    </row>
    <row r="780" customFormat="false" ht="17.15" hidden="false" customHeight="false" outlineLevel="0" collapsed="false">
      <c r="A780" s="0" t="s">
        <v>8114</v>
      </c>
      <c r="B780" s="0" t="s">
        <v>1868</v>
      </c>
      <c r="C780" s="0" t="s">
        <v>8115</v>
      </c>
      <c r="D780" s="0" t="s">
        <v>113</v>
      </c>
      <c r="E780" s="5" t="s">
        <v>77</v>
      </c>
      <c r="F780" s="0" t="s">
        <v>2046</v>
      </c>
      <c r="G780" s="0" t="s">
        <v>1899</v>
      </c>
      <c r="H780" s="0" t="s">
        <v>5631</v>
      </c>
      <c r="I780" s="0" t="s">
        <v>8116</v>
      </c>
      <c r="K780" s="0" t="s">
        <v>36</v>
      </c>
      <c r="L780" s="0" t="s">
        <v>8117</v>
      </c>
    </row>
    <row r="781" customFormat="false" ht="17.15" hidden="false" customHeight="false" outlineLevel="0" collapsed="false">
      <c r="A781" s="0" t="s">
        <v>8118</v>
      </c>
      <c r="B781" s="0" t="s">
        <v>8119</v>
      </c>
      <c r="C781" s="0" t="s">
        <v>8120</v>
      </c>
      <c r="D781" s="0" t="s">
        <v>5572</v>
      </c>
      <c r="E781" s="5" t="s">
        <v>77</v>
      </c>
      <c r="F781" s="0" t="s">
        <v>6287</v>
      </c>
      <c r="G781" s="0" t="s">
        <v>1953</v>
      </c>
      <c r="H781" s="0" t="s">
        <v>5566</v>
      </c>
      <c r="I781" s="5" t="s">
        <v>8121</v>
      </c>
      <c r="K781" s="0" t="s">
        <v>36</v>
      </c>
      <c r="L781" s="0" t="s">
        <v>8122</v>
      </c>
    </row>
    <row r="782" customFormat="false" ht="17.15" hidden="false" customHeight="false" outlineLevel="0" collapsed="false">
      <c r="A782" s="0" t="s">
        <v>8123</v>
      </c>
      <c r="B782" s="0" t="s">
        <v>8119</v>
      </c>
      <c r="C782" s="0" t="s">
        <v>8124</v>
      </c>
      <c r="D782" s="0" t="s">
        <v>5889</v>
      </c>
      <c r="E782" s="5" t="s">
        <v>77</v>
      </c>
      <c r="F782" s="0" t="s">
        <v>6287</v>
      </c>
      <c r="G782" s="0" t="s">
        <v>1953</v>
      </c>
      <c r="H782" s="0" t="s">
        <v>5566</v>
      </c>
      <c r="I782" s="0" t="s">
        <v>8125</v>
      </c>
      <c r="K782" s="0" t="s">
        <v>36</v>
      </c>
      <c r="L782" s="0" t="s">
        <v>8126</v>
      </c>
    </row>
    <row r="783" customFormat="false" ht="17.15" hidden="false" customHeight="false" outlineLevel="0" collapsed="false">
      <c r="A783" s="0" t="s">
        <v>8127</v>
      </c>
      <c r="B783" s="0" t="s">
        <v>7038</v>
      </c>
      <c r="C783" s="0" t="s">
        <v>8128</v>
      </c>
      <c r="D783" s="0" t="s">
        <v>7351</v>
      </c>
      <c r="E783" s="5" t="s">
        <v>77</v>
      </c>
      <c r="F783" s="0" t="s">
        <v>5130</v>
      </c>
      <c r="G783" s="0" t="s">
        <v>1953</v>
      </c>
      <c r="H783" s="0" t="s">
        <v>5566</v>
      </c>
      <c r="I783" s="0" t="s">
        <v>8129</v>
      </c>
      <c r="K783" s="0" t="s">
        <v>36</v>
      </c>
      <c r="L783" s="0" t="s">
        <v>8130</v>
      </c>
    </row>
    <row r="784" customFormat="false" ht="17.15" hidden="false" customHeight="false" outlineLevel="0" collapsed="false">
      <c r="A784" s="0" t="s">
        <v>8131</v>
      </c>
      <c r="B784" s="0" t="s">
        <v>7038</v>
      </c>
      <c r="C784" s="0" t="s">
        <v>8132</v>
      </c>
      <c r="D784" s="0" t="s">
        <v>4810</v>
      </c>
      <c r="E784" s="5" t="s">
        <v>77</v>
      </c>
      <c r="F784" s="0" t="s">
        <v>5565</v>
      </c>
      <c r="G784" s="0" t="s">
        <v>1953</v>
      </c>
      <c r="H784" s="0" t="s">
        <v>5566</v>
      </c>
      <c r="I784" s="0" t="s">
        <v>8133</v>
      </c>
      <c r="K784" s="0" t="s">
        <v>36</v>
      </c>
      <c r="L784" s="0" t="s">
        <v>8134</v>
      </c>
    </row>
    <row r="785" customFormat="false" ht="17.15" hidden="false" customHeight="false" outlineLevel="0" collapsed="false">
      <c r="A785" s="0" t="s">
        <v>8135</v>
      </c>
      <c r="B785" s="0" t="s">
        <v>8136</v>
      </c>
      <c r="C785" s="0" t="s">
        <v>8137</v>
      </c>
      <c r="D785" s="0" t="s">
        <v>6658</v>
      </c>
      <c r="E785" s="5" t="s">
        <v>77</v>
      </c>
      <c r="F785" s="0" t="s">
        <v>5619</v>
      </c>
      <c r="G785" s="0" t="s">
        <v>1953</v>
      </c>
      <c r="H785" s="0" t="s">
        <v>5566</v>
      </c>
      <c r="I785" s="0" t="s">
        <v>8138</v>
      </c>
      <c r="J785" s="0" t="s">
        <v>767</v>
      </c>
      <c r="K785" s="5" t="s">
        <v>4631</v>
      </c>
      <c r="L785" s="0" t="s">
        <v>8139</v>
      </c>
    </row>
    <row r="786" customFormat="false" ht="17.15" hidden="false" customHeight="false" outlineLevel="0" collapsed="false">
      <c r="A786" s="0" t="s">
        <v>8140</v>
      </c>
      <c r="B786" s="0" t="s">
        <v>8136</v>
      </c>
      <c r="C786" s="0" t="s">
        <v>8141</v>
      </c>
      <c r="D786" s="0" t="s">
        <v>6658</v>
      </c>
      <c r="E786" s="5" t="s">
        <v>77</v>
      </c>
      <c r="F786" s="0" t="s">
        <v>6868</v>
      </c>
      <c r="G786" s="0" t="s">
        <v>1953</v>
      </c>
      <c r="H786" s="0" t="s">
        <v>5592</v>
      </c>
      <c r="I786" s="0" t="s">
        <v>8142</v>
      </c>
      <c r="J786" s="0" t="s">
        <v>767</v>
      </c>
      <c r="K786" s="5" t="s">
        <v>4631</v>
      </c>
      <c r="L786" s="0" t="s">
        <v>8143</v>
      </c>
    </row>
    <row r="787" customFormat="false" ht="17.15" hidden="false" customHeight="false" outlineLevel="0" collapsed="false">
      <c r="A787" s="0" t="s">
        <v>8144</v>
      </c>
      <c r="B787" s="0" t="s">
        <v>8145</v>
      </c>
      <c r="C787" s="0" t="s">
        <v>8146</v>
      </c>
      <c r="D787" s="0" t="s">
        <v>5572</v>
      </c>
      <c r="E787" s="5" t="s">
        <v>77</v>
      </c>
      <c r="F787" s="0" t="s">
        <v>4749</v>
      </c>
      <c r="G787" s="0" t="s">
        <v>1953</v>
      </c>
      <c r="H787" s="0" t="s">
        <v>5566</v>
      </c>
      <c r="I787" s="0" t="s">
        <v>8147</v>
      </c>
      <c r="K787" s="0" t="s">
        <v>36</v>
      </c>
      <c r="L787" s="0" t="s">
        <v>8148</v>
      </c>
    </row>
    <row r="788" customFormat="false" ht="17.15" hidden="false" customHeight="false" outlineLevel="0" collapsed="false">
      <c r="A788" s="0" t="s">
        <v>8149</v>
      </c>
      <c r="B788" s="0" t="s">
        <v>8145</v>
      </c>
      <c r="C788" s="0" t="s">
        <v>8150</v>
      </c>
      <c r="D788" s="0" t="s">
        <v>4630</v>
      </c>
      <c r="E788" s="5" t="s">
        <v>77</v>
      </c>
      <c r="F788" s="0" t="s">
        <v>4744</v>
      </c>
      <c r="G788" s="0" t="s">
        <v>1953</v>
      </c>
      <c r="H788" s="0" t="s">
        <v>5609</v>
      </c>
      <c r="I788" s="5" t="s">
        <v>8151</v>
      </c>
      <c r="K788" s="0" t="s">
        <v>36</v>
      </c>
      <c r="L788" s="0" t="s">
        <v>8152</v>
      </c>
    </row>
    <row r="789" customFormat="false" ht="17.15" hidden="false" customHeight="false" outlineLevel="0" collapsed="false">
      <c r="A789" s="0" t="s">
        <v>8153</v>
      </c>
      <c r="B789" s="0" t="s">
        <v>8154</v>
      </c>
      <c r="C789" s="0" t="s">
        <v>8155</v>
      </c>
      <c r="D789" s="0" t="s">
        <v>6330</v>
      </c>
      <c r="E789" s="0" t="s">
        <v>112</v>
      </c>
      <c r="F789" s="0" t="s">
        <v>5222</v>
      </c>
      <c r="G789" s="0" t="s">
        <v>1953</v>
      </c>
      <c r="H789" s="0" t="s">
        <v>5631</v>
      </c>
      <c r="I789" s="0" t="s">
        <v>8156</v>
      </c>
      <c r="K789" s="0" t="s">
        <v>36</v>
      </c>
      <c r="L789" s="0" t="s">
        <v>8157</v>
      </c>
    </row>
    <row r="790" customFormat="false" ht="17.15" hidden="false" customHeight="false" outlineLevel="0" collapsed="false">
      <c r="A790" s="0" t="s">
        <v>8158</v>
      </c>
      <c r="B790" s="0" t="s">
        <v>8136</v>
      </c>
      <c r="C790" s="0" t="s">
        <v>8159</v>
      </c>
      <c r="D790" s="0" t="s">
        <v>4971</v>
      </c>
      <c r="E790" s="0" t="s">
        <v>112</v>
      </c>
      <c r="F790" s="5" t="s">
        <v>6367</v>
      </c>
      <c r="G790" s="0" t="s">
        <v>1953</v>
      </c>
      <c r="H790" s="0" t="s">
        <v>5566</v>
      </c>
      <c r="I790" s="5" t="s">
        <v>8160</v>
      </c>
      <c r="K790" s="0" t="s">
        <v>36</v>
      </c>
      <c r="L790" s="0" t="s">
        <v>8161</v>
      </c>
    </row>
    <row r="791" customFormat="false" ht="17.15" hidden="false" customHeight="false" outlineLevel="0" collapsed="false">
      <c r="A791" s="0" t="s">
        <v>8162</v>
      </c>
      <c r="B791" s="0" t="s">
        <v>8136</v>
      </c>
      <c r="C791" s="0" t="s">
        <v>8163</v>
      </c>
      <c r="D791" s="0" t="s">
        <v>113</v>
      </c>
      <c r="E791" s="5" t="s">
        <v>77</v>
      </c>
      <c r="F791" s="5" t="s">
        <v>6367</v>
      </c>
      <c r="G791" s="0" t="s">
        <v>1953</v>
      </c>
      <c r="H791" s="0" t="s">
        <v>5566</v>
      </c>
      <c r="I791" s="5" t="s">
        <v>8164</v>
      </c>
      <c r="K791" s="0" t="s">
        <v>36</v>
      </c>
      <c r="L791" s="0" t="s">
        <v>8161</v>
      </c>
    </row>
    <row r="792" customFormat="false" ht="17.15" hidden="false" customHeight="false" outlineLevel="0" collapsed="false">
      <c r="A792" s="0" t="s">
        <v>8165</v>
      </c>
      <c r="B792" s="0" t="s">
        <v>8136</v>
      </c>
      <c r="C792" s="0" t="s">
        <v>8166</v>
      </c>
      <c r="D792" s="0" t="s">
        <v>6489</v>
      </c>
      <c r="E792" s="5" t="s">
        <v>77</v>
      </c>
      <c r="F792" s="5" t="s">
        <v>6367</v>
      </c>
      <c r="G792" s="0" t="s">
        <v>4588</v>
      </c>
      <c r="H792" s="0" t="s">
        <v>5609</v>
      </c>
      <c r="I792" s="5" t="s">
        <v>8167</v>
      </c>
      <c r="K792" s="0" t="s">
        <v>36</v>
      </c>
      <c r="L792" s="0" t="s">
        <v>8168</v>
      </c>
    </row>
    <row r="793" customFormat="false" ht="17.15" hidden="false" customHeight="false" outlineLevel="0" collapsed="false">
      <c r="A793" s="0" t="s">
        <v>8169</v>
      </c>
      <c r="B793" s="0" t="s">
        <v>8136</v>
      </c>
      <c r="C793" s="0" t="s">
        <v>8170</v>
      </c>
      <c r="D793" s="0" t="s">
        <v>113</v>
      </c>
      <c r="E793" s="5" t="s">
        <v>77</v>
      </c>
      <c r="F793" s="0" t="s">
        <v>8171</v>
      </c>
      <c r="G793" s="0" t="s">
        <v>1953</v>
      </c>
      <c r="H793" s="0" t="s">
        <v>5631</v>
      </c>
      <c r="I793" s="5" t="s">
        <v>8172</v>
      </c>
      <c r="K793" s="0" t="s">
        <v>36</v>
      </c>
      <c r="L793" s="0" t="s">
        <v>8173</v>
      </c>
    </row>
    <row r="794" customFormat="false" ht="17.15" hidden="false" customHeight="false" outlineLevel="0" collapsed="false">
      <c r="A794" s="0" t="s">
        <v>8174</v>
      </c>
      <c r="B794" s="0" t="s">
        <v>7238</v>
      </c>
      <c r="C794" s="0" t="s">
        <v>8175</v>
      </c>
      <c r="D794" s="0" t="s">
        <v>4886</v>
      </c>
      <c r="E794" s="5" t="s">
        <v>77</v>
      </c>
      <c r="F794" s="0" t="s">
        <v>8176</v>
      </c>
      <c r="G794" s="0" t="s">
        <v>1953</v>
      </c>
      <c r="H794" s="0" t="s">
        <v>5566</v>
      </c>
      <c r="I794" s="0" t="s">
        <v>8177</v>
      </c>
      <c r="K794" s="0" t="s">
        <v>36</v>
      </c>
      <c r="L794" s="0" t="s">
        <v>8178</v>
      </c>
    </row>
    <row r="795" customFormat="false" ht="17.15" hidden="false" customHeight="false" outlineLevel="0" collapsed="false">
      <c r="A795" s="0" t="s">
        <v>8179</v>
      </c>
      <c r="B795" s="0" t="s">
        <v>7238</v>
      </c>
      <c r="C795" s="0" t="s">
        <v>8180</v>
      </c>
      <c r="D795" s="0" t="s">
        <v>113</v>
      </c>
      <c r="E795" s="5" t="s">
        <v>77</v>
      </c>
      <c r="F795" s="0" t="s">
        <v>8181</v>
      </c>
      <c r="G795" s="0" t="s">
        <v>1953</v>
      </c>
      <c r="H795" s="0" t="s">
        <v>5566</v>
      </c>
      <c r="I795" s="5" t="s">
        <v>8182</v>
      </c>
      <c r="K795" s="0" t="s">
        <v>36</v>
      </c>
      <c r="L795" s="0" t="s">
        <v>8183</v>
      </c>
    </row>
    <row r="796" customFormat="false" ht="17.15" hidden="false" customHeight="false" outlineLevel="0" collapsed="false">
      <c r="A796" s="0" t="s">
        <v>8184</v>
      </c>
      <c r="B796" s="0" t="s">
        <v>7238</v>
      </c>
      <c r="C796" s="0" t="s">
        <v>8185</v>
      </c>
      <c r="D796" s="0" t="s">
        <v>5624</v>
      </c>
      <c r="E796" s="5" t="s">
        <v>77</v>
      </c>
      <c r="F796" s="0" t="s">
        <v>6420</v>
      </c>
      <c r="G796" s="0" t="s">
        <v>1899</v>
      </c>
      <c r="H796" s="0" t="s">
        <v>5609</v>
      </c>
      <c r="I796" s="5" t="s">
        <v>8186</v>
      </c>
      <c r="K796" s="0" t="s">
        <v>36</v>
      </c>
      <c r="L796" s="0" t="s">
        <v>8187</v>
      </c>
    </row>
    <row r="797" customFormat="false" ht="17.15" hidden="false" customHeight="false" outlineLevel="0" collapsed="false">
      <c r="A797" s="0" t="s">
        <v>8188</v>
      </c>
      <c r="B797" s="0" t="s">
        <v>8189</v>
      </c>
      <c r="C797" s="0" t="s">
        <v>8190</v>
      </c>
      <c r="D797" s="0" t="s">
        <v>7189</v>
      </c>
      <c r="E797" s="5" t="s">
        <v>77</v>
      </c>
      <c r="F797" s="0" t="s">
        <v>8191</v>
      </c>
      <c r="G797" s="0" t="s">
        <v>1953</v>
      </c>
      <c r="H797" s="0" t="s">
        <v>5566</v>
      </c>
      <c r="I797" s="0" t="s">
        <v>8192</v>
      </c>
      <c r="K797" s="0" t="s">
        <v>36</v>
      </c>
      <c r="L797" s="0" t="s">
        <v>8193</v>
      </c>
    </row>
    <row r="798" customFormat="false" ht="17.15" hidden="false" customHeight="false" outlineLevel="0" collapsed="false">
      <c r="A798" s="0" t="s">
        <v>8194</v>
      </c>
      <c r="B798" s="0" t="s">
        <v>8189</v>
      </c>
      <c r="C798" s="0" t="s">
        <v>8195</v>
      </c>
      <c r="D798" s="0" t="s">
        <v>6330</v>
      </c>
      <c r="E798" s="0" t="s">
        <v>112</v>
      </c>
      <c r="F798" s="0" t="s">
        <v>8196</v>
      </c>
      <c r="G798" s="0" t="s">
        <v>1953</v>
      </c>
      <c r="H798" s="0" t="s">
        <v>5566</v>
      </c>
      <c r="I798" s="0" t="s">
        <v>8197</v>
      </c>
      <c r="K798" s="0" t="s">
        <v>36</v>
      </c>
      <c r="L798" s="0" t="s">
        <v>8198</v>
      </c>
    </row>
    <row r="799" customFormat="false" ht="17.15" hidden="false" customHeight="false" outlineLevel="0" collapsed="false">
      <c r="A799" s="0" t="s">
        <v>8199</v>
      </c>
      <c r="B799" s="0" t="s">
        <v>8189</v>
      </c>
      <c r="C799" s="0" t="s">
        <v>8200</v>
      </c>
      <c r="D799" s="0" t="s">
        <v>6425</v>
      </c>
      <c r="E799" s="0" t="s">
        <v>112</v>
      </c>
      <c r="F799" s="0" t="s">
        <v>8196</v>
      </c>
      <c r="G799" s="0" t="s">
        <v>1953</v>
      </c>
      <c r="H799" s="0" t="s">
        <v>5614</v>
      </c>
      <c r="I799" s="0" t="s">
        <v>8201</v>
      </c>
      <c r="K799" s="0" t="s">
        <v>36</v>
      </c>
      <c r="L799" s="0" t="s">
        <v>8198</v>
      </c>
    </row>
    <row r="800" customFormat="false" ht="17.15" hidden="false" customHeight="false" outlineLevel="0" collapsed="false">
      <c r="A800" s="0" t="s">
        <v>8202</v>
      </c>
      <c r="B800" s="0" t="s">
        <v>8203</v>
      </c>
      <c r="C800" s="0" t="s">
        <v>8204</v>
      </c>
      <c r="D800" s="0" t="s">
        <v>4886</v>
      </c>
      <c r="E800" s="5" t="s">
        <v>77</v>
      </c>
      <c r="F800" s="0" t="s">
        <v>6031</v>
      </c>
      <c r="G800" s="0" t="s">
        <v>1953</v>
      </c>
      <c r="H800" s="0" t="s">
        <v>5566</v>
      </c>
      <c r="I800" s="0" t="s">
        <v>8205</v>
      </c>
      <c r="K800" s="0" t="s">
        <v>36</v>
      </c>
      <c r="L800" s="0" t="s">
        <v>8206</v>
      </c>
    </row>
    <row r="801" customFormat="false" ht="17.15" hidden="false" customHeight="false" outlineLevel="0" collapsed="false">
      <c r="A801" s="0" t="s">
        <v>8207</v>
      </c>
      <c r="B801" s="0" t="s">
        <v>8203</v>
      </c>
      <c r="C801" s="0" t="s">
        <v>8208</v>
      </c>
      <c r="D801" s="0" t="s">
        <v>7291</v>
      </c>
      <c r="E801" s="5" t="s">
        <v>77</v>
      </c>
      <c r="F801" s="0" t="s">
        <v>8209</v>
      </c>
      <c r="G801" s="0" t="s">
        <v>1953</v>
      </c>
      <c r="H801" s="0" t="s">
        <v>5598</v>
      </c>
      <c r="I801" s="0" t="s">
        <v>8210</v>
      </c>
      <c r="K801" s="0" t="s">
        <v>36</v>
      </c>
      <c r="L801" s="0" t="s">
        <v>8211</v>
      </c>
    </row>
    <row r="802" customFormat="false" ht="17.15" hidden="false" customHeight="false" outlineLevel="0" collapsed="false">
      <c r="A802" s="0" t="s">
        <v>8212</v>
      </c>
      <c r="B802" s="0" t="s">
        <v>8203</v>
      </c>
      <c r="C802" s="0" t="s">
        <v>8213</v>
      </c>
      <c r="D802" s="0" t="s">
        <v>5129</v>
      </c>
      <c r="E802" s="5" t="s">
        <v>77</v>
      </c>
      <c r="F802" s="0" t="s">
        <v>6031</v>
      </c>
      <c r="G802" s="0" t="s">
        <v>1953</v>
      </c>
      <c r="H802" s="0" t="s">
        <v>5566</v>
      </c>
      <c r="I802" s="5" t="s">
        <v>8214</v>
      </c>
      <c r="K802" s="0" t="s">
        <v>36</v>
      </c>
      <c r="L802" s="0" t="s">
        <v>8206</v>
      </c>
    </row>
    <row r="803" customFormat="false" ht="17.15" hidden="false" customHeight="false" outlineLevel="0" collapsed="false">
      <c r="A803" s="0" t="s">
        <v>8215</v>
      </c>
      <c r="B803" s="0" t="s">
        <v>7925</v>
      </c>
      <c r="C803" s="0" t="s">
        <v>8216</v>
      </c>
      <c r="D803" s="0" t="s">
        <v>5903</v>
      </c>
      <c r="E803" s="5" t="s">
        <v>77</v>
      </c>
      <c r="F803" s="0" t="s">
        <v>8217</v>
      </c>
      <c r="G803" s="0" t="s">
        <v>1953</v>
      </c>
      <c r="H803" s="0" t="s">
        <v>5631</v>
      </c>
      <c r="I803" s="5" t="s">
        <v>8218</v>
      </c>
      <c r="K803" s="0" t="s">
        <v>36</v>
      </c>
      <c r="L803" s="0" t="s">
        <v>8219</v>
      </c>
    </row>
    <row r="804" customFormat="false" ht="17.15" hidden="false" customHeight="false" outlineLevel="0" collapsed="false">
      <c r="A804" s="0" t="s">
        <v>8220</v>
      </c>
      <c r="B804" s="0" t="s">
        <v>7925</v>
      </c>
      <c r="C804" s="0" t="s">
        <v>8221</v>
      </c>
      <c r="D804" s="0" t="s">
        <v>8050</v>
      </c>
      <c r="E804" s="5" t="s">
        <v>77</v>
      </c>
      <c r="F804" s="0" t="s">
        <v>8217</v>
      </c>
      <c r="G804" s="0" t="s">
        <v>1953</v>
      </c>
      <c r="H804" s="0" t="s">
        <v>5598</v>
      </c>
      <c r="I804" s="5" t="s">
        <v>8222</v>
      </c>
      <c r="K804" s="0" t="s">
        <v>36</v>
      </c>
      <c r="L804" s="0" t="s">
        <v>8223</v>
      </c>
    </row>
    <row r="805" customFormat="false" ht="17.15" hidden="false" customHeight="false" outlineLevel="0" collapsed="false">
      <c r="A805" s="0" t="s">
        <v>8224</v>
      </c>
      <c r="B805" s="0" t="s">
        <v>7925</v>
      </c>
      <c r="C805" s="0" t="s">
        <v>8225</v>
      </c>
      <c r="D805" s="0" t="s">
        <v>6675</v>
      </c>
      <c r="E805" s="0" t="s">
        <v>112</v>
      </c>
      <c r="F805" s="0" t="s">
        <v>7446</v>
      </c>
      <c r="G805" s="0" t="s">
        <v>1953</v>
      </c>
      <c r="H805" s="0" t="s">
        <v>5614</v>
      </c>
      <c r="I805" s="0" t="s">
        <v>8226</v>
      </c>
      <c r="K805" s="0" t="s">
        <v>36</v>
      </c>
      <c r="L805" s="0" t="s">
        <v>8227</v>
      </c>
    </row>
    <row r="806" customFormat="false" ht="17.15" hidden="false" customHeight="false" outlineLevel="0" collapsed="false">
      <c r="A806" s="0" t="s">
        <v>8228</v>
      </c>
      <c r="B806" s="0" t="s">
        <v>7925</v>
      </c>
      <c r="C806" s="0" t="s">
        <v>8229</v>
      </c>
      <c r="D806" s="0" t="s">
        <v>4568</v>
      </c>
      <c r="E806" s="0" t="s">
        <v>112</v>
      </c>
      <c r="F806" s="0" t="s">
        <v>7446</v>
      </c>
      <c r="G806" s="0" t="s">
        <v>1953</v>
      </c>
      <c r="H806" s="0" t="s">
        <v>5631</v>
      </c>
      <c r="I806" s="0" t="s">
        <v>8230</v>
      </c>
      <c r="K806" s="0" t="s">
        <v>36</v>
      </c>
      <c r="L806" s="0" t="s">
        <v>8227</v>
      </c>
    </row>
    <row r="807" customFormat="false" ht="17.15" hidden="false" customHeight="false" outlineLevel="0" collapsed="false">
      <c r="A807" s="0" t="s">
        <v>8231</v>
      </c>
      <c r="B807" s="0" t="s">
        <v>8154</v>
      </c>
      <c r="C807" s="0" t="s">
        <v>8232</v>
      </c>
      <c r="D807" s="0" t="s">
        <v>5129</v>
      </c>
      <c r="E807" s="5" t="s">
        <v>77</v>
      </c>
      <c r="F807" s="0" t="s">
        <v>8233</v>
      </c>
      <c r="G807" s="0" t="s">
        <v>1953</v>
      </c>
      <c r="H807" s="0" t="s">
        <v>5598</v>
      </c>
      <c r="I807" s="0" t="s">
        <v>8234</v>
      </c>
      <c r="K807" s="0" t="s">
        <v>36</v>
      </c>
      <c r="L807" s="0" t="s">
        <v>8235</v>
      </c>
    </row>
    <row r="808" customFormat="false" ht="17.15" hidden="false" customHeight="false" outlineLevel="0" collapsed="false">
      <c r="A808" s="0" t="s">
        <v>8236</v>
      </c>
      <c r="B808" s="0" t="s">
        <v>8154</v>
      </c>
      <c r="C808" s="0" t="s">
        <v>8237</v>
      </c>
      <c r="D808" s="0" t="s">
        <v>8238</v>
      </c>
      <c r="E808" s="5" t="s">
        <v>77</v>
      </c>
      <c r="F808" s="0" t="s">
        <v>8239</v>
      </c>
      <c r="G808" s="0" t="s">
        <v>1953</v>
      </c>
      <c r="H808" s="0" t="s">
        <v>5598</v>
      </c>
      <c r="I808" s="0" t="s">
        <v>8240</v>
      </c>
      <c r="K808" s="0" t="s">
        <v>36</v>
      </c>
      <c r="L808" s="0" t="s">
        <v>8241</v>
      </c>
    </row>
    <row r="809" customFormat="false" ht="17.15" hidden="false" customHeight="false" outlineLevel="0" collapsed="false">
      <c r="A809" s="0" t="s">
        <v>8242</v>
      </c>
      <c r="B809" s="0" t="s">
        <v>8154</v>
      </c>
      <c r="C809" s="0" t="s">
        <v>8243</v>
      </c>
      <c r="D809" s="0" t="s">
        <v>113</v>
      </c>
      <c r="E809" s="5" t="s">
        <v>77</v>
      </c>
      <c r="F809" s="0" t="s">
        <v>8244</v>
      </c>
      <c r="G809" s="0" t="s">
        <v>1953</v>
      </c>
      <c r="H809" s="0" t="s">
        <v>5631</v>
      </c>
      <c r="I809" s="5" t="s">
        <v>8245</v>
      </c>
      <c r="K809" s="0" t="s">
        <v>36</v>
      </c>
      <c r="L809" s="0" t="s">
        <v>8246</v>
      </c>
    </row>
    <row r="810" customFormat="false" ht="17.15" hidden="false" customHeight="false" outlineLevel="0" collapsed="false">
      <c r="A810" s="0" t="s">
        <v>8247</v>
      </c>
      <c r="B810" s="0" t="s">
        <v>8154</v>
      </c>
      <c r="C810" s="0" t="s">
        <v>8248</v>
      </c>
      <c r="D810" s="0" t="s">
        <v>113</v>
      </c>
      <c r="E810" s="5" t="s">
        <v>77</v>
      </c>
      <c r="F810" s="0" t="s">
        <v>8244</v>
      </c>
      <c r="G810" s="0" t="s">
        <v>1953</v>
      </c>
      <c r="H810" s="0" t="s">
        <v>5631</v>
      </c>
      <c r="I810" s="5" t="s">
        <v>8249</v>
      </c>
      <c r="K810" s="0" t="s">
        <v>36</v>
      </c>
      <c r="L810" s="0" t="s">
        <v>8246</v>
      </c>
    </row>
    <row r="811" customFormat="false" ht="17.15" hidden="false" customHeight="false" outlineLevel="0" collapsed="false">
      <c r="A811" s="0" t="s">
        <v>8250</v>
      </c>
      <c r="B811" s="0" t="s">
        <v>8251</v>
      </c>
      <c r="C811" s="0" t="s">
        <v>8252</v>
      </c>
      <c r="D811" s="0" t="s">
        <v>8253</v>
      </c>
      <c r="E811" s="5" t="s">
        <v>77</v>
      </c>
      <c r="F811" s="0" t="s">
        <v>8254</v>
      </c>
      <c r="G811" s="0" t="s">
        <v>1953</v>
      </c>
      <c r="H811" s="0" t="s">
        <v>5566</v>
      </c>
      <c r="I811" s="0" t="s">
        <v>8255</v>
      </c>
      <c r="K811" s="0" t="s">
        <v>36</v>
      </c>
      <c r="L811" s="0" t="s">
        <v>8256</v>
      </c>
    </row>
    <row r="812" customFormat="false" ht="17.15" hidden="false" customHeight="false" outlineLevel="0" collapsed="false">
      <c r="A812" s="0" t="s">
        <v>8257</v>
      </c>
      <c r="B812" s="0" t="s">
        <v>8251</v>
      </c>
      <c r="C812" s="0" t="s">
        <v>8258</v>
      </c>
      <c r="D812" s="0" t="s">
        <v>6901</v>
      </c>
      <c r="E812" s="5" t="s">
        <v>77</v>
      </c>
      <c r="F812" s="0" t="s">
        <v>8259</v>
      </c>
      <c r="G812" s="0" t="s">
        <v>1953</v>
      </c>
      <c r="H812" s="0" t="s">
        <v>5598</v>
      </c>
      <c r="I812" s="5" t="s">
        <v>8260</v>
      </c>
      <c r="K812" s="0" t="s">
        <v>36</v>
      </c>
      <c r="L812" s="0" t="s">
        <v>8261</v>
      </c>
    </row>
    <row r="813" customFormat="false" ht="17.15" hidden="false" customHeight="false" outlineLevel="0" collapsed="false">
      <c r="A813" s="0" t="s">
        <v>8262</v>
      </c>
      <c r="B813" s="0" t="s">
        <v>8251</v>
      </c>
      <c r="C813" s="0" t="s">
        <v>8263</v>
      </c>
      <c r="D813" s="0" t="s">
        <v>113</v>
      </c>
      <c r="E813" s="5" t="s">
        <v>77</v>
      </c>
      <c r="F813" s="5" t="s">
        <v>6367</v>
      </c>
      <c r="G813" s="0" t="s">
        <v>4588</v>
      </c>
      <c r="H813" s="0" t="s">
        <v>5592</v>
      </c>
      <c r="I813" s="5" t="s">
        <v>8264</v>
      </c>
      <c r="K813" s="0" t="s">
        <v>36</v>
      </c>
      <c r="L813" s="0" t="s">
        <v>8265</v>
      </c>
    </row>
    <row r="814" customFormat="false" ht="17.15" hidden="false" customHeight="false" outlineLevel="0" collapsed="false">
      <c r="A814" s="0" t="s">
        <v>8266</v>
      </c>
      <c r="B814" s="0" t="s">
        <v>8251</v>
      </c>
      <c r="C814" s="0" t="s">
        <v>8267</v>
      </c>
      <c r="D814" s="0" t="s">
        <v>113</v>
      </c>
      <c r="E814" s="5" t="s">
        <v>77</v>
      </c>
      <c r="F814" s="5" t="s">
        <v>6367</v>
      </c>
      <c r="G814" s="0" t="s">
        <v>4588</v>
      </c>
      <c r="H814" s="0" t="s">
        <v>5566</v>
      </c>
      <c r="I814" s="0" t="s">
        <v>8268</v>
      </c>
      <c r="K814" s="0" t="s">
        <v>36</v>
      </c>
      <c r="L814" s="0" t="s">
        <v>8269</v>
      </c>
    </row>
    <row r="815" customFormat="false" ht="17.15" hidden="false" customHeight="false" outlineLevel="0" collapsed="false">
      <c r="A815" s="0" t="s">
        <v>8270</v>
      </c>
      <c r="B815" s="0" t="s">
        <v>8271</v>
      </c>
      <c r="C815" s="0" t="s">
        <v>8272</v>
      </c>
      <c r="D815" s="0" t="s">
        <v>6461</v>
      </c>
      <c r="E815" s="5" t="s">
        <v>77</v>
      </c>
      <c r="F815" s="0" t="s">
        <v>6324</v>
      </c>
      <c r="G815" s="0" t="s">
        <v>1953</v>
      </c>
      <c r="H815" s="0" t="s">
        <v>5566</v>
      </c>
      <c r="I815" s="0" t="s">
        <v>8273</v>
      </c>
      <c r="K815" s="0" t="s">
        <v>36</v>
      </c>
      <c r="L815" s="0" t="s">
        <v>8274</v>
      </c>
    </row>
    <row r="816" customFormat="false" ht="17.15" hidden="false" customHeight="false" outlineLevel="0" collapsed="false">
      <c r="A816" s="0" t="s">
        <v>8275</v>
      </c>
      <c r="B816" s="0" t="s">
        <v>8276</v>
      </c>
      <c r="C816" s="0" t="s">
        <v>8277</v>
      </c>
      <c r="D816" s="0" t="s">
        <v>6135</v>
      </c>
      <c r="E816" s="5" t="s">
        <v>77</v>
      </c>
      <c r="F816" s="0" t="s">
        <v>6324</v>
      </c>
      <c r="G816" s="0" t="s">
        <v>1953</v>
      </c>
      <c r="H816" s="0" t="s">
        <v>5609</v>
      </c>
      <c r="I816" s="5" t="s">
        <v>8186</v>
      </c>
      <c r="K816" s="0" t="s">
        <v>36</v>
      </c>
      <c r="L816" s="0" t="s">
        <v>8278</v>
      </c>
    </row>
    <row r="817" customFormat="false" ht="17.15" hidden="false" customHeight="false" outlineLevel="0" collapsed="false">
      <c r="A817" s="0" t="s">
        <v>8279</v>
      </c>
      <c r="B817" s="0" t="s">
        <v>8276</v>
      </c>
      <c r="C817" s="0" t="s">
        <v>8280</v>
      </c>
      <c r="D817" s="0" t="s">
        <v>6135</v>
      </c>
      <c r="E817" s="5" t="s">
        <v>77</v>
      </c>
      <c r="F817" s="0" t="s">
        <v>6324</v>
      </c>
      <c r="G817" s="0" t="s">
        <v>1953</v>
      </c>
      <c r="H817" s="0" t="s">
        <v>5609</v>
      </c>
      <c r="I817" s="5" t="s">
        <v>8186</v>
      </c>
      <c r="K817" s="0" t="s">
        <v>36</v>
      </c>
      <c r="L817" s="0" t="s">
        <v>8278</v>
      </c>
    </row>
    <row r="818" customFormat="false" ht="17.15" hidden="false" customHeight="false" outlineLevel="0" collapsed="false">
      <c r="A818" s="0" t="s">
        <v>8281</v>
      </c>
      <c r="B818" s="0" t="s">
        <v>8282</v>
      </c>
      <c r="C818" s="0" t="s">
        <v>8283</v>
      </c>
      <c r="D818" s="0" t="s">
        <v>5889</v>
      </c>
      <c r="E818" s="5" t="s">
        <v>77</v>
      </c>
      <c r="F818" s="0" t="s">
        <v>4749</v>
      </c>
      <c r="G818" s="0" t="s">
        <v>1953</v>
      </c>
      <c r="H818" s="0" t="s">
        <v>5566</v>
      </c>
      <c r="I818" s="0" t="s">
        <v>8284</v>
      </c>
      <c r="K818" s="0" t="s">
        <v>36</v>
      </c>
      <c r="L818" s="0" t="s">
        <v>8285</v>
      </c>
    </row>
    <row r="819" customFormat="false" ht="17.15" hidden="false" customHeight="false" outlineLevel="0" collapsed="false">
      <c r="A819" s="0" t="s">
        <v>8286</v>
      </c>
      <c r="B819" s="0" t="s">
        <v>8282</v>
      </c>
      <c r="C819" s="0" t="s">
        <v>8287</v>
      </c>
      <c r="D819" s="0" t="s">
        <v>113</v>
      </c>
      <c r="E819" s="5" t="s">
        <v>77</v>
      </c>
      <c r="F819" s="0" t="s">
        <v>5625</v>
      </c>
      <c r="G819" s="0" t="s">
        <v>1953</v>
      </c>
      <c r="H819" s="0" t="s">
        <v>5566</v>
      </c>
      <c r="I819" s="5" t="s">
        <v>8288</v>
      </c>
      <c r="K819" s="0" t="s">
        <v>36</v>
      </c>
      <c r="L819" s="0" t="s">
        <v>8289</v>
      </c>
    </row>
    <row r="820" customFormat="false" ht="17.15" hidden="false" customHeight="false" outlineLevel="0" collapsed="false">
      <c r="A820" s="0" t="s">
        <v>8290</v>
      </c>
      <c r="B820" s="0" t="s">
        <v>8291</v>
      </c>
      <c r="C820" s="0" t="s">
        <v>8292</v>
      </c>
      <c r="D820" s="0" t="s">
        <v>5129</v>
      </c>
      <c r="E820" s="5" t="s">
        <v>168</v>
      </c>
      <c r="F820" s="0" t="s">
        <v>6020</v>
      </c>
      <c r="G820" s="0" t="s">
        <v>1953</v>
      </c>
      <c r="H820" s="0" t="s">
        <v>5598</v>
      </c>
      <c r="I820" s="0" t="s">
        <v>8293</v>
      </c>
      <c r="K820" s="0" t="s">
        <v>36</v>
      </c>
      <c r="L820" s="0" t="s">
        <v>8294</v>
      </c>
    </row>
    <row r="821" customFormat="false" ht="17.15" hidden="false" customHeight="false" outlineLevel="0" collapsed="false">
      <c r="A821" s="0" t="s">
        <v>8295</v>
      </c>
      <c r="B821" s="0" t="s">
        <v>8291</v>
      </c>
      <c r="C821" s="0" t="s">
        <v>8296</v>
      </c>
      <c r="D821" s="0" t="s">
        <v>113</v>
      </c>
      <c r="E821" s="5" t="s">
        <v>77</v>
      </c>
      <c r="F821" s="0" t="s">
        <v>8044</v>
      </c>
      <c r="G821" s="0" t="s">
        <v>1953</v>
      </c>
      <c r="H821" s="0" t="s">
        <v>5631</v>
      </c>
      <c r="I821" s="5" t="s">
        <v>8297</v>
      </c>
      <c r="K821" s="0" t="s">
        <v>36</v>
      </c>
      <c r="L821" s="0" t="s">
        <v>8298</v>
      </c>
    </row>
    <row r="822" customFormat="false" ht="17.15" hidden="false" customHeight="false" outlineLevel="0" collapsed="false">
      <c r="A822" s="0" t="s">
        <v>8299</v>
      </c>
      <c r="B822" s="0" t="s">
        <v>8300</v>
      </c>
      <c r="C822" s="0" t="s">
        <v>8301</v>
      </c>
      <c r="D822" s="0" t="s">
        <v>4971</v>
      </c>
      <c r="E822" s="5" t="s">
        <v>77</v>
      </c>
      <c r="F822" s="0" t="s">
        <v>8302</v>
      </c>
      <c r="G822" s="0" t="s">
        <v>1953</v>
      </c>
      <c r="H822" s="0" t="s">
        <v>5614</v>
      </c>
      <c r="I822" s="0" t="s">
        <v>8303</v>
      </c>
      <c r="J822" s="0" t="s">
        <v>770</v>
      </c>
      <c r="K822" s="5" t="s">
        <v>4631</v>
      </c>
      <c r="L822" s="0" t="s">
        <v>8304</v>
      </c>
    </row>
    <row r="823" customFormat="false" ht="17.15" hidden="false" customHeight="false" outlineLevel="0" collapsed="false">
      <c r="A823" s="0" t="s">
        <v>8305</v>
      </c>
      <c r="B823" s="0" t="s">
        <v>8300</v>
      </c>
      <c r="C823" s="0" t="s">
        <v>8306</v>
      </c>
      <c r="D823" s="0" t="s">
        <v>113</v>
      </c>
      <c r="E823" s="5" t="s">
        <v>77</v>
      </c>
      <c r="F823" s="0" t="s">
        <v>8302</v>
      </c>
      <c r="G823" s="0" t="s">
        <v>1953</v>
      </c>
      <c r="H823" s="0" t="s">
        <v>5614</v>
      </c>
      <c r="I823" s="5" t="s">
        <v>8307</v>
      </c>
      <c r="K823" s="0" t="s">
        <v>36</v>
      </c>
      <c r="L823" s="0" t="s">
        <v>8304</v>
      </c>
    </row>
    <row r="824" customFormat="false" ht="17.15" hidden="false" customHeight="false" outlineLevel="0" collapsed="false">
      <c r="A824" s="0" t="s">
        <v>8308</v>
      </c>
      <c r="B824" s="0" t="s">
        <v>8300</v>
      </c>
      <c r="C824" s="0" t="s">
        <v>8309</v>
      </c>
      <c r="D824" s="0" t="s">
        <v>8310</v>
      </c>
      <c r="E824" s="5" t="s">
        <v>77</v>
      </c>
      <c r="F824" s="0" t="s">
        <v>8311</v>
      </c>
      <c r="G824" s="0" t="s">
        <v>1899</v>
      </c>
      <c r="H824" s="0" t="s">
        <v>5598</v>
      </c>
      <c r="I824" s="0" t="s">
        <v>8312</v>
      </c>
      <c r="J824" s="0" t="s">
        <v>770</v>
      </c>
      <c r="K824" s="5" t="s">
        <v>4631</v>
      </c>
      <c r="L824" s="0" t="s">
        <v>8313</v>
      </c>
    </row>
    <row r="825" customFormat="false" ht="17.15" hidden="false" customHeight="false" outlineLevel="0" collapsed="false">
      <c r="A825" s="0" t="s">
        <v>8314</v>
      </c>
      <c r="B825" s="0" t="s">
        <v>8315</v>
      </c>
      <c r="C825" s="0" t="s">
        <v>8316</v>
      </c>
      <c r="D825" s="0" t="s">
        <v>113</v>
      </c>
      <c r="E825" s="5" t="s">
        <v>77</v>
      </c>
      <c r="F825" s="0" t="s">
        <v>8317</v>
      </c>
      <c r="G825" s="0" t="s">
        <v>1953</v>
      </c>
      <c r="H825" s="0" t="s">
        <v>5631</v>
      </c>
      <c r="I825" s="5" t="s">
        <v>8318</v>
      </c>
      <c r="K825" s="0" t="s">
        <v>36</v>
      </c>
      <c r="L825" s="0" t="s">
        <v>8319</v>
      </c>
    </row>
    <row r="826" customFormat="false" ht="17.15" hidden="false" customHeight="false" outlineLevel="0" collapsed="false">
      <c r="A826" s="0" t="s">
        <v>8320</v>
      </c>
      <c r="B826" s="0" t="s">
        <v>8321</v>
      </c>
      <c r="C826" s="0" t="s">
        <v>8322</v>
      </c>
      <c r="D826" s="0" t="s">
        <v>5129</v>
      </c>
      <c r="E826" s="0" t="s">
        <v>112</v>
      </c>
      <c r="F826" s="0" t="s">
        <v>5918</v>
      </c>
      <c r="G826" s="0" t="s">
        <v>1953</v>
      </c>
      <c r="H826" s="0" t="s">
        <v>5566</v>
      </c>
      <c r="I826" s="0" t="s">
        <v>8323</v>
      </c>
      <c r="K826" s="0" t="s">
        <v>36</v>
      </c>
      <c r="L826" s="0" t="s">
        <v>8324</v>
      </c>
    </row>
    <row r="827" customFormat="false" ht="17.15" hidden="false" customHeight="false" outlineLevel="0" collapsed="false">
      <c r="A827" s="0" t="s">
        <v>8325</v>
      </c>
      <c r="B827" s="0" t="s">
        <v>8321</v>
      </c>
      <c r="C827" s="0" t="s">
        <v>8326</v>
      </c>
      <c r="D827" s="0" t="s">
        <v>4958</v>
      </c>
      <c r="E827" s="5" t="s">
        <v>77</v>
      </c>
      <c r="F827" s="0" t="s">
        <v>5048</v>
      </c>
      <c r="G827" s="0" t="s">
        <v>1953</v>
      </c>
      <c r="H827" s="0" t="s">
        <v>5566</v>
      </c>
      <c r="I827" s="0" t="s">
        <v>8327</v>
      </c>
      <c r="K827" s="0" t="s">
        <v>36</v>
      </c>
      <c r="L827" s="0" t="s">
        <v>8328</v>
      </c>
    </row>
    <row r="828" customFormat="false" ht="17.15" hidden="false" customHeight="false" outlineLevel="0" collapsed="false">
      <c r="A828" s="0" t="s">
        <v>8329</v>
      </c>
      <c r="B828" s="0" t="s">
        <v>8330</v>
      </c>
      <c r="C828" s="0" t="s">
        <v>8331</v>
      </c>
      <c r="D828" s="0" t="s">
        <v>8332</v>
      </c>
      <c r="E828" s="5" t="s">
        <v>77</v>
      </c>
      <c r="F828" s="0" t="s">
        <v>8333</v>
      </c>
      <c r="G828" s="0" t="s">
        <v>1953</v>
      </c>
      <c r="H828" s="0" t="s">
        <v>5631</v>
      </c>
      <c r="I828" s="5" t="s">
        <v>8334</v>
      </c>
      <c r="K828" s="0" t="s">
        <v>36</v>
      </c>
      <c r="L828" s="0" t="s">
        <v>8335</v>
      </c>
    </row>
    <row r="829" customFormat="false" ht="17.15" hidden="false" customHeight="false" outlineLevel="0" collapsed="false">
      <c r="A829" s="0" t="s">
        <v>8336</v>
      </c>
      <c r="B829" s="0" t="s">
        <v>8330</v>
      </c>
      <c r="C829" s="0" t="s">
        <v>8337</v>
      </c>
      <c r="D829" s="0" t="s">
        <v>113</v>
      </c>
      <c r="E829" s="5" t="s">
        <v>77</v>
      </c>
      <c r="F829" s="0" t="s">
        <v>8333</v>
      </c>
      <c r="G829" s="0" t="s">
        <v>1953</v>
      </c>
      <c r="H829" s="0" t="s">
        <v>5566</v>
      </c>
      <c r="I829" s="0" t="s">
        <v>8338</v>
      </c>
      <c r="K829" s="0" t="s">
        <v>36</v>
      </c>
      <c r="L829" s="0" t="s">
        <v>8339</v>
      </c>
    </row>
    <row r="830" customFormat="false" ht="17.15" hidden="false" customHeight="false" outlineLevel="0" collapsed="false">
      <c r="A830" s="0" t="s">
        <v>8340</v>
      </c>
      <c r="B830" s="0" t="s">
        <v>8330</v>
      </c>
      <c r="C830" s="0" t="s">
        <v>8341</v>
      </c>
      <c r="D830" s="0" t="s">
        <v>113</v>
      </c>
      <c r="E830" s="5" t="s">
        <v>77</v>
      </c>
      <c r="F830" s="0" t="s">
        <v>8333</v>
      </c>
      <c r="G830" s="0" t="s">
        <v>1953</v>
      </c>
      <c r="H830" s="0" t="s">
        <v>5631</v>
      </c>
      <c r="I830" s="5" t="s">
        <v>8342</v>
      </c>
      <c r="K830" s="0" t="s">
        <v>36</v>
      </c>
      <c r="L830" s="0" t="s">
        <v>8335</v>
      </c>
    </row>
    <row r="831" customFormat="false" ht="17.15" hidden="false" customHeight="false" outlineLevel="0" collapsed="false">
      <c r="A831" s="0" t="s">
        <v>8343</v>
      </c>
      <c r="B831" s="0" t="s">
        <v>8344</v>
      </c>
      <c r="C831" s="0" t="s">
        <v>8345</v>
      </c>
      <c r="D831" s="0" t="s">
        <v>6330</v>
      </c>
      <c r="E831" s="5" t="s">
        <v>77</v>
      </c>
      <c r="F831" s="0" t="s">
        <v>5923</v>
      </c>
      <c r="G831" s="0" t="s">
        <v>1953</v>
      </c>
      <c r="H831" s="0" t="s">
        <v>5631</v>
      </c>
      <c r="I831" s="5" t="s">
        <v>8346</v>
      </c>
      <c r="K831" s="0" t="s">
        <v>36</v>
      </c>
      <c r="L831" s="0" t="s">
        <v>8347</v>
      </c>
    </row>
    <row r="832" customFormat="false" ht="17.15" hidden="false" customHeight="false" outlineLevel="0" collapsed="false">
      <c r="A832" s="0" t="s">
        <v>8348</v>
      </c>
      <c r="B832" s="0" t="s">
        <v>8344</v>
      </c>
      <c r="C832" s="0" t="s">
        <v>8349</v>
      </c>
      <c r="D832" s="0" t="s">
        <v>6774</v>
      </c>
      <c r="E832" s="5" t="s">
        <v>77</v>
      </c>
      <c r="F832" s="0" t="s">
        <v>8350</v>
      </c>
      <c r="G832" s="0" t="s">
        <v>1953</v>
      </c>
      <c r="H832" s="0" t="s">
        <v>5566</v>
      </c>
      <c r="I832" s="0" t="s">
        <v>8351</v>
      </c>
      <c r="K832" s="0" t="s">
        <v>36</v>
      </c>
      <c r="L832" s="0" t="s">
        <v>8352</v>
      </c>
    </row>
    <row r="833" customFormat="false" ht="17.15" hidden="false" customHeight="false" outlineLevel="0" collapsed="false">
      <c r="A833" s="0" t="s">
        <v>8353</v>
      </c>
      <c r="B833" s="0" t="s">
        <v>8344</v>
      </c>
      <c r="C833" s="0" t="s">
        <v>8354</v>
      </c>
      <c r="D833" s="0" t="s">
        <v>113</v>
      </c>
      <c r="E833" s="5" t="s">
        <v>77</v>
      </c>
      <c r="F833" s="0" t="s">
        <v>5923</v>
      </c>
      <c r="G833" s="0" t="s">
        <v>1953</v>
      </c>
      <c r="H833" s="0" t="s">
        <v>5566</v>
      </c>
      <c r="I833" s="5" t="s">
        <v>8355</v>
      </c>
      <c r="K833" s="0" t="s">
        <v>36</v>
      </c>
      <c r="L833" s="0" t="s">
        <v>8356</v>
      </c>
    </row>
    <row r="834" customFormat="false" ht="17.15" hidden="false" customHeight="false" outlineLevel="0" collapsed="false">
      <c r="A834" s="0" t="s">
        <v>8357</v>
      </c>
      <c r="B834" s="0" t="s">
        <v>8358</v>
      </c>
      <c r="C834" s="0" t="s">
        <v>8359</v>
      </c>
      <c r="D834" s="0" t="s">
        <v>4971</v>
      </c>
      <c r="E834" s="5" t="s">
        <v>77</v>
      </c>
      <c r="F834" s="0" t="s">
        <v>6037</v>
      </c>
      <c r="G834" s="0" t="s">
        <v>1953</v>
      </c>
      <c r="H834" s="0" t="s">
        <v>5631</v>
      </c>
      <c r="I834" s="5" t="s">
        <v>8360</v>
      </c>
      <c r="K834" s="0" t="s">
        <v>36</v>
      </c>
      <c r="L834" s="0" t="s">
        <v>8361</v>
      </c>
    </row>
    <row r="835" customFormat="false" ht="17.15" hidden="false" customHeight="false" outlineLevel="0" collapsed="false">
      <c r="A835" s="0" t="s">
        <v>8362</v>
      </c>
      <c r="B835" s="0" t="s">
        <v>8363</v>
      </c>
      <c r="C835" s="0" t="s">
        <v>8364</v>
      </c>
      <c r="D835" s="0" t="s">
        <v>4568</v>
      </c>
      <c r="E835" s="5" t="s">
        <v>77</v>
      </c>
      <c r="F835" s="0" t="s">
        <v>8060</v>
      </c>
      <c r="G835" s="0" t="s">
        <v>1953</v>
      </c>
      <c r="H835" s="0" t="s">
        <v>5566</v>
      </c>
      <c r="I835" s="0" t="s">
        <v>8365</v>
      </c>
      <c r="K835" s="0" t="s">
        <v>36</v>
      </c>
      <c r="L835" s="0" t="s">
        <v>8366</v>
      </c>
    </row>
    <row r="836" customFormat="false" ht="17.15" hidden="false" customHeight="false" outlineLevel="0" collapsed="false">
      <c r="A836" s="0" t="s">
        <v>8367</v>
      </c>
      <c r="B836" s="0" t="s">
        <v>8368</v>
      </c>
      <c r="C836" s="0" t="s">
        <v>8369</v>
      </c>
      <c r="D836" s="0" t="s">
        <v>4958</v>
      </c>
      <c r="E836" s="5" t="s">
        <v>77</v>
      </c>
      <c r="F836" s="0" t="s">
        <v>8370</v>
      </c>
      <c r="G836" s="0" t="s">
        <v>1899</v>
      </c>
      <c r="H836" s="0" t="s">
        <v>5566</v>
      </c>
      <c r="I836" s="0" t="s">
        <v>8371</v>
      </c>
      <c r="K836" s="0" t="s">
        <v>36</v>
      </c>
      <c r="L836" s="0" t="s">
        <v>8372</v>
      </c>
    </row>
    <row r="837" customFormat="false" ht="17.15" hidden="false" customHeight="false" outlineLevel="0" collapsed="false">
      <c r="A837" s="0" t="s">
        <v>8373</v>
      </c>
      <c r="B837" s="0" t="s">
        <v>8374</v>
      </c>
      <c r="C837" s="0" t="s">
        <v>8375</v>
      </c>
      <c r="D837" s="0" t="s">
        <v>4958</v>
      </c>
      <c r="E837" s="5" t="s">
        <v>77</v>
      </c>
      <c r="F837" s="0" t="s">
        <v>8370</v>
      </c>
      <c r="G837" s="0" t="s">
        <v>1899</v>
      </c>
      <c r="H837" s="0" t="s">
        <v>5566</v>
      </c>
      <c r="I837" s="0" t="s">
        <v>8376</v>
      </c>
      <c r="K837" s="0" t="s">
        <v>36</v>
      </c>
      <c r="L837" s="0" t="s">
        <v>8372</v>
      </c>
    </row>
    <row r="838" customFormat="false" ht="17.15" hidden="false" customHeight="false" outlineLevel="0" collapsed="false">
      <c r="A838" s="0" t="s">
        <v>8377</v>
      </c>
      <c r="B838" s="0" t="s">
        <v>8378</v>
      </c>
      <c r="C838" s="0" t="s">
        <v>8379</v>
      </c>
      <c r="D838" s="0" t="s">
        <v>4958</v>
      </c>
      <c r="E838" s="5" t="s">
        <v>77</v>
      </c>
      <c r="F838" s="0" t="s">
        <v>8370</v>
      </c>
      <c r="G838" s="0" t="s">
        <v>1899</v>
      </c>
      <c r="H838" s="0" t="s">
        <v>5566</v>
      </c>
      <c r="I838" s="0" t="s">
        <v>8380</v>
      </c>
      <c r="K838" s="0" t="s">
        <v>36</v>
      </c>
      <c r="L838" s="0" t="s">
        <v>8372</v>
      </c>
    </row>
    <row r="839" customFormat="false" ht="17.15" hidden="false" customHeight="false" outlineLevel="0" collapsed="false">
      <c r="A839" s="0" t="s">
        <v>8381</v>
      </c>
      <c r="B839" s="0" t="s">
        <v>8382</v>
      </c>
      <c r="C839" s="0" t="s">
        <v>8383</v>
      </c>
      <c r="D839" s="0" t="s">
        <v>4958</v>
      </c>
      <c r="E839" s="5" t="s">
        <v>77</v>
      </c>
      <c r="F839" s="0" t="s">
        <v>8370</v>
      </c>
      <c r="G839" s="0" t="s">
        <v>1899</v>
      </c>
      <c r="H839" s="0" t="s">
        <v>5566</v>
      </c>
      <c r="I839" s="0" t="s">
        <v>8384</v>
      </c>
      <c r="K839" s="0" t="s">
        <v>36</v>
      </c>
      <c r="L839" s="0" t="s">
        <v>8372</v>
      </c>
    </row>
    <row r="840" customFormat="false" ht="17.15" hidden="false" customHeight="false" outlineLevel="0" collapsed="false">
      <c r="A840" s="0" t="s">
        <v>8385</v>
      </c>
      <c r="B840" s="0" t="s">
        <v>8386</v>
      </c>
      <c r="C840" s="0" t="s">
        <v>8387</v>
      </c>
      <c r="D840" s="0" t="s">
        <v>113</v>
      </c>
      <c r="E840" s="5" t="s">
        <v>77</v>
      </c>
      <c r="F840" s="0" t="s">
        <v>8388</v>
      </c>
      <c r="G840" s="0" t="s">
        <v>1953</v>
      </c>
      <c r="H840" s="0" t="s">
        <v>5566</v>
      </c>
      <c r="I840" s="0" t="s">
        <v>8389</v>
      </c>
      <c r="K840" s="0" t="s">
        <v>36</v>
      </c>
      <c r="L840" s="0" t="s">
        <v>8390</v>
      </c>
    </row>
    <row r="841" customFormat="false" ht="17.15" hidden="false" customHeight="false" outlineLevel="0" collapsed="false">
      <c r="A841" s="0" t="s">
        <v>8391</v>
      </c>
      <c r="B841" s="0" t="s">
        <v>7925</v>
      </c>
      <c r="C841" s="0" t="s">
        <v>8392</v>
      </c>
      <c r="D841" s="0" t="s">
        <v>5690</v>
      </c>
      <c r="E841" s="5" t="s">
        <v>77</v>
      </c>
      <c r="F841" s="0" t="s">
        <v>4374</v>
      </c>
      <c r="G841" s="0" t="s">
        <v>1953</v>
      </c>
      <c r="H841" s="0" t="s">
        <v>5566</v>
      </c>
      <c r="I841" s="0" t="s">
        <v>8393</v>
      </c>
      <c r="K841" s="0" t="s">
        <v>36</v>
      </c>
      <c r="L841" s="0" t="s">
        <v>8394</v>
      </c>
    </row>
    <row r="842" customFormat="false" ht="17.15" hidden="false" customHeight="false" outlineLevel="0" collapsed="false">
      <c r="A842" s="0" t="s">
        <v>8395</v>
      </c>
      <c r="B842" s="0" t="s">
        <v>7925</v>
      </c>
      <c r="C842" s="0" t="s">
        <v>8396</v>
      </c>
      <c r="D842" s="0" t="s">
        <v>8397</v>
      </c>
      <c r="E842" s="5" t="s">
        <v>77</v>
      </c>
      <c r="F842" s="0" t="s">
        <v>8398</v>
      </c>
      <c r="G842" s="0" t="s">
        <v>1953</v>
      </c>
      <c r="H842" s="0" t="s">
        <v>5566</v>
      </c>
      <c r="I842" s="0" t="s">
        <v>8399</v>
      </c>
      <c r="K842" s="0" t="s">
        <v>36</v>
      </c>
      <c r="L842" s="0" t="s">
        <v>8400</v>
      </c>
    </row>
    <row r="843" customFormat="false" ht="17.15" hidden="false" customHeight="false" outlineLevel="0" collapsed="false">
      <c r="A843" s="0" t="s">
        <v>8401</v>
      </c>
      <c r="B843" s="0" t="s">
        <v>7925</v>
      </c>
      <c r="C843" s="0" t="s">
        <v>8402</v>
      </c>
      <c r="D843" s="0" t="s">
        <v>113</v>
      </c>
      <c r="E843" s="5" t="s">
        <v>77</v>
      </c>
      <c r="F843" s="0" t="s">
        <v>4646</v>
      </c>
      <c r="G843" s="0" t="s">
        <v>1953</v>
      </c>
      <c r="H843" s="0" t="s">
        <v>5631</v>
      </c>
      <c r="I843" s="5" t="s">
        <v>8403</v>
      </c>
      <c r="K843" s="0" t="s">
        <v>36</v>
      </c>
      <c r="L843" s="0" t="s">
        <v>8404</v>
      </c>
    </row>
    <row r="844" customFormat="false" ht="17.15" hidden="false" customHeight="false" outlineLevel="0" collapsed="false">
      <c r="A844" s="0" t="s">
        <v>8405</v>
      </c>
      <c r="B844" s="0" t="s">
        <v>8406</v>
      </c>
      <c r="C844" s="0" t="s">
        <v>8407</v>
      </c>
      <c r="D844" s="0" t="s">
        <v>8408</v>
      </c>
      <c r="E844" s="0" t="s">
        <v>112</v>
      </c>
      <c r="F844" s="0" t="s">
        <v>8388</v>
      </c>
      <c r="G844" s="0" t="s">
        <v>1953</v>
      </c>
      <c r="H844" s="0" t="s">
        <v>5631</v>
      </c>
      <c r="I844" s="0" t="s">
        <v>8409</v>
      </c>
      <c r="K844" s="0" t="s">
        <v>36</v>
      </c>
      <c r="L844" s="0" t="s">
        <v>8410</v>
      </c>
    </row>
    <row r="845" customFormat="false" ht="17.15" hidden="false" customHeight="false" outlineLevel="0" collapsed="false">
      <c r="A845" s="0" t="s">
        <v>8411</v>
      </c>
      <c r="B845" s="0" t="s">
        <v>8406</v>
      </c>
      <c r="C845" s="0" t="s">
        <v>8412</v>
      </c>
      <c r="D845" s="0" t="s">
        <v>113</v>
      </c>
      <c r="E845" s="5" t="s">
        <v>77</v>
      </c>
      <c r="F845" s="0" t="s">
        <v>6355</v>
      </c>
      <c r="G845" s="0" t="s">
        <v>1953</v>
      </c>
      <c r="H845" s="0" t="s">
        <v>5614</v>
      </c>
      <c r="I845" s="5" t="s">
        <v>8413</v>
      </c>
      <c r="K845" s="0" t="s">
        <v>36</v>
      </c>
      <c r="L845" s="0" t="s">
        <v>8414</v>
      </c>
    </row>
    <row r="846" customFormat="false" ht="17.15" hidden="false" customHeight="false" outlineLevel="0" collapsed="false">
      <c r="A846" s="0" t="s">
        <v>8415</v>
      </c>
      <c r="B846" s="0" t="s">
        <v>8406</v>
      </c>
      <c r="C846" s="0" t="s">
        <v>8416</v>
      </c>
      <c r="D846" s="0" t="s">
        <v>113</v>
      </c>
      <c r="E846" s="5" t="s">
        <v>77</v>
      </c>
      <c r="F846" s="0" t="s">
        <v>6355</v>
      </c>
      <c r="G846" s="0" t="s">
        <v>1953</v>
      </c>
      <c r="H846" s="0" t="s">
        <v>5566</v>
      </c>
      <c r="I846" s="5" t="s">
        <v>8417</v>
      </c>
      <c r="K846" s="0" t="s">
        <v>36</v>
      </c>
      <c r="L846" s="0" t="s">
        <v>8414</v>
      </c>
    </row>
    <row r="847" customFormat="false" ht="17.15" hidden="false" customHeight="false" outlineLevel="0" collapsed="false">
      <c r="A847" s="0" t="s">
        <v>8418</v>
      </c>
      <c r="B847" s="0" t="s">
        <v>8406</v>
      </c>
      <c r="C847" s="0" t="s">
        <v>8419</v>
      </c>
      <c r="D847" s="0" t="s">
        <v>4823</v>
      </c>
      <c r="E847" s="5" t="s">
        <v>77</v>
      </c>
      <c r="F847" s="0" t="s">
        <v>8420</v>
      </c>
      <c r="G847" s="0" t="s">
        <v>1953</v>
      </c>
      <c r="H847" s="0" t="s">
        <v>5566</v>
      </c>
      <c r="I847" s="0" t="s">
        <v>8421</v>
      </c>
      <c r="K847" s="0" t="s">
        <v>36</v>
      </c>
      <c r="L847" s="0" t="s">
        <v>8422</v>
      </c>
    </row>
    <row r="848" customFormat="false" ht="17.15" hidden="false" customHeight="false" outlineLevel="0" collapsed="false">
      <c r="A848" s="0" t="s">
        <v>8423</v>
      </c>
      <c r="B848" s="0" t="s">
        <v>8406</v>
      </c>
      <c r="C848" s="0" t="s">
        <v>8424</v>
      </c>
      <c r="D848" s="0" t="s">
        <v>6658</v>
      </c>
      <c r="E848" s="5" t="s">
        <v>77</v>
      </c>
      <c r="F848" s="0" t="s">
        <v>2348</v>
      </c>
      <c r="G848" s="0" t="s">
        <v>1953</v>
      </c>
      <c r="H848" s="0" t="s">
        <v>5566</v>
      </c>
      <c r="I848" s="5" t="s">
        <v>8425</v>
      </c>
      <c r="K848" s="0" t="s">
        <v>36</v>
      </c>
      <c r="L848" s="0" t="s">
        <v>8426</v>
      </c>
    </row>
    <row r="849" customFormat="false" ht="17.15" hidden="false" customHeight="false" outlineLevel="0" collapsed="false">
      <c r="A849" s="0" t="s">
        <v>8427</v>
      </c>
      <c r="B849" s="0" t="s">
        <v>2557</v>
      </c>
      <c r="C849" s="0" t="s">
        <v>8428</v>
      </c>
      <c r="D849" s="0" t="s">
        <v>6198</v>
      </c>
      <c r="E849" s="5" t="s">
        <v>77</v>
      </c>
      <c r="F849" s="0" t="s">
        <v>6747</v>
      </c>
      <c r="G849" s="0" t="s">
        <v>1953</v>
      </c>
      <c r="H849" s="0" t="s">
        <v>5609</v>
      </c>
      <c r="I849" s="5" t="s">
        <v>5610</v>
      </c>
      <c r="K849" s="0" t="s">
        <v>36</v>
      </c>
      <c r="L849" s="0" t="s">
        <v>8429</v>
      </c>
    </row>
    <row r="850" customFormat="false" ht="17.15" hidden="false" customHeight="false" outlineLevel="0" collapsed="false">
      <c r="A850" s="0" t="s">
        <v>8430</v>
      </c>
      <c r="B850" s="0" t="s">
        <v>8431</v>
      </c>
      <c r="C850" s="0" t="s">
        <v>8432</v>
      </c>
      <c r="D850" s="0" t="s">
        <v>6109</v>
      </c>
      <c r="E850" s="5" t="s">
        <v>77</v>
      </c>
      <c r="F850" s="0" t="s">
        <v>4676</v>
      </c>
      <c r="G850" s="0" t="s">
        <v>1953</v>
      </c>
      <c r="H850" s="0" t="s">
        <v>5566</v>
      </c>
      <c r="I850" s="0" t="s">
        <v>8433</v>
      </c>
      <c r="J850" s="0" t="s">
        <v>764</v>
      </c>
      <c r="K850" s="5" t="s">
        <v>4631</v>
      </c>
      <c r="L850" s="0" t="s">
        <v>8434</v>
      </c>
    </row>
    <row r="851" customFormat="false" ht="17.15" hidden="false" customHeight="false" outlineLevel="0" collapsed="false">
      <c r="A851" s="0" t="s">
        <v>8435</v>
      </c>
      <c r="B851" s="0" t="s">
        <v>8431</v>
      </c>
      <c r="C851" s="0" t="s">
        <v>8436</v>
      </c>
      <c r="D851" s="0" t="s">
        <v>7351</v>
      </c>
      <c r="E851" s="5" t="s">
        <v>77</v>
      </c>
      <c r="F851" s="0" t="s">
        <v>4374</v>
      </c>
      <c r="G851" s="0" t="s">
        <v>1953</v>
      </c>
      <c r="H851" s="0" t="s">
        <v>5566</v>
      </c>
      <c r="I851" s="0" t="s">
        <v>8437</v>
      </c>
      <c r="J851" s="0" t="s">
        <v>764</v>
      </c>
      <c r="K851" s="5" t="s">
        <v>4631</v>
      </c>
      <c r="L851" s="0" t="s">
        <v>8438</v>
      </c>
    </row>
    <row r="852" customFormat="false" ht="17.15" hidden="false" customHeight="false" outlineLevel="0" collapsed="false">
      <c r="A852" s="0" t="s">
        <v>8439</v>
      </c>
      <c r="B852" s="0" t="s">
        <v>8431</v>
      </c>
      <c r="C852" s="0" t="s">
        <v>8440</v>
      </c>
      <c r="D852" s="0" t="s">
        <v>8253</v>
      </c>
      <c r="E852" s="5" t="s">
        <v>77</v>
      </c>
      <c r="F852" s="0" t="s">
        <v>8441</v>
      </c>
      <c r="G852" s="0" t="s">
        <v>1953</v>
      </c>
      <c r="H852" s="0" t="s">
        <v>5598</v>
      </c>
      <c r="I852" s="0" t="s">
        <v>8442</v>
      </c>
      <c r="J852" s="0" t="s">
        <v>764</v>
      </c>
      <c r="K852" s="5" t="s">
        <v>4631</v>
      </c>
      <c r="L852" s="0" t="s">
        <v>8443</v>
      </c>
    </row>
    <row r="853" customFormat="false" ht="17.15" hidden="false" customHeight="false" outlineLevel="0" collapsed="false">
      <c r="A853" s="0" t="s">
        <v>8444</v>
      </c>
      <c r="B853" s="0" t="s">
        <v>8445</v>
      </c>
      <c r="C853" s="0" t="s">
        <v>8446</v>
      </c>
      <c r="D853" s="0" t="s">
        <v>6658</v>
      </c>
      <c r="E853" s="0" t="s">
        <v>112</v>
      </c>
      <c r="F853" s="0" t="s">
        <v>5183</v>
      </c>
      <c r="G853" s="0" t="s">
        <v>1953</v>
      </c>
      <c r="H853" s="0" t="s">
        <v>5614</v>
      </c>
      <c r="I853" s="0" t="s">
        <v>8447</v>
      </c>
      <c r="J853" s="0" t="s">
        <v>764</v>
      </c>
      <c r="K853" s="5" t="s">
        <v>4631</v>
      </c>
      <c r="L853" s="0" t="s">
        <v>8448</v>
      </c>
    </row>
    <row r="854" customFormat="false" ht="17.15" hidden="false" customHeight="false" outlineLevel="0" collapsed="false">
      <c r="A854" s="0" t="s">
        <v>8449</v>
      </c>
      <c r="B854" s="0" t="s">
        <v>8450</v>
      </c>
      <c r="C854" s="0" t="s">
        <v>8451</v>
      </c>
      <c r="D854" s="0" t="s">
        <v>8452</v>
      </c>
      <c r="E854" s="0" t="s">
        <v>112</v>
      </c>
      <c r="F854" s="0" t="s">
        <v>7579</v>
      </c>
      <c r="G854" s="0" t="s">
        <v>1953</v>
      </c>
      <c r="H854" s="0" t="s">
        <v>5598</v>
      </c>
      <c r="I854" s="5" t="s">
        <v>8453</v>
      </c>
      <c r="K854" s="0" t="s">
        <v>36</v>
      </c>
      <c r="L854" s="0" t="s">
        <v>8454</v>
      </c>
    </row>
    <row r="855" customFormat="false" ht="17.15" hidden="false" customHeight="false" outlineLevel="0" collapsed="false">
      <c r="A855" s="0" t="s">
        <v>8455</v>
      </c>
      <c r="B855" s="0" t="s">
        <v>8450</v>
      </c>
      <c r="C855" s="0" t="s">
        <v>8456</v>
      </c>
      <c r="D855" s="0" t="s">
        <v>8457</v>
      </c>
      <c r="E855" s="0" t="s">
        <v>112</v>
      </c>
      <c r="F855" s="0" t="s">
        <v>8044</v>
      </c>
      <c r="G855" s="0" t="s">
        <v>1953</v>
      </c>
      <c r="H855" s="0" t="s">
        <v>5609</v>
      </c>
      <c r="I855" s="5" t="s">
        <v>5610</v>
      </c>
      <c r="K855" s="0" t="s">
        <v>36</v>
      </c>
      <c r="L855" s="0" t="s">
        <v>8458</v>
      </c>
    </row>
    <row r="856" customFormat="false" ht="17.15" hidden="false" customHeight="false" outlineLevel="0" collapsed="false">
      <c r="A856" s="0" t="s">
        <v>8459</v>
      </c>
      <c r="B856" s="0" t="s">
        <v>8450</v>
      </c>
      <c r="C856" s="0" t="s">
        <v>8460</v>
      </c>
      <c r="D856" s="0" t="s">
        <v>8461</v>
      </c>
      <c r="E856" s="5" t="s">
        <v>77</v>
      </c>
      <c r="F856" s="0" t="s">
        <v>8044</v>
      </c>
      <c r="G856" s="0" t="s">
        <v>1953</v>
      </c>
      <c r="H856" s="0" t="s">
        <v>5609</v>
      </c>
      <c r="I856" s="5" t="s">
        <v>5610</v>
      </c>
      <c r="K856" s="0" t="s">
        <v>36</v>
      </c>
      <c r="L856" s="0" t="s">
        <v>8458</v>
      </c>
    </row>
    <row r="857" customFormat="false" ht="17.15" hidden="false" customHeight="false" outlineLevel="0" collapsed="false">
      <c r="A857" s="0" t="s">
        <v>8462</v>
      </c>
      <c r="B857" s="0" t="s">
        <v>8450</v>
      </c>
      <c r="C857" s="0" t="s">
        <v>8463</v>
      </c>
      <c r="D857" s="0" t="s">
        <v>7957</v>
      </c>
      <c r="E857" s="5" t="s">
        <v>77</v>
      </c>
      <c r="F857" s="0" t="s">
        <v>8464</v>
      </c>
      <c r="G857" s="0" t="s">
        <v>1909</v>
      </c>
      <c r="H857" s="0" t="s">
        <v>5614</v>
      </c>
      <c r="I857" s="5" t="s">
        <v>8465</v>
      </c>
      <c r="K857" s="0" t="s">
        <v>36</v>
      </c>
      <c r="L857" s="0" t="s">
        <v>8466</v>
      </c>
    </row>
    <row r="858" customFormat="false" ht="17.15" hidden="false" customHeight="false" outlineLevel="0" collapsed="false">
      <c r="A858" s="0" t="s">
        <v>8467</v>
      </c>
      <c r="B858" s="0" t="s">
        <v>8468</v>
      </c>
      <c r="C858" s="0" t="s">
        <v>8469</v>
      </c>
      <c r="D858" s="0" t="s">
        <v>4886</v>
      </c>
      <c r="E858" s="5" t="s">
        <v>77</v>
      </c>
      <c r="F858" s="0" t="s">
        <v>8470</v>
      </c>
      <c r="G858" s="0" t="s">
        <v>1953</v>
      </c>
      <c r="H858" s="0" t="s">
        <v>5566</v>
      </c>
      <c r="I858" s="0" t="s">
        <v>8471</v>
      </c>
      <c r="K858" s="0" t="s">
        <v>36</v>
      </c>
      <c r="L858" s="0" t="s">
        <v>8472</v>
      </c>
    </row>
    <row r="859" customFormat="false" ht="17.15" hidden="false" customHeight="false" outlineLevel="0" collapsed="false">
      <c r="A859" s="0" t="s">
        <v>8473</v>
      </c>
      <c r="B859" s="0" t="s">
        <v>8468</v>
      </c>
      <c r="C859" s="0" t="s">
        <v>8474</v>
      </c>
      <c r="D859" s="0" t="s">
        <v>6675</v>
      </c>
      <c r="E859" s="5" t="s">
        <v>77</v>
      </c>
      <c r="F859" s="0" t="s">
        <v>4713</v>
      </c>
      <c r="G859" s="0" t="s">
        <v>1953</v>
      </c>
      <c r="H859" s="0" t="s">
        <v>5598</v>
      </c>
      <c r="I859" s="0" t="s">
        <v>8475</v>
      </c>
      <c r="K859" s="0" t="s">
        <v>36</v>
      </c>
      <c r="L859" s="0" t="s">
        <v>8476</v>
      </c>
    </row>
    <row r="860" customFormat="false" ht="17.15" hidden="false" customHeight="false" outlineLevel="0" collapsed="false">
      <c r="A860" s="0" t="s">
        <v>8477</v>
      </c>
      <c r="B860" s="0" t="s">
        <v>8468</v>
      </c>
      <c r="C860" s="0" t="s">
        <v>8478</v>
      </c>
      <c r="D860" s="0" t="s">
        <v>8332</v>
      </c>
      <c r="E860" s="5" t="s">
        <v>77</v>
      </c>
      <c r="F860" s="0" t="s">
        <v>8470</v>
      </c>
      <c r="G860" s="0" t="s">
        <v>1953</v>
      </c>
      <c r="H860" s="0" t="s">
        <v>5631</v>
      </c>
      <c r="I860" s="0" t="s">
        <v>8479</v>
      </c>
      <c r="K860" s="0" t="s">
        <v>36</v>
      </c>
      <c r="L860" s="0" t="s">
        <v>8472</v>
      </c>
    </row>
    <row r="861" customFormat="false" ht="17.15" hidden="false" customHeight="false" outlineLevel="0" collapsed="false">
      <c r="A861" s="0" t="s">
        <v>8480</v>
      </c>
      <c r="B861" s="0" t="s">
        <v>8481</v>
      </c>
      <c r="C861" s="0" t="s">
        <v>8482</v>
      </c>
      <c r="D861" s="0" t="s">
        <v>113</v>
      </c>
      <c r="E861" s="5" t="s">
        <v>77</v>
      </c>
      <c r="F861" s="0" t="s">
        <v>8483</v>
      </c>
      <c r="G861" s="0" t="s">
        <v>1953</v>
      </c>
      <c r="H861" s="0" t="s">
        <v>5614</v>
      </c>
      <c r="I861" s="5" t="s">
        <v>8484</v>
      </c>
      <c r="K861" s="0" t="s">
        <v>36</v>
      </c>
      <c r="L861" s="0" t="s">
        <v>8485</v>
      </c>
    </row>
    <row r="862" customFormat="false" ht="17.15" hidden="false" customHeight="false" outlineLevel="0" collapsed="false">
      <c r="A862" s="0" t="s">
        <v>8486</v>
      </c>
      <c r="B862" s="0" t="s">
        <v>8481</v>
      </c>
      <c r="C862" s="0" t="s">
        <v>8487</v>
      </c>
      <c r="D862" s="0" t="s">
        <v>6330</v>
      </c>
      <c r="E862" s="0" t="s">
        <v>112</v>
      </c>
      <c r="F862" s="0" t="s">
        <v>8420</v>
      </c>
      <c r="G862" s="0" t="s">
        <v>1953</v>
      </c>
      <c r="H862" s="0" t="s">
        <v>5614</v>
      </c>
      <c r="I862" s="5" t="s">
        <v>8488</v>
      </c>
      <c r="K862" s="0" t="s">
        <v>36</v>
      </c>
      <c r="L862" s="0" t="s">
        <v>8489</v>
      </c>
    </row>
    <row r="863" customFormat="false" ht="17.15" hidden="false" customHeight="false" outlineLevel="0" collapsed="false">
      <c r="A863" s="0" t="s">
        <v>8490</v>
      </c>
      <c r="B863" s="0" t="s">
        <v>8491</v>
      </c>
      <c r="C863" s="0" t="s">
        <v>8492</v>
      </c>
      <c r="D863" s="0" t="s">
        <v>8493</v>
      </c>
      <c r="E863" s="5" t="s">
        <v>77</v>
      </c>
      <c r="G863" s="0" t="s">
        <v>119</v>
      </c>
      <c r="H863" s="0" t="s">
        <v>5592</v>
      </c>
      <c r="I863" s="5" t="s">
        <v>8494</v>
      </c>
      <c r="K863" s="0" t="s">
        <v>36</v>
      </c>
      <c r="L863" s="0" t="s">
        <v>8495</v>
      </c>
    </row>
    <row r="864" customFormat="false" ht="17.15" hidden="false" customHeight="false" outlineLevel="0" collapsed="false">
      <c r="A864" s="0" t="s">
        <v>8496</v>
      </c>
      <c r="B864" s="0" t="s">
        <v>7009</v>
      </c>
      <c r="C864" s="0" t="s">
        <v>8497</v>
      </c>
      <c r="D864" s="0" t="s">
        <v>113</v>
      </c>
      <c r="E864" s="5" t="s">
        <v>77</v>
      </c>
      <c r="F864" s="0" t="s">
        <v>8498</v>
      </c>
      <c r="G864" s="0" t="s">
        <v>142</v>
      </c>
      <c r="H864" s="0" t="s">
        <v>5566</v>
      </c>
      <c r="I864" s="0" t="s">
        <v>8499</v>
      </c>
      <c r="K864" s="0" t="s">
        <v>36</v>
      </c>
      <c r="L864" s="0" t="s">
        <v>8500</v>
      </c>
    </row>
    <row r="865" customFormat="false" ht="17.15" hidden="false" customHeight="false" outlineLevel="0" collapsed="false">
      <c r="A865" s="0" t="s">
        <v>8501</v>
      </c>
      <c r="B865" s="0" t="s">
        <v>7009</v>
      </c>
      <c r="C865" s="0" t="s">
        <v>8502</v>
      </c>
      <c r="D865" s="0" t="s">
        <v>113</v>
      </c>
      <c r="E865" s="5" t="s">
        <v>77</v>
      </c>
      <c r="F865" s="0" t="s">
        <v>5772</v>
      </c>
      <c r="G865" s="0" t="s">
        <v>119</v>
      </c>
      <c r="H865" s="0" t="s">
        <v>5609</v>
      </c>
      <c r="I865" s="5" t="s">
        <v>6338</v>
      </c>
      <c r="K865" s="0" t="s">
        <v>36</v>
      </c>
      <c r="L865" s="0" t="s">
        <v>8503</v>
      </c>
    </row>
    <row r="866" customFormat="false" ht="17.15" hidden="false" customHeight="false" outlineLevel="0" collapsed="false">
      <c r="A866" s="0" t="s">
        <v>8504</v>
      </c>
      <c r="B866" s="0" t="s">
        <v>7009</v>
      </c>
      <c r="C866" s="0" t="s">
        <v>8505</v>
      </c>
      <c r="D866" s="0" t="s">
        <v>113</v>
      </c>
      <c r="E866" s="5" t="s">
        <v>77</v>
      </c>
      <c r="F866" s="0" t="s">
        <v>6216</v>
      </c>
      <c r="G866" s="0" t="s">
        <v>119</v>
      </c>
      <c r="H866" s="0" t="s">
        <v>5566</v>
      </c>
      <c r="I866" s="5" t="s">
        <v>8506</v>
      </c>
      <c r="K866" s="0" t="s">
        <v>36</v>
      </c>
      <c r="L866" s="0" t="s">
        <v>8507</v>
      </c>
    </row>
    <row r="867" customFormat="false" ht="17.15" hidden="false" customHeight="false" outlineLevel="0" collapsed="false">
      <c r="A867" s="0" t="s">
        <v>8508</v>
      </c>
      <c r="B867" s="0" t="s">
        <v>7009</v>
      </c>
      <c r="C867" s="0" t="s">
        <v>8509</v>
      </c>
      <c r="D867" s="0" t="s">
        <v>113</v>
      </c>
      <c r="E867" s="5" t="s">
        <v>77</v>
      </c>
      <c r="F867" s="0" t="s">
        <v>4676</v>
      </c>
      <c r="G867" s="0" t="s">
        <v>142</v>
      </c>
      <c r="H867" s="0" t="s">
        <v>5566</v>
      </c>
      <c r="I867" s="0" t="s">
        <v>8510</v>
      </c>
      <c r="K867" s="0" t="s">
        <v>36</v>
      </c>
      <c r="L867" s="0" t="s">
        <v>8511</v>
      </c>
    </row>
    <row r="868" customFormat="false" ht="17.15" hidden="false" customHeight="false" outlineLevel="0" collapsed="false">
      <c r="A868" s="0" t="s">
        <v>8512</v>
      </c>
      <c r="B868" s="0" t="s">
        <v>7009</v>
      </c>
      <c r="C868" s="0" t="s">
        <v>8513</v>
      </c>
      <c r="D868" s="0" t="s">
        <v>113</v>
      </c>
      <c r="E868" s="5" t="s">
        <v>77</v>
      </c>
      <c r="F868" s="0" t="s">
        <v>8514</v>
      </c>
      <c r="G868" s="0" t="s">
        <v>142</v>
      </c>
      <c r="H868" s="0" t="s">
        <v>5566</v>
      </c>
      <c r="I868" s="5" t="s">
        <v>8515</v>
      </c>
      <c r="K868" s="0" t="s">
        <v>36</v>
      </c>
      <c r="L868" s="0" t="s">
        <v>8516</v>
      </c>
    </row>
    <row r="869" customFormat="false" ht="17.15" hidden="false" customHeight="false" outlineLevel="0" collapsed="false">
      <c r="A869" s="0" t="s">
        <v>8517</v>
      </c>
      <c r="B869" s="0" t="s">
        <v>8518</v>
      </c>
      <c r="C869" s="0" t="s">
        <v>8519</v>
      </c>
      <c r="D869" s="0" t="s">
        <v>4820</v>
      </c>
      <c r="E869" s="0" t="s">
        <v>112</v>
      </c>
      <c r="F869" s="0" t="s">
        <v>8420</v>
      </c>
      <c r="G869" s="0" t="s">
        <v>1953</v>
      </c>
      <c r="H869" s="0" t="s">
        <v>5598</v>
      </c>
      <c r="I869" s="0" t="s">
        <v>8520</v>
      </c>
      <c r="K869" s="0" t="s">
        <v>36</v>
      </c>
      <c r="L869" s="0" t="s">
        <v>8521</v>
      </c>
    </row>
    <row r="870" customFormat="false" ht="17.15" hidden="false" customHeight="false" outlineLevel="0" collapsed="false">
      <c r="A870" s="0" t="s">
        <v>8522</v>
      </c>
      <c r="B870" s="0" t="s">
        <v>8523</v>
      </c>
      <c r="C870" s="0" t="s">
        <v>8524</v>
      </c>
      <c r="D870" s="0" t="s">
        <v>6986</v>
      </c>
      <c r="E870" s="0" t="s">
        <v>112</v>
      </c>
      <c r="F870" s="0" t="s">
        <v>5169</v>
      </c>
      <c r="G870" s="0" t="s">
        <v>1899</v>
      </c>
      <c r="H870" s="0" t="s">
        <v>5598</v>
      </c>
      <c r="I870" s="0" t="s">
        <v>8525</v>
      </c>
      <c r="K870" s="0" t="s">
        <v>36</v>
      </c>
      <c r="L870" s="0" t="s">
        <v>6988</v>
      </c>
    </row>
    <row r="871" customFormat="false" ht="17.15" hidden="false" customHeight="false" outlineLevel="0" collapsed="false">
      <c r="A871" s="0" t="s">
        <v>8526</v>
      </c>
      <c r="B871" s="0" t="s">
        <v>8523</v>
      </c>
      <c r="C871" s="0" t="s">
        <v>8527</v>
      </c>
      <c r="D871" s="0" t="s">
        <v>4568</v>
      </c>
      <c r="E871" s="0" t="s">
        <v>112</v>
      </c>
      <c r="F871" s="0" t="s">
        <v>5169</v>
      </c>
      <c r="G871" s="0" t="s">
        <v>1899</v>
      </c>
      <c r="H871" s="0" t="s">
        <v>5598</v>
      </c>
      <c r="I871" s="0" t="s">
        <v>8528</v>
      </c>
      <c r="K871" s="0" t="s">
        <v>36</v>
      </c>
      <c r="L871" s="0" t="s">
        <v>6988</v>
      </c>
    </row>
    <row r="872" customFormat="false" ht="17.15" hidden="false" customHeight="false" outlineLevel="0" collapsed="false">
      <c r="A872" s="0" t="s">
        <v>8529</v>
      </c>
      <c r="B872" s="0" t="s">
        <v>8523</v>
      </c>
      <c r="C872" s="0" t="s">
        <v>8530</v>
      </c>
      <c r="D872" s="0" t="s">
        <v>113</v>
      </c>
      <c r="E872" s="5" t="s">
        <v>77</v>
      </c>
      <c r="F872" s="0" t="s">
        <v>4811</v>
      </c>
      <c r="G872" s="0" t="s">
        <v>1953</v>
      </c>
      <c r="H872" s="0" t="s">
        <v>5631</v>
      </c>
      <c r="I872" s="5" t="s">
        <v>8531</v>
      </c>
      <c r="K872" s="0" t="s">
        <v>36</v>
      </c>
      <c r="L872" s="0" t="s">
        <v>8532</v>
      </c>
    </row>
    <row r="873" customFormat="false" ht="17.15" hidden="false" customHeight="false" outlineLevel="0" collapsed="false">
      <c r="A873" s="0" t="s">
        <v>8533</v>
      </c>
      <c r="B873" s="0" t="s">
        <v>8523</v>
      </c>
      <c r="C873" s="0" t="s">
        <v>8534</v>
      </c>
      <c r="D873" s="0" t="s">
        <v>113</v>
      </c>
      <c r="E873" s="5" t="s">
        <v>77</v>
      </c>
      <c r="F873" s="0" t="s">
        <v>4811</v>
      </c>
      <c r="G873" s="0" t="s">
        <v>1953</v>
      </c>
      <c r="H873" s="0" t="s">
        <v>5566</v>
      </c>
      <c r="I873" s="0" t="s">
        <v>8535</v>
      </c>
      <c r="K873" s="0" t="s">
        <v>36</v>
      </c>
      <c r="L873" s="0" t="s">
        <v>8532</v>
      </c>
    </row>
    <row r="874" customFormat="false" ht="17.15" hidden="false" customHeight="false" outlineLevel="0" collapsed="false">
      <c r="A874" s="0" t="s">
        <v>8536</v>
      </c>
      <c r="B874" s="0" t="s">
        <v>8523</v>
      </c>
      <c r="C874" s="0" t="s">
        <v>8537</v>
      </c>
      <c r="D874" s="0" t="s">
        <v>113</v>
      </c>
      <c r="E874" s="5" t="s">
        <v>77</v>
      </c>
      <c r="F874" s="0" t="s">
        <v>8420</v>
      </c>
      <c r="G874" s="0" t="s">
        <v>1953</v>
      </c>
      <c r="H874" s="0" t="s">
        <v>5614</v>
      </c>
      <c r="I874" s="5" t="s">
        <v>8538</v>
      </c>
      <c r="K874" s="0" t="s">
        <v>36</v>
      </c>
      <c r="L874" s="0" t="s">
        <v>8521</v>
      </c>
    </row>
    <row r="875" customFormat="false" ht="17.15" hidden="false" customHeight="false" outlineLevel="0" collapsed="false">
      <c r="A875" s="0" t="s">
        <v>8539</v>
      </c>
      <c r="B875" s="0" t="s">
        <v>8523</v>
      </c>
      <c r="C875" s="0" t="s">
        <v>8540</v>
      </c>
      <c r="D875" s="0" t="s">
        <v>113</v>
      </c>
      <c r="E875" s="5" t="s">
        <v>77</v>
      </c>
      <c r="F875" s="5" t="s">
        <v>6367</v>
      </c>
      <c r="G875" s="0" t="s">
        <v>1953</v>
      </c>
      <c r="H875" s="0" t="s">
        <v>5609</v>
      </c>
      <c r="I875" s="5" t="s">
        <v>5610</v>
      </c>
      <c r="K875" s="0" t="s">
        <v>36</v>
      </c>
      <c r="L875" s="0" t="s">
        <v>8541</v>
      </c>
    </row>
    <row r="876" customFormat="false" ht="17.15" hidden="false" customHeight="false" outlineLevel="0" collapsed="false">
      <c r="A876" s="0" t="s">
        <v>8542</v>
      </c>
      <c r="B876" s="0" t="s">
        <v>8523</v>
      </c>
      <c r="C876" s="0" t="s">
        <v>8543</v>
      </c>
      <c r="D876" s="0" t="s">
        <v>8544</v>
      </c>
      <c r="E876" s="5" t="s">
        <v>77</v>
      </c>
      <c r="F876" s="0" t="s">
        <v>8545</v>
      </c>
      <c r="G876" s="0" t="s">
        <v>1953</v>
      </c>
      <c r="H876" s="0" t="s">
        <v>5598</v>
      </c>
      <c r="I876" s="0" t="s">
        <v>8546</v>
      </c>
      <c r="K876" s="0" t="s">
        <v>36</v>
      </c>
      <c r="L876" s="0" t="s">
        <v>8547</v>
      </c>
    </row>
    <row r="877" customFormat="false" ht="17.15" hidden="false" customHeight="false" outlineLevel="0" collapsed="false">
      <c r="A877" s="0" t="s">
        <v>8548</v>
      </c>
      <c r="B877" s="0" t="s">
        <v>8523</v>
      </c>
      <c r="C877" s="0" t="s">
        <v>8549</v>
      </c>
      <c r="D877" s="0" t="s">
        <v>113</v>
      </c>
      <c r="E877" s="5" t="s">
        <v>77</v>
      </c>
      <c r="F877" s="0" t="s">
        <v>4713</v>
      </c>
      <c r="G877" s="0" t="s">
        <v>1953</v>
      </c>
      <c r="H877" s="0" t="s">
        <v>5566</v>
      </c>
      <c r="I877" s="0" t="s">
        <v>8550</v>
      </c>
      <c r="K877" s="0" t="s">
        <v>36</v>
      </c>
      <c r="L877" s="0" t="s">
        <v>8551</v>
      </c>
    </row>
    <row r="878" customFormat="false" ht="17.15" hidden="false" customHeight="false" outlineLevel="0" collapsed="false">
      <c r="A878" s="0" t="s">
        <v>8552</v>
      </c>
      <c r="B878" s="0" t="s">
        <v>8553</v>
      </c>
      <c r="C878" s="0" t="s">
        <v>8554</v>
      </c>
      <c r="D878" s="0" t="s">
        <v>113</v>
      </c>
      <c r="E878" s="5" t="s">
        <v>77</v>
      </c>
      <c r="F878" s="0" t="s">
        <v>4903</v>
      </c>
      <c r="G878" s="0" t="s">
        <v>1953</v>
      </c>
      <c r="H878" s="0" t="s">
        <v>5609</v>
      </c>
      <c r="I878" s="5" t="s">
        <v>8555</v>
      </c>
      <c r="K878" s="0" t="s">
        <v>36</v>
      </c>
      <c r="L878" s="0" t="s">
        <v>8556</v>
      </c>
    </row>
    <row r="879" customFormat="false" ht="17.15" hidden="false" customHeight="false" outlineLevel="0" collapsed="false">
      <c r="A879" s="0" t="s">
        <v>8557</v>
      </c>
      <c r="B879" s="0" t="s">
        <v>8553</v>
      </c>
      <c r="C879" s="0" t="s">
        <v>8558</v>
      </c>
      <c r="D879" s="0" t="s">
        <v>113</v>
      </c>
      <c r="E879" s="5" t="s">
        <v>77</v>
      </c>
      <c r="F879" s="0" t="s">
        <v>8559</v>
      </c>
      <c r="G879" s="0" t="s">
        <v>1953</v>
      </c>
      <c r="H879" s="0" t="s">
        <v>5598</v>
      </c>
      <c r="I879" s="0" t="s">
        <v>8560</v>
      </c>
      <c r="K879" s="0" t="s">
        <v>36</v>
      </c>
      <c r="L879" s="0" t="s">
        <v>8561</v>
      </c>
    </row>
    <row r="880" customFormat="false" ht="17.15" hidden="false" customHeight="false" outlineLevel="0" collapsed="false">
      <c r="A880" s="0" t="s">
        <v>8562</v>
      </c>
      <c r="B880" s="0" t="s">
        <v>8553</v>
      </c>
      <c r="C880" s="0" t="s">
        <v>8563</v>
      </c>
      <c r="D880" s="0" t="s">
        <v>113</v>
      </c>
      <c r="E880" s="5" t="s">
        <v>77</v>
      </c>
      <c r="F880" s="0" t="s">
        <v>4903</v>
      </c>
      <c r="G880" s="0" t="s">
        <v>1953</v>
      </c>
      <c r="H880" s="0" t="s">
        <v>5609</v>
      </c>
      <c r="I880" s="5" t="s">
        <v>8555</v>
      </c>
      <c r="K880" s="0" t="s">
        <v>36</v>
      </c>
      <c r="L880" s="0" t="s">
        <v>8556</v>
      </c>
    </row>
    <row r="881" customFormat="false" ht="17.15" hidden="false" customHeight="false" outlineLevel="0" collapsed="false">
      <c r="A881" s="0" t="s">
        <v>8564</v>
      </c>
      <c r="B881" s="0" t="s">
        <v>8553</v>
      </c>
      <c r="C881" s="0" t="s">
        <v>8565</v>
      </c>
      <c r="D881" s="0" t="s">
        <v>6901</v>
      </c>
      <c r="E881" s="5" t="s">
        <v>77</v>
      </c>
      <c r="F881" s="0" t="s">
        <v>4374</v>
      </c>
      <c r="G881" s="0" t="s">
        <v>4588</v>
      </c>
      <c r="H881" s="0" t="s">
        <v>5614</v>
      </c>
      <c r="I881" s="0" t="s">
        <v>8566</v>
      </c>
      <c r="K881" s="0" t="s">
        <v>36</v>
      </c>
      <c r="L881" s="0" t="s">
        <v>8567</v>
      </c>
    </row>
    <row r="882" customFormat="false" ht="17.15" hidden="false" customHeight="false" outlineLevel="0" collapsed="false">
      <c r="A882" s="0" t="s">
        <v>8568</v>
      </c>
      <c r="B882" s="5" t="s">
        <v>8569</v>
      </c>
      <c r="C882" s="5" t="s">
        <v>8570</v>
      </c>
      <c r="D882" s="0" t="s">
        <v>113</v>
      </c>
      <c r="E882" s="5" t="s">
        <v>77</v>
      </c>
      <c r="F882" s="0" t="s">
        <v>8571</v>
      </c>
      <c r="G882" s="0" t="s">
        <v>1899</v>
      </c>
      <c r="H882" s="0" t="s">
        <v>5566</v>
      </c>
      <c r="I882" s="0" t="s">
        <v>8572</v>
      </c>
      <c r="K882" s="0" t="s">
        <v>36</v>
      </c>
      <c r="L882" s="0" t="s">
        <v>8573</v>
      </c>
    </row>
    <row r="883" customFormat="false" ht="17.15" hidden="false" customHeight="false" outlineLevel="0" collapsed="false">
      <c r="A883" s="0" t="s">
        <v>8574</v>
      </c>
      <c r="B883" s="5" t="s">
        <v>8569</v>
      </c>
      <c r="C883" s="5" t="s">
        <v>8570</v>
      </c>
      <c r="D883" s="0" t="s">
        <v>8575</v>
      </c>
      <c r="E883" s="5" t="s">
        <v>77</v>
      </c>
      <c r="F883" s="0" t="s">
        <v>8571</v>
      </c>
      <c r="G883" s="0" t="s">
        <v>1909</v>
      </c>
      <c r="H883" s="0" t="s">
        <v>5614</v>
      </c>
      <c r="I883" s="5" t="s">
        <v>8576</v>
      </c>
      <c r="K883" s="0" t="s">
        <v>36</v>
      </c>
      <c r="L883" s="0" t="s">
        <v>8573</v>
      </c>
    </row>
    <row r="884" customFormat="false" ht="17.15" hidden="false" customHeight="false" outlineLevel="0" collapsed="false">
      <c r="A884" s="0" t="s">
        <v>8577</v>
      </c>
      <c r="B884" s="5" t="s">
        <v>8569</v>
      </c>
      <c r="C884" s="5" t="s">
        <v>8570</v>
      </c>
      <c r="D884" s="0" t="s">
        <v>113</v>
      </c>
      <c r="E884" s="5" t="s">
        <v>77</v>
      </c>
      <c r="F884" s="0" t="s">
        <v>2333</v>
      </c>
      <c r="G884" s="0" t="s">
        <v>1953</v>
      </c>
      <c r="H884" s="0" t="s">
        <v>5609</v>
      </c>
      <c r="I884" s="5" t="s">
        <v>8578</v>
      </c>
      <c r="K884" s="0" t="s">
        <v>36</v>
      </c>
      <c r="L884" s="0" t="s">
        <v>8579</v>
      </c>
    </row>
    <row r="885" customFormat="false" ht="17.15" hidden="false" customHeight="false" outlineLevel="0" collapsed="false">
      <c r="A885" s="0" t="s">
        <v>8580</v>
      </c>
      <c r="B885" s="5" t="s">
        <v>8569</v>
      </c>
      <c r="C885" s="5" t="s">
        <v>8581</v>
      </c>
      <c r="D885" s="0" t="s">
        <v>113</v>
      </c>
      <c r="E885" s="5" t="s">
        <v>77</v>
      </c>
      <c r="F885" s="0" t="s">
        <v>8571</v>
      </c>
      <c r="G885" s="0" t="s">
        <v>1953</v>
      </c>
      <c r="H885" s="0" t="s">
        <v>5609</v>
      </c>
      <c r="I885" s="5" t="s">
        <v>5610</v>
      </c>
      <c r="K885" s="0" t="s">
        <v>36</v>
      </c>
      <c r="L885" s="0" t="s">
        <v>8582</v>
      </c>
    </row>
    <row r="886" customFormat="false" ht="17.15" hidden="false" customHeight="false" outlineLevel="0" collapsed="false">
      <c r="A886" s="0" t="s">
        <v>8583</v>
      </c>
      <c r="B886" s="5" t="s">
        <v>8569</v>
      </c>
      <c r="C886" s="5" t="s">
        <v>8584</v>
      </c>
      <c r="D886" s="0" t="s">
        <v>113</v>
      </c>
      <c r="E886" s="5" t="s">
        <v>77</v>
      </c>
      <c r="F886" s="0" t="s">
        <v>2333</v>
      </c>
      <c r="G886" s="0" t="s">
        <v>1953</v>
      </c>
      <c r="H886" s="0" t="s">
        <v>5609</v>
      </c>
      <c r="I886" s="5" t="s">
        <v>8578</v>
      </c>
      <c r="K886" s="0" t="s">
        <v>36</v>
      </c>
      <c r="L886" s="0" t="s">
        <v>8579</v>
      </c>
    </row>
    <row r="887" customFormat="false" ht="17.15" hidden="false" customHeight="false" outlineLevel="0" collapsed="false">
      <c r="A887" s="0" t="s">
        <v>8585</v>
      </c>
      <c r="B887" s="5" t="s">
        <v>8586</v>
      </c>
      <c r="C887" s="5" t="s">
        <v>8587</v>
      </c>
      <c r="D887" s="0" t="s">
        <v>8588</v>
      </c>
      <c r="E887" s="0" t="s">
        <v>112</v>
      </c>
      <c r="F887" s="0" t="s">
        <v>8589</v>
      </c>
      <c r="G887" s="0" t="s">
        <v>1899</v>
      </c>
      <c r="H887" s="0" t="s">
        <v>5566</v>
      </c>
      <c r="I887" s="0" t="s">
        <v>8590</v>
      </c>
      <c r="K887" s="0" t="s">
        <v>36</v>
      </c>
      <c r="L887" s="0" t="s">
        <v>8591</v>
      </c>
    </row>
    <row r="888" customFormat="false" ht="17.15" hidden="false" customHeight="false" outlineLevel="0" collapsed="false">
      <c r="A888" s="0" t="s">
        <v>8592</v>
      </c>
      <c r="B888" s="5" t="s">
        <v>8593</v>
      </c>
      <c r="C888" s="5" t="s">
        <v>8594</v>
      </c>
      <c r="D888" s="0" t="s">
        <v>5889</v>
      </c>
      <c r="E888" s="5" t="s">
        <v>77</v>
      </c>
      <c r="F888" s="0" t="s">
        <v>8595</v>
      </c>
      <c r="G888" s="0" t="s">
        <v>1899</v>
      </c>
      <c r="H888" s="0" t="s">
        <v>5566</v>
      </c>
      <c r="I888" s="0" t="s">
        <v>8596</v>
      </c>
      <c r="K888" s="0" t="s">
        <v>36</v>
      </c>
      <c r="L888" s="0" t="s">
        <v>8597</v>
      </c>
    </row>
    <row r="889" customFormat="false" ht="17.15" hidden="false" customHeight="false" outlineLevel="0" collapsed="false">
      <c r="A889" s="0" t="s">
        <v>8598</v>
      </c>
      <c r="B889" s="5" t="s">
        <v>8593</v>
      </c>
      <c r="C889" s="5" t="s">
        <v>8599</v>
      </c>
      <c r="D889" s="0" t="s">
        <v>113</v>
      </c>
      <c r="E889" s="5" t="s">
        <v>77</v>
      </c>
      <c r="F889" s="0" t="s">
        <v>8600</v>
      </c>
      <c r="G889" s="0" t="s">
        <v>1899</v>
      </c>
      <c r="H889" s="0" t="s">
        <v>5566</v>
      </c>
      <c r="I889" s="5" t="s">
        <v>8601</v>
      </c>
      <c r="K889" s="0" t="s">
        <v>36</v>
      </c>
      <c r="L889" s="0" t="s">
        <v>8602</v>
      </c>
    </row>
    <row r="890" customFormat="false" ht="17.15" hidden="false" customHeight="false" outlineLevel="0" collapsed="false">
      <c r="A890" s="0" t="s">
        <v>8603</v>
      </c>
      <c r="B890" s="5" t="s">
        <v>8604</v>
      </c>
      <c r="C890" s="5" t="s">
        <v>8605</v>
      </c>
      <c r="D890" s="0" t="s">
        <v>5572</v>
      </c>
      <c r="E890" s="5" t="s">
        <v>77</v>
      </c>
      <c r="F890" s="0" t="s">
        <v>7584</v>
      </c>
      <c r="G890" s="0" t="s">
        <v>1909</v>
      </c>
      <c r="H890" s="0" t="s">
        <v>5566</v>
      </c>
      <c r="I890" s="5" t="s">
        <v>8606</v>
      </c>
      <c r="K890" s="0" t="s">
        <v>36</v>
      </c>
      <c r="L890" s="0" t="s">
        <v>8607</v>
      </c>
    </row>
    <row r="891" customFormat="false" ht="17.15" hidden="false" customHeight="false" outlineLevel="0" collapsed="false">
      <c r="A891" s="0" t="s">
        <v>8608</v>
      </c>
      <c r="B891" s="5" t="s">
        <v>8609</v>
      </c>
      <c r="C891" s="5" t="s">
        <v>8610</v>
      </c>
      <c r="D891" s="0" t="s">
        <v>5690</v>
      </c>
      <c r="E891" s="0" t="s">
        <v>112</v>
      </c>
      <c r="F891" s="0" t="s">
        <v>4811</v>
      </c>
      <c r="G891" s="0" t="s">
        <v>1953</v>
      </c>
      <c r="H891" s="0" t="s">
        <v>5631</v>
      </c>
      <c r="I891" s="0" t="s">
        <v>8611</v>
      </c>
      <c r="K891" s="0" t="s">
        <v>36</v>
      </c>
      <c r="L891" s="0" t="s">
        <v>8612</v>
      </c>
    </row>
    <row r="892" customFormat="false" ht="17.15" hidden="false" customHeight="false" outlineLevel="0" collapsed="false">
      <c r="A892" s="0" t="s">
        <v>8613</v>
      </c>
      <c r="B892" s="5" t="s">
        <v>8609</v>
      </c>
      <c r="C892" s="5" t="s">
        <v>8614</v>
      </c>
      <c r="D892" s="0" t="s">
        <v>4883</v>
      </c>
      <c r="E892" s="0" t="s">
        <v>112</v>
      </c>
      <c r="F892" s="0" t="s">
        <v>4811</v>
      </c>
      <c r="G892" s="0" t="s">
        <v>1953</v>
      </c>
      <c r="H892" s="0" t="s">
        <v>5631</v>
      </c>
      <c r="I892" s="0" t="s">
        <v>8615</v>
      </c>
      <c r="K892" s="0" t="s">
        <v>36</v>
      </c>
      <c r="L892" s="0" t="s">
        <v>8612</v>
      </c>
    </row>
    <row r="893" customFormat="false" ht="17.15" hidden="false" customHeight="false" outlineLevel="0" collapsed="false">
      <c r="A893" s="0" t="s">
        <v>8616</v>
      </c>
      <c r="B893" s="5" t="s">
        <v>8609</v>
      </c>
      <c r="C893" s="5" t="s">
        <v>8617</v>
      </c>
      <c r="D893" s="0" t="s">
        <v>4883</v>
      </c>
      <c r="E893" s="0" t="s">
        <v>112</v>
      </c>
      <c r="F893" s="0" t="s">
        <v>4811</v>
      </c>
      <c r="G893" s="0" t="s">
        <v>1953</v>
      </c>
      <c r="H893" s="0" t="s">
        <v>5631</v>
      </c>
      <c r="I893" s="0" t="s">
        <v>8618</v>
      </c>
      <c r="K893" s="0" t="s">
        <v>36</v>
      </c>
      <c r="L893" s="0" t="s">
        <v>8612</v>
      </c>
    </row>
    <row r="894" customFormat="false" ht="17.15" hidden="false" customHeight="false" outlineLevel="0" collapsed="false">
      <c r="A894" s="0" t="s">
        <v>8619</v>
      </c>
      <c r="B894" s="0" t="s">
        <v>8620</v>
      </c>
      <c r="C894" s="0" t="s">
        <v>8621</v>
      </c>
      <c r="D894" s="0" t="s">
        <v>6036</v>
      </c>
      <c r="E894" s="5" t="s">
        <v>77</v>
      </c>
      <c r="F894" s="0" t="s">
        <v>8622</v>
      </c>
      <c r="G894" s="0" t="s">
        <v>1953</v>
      </c>
      <c r="H894" s="0" t="s">
        <v>5631</v>
      </c>
      <c r="I894" s="0" t="s">
        <v>8623</v>
      </c>
      <c r="K894" s="0" t="s">
        <v>36</v>
      </c>
      <c r="L894" s="0" t="s">
        <v>8624</v>
      </c>
    </row>
    <row r="895" customFormat="false" ht="17.15" hidden="false" customHeight="false" outlineLevel="0" collapsed="false">
      <c r="A895" s="0" t="s">
        <v>8625</v>
      </c>
      <c r="B895" s="5" t="s">
        <v>8626</v>
      </c>
      <c r="C895" s="5" t="s">
        <v>8627</v>
      </c>
      <c r="D895" s="0" t="s">
        <v>113</v>
      </c>
      <c r="E895" s="5" t="s">
        <v>77</v>
      </c>
      <c r="F895" s="0" t="s">
        <v>6796</v>
      </c>
      <c r="G895" s="0" t="s">
        <v>1953</v>
      </c>
      <c r="H895" s="0" t="s">
        <v>5631</v>
      </c>
      <c r="I895" s="5" t="s">
        <v>8628</v>
      </c>
      <c r="K895" s="0" t="s">
        <v>36</v>
      </c>
      <c r="L895" s="0" t="s">
        <v>8629</v>
      </c>
    </row>
    <row r="896" customFormat="false" ht="17.15" hidden="false" customHeight="false" outlineLevel="0" collapsed="false">
      <c r="A896" s="0" t="s">
        <v>8630</v>
      </c>
      <c r="B896" s="5" t="s">
        <v>8626</v>
      </c>
      <c r="C896" s="5" t="s">
        <v>8631</v>
      </c>
      <c r="D896" s="0" t="s">
        <v>113</v>
      </c>
      <c r="E896" s="5" t="s">
        <v>77</v>
      </c>
      <c r="F896" s="0" t="s">
        <v>8420</v>
      </c>
      <c r="G896" s="0" t="s">
        <v>1953</v>
      </c>
      <c r="H896" s="0" t="s">
        <v>5631</v>
      </c>
      <c r="I896" s="5" t="s">
        <v>8632</v>
      </c>
      <c r="K896" s="0" t="s">
        <v>36</v>
      </c>
      <c r="L896" s="0" t="s">
        <v>8633</v>
      </c>
    </row>
    <row r="897" customFormat="false" ht="17.15" hidden="false" customHeight="false" outlineLevel="0" collapsed="false">
      <c r="A897" s="0" t="s">
        <v>8634</v>
      </c>
      <c r="B897" s="0" t="s">
        <v>8635</v>
      </c>
      <c r="C897" s="0" t="s">
        <v>8636</v>
      </c>
      <c r="D897" s="0" t="s">
        <v>113</v>
      </c>
      <c r="E897" s="5" t="s">
        <v>77</v>
      </c>
      <c r="F897" s="0" t="s">
        <v>8637</v>
      </c>
      <c r="G897" s="0" t="s">
        <v>1953</v>
      </c>
      <c r="H897" s="0" t="s">
        <v>5566</v>
      </c>
      <c r="I897" s="5" t="s">
        <v>8638</v>
      </c>
      <c r="K897" s="0" t="s">
        <v>36</v>
      </c>
      <c r="L897" s="0" t="s">
        <v>8639</v>
      </c>
    </row>
    <row r="898" customFormat="false" ht="17.15" hidden="false" customHeight="false" outlineLevel="0" collapsed="false">
      <c r="A898" s="0" t="s">
        <v>8640</v>
      </c>
      <c r="B898" s="0" t="s">
        <v>8635</v>
      </c>
      <c r="C898" s="0" t="s">
        <v>8641</v>
      </c>
      <c r="D898" s="0" t="s">
        <v>113</v>
      </c>
      <c r="E898" s="5" t="s">
        <v>77</v>
      </c>
      <c r="F898" s="0" t="s">
        <v>6593</v>
      </c>
      <c r="G898" s="0" t="s">
        <v>1953</v>
      </c>
      <c r="H898" s="0" t="s">
        <v>5566</v>
      </c>
      <c r="I898" s="5" t="s">
        <v>8642</v>
      </c>
      <c r="K898" s="0" t="s">
        <v>36</v>
      </c>
      <c r="L898" s="0" t="s">
        <v>8643</v>
      </c>
    </row>
    <row r="899" customFormat="false" ht="17.15" hidden="false" customHeight="false" outlineLevel="0" collapsed="false">
      <c r="A899" s="0" t="s">
        <v>8644</v>
      </c>
      <c r="B899" s="5" t="s">
        <v>8645</v>
      </c>
      <c r="C899" s="5" t="s">
        <v>8646</v>
      </c>
      <c r="D899" s="0" t="s">
        <v>7365</v>
      </c>
      <c r="E899" s="5" t="s">
        <v>77</v>
      </c>
      <c r="F899" s="0" t="s">
        <v>8647</v>
      </c>
      <c r="G899" s="0" t="s">
        <v>1953</v>
      </c>
      <c r="H899" s="0" t="s">
        <v>5598</v>
      </c>
      <c r="I899" s="0" t="s">
        <v>8648</v>
      </c>
      <c r="K899" s="0" t="s">
        <v>36</v>
      </c>
      <c r="L899" s="0" t="s">
        <v>8649</v>
      </c>
    </row>
    <row r="900" customFormat="false" ht="17.15" hidden="false" customHeight="false" outlineLevel="0" collapsed="false">
      <c r="A900" s="0" t="s">
        <v>8650</v>
      </c>
      <c r="B900" s="0" t="s">
        <v>8651</v>
      </c>
      <c r="C900" s="0" t="s">
        <v>8652</v>
      </c>
      <c r="D900" s="0" t="s">
        <v>5903</v>
      </c>
      <c r="E900" s="0" t="s">
        <v>112</v>
      </c>
      <c r="F900" s="0" t="s">
        <v>8653</v>
      </c>
      <c r="G900" s="0" t="s">
        <v>1953</v>
      </c>
      <c r="H900" s="0" t="s">
        <v>5598</v>
      </c>
      <c r="I900" s="5" t="s">
        <v>8654</v>
      </c>
      <c r="K900" s="0" t="s">
        <v>36</v>
      </c>
      <c r="L900" s="0" t="s">
        <v>8655</v>
      </c>
    </row>
    <row r="901" customFormat="false" ht="17.15" hidden="false" customHeight="false" outlineLevel="0" collapsed="false">
      <c r="A901" s="0" t="s">
        <v>8656</v>
      </c>
      <c r="B901" s="0" t="s">
        <v>8651</v>
      </c>
      <c r="C901" s="0" t="s">
        <v>8657</v>
      </c>
      <c r="D901" s="0" t="s">
        <v>113</v>
      </c>
      <c r="E901" s="5" t="s">
        <v>77</v>
      </c>
      <c r="F901" s="0" t="s">
        <v>8653</v>
      </c>
      <c r="G901" s="0" t="s">
        <v>1953</v>
      </c>
      <c r="H901" s="0" t="s">
        <v>5566</v>
      </c>
      <c r="I901" s="0" t="s">
        <v>8658</v>
      </c>
      <c r="K901" s="0" t="s">
        <v>36</v>
      </c>
      <c r="L901" s="0" t="s">
        <v>8655</v>
      </c>
    </row>
    <row r="902" customFormat="false" ht="17.15" hidden="false" customHeight="false" outlineLevel="0" collapsed="false">
      <c r="A902" s="0" t="s">
        <v>8659</v>
      </c>
      <c r="B902" s="0" t="s">
        <v>7009</v>
      </c>
      <c r="C902" s="0" t="s">
        <v>8660</v>
      </c>
      <c r="D902" s="0" t="s">
        <v>6073</v>
      </c>
      <c r="E902" s="0" t="s">
        <v>112</v>
      </c>
      <c r="F902" s="0" t="s">
        <v>6372</v>
      </c>
      <c r="G902" s="0" t="s">
        <v>1953</v>
      </c>
      <c r="H902" s="0" t="s">
        <v>5598</v>
      </c>
      <c r="I902" s="0" t="s">
        <v>8661</v>
      </c>
      <c r="K902" s="0" t="s">
        <v>36</v>
      </c>
      <c r="L902" s="0" t="s">
        <v>8662</v>
      </c>
    </row>
    <row r="903" customFormat="false" ht="17.15" hidden="false" customHeight="false" outlineLevel="0" collapsed="false">
      <c r="A903" s="0" t="s">
        <v>8663</v>
      </c>
      <c r="B903" s="0" t="s">
        <v>7009</v>
      </c>
      <c r="C903" s="0" t="s">
        <v>8664</v>
      </c>
      <c r="D903" s="0" t="s">
        <v>113</v>
      </c>
      <c r="E903" s="5" t="s">
        <v>77</v>
      </c>
      <c r="F903" s="0" t="s">
        <v>8665</v>
      </c>
      <c r="G903" s="0" t="s">
        <v>1953</v>
      </c>
      <c r="H903" s="0" t="s">
        <v>5566</v>
      </c>
      <c r="I903" s="5" t="s">
        <v>8666</v>
      </c>
      <c r="K903" s="0" t="s">
        <v>36</v>
      </c>
      <c r="L903" s="0" t="s">
        <v>8667</v>
      </c>
    </row>
    <row r="904" customFormat="false" ht="17.15" hidden="false" customHeight="false" outlineLevel="0" collapsed="false">
      <c r="A904" s="0" t="s">
        <v>8668</v>
      </c>
      <c r="B904" s="0" t="s">
        <v>7009</v>
      </c>
      <c r="C904" s="0" t="s">
        <v>8669</v>
      </c>
      <c r="D904" s="0" t="s">
        <v>113</v>
      </c>
      <c r="E904" s="5" t="s">
        <v>77</v>
      </c>
      <c r="F904" s="0" t="s">
        <v>4806</v>
      </c>
      <c r="G904" s="0" t="s">
        <v>1953</v>
      </c>
      <c r="H904" s="0" t="s">
        <v>5566</v>
      </c>
      <c r="I904" s="5" t="s">
        <v>8670</v>
      </c>
      <c r="K904" s="0" t="s">
        <v>36</v>
      </c>
      <c r="L904" s="0" t="s">
        <v>8671</v>
      </c>
    </row>
    <row r="905" customFormat="false" ht="17.15" hidden="false" customHeight="false" outlineLevel="0" collapsed="false">
      <c r="A905" s="0" t="s">
        <v>8672</v>
      </c>
      <c r="B905" s="0" t="s">
        <v>8673</v>
      </c>
      <c r="C905" s="0" t="s">
        <v>8674</v>
      </c>
      <c r="D905" s="0" t="s">
        <v>113</v>
      </c>
      <c r="E905" s="5" t="s">
        <v>77</v>
      </c>
      <c r="F905" s="0" t="s">
        <v>8675</v>
      </c>
      <c r="G905" s="0" t="s">
        <v>1953</v>
      </c>
      <c r="H905" s="0" t="s">
        <v>5566</v>
      </c>
      <c r="I905" s="0" t="s">
        <v>8676</v>
      </c>
      <c r="K905" s="0" t="s">
        <v>36</v>
      </c>
      <c r="L905" s="0" t="s">
        <v>8677</v>
      </c>
    </row>
    <row r="906" customFormat="false" ht="17.15" hidden="false" customHeight="false" outlineLevel="0" collapsed="false">
      <c r="A906" s="0" t="s">
        <v>8678</v>
      </c>
      <c r="B906" s="0" t="s">
        <v>8679</v>
      </c>
      <c r="C906" s="0" t="s">
        <v>8680</v>
      </c>
      <c r="D906" s="0" t="s">
        <v>113</v>
      </c>
      <c r="E906" s="5" t="s">
        <v>77</v>
      </c>
      <c r="F906" s="0" t="s">
        <v>4774</v>
      </c>
      <c r="G906" s="0" t="s">
        <v>1899</v>
      </c>
      <c r="H906" s="0" t="s">
        <v>5614</v>
      </c>
      <c r="I906" s="5" t="s">
        <v>8681</v>
      </c>
      <c r="K906" s="0" t="s">
        <v>36</v>
      </c>
      <c r="L906" s="0" t="s">
        <v>8682</v>
      </c>
    </row>
    <row r="907" customFormat="false" ht="17.15" hidden="false" customHeight="false" outlineLevel="0" collapsed="false">
      <c r="A907" s="0" t="s">
        <v>8683</v>
      </c>
      <c r="B907" s="5" t="s">
        <v>8684</v>
      </c>
      <c r="C907" s="5" t="s">
        <v>8685</v>
      </c>
      <c r="D907" s="0" t="s">
        <v>4883</v>
      </c>
      <c r="E907" s="5" t="s">
        <v>77</v>
      </c>
      <c r="F907" s="0" t="s">
        <v>8686</v>
      </c>
      <c r="G907" s="0" t="s">
        <v>1953</v>
      </c>
      <c r="H907" s="0" t="s">
        <v>5566</v>
      </c>
      <c r="I907" s="0" t="s">
        <v>8687</v>
      </c>
      <c r="K907" s="0" t="s">
        <v>36</v>
      </c>
      <c r="L907" s="0" t="s">
        <v>8688</v>
      </c>
    </row>
    <row r="908" customFormat="false" ht="17.15" hidden="false" customHeight="false" outlineLevel="0" collapsed="false">
      <c r="A908" s="0" t="s">
        <v>8689</v>
      </c>
      <c r="B908" s="5" t="s">
        <v>8690</v>
      </c>
      <c r="C908" s="5" t="s">
        <v>8691</v>
      </c>
      <c r="D908" s="0" t="s">
        <v>113</v>
      </c>
      <c r="E908" s="5" t="s">
        <v>77</v>
      </c>
      <c r="F908" s="0" t="s">
        <v>6042</v>
      </c>
      <c r="G908" s="0" t="s">
        <v>1953</v>
      </c>
      <c r="H908" s="0" t="s">
        <v>5609</v>
      </c>
      <c r="I908" s="5" t="s">
        <v>5610</v>
      </c>
      <c r="K908" s="0" t="s">
        <v>36</v>
      </c>
      <c r="L908" s="0" t="s">
        <v>8692</v>
      </c>
    </row>
    <row r="909" customFormat="false" ht="17.15" hidden="false" customHeight="false" outlineLevel="0" collapsed="false">
      <c r="A909" s="0" t="s">
        <v>8693</v>
      </c>
      <c r="B909" s="5" t="s">
        <v>8694</v>
      </c>
      <c r="C909" s="5" t="s">
        <v>8695</v>
      </c>
      <c r="D909" s="0" t="s">
        <v>113</v>
      </c>
      <c r="E909" s="5" t="s">
        <v>77</v>
      </c>
      <c r="F909" s="0" t="s">
        <v>7066</v>
      </c>
      <c r="G909" s="0" t="s">
        <v>1953</v>
      </c>
      <c r="H909" s="0" t="s">
        <v>5598</v>
      </c>
      <c r="I909" s="5" t="s">
        <v>8696</v>
      </c>
      <c r="K909" s="0" t="s">
        <v>36</v>
      </c>
      <c r="L909" s="0" t="s">
        <v>8697</v>
      </c>
    </row>
    <row r="910" customFormat="false" ht="17.15" hidden="false" customHeight="false" outlineLevel="0" collapsed="false">
      <c r="A910" s="0" t="s">
        <v>8698</v>
      </c>
      <c r="B910" s="5" t="s">
        <v>8699</v>
      </c>
      <c r="C910" s="5" t="s">
        <v>8700</v>
      </c>
      <c r="D910" s="0" t="s">
        <v>8701</v>
      </c>
      <c r="E910" s="5" t="s">
        <v>77</v>
      </c>
      <c r="F910" s="0" t="s">
        <v>8702</v>
      </c>
      <c r="G910" s="0" t="s">
        <v>1953</v>
      </c>
      <c r="H910" s="0" t="s">
        <v>5609</v>
      </c>
      <c r="I910" s="5" t="s">
        <v>8186</v>
      </c>
      <c r="K910" s="0" t="s">
        <v>36</v>
      </c>
      <c r="L910" s="0" t="s">
        <v>8703</v>
      </c>
    </row>
    <row r="911" customFormat="false" ht="17.15" hidden="false" customHeight="false" outlineLevel="0" collapsed="false">
      <c r="A911" s="0" t="s">
        <v>8704</v>
      </c>
      <c r="B911" s="5" t="s">
        <v>8699</v>
      </c>
      <c r="C911" s="5" t="s">
        <v>8705</v>
      </c>
      <c r="D911" s="0" t="s">
        <v>113</v>
      </c>
      <c r="E911" s="5" t="s">
        <v>77</v>
      </c>
      <c r="F911" s="0" t="s">
        <v>4646</v>
      </c>
      <c r="G911" s="0" t="s">
        <v>1953</v>
      </c>
      <c r="H911" s="0" t="s">
        <v>5614</v>
      </c>
      <c r="I911" s="0" t="s">
        <v>8706</v>
      </c>
      <c r="K911" s="0" t="s">
        <v>36</v>
      </c>
      <c r="L911" s="0" t="s">
        <v>8707</v>
      </c>
    </row>
    <row r="912" customFormat="false" ht="17.15" hidden="false" customHeight="false" outlineLevel="0" collapsed="false">
      <c r="A912" s="0" t="s">
        <v>8708</v>
      </c>
      <c r="B912" s="0" t="s">
        <v>8709</v>
      </c>
      <c r="C912" s="0" t="s">
        <v>8710</v>
      </c>
      <c r="D912" s="0" t="s">
        <v>113</v>
      </c>
      <c r="E912" s="5" t="s">
        <v>77</v>
      </c>
      <c r="F912" s="0" t="s">
        <v>8711</v>
      </c>
      <c r="G912" s="0" t="s">
        <v>1953</v>
      </c>
      <c r="H912" s="0" t="s">
        <v>5614</v>
      </c>
      <c r="I912" s="5" t="s">
        <v>8712</v>
      </c>
      <c r="K912" s="0" t="s">
        <v>36</v>
      </c>
      <c r="L912" s="0" t="s">
        <v>8713</v>
      </c>
    </row>
    <row r="913" customFormat="false" ht="17.15" hidden="false" customHeight="false" outlineLevel="0" collapsed="false">
      <c r="A913" s="0" t="s">
        <v>8714</v>
      </c>
      <c r="B913" s="0" t="s">
        <v>8715</v>
      </c>
      <c r="C913" s="0" t="s">
        <v>8716</v>
      </c>
      <c r="D913" s="0" t="s">
        <v>113</v>
      </c>
      <c r="E913" s="5" t="s">
        <v>77</v>
      </c>
      <c r="F913" s="0" t="s">
        <v>8717</v>
      </c>
      <c r="G913" s="0" t="s">
        <v>1953</v>
      </c>
      <c r="H913" s="0" t="s">
        <v>5609</v>
      </c>
      <c r="I913" s="5" t="s">
        <v>8718</v>
      </c>
      <c r="K913" s="0" t="s">
        <v>36</v>
      </c>
      <c r="L913" s="0" t="s">
        <v>8719</v>
      </c>
    </row>
    <row r="914" customFormat="false" ht="17.15" hidden="false" customHeight="false" outlineLevel="0" collapsed="false">
      <c r="A914" s="0" t="s">
        <v>8720</v>
      </c>
      <c r="B914" s="0" t="s">
        <v>8715</v>
      </c>
      <c r="C914" s="0" t="s">
        <v>8721</v>
      </c>
      <c r="D914" s="0" t="s">
        <v>113</v>
      </c>
      <c r="E914" s="5" t="s">
        <v>77</v>
      </c>
      <c r="F914" s="0" t="s">
        <v>8717</v>
      </c>
      <c r="G914" s="0" t="s">
        <v>1953</v>
      </c>
      <c r="H914" s="0" t="s">
        <v>5609</v>
      </c>
      <c r="I914" s="5" t="s">
        <v>8718</v>
      </c>
      <c r="K914" s="0" t="s">
        <v>36</v>
      </c>
      <c r="L914" s="0" t="s">
        <v>8719</v>
      </c>
    </row>
    <row r="915" customFormat="false" ht="17.15" hidden="false" customHeight="false" outlineLevel="0" collapsed="false">
      <c r="A915" s="0" t="s">
        <v>8722</v>
      </c>
      <c r="B915" s="0" t="s">
        <v>8709</v>
      </c>
      <c r="C915" s="0" t="s">
        <v>8723</v>
      </c>
      <c r="D915" s="0" t="s">
        <v>113</v>
      </c>
      <c r="E915" s="5" t="s">
        <v>77</v>
      </c>
      <c r="F915" s="0" t="s">
        <v>8711</v>
      </c>
      <c r="G915" s="0" t="s">
        <v>1953</v>
      </c>
      <c r="H915" s="0" t="s">
        <v>5614</v>
      </c>
      <c r="I915" s="0" t="s">
        <v>8724</v>
      </c>
      <c r="K915" s="0" t="s">
        <v>36</v>
      </c>
      <c r="L915" s="0" t="s">
        <v>8713</v>
      </c>
    </row>
    <row r="916" customFormat="false" ht="17.15" hidden="false" customHeight="false" outlineLevel="0" collapsed="false">
      <c r="A916" s="0" t="s">
        <v>8725</v>
      </c>
      <c r="B916" s="0" t="s">
        <v>1070</v>
      </c>
      <c r="C916" s="0" t="s">
        <v>8726</v>
      </c>
      <c r="D916" s="0" t="s">
        <v>5572</v>
      </c>
      <c r="E916" s="5" t="s">
        <v>77</v>
      </c>
      <c r="F916" s="0" t="s">
        <v>2104</v>
      </c>
      <c r="G916" s="0" t="s">
        <v>1953</v>
      </c>
      <c r="H916" s="0" t="s">
        <v>5631</v>
      </c>
      <c r="I916" s="0" t="s">
        <v>8727</v>
      </c>
      <c r="J916" s="0" t="s">
        <v>8728</v>
      </c>
      <c r="K916" s="5" t="s">
        <v>1895</v>
      </c>
      <c r="L916" s="0" t="s">
        <v>8729</v>
      </c>
    </row>
    <row r="917" customFormat="false" ht="17.15" hidden="false" customHeight="false" outlineLevel="0" collapsed="false">
      <c r="A917" s="0" t="s">
        <v>8730</v>
      </c>
      <c r="B917" s="0" t="s">
        <v>1070</v>
      </c>
      <c r="C917" s="0" t="s">
        <v>8731</v>
      </c>
      <c r="D917" s="0" t="s">
        <v>8732</v>
      </c>
      <c r="E917" s="5" t="s">
        <v>77</v>
      </c>
      <c r="F917" s="0" t="s">
        <v>1783</v>
      </c>
      <c r="G917" s="0" t="s">
        <v>1899</v>
      </c>
      <c r="H917" s="0" t="s">
        <v>5566</v>
      </c>
      <c r="I917" s="0" t="s">
        <v>8733</v>
      </c>
      <c r="J917" s="0" t="s">
        <v>8728</v>
      </c>
      <c r="K917" s="5" t="s">
        <v>1895</v>
      </c>
      <c r="L917" s="0" t="s">
        <v>8734</v>
      </c>
    </row>
    <row r="918" customFormat="false" ht="17.15" hidden="false" customHeight="false" outlineLevel="0" collapsed="false">
      <c r="A918" s="0" t="s">
        <v>8735</v>
      </c>
      <c r="B918" s="0" t="s">
        <v>1070</v>
      </c>
      <c r="C918" s="0" t="s">
        <v>8736</v>
      </c>
      <c r="D918" s="0" t="s">
        <v>6692</v>
      </c>
      <c r="E918" s="5" t="s">
        <v>77</v>
      </c>
      <c r="F918" s="0" t="s">
        <v>5918</v>
      </c>
      <c r="G918" s="0" t="s">
        <v>1899</v>
      </c>
      <c r="H918" s="0" t="s">
        <v>5598</v>
      </c>
      <c r="I918" s="5" t="s">
        <v>8737</v>
      </c>
      <c r="J918" s="0" t="s">
        <v>8728</v>
      </c>
      <c r="K918" s="5" t="s">
        <v>1895</v>
      </c>
      <c r="L918" s="0" t="s">
        <v>8738</v>
      </c>
    </row>
    <row r="919" customFormat="false" ht="17.15" hidden="false" customHeight="false" outlineLevel="0" collapsed="false">
      <c r="A919" s="0" t="s">
        <v>8739</v>
      </c>
      <c r="B919" s="0" t="s">
        <v>8740</v>
      </c>
      <c r="C919" s="0" t="s">
        <v>8741</v>
      </c>
      <c r="D919" s="0" t="s">
        <v>4883</v>
      </c>
      <c r="E919" s="5" t="s">
        <v>77</v>
      </c>
      <c r="F919" s="0" t="s">
        <v>6713</v>
      </c>
      <c r="G919" s="0" t="s">
        <v>1953</v>
      </c>
      <c r="H919" s="0" t="s">
        <v>5598</v>
      </c>
      <c r="I919" s="0" t="s">
        <v>8742</v>
      </c>
      <c r="K919" s="0" t="s">
        <v>36</v>
      </c>
      <c r="L919" s="0" t="s">
        <v>8743</v>
      </c>
    </row>
    <row r="920" customFormat="false" ht="17.15" hidden="false" customHeight="false" outlineLevel="0" collapsed="false">
      <c r="A920" s="0" t="s">
        <v>8744</v>
      </c>
      <c r="B920" s="0" t="s">
        <v>8740</v>
      </c>
      <c r="C920" s="0" t="s">
        <v>8745</v>
      </c>
      <c r="D920" s="0" t="s">
        <v>113</v>
      </c>
      <c r="E920" s="5" t="s">
        <v>77</v>
      </c>
      <c r="F920" s="0" t="s">
        <v>2430</v>
      </c>
      <c r="G920" s="0" t="s">
        <v>1953</v>
      </c>
      <c r="H920" s="0" t="s">
        <v>5566</v>
      </c>
      <c r="I920" s="0" t="s">
        <v>8746</v>
      </c>
      <c r="K920" s="0" t="s">
        <v>36</v>
      </c>
      <c r="L920" s="0" t="s">
        <v>8747</v>
      </c>
    </row>
    <row r="921" customFormat="false" ht="17.15" hidden="false" customHeight="false" outlineLevel="0" collapsed="false">
      <c r="A921" s="0" t="s">
        <v>8748</v>
      </c>
      <c r="B921" s="0" t="s">
        <v>8740</v>
      </c>
      <c r="C921" s="0" t="s">
        <v>8749</v>
      </c>
      <c r="D921" s="0" t="s">
        <v>5676</v>
      </c>
      <c r="E921" s="5" t="s">
        <v>77</v>
      </c>
      <c r="F921" s="0" t="s">
        <v>6426</v>
      </c>
      <c r="G921" s="0" t="s">
        <v>1953</v>
      </c>
      <c r="H921" s="0" t="s">
        <v>5631</v>
      </c>
      <c r="I921" s="5" t="s">
        <v>8750</v>
      </c>
      <c r="K921" s="0" t="s">
        <v>36</v>
      </c>
      <c r="L921" s="0" t="s">
        <v>8751</v>
      </c>
    </row>
    <row r="922" customFormat="false" ht="17.15" hidden="false" customHeight="false" outlineLevel="0" collapsed="false">
      <c r="A922" s="0" t="s">
        <v>8752</v>
      </c>
      <c r="B922" s="0" t="s">
        <v>8753</v>
      </c>
      <c r="C922" s="0" t="s">
        <v>8754</v>
      </c>
      <c r="D922" s="0" t="s">
        <v>5572</v>
      </c>
      <c r="E922" s="5" t="s">
        <v>77</v>
      </c>
      <c r="F922" s="0" t="s">
        <v>8755</v>
      </c>
      <c r="G922" s="0" t="s">
        <v>1953</v>
      </c>
      <c r="H922" s="0" t="s">
        <v>5631</v>
      </c>
      <c r="I922" s="0" t="s">
        <v>8756</v>
      </c>
      <c r="K922" s="0" t="s">
        <v>36</v>
      </c>
      <c r="L922" s="0" t="s">
        <v>8757</v>
      </c>
    </row>
    <row r="923" customFormat="false" ht="17.15" hidden="false" customHeight="false" outlineLevel="0" collapsed="false">
      <c r="A923" s="0" t="s">
        <v>8758</v>
      </c>
      <c r="B923" s="0" t="s">
        <v>8759</v>
      </c>
      <c r="C923" s="0" t="s">
        <v>8760</v>
      </c>
      <c r="D923" s="0" t="s">
        <v>4823</v>
      </c>
      <c r="E923" s="5" t="s">
        <v>77</v>
      </c>
      <c r="F923" s="0" t="s">
        <v>5068</v>
      </c>
      <c r="G923" s="0" t="s">
        <v>1899</v>
      </c>
      <c r="H923" s="0" t="s">
        <v>5566</v>
      </c>
      <c r="I923" s="0" t="s">
        <v>8761</v>
      </c>
      <c r="K923" s="0" t="s">
        <v>36</v>
      </c>
      <c r="L923" s="0" t="s">
        <v>8762</v>
      </c>
    </row>
    <row r="924" customFormat="false" ht="17.15" hidden="false" customHeight="false" outlineLevel="0" collapsed="false">
      <c r="A924" s="0" t="s">
        <v>8763</v>
      </c>
      <c r="B924" s="0" t="s">
        <v>8764</v>
      </c>
      <c r="C924" s="0" t="s">
        <v>8765</v>
      </c>
      <c r="D924" s="0" t="s">
        <v>8766</v>
      </c>
      <c r="E924" s="5" t="s">
        <v>77</v>
      </c>
      <c r="F924" s="0" t="s">
        <v>8767</v>
      </c>
      <c r="G924" s="0" t="s">
        <v>1899</v>
      </c>
      <c r="H924" s="0" t="s">
        <v>5566</v>
      </c>
      <c r="I924" s="0" t="s">
        <v>8768</v>
      </c>
      <c r="K924" s="0" t="s">
        <v>36</v>
      </c>
      <c r="L924" s="0" t="s">
        <v>8769</v>
      </c>
    </row>
    <row r="925" customFormat="false" ht="17.15" hidden="false" customHeight="false" outlineLevel="0" collapsed="false">
      <c r="A925" s="0" t="s">
        <v>8770</v>
      </c>
      <c r="B925" s="0" t="s">
        <v>8771</v>
      </c>
      <c r="C925" s="0" t="s">
        <v>8772</v>
      </c>
      <c r="D925" s="0" t="s">
        <v>5690</v>
      </c>
      <c r="E925" s="5" t="s">
        <v>77</v>
      </c>
      <c r="G925" s="0" t="s">
        <v>1953</v>
      </c>
      <c r="H925" s="0" t="s">
        <v>5598</v>
      </c>
      <c r="I925" s="0" t="s">
        <v>8773</v>
      </c>
      <c r="K925" s="0" t="s">
        <v>36</v>
      </c>
      <c r="L925" s="0" t="s">
        <v>8774</v>
      </c>
    </row>
    <row r="926" customFormat="false" ht="17.15" hidden="false" customHeight="false" outlineLevel="0" collapsed="false">
      <c r="A926" s="0" t="s">
        <v>8775</v>
      </c>
      <c r="B926" s="0" t="s">
        <v>8771</v>
      </c>
      <c r="C926" s="0" t="s">
        <v>8776</v>
      </c>
      <c r="D926" s="0" t="s">
        <v>4971</v>
      </c>
      <c r="E926" s="5" t="s">
        <v>77</v>
      </c>
      <c r="F926" s="0" t="s">
        <v>7455</v>
      </c>
      <c r="G926" s="0" t="s">
        <v>1953</v>
      </c>
      <c r="H926" s="0" t="s">
        <v>5566</v>
      </c>
      <c r="I926" s="0" t="s">
        <v>8777</v>
      </c>
      <c r="K926" s="0" t="s">
        <v>36</v>
      </c>
      <c r="L926" s="0" t="s">
        <v>8778</v>
      </c>
    </row>
    <row r="927" customFormat="false" ht="17.15" hidden="false" customHeight="false" outlineLevel="0" collapsed="false">
      <c r="A927" s="0" t="s">
        <v>8779</v>
      </c>
      <c r="B927" s="0" t="s">
        <v>8780</v>
      </c>
      <c r="C927" s="0" t="s">
        <v>8781</v>
      </c>
      <c r="D927" s="0" t="s">
        <v>5690</v>
      </c>
      <c r="E927" s="5" t="s">
        <v>77</v>
      </c>
      <c r="F927" s="0" t="s">
        <v>5009</v>
      </c>
      <c r="G927" s="0" t="s">
        <v>1953</v>
      </c>
      <c r="H927" s="0" t="s">
        <v>5609</v>
      </c>
      <c r="I927" s="5" t="s">
        <v>5610</v>
      </c>
      <c r="K927" s="0" t="s">
        <v>36</v>
      </c>
      <c r="L927" s="0" t="s">
        <v>8782</v>
      </c>
    </row>
    <row r="928" customFormat="false" ht="17.15" hidden="false" customHeight="false" outlineLevel="0" collapsed="false">
      <c r="A928" s="0" t="s">
        <v>8783</v>
      </c>
      <c r="B928" s="0" t="s">
        <v>8784</v>
      </c>
      <c r="C928" s="0" t="s">
        <v>8785</v>
      </c>
      <c r="D928" s="0" t="s">
        <v>8786</v>
      </c>
      <c r="E928" s="5" t="s">
        <v>77</v>
      </c>
      <c r="F928" s="0" t="s">
        <v>8787</v>
      </c>
      <c r="G928" s="0" t="s">
        <v>1953</v>
      </c>
      <c r="H928" s="0" t="s">
        <v>5614</v>
      </c>
      <c r="I928" s="0" t="s">
        <v>8788</v>
      </c>
      <c r="K928" s="0" t="s">
        <v>36</v>
      </c>
      <c r="L928" s="0" t="s">
        <v>8789</v>
      </c>
    </row>
    <row r="929" customFormat="false" ht="17.15" hidden="false" customHeight="false" outlineLevel="0" collapsed="false">
      <c r="A929" s="0" t="s">
        <v>8790</v>
      </c>
      <c r="B929" s="0" t="s">
        <v>8791</v>
      </c>
      <c r="C929" s="0" t="s">
        <v>8792</v>
      </c>
      <c r="D929" s="0" t="s">
        <v>8793</v>
      </c>
      <c r="E929" s="0" t="s">
        <v>112</v>
      </c>
      <c r="F929" s="0" t="s">
        <v>5257</v>
      </c>
      <c r="G929" s="0" t="s">
        <v>1953</v>
      </c>
      <c r="H929" s="0" t="s">
        <v>5598</v>
      </c>
      <c r="I929" s="5" t="s">
        <v>8794</v>
      </c>
      <c r="K929" s="0" t="s">
        <v>36</v>
      </c>
      <c r="L929" s="0" t="s">
        <v>8795</v>
      </c>
    </row>
    <row r="930" customFormat="false" ht="17.15" hidden="false" customHeight="false" outlineLevel="0" collapsed="false">
      <c r="A930" s="0" t="s">
        <v>8796</v>
      </c>
      <c r="B930" s="0" t="s">
        <v>8791</v>
      </c>
      <c r="C930" s="0" t="s">
        <v>8797</v>
      </c>
      <c r="D930" s="0" t="s">
        <v>8798</v>
      </c>
      <c r="E930" s="5" t="s">
        <v>77</v>
      </c>
      <c r="F930" s="0" t="s">
        <v>8799</v>
      </c>
      <c r="G930" s="0" t="s">
        <v>1953</v>
      </c>
      <c r="H930" s="0" t="s">
        <v>5566</v>
      </c>
      <c r="I930" s="0" t="s">
        <v>8800</v>
      </c>
      <c r="K930" s="0" t="s">
        <v>36</v>
      </c>
      <c r="L930" s="0" t="s">
        <v>8801</v>
      </c>
    </row>
    <row r="931" customFormat="false" ht="17.15" hidden="false" customHeight="false" outlineLevel="0" collapsed="false">
      <c r="A931" s="0" t="s">
        <v>8802</v>
      </c>
      <c r="B931" s="0" t="s">
        <v>8791</v>
      </c>
      <c r="C931" s="0" t="s">
        <v>8803</v>
      </c>
      <c r="D931" s="0" t="s">
        <v>113</v>
      </c>
      <c r="E931" s="5" t="s">
        <v>77</v>
      </c>
      <c r="F931" s="0" t="s">
        <v>8804</v>
      </c>
      <c r="G931" s="0" t="s">
        <v>1953</v>
      </c>
      <c r="H931" s="0" t="s">
        <v>5609</v>
      </c>
      <c r="I931" s="5" t="s">
        <v>5819</v>
      </c>
      <c r="K931" s="0" t="s">
        <v>36</v>
      </c>
      <c r="L931" s="0" t="s">
        <v>8805</v>
      </c>
    </row>
    <row r="932" customFormat="false" ht="17.15" hidden="false" customHeight="false" outlineLevel="0" collapsed="false">
      <c r="A932" s="0" t="s">
        <v>8806</v>
      </c>
      <c r="B932" s="0" t="s">
        <v>8791</v>
      </c>
      <c r="C932" s="0" t="s">
        <v>8807</v>
      </c>
      <c r="D932" s="0" t="s">
        <v>113</v>
      </c>
      <c r="E932" s="5" t="s">
        <v>77</v>
      </c>
      <c r="F932" s="0" t="s">
        <v>8804</v>
      </c>
      <c r="G932" s="0" t="s">
        <v>1953</v>
      </c>
      <c r="H932" s="0" t="s">
        <v>5609</v>
      </c>
      <c r="I932" s="5" t="s">
        <v>5819</v>
      </c>
      <c r="K932" s="0" t="s">
        <v>36</v>
      </c>
      <c r="L932" s="0" t="s">
        <v>8805</v>
      </c>
    </row>
    <row r="933" customFormat="false" ht="17.15" hidden="false" customHeight="false" outlineLevel="0" collapsed="false">
      <c r="A933" s="0" t="s">
        <v>8808</v>
      </c>
      <c r="B933" s="0" t="s">
        <v>8791</v>
      </c>
      <c r="C933" s="0" t="s">
        <v>8809</v>
      </c>
      <c r="D933" s="0" t="s">
        <v>6064</v>
      </c>
      <c r="E933" s="0" t="s">
        <v>112</v>
      </c>
      <c r="F933" s="0" t="s">
        <v>6410</v>
      </c>
      <c r="G933" s="0" t="s">
        <v>1953</v>
      </c>
      <c r="H933" s="0" t="s">
        <v>5614</v>
      </c>
      <c r="I933" s="0" t="s">
        <v>8810</v>
      </c>
      <c r="K933" s="0" t="s">
        <v>36</v>
      </c>
      <c r="L933" s="0" t="s">
        <v>8811</v>
      </c>
    </row>
    <row r="934" customFormat="false" ht="17.15" hidden="false" customHeight="false" outlineLevel="0" collapsed="false">
      <c r="A934" s="0" t="s">
        <v>8812</v>
      </c>
      <c r="B934" s="0" t="s">
        <v>8813</v>
      </c>
      <c r="C934" s="0" t="s">
        <v>8814</v>
      </c>
      <c r="D934" s="0" t="s">
        <v>4630</v>
      </c>
      <c r="E934" s="5" t="s">
        <v>77</v>
      </c>
      <c r="F934" s="0" t="s">
        <v>8317</v>
      </c>
      <c r="G934" s="0" t="s">
        <v>1953</v>
      </c>
      <c r="H934" s="0" t="s">
        <v>5566</v>
      </c>
      <c r="I934" s="0" t="s">
        <v>8815</v>
      </c>
      <c r="K934" s="0" t="s">
        <v>36</v>
      </c>
      <c r="L934" s="0" t="s">
        <v>8816</v>
      </c>
    </row>
    <row r="935" customFormat="false" ht="17.15" hidden="false" customHeight="false" outlineLevel="0" collapsed="false">
      <c r="A935" s="0" t="s">
        <v>8817</v>
      </c>
      <c r="B935" s="0" t="s">
        <v>8818</v>
      </c>
      <c r="C935" s="0" t="s">
        <v>8819</v>
      </c>
      <c r="D935" s="0" t="s">
        <v>5917</v>
      </c>
      <c r="E935" s="5" t="s">
        <v>77</v>
      </c>
      <c r="F935" s="0" t="s">
        <v>8820</v>
      </c>
      <c r="G935" s="0" t="s">
        <v>1953</v>
      </c>
      <c r="H935" s="0" t="s">
        <v>5566</v>
      </c>
      <c r="I935" s="0" t="s">
        <v>8821</v>
      </c>
      <c r="K935" s="0" t="s">
        <v>36</v>
      </c>
      <c r="L935" s="0" t="s">
        <v>8822</v>
      </c>
    </row>
    <row r="936" customFormat="false" ht="17.15" hidden="false" customHeight="false" outlineLevel="0" collapsed="false">
      <c r="A936" s="0" t="s">
        <v>8823</v>
      </c>
      <c r="B936" s="0" t="s">
        <v>8813</v>
      </c>
      <c r="C936" s="0" t="s">
        <v>8824</v>
      </c>
      <c r="D936" s="0" t="s">
        <v>6054</v>
      </c>
      <c r="E936" s="0" t="s">
        <v>112</v>
      </c>
      <c r="F936" s="0" t="s">
        <v>7206</v>
      </c>
      <c r="G936" s="0" t="s">
        <v>1953</v>
      </c>
      <c r="H936" s="0" t="s">
        <v>5566</v>
      </c>
      <c r="I936" s="0" t="s">
        <v>8825</v>
      </c>
      <c r="K936" s="0" t="s">
        <v>36</v>
      </c>
      <c r="L936" s="0" t="s">
        <v>8826</v>
      </c>
    </row>
    <row r="937" customFormat="false" ht="17.15" hidden="false" customHeight="false" outlineLevel="0" collapsed="false">
      <c r="A937" s="0" t="s">
        <v>8827</v>
      </c>
      <c r="B937" s="0" t="s">
        <v>8813</v>
      </c>
      <c r="C937" s="0" t="s">
        <v>8828</v>
      </c>
      <c r="D937" s="0" t="s">
        <v>6901</v>
      </c>
      <c r="E937" s="5" t="s">
        <v>77</v>
      </c>
      <c r="F937" s="0" t="s">
        <v>7206</v>
      </c>
      <c r="G937" s="0" t="s">
        <v>1953</v>
      </c>
      <c r="H937" s="0" t="s">
        <v>5566</v>
      </c>
      <c r="I937" s="0" t="s">
        <v>8829</v>
      </c>
      <c r="K937" s="0" t="s">
        <v>36</v>
      </c>
      <c r="L937" s="0" t="s">
        <v>8826</v>
      </c>
    </row>
    <row r="938" customFormat="false" ht="17.15" hidden="false" customHeight="false" outlineLevel="0" collapsed="false">
      <c r="A938" s="0" t="s">
        <v>8830</v>
      </c>
      <c r="B938" s="5" t="s">
        <v>8831</v>
      </c>
      <c r="C938" s="5" t="s">
        <v>8832</v>
      </c>
      <c r="D938" s="0" t="s">
        <v>4630</v>
      </c>
      <c r="E938" s="5" t="s">
        <v>77</v>
      </c>
      <c r="F938" s="0" t="s">
        <v>4811</v>
      </c>
      <c r="G938" s="0" t="s">
        <v>1953</v>
      </c>
      <c r="H938" s="0" t="s">
        <v>5609</v>
      </c>
      <c r="I938" s="5" t="s">
        <v>5610</v>
      </c>
      <c r="K938" s="0" t="s">
        <v>36</v>
      </c>
      <c r="L938" s="0" t="s">
        <v>8833</v>
      </c>
    </row>
    <row r="939" customFormat="false" ht="17.15" hidden="false" customHeight="false" outlineLevel="0" collapsed="false">
      <c r="A939" s="0" t="s">
        <v>8834</v>
      </c>
      <c r="B939" s="5" t="s">
        <v>6046</v>
      </c>
      <c r="C939" s="5" t="s">
        <v>8835</v>
      </c>
      <c r="D939" s="0" t="s">
        <v>4630</v>
      </c>
      <c r="E939" s="5" t="s">
        <v>77</v>
      </c>
      <c r="F939" s="0" t="s">
        <v>7494</v>
      </c>
      <c r="G939" s="0" t="s">
        <v>1953</v>
      </c>
      <c r="H939" s="0" t="s">
        <v>5614</v>
      </c>
      <c r="I939" s="0" t="s">
        <v>8836</v>
      </c>
      <c r="K939" s="0" t="s">
        <v>36</v>
      </c>
      <c r="L939" s="0" t="s">
        <v>8837</v>
      </c>
    </row>
    <row r="940" customFormat="false" ht="17.15" hidden="false" customHeight="false" outlineLevel="0" collapsed="false">
      <c r="A940" s="0" t="s">
        <v>8838</v>
      </c>
      <c r="B940" s="0" t="s">
        <v>8839</v>
      </c>
      <c r="C940" s="0" t="s">
        <v>8840</v>
      </c>
      <c r="D940" s="0" t="s">
        <v>5889</v>
      </c>
      <c r="E940" s="0" t="s">
        <v>112</v>
      </c>
      <c r="F940" s="0" t="s">
        <v>8841</v>
      </c>
      <c r="G940" s="0" t="s">
        <v>1953</v>
      </c>
      <c r="H940" s="0" t="s">
        <v>5566</v>
      </c>
      <c r="I940" s="0" t="s">
        <v>8842</v>
      </c>
      <c r="K940" s="0" t="s">
        <v>36</v>
      </c>
      <c r="L940" s="0" t="s">
        <v>8843</v>
      </c>
    </row>
    <row r="941" customFormat="false" ht="17.15" hidden="false" customHeight="false" outlineLevel="0" collapsed="false">
      <c r="A941" s="0" t="s">
        <v>8844</v>
      </c>
      <c r="B941" s="0" t="s">
        <v>8839</v>
      </c>
      <c r="C941" s="0" t="s">
        <v>8845</v>
      </c>
      <c r="D941" s="0" t="s">
        <v>8846</v>
      </c>
      <c r="E941" s="5" t="s">
        <v>77</v>
      </c>
      <c r="F941" s="0" t="s">
        <v>8847</v>
      </c>
      <c r="G941" s="0" t="s">
        <v>1953</v>
      </c>
      <c r="H941" s="0" t="s">
        <v>5566</v>
      </c>
      <c r="I941" s="0" t="s">
        <v>8848</v>
      </c>
      <c r="K941" s="0" t="s">
        <v>36</v>
      </c>
      <c r="L941" s="0" t="s">
        <v>8849</v>
      </c>
    </row>
    <row r="942" customFormat="false" ht="17.15" hidden="false" customHeight="false" outlineLevel="0" collapsed="false">
      <c r="A942" s="0" t="s">
        <v>8850</v>
      </c>
      <c r="B942" s="0" t="s">
        <v>8851</v>
      </c>
      <c r="C942" s="0" t="s">
        <v>8852</v>
      </c>
      <c r="D942" s="0" t="s">
        <v>6330</v>
      </c>
      <c r="E942" s="0" t="s">
        <v>112</v>
      </c>
      <c r="F942" s="0" t="s">
        <v>2430</v>
      </c>
      <c r="G942" s="0" t="s">
        <v>1953</v>
      </c>
      <c r="H942" s="0" t="s">
        <v>5614</v>
      </c>
      <c r="I942" s="0" t="s">
        <v>8853</v>
      </c>
      <c r="K942" s="0" t="s">
        <v>36</v>
      </c>
      <c r="L942" s="0" t="s">
        <v>8854</v>
      </c>
    </row>
    <row r="943" customFormat="false" ht="17.15" hidden="false" customHeight="false" outlineLevel="0" collapsed="false">
      <c r="A943" s="0" t="s">
        <v>8855</v>
      </c>
      <c r="B943" s="0" t="s">
        <v>8851</v>
      </c>
      <c r="C943" s="0" t="s">
        <v>8856</v>
      </c>
      <c r="D943" s="0" t="s">
        <v>4958</v>
      </c>
      <c r="E943" s="5" t="s">
        <v>77</v>
      </c>
      <c r="F943" s="0" t="s">
        <v>8857</v>
      </c>
      <c r="G943" s="0" t="s">
        <v>1899</v>
      </c>
      <c r="H943" s="0" t="s">
        <v>5598</v>
      </c>
      <c r="I943" s="0" t="s">
        <v>8858</v>
      </c>
      <c r="K943" s="0" t="s">
        <v>36</v>
      </c>
      <c r="L943" s="0" t="s">
        <v>8859</v>
      </c>
    </row>
    <row r="944" customFormat="false" ht="17.15" hidden="false" customHeight="false" outlineLevel="0" collapsed="false">
      <c r="A944" s="0" t="s">
        <v>8860</v>
      </c>
      <c r="B944" s="0" t="s">
        <v>8861</v>
      </c>
      <c r="C944" s="0" t="s">
        <v>8862</v>
      </c>
      <c r="D944" s="0" t="s">
        <v>5988</v>
      </c>
      <c r="E944" s="5" t="s">
        <v>77</v>
      </c>
      <c r="F944" s="0" t="s">
        <v>5276</v>
      </c>
      <c r="G944" s="0" t="s">
        <v>1953</v>
      </c>
      <c r="H944" s="0" t="s">
        <v>5609</v>
      </c>
      <c r="I944" s="5" t="s">
        <v>5610</v>
      </c>
      <c r="K944" s="0" t="s">
        <v>36</v>
      </c>
      <c r="L944" s="0" t="s">
        <v>8863</v>
      </c>
    </row>
    <row r="945" customFormat="false" ht="17.15" hidden="false" customHeight="false" outlineLevel="0" collapsed="false">
      <c r="A945" s="0" t="s">
        <v>8864</v>
      </c>
      <c r="B945" s="0" t="s">
        <v>8861</v>
      </c>
      <c r="C945" s="0" t="s">
        <v>8865</v>
      </c>
      <c r="D945" s="0" t="s">
        <v>5988</v>
      </c>
      <c r="E945" s="5" t="s">
        <v>77</v>
      </c>
      <c r="F945" s="0" t="s">
        <v>5276</v>
      </c>
      <c r="G945" s="0" t="s">
        <v>1953</v>
      </c>
      <c r="H945" s="0" t="s">
        <v>5609</v>
      </c>
      <c r="I945" s="5" t="s">
        <v>5610</v>
      </c>
      <c r="K945" s="0" t="s">
        <v>36</v>
      </c>
      <c r="L945" s="0" t="s">
        <v>8863</v>
      </c>
    </row>
    <row r="946" customFormat="false" ht="17.15" hidden="false" customHeight="false" outlineLevel="0" collapsed="false">
      <c r="A946" s="0" t="s">
        <v>8866</v>
      </c>
      <c r="B946" s="0" t="s">
        <v>8861</v>
      </c>
      <c r="C946" s="0" t="s">
        <v>8867</v>
      </c>
      <c r="D946" s="0" t="s">
        <v>6064</v>
      </c>
      <c r="E946" s="5" t="s">
        <v>77</v>
      </c>
      <c r="F946" s="0" t="s">
        <v>8868</v>
      </c>
      <c r="G946" s="0" t="s">
        <v>1953</v>
      </c>
      <c r="H946" s="0" t="s">
        <v>5609</v>
      </c>
      <c r="I946" s="5" t="s">
        <v>5610</v>
      </c>
      <c r="K946" s="0" t="s">
        <v>36</v>
      </c>
      <c r="L946" s="0" t="s">
        <v>8869</v>
      </c>
    </row>
    <row r="947" customFormat="false" ht="17.15" hidden="false" customHeight="false" outlineLevel="0" collapsed="false">
      <c r="A947" s="0" t="s">
        <v>8870</v>
      </c>
      <c r="B947" s="0" t="s">
        <v>8871</v>
      </c>
      <c r="C947" s="0" t="s">
        <v>8872</v>
      </c>
      <c r="D947" s="0" t="s">
        <v>6198</v>
      </c>
      <c r="E947" s="0" t="s">
        <v>112</v>
      </c>
      <c r="F947" s="0" t="s">
        <v>4963</v>
      </c>
      <c r="G947" s="0" t="s">
        <v>1953</v>
      </c>
      <c r="H947" s="0" t="s">
        <v>5566</v>
      </c>
      <c r="I947" s="0" t="s">
        <v>8873</v>
      </c>
      <c r="K947" s="0" t="s">
        <v>36</v>
      </c>
      <c r="L947" s="0" t="s">
        <v>8874</v>
      </c>
    </row>
    <row r="948" customFormat="false" ht="17.15" hidden="false" customHeight="false" outlineLevel="0" collapsed="false">
      <c r="A948" s="0" t="s">
        <v>8875</v>
      </c>
      <c r="B948" s="0" t="s">
        <v>8876</v>
      </c>
      <c r="C948" s="0" t="s">
        <v>8877</v>
      </c>
      <c r="D948" s="0" t="s">
        <v>5785</v>
      </c>
      <c r="E948" s="5" t="s">
        <v>77</v>
      </c>
      <c r="F948" s="0" t="s">
        <v>8878</v>
      </c>
      <c r="G948" s="0" t="s">
        <v>1953</v>
      </c>
      <c r="H948" s="0" t="s">
        <v>5631</v>
      </c>
      <c r="I948" s="5" t="s">
        <v>8879</v>
      </c>
      <c r="K948" s="0" t="s">
        <v>36</v>
      </c>
      <c r="L948" s="0" t="s">
        <v>8880</v>
      </c>
    </row>
    <row r="949" customFormat="false" ht="17.15" hidden="false" customHeight="false" outlineLevel="0" collapsed="false">
      <c r="A949" s="0" t="s">
        <v>8881</v>
      </c>
      <c r="B949" s="0" t="s">
        <v>8882</v>
      </c>
      <c r="C949" s="0" t="s">
        <v>8883</v>
      </c>
      <c r="D949" s="0" t="s">
        <v>113</v>
      </c>
      <c r="E949" s="5" t="s">
        <v>77</v>
      </c>
      <c r="F949" s="0" t="s">
        <v>5508</v>
      </c>
      <c r="G949" s="0" t="s">
        <v>1953</v>
      </c>
      <c r="H949" s="0" t="s">
        <v>5566</v>
      </c>
      <c r="I949" s="5" t="s">
        <v>8884</v>
      </c>
      <c r="K949" s="0" t="s">
        <v>36</v>
      </c>
      <c r="L949" s="0" t="s">
        <v>8885</v>
      </c>
    </row>
    <row r="950" customFormat="false" ht="17.15" hidden="false" customHeight="false" outlineLevel="0" collapsed="false">
      <c r="A950" s="0" t="s">
        <v>8886</v>
      </c>
      <c r="B950" s="0" t="s">
        <v>8887</v>
      </c>
      <c r="C950" s="0" t="s">
        <v>8888</v>
      </c>
      <c r="D950" s="0" t="s">
        <v>6692</v>
      </c>
      <c r="E950" s="5" t="s">
        <v>77</v>
      </c>
      <c r="F950" s="0" t="s">
        <v>6360</v>
      </c>
      <c r="G950" s="0" t="s">
        <v>1953</v>
      </c>
      <c r="H950" s="0" t="s">
        <v>5614</v>
      </c>
      <c r="I950" s="5" t="s">
        <v>8889</v>
      </c>
      <c r="K950" s="0" t="s">
        <v>36</v>
      </c>
      <c r="L950" s="0" t="s">
        <v>8890</v>
      </c>
    </row>
    <row r="951" customFormat="false" ht="17.15" hidden="false" customHeight="false" outlineLevel="0" collapsed="false">
      <c r="A951" s="0" t="s">
        <v>8891</v>
      </c>
      <c r="B951" s="0" t="s">
        <v>8892</v>
      </c>
      <c r="C951" s="0" t="s">
        <v>8893</v>
      </c>
      <c r="D951" s="0" t="s">
        <v>6273</v>
      </c>
      <c r="E951" s="5" t="s">
        <v>77</v>
      </c>
      <c r="F951" s="0" t="s">
        <v>8894</v>
      </c>
      <c r="G951" s="0" t="s">
        <v>1953</v>
      </c>
      <c r="H951" s="0" t="s">
        <v>5566</v>
      </c>
      <c r="I951" s="0" t="s">
        <v>8895</v>
      </c>
      <c r="K951" s="0" t="s">
        <v>36</v>
      </c>
      <c r="L951" s="0" t="s">
        <v>8896</v>
      </c>
    </row>
    <row r="952" customFormat="false" ht="17.15" hidden="false" customHeight="false" outlineLevel="0" collapsed="false">
      <c r="A952" s="0" t="s">
        <v>8897</v>
      </c>
      <c r="B952" s="0" t="s">
        <v>8892</v>
      </c>
      <c r="C952" s="0" t="s">
        <v>8898</v>
      </c>
      <c r="D952" s="0" t="s">
        <v>5608</v>
      </c>
      <c r="E952" s="5" t="s">
        <v>77</v>
      </c>
      <c r="F952" s="0" t="s">
        <v>2525</v>
      </c>
      <c r="G952" s="0" t="s">
        <v>1953</v>
      </c>
      <c r="H952" s="0" t="s">
        <v>5598</v>
      </c>
      <c r="I952" s="0" t="s">
        <v>8899</v>
      </c>
      <c r="K952" s="0" t="s">
        <v>36</v>
      </c>
      <c r="L952" s="0" t="s">
        <v>8900</v>
      </c>
    </row>
    <row r="953" customFormat="false" ht="17.15" hidden="false" customHeight="false" outlineLevel="0" collapsed="false">
      <c r="A953" s="0" t="s">
        <v>8901</v>
      </c>
      <c r="B953" s="0" t="s">
        <v>8892</v>
      </c>
      <c r="C953" s="0" t="s">
        <v>8902</v>
      </c>
      <c r="D953" s="0" t="s">
        <v>8903</v>
      </c>
      <c r="E953" s="5" t="s">
        <v>77</v>
      </c>
      <c r="F953" s="0" t="s">
        <v>5183</v>
      </c>
      <c r="G953" s="0" t="s">
        <v>1899</v>
      </c>
      <c r="H953" s="0" t="s">
        <v>5609</v>
      </c>
      <c r="I953" s="5" t="s">
        <v>5819</v>
      </c>
      <c r="K953" s="0" t="s">
        <v>36</v>
      </c>
      <c r="L953" s="0" t="s">
        <v>8904</v>
      </c>
    </row>
    <row r="954" customFormat="false" ht="17.15" hidden="false" customHeight="false" outlineLevel="0" collapsed="false">
      <c r="A954" s="0" t="s">
        <v>8905</v>
      </c>
      <c r="B954" s="0" t="s">
        <v>8892</v>
      </c>
      <c r="C954" s="0" t="s">
        <v>8906</v>
      </c>
      <c r="D954" s="0" t="s">
        <v>113</v>
      </c>
      <c r="E954" s="5" t="s">
        <v>77</v>
      </c>
      <c r="F954" s="0" t="s">
        <v>7990</v>
      </c>
      <c r="G954" s="0" t="s">
        <v>1899</v>
      </c>
      <c r="H954" s="0" t="s">
        <v>5566</v>
      </c>
      <c r="I954" s="0" t="s">
        <v>8907</v>
      </c>
      <c r="K954" s="0" t="s">
        <v>36</v>
      </c>
      <c r="L954" s="0" t="s">
        <v>8908</v>
      </c>
    </row>
    <row r="955" customFormat="false" ht="17.15" hidden="false" customHeight="false" outlineLevel="0" collapsed="false">
      <c r="A955" s="0" t="s">
        <v>8909</v>
      </c>
      <c r="B955" s="0" t="s">
        <v>8910</v>
      </c>
      <c r="C955" s="0" t="s">
        <v>8911</v>
      </c>
      <c r="D955" s="0" t="s">
        <v>6215</v>
      </c>
      <c r="E955" s="5" t="s">
        <v>77</v>
      </c>
      <c r="F955" s="0" t="s">
        <v>6456</v>
      </c>
      <c r="G955" s="0" t="s">
        <v>1953</v>
      </c>
      <c r="H955" s="0" t="s">
        <v>5566</v>
      </c>
      <c r="I955" s="0" t="s">
        <v>8912</v>
      </c>
      <c r="K955" s="0" t="s">
        <v>36</v>
      </c>
      <c r="L955" s="0" t="s">
        <v>8913</v>
      </c>
    </row>
    <row r="956" customFormat="false" ht="17.15" hidden="false" customHeight="false" outlineLevel="0" collapsed="false">
      <c r="A956" s="0" t="s">
        <v>8914</v>
      </c>
      <c r="B956" s="0" t="s">
        <v>8910</v>
      </c>
      <c r="C956" s="0" t="s">
        <v>8915</v>
      </c>
      <c r="D956" s="0" t="s">
        <v>6442</v>
      </c>
      <c r="E956" s="5" t="s">
        <v>77</v>
      </c>
      <c r="F956" s="0" t="s">
        <v>8916</v>
      </c>
      <c r="G956" s="0" t="s">
        <v>1953</v>
      </c>
      <c r="H956" s="0" t="s">
        <v>5566</v>
      </c>
      <c r="I956" s="0" t="s">
        <v>8917</v>
      </c>
      <c r="K956" s="0" t="s">
        <v>36</v>
      </c>
      <c r="L956" s="0" t="s">
        <v>8918</v>
      </c>
    </row>
    <row r="957" customFormat="false" ht="17.15" hidden="false" customHeight="false" outlineLevel="0" collapsed="false">
      <c r="A957" s="0" t="s">
        <v>8919</v>
      </c>
      <c r="B957" s="0" t="s">
        <v>8910</v>
      </c>
      <c r="C957" s="0" t="s">
        <v>8920</v>
      </c>
      <c r="D957" s="0" t="s">
        <v>6030</v>
      </c>
      <c r="E957" s="5" t="s">
        <v>77</v>
      </c>
      <c r="F957" s="0" t="s">
        <v>5053</v>
      </c>
      <c r="G957" s="0" t="s">
        <v>1953</v>
      </c>
      <c r="H957" s="0" t="s">
        <v>5598</v>
      </c>
      <c r="I957" s="0" t="s">
        <v>8921</v>
      </c>
      <c r="K957" s="0" t="s">
        <v>36</v>
      </c>
      <c r="L957" s="0" t="s">
        <v>8922</v>
      </c>
    </row>
    <row r="958" customFormat="false" ht="17.15" hidden="false" customHeight="false" outlineLevel="0" collapsed="false">
      <c r="A958" s="0" t="s">
        <v>8923</v>
      </c>
      <c r="B958" s="0" t="s">
        <v>8910</v>
      </c>
      <c r="C958" s="0" t="s">
        <v>8924</v>
      </c>
      <c r="D958" s="0" t="s">
        <v>4958</v>
      </c>
      <c r="E958" s="5" t="s">
        <v>77</v>
      </c>
      <c r="F958" s="0" t="s">
        <v>8925</v>
      </c>
      <c r="G958" s="0" t="s">
        <v>1953</v>
      </c>
      <c r="H958" s="0" t="s">
        <v>5566</v>
      </c>
      <c r="I958" s="5" t="s">
        <v>8926</v>
      </c>
      <c r="K958" s="0" t="s">
        <v>36</v>
      </c>
      <c r="L958" s="0" t="s">
        <v>8927</v>
      </c>
    </row>
    <row r="959" customFormat="false" ht="17.15" hidden="false" customHeight="false" outlineLevel="0" collapsed="false">
      <c r="A959" s="0" t="s">
        <v>8928</v>
      </c>
      <c r="B959" s="0" t="s">
        <v>8929</v>
      </c>
      <c r="C959" s="0" t="s">
        <v>8930</v>
      </c>
      <c r="D959" s="0" t="s">
        <v>5564</v>
      </c>
      <c r="E959" s="5" t="s">
        <v>77</v>
      </c>
      <c r="F959" s="0" t="s">
        <v>5625</v>
      </c>
      <c r="G959" s="0" t="s">
        <v>1953</v>
      </c>
      <c r="H959" s="0" t="s">
        <v>5598</v>
      </c>
      <c r="I959" s="5" t="s">
        <v>8931</v>
      </c>
      <c r="K959" s="0" t="s">
        <v>36</v>
      </c>
      <c r="L959" s="0" t="s">
        <v>8932</v>
      </c>
    </row>
    <row r="960" customFormat="false" ht="17.15" hidden="false" customHeight="false" outlineLevel="0" collapsed="false">
      <c r="A960" s="0" t="s">
        <v>8933</v>
      </c>
      <c r="B960" s="0" t="s">
        <v>8929</v>
      </c>
      <c r="C960" s="0" t="s">
        <v>8934</v>
      </c>
      <c r="D960" s="0" t="s">
        <v>7365</v>
      </c>
      <c r="E960" s="5" t="s">
        <v>77</v>
      </c>
      <c r="F960" s="0" t="s">
        <v>8935</v>
      </c>
      <c r="G960" s="0" t="s">
        <v>1953</v>
      </c>
      <c r="H960" s="0" t="s">
        <v>5614</v>
      </c>
      <c r="I960" s="0" t="s">
        <v>8936</v>
      </c>
      <c r="K960" s="0" t="s">
        <v>36</v>
      </c>
      <c r="L960" s="0" t="s">
        <v>8937</v>
      </c>
    </row>
    <row r="961" customFormat="false" ht="17.15" hidden="false" customHeight="false" outlineLevel="0" collapsed="false">
      <c r="A961" s="0" t="s">
        <v>8938</v>
      </c>
      <c r="B961" s="0" t="s">
        <v>8929</v>
      </c>
      <c r="C961" s="0" t="s">
        <v>8939</v>
      </c>
      <c r="D961" s="0" t="s">
        <v>6442</v>
      </c>
      <c r="E961" s="5" t="s">
        <v>77</v>
      </c>
      <c r="F961" s="0" t="s">
        <v>8935</v>
      </c>
      <c r="G961" s="0" t="s">
        <v>1953</v>
      </c>
      <c r="H961" s="0" t="s">
        <v>5566</v>
      </c>
      <c r="I961" s="0" t="s">
        <v>8940</v>
      </c>
      <c r="K961" s="0" t="s">
        <v>36</v>
      </c>
      <c r="L961" s="0" t="s">
        <v>8937</v>
      </c>
    </row>
    <row r="962" customFormat="false" ht="17.15" hidden="false" customHeight="false" outlineLevel="0" collapsed="false">
      <c r="A962" s="0" t="s">
        <v>8941</v>
      </c>
      <c r="B962" s="0" t="s">
        <v>8942</v>
      </c>
      <c r="C962" s="0" t="s">
        <v>8943</v>
      </c>
      <c r="D962" s="0" t="s">
        <v>5564</v>
      </c>
      <c r="E962" s="5" t="s">
        <v>77</v>
      </c>
      <c r="F962" s="0" t="s">
        <v>8944</v>
      </c>
      <c r="G962" s="0" t="s">
        <v>1953</v>
      </c>
      <c r="H962" s="0" t="s">
        <v>5566</v>
      </c>
      <c r="I962" s="0" t="s">
        <v>8945</v>
      </c>
      <c r="K962" s="0" t="s">
        <v>36</v>
      </c>
      <c r="L962" s="0" t="s">
        <v>8946</v>
      </c>
    </row>
    <row r="963" customFormat="false" ht="17.15" hidden="false" customHeight="false" outlineLevel="0" collapsed="false">
      <c r="A963" s="0" t="s">
        <v>8947</v>
      </c>
      <c r="B963" s="0" t="s">
        <v>8942</v>
      </c>
      <c r="C963" s="0" t="s">
        <v>8948</v>
      </c>
      <c r="D963" s="0" t="s">
        <v>4883</v>
      </c>
      <c r="E963" s="5" t="s">
        <v>77</v>
      </c>
      <c r="F963" s="0" t="s">
        <v>8944</v>
      </c>
      <c r="G963" s="0" t="s">
        <v>1953</v>
      </c>
      <c r="H963" s="0" t="s">
        <v>5609</v>
      </c>
      <c r="I963" s="5" t="s">
        <v>5610</v>
      </c>
      <c r="K963" s="0" t="s">
        <v>36</v>
      </c>
      <c r="L963" s="0" t="s">
        <v>8949</v>
      </c>
    </row>
    <row r="964" customFormat="false" ht="17.15" hidden="false" customHeight="false" outlineLevel="0" collapsed="false">
      <c r="A964" s="0" t="s">
        <v>8950</v>
      </c>
      <c r="B964" s="0" t="s">
        <v>8887</v>
      </c>
      <c r="C964" s="0" t="s">
        <v>8951</v>
      </c>
      <c r="D964" s="0" t="s">
        <v>6273</v>
      </c>
      <c r="E964" s="5" t="s">
        <v>77</v>
      </c>
      <c r="F964" s="0" t="s">
        <v>6377</v>
      </c>
      <c r="G964" s="0" t="s">
        <v>1953</v>
      </c>
      <c r="H964" s="0" t="s">
        <v>5566</v>
      </c>
      <c r="I964" s="5" t="s">
        <v>8952</v>
      </c>
      <c r="K964" s="0" t="s">
        <v>36</v>
      </c>
      <c r="L964" s="0" t="s">
        <v>8953</v>
      </c>
    </row>
    <row r="965" customFormat="false" ht="17.15" hidden="false" customHeight="false" outlineLevel="0" collapsed="false">
      <c r="A965" s="0" t="s">
        <v>8954</v>
      </c>
      <c r="B965" s="0" t="s">
        <v>8887</v>
      </c>
      <c r="C965" s="0" t="s">
        <v>8955</v>
      </c>
      <c r="D965" s="0" t="s">
        <v>4971</v>
      </c>
      <c r="E965" s="5" t="s">
        <v>77</v>
      </c>
      <c r="F965" s="0" t="s">
        <v>6377</v>
      </c>
      <c r="G965" s="0" t="s">
        <v>1953</v>
      </c>
      <c r="H965" s="0" t="s">
        <v>5614</v>
      </c>
      <c r="I965" s="5" t="s">
        <v>8956</v>
      </c>
      <c r="K965" s="0" t="s">
        <v>36</v>
      </c>
      <c r="L965" s="0" t="s">
        <v>8953</v>
      </c>
    </row>
    <row r="966" customFormat="false" ht="17.15" hidden="false" customHeight="false" outlineLevel="0" collapsed="false">
      <c r="A966" s="0" t="s">
        <v>8957</v>
      </c>
      <c r="B966" s="0" t="s">
        <v>8958</v>
      </c>
      <c r="C966" s="0" t="s">
        <v>8959</v>
      </c>
      <c r="D966" s="0" t="s">
        <v>4568</v>
      </c>
      <c r="E966" s="5" t="s">
        <v>77</v>
      </c>
      <c r="F966" s="0" t="s">
        <v>6203</v>
      </c>
      <c r="G966" s="0" t="s">
        <v>1953</v>
      </c>
      <c r="H966" s="0" t="s">
        <v>5566</v>
      </c>
      <c r="I966" s="0" t="s">
        <v>8960</v>
      </c>
      <c r="K966" s="0" t="s">
        <v>36</v>
      </c>
      <c r="L966" s="0" t="s">
        <v>8961</v>
      </c>
    </row>
    <row r="967" customFormat="false" ht="17.15" hidden="false" customHeight="false" outlineLevel="0" collapsed="false">
      <c r="A967" s="0" t="s">
        <v>8962</v>
      </c>
      <c r="B967" s="0" t="s">
        <v>8963</v>
      </c>
      <c r="C967" s="0" t="s">
        <v>8964</v>
      </c>
      <c r="D967" s="0" t="s">
        <v>8965</v>
      </c>
      <c r="E967" s="0" t="s">
        <v>112</v>
      </c>
      <c r="F967" s="0" t="s">
        <v>8420</v>
      </c>
      <c r="G967" s="0" t="s">
        <v>1953</v>
      </c>
      <c r="H967" s="0" t="s">
        <v>5566</v>
      </c>
      <c r="I967" s="0" t="s">
        <v>8966</v>
      </c>
      <c r="K967" s="0" t="s">
        <v>36</v>
      </c>
      <c r="L967" s="0" t="s">
        <v>8967</v>
      </c>
    </row>
    <row r="968" customFormat="false" ht="17.15" hidden="false" customHeight="false" outlineLevel="0" collapsed="false">
      <c r="A968" s="0" t="s">
        <v>8968</v>
      </c>
      <c r="B968" s="0" t="s">
        <v>8963</v>
      </c>
      <c r="C968" s="0" t="s">
        <v>8969</v>
      </c>
      <c r="D968" s="0" t="s">
        <v>113</v>
      </c>
      <c r="E968" s="5" t="s">
        <v>77</v>
      </c>
      <c r="F968" s="0" t="s">
        <v>6297</v>
      </c>
      <c r="G968" s="0" t="s">
        <v>1899</v>
      </c>
      <c r="H968" s="0" t="s">
        <v>5566</v>
      </c>
      <c r="I968" s="5" t="s">
        <v>8970</v>
      </c>
      <c r="K968" s="0" t="s">
        <v>36</v>
      </c>
      <c r="L968" s="0" t="s">
        <v>8971</v>
      </c>
    </row>
    <row r="969" customFormat="false" ht="17.15" hidden="false" customHeight="false" outlineLevel="0" collapsed="false">
      <c r="A969" s="0" t="s">
        <v>8972</v>
      </c>
      <c r="B969" s="0" t="s">
        <v>8963</v>
      </c>
      <c r="C969" s="0" t="s">
        <v>8973</v>
      </c>
      <c r="D969" s="0" t="s">
        <v>113</v>
      </c>
      <c r="E969" s="5" t="s">
        <v>77</v>
      </c>
      <c r="F969" s="0" t="s">
        <v>8420</v>
      </c>
      <c r="G969" s="0" t="s">
        <v>1953</v>
      </c>
      <c r="H969" s="0" t="s">
        <v>5566</v>
      </c>
      <c r="I969" s="0" t="s">
        <v>8974</v>
      </c>
      <c r="K969" s="0" t="s">
        <v>36</v>
      </c>
      <c r="L969" s="0" t="s">
        <v>8975</v>
      </c>
    </row>
    <row r="970" customFormat="false" ht="17.15" hidden="false" customHeight="false" outlineLevel="0" collapsed="false">
      <c r="A970" s="0" t="s">
        <v>8976</v>
      </c>
      <c r="B970" s="0" t="s">
        <v>8977</v>
      </c>
      <c r="C970" s="0" t="s">
        <v>8978</v>
      </c>
      <c r="D970" s="0" t="s">
        <v>8979</v>
      </c>
      <c r="E970" s="5" t="s">
        <v>77</v>
      </c>
      <c r="F970" s="0" t="s">
        <v>8044</v>
      </c>
      <c r="G970" s="0" t="s">
        <v>1953</v>
      </c>
      <c r="H970" s="0" t="s">
        <v>5609</v>
      </c>
      <c r="I970" s="5" t="s">
        <v>5819</v>
      </c>
      <c r="K970" s="0" t="s">
        <v>36</v>
      </c>
      <c r="L970" s="0" t="s">
        <v>8980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8981</v>
      </c>
    </row>
    <row r="3" customFormat="false" ht="17.15" hidden="false" customHeight="false" outlineLevel="0" collapsed="false">
      <c r="A3" s="6" t="s">
        <v>20</v>
      </c>
      <c r="B3" s="6" t="s">
        <v>8982</v>
      </c>
      <c r="C3" s="6" t="s">
        <v>21</v>
      </c>
    </row>
    <row r="4" customFormat="false" ht="17.15" hidden="false" customHeight="false" outlineLevel="0" collapsed="false">
      <c r="A4" s="0" t="s">
        <v>419</v>
      </c>
      <c r="B4" s="0" t="s">
        <v>36</v>
      </c>
      <c r="C4" s="5" t="s">
        <v>8983</v>
      </c>
    </row>
    <row r="5" customFormat="false" ht="17.15" hidden="false" customHeight="false" outlineLevel="0" collapsed="false">
      <c r="A5" s="0" t="s">
        <v>284</v>
      </c>
      <c r="B5" s="0" t="s">
        <v>8984</v>
      </c>
      <c r="C5" s="0" t="s">
        <v>8985</v>
      </c>
    </row>
    <row r="6" customFormat="false" ht="17.15" hidden="false" customHeight="false" outlineLevel="0" collapsed="false">
      <c r="A6" s="0" t="s">
        <v>8986</v>
      </c>
      <c r="B6" s="0" t="s">
        <v>8987</v>
      </c>
      <c r="C6" s="0" t="s">
        <v>8988</v>
      </c>
    </row>
    <row r="7" customFormat="false" ht="17.15" hidden="false" customHeight="false" outlineLevel="0" collapsed="false">
      <c r="A7" s="0" t="s">
        <v>39</v>
      </c>
      <c r="B7" s="0" t="s">
        <v>8989</v>
      </c>
      <c r="C7" s="0" t="s">
        <v>8990</v>
      </c>
    </row>
    <row r="8" customFormat="false" ht="17.15" hidden="false" customHeight="false" outlineLevel="0" collapsed="false">
      <c r="A8" s="0" t="s">
        <v>49</v>
      </c>
      <c r="B8" s="0" t="s">
        <v>8991</v>
      </c>
      <c r="C8" s="0" t="s">
        <v>8992</v>
      </c>
    </row>
    <row r="9" customFormat="false" ht="17.15" hidden="false" customHeight="false" outlineLevel="0" collapsed="false">
      <c r="A9" s="0" t="s">
        <v>8993</v>
      </c>
      <c r="B9" s="5" t="s">
        <v>8994</v>
      </c>
      <c r="C9" s="0" t="s">
        <v>8995</v>
      </c>
    </row>
    <row r="10" customFormat="false" ht="17.15" hidden="false" customHeight="false" outlineLevel="0" collapsed="false">
      <c r="A10" s="0" t="s">
        <v>115</v>
      </c>
      <c r="B10" s="0" t="s">
        <v>8996</v>
      </c>
      <c r="C10" s="0" t="s">
        <v>8997</v>
      </c>
    </row>
    <row r="11" customFormat="false" ht="17.15" hidden="false" customHeight="false" outlineLevel="0" collapsed="false">
      <c r="A11" s="0" t="s">
        <v>392</v>
      </c>
      <c r="B11" s="0" t="s">
        <v>8998</v>
      </c>
      <c r="C11" s="0" t="s">
        <v>8999</v>
      </c>
    </row>
    <row r="12" customFormat="false" ht="17.15" hidden="false" customHeight="false" outlineLevel="0" collapsed="false">
      <c r="A12" s="0" t="s">
        <v>124</v>
      </c>
      <c r="B12" s="0" t="s">
        <v>9000</v>
      </c>
      <c r="C12" s="0" t="s">
        <v>9001</v>
      </c>
    </row>
    <row r="13" customFormat="false" ht="17.15" hidden="false" customHeight="false" outlineLevel="0" collapsed="false">
      <c r="A13" s="0" t="s">
        <v>396</v>
      </c>
      <c r="B13" s="0" t="s">
        <v>9002</v>
      </c>
      <c r="C13" s="0" t="s">
        <v>9003</v>
      </c>
    </row>
    <row r="14" customFormat="false" ht="17.15" hidden="false" customHeight="false" outlineLevel="0" collapsed="false">
      <c r="A14" s="0" t="s">
        <v>69</v>
      </c>
      <c r="B14" s="0" t="s">
        <v>9004</v>
      </c>
      <c r="C14" s="0" t="s">
        <v>9005</v>
      </c>
    </row>
    <row r="15" customFormat="false" ht="17.15" hidden="false" customHeight="false" outlineLevel="0" collapsed="false">
      <c r="A15" s="0" t="s">
        <v>400</v>
      </c>
      <c r="B15" s="0" t="s">
        <v>9006</v>
      </c>
      <c r="C15" s="0" t="s">
        <v>9007</v>
      </c>
    </row>
    <row r="16" customFormat="false" ht="17.15" hidden="false" customHeight="false" outlineLevel="0" collapsed="false">
      <c r="A16" s="0" t="s">
        <v>135</v>
      </c>
      <c r="B16" s="0" t="s">
        <v>9008</v>
      </c>
      <c r="C16" s="0" t="s">
        <v>9009</v>
      </c>
    </row>
    <row r="17" customFormat="false" ht="17.15" hidden="false" customHeight="false" outlineLevel="0" collapsed="false">
      <c r="A17" s="0" t="s">
        <v>407</v>
      </c>
      <c r="B17" s="0" t="s">
        <v>9010</v>
      </c>
      <c r="C17" s="0" t="s">
        <v>9011</v>
      </c>
    </row>
    <row r="18" customFormat="false" ht="17.15" hidden="false" customHeight="false" outlineLevel="0" collapsed="false">
      <c r="A18" s="0" t="s">
        <v>143</v>
      </c>
      <c r="B18" s="0" t="s">
        <v>9012</v>
      </c>
      <c r="C18" s="0" t="s">
        <v>9013</v>
      </c>
    </row>
    <row r="19" customFormat="false" ht="17.15" hidden="false" customHeight="false" outlineLevel="0" collapsed="false">
      <c r="A19" s="0" t="s">
        <v>411</v>
      </c>
      <c r="B19" s="0" t="s">
        <v>9014</v>
      </c>
      <c r="C19" s="0" t="s">
        <v>9015</v>
      </c>
    </row>
    <row r="20" customFormat="false" ht="17.15" hidden="false" customHeight="false" outlineLevel="0" collapsed="false">
      <c r="A20" s="0" t="s">
        <v>298</v>
      </c>
      <c r="B20" s="0" t="s">
        <v>9016</v>
      </c>
      <c r="C20" s="0" t="s">
        <v>9017</v>
      </c>
    </row>
    <row r="21" customFormat="false" ht="17.15" hidden="false" customHeight="false" outlineLevel="0" collapsed="false">
      <c r="A21" s="0" t="s">
        <v>193</v>
      </c>
      <c r="B21" s="0" t="s">
        <v>9018</v>
      </c>
      <c r="C21" s="0" t="s">
        <v>9019</v>
      </c>
    </row>
    <row r="22" customFormat="false" ht="17.15" hidden="false" customHeight="false" outlineLevel="0" collapsed="false">
      <c r="A22" s="0" t="s">
        <v>301</v>
      </c>
      <c r="B22" s="0" t="s">
        <v>9020</v>
      </c>
      <c r="C22" s="0" t="s">
        <v>9021</v>
      </c>
    </row>
    <row r="23" customFormat="false" ht="17.15" hidden="false" customHeight="false" outlineLevel="0" collapsed="false">
      <c r="A23" s="0" t="s">
        <v>9022</v>
      </c>
      <c r="B23" s="0" t="s">
        <v>9023</v>
      </c>
      <c r="C23" s="0" t="s">
        <v>9024</v>
      </c>
    </row>
    <row r="24" customFormat="false" ht="17.15" hidden="false" customHeight="false" outlineLevel="0" collapsed="false">
      <c r="A24" s="0" t="s">
        <v>9025</v>
      </c>
      <c r="B24" s="0" t="s">
        <v>9026</v>
      </c>
      <c r="C24" s="0" t="s">
        <v>9027</v>
      </c>
    </row>
    <row r="25" customFormat="false" ht="17.15" hidden="false" customHeight="false" outlineLevel="0" collapsed="false">
      <c r="A25" s="0" t="s">
        <v>486</v>
      </c>
      <c r="B25" s="0" t="s">
        <v>9028</v>
      </c>
      <c r="C25" s="5" t="s">
        <v>9029</v>
      </c>
    </row>
    <row r="26" customFormat="false" ht="17.15" hidden="false" customHeight="false" outlineLevel="0" collapsed="false">
      <c r="A26" s="0" t="s">
        <v>9030</v>
      </c>
      <c r="B26" s="0" t="s">
        <v>9031</v>
      </c>
      <c r="C26" s="0" t="s">
        <v>9032</v>
      </c>
    </row>
    <row r="27" customFormat="false" ht="17.15" hidden="false" customHeight="false" outlineLevel="0" collapsed="false">
      <c r="A27" s="0" t="s">
        <v>189</v>
      </c>
      <c r="B27" s="0" t="s">
        <v>9033</v>
      </c>
      <c r="C27" s="0" t="s">
        <v>9034</v>
      </c>
    </row>
    <row r="28" customFormat="false" ht="17.15" hidden="false" customHeight="false" outlineLevel="0" collapsed="false">
      <c r="A28" s="0" t="s">
        <v>79</v>
      </c>
      <c r="B28" s="0" t="s">
        <v>9035</v>
      </c>
      <c r="C28" s="0" t="s">
        <v>9036</v>
      </c>
    </row>
    <row r="29" customFormat="false" ht="17.15" hidden="false" customHeight="false" outlineLevel="0" collapsed="false">
      <c r="A29" s="0" t="s">
        <v>92</v>
      </c>
      <c r="B29" s="0" t="s">
        <v>9037</v>
      </c>
      <c r="C29" s="0" t="s">
        <v>9038</v>
      </c>
    </row>
    <row r="30" customFormat="false" ht="17.15" hidden="false" customHeight="false" outlineLevel="0" collapsed="false">
      <c r="A30" s="0" t="s">
        <v>44</v>
      </c>
      <c r="B30" s="0" t="s">
        <v>9039</v>
      </c>
      <c r="C30" s="0" t="s">
        <v>9040</v>
      </c>
    </row>
    <row r="31" customFormat="false" ht="17.15" hidden="false" customHeight="false" outlineLevel="0" collapsed="false">
      <c r="A31" s="0" t="s">
        <v>373</v>
      </c>
      <c r="B31" s="0" t="s">
        <v>9041</v>
      </c>
      <c r="C31" s="0" t="s">
        <v>9042</v>
      </c>
    </row>
    <row r="32" customFormat="false" ht="17.15" hidden="false" customHeight="false" outlineLevel="0" collapsed="false">
      <c r="A32" s="0" t="s">
        <v>164</v>
      </c>
      <c r="B32" s="0" t="s">
        <v>9043</v>
      </c>
      <c r="C32" s="0" t="s">
        <v>9044</v>
      </c>
    </row>
    <row r="33" customFormat="false" ht="17.15" hidden="false" customHeight="false" outlineLevel="0" collapsed="false">
      <c r="A33" s="0" t="s">
        <v>9045</v>
      </c>
      <c r="B33" s="0" t="s">
        <v>9046</v>
      </c>
      <c r="C33" s="0" t="s">
        <v>9047</v>
      </c>
    </row>
    <row r="34" customFormat="false" ht="17.15" hidden="false" customHeight="false" outlineLevel="0" collapsed="false">
      <c r="A34" s="0" t="s">
        <v>227</v>
      </c>
      <c r="B34" s="0" t="s">
        <v>9048</v>
      </c>
      <c r="C34" s="0" t="s">
        <v>9049</v>
      </c>
    </row>
    <row r="35" customFormat="false" ht="17.15" hidden="false" customHeight="false" outlineLevel="0" collapsed="false">
      <c r="A35" s="0" t="s">
        <v>231</v>
      </c>
      <c r="B35" s="0" t="s">
        <v>9050</v>
      </c>
      <c r="C35" s="0" t="s">
        <v>9051</v>
      </c>
    </row>
    <row r="36" customFormat="false" ht="17.15" hidden="false" customHeight="false" outlineLevel="0" collapsed="false">
      <c r="A36" s="0" t="s">
        <v>9052</v>
      </c>
      <c r="B36" s="0" t="s">
        <v>9053</v>
      </c>
      <c r="C36" s="0" t="s">
        <v>9054</v>
      </c>
    </row>
    <row r="37" customFormat="false" ht="17.15" hidden="false" customHeight="false" outlineLevel="0" collapsed="false">
      <c r="A37" s="0" t="s">
        <v>694</v>
      </c>
      <c r="B37" s="0" t="s">
        <v>9055</v>
      </c>
      <c r="C37" s="0" t="s">
        <v>9056</v>
      </c>
    </row>
    <row r="38" customFormat="false" ht="17.15" hidden="false" customHeight="false" outlineLevel="0" collapsed="false">
      <c r="A38" s="0" t="s">
        <v>9057</v>
      </c>
      <c r="B38" s="0" t="s">
        <v>9058</v>
      </c>
      <c r="C38" s="0" t="s">
        <v>9059</v>
      </c>
    </row>
    <row r="39" customFormat="false" ht="17.15" hidden="false" customHeight="false" outlineLevel="0" collapsed="false">
      <c r="A39" s="0" t="s">
        <v>747</v>
      </c>
      <c r="B39" s="0" t="s">
        <v>9060</v>
      </c>
      <c r="C39" s="0" t="s">
        <v>9061</v>
      </c>
    </row>
    <row r="40" customFormat="false" ht="17.15" hidden="false" customHeight="false" outlineLevel="0" collapsed="false">
      <c r="A40" s="0" t="s">
        <v>9062</v>
      </c>
      <c r="B40" s="0" t="s">
        <v>9063</v>
      </c>
      <c r="C40" s="0" t="s">
        <v>9064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9065</v>
      </c>
    </row>
    <row r="3" customFormat="false" ht="15" hidden="false" customHeight="false" outlineLevel="0" collapsed="false">
      <c r="A3" s="7" t="s">
        <v>1730</v>
      </c>
      <c r="B3" s="6" t="s">
        <v>9066</v>
      </c>
      <c r="C3" s="6" t="s">
        <v>9067</v>
      </c>
      <c r="D3" s="6" t="s">
        <v>9068</v>
      </c>
      <c r="E3" s="6" t="s">
        <v>4369</v>
      </c>
    </row>
    <row r="4" customFormat="false" ht="48.5" hidden="false" customHeight="false" outlineLevel="0" collapsed="false">
      <c r="A4" s="3" t="s">
        <v>9069</v>
      </c>
      <c r="B4" s="3" t="s">
        <v>9070</v>
      </c>
      <c r="C4" s="2" t="s">
        <v>9071</v>
      </c>
      <c r="D4" s="2" t="s">
        <v>9072</v>
      </c>
      <c r="E4" s="2" t="s">
        <v>9073</v>
      </c>
    </row>
    <row r="5" customFormat="false" ht="17.15" hidden="false" customHeight="false" outlineLevel="0" collapsed="false">
      <c r="A5" s="3" t="s">
        <v>9074</v>
      </c>
      <c r="B5" s="3" t="s">
        <v>9075</v>
      </c>
      <c r="C5" s="3" t="s">
        <v>9076</v>
      </c>
      <c r="D5" s="2" t="s">
        <v>9077</v>
      </c>
      <c r="E5" s="2" t="s">
        <v>9078</v>
      </c>
    </row>
    <row r="6" customFormat="false" ht="17.15" hidden="false" customHeight="false" outlineLevel="0" collapsed="false">
      <c r="A6" s="3" t="s">
        <v>9079</v>
      </c>
      <c r="B6" s="3" t="s">
        <v>9070</v>
      </c>
      <c r="C6" s="3" t="s">
        <v>9080</v>
      </c>
      <c r="D6" s="2" t="s">
        <v>9081</v>
      </c>
      <c r="E6" s="3" t="s">
        <v>9082</v>
      </c>
    </row>
    <row r="7" customFormat="false" ht="48.5" hidden="false" customHeight="false" outlineLevel="0" collapsed="false">
      <c r="A7" s="3" t="s">
        <v>9083</v>
      </c>
      <c r="B7" s="2" t="s">
        <v>9084</v>
      </c>
      <c r="C7" s="2" t="s">
        <v>9085</v>
      </c>
      <c r="D7" s="3" t="s">
        <v>9086</v>
      </c>
      <c r="E7" s="3" t="s">
        <v>9082</v>
      </c>
    </row>
    <row r="8" customFormat="false" ht="17.15" hidden="false" customHeight="false" outlineLevel="0" collapsed="false">
      <c r="A8" s="3" t="s">
        <v>9087</v>
      </c>
      <c r="B8" s="3" t="s">
        <v>9070</v>
      </c>
      <c r="C8" s="2" t="s">
        <v>9088</v>
      </c>
      <c r="D8" s="3" t="s">
        <v>9089</v>
      </c>
      <c r="E8" s="2" t="s">
        <v>9090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2026-10-29T22:53:35Z</dcterms:created>
  <dc:creator>openpyxl</dc:creator>
  <dc:description/>
  <dc:language>en-US</dc:language>
  <cp:lastModifiedBy/>
  <dcterms:modified xsi:type="dcterms:W3CDTF">2026-10-29T22:53:35Z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