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Checks!$C$156</definedName>
    <definedName function="false" hidden="false" name="WGOV_Warn" vbProcedure="false">Checks!$C$157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Facility_bldg_2024" vbProcedure="false">Interface!$D$138</definedName>
    <definedName function="false" hidden="false" name="WIF_Facility_bldg_2025" vbProcedure="false">Interface!$E$138</definedName>
    <definedName function="false" hidden="false" name="WIF_Facility_bldg_2026" vbProcedure="false">Interface!$F$138</definedName>
    <definedName function="false" hidden="false" name="WIF_Facility_bldg_2027" vbProcedure="false">Interface!$G$138</definedName>
    <definedName function="false" hidden="false" name="WIF_Facility_bldg_2028" vbProcedure="false">Interface!$H$138</definedName>
    <definedName function="false" hidden="false" name="WIF_Facility_bldg_2029" vbProcedure="false">Interface!$I$138</definedName>
    <definedName function="false" hidden="false" name="WIF_Facility_bldg_2030" vbProcedure="false">Interface!$J$138</definedName>
    <definedName function="false" hidden="false" name="WIF_Facility_bldg_2031" vbProcedure="false">Interface!$K$138</definedName>
    <definedName function="false" hidden="false" name="WIF_Facility_bldg_2032" vbProcedure="false">Interface!$L$138</definedName>
    <definedName function="false" hidden="false" name="WIF_Facility_cool_2024" vbProcedure="false">Interface!$D$137</definedName>
    <definedName function="false" hidden="false" name="WIF_Facility_cool_2025" vbProcedure="false">Interface!$E$137</definedName>
    <definedName function="false" hidden="false" name="WIF_Facility_cool_2026" vbProcedure="false">Interface!$F$137</definedName>
    <definedName function="false" hidden="false" name="WIF_Facility_cool_2027" vbProcedure="false">Interface!$G$137</definedName>
    <definedName function="false" hidden="false" name="WIF_Facility_cool_2028" vbProcedure="false">Interface!$H$137</definedName>
    <definedName function="false" hidden="false" name="WIF_Facility_cool_2029" vbProcedure="false">Interface!$I$137</definedName>
    <definedName function="false" hidden="false" name="WIF_Facility_cool_2030" vbProcedure="false">Interface!$J$137</definedName>
    <definedName function="false" hidden="false" name="WIF_Facility_cool_2031" vbProcedure="false">Interface!$K$137</definedName>
    <definedName function="false" hidden="false" name="WIF_Facility_cool_2032" vbProcedure="false">Interface!$L$137</definedName>
    <definedName function="false" hidden="false" name="WIF_Facility_dist_2024" vbProcedure="false">Interface!$D$134</definedName>
    <definedName function="false" hidden="false" name="WIF_Facility_dist_2025" vbProcedure="false">Interface!$E$134</definedName>
    <definedName function="false" hidden="false" name="WIF_Facility_dist_2026" vbProcedure="false">Interface!$F$134</definedName>
    <definedName function="false" hidden="false" name="WIF_Facility_dist_2027" vbProcedure="false">Interface!$G$134</definedName>
    <definedName function="false" hidden="false" name="WIF_Facility_dist_2028" vbProcedure="false">Interface!$H$134</definedName>
    <definedName function="false" hidden="false" name="WIF_Facility_dist_2029" vbProcedure="false">Interface!$I$134</definedName>
    <definedName function="false" hidden="false" name="WIF_Facility_dist_2030" vbProcedure="false">Interface!$J$134</definedName>
    <definedName function="false" hidden="false" name="WIF_Facility_dist_2031" vbProcedure="false">Interface!$K$134</definedName>
    <definedName function="false" hidden="false" name="WIF_Facility_dist_2032" vbProcedure="false">Interface!$L$134</definedName>
    <definedName function="false" hidden="false" name="WIF_Facility_gen_2024" vbProcedure="false">Interface!$D$135</definedName>
    <definedName function="false" hidden="false" name="WIF_Facility_gen_2025" vbProcedure="false">Interface!$E$135</definedName>
    <definedName function="false" hidden="false" name="WIF_Facility_gen_2026" vbProcedure="false">Interface!$F$135</definedName>
    <definedName function="false" hidden="false" name="WIF_Facility_gen_2027" vbProcedure="false">Interface!$G$135</definedName>
    <definedName function="false" hidden="false" name="WIF_Facility_gen_2028" vbProcedure="false">Interface!$H$135</definedName>
    <definedName function="false" hidden="false" name="WIF_Facility_gen_2029" vbProcedure="false">Interface!$I$135</definedName>
    <definedName function="false" hidden="false" name="WIF_Facility_gen_2030" vbProcedure="false">Interface!$J$135</definedName>
    <definedName function="false" hidden="false" name="WIF_Facility_gen_2031" vbProcedure="false">Interface!$K$135</definedName>
    <definedName function="false" hidden="false" name="WIF_Facility_gen_2032" vbProcedure="false">Interface!$L$135</definedName>
    <definedName function="false" hidden="false" name="WIF_Facility_labor_2024" vbProcedure="false">Interface!$D$139</definedName>
    <definedName function="false" hidden="false" name="WIF_Facility_labor_2025" vbProcedure="false">Interface!$E$139</definedName>
    <definedName function="false" hidden="false" name="WIF_Facility_labor_2026" vbProcedure="false">Interface!$F$139</definedName>
    <definedName function="false" hidden="false" name="WIF_Facility_labor_2027" vbProcedure="false">Interface!$G$139</definedName>
    <definedName function="false" hidden="false" name="WIF_Facility_labor_2028" vbProcedure="false">Interface!$H$139</definedName>
    <definedName function="false" hidden="false" name="WIF_Facility_labor_2029" vbProcedure="false">Interface!$I$139</definedName>
    <definedName function="false" hidden="false" name="WIF_Facility_labor_2030" vbProcedure="false">Interface!$J$139</definedName>
    <definedName function="false" hidden="false" name="WIF_Facility_labor_2031" vbProcedure="false">Interface!$K$139</definedName>
    <definedName function="false" hidden="false" name="WIF_Facility_labor_2032" vbProcedure="false">Interface!$L$139</definedName>
    <definedName function="false" hidden="false" name="WIF_Facility_land_2024" vbProcedure="false">Interface!$D$142</definedName>
    <definedName function="false" hidden="false" name="WIF_Facility_land_2025" vbProcedure="false">Interface!$E$142</definedName>
    <definedName function="false" hidden="false" name="WIF_Facility_land_2026" vbProcedure="false">Interface!$F$142</definedName>
    <definedName function="false" hidden="false" name="WIF_Facility_land_2027" vbProcedure="false">Interface!$G$142</definedName>
    <definedName function="false" hidden="false" name="WIF_Facility_land_2028" vbProcedure="false">Interface!$H$142</definedName>
    <definedName function="false" hidden="false" name="WIF_Facility_land_2029" vbProcedure="false">Interface!$I$142</definedName>
    <definedName function="false" hidden="false" name="WIF_Facility_land_2030" vbProcedure="false">Interface!$J$142</definedName>
    <definedName function="false" hidden="false" name="WIF_Facility_land_2031" vbProcedure="false">Interface!$K$142</definedName>
    <definedName function="false" hidden="false" name="WIF_Facility_land_2032" vbProcedure="false">Interface!$L$142</definedName>
    <definedName function="false" hidden="false" name="WIF_Facility_mkt_q_gen_2024" vbProcedure="false">Interface!$D$145</definedName>
    <definedName function="false" hidden="false" name="WIF_Facility_mkt_q_gen_2025" vbProcedure="false">Interface!$E$145</definedName>
    <definedName function="false" hidden="false" name="WIF_Facility_mkt_q_gen_2026" vbProcedure="false">Interface!$F$145</definedName>
    <definedName function="false" hidden="false" name="WIF_Facility_mkt_q_gen_2027" vbProcedure="false">Interface!$G$145</definedName>
    <definedName function="false" hidden="false" name="WIF_Facility_mkt_q_gen_2028" vbProcedure="false">Interface!$H$145</definedName>
    <definedName function="false" hidden="false" name="WIF_Facility_mkt_q_gen_2029" vbProcedure="false">Interface!$I$145</definedName>
    <definedName function="false" hidden="false" name="WIF_Facility_mkt_q_gen_2030" vbProcedure="false">Interface!$J$145</definedName>
    <definedName function="false" hidden="false" name="WIF_Facility_mkt_q_gen_2031" vbProcedure="false">Interface!$K$145</definedName>
    <definedName function="false" hidden="false" name="WIF_Facility_mkt_q_gen_2032" vbProcedure="false">Interface!$L$145</definedName>
    <definedName function="false" hidden="false" name="WIF_Facility_mkt_q_self_2024" vbProcedure="false">Interface!$D$146</definedName>
    <definedName function="false" hidden="false" name="WIF_Facility_mkt_q_self_2025" vbProcedure="false">Interface!$E$146</definedName>
    <definedName function="false" hidden="false" name="WIF_Facility_mkt_q_self_2026" vbProcedure="false">Interface!$F$146</definedName>
    <definedName function="false" hidden="false" name="WIF_Facility_mkt_q_self_2027" vbProcedure="false">Interface!$G$146</definedName>
    <definedName function="false" hidden="false" name="WIF_Facility_mkt_q_self_2028" vbProcedure="false">Interface!$H$146</definedName>
    <definedName function="false" hidden="false" name="WIF_Facility_mkt_q_self_2029" vbProcedure="false">Interface!$I$146</definedName>
    <definedName function="false" hidden="false" name="WIF_Facility_mkt_q_self_2030" vbProcedure="false">Interface!$J$146</definedName>
    <definedName function="false" hidden="false" name="WIF_Facility_mkt_q_self_2031" vbProcedure="false">Interface!$K$146</definedName>
    <definedName function="false" hidden="false" name="WIF_Facility_mkt_q_self_2032" vbProcedure="false">Interface!$L$146</definedName>
    <definedName function="false" hidden="false" name="WIF_Facility_net_2024" vbProcedure="false">Interface!$D$141</definedName>
    <definedName function="false" hidden="false" name="WIF_Facility_net_2025" vbProcedure="false">Interface!$E$141</definedName>
    <definedName function="false" hidden="false" name="WIF_Facility_net_2026" vbProcedure="false">Interface!$F$141</definedName>
    <definedName function="false" hidden="false" name="WIF_Facility_net_2027" vbProcedure="false">Interface!$G$141</definedName>
    <definedName function="false" hidden="false" name="WIF_Facility_net_2028" vbProcedure="false">Interface!$H$141</definedName>
    <definedName function="false" hidden="false" name="WIF_Facility_net_2029" vbProcedure="false">Interface!$I$141</definedName>
    <definedName function="false" hidden="false" name="WIF_Facility_net_2030" vbProcedure="false">Interface!$J$141</definedName>
    <definedName function="false" hidden="false" name="WIF_Facility_net_2031" vbProcedure="false">Interface!$K$141</definedName>
    <definedName function="false" hidden="false" name="WIF_Facility_net_2032" vbProcedure="false">Interface!$L$141</definedName>
    <definedName function="false" hidden="false" name="WIF_Facility_prof_2024" vbProcedure="false">Interface!$D$140</definedName>
    <definedName function="false" hidden="false" name="WIF_Facility_prof_2025" vbProcedure="false">Interface!$E$140</definedName>
    <definedName function="false" hidden="false" name="WIF_Facility_prof_2026" vbProcedure="false">Interface!$F$140</definedName>
    <definedName function="false" hidden="false" name="WIF_Facility_prof_2027" vbProcedure="false">Interface!$G$140</definedName>
    <definedName function="false" hidden="false" name="WIF_Facility_prof_2028" vbProcedure="false">Interface!$H$140</definedName>
    <definedName function="false" hidden="false" name="WIF_Facility_prof_2029" vbProcedure="false">Interface!$I$140</definedName>
    <definedName function="false" hidden="false" name="WIF_Facility_prof_2030" vbProcedure="false">Interface!$J$140</definedName>
    <definedName function="false" hidden="false" name="WIF_Facility_prof_2031" vbProcedure="false">Interface!$K$140</definedName>
    <definedName function="false" hidden="false" name="WIF_Facility_prof_2032" vbProcedure="false">Interface!$L$140</definedName>
    <definedName function="false" hidden="false" name="WIF_Facility_resid_2024" vbProcedure="false">Interface!$D$143</definedName>
    <definedName function="false" hidden="false" name="WIF_Facility_resid_2025" vbProcedure="false">Interface!$E$143</definedName>
    <definedName function="false" hidden="false" name="WIF_Facility_resid_2026" vbProcedure="false">Interface!$F$143</definedName>
    <definedName function="false" hidden="false" name="WIF_Facility_resid_2027" vbProcedure="false">Interface!$G$143</definedName>
    <definedName function="false" hidden="false" name="WIF_Facility_resid_2028" vbProcedure="false">Interface!$H$143</definedName>
    <definedName function="false" hidden="false" name="WIF_Facility_resid_2029" vbProcedure="false">Interface!$I$143</definedName>
    <definedName function="false" hidden="false" name="WIF_Facility_resid_2030" vbProcedure="false">Interface!$J$143</definedName>
    <definedName function="false" hidden="false" name="WIF_Facility_resid_2031" vbProcedure="false">Interface!$K$143</definedName>
    <definedName function="false" hidden="false" name="WIF_Facility_resid_2032" vbProcedure="false">Interface!$L$143</definedName>
    <definedName function="false" hidden="false" name="WIF_Facility_self_unit_2024" vbProcedure="false">Interface!$D$144</definedName>
    <definedName function="false" hidden="false" name="WIF_Facility_self_unit_2025" vbProcedure="false">Interface!$E$144</definedName>
    <definedName function="false" hidden="false" name="WIF_Facility_self_unit_2026" vbProcedure="false">Interface!$F$144</definedName>
    <definedName function="false" hidden="false" name="WIF_Facility_self_unit_2027" vbProcedure="false">Interface!$G$144</definedName>
    <definedName function="false" hidden="false" name="WIF_Facility_self_unit_2028" vbProcedure="false">Interface!$H$144</definedName>
    <definedName function="false" hidden="false" name="WIF_Facility_self_unit_2029" vbProcedure="false">Interface!$I$144</definedName>
    <definedName function="false" hidden="false" name="WIF_Facility_self_unit_2030" vbProcedure="false">Interface!$J$144</definedName>
    <definedName function="false" hidden="false" name="WIF_Facility_self_unit_2031" vbProcedure="false">Interface!$K$144</definedName>
    <definedName function="false" hidden="false" name="WIF_Facility_self_unit_2032" vbProcedure="false">Interface!$L$144</definedName>
    <definedName function="false" hidden="false" name="WIF_Facility_ups_2024" vbProcedure="false">Interface!$D$136</definedName>
    <definedName function="false" hidden="false" name="WIF_Facility_ups_2025" vbProcedure="false">Interface!$E$136</definedName>
    <definedName function="false" hidden="false" name="WIF_Facility_ups_2026" vbProcedure="false">Interface!$F$136</definedName>
    <definedName function="false" hidden="false" name="WIF_Facility_ups_2027" vbProcedure="false">Interface!$G$136</definedName>
    <definedName function="false" hidden="false" name="WIF_Facility_ups_2028" vbProcedure="false">Interface!$H$136</definedName>
    <definedName function="false" hidden="false" name="WIF_Facility_ups_2029" vbProcedure="false">Interface!$I$136</definedName>
    <definedName function="false" hidden="false" name="WIF_Facility_ups_2030" vbProcedure="false">Interface!$J$136</definedName>
    <definedName function="false" hidden="false" name="WIF_Facility_ups_2031" vbProcedure="false">Interface!$K$136</definedName>
    <definedName function="false" hidden="false" name="WIF_Facility_ups_2032" vbProcedure="false">Interface!$L$136</definedName>
    <definedName function="false" hidden="false" name="WIF_Funding_amzn_2024_capex" vbProcedure="false">Interface!$D$251</definedName>
    <definedName function="false" hidden="false" name="WIF_Funding_amzn_2024_debt_pct" vbProcedure="false">Interface!$D$255</definedName>
    <definedName function="false" hidden="false" name="WIF_Funding_amzn_2024_debt_raised" vbProcedure="false">Interface!$D$266</definedName>
    <definedName function="false" hidden="false" name="WIF_Funding_amzn_2024_equity_pct" vbProcedure="false">Interface!$D$254</definedName>
    <definedName function="false" hidden="false" name="WIF_Funding_amzn_2024_equity_raised" vbProcedure="false">Interface!$D$267</definedName>
    <definedName function="false" hidden="false" name="WIF_Funding_amzn_2024_fcf" vbProcedure="false">Interface!$D$264</definedName>
    <definedName function="false" hidden="false" name="WIF_Funding_amzn_2024_gross_debt_pct" vbProcedure="false">Interface!$D$260</definedName>
    <definedName function="false" hidden="false" name="WIF_Funding_amzn_2024_gross_equity_pct" vbProcedure="false">Interface!$D$261</definedName>
    <definedName function="false" hidden="false" name="WIF_Funding_amzn_2024_gross_ext" vbProcedure="false">Interface!$D$257</definedName>
    <definedName function="false" hidden="false" name="WIF_Funding_amzn_2024_gross_ext_pct" vbProcedure="false">Interface!$D$258</definedName>
    <definedName function="false" hidden="false" name="WIF_Funding_amzn_2024_gross_lease_jv_pct" vbProcedure="false">Interface!$D$262</definedName>
    <definedName function="false" hidden="false" name="WIF_Funding_amzn_2024_gross_ocf_pct" vbProcedure="false">Interface!$D$259</definedName>
    <definedName function="false" hidden="false" name="WIF_Funding_amzn_2024_int_pct" vbProcedure="false">Interface!$D$252</definedName>
    <definedName function="false" hidden="false" name="WIF_Funding_amzn_2024_lease_pct" vbProcedure="false">Interface!$D$253</definedName>
    <definedName function="false" hidden="false" name="WIF_Funding_amzn_2024_lnc" vbProcedure="false">Interface!$D$265</definedName>
    <definedName function="false" hidden="false" name="WIF_Funding_amzn_2024_ocf" vbProcedure="false">Interface!$D$263</definedName>
    <definedName function="false" hidden="false" name="WIF_Funding_amzn_2024_other_pct" vbProcedure="false">Interface!$D$256</definedName>
    <definedName function="false" hidden="false" name="WIF_Funding_amzn_2025_capex" vbProcedure="false">Interface!$D$268</definedName>
    <definedName function="false" hidden="false" name="WIF_Funding_amzn_2025_debt_pct" vbProcedure="false">Interface!$D$272</definedName>
    <definedName function="false" hidden="false" name="WIF_Funding_amzn_2025_debt_raised" vbProcedure="false">Interface!$D$283</definedName>
    <definedName function="false" hidden="false" name="WIF_Funding_amzn_2025_equity_pct" vbProcedure="false">Interface!$D$271</definedName>
    <definedName function="false" hidden="false" name="WIF_Funding_amzn_2025_equity_raised" vbProcedure="false">Interface!$D$284</definedName>
    <definedName function="false" hidden="false" name="WIF_Funding_amzn_2025_fcf" vbProcedure="false">Interface!$D$281</definedName>
    <definedName function="false" hidden="false" name="WIF_Funding_amzn_2025_gross_debt_pct" vbProcedure="false">Interface!$D$277</definedName>
    <definedName function="false" hidden="false" name="WIF_Funding_amzn_2025_gross_equity_pct" vbProcedure="false">Interface!$D$278</definedName>
    <definedName function="false" hidden="false" name="WIF_Funding_amzn_2025_gross_ext" vbProcedure="false">Interface!$D$274</definedName>
    <definedName function="false" hidden="false" name="WIF_Funding_amzn_2025_gross_ext_pct" vbProcedure="false">Interface!$D$275</definedName>
    <definedName function="false" hidden="false" name="WIF_Funding_amzn_2025_gross_lease_jv_pct" vbProcedure="false">Interface!$D$279</definedName>
    <definedName function="false" hidden="false" name="WIF_Funding_amzn_2025_gross_ocf_pct" vbProcedure="false">Interface!$D$276</definedName>
    <definedName function="false" hidden="false" name="WIF_Funding_amzn_2025_int_pct" vbProcedure="false">Interface!$D$269</definedName>
    <definedName function="false" hidden="false" name="WIF_Funding_amzn_2025_lease_pct" vbProcedure="false">Interface!$D$270</definedName>
    <definedName function="false" hidden="false" name="WIF_Funding_amzn_2025_lnc" vbProcedure="false">Interface!$D$282</definedName>
    <definedName function="false" hidden="false" name="WIF_Funding_amzn_2025_ocf" vbProcedure="false">Interface!$D$280</definedName>
    <definedName function="false" hidden="false" name="WIF_Funding_amzn_2025_other_pct" vbProcedure="false">Interface!$D$273</definedName>
    <definedName function="false" hidden="false" name="WIF_Funding_amzn_2026_capex" vbProcedure="false">Interface!$D$285</definedName>
    <definedName function="false" hidden="false" name="WIF_Funding_amzn_2026_debt_pct" vbProcedure="false">Interface!$D$289</definedName>
    <definedName function="false" hidden="false" name="WIF_Funding_amzn_2026_debt_raised" vbProcedure="false">Interface!$D$300</definedName>
    <definedName function="false" hidden="false" name="WIF_Funding_amzn_2026_equity_pct" vbProcedure="false">Interface!$D$288</definedName>
    <definedName function="false" hidden="false" name="WIF_Funding_amzn_2026_equity_raised" vbProcedure="false">Interface!$D$301</definedName>
    <definedName function="false" hidden="false" name="WIF_Funding_amzn_2026_fcf" vbProcedure="false">Interface!$D$298</definedName>
    <definedName function="false" hidden="false" name="WIF_Funding_amzn_2026_gross_debt_pct" vbProcedure="false">Interface!$D$294</definedName>
    <definedName function="false" hidden="false" name="WIF_Funding_amzn_2026_gross_equity_pct" vbProcedure="false">Interface!$D$295</definedName>
    <definedName function="false" hidden="false" name="WIF_Funding_amzn_2026_gross_ext" vbProcedure="false">Interface!$D$291</definedName>
    <definedName function="false" hidden="false" name="WIF_Funding_amzn_2026_gross_ext_pct" vbProcedure="false">Interface!$D$292</definedName>
    <definedName function="false" hidden="false" name="WIF_Funding_amzn_2026_gross_lease_jv_pct" vbProcedure="false">Interface!$D$296</definedName>
    <definedName function="false" hidden="false" name="WIF_Funding_amzn_2026_gross_ocf_pct" vbProcedure="false">Interface!$D$293</definedName>
    <definedName function="false" hidden="false" name="WIF_Funding_amzn_2026_int_pct" vbProcedure="false">Interface!$D$286</definedName>
    <definedName function="false" hidden="false" name="WIF_Funding_amzn_2026_lease_pct" vbProcedure="false">Interface!$D$287</definedName>
    <definedName function="false" hidden="false" name="WIF_Funding_amzn_2026_lnc" vbProcedure="false">Interface!$D$299</definedName>
    <definedName function="false" hidden="false" name="WIF_Funding_amzn_2026_ocf" vbProcedure="false">Interface!$D$297</definedName>
    <definedName function="false" hidden="false" name="WIF_Funding_amzn_2026_other_pct" vbProcedure="false">Interface!$D$290</definedName>
    <definedName function="false" hidden="false" name="WIF_Funding_ant_2025_capex" vbProcedure="false">Interface!$D$557</definedName>
    <definedName function="false" hidden="false" name="WIF_Funding_ant_2025_debt_pct" vbProcedure="false">Interface!$D$561</definedName>
    <definedName function="false" hidden="false" name="WIF_Funding_ant_2025_debt_raised" vbProcedure="false">Interface!$D$572</definedName>
    <definedName function="false" hidden="false" name="WIF_Funding_ant_2025_equity_pct" vbProcedure="false">Interface!$D$560</definedName>
    <definedName function="false" hidden="false" name="WIF_Funding_ant_2025_equity_raised" vbProcedure="false">Interface!$D$573</definedName>
    <definedName function="false" hidden="false" name="WIF_Funding_ant_2025_fcf" vbProcedure="false">Interface!$D$570</definedName>
    <definedName function="false" hidden="false" name="WIF_Funding_ant_2025_gross_debt_pct" vbProcedure="false">Interface!$D$566</definedName>
    <definedName function="false" hidden="false" name="WIF_Funding_ant_2025_gross_equity_pct" vbProcedure="false">Interface!$D$567</definedName>
    <definedName function="false" hidden="false" name="WIF_Funding_ant_2025_gross_ext" vbProcedure="false">Interface!$D$563</definedName>
    <definedName function="false" hidden="false" name="WIF_Funding_ant_2025_gross_ext_pct" vbProcedure="false">Interface!$D$564</definedName>
    <definedName function="false" hidden="false" name="WIF_Funding_ant_2025_gross_lease_jv_pct" vbProcedure="false">Interface!$D$568</definedName>
    <definedName function="false" hidden="false" name="WIF_Funding_ant_2025_gross_ocf_pct" vbProcedure="false">Interface!$D$565</definedName>
    <definedName function="false" hidden="false" name="WIF_Funding_ant_2025_int_pct" vbProcedure="false">Interface!$D$558</definedName>
    <definedName function="false" hidden="false" name="WIF_Funding_ant_2025_lease_pct" vbProcedure="false">Interface!$D$559</definedName>
    <definedName function="false" hidden="false" name="WIF_Funding_ant_2025_lnc" vbProcedure="false">Interface!$D$571</definedName>
    <definedName function="false" hidden="false" name="WIF_Funding_ant_2025_ocf" vbProcedure="false">Interface!$D$569</definedName>
    <definedName function="false" hidden="false" name="WIF_Funding_ant_2025_other_pct" vbProcedure="false">Interface!$D$562</definedName>
    <definedName function="false" hidden="false" name="WIF_Funding_ant_2026_capex" vbProcedure="false">Interface!$D$574</definedName>
    <definedName function="false" hidden="false" name="WIF_Funding_ant_2026_debt_pct" vbProcedure="false">Interface!$D$578</definedName>
    <definedName function="false" hidden="false" name="WIF_Funding_ant_2026_debt_raised" vbProcedure="false">Interface!$D$589</definedName>
    <definedName function="false" hidden="false" name="WIF_Funding_ant_2026_equity_pct" vbProcedure="false">Interface!$D$577</definedName>
    <definedName function="false" hidden="false" name="WIF_Funding_ant_2026_equity_raised" vbProcedure="false">Interface!$D$590</definedName>
    <definedName function="false" hidden="false" name="WIF_Funding_ant_2026_fcf" vbProcedure="false">Interface!$D$587</definedName>
    <definedName function="false" hidden="false" name="WIF_Funding_ant_2026_gross_debt_pct" vbProcedure="false">Interface!$D$583</definedName>
    <definedName function="false" hidden="false" name="WIF_Funding_ant_2026_gross_equity_pct" vbProcedure="false">Interface!$D$584</definedName>
    <definedName function="false" hidden="false" name="WIF_Funding_ant_2026_gross_ext" vbProcedure="false">Interface!$D$580</definedName>
    <definedName function="false" hidden="false" name="WIF_Funding_ant_2026_gross_ext_pct" vbProcedure="false">Interface!$D$581</definedName>
    <definedName function="false" hidden="false" name="WIF_Funding_ant_2026_gross_lease_jv_pct" vbProcedure="false">Interface!$D$585</definedName>
    <definedName function="false" hidden="false" name="WIF_Funding_ant_2026_gross_ocf_pct" vbProcedure="false">Interface!$D$582</definedName>
    <definedName function="false" hidden="false" name="WIF_Funding_ant_2026_int_pct" vbProcedure="false">Interface!$D$575</definedName>
    <definedName function="false" hidden="false" name="WIF_Funding_ant_2026_lease_pct" vbProcedure="false">Interface!$D$576</definedName>
    <definedName function="false" hidden="false" name="WIF_Funding_ant_2026_lnc" vbProcedure="false">Interface!$D$588</definedName>
    <definedName function="false" hidden="false" name="WIF_Funding_ant_2026_ocf" vbProcedure="false">Interface!$D$586</definedName>
    <definedName function="false" hidden="false" name="WIF_Funding_ant_2026_other_pct" vbProcedure="false">Interface!$D$579</definedName>
    <definedName function="false" hidden="false" name="WIF_Funding_crwv_2024_capex" vbProcedure="false">Interface!$D$404</definedName>
    <definedName function="false" hidden="false" name="WIF_Funding_crwv_2024_debt_pct" vbProcedure="false">Interface!$D$408</definedName>
    <definedName function="false" hidden="false" name="WIF_Funding_crwv_2024_debt_raised" vbProcedure="false">Interface!$D$419</definedName>
    <definedName function="false" hidden="false" name="WIF_Funding_crwv_2024_equity_pct" vbProcedure="false">Interface!$D$407</definedName>
    <definedName function="false" hidden="false" name="WIF_Funding_crwv_2024_equity_raised" vbProcedure="false">Interface!$D$420</definedName>
    <definedName function="false" hidden="false" name="WIF_Funding_crwv_2024_fcf" vbProcedure="false">Interface!$D$417</definedName>
    <definedName function="false" hidden="false" name="WIF_Funding_crwv_2024_gross_debt_pct" vbProcedure="false">Interface!$D$413</definedName>
    <definedName function="false" hidden="false" name="WIF_Funding_crwv_2024_gross_equity_pct" vbProcedure="false">Interface!$D$414</definedName>
    <definedName function="false" hidden="false" name="WIF_Funding_crwv_2024_gross_ext" vbProcedure="false">Interface!$D$410</definedName>
    <definedName function="false" hidden="false" name="WIF_Funding_crwv_2024_gross_ext_pct" vbProcedure="false">Interface!$D$411</definedName>
    <definedName function="false" hidden="false" name="WIF_Funding_crwv_2024_gross_lease_jv_pct" vbProcedure="false">Interface!$D$415</definedName>
    <definedName function="false" hidden="false" name="WIF_Funding_crwv_2024_gross_ocf_pct" vbProcedure="false">Interface!$D$412</definedName>
    <definedName function="false" hidden="false" name="WIF_Funding_crwv_2024_int_pct" vbProcedure="false">Interface!$D$405</definedName>
    <definedName function="false" hidden="false" name="WIF_Funding_crwv_2024_lease_pct" vbProcedure="false">Interface!$D$406</definedName>
    <definedName function="false" hidden="false" name="WIF_Funding_crwv_2024_lnc" vbProcedure="false">Interface!$D$418</definedName>
    <definedName function="false" hidden="false" name="WIF_Funding_crwv_2024_ocf" vbProcedure="false">Interface!$D$416</definedName>
    <definedName function="false" hidden="false" name="WIF_Funding_crwv_2024_other_pct" vbProcedure="false">Interface!$D$409</definedName>
    <definedName function="false" hidden="false" name="WIF_Funding_crwv_2025_capex" vbProcedure="false">Interface!$D$421</definedName>
    <definedName function="false" hidden="false" name="WIF_Funding_crwv_2025_debt_pct" vbProcedure="false">Interface!$D$425</definedName>
    <definedName function="false" hidden="false" name="WIF_Funding_crwv_2025_debt_raised" vbProcedure="false">Interface!$D$436</definedName>
    <definedName function="false" hidden="false" name="WIF_Funding_crwv_2025_equity_pct" vbProcedure="false">Interface!$D$424</definedName>
    <definedName function="false" hidden="false" name="WIF_Funding_crwv_2025_equity_raised" vbProcedure="false">Interface!$D$437</definedName>
    <definedName function="false" hidden="false" name="WIF_Funding_crwv_2025_fcf" vbProcedure="false">Interface!$D$434</definedName>
    <definedName function="false" hidden="false" name="WIF_Funding_crwv_2025_gross_debt_pct" vbProcedure="false">Interface!$D$430</definedName>
    <definedName function="false" hidden="false" name="WIF_Funding_crwv_2025_gross_equity_pct" vbProcedure="false">Interface!$D$431</definedName>
    <definedName function="false" hidden="false" name="WIF_Funding_crwv_2025_gross_ext" vbProcedure="false">Interface!$D$427</definedName>
    <definedName function="false" hidden="false" name="WIF_Funding_crwv_2025_gross_ext_pct" vbProcedure="false">Interface!$D$428</definedName>
    <definedName function="false" hidden="false" name="WIF_Funding_crwv_2025_gross_lease_jv_pct" vbProcedure="false">Interface!$D$432</definedName>
    <definedName function="false" hidden="false" name="WIF_Funding_crwv_2025_gross_ocf_pct" vbProcedure="false">Interface!$D$429</definedName>
    <definedName function="false" hidden="false" name="WIF_Funding_crwv_2025_int_pct" vbProcedure="false">Interface!$D$422</definedName>
    <definedName function="false" hidden="false" name="WIF_Funding_crwv_2025_lease_pct" vbProcedure="false">Interface!$D$423</definedName>
    <definedName function="false" hidden="false" name="WIF_Funding_crwv_2025_lnc" vbProcedure="false">Interface!$D$435</definedName>
    <definedName function="false" hidden="false" name="WIF_Funding_crwv_2025_ocf" vbProcedure="false">Interface!$D$433</definedName>
    <definedName function="false" hidden="false" name="WIF_Funding_crwv_2025_other_pct" vbProcedure="false">Interface!$D$426</definedName>
    <definedName function="false" hidden="false" name="WIF_Funding_crwv_2026_capex" vbProcedure="false">Interface!$D$438</definedName>
    <definedName function="false" hidden="false" name="WIF_Funding_crwv_2026_debt_pct" vbProcedure="false">Interface!$D$442</definedName>
    <definedName function="false" hidden="false" name="WIF_Funding_crwv_2026_debt_raised" vbProcedure="false">Interface!$D$453</definedName>
    <definedName function="false" hidden="false" name="WIF_Funding_crwv_2026_equity_pct" vbProcedure="false">Interface!$D$441</definedName>
    <definedName function="false" hidden="false" name="WIF_Funding_crwv_2026_equity_raised" vbProcedure="false">Interface!$D$454</definedName>
    <definedName function="false" hidden="false" name="WIF_Funding_crwv_2026_fcf" vbProcedure="false">Interface!$D$451</definedName>
    <definedName function="false" hidden="false" name="WIF_Funding_crwv_2026_gross_debt_pct" vbProcedure="false">Interface!$D$447</definedName>
    <definedName function="false" hidden="false" name="WIF_Funding_crwv_2026_gross_equity_pct" vbProcedure="false">Interface!$D$448</definedName>
    <definedName function="false" hidden="false" name="WIF_Funding_crwv_2026_gross_ext" vbProcedure="false">Interface!$D$444</definedName>
    <definedName function="false" hidden="false" name="WIF_Funding_crwv_2026_gross_ext_pct" vbProcedure="false">Interface!$D$445</definedName>
    <definedName function="false" hidden="false" name="WIF_Funding_crwv_2026_gross_lease_jv_pct" vbProcedure="false">Interface!$D$449</definedName>
    <definedName function="false" hidden="false" name="WIF_Funding_crwv_2026_gross_ocf_pct" vbProcedure="false">Interface!$D$446</definedName>
    <definedName function="false" hidden="false" name="WIF_Funding_crwv_2026_int_pct" vbProcedure="false">Interface!$D$439</definedName>
    <definedName function="false" hidden="false" name="WIF_Funding_crwv_2026_lease_pct" vbProcedure="false">Interface!$D$440</definedName>
    <definedName function="false" hidden="false" name="WIF_Funding_crwv_2026_lnc" vbProcedure="false">Interface!$D$452</definedName>
    <definedName function="false" hidden="false" name="WIF_Funding_crwv_2026_ocf" vbProcedure="false">Interface!$D$450</definedName>
    <definedName function="false" hidden="false" name="WIF_Funding_crwv_2026_other_pct" vbProcedure="false">Interface!$D$443</definedName>
    <definedName function="false" hidden="false" name="WIF_Funding_googl_2024_capex" vbProcedure="false">Interface!$D$200</definedName>
    <definedName function="false" hidden="false" name="WIF_Funding_googl_2024_debt_pct" vbProcedure="false">Interface!$D$204</definedName>
    <definedName function="false" hidden="false" name="WIF_Funding_googl_2024_debt_raised" vbProcedure="false">Interface!$D$215</definedName>
    <definedName function="false" hidden="false" name="WIF_Funding_googl_2024_equity_pct" vbProcedure="false">Interface!$D$203</definedName>
    <definedName function="false" hidden="false" name="WIF_Funding_googl_2024_equity_raised" vbProcedure="false">Interface!$D$216</definedName>
    <definedName function="false" hidden="false" name="WIF_Funding_googl_2024_fcf" vbProcedure="false">Interface!$D$213</definedName>
    <definedName function="false" hidden="false" name="WIF_Funding_googl_2024_gross_debt_pct" vbProcedure="false">Interface!$D$209</definedName>
    <definedName function="false" hidden="false" name="WIF_Funding_googl_2024_gross_equity_pct" vbProcedure="false">Interface!$D$210</definedName>
    <definedName function="false" hidden="false" name="WIF_Funding_googl_2024_gross_ext" vbProcedure="false">Interface!$D$206</definedName>
    <definedName function="false" hidden="false" name="WIF_Funding_googl_2024_gross_ext_pct" vbProcedure="false">Interface!$D$207</definedName>
    <definedName function="false" hidden="false" name="WIF_Funding_googl_2024_gross_lease_jv_pct" vbProcedure="false">Interface!$D$211</definedName>
    <definedName function="false" hidden="false" name="WIF_Funding_googl_2024_gross_ocf_pct" vbProcedure="false">Interface!$D$208</definedName>
    <definedName function="false" hidden="false" name="WIF_Funding_googl_2024_int_pct" vbProcedure="false">Interface!$D$201</definedName>
    <definedName function="false" hidden="false" name="WIF_Funding_googl_2024_lease_pct" vbProcedure="false">Interface!$D$202</definedName>
    <definedName function="false" hidden="false" name="WIF_Funding_googl_2024_lnc" vbProcedure="false">Interface!$D$214</definedName>
    <definedName function="false" hidden="false" name="WIF_Funding_googl_2024_ocf" vbProcedure="false">Interface!$D$212</definedName>
    <definedName function="false" hidden="false" name="WIF_Funding_googl_2024_other_pct" vbProcedure="false">Interface!$D$205</definedName>
    <definedName function="false" hidden="false" name="WIF_Funding_googl_2025_capex" vbProcedure="false">Interface!$D$217</definedName>
    <definedName function="false" hidden="false" name="WIF_Funding_googl_2025_debt_pct" vbProcedure="false">Interface!$D$221</definedName>
    <definedName function="false" hidden="false" name="WIF_Funding_googl_2025_debt_raised" vbProcedure="false">Interface!$D$232</definedName>
    <definedName function="false" hidden="false" name="WIF_Funding_googl_2025_equity_pct" vbProcedure="false">Interface!$D$220</definedName>
    <definedName function="false" hidden="false" name="WIF_Funding_googl_2025_equity_raised" vbProcedure="false">Interface!$D$233</definedName>
    <definedName function="false" hidden="false" name="WIF_Funding_googl_2025_fcf" vbProcedure="false">Interface!$D$230</definedName>
    <definedName function="false" hidden="false" name="WIF_Funding_googl_2025_gross_debt_pct" vbProcedure="false">Interface!$D$226</definedName>
    <definedName function="false" hidden="false" name="WIF_Funding_googl_2025_gross_equity_pct" vbProcedure="false">Interface!$D$227</definedName>
    <definedName function="false" hidden="false" name="WIF_Funding_googl_2025_gross_ext" vbProcedure="false">Interface!$D$223</definedName>
    <definedName function="false" hidden="false" name="WIF_Funding_googl_2025_gross_ext_pct" vbProcedure="false">Interface!$D$224</definedName>
    <definedName function="false" hidden="false" name="WIF_Funding_googl_2025_gross_lease_jv_pct" vbProcedure="false">Interface!$D$228</definedName>
    <definedName function="false" hidden="false" name="WIF_Funding_googl_2025_gross_ocf_pct" vbProcedure="false">Interface!$D$225</definedName>
    <definedName function="false" hidden="false" name="WIF_Funding_googl_2025_int_pct" vbProcedure="false">Interface!$D$218</definedName>
    <definedName function="false" hidden="false" name="WIF_Funding_googl_2025_lease_pct" vbProcedure="false">Interface!$D$219</definedName>
    <definedName function="false" hidden="false" name="WIF_Funding_googl_2025_lnc" vbProcedure="false">Interface!$D$231</definedName>
    <definedName function="false" hidden="false" name="WIF_Funding_googl_2025_ocf" vbProcedure="false">Interface!$D$229</definedName>
    <definedName function="false" hidden="false" name="WIF_Funding_googl_2025_other_pct" vbProcedure="false">Interface!$D$222</definedName>
    <definedName function="false" hidden="false" name="WIF_Funding_googl_2026_capex" vbProcedure="false">Interface!$D$234</definedName>
    <definedName function="false" hidden="false" name="WIF_Funding_googl_2026_debt_pct" vbProcedure="false">Interface!$D$238</definedName>
    <definedName function="false" hidden="false" name="WIF_Funding_googl_2026_debt_raised" vbProcedure="false">Interface!$D$249</definedName>
    <definedName function="false" hidden="false" name="WIF_Funding_googl_2026_equity_pct" vbProcedure="false">Interface!$D$237</definedName>
    <definedName function="false" hidden="false" name="WIF_Funding_googl_2026_equity_raised" vbProcedure="false">Interface!$D$250</definedName>
    <definedName function="false" hidden="false" name="WIF_Funding_googl_2026_fcf" vbProcedure="false">Interface!$D$247</definedName>
    <definedName function="false" hidden="false" name="WIF_Funding_googl_2026_gross_debt_pct" vbProcedure="false">Interface!$D$243</definedName>
    <definedName function="false" hidden="false" name="WIF_Funding_googl_2026_gross_equity_pct" vbProcedure="false">Interface!$D$244</definedName>
    <definedName function="false" hidden="false" name="WIF_Funding_googl_2026_gross_ext" vbProcedure="false">Interface!$D$240</definedName>
    <definedName function="false" hidden="false" name="WIF_Funding_googl_2026_gross_ext_pct" vbProcedure="false">Interface!$D$241</definedName>
    <definedName function="false" hidden="false" name="WIF_Funding_googl_2026_gross_lease_jv_pct" vbProcedure="false">Interface!$D$245</definedName>
    <definedName function="false" hidden="false" name="WIF_Funding_googl_2026_gross_ocf_pct" vbProcedure="false">Interface!$D$242</definedName>
    <definedName function="false" hidden="false" name="WIF_Funding_googl_2026_int_pct" vbProcedure="false">Interface!$D$235</definedName>
    <definedName function="false" hidden="false" name="WIF_Funding_googl_2026_lease_pct" vbProcedure="false">Interface!$D$236</definedName>
    <definedName function="false" hidden="false" name="WIF_Funding_googl_2026_lnc" vbProcedure="false">Interface!$D$248</definedName>
    <definedName function="false" hidden="false" name="WIF_Funding_googl_2026_ocf" vbProcedure="false">Interface!$D$246</definedName>
    <definedName function="false" hidden="false" name="WIF_Funding_googl_2026_other_pct" vbProcedure="false">Interface!$D$239</definedName>
    <definedName function="false" hidden="false" name="WIF_Funding_meta_2024_capex" vbProcedure="false">Interface!$D$302</definedName>
    <definedName function="false" hidden="false" name="WIF_Funding_meta_2024_debt_pct" vbProcedure="false">Interface!$D$306</definedName>
    <definedName function="false" hidden="false" name="WIF_Funding_meta_2024_debt_raised" vbProcedure="false">Interface!$D$317</definedName>
    <definedName function="false" hidden="false" name="WIF_Funding_meta_2024_equity_pct" vbProcedure="false">Interface!$D$305</definedName>
    <definedName function="false" hidden="false" name="WIF_Funding_meta_2024_equity_raised" vbProcedure="false">Interface!$D$318</definedName>
    <definedName function="false" hidden="false" name="WIF_Funding_meta_2024_fcf" vbProcedure="false">Interface!$D$315</definedName>
    <definedName function="false" hidden="false" name="WIF_Funding_meta_2024_gross_debt_pct" vbProcedure="false">Interface!$D$311</definedName>
    <definedName function="false" hidden="false" name="WIF_Funding_meta_2024_gross_equity_pct" vbProcedure="false">Interface!$D$312</definedName>
    <definedName function="false" hidden="false" name="WIF_Funding_meta_2024_gross_ext" vbProcedure="false">Interface!$D$308</definedName>
    <definedName function="false" hidden="false" name="WIF_Funding_meta_2024_gross_ext_pct" vbProcedure="false">Interface!$D$309</definedName>
    <definedName function="false" hidden="false" name="WIF_Funding_meta_2024_gross_lease_jv_pct" vbProcedure="false">Interface!$D$313</definedName>
    <definedName function="false" hidden="false" name="WIF_Funding_meta_2024_gross_ocf_pct" vbProcedure="false">Interface!$D$310</definedName>
    <definedName function="false" hidden="false" name="WIF_Funding_meta_2024_int_pct" vbProcedure="false">Interface!$D$303</definedName>
    <definedName function="false" hidden="false" name="WIF_Funding_meta_2024_lease_pct" vbProcedure="false">Interface!$D$304</definedName>
    <definedName function="false" hidden="false" name="WIF_Funding_meta_2024_lnc" vbProcedure="false">Interface!$D$316</definedName>
    <definedName function="false" hidden="false" name="WIF_Funding_meta_2024_ocf" vbProcedure="false">Interface!$D$314</definedName>
    <definedName function="false" hidden="false" name="WIF_Funding_meta_2024_other_pct" vbProcedure="false">Interface!$D$307</definedName>
    <definedName function="false" hidden="false" name="WIF_Funding_meta_2025_capex" vbProcedure="false">Interface!$D$319</definedName>
    <definedName function="false" hidden="false" name="WIF_Funding_meta_2025_debt_pct" vbProcedure="false">Interface!$D$323</definedName>
    <definedName function="false" hidden="false" name="WIF_Funding_meta_2025_debt_raised" vbProcedure="false">Interface!$D$334</definedName>
    <definedName function="false" hidden="false" name="WIF_Funding_meta_2025_equity_pct" vbProcedure="false">Interface!$D$322</definedName>
    <definedName function="false" hidden="false" name="WIF_Funding_meta_2025_equity_raised" vbProcedure="false">Interface!$D$335</definedName>
    <definedName function="false" hidden="false" name="WIF_Funding_meta_2025_fcf" vbProcedure="false">Interface!$D$332</definedName>
    <definedName function="false" hidden="false" name="WIF_Funding_meta_2025_gross_debt_pct" vbProcedure="false">Interface!$D$328</definedName>
    <definedName function="false" hidden="false" name="WIF_Funding_meta_2025_gross_equity_pct" vbProcedure="false">Interface!$D$329</definedName>
    <definedName function="false" hidden="false" name="WIF_Funding_meta_2025_gross_ext" vbProcedure="false">Interface!$D$325</definedName>
    <definedName function="false" hidden="false" name="WIF_Funding_meta_2025_gross_ext_pct" vbProcedure="false">Interface!$D$326</definedName>
    <definedName function="false" hidden="false" name="WIF_Funding_meta_2025_gross_lease_jv_pct" vbProcedure="false">Interface!$D$330</definedName>
    <definedName function="false" hidden="false" name="WIF_Funding_meta_2025_gross_ocf_pct" vbProcedure="false">Interface!$D$327</definedName>
    <definedName function="false" hidden="false" name="WIF_Funding_meta_2025_int_pct" vbProcedure="false">Interface!$D$320</definedName>
    <definedName function="false" hidden="false" name="WIF_Funding_meta_2025_lease_pct" vbProcedure="false">Interface!$D$321</definedName>
    <definedName function="false" hidden="false" name="WIF_Funding_meta_2025_lnc" vbProcedure="false">Interface!$D$333</definedName>
    <definedName function="false" hidden="false" name="WIF_Funding_meta_2025_ocf" vbProcedure="false">Interface!$D$331</definedName>
    <definedName function="false" hidden="false" name="WIF_Funding_meta_2025_other_pct" vbProcedure="false">Interface!$D$324</definedName>
    <definedName function="false" hidden="false" name="WIF_Funding_meta_2026_capex" vbProcedure="false">Interface!$D$336</definedName>
    <definedName function="false" hidden="false" name="WIF_Funding_meta_2026_debt_pct" vbProcedure="false">Interface!$D$340</definedName>
    <definedName function="false" hidden="false" name="WIF_Funding_meta_2026_debt_raised" vbProcedure="false">Interface!$D$351</definedName>
    <definedName function="false" hidden="false" name="WIF_Funding_meta_2026_equity_pct" vbProcedure="false">Interface!$D$339</definedName>
    <definedName function="false" hidden="false" name="WIF_Funding_meta_2026_equity_raised" vbProcedure="false">Interface!$D$352</definedName>
    <definedName function="false" hidden="false" name="WIF_Funding_meta_2026_fcf" vbProcedure="false">Interface!$D$349</definedName>
    <definedName function="false" hidden="false" name="WIF_Funding_meta_2026_gross_debt_pct" vbProcedure="false">Interface!$D$345</definedName>
    <definedName function="false" hidden="false" name="WIF_Funding_meta_2026_gross_equity_pct" vbProcedure="false">Interface!$D$346</definedName>
    <definedName function="false" hidden="false" name="WIF_Funding_meta_2026_gross_ext" vbProcedure="false">Interface!$D$342</definedName>
    <definedName function="false" hidden="false" name="WIF_Funding_meta_2026_gross_ext_pct" vbProcedure="false">Interface!$D$343</definedName>
    <definedName function="false" hidden="false" name="WIF_Funding_meta_2026_gross_lease_jv_pct" vbProcedure="false">Interface!$D$347</definedName>
    <definedName function="false" hidden="false" name="WIF_Funding_meta_2026_gross_ocf_pct" vbProcedure="false">Interface!$D$344</definedName>
    <definedName function="false" hidden="false" name="WIF_Funding_meta_2026_int_pct" vbProcedure="false">Interface!$D$337</definedName>
    <definedName function="false" hidden="false" name="WIF_Funding_meta_2026_lease_pct" vbProcedure="false">Interface!$D$338</definedName>
    <definedName function="false" hidden="false" name="WIF_Funding_meta_2026_lnc" vbProcedure="false">Interface!$D$350</definedName>
    <definedName function="false" hidden="false" name="WIF_Funding_meta_2026_ocf" vbProcedure="false">Interface!$D$348</definedName>
    <definedName function="false" hidden="false" name="WIF_Funding_meta_2026_other_pct" vbProcedure="false">Interface!$D$341</definedName>
    <definedName function="false" hidden="false" name="WIF_Funding_msft_2024_capex" vbProcedure="false">Interface!$D$149</definedName>
    <definedName function="false" hidden="false" name="WIF_Funding_msft_2024_debt_pct" vbProcedure="false">Interface!$D$153</definedName>
    <definedName function="false" hidden="false" name="WIF_Funding_msft_2024_debt_raised" vbProcedure="false">Interface!$D$164</definedName>
    <definedName function="false" hidden="false" name="WIF_Funding_msft_2024_equity_pct" vbProcedure="false">Interface!$D$152</definedName>
    <definedName function="false" hidden="false" name="WIF_Funding_msft_2024_equity_raised" vbProcedure="false">Interface!$D$165</definedName>
    <definedName function="false" hidden="false" name="WIF_Funding_msft_2024_fcf" vbProcedure="false">Interface!$D$162</definedName>
    <definedName function="false" hidden="false" name="WIF_Funding_msft_2024_gross_debt_pct" vbProcedure="false">Interface!$D$158</definedName>
    <definedName function="false" hidden="false" name="WIF_Funding_msft_2024_gross_equity_pct" vbProcedure="false">Interface!$D$159</definedName>
    <definedName function="false" hidden="false" name="WIF_Funding_msft_2024_gross_ext" vbProcedure="false">Interface!$D$155</definedName>
    <definedName function="false" hidden="false" name="WIF_Funding_msft_2024_gross_ext_pct" vbProcedure="false">Interface!$D$156</definedName>
    <definedName function="false" hidden="false" name="WIF_Funding_msft_2024_gross_lease_jv_pct" vbProcedure="false">Interface!$D$160</definedName>
    <definedName function="false" hidden="false" name="WIF_Funding_msft_2024_gross_ocf_pct" vbProcedure="false">Interface!$D$157</definedName>
    <definedName function="false" hidden="false" name="WIF_Funding_msft_2024_int_pct" vbProcedure="false">Interface!$D$150</definedName>
    <definedName function="false" hidden="false" name="WIF_Funding_msft_2024_lease_pct" vbProcedure="false">Interface!$D$151</definedName>
    <definedName function="false" hidden="false" name="WIF_Funding_msft_2024_lnc" vbProcedure="false">Interface!$D$163</definedName>
    <definedName function="false" hidden="false" name="WIF_Funding_msft_2024_ocf" vbProcedure="false">Interface!$D$161</definedName>
    <definedName function="false" hidden="false" name="WIF_Funding_msft_2024_other_pct" vbProcedure="false">Interface!$D$154</definedName>
    <definedName function="false" hidden="false" name="WIF_Funding_msft_2025_capex" vbProcedure="false">Interface!$D$166</definedName>
    <definedName function="false" hidden="false" name="WIF_Funding_msft_2025_debt_pct" vbProcedure="false">Interface!$D$170</definedName>
    <definedName function="false" hidden="false" name="WIF_Funding_msft_2025_debt_raised" vbProcedure="false">Interface!$D$181</definedName>
    <definedName function="false" hidden="false" name="WIF_Funding_msft_2025_equity_pct" vbProcedure="false">Interface!$D$169</definedName>
    <definedName function="false" hidden="false" name="WIF_Funding_msft_2025_equity_raised" vbProcedure="false">Interface!$D$182</definedName>
    <definedName function="false" hidden="false" name="WIF_Funding_msft_2025_fcf" vbProcedure="false">Interface!$D$179</definedName>
    <definedName function="false" hidden="false" name="WIF_Funding_msft_2025_gross_debt_pct" vbProcedure="false">Interface!$D$175</definedName>
    <definedName function="false" hidden="false" name="WIF_Funding_msft_2025_gross_equity_pct" vbProcedure="false">Interface!$D$176</definedName>
    <definedName function="false" hidden="false" name="WIF_Funding_msft_2025_gross_ext" vbProcedure="false">Interface!$D$172</definedName>
    <definedName function="false" hidden="false" name="WIF_Funding_msft_2025_gross_ext_pct" vbProcedure="false">Interface!$D$173</definedName>
    <definedName function="false" hidden="false" name="WIF_Funding_msft_2025_gross_lease_jv_pct" vbProcedure="false">Interface!$D$177</definedName>
    <definedName function="false" hidden="false" name="WIF_Funding_msft_2025_gross_ocf_pct" vbProcedure="false">Interface!$D$174</definedName>
    <definedName function="false" hidden="false" name="WIF_Funding_msft_2025_int_pct" vbProcedure="false">Interface!$D$167</definedName>
    <definedName function="false" hidden="false" name="WIF_Funding_msft_2025_lease_pct" vbProcedure="false">Interface!$D$168</definedName>
    <definedName function="false" hidden="false" name="WIF_Funding_msft_2025_lnc" vbProcedure="false">Interface!$D$180</definedName>
    <definedName function="false" hidden="false" name="WIF_Funding_msft_2025_ocf" vbProcedure="false">Interface!$D$178</definedName>
    <definedName function="false" hidden="false" name="WIF_Funding_msft_2025_other_pct" vbProcedure="false">Interface!$D$171</definedName>
    <definedName function="false" hidden="false" name="WIF_Funding_msft_2026_capex" vbProcedure="false">Interface!$D$183</definedName>
    <definedName function="false" hidden="false" name="WIF_Funding_msft_2026_debt_pct" vbProcedure="false">Interface!$D$187</definedName>
    <definedName function="false" hidden="false" name="WIF_Funding_msft_2026_debt_raised" vbProcedure="false">Interface!$D$198</definedName>
    <definedName function="false" hidden="false" name="WIF_Funding_msft_2026_equity_pct" vbProcedure="false">Interface!$D$186</definedName>
    <definedName function="false" hidden="false" name="WIF_Funding_msft_2026_equity_raised" vbProcedure="false">Interface!$D$199</definedName>
    <definedName function="false" hidden="false" name="WIF_Funding_msft_2026_fcf" vbProcedure="false">Interface!$D$196</definedName>
    <definedName function="false" hidden="false" name="WIF_Funding_msft_2026_gross_debt_pct" vbProcedure="false">Interface!$D$192</definedName>
    <definedName function="false" hidden="false" name="WIF_Funding_msft_2026_gross_equity_pct" vbProcedure="false">Interface!$D$193</definedName>
    <definedName function="false" hidden="false" name="WIF_Funding_msft_2026_gross_ext" vbProcedure="false">Interface!$D$189</definedName>
    <definedName function="false" hidden="false" name="WIF_Funding_msft_2026_gross_ext_pct" vbProcedure="false">Interface!$D$190</definedName>
    <definedName function="false" hidden="false" name="WIF_Funding_msft_2026_gross_lease_jv_pct" vbProcedure="false">Interface!$D$194</definedName>
    <definedName function="false" hidden="false" name="WIF_Funding_msft_2026_gross_ocf_pct" vbProcedure="false">Interface!$D$191</definedName>
    <definedName function="false" hidden="false" name="WIF_Funding_msft_2026_int_pct" vbProcedure="false">Interface!$D$184</definedName>
    <definedName function="false" hidden="false" name="WIF_Funding_msft_2026_lease_pct" vbProcedure="false">Interface!$D$185</definedName>
    <definedName function="false" hidden="false" name="WIF_Funding_msft_2026_lnc" vbProcedure="false">Interface!$D$197</definedName>
    <definedName function="false" hidden="false" name="WIF_Funding_msft_2026_ocf" vbProcedure="false">Interface!$D$195</definedName>
    <definedName function="false" hidden="false" name="WIF_Funding_msft_2026_other_pct" vbProcedure="false">Interface!$D$188</definedName>
    <definedName function="false" hidden="false" name="WIF_Funding_nbis_2025_capex" vbProcedure="false">Interface!$D$455</definedName>
    <definedName function="false" hidden="false" name="WIF_Funding_nbis_2025_debt_pct" vbProcedure="false">Interface!$D$459</definedName>
    <definedName function="false" hidden="false" name="WIF_Funding_nbis_2025_debt_raised" vbProcedure="false">Interface!$D$470</definedName>
    <definedName function="false" hidden="false" name="WIF_Funding_nbis_2025_equity_pct" vbProcedure="false">Interface!$D$458</definedName>
    <definedName function="false" hidden="false" name="WIF_Funding_nbis_2025_equity_raised" vbProcedure="false">Interface!$D$471</definedName>
    <definedName function="false" hidden="false" name="WIF_Funding_nbis_2025_fcf" vbProcedure="false">Interface!$D$468</definedName>
    <definedName function="false" hidden="false" name="WIF_Funding_nbis_2025_gross_debt_pct" vbProcedure="false">Interface!$D$464</definedName>
    <definedName function="false" hidden="false" name="WIF_Funding_nbis_2025_gross_equity_pct" vbProcedure="false">Interface!$D$465</definedName>
    <definedName function="false" hidden="false" name="WIF_Funding_nbis_2025_gross_ext" vbProcedure="false">Interface!$D$461</definedName>
    <definedName function="false" hidden="false" name="WIF_Funding_nbis_2025_gross_ext_pct" vbProcedure="false">Interface!$D$462</definedName>
    <definedName function="false" hidden="false" name="WIF_Funding_nbis_2025_gross_lease_jv_pct" vbProcedure="false">Interface!$D$466</definedName>
    <definedName function="false" hidden="false" name="WIF_Funding_nbis_2025_gross_ocf_pct" vbProcedure="false">Interface!$D$463</definedName>
    <definedName function="false" hidden="false" name="WIF_Funding_nbis_2025_int_pct" vbProcedure="false">Interface!$D$456</definedName>
    <definedName function="false" hidden="false" name="WIF_Funding_nbis_2025_lease_pct" vbProcedure="false">Interface!$D$457</definedName>
    <definedName function="false" hidden="false" name="WIF_Funding_nbis_2025_lnc" vbProcedure="false">Interface!$D$469</definedName>
    <definedName function="false" hidden="false" name="WIF_Funding_nbis_2025_ocf" vbProcedure="false">Interface!$D$467</definedName>
    <definedName function="false" hidden="false" name="WIF_Funding_nbis_2025_other_pct" vbProcedure="false">Interface!$D$460</definedName>
    <definedName function="false" hidden="false" name="WIF_Funding_nbis_2026_capex" vbProcedure="false">Interface!$D$472</definedName>
    <definedName function="false" hidden="false" name="WIF_Funding_nbis_2026_debt_pct" vbProcedure="false">Interface!$D$476</definedName>
    <definedName function="false" hidden="false" name="WIF_Funding_nbis_2026_debt_raised" vbProcedure="false">Interface!$D$487</definedName>
    <definedName function="false" hidden="false" name="WIF_Funding_nbis_2026_equity_pct" vbProcedure="false">Interface!$D$475</definedName>
    <definedName function="false" hidden="false" name="WIF_Funding_nbis_2026_equity_raised" vbProcedure="false">Interface!$D$488</definedName>
    <definedName function="false" hidden="false" name="WIF_Funding_nbis_2026_fcf" vbProcedure="false">Interface!$D$485</definedName>
    <definedName function="false" hidden="false" name="WIF_Funding_nbis_2026_gross_debt_pct" vbProcedure="false">Interface!$D$481</definedName>
    <definedName function="false" hidden="false" name="WIF_Funding_nbis_2026_gross_equity_pct" vbProcedure="false">Interface!$D$482</definedName>
    <definedName function="false" hidden="false" name="WIF_Funding_nbis_2026_gross_ext" vbProcedure="false">Interface!$D$478</definedName>
    <definedName function="false" hidden="false" name="WIF_Funding_nbis_2026_gross_ext_pct" vbProcedure="false">Interface!$D$479</definedName>
    <definedName function="false" hidden="false" name="WIF_Funding_nbis_2026_gross_lease_jv_pct" vbProcedure="false">Interface!$D$483</definedName>
    <definedName function="false" hidden="false" name="WIF_Funding_nbis_2026_gross_ocf_pct" vbProcedure="false">Interface!$D$480</definedName>
    <definedName function="false" hidden="false" name="WIF_Funding_nbis_2026_int_pct" vbProcedure="false">Interface!$D$473</definedName>
    <definedName function="false" hidden="false" name="WIF_Funding_nbis_2026_lease_pct" vbProcedure="false">Interface!$D$474</definedName>
    <definedName function="false" hidden="false" name="WIF_Funding_nbis_2026_lnc" vbProcedure="false">Interface!$D$486</definedName>
    <definedName function="false" hidden="false" name="WIF_Funding_nbis_2026_ocf" vbProcedure="false">Interface!$D$484</definedName>
    <definedName function="false" hidden="false" name="WIF_Funding_nbis_2026_other_pct" vbProcedure="false">Interface!$D$477</definedName>
    <definedName function="false" hidden="false" name="WIF_Funding_oai_2025_capex" vbProcedure="false">Interface!$D$523</definedName>
    <definedName function="false" hidden="false" name="WIF_Funding_oai_2025_debt_pct" vbProcedure="false">Interface!$D$527</definedName>
    <definedName function="false" hidden="false" name="WIF_Funding_oai_2025_debt_raised" vbProcedure="false">Interface!$D$538</definedName>
    <definedName function="false" hidden="false" name="WIF_Funding_oai_2025_equity_pct" vbProcedure="false">Interface!$D$526</definedName>
    <definedName function="false" hidden="false" name="WIF_Funding_oai_2025_equity_raised" vbProcedure="false">Interface!$D$539</definedName>
    <definedName function="false" hidden="false" name="WIF_Funding_oai_2025_fcf" vbProcedure="false">Interface!$D$536</definedName>
    <definedName function="false" hidden="false" name="WIF_Funding_oai_2025_gross_debt_pct" vbProcedure="false">Interface!$D$532</definedName>
    <definedName function="false" hidden="false" name="WIF_Funding_oai_2025_gross_equity_pct" vbProcedure="false">Interface!$D$533</definedName>
    <definedName function="false" hidden="false" name="WIF_Funding_oai_2025_gross_ext" vbProcedure="false">Interface!$D$529</definedName>
    <definedName function="false" hidden="false" name="WIF_Funding_oai_2025_gross_ext_pct" vbProcedure="false">Interface!$D$530</definedName>
    <definedName function="false" hidden="false" name="WIF_Funding_oai_2025_gross_lease_jv_pct" vbProcedure="false">Interface!$D$534</definedName>
    <definedName function="false" hidden="false" name="WIF_Funding_oai_2025_gross_ocf_pct" vbProcedure="false">Interface!$D$531</definedName>
    <definedName function="false" hidden="false" name="WIF_Funding_oai_2025_int_pct" vbProcedure="false">Interface!$D$524</definedName>
    <definedName function="false" hidden="false" name="WIF_Funding_oai_2025_lease_pct" vbProcedure="false">Interface!$D$525</definedName>
    <definedName function="false" hidden="false" name="WIF_Funding_oai_2025_lnc" vbProcedure="false">Interface!$D$537</definedName>
    <definedName function="false" hidden="false" name="WIF_Funding_oai_2025_ocf" vbProcedure="false">Interface!$D$535</definedName>
    <definedName function="false" hidden="false" name="WIF_Funding_oai_2025_other_pct" vbProcedure="false">Interface!$D$528</definedName>
    <definedName function="false" hidden="false" name="WIF_Funding_oai_2026_capex" vbProcedure="false">Interface!$D$540</definedName>
    <definedName function="false" hidden="false" name="WIF_Funding_oai_2026_debt_pct" vbProcedure="false">Interface!$D$544</definedName>
    <definedName function="false" hidden="false" name="WIF_Funding_oai_2026_debt_raised" vbProcedure="false">Interface!$D$555</definedName>
    <definedName function="false" hidden="false" name="WIF_Funding_oai_2026_equity_pct" vbProcedure="false">Interface!$D$543</definedName>
    <definedName function="false" hidden="false" name="WIF_Funding_oai_2026_equity_raised" vbProcedure="false">Interface!$D$556</definedName>
    <definedName function="false" hidden="false" name="WIF_Funding_oai_2026_fcf" vbProcedure="false">Interface!$D$553</definedName>
    <definedName function="false" hidden="false" name="WIF_Funding_oai_2026_gross_debt_pct" vbProcedure="false">Interface!$D$549</definedName>
    <definedName function="false" hidden="false" name="WIF_Funding_oai_2026_gross_equity_pct" vbProcedure="false">Interface!$D$550</definedName>
    <definedName function="false" hidden="false" name="WIF_Funding_oai_2026_gross_ext" vbProcedure="false">Interface!$D$546</definedName>
    <definedName function="false" hidden="false" name="WIF_Funding_oai_2026_gross_ext_pct" vbProcedure="false">Interface!$D$547</definedName>
    <definedName function="false" hidden="false" name="WIF_Funding_oai_2026_gross_lease_jv_pct" vbProcedure="false">Interface!$D$551</definedName>
    <definedName function="false" hidden="false" name="WIF_Funding_oai_2026_gross_ocf_pct" vbProcedure="false">Interface!$D$548</definedName>
    <definedName function="false" hidden="false" name="WIF_Funding_oai_2026_int_pct" vbProcedure="false">Interface!$D$541</definedName>
    <definedName function="false" hidden="false" name="WIF_Funding_oai_2026_lease_pct" vbProcedure="false">Interface!$D$542</definedName>
    <definedName function="false" hidden="false" name="WIF_Funding_oai_2026_lnc" vbProcedure="false">Interface!$D$554</definedName>
    <definedName function="false" hidden="false" name="WIF_Funding_oai_2026_ocf" vbProcedure="false">Interface!$D$552</definedName>
    <definedName function="false" hidden="false" name="WIF_Funding_oai_2026_other_pct" vbProcedure="false">Interface!$D$545</definedName>
    <definedName function="false" hidden="false" name="WIF_Funding_orcl_2024_capex" vbProcedure="false">Interface!$D$353</definedName>
    <definedName function="false" hidden="false" name="WIF_Funding_orcl_2024_debt_pct" vbProcedure="false">Interface!$D$357</definedName>
    <definedName function="false" hidden="false" name="WIF_Funding_orcl_2024_debt_raised" vbProcedure="false">Interface!$D$368</definedName>
    <definedName function="false" hidden="false" name="WIF_Funding_orcl_2024_equity_pct" vbProcedure="false">Interface!$D$356</definedName>
    <definedName function="false" hidden="false" name="WIF_Funding_orcl_2024_equity_raised" vbProcedure="false">Interface!$D$369</definedName>
    <definedName function="false" hidden="false" name="WIF_Funding_orcl_2024_fcf" vbProcedure="false">Interface!$D$366</definedName>
    <definedName function="false" hidden="false" name="WIF_Funding_orcl_2024_gross_debt_pct" vbProcedure="false">Interface!$D$362</definedName>
    <definedName function="false" hidden="false" name="WIF_Funding_orcl_2024_gross_equity_pct" vbProcedure="false">Interface!$D$363</definedName>
    <definedName function="false" hidden="false" name="WIF_Funding_orcl_2024_gross_ext" vbProcedure="false">Interface!$D$359</definedName>
    <definedName function="false" hidden="false" name="WIF_Funding_orcl_2024_gross_ext_pct" vbProcedure="false">Interface!$D$360</definedName>
    <definedName function="false" hidden="false" name="WIF_Funding_orcl_2024_gross_lease_jv_pct" vbProcedure="false">Interface!$D$364</definedName>
    <definedName function="false" hidden="false" name="WIF_Funding_orcl_2024_gross_ocf_pct" vbProcedure="false">Interface!$D$361</definedName>
    <definedName function="false" hidden="false" name="WIF_Funding_orcl_2024_int_pct" vbProcedure="false">Interface!$D$354</definedName>
    <definedName function="false" hidden="false" name="WIF_Funding_orcl_2024_lease_pct" vbProcedure="false">Interface!$D$355</definedName>
    <definedName function="false" hidden="false" name="WIF_Funding_orcl_2024_lnc" vbProcedure="false">Interface!$D$367</definedName>
    <definedName function="false" hidden="false" name="WIF_Funding_orcl_2024_ocf" vbProcedure="false">Interface!$D$365</definedName>
    <definedName function="false" hidden="false" name="WIF_Funding_orcl_2024_other_pct" vbProcedure="false">Interface!$D$358</definedName>
    <definedName function="false" hidden="false" name="WIF_Funding_orcl_2025_capex" vbProcedure="false">Interface!$D$370</definedName>
    <definedName function="false" hidden="false" name="WIF_Funding_orcl_2025_debt_pct" vbProcedure="false">Interface!$D$374</definedName>
    <definedName function="false" hidden="false" name="WIF_Funding_orcl_2025_debt_raised" vbProcedure="false">Interface!$D$385</definedName>
    <definedName function="false" hidden="false" name="WIF_Funding_orcl_2025_equity_pct" vbProcedure="false">Interface!$D$373</definedName>
    <definedName function="false" hidden="false" name="WIF_Funding_orcl_2025_equity_raised" vbProcedure="false">Interface!$D$386</definedName>
    <definedName function="false" hidden="false" name="WIF_Funding_orcl_2025_fcf" vbProcedure="false">Interface!$D$383</definedName>
    <definedName function="false" hidden="false" name="WIF_Funding_orcl_2025_gross_debt_pct" vbProcedure="false">Interface!$D$379</definedName>
    <definedName function="false" hidden="false" name="WIF_Funding_orcl_2025_gross_equity_pct" vbProcedure="false">Interface!$D$380</definedName>
    <definedName function="false" hidden="false" name="WIF_Funding_orcl_2025_gross_ext" vbProcedure="false">Interface!$D$376</definedName>
    <definedName function="false" hidden="false" name="WIF_Funding_orcl_2025_gross_ext_pct" vbProcedure="false">Interface!$D$377</definedName>
    <definedName function="false" hidden="false" name="WIF_Funding_orcl_2025_gross_lease_jv_pct" vbProcedure="false">Interface!$D$381</definedName>
    <definedName function="false" hidden="false" name="WIF_Funding_orcl_2025_gross_ocf_pct" vbProcedure="false">Interface!$D$378</definedName>
    <definedName function="false" hidden="false" name="WIF_Funding_orcl_2025_int_pct" vbProcedure="false">Interface!$D$371</definedName>
    <definedName function="false" hidden="false" name="WIF_Funding_orcl_2025_lease_pct" vbProcedure="false">Interface!$D$372</definedName>
    <definedName function="false" hidden="false" name="WIF_Funding_orcl_2025_lnc" vbProcedure="false">Interface!$D$384</definedName>
    <definedName function="false" hidden="false" name="WIF_Funding_orcl_2025_ocf" vbProcedure="false">Interface!$D$382</definedName>
    <definedName function="false" hidden="false" name="WIF_Funding_orcl_2025_other_pct" vbProcedure="false">Interface!$D$375</definedName>
    <definedName function="false" hidden="false" name="WIF_Funding_orcl_2026_capex" vbProcedure="false">Interface!$D$387</definedName>
    <definedName function="false" hidden="false" name="WIF_Funding_orcl_2026_debt_pct" vbProcedure="false">Interface!$D$391</definedName>
    <definedName function="false" hidden="false" name="WIF_Funding_orcl_2026_debt_raised" vbProcedure="false">Interface!$D$402</definedName>
    <definedName function="false" hidden="false" name="WIF_Funding_orcl_2026_equity_pct" vbProcedure="false">Interface!$D$390</definedName>
    <definedName function="false" hidden="false" name="WIF_Funding_orcl_2026_equity_raised" vbProcedure="false">Interface!$D$403</definedName>
    <definedName function="false" hidden="false" name="WIF_Funding_orcl_2026_fcf" vbProcedure="false">Interface!$D$400</definedName>
    <definedName function="false" hidden="false" name="WIF_Funding_orcl_2026_gross_debt_pct" vbProcedure="false">Interface!$D$396</definedName>
    <definedName function="false" hidden="false" name="WIF_Funding_orcl_2026_gross_equity_pct" vbProcedure="false">Interface!$D$397</definedName>
    <definedName function="false" hidden="false" name="WIF_Funding_orcl_2026_gross_ext" vbProcedure="false">Interface!$D$393</definedName>
    <definedName function="false" hidden="false" name="WIF_Funding_orcl_2026_gross_ext_pct" vbProcedure="false">Interface!$D$394</definedName>
    <definedName function="false" hidden="false" name="WIF_Funding_orcl_2026_gross_lease_jv_pct" vbProcedure="false">Interface!$D$398</definedName>
    <definedName function="false" hidden="false" name="WIF_Funding_orcl_2026_gross_ocf_pct" vbProcedure="false">Interface!$D$395</definedName>
    <definedName function="false" hidden="false" name="WIF_Funding_orcl_2026_int_pct" vbProcedure="false">Interface!$D$388</definedName>
    <definedName function="false" hidden="false" name="WIF_Funding_orcl_2026_lease_pct" vbProcedure="false">Interface!$D$389</definedName>
    <definedName function="false" hidden="false" name="WIF_Funding_orcl_2026_lnc" vbProcedure="false">Interface!$D$401</definedName>
    <definedName function="false" hidden="false" name="WIF_Funding_orcl_2026_ocf" vbProcedure="false">Interface!$D$399</definedName>
    <definedName function="false" hidden="false" name="WIF_Funding_orcl_2026_other_pct" vbProcedure="false">Interface!$D$392</definedName>
    <definedName function="false" hidden="false" name="WIF_Funding_xai_2025_capex" vbProcedure="false">Interface!$D$489</definedName>
    <definedName function="false" hidden="false" name="WIF_Funding_xai_2025_debt_pct" vbProcedure="false">Interface!$D$493</definedName>
    <definedName function="false" hidden="false" name="WIF_Funding_xai_2025_debt_raised" vbProcedure="false">Interface!$D$504</definedName>
    <definedName function="false" hidden="false" name="WIF_Funding_xai_2025_equity_pct" vbProcedure="false">Interface!$D$492</definedName>
    <definedName function="false" hidden="false" name="WIF_Funding_xai_2025_equity_raised" vbProcedure="false">Interface!$D$505</definedName>
    <definedName function="false" hidden="false" name="WIF_Funding_xai_2025_fcf" vbProcedure="false">Interface!$D$502</definedName>
    <definedName function="false" hidden="false" name="WIF_Funding_xai_2025_gross_debt_pct" vbProcedure="false">Interface!$D$498</definedName>
    <definedName function="false" hidden="false" name="WIF_Funding_xai_2025_gross_equity_pct" vbProcedure="false">Interface!$D$499</definedName>
    <definedName function="false" hidden="false" name="WIF_Funding_xai_2025_gross_ext" vbProcedure="false">Interface!$D$495</definedName>
    <definedName function="false" hidden="false" name="WIF_Funding_xai_2025_gross_ext_pct" vbProcedure="false">Interface!$D$496</definedName>
    <definedName function="false" hidden="false" name="WIF_Funding_xai_2025_gross_lease_jv_pct" vbProcedure="false">Interface!$D$500</definedName>
    <definedName function="false" hidden="false" name="WIF_Funding_xai_2025_gross_ocf_pct" vbProcedure="false">Interface!$D$497</definedName>
    <definedName function="false" hidden="false" name="WIF_Funding_xai_2025_int_pct" vbProcedure="false">Interface!$D$490</definedName>
    <definedName function="false" hidden="false" name="WIF_Funding_xai_2025_lease_pct" vbProcedure="false">Interface!$D$491</definedName>
    <definedName function="false" hidden="false" name="WIF_Funding_xai_2025_lnc" vbProcedure="false">Interface!$D$503</definedName>
    <definedName function="false" hidden="false" name="WIF_Funding_xai_2025_ocf" vbProcedure="false">Interface!$D$501</definedName>
    <definedName function="false" hidden="false" name="WIF_Funding_xai_2025_other_pct" vbProcedure="false">Interface!$D$494</definedName>
    <definedName function="false" hidden="false" name="WIF_Funding_xai_2026_capex" vbProcedure="false">Interface!$D$506</definedName>
    <definedName function="false" hidden="false" name="WIF_Funding_xai_2026_debt_pct" vbProcedure="false">Interface!$D$510</definedName>
    <definedName function="false" hidden="false" name="WIF_Funding_xai_2026_debt_raised" vbProcedure="false">Interface!$D$521</definedName>
    <definedName function="false" hidden="false" name="WIF_Funding_xai_2026_equity_pct" vbProcedure="false">Interface!$D$509</definedName>
    <definedName function="false" hidden="false" name="WIF_Funding_xai_2026_equity_raised" vbProcedure="false">Interface!$D$522</definedName>
    <definedName function="false" hidden="false" name="WIF_Funding_xai_2026_fcf" vbProcedure="false">Interface!$D$519</definedName>
    <definedName function="false" hidden="false" name="WIF_Funding_xai_2026_gross_debt_pct" vbProcedure="false">Interface!$D$515</definedName>
    <definedName function="false" hidden="false" name="WIF_Funding_xai_2026_gross_equity_pct" vbProcedure="false">Interface!$D$516</definedName>
    <definedName function="false" hidden="false" name="WIF_Funding_xai_2026_gross_ext" vbProcedure="false">Interface!$D$512</definedName>
    <definedName function="false" hidden="false" name="WIF_Funding_xai_2026_gross_ext_pct" vbProcedure="false">Interface!$D$513</definedName>
    <definedName function="false" hidden="false" name="WIF_Funding_xai_2026_gross_lease_jv_pct" vbProcedure="false">Interface!$D$517</definedName>
    <definedName function="false" hidden="false" name="WIF_Funding_xai_2026_gross_ocf_pct" vbProcedure="false">Interface!$D$514</definedName>
    <definedName function="false" hidden="false" name="WIF_Funding_xai_2026_int_pct" vbProcedure="false">Interface!$D$507</definedName>
    <definedName function="false" hidden="false" name="WIF_Funding_xai_2026_lease_pct" vbProcedure="false">Interface!$D$508</definedName>
    <definedName function="false" hidden="false" name="WIF_Funding_xai_2026_lnc" vbProcedure="false">Interface!$D$520</definedName>
    <definedName function="false" hidden="false" name="WIF_Funding_xai_2026_ocf" vbProcedure="false">Interface!$D$518</definedName>
    <definedName function="false" hidden="false" name="WIF_Funding_xai_2026_other_pct" vbProcedure="false">Interface!$D$511</definedName>
    <definedName function="false" hidden="false" name="WIF_MktGW_Add_A_D0_2024" vbProcedure="false">Interface!$D$27</definedName>
    <definedName function="false" hidden="false" name="WIF_MktGW_Add_A_D0_2025" vbProcedure="false">Interface!$E$27</definedName>
    <definedName function="false" hidden="false" name="WIF_MktGW_Add_A_D0_2026" vbProcedure="false">Interface!$F$27</definedName>
    <definedName function="false" hidden="false" name="WIF_MktGW_Add_A_D0_2027" vbProcedure="false">Interface!$G$27</definedName>
    <definedName function="false" hidden="false" name="WIF_MktGW_Add_A_D0_2028" vbProcedure="false">Interface!$H$27</definedName>
    <definedName function="false" hidden="false" name="WIF_MktGW_Add_A_D0_2029" vbProcedure="false">Interface!$I$27</definedName>
    <definedName function="false" hidden="false" name="WIF_MktGW_Add_A_D0_2030" vbProcedure="false">Interface!$J$27</definedName>
    <definedName function="false" hidden="false" name="WIF_MktGW_Add_A_D0_2031" vbProcedure="false">Interface!$K$27</definedName>
    <definedName function="false" hidden="false" name="WIF_MktGW_Add_A_D0_2032" vbProcedure="false">Interface!$L$27</definedName>
    <definedName function="false" hidden="false" name="WIF_MktGW_Add_A_D0_SiteOnly_2024" vbProcedure="false">Interface!$D$62</definedName>
    <definedName function="false" hidden="false" name="WIF_MktGW_Add_A_D0_SiteOnly_2025" vbProcedure="false">Interface!$E$62</definedName>
    <definedName function="false" hidden="false" name="WIF_MktGW_Add_A_D0_SiteOnly_2026" vbProcedure="false">Interface!$F$62</definedName>
    <definedName function="false" hidden="false" name="WIF_MktGW_Add_A_D0_SiteOnly_2027" vbProcedure="false">Interface!$G$62</definedName>
    <definedName function="false" hidden="false" name="WIF_MktGW_Add_A_D0_SiteOnly_2028" vbProcedure="false">Interface!$H$62</definedName>
    <definedName function="false" hidden="false" name="WIF_MktGW_Add_A_D0_SiteOnly_2029" vbProcedure="false">Interface!$I$62</definedName>
    <definedName function="false" hidden="false" name="WIF_MktGW_Add_A_D0_SiteOnly_2030" vbProcedure="false">Interface!$J$62</definedName>
    <definedName function="false" hidden="false" name="WIF_MktGW_Add_A_D0_SiteOnly_2031" vbProcedure="false">Interface!$K$62</definedName>
    <definedName function="false" hidden="false" name="WIF_MktGW_Add_A_D0_SiteOnly_2032" vbProcedure="false">Interface!$L$62</definedName>
    <definedName function="false" hidden="false" name="WIF_MktGW_Add_A_D1_2024" vbProcedure="false">Interface!$D$28</definedName>
    <definedName function="false" hidden="false" name="WIF_MktGW_Add_A_D1_2025" vbProcedure="false">Interface!$E$28</definedName>
    <definedName function="false" hidden="false" name="WIF_MktGW_Add_A_D1_2026" vbProcedure="false">Interface!$F$28</definedName>
    <definedName function="false" hidden="false" name="WIF_MktGW_Add_A_D1_2027" vbProcedure="false">Interface!$G$28</definedName>
    <definedName function="false" hidden="false" name="WIF_MktGW_Add_A_D1_2028" vbProcedure="false">Interface!$H$28</definedName>
    <definedName function="false" hidden="false" name="WIF_MktGW_Add_A_D1_2029" vbProcedure="false">Interface!$I$28</definedName>
    <definedName function="false" hidden="false" name="WIF_MktGW_Add_A_D1_2030" vbProcedure="false">Interface!$J$28</definedName>
    <definedName function="false" hidden="false" name="WIF_MktGW_Add_A_D1_2031" vbProcedure="false">Interface!$K$28</definedName>
    <definedName function="false" hidden="false" name="WIF_MktGW_Add_A_D1_2032" vbProcedure="false">Interface!$L$28</definedName>
    <definedName function="false" hidden="false" name="WIF_MktGW_Add_A_D1_SiteOnly_2024" vbProcedure="false">Interface!$D$63</definedName>
    <definedName function="false" hidden="false" name="WIF_MktGW_Add_A_D1_SiteOnly_2025" vbProcedure="false">Interface!$E$63</definedName>
    <definedName function="false" hidden="false" name="WIF_MktGW_Add_A_D1_SiteOnly_2026" vbProcedure="false">Interface!$F$63</definedName>
    <definedName function="false" hidden="false" name="WIF_MktGW_Add_A_D1_SiteOnly_2027" vbProcedure="false">Interface!$G$63</definedName>
    <definedName function="false" hidden="false" name="WIF_MktGW_Add_A_D1_SiteOnly_2028" vbProcedure="false">Interface!$H$63</definedName>
    <definedName function="false" hidden="false" name="WIF_MktGW_Add_A_D1_SiteOnly_2029" vbProcedure="false">Interface!$I$63</definedName>
    <definedName function="false" hidden="false" name="WIF_MktGW_Add_A_D1_SiteOnly_2030" vbProcedure="false">Interface!$J$63</definedName>
    <definedName function="false" hidden="false" name="WIF_MktGW_Add_A_D1_SiteOnly_2031" vbProcedure="false">Interface!$K$63</definedName>
    <definedName function="false" hidden="false" name="WIF_MktGW_Add_A_D1_SiteOnly_2032" vbProcedure="false">Interface!$L$63</definedName>
    <definedName function="false" hidden="false" name="WIF_MktGW_Add_A_D2_2024" vbProcedure="false">Interface!$D$29</definedName>
    <definedName function="false" hidden="false" name="WIF_MktGW_Add_A_D2_2025" vbProcedure="false">Interface!$E$29</definedName>
    <definedName function="false" hidden="false" name="WIF_MktGW_Add_A_D2_2026" vbProcedure="false">Interface!$F$29</definedName>
    <definedName function="false" hidden="false" name="WIF_MktGW_Add_A_D2_2027" vbProcedure="false">Interface!$G$29</definedName>
    <definedName function="false" hidden="false" name="WIF_MktGW_Add_A_D2_2028" vbProcedure="false">Interface!$H$29</definedName>
    <definedName function="false" hidden="false" name="WIF_MktGW_Add_A_D2_2029" vbProcedure="false">Interface!$I$29</definedName>
    <definedName function="false" hidden="false" name="WIF_MktGW_Add_A_D2_2030" vbProcedure="false">Interface!$J$29</definedName>
    <definedName function="false" hidden="false" name="WIF_MktGW_Add_A_D2_2031" vbProcedure="false">Interface!$K$29</definedName>
    <definedName function="false" hidden="false" name="WIF_MktGW_Add_A_D2_2032" vbProcedure="false">Interface!$L$29</definedName>
    <definedName function="false" hidden="false" name="WIF_MktGW_Add_A_D2_SiteOnly_2024" vbProcedure="false">Interface!$D$64</definedName>
    <definedName function="false" hidden="false" name="WIF_MktGW_Add_A_D2_SiteOnly_2025" vbProcedure="false">Interface!$E$64</definedName>
    <definedName function="false" hidden="false" name="WIF_MktGW_Add_A_D2_SiteOnly_2026" vbProcedure="false">Interface!$F$64</definedName>
    <definedName function="false" hidden="false" name="WIF_MktGW_Add_A_D2_SiteOnly_2027" vbProcedure="false">Interface!$G$64</definedName>
    <definedName function="false" hidden="false" name="WIF_MktGW_Add_A_D2_SiteOnly_2028" vbProcedure="false">Interface!$H$64</definedName>
    <definedName function="false" hidden="false" name="WIF_MktGW_Add_A_D2_SiteOnly_2029" vbProcedure="false">Interface!$I$64</definedName>
    <definedName function="false" hidden="false" name="WIF_MktGW_Add_A_D2_SiteOnly_2030" vbProcedure="false">Interface!$J$64</definedName>
    <definedName function="false" hidden="false" name="WIF_MktGW_Add_A_D2_SiteOnly_2031" vbProcedure="false">Interface!$K$64</definedName>
    <definedName function="false" hidden="false" name="WIF_MktGW_Add_A_D2_SiteOnly_2032" vbProcedure="false">Interface!$L$64</definedName>
    <definedName function="false" hidden="false" name="WIF_MktGW_Add_B_D0_2024" vbProcedure="false">Interface!$D$30</definedName>
    <definedName function="false" hidden="false" name="WIF_MktGW_Add_B_D0_2025" vbProcedure="false">Interface!$E$30</definedName>
    <definedName function="false" hidden="false" name="WIF_MktGW_Add_B_D0_2026" vbProcedure="false">Interface!$F$30</definedName>
    <definedName function="false" hidden="false" name="WIF_MktGW_Add_B_D0_2027" vbProcedure="false">Interface!$G$30</definedName>
    <definedName function="false" hidden="false" name="WIF_MktGW_Add_B_D0_2028" vbProcedure="false">Interface!$H$30</definedName>
    <definedName function="false" hidden="false" name="WIF_MktGW_Add_B_D0_2029" vbProcedure="false">Interface!$I$30</definedName>
    <definedName function="false" hidden="false" name="WIF_MktGW_Add_B_D0_2030" vbProcedure="false">Interface!$J$30</definedName>
    <definedName function="false" hidden="false" name="WIF_MktGW_Add_B_D0_2031" vbProcedure="false">Interface!$K$30</definedName>
    <definedName function="false" hidden="false" name="WIF_MktGW_Add_B_D0_2032" vbProcedure="false">Interface!$L$30</definedName>
    <definedName function="false" hidden="false" name="WIF_MktGW_Add_B_D0_SiteOnly_2024" vbProcedure="false">Interface!$D$65</definedName>
    <definedName function="false" hidden="false" name="WIF_MktGW_Add_B_D0_SiteOnly_2025" vbProcedure="false">Interface!$E$65</definedName>
    <definedName function="false" hidden="false" name="WIF_MktGW_Add_B_D0_SiteOnly_2026" vbProcedure="false">Interface!$F$65</definedName>
    <definedName function="false" hidden="false" name="WIF_MktGW_Add_B_D0_SiteOnly_2027" vbProcedure="false">Interface!$G$65</definedName>
    <definedName function="false" hidden="false" name="WIF_MktGW_Add_B_D0_SiteOnly_2028" vbProcedure="false">Interface!$H$65</definedName>
    <definedName function="false" hidden="false" name="WIF_MktGW_Add_B_D0_SiteOnly_2029" vbProcedure="false">Interface!$I$65</definedName>
    <definedName function="false" hidden="false" name="WIF_MktGW_Add_B_D0_SiteOnly_2030" vbProcedure="false">Interface!$J$65</definedName>
    <definedName function="false" hidden="false" name="WIF_MktGW_Add_B_D0_SiteOnly_2031" vbProcedure="false">Interface!$K$65</definedName>
    <definedName function="false" hidden="false" name="WIF_MktGW_Add_B_D0_SiteOnly_2032" vbProcedure="false">Interface!$L$65</definedName>
    <definedName function="false" hidden="false" name="WIF_MktGW_Add_B_D1_2024" vbProcedure="false">Interface!$D$31</definedName>
    <definedName function="false" hidden="false" name="WIF_MktGW_Add_B_D1_2025" vbProcedure="false">Interface!$E$31</definedName>
    <definedName function="false" hidden="false" name="WIF_MktGW_Add_B_D1_2026" vbProcedure="false">Interface!$F$31</definedName>
    <definedName function="false" hidden="false" name="WIF_MktGW_Add_B_D1_2027" vbProcedure="false">Interface!$G$31</definedName>
    <definedName function="false" hidden="false" name="WIF_MktGW_Add_B_D1_2028" vbProcedure="false">Interface!$H$31</definedName>
    <definedName function="false" hidden="false" name="WIF_MktGW_Add_B_D1_2029" vbProcedure="false">Interface!$I$31</definedName>
    <definedName function="false" hidden="false" name="WIF_MktGW_Add_B_D1_2030" vbProcedure="false">Interface!$J$31</definedName>
    <definedName function="false" hidden="false" name="WIF_MktGW_Add_B_D1_2031" vbProcedure="false">Interface!$K$31</definedName>
    <definedName function="false" hidden="false" name="WIF_MktGW_Add_B_D1_2032" vbProcedure="false">Interface!$L$31</definedName>
    <definedName function="false" hidden="false" name="WIF_MktGW_Add_B_D1_SiteOnly_2024" vbProcedure="false">Interface!$D$66</definedName>
    <definedName function="false" hidden="false" name="WIF_MktGW_Add_B_D1_SiteOnly_2025" vbProcedure="false">Interface!$E$66</definedName>
    <definedName function="false" hidden="false" name="WIF_MktGW_Add_B_D1_SiteOnly_2026" vbProcedure="false">Interface!$F$66</definedName>
    <definedName function="false" hidden="false" name="WIF_MktGW_Add_B_D1_SiteOnly_2027" vbProcedure="false">Interface!$G$66</definedName>
    <definedName function="false" hidden="false" name="WIF_MktGW_Add_B_D1_SiteOnly_2028" vbProcedure="false">Interface!$H$66</definedName>
    <definedName function="false" hidden="false" name="WIF_MktGW_Add_B_D1_SiteOnly_2029" vbProcedure="false">Interface!$I$66</definedName>
    <definedName function="false" hidden="false" name="WIF_MktGW_Add_B_D1_SiteOnly_2030" vbProcedure="false">Interface!$J$66</definedName>
    <definedName function="false" hidden="false" name="WIF_MktGW_Add_B_D1_SiteOnly_2031" vbProcedure="false">Interface!$K$66</definedName>
    <definedName function="false" hidden="false" name="WIF_MktGW_Add_B_D1_SiteOnly_2032" vbProcedure="false">Interface!$L$66</definedName>
    <definedName function="false" hidden="false" name="WIF_MktGW_Add_B_D2_2024" vbProcedure="false">Interface!$D$32</definedName>
    <definedName function="false" hidden="false" name="WIF_MktGW_Add_B_D2_2025" vbProcedure="false">Interface!$E$32</definedName>
    <definedName function="false" hidden="false" name="WIF_MktGW_Add_B_D2_2026" vbProcedure="false">Interface!$F$32</definedName>
    <definedName function="false" hidden="false" name="WIF_MktGW_Add_B_D2_2027" vbProcedure="false">Interface!$G$32</definedName>
    <definedName function="false" hidden="false" name="WIF_MktGW_Add_B_D2_2028" vbProcedure="false">Interface!$H$32</definedName>
    <definedName function="false" hidden="false" name="WIF_MktGW_Add_B_D2_2029" vbProcedure="false">Interface!$I$32</definedName>
    <definedName function="false" hidden="false" name="WIF_MktGW_Add_B_D2_2030" vbProcedure="false">Interface!$J$32</definedName>
    <definedName function="false" hidden="false" name="WIF_MktGW_Add_B_D2_2031" vbProcedure="false">Interface!$K$32</definedName>
    <definedName function="false" hidden="false" name="WIF_MktGW_Add_B_D2_2032" vbProcedure="false">Interface!$L$32</definedName>
    <definedName function="false" hidden="false" name="WIF_MktGW_Add_B_D2_SiteOnly_2024" vbProcedure="false">Interface!$D$67</definedName>
    <definedName function="false" hidden="false" name="WIF_MktGW_Add_B_D2_SiteOnly_2025" vbProcedure="false">Interface!$E$67</definedName>
    <definedName function="false" hidden="false" name="WIF_MktGW_Add_B_D2_SiteOnly_2026" vbProcedure="false">Interface!$F$67</definedName>
    <definedName function="false" hidden="false" name="WIF_MktGW_Add_B_D2_SiteOnly_2027" vbProcedure="false">Interface!$G$67</definedName>
    <definedName function="false" hidden="false" name="WIF_MktGW_Add_B_D2_SiteOnly_2028" vbProcedure="false">Interface!$H$67</definedName>
    <definedName function="false" hidden="false" name="WIF_MktGW_Add_B_D2_SiteOnly_2029" vbProcedure="false">Interface!$I$67</definedName>
    <definedName function="false" hidden="false" name="WIF_MktGW_Add_B_D2_SiteOnly_2030" vbProcedure="false">Interface!$J$67</definedName>
    <definedName function="false" hidden="false" name="WIF_MktGW_Add_B_D2_SiteOnly_2031" vbProcedure="false">Interface!$K$67</definedName>
    <definedName function="false" hidden="false" name="WIF_MktGW_Add_B_D2_SiteOnly_2032" vbProcedure="false">Interface!$L$67</definedName>
    <definedName function="false" hidden="false" name="WIF_MktGW_Add_C_D0_2024" vbProcedure="false">Interface!$D$33</definedName>
    <definedName function="false" hidden="false" name="WIF_MktGW_Add_C_D0_2025" vbProcedure="false">Interface!$E$33</definedName>
    <definedName function="false" hidden="false" name="WIF_MktGW_Add_C_D0_2026" vbProcedure="false">Interface!$F$33</definedName>
    <definedName function="false" hidden="false" name="WIF_MktGW_Add_C_D0_2027" vbProcedure="false">Interface!$G$33</definedName>
    <definedName function="false" hidden="false" name="WIF_MktGW_Add_C_D0_2028" vbProcedure="false">Interface!$H$33</definedName>
    <definedName function="false" hidden="false" name="WIF_MktGW_Add_C_D0_2029" vbProcedure="false">Interface!$I$33</definedName>
    <definedName function="false" hidden="false" name="WIF_MktGW_Add_C_D0_2030" vbProcedure="false">Interface!$J$33</definedName>
    <definedName function="false" hidden="false" name="WIF_MktGW_Add_C_D0_2031" vbProcedure="false">Interface!$K$33</definedName>
    <definedName function="false" hidden="false" name="WIF_MktGW_Add_C_D0_2032" vbProcedure="false">Interface!$L$33</definedName>
    <definedName function="false" hidden="false" name="WIF_MktGW_Add_C_D0_SiteOnly_2024" vbProcedure="false">Interface!$D$68</definedName>
    <definedName function="false" hidden="false" name="WIF_MktGW_Add_C_D0_SiteOnly_2025" vbProcedure="false">Interface!$E$68</definedName>
    <definedName function="false" hidden="false" name="WIF_MktGW_Add_C_D0_SiteOnly_2026" vbProcedure="false">Interface!$F$68</definedName>
    <definedName function="false" hidden="false" name="WIF_MktGW_Add_C_D0_SiteOnly_2027" vbProcedure="false">Interface!$G$68</definedName>
    <definedName function="false" hidden="false" name="WIF_MktGW_Add_C_D0_SiteOnly_2028" vbProcedure="false">Interface!$H$68</definedName>
    <definedName function="false" hidden="false" name="WIF_MktGW_Add_C_D0_SiteOnly_2029" vbProcedure="false">Interface!$I$68</definedName>
    <definedName function="false" hidden="false" name="WIF_MktGW_Add_C_D0_SiteOnly_2030" vbProcedure="false">Interface!$J$68</definedName>
    <definedName function="false" hidden="false" name="WIF_MktGW_Add_C_D0_SiteOnly_2031" vbProcedure="false">Interface!$K$68</definedName>
    <definedName function="false" hidden="false" name="WIF_MktGW_Add_C_D0_SiteOnly_2032" vbProcedure="false">Interface!$L$68</definedName>
    <definedName function="false" hidden="false" name="WIF_MktGW_Add_C_D1_2024" vbProcedure="false">Interface!$D$34</definedName>
    <definedName function="false" hidden="false" name="WIF_MktGW_Add_C_D1_2025" vbProcedure="false">Interface!$E$34</definedName>
    <definedName function="false" hidden="false" name="WIF_MktGW_Add_C_D1_2026" vbProcedure="false">Interface!$F$34</definedName>
    <definedName function="false" hidden="false" name="WIF_MktGW_Add_C_D1_2027" vbProcedure="false">Interface!$G$34</definedName>
    <definedName function="false" hidden="false" name="WIF_MktGW_Add_C_D1_2028" vbProcedure="false">Interface!$H$34</definedName>
    <definedName function="false" hidden="false" name="WIF_MktGW_Add_C_D1_2029" vbProcedure="false">Interface!$I$34</definedName>
    <definedName function="false" hidden="false" name="WIF_MktGW_Add_C_D1_2030" vbProcedure="false">Interface!$J$34</definedName>
    <definedName function="false" hidden="false" name="WIF_MktGW_Add_C_D1_2031" vbProcedure="false">Interface!$K$34</definedName>
    <definedName function="false" hidden="false" name="WIF_MktGW_Add_C_D1_2032" vbProcedure="false">Interface!$L$34</definedName>
    <definedName function="false" hidden="false" name="WIF_MktGW_Add_C_D1_SiteOnly_2024" vbProcedure="false">Interface!$D$69</definedName>
    <definedName function="false" hidden="false" name="WIF_MktGW_Add_C_D1_SiteOnly_2025" vbProcedure="false">Interface!$E$69</definedName>
    <definedName function="false" hidden="false" name="WIF_MktGW_Add_C_D1_SiteOnly_2026" vbProcedure="false">Interface!$F$69</definedName>
    <definedName function="false" hidden="false" name="WIF_MktGW_Add_C_D1_SiteOnly_2027" vbProcedure="false">Interface!$G$69</definedName>
    <definedName function="false" hidden="false" name="WIF_MktGW_Add_C_D1_SiteOnly_2028" vbProcedure="false">Interface!$H$69</definedName>
    <definedName function="false" hidden="false" name="WIF_MktGW_Add_C_D1_SiteOnly_2029" vbProcedure="false">Interface!$I$69</definedName>
    <definedName function="false" hidden="false" name="WIF_MktGW_Add_C_D1_SiteOnly_2030" vbProcedure="false">Interface!$J$69</definedName>
    <definedName function="false" hidden="false" name="WIF_MktGW_Add_C_D1_SiteOnly_2031" vbProcedure="false">Interface!$K$69</definedName>
    <definedName function="false" hidden="false" name="WIF_MktGW_Add_C_D1_SiteOnly_2032" vbProcedure="false">Interface!$L$69</definedName>
    <definedName function="false" hidden="false" name="WIF_MktGW_Add_C_D2_2024" vbProcedure="false">Interface!$D$35</definedName>
    <definedName function="false" hidden="false" name="WIF_MktGW_Add_C_D2_2025" vbProcedure="false">Interface!$E$35</definedName>
    <definedName function="false" hidden="false" name="WIF_MktGW_Add_C_D2_2026" vbProcedure="false">Interface!$F$35</definedName>
    <definedName function="false" hidden="false" name="WIF_MktGW_Add_C_D2_2027" vbProcedure="false">Interface!$G$35</definedName>
    <definedName function="false" hidden="false" name="WIF_MktGW_Add_C_D2_2028" vbProcedure="false">Interface!$H$35</definedName>
    <definedName function="false" hidden="false" name="WIF_MktGW_Add_C_D2_2029" vbProcedure="false">Interface!$I$35</definedName>
    <definedName function="false" hidden="false" name="WIF_MktGW_Add_C_D2_2030" vbProcedure="false">Interface!$J$35</definedName>
    <definedName function="false" hidden="false" name="WIF_MktGW_Add_C_D2_2031" vbProcedure="false">Interface!$K$35</definedName>
    <definedName function="false" hidden="false" name="WIF_MktGW_Add_C_D2_2032" vbProcedure="false">Interface!$L$35</definedName>
    <definedName function="false" hidden="false" name="WIF_MktGW_Add_C_D2_SiteOnly_2024" vbProcedure="false">Interface!$D$70</definedName>
    <definedName function="false" hidden="false" name="WIF_MktGW_Add_C_D2_SiteOnly_2025" vbProcedure="false">Interface!$E$70</definedName>
    <definedName function="false" hidden="false" name="WIF_MktGW_Add_C_D2_SiteOnly_2026" vbProcedure="false">Interface!$F$70</definedName>
    <definedName function="false" hidden="false" name="WIF_MktGW_Add_C_D2_SiteOnly_2027" vbProcedure="false">Interface!$G$70</definedName>
    <definedName function="false" hidden="false" name="WIF_MktGW_Add_C_D2_SiteOnly_2028" vbProcedure="false">Interface!$H$70</definedName>
    <definedName function="false" hidden="false" name="WIF_MktGW_Add_C_D2_SiteOnly_2029" vbProcedure="false">Interface!$I$70</definedName>
    <definedName function="false" hidden="false" name="WIF_MktGW_Add_C_D2_SiteOnly_2030" vbProcedure="false">Interface!$J$70</definedName>
    <definedName function="false" hidden="false" name="WIF_MktGW_Add_C_D2_SiteOnly_2031" vbProcedure="false">Interface!$K$70</definedName>
    <definedName function="false" hidden="false" name="WIF_MktGW_Add_C_D2_SiteOnly_2032" vbProcedure="false">Interface!$L$70</definedName>
    <definedName function="false" hidden="false" name="WIF_MktGW_Avg_A_D0_2024" vbProcedure="false">Interface!$D$18</definedName>
    <definedName function="false" hidden="false" name="WIF_MktGW_Avg_A_D0_2025" vbProcedure="false">Interface!$E$18</definedName>
    <definedName function="false" hidden="false" name="WIF_MktGW_Avg_A_D0_2026" vbProcedure="false">Interface!$F$18</definedName>
    <definedName function="false" hidden="false" name="WIF_MktGW_Avg_A_D0_2027" vbProcedure="false">Interface!$G$18</definedName>
    <definedName function="false" hidden="false" name="WIF_MktGW_Avg_A_D0_2028" vbProcedure="false">Interface!$H$18</definedName>
    <definedName function="false" hidden="false" name="WIF_MktGW_Avg_A_D0_2029" vbProcedure="false">Interface!$I$18</definedName>
    <definedName function="false" hidden="false" name="WIF_MktGW_Avg_A_D0_2030" vbProcedure="false">Interface!$J$18</definedName>
    <definedName function="false" hidden="false" name="WIF_MktGW_Avg_A_D0_2031" vbProcedure="false">Interface!$K$18</definedName>
    <definedName function="false" hidden="false" name="WIF_MktGW_Avg_A_D0_2032" vbProcedure="false">Interface!$L$18</definedName>
    <definedName function="false" hidden="false" name="WIF_MktGW_Avg_A_D0_SiteOnly_2024" vbProcedure="false">Interface!$D$53</definedName>
    <definedName function="false" hidden="false" name="WIF_MktGW_Avg_A_D0_SiteOnly_2025" vbProcedure="false">Interface!$E$53</definedName>
    <definedName function="false" hidden="false" name="WIF_MktGW_Avg_A_D0_SiteOnly_2026" vbProcedure="false">Interface!$F$53</definedName>
    <definedName function="false" hidden="false" name="WIF_MktGW_Avg_A_D0_SiteOnly_2027" vbProcedure="false">Interface!$G$53</definedName>
    <definedName function="false" hidden="false" name="WIF_MktGW_Avg_A_D0_SiteOnly_2028" vbProcedure="false">Interface!$H$53</definedName>
    <definedName function="false" hidden="false" name="WIF_MktGW_Avg_A_D0_SiteOnly_2029" vbProcedure="false">Interface!$I$53</definedName>
    <definedName function="false" hidden="false" name="WIF_MktGW_Avg_A_D0_SiteOnly_2030" vbProcedure="false">Interface!$J$53</definedName>
    <definedName function="false" hidden="false" name="WIF_MktGW_Avg_A_D0_SiteOnly_2031" vbProcedure="false">Interface!$K$53</definedName>
    <definedName function="false" hidden="false" name="WIF_MktGW_Avg_A_D0_SiteOnly_2032" vbProcedure="false">Interface!$L$53</definedName>
    <definedName function="false" hidden="false" name="WIF_MktGW_Avg_A_D1_2024" vbProcedure="false">Interface!$D$19</definedName>
    <definedName function="false" hidden="false" name="WIF_MktGW_Avg_A_D1_2025" vbProcedure="false">Interface!$E$19</definedName>
    <definedName function="false" hidden="false" name="WIF_MktGW_Avg_A_D1_2026" vbProcedure="false">Interface!$F$19</definedName>
    <definedName function="false" hidden="false" name="WIF_MktGW_Avg_A_D1_2027" vbProcedure="false">Interface!$G$19</definedName>
    <definedName function="false" hidden="false" name="WIF_MktGW_Avg_A_D1_2028" vbProcedure="false">Interface!$H$19</definedName>
    <definedName function="false" hidden="false" name="WIF_MktGW_Avg_A_D1_2029" vbProcedure="false">Interface!$I$19</definedName>
    <definedName function="false" hidden="false" name="WIF_MktGW_Avg_A_D1_2030" vbProcedure="false">Interface!$J$19</definedName>
    <definedName function="false" hidden="false" name="WIF_MktGW_Avg_A_D1_2031" vbProcedure="false">Interface!$K$19</definedName>
    <definedName function="false" hidden="false" name="WIF_MktGW_Avg_A_D1_2032" vbProcedure="false">Interface!$L$19</definedName>
    <definedName function="false" hidden="false" name="WIF_MktGW_Avg_A_D1_SiteOnly_2024" vbProcedure="false">Interface!$D$54</definedName>
    <definedName function="false" hidden="false" name="WIF_MktGW_Avg_A_D1_SiteOnly_2025" vbProcedure="false">Interface!$E$54</definedName>
    <definedName function="false" hidden="false" name="WIF_MktGW_Avg_A_D1_SiteOnly_2026" vbProcedure="false">Interface!$F$54</definedName>
    <definedName function="false" hidden="false" name="WIF_MktGW_Avg_A_D1_SiteOnly_2027" vbProcedure="false">Interface!$G$54</definedName>
    <definedName function="false" hidden="false" name="WIF_MktGW_Avg_A_D1_SiteOnly_2028" vbProcedure="false">Interface!$H$54</definedName>
    <definedName function="false" hidden="false" name="WIF_MktGW_Avg_A_D1_SiteOnly_2029" vbProcedure="false">Interface!$I$54</definedName>
    <definedName function="false" hidden="false" name="WIF_MktGW_Avg_A_D1_SiteOnly_2030" vbProcedure="false">Interface!$J$54</definedName>
    <definedName function="false" hidden="false" name="WIF_MktGW_Avg_A_D1_SiteOnly_2031" vbProcedure="false">Interface!$K$54</definedName>
    <definedName function="false" hidden="false" name="WIF_MktGW_Avg_A_D1_SiteOnly_2032" vbProcedure="false">Interface!$L$54</definedName>
    <definedName function="false" hidden="false" name="WIF_MktGW_Avg_A_D2_2024" vbProcedure="false">Interface!$D$20</definedName>
    <definedName function="false" hidden="false" name="WIF_MktGW_Avg_A_D2_2025" vbProcedure="false">Interface!$E$20</definedName>
    <definedName function="false" hidden="false" name="WIF_MktGW_Avg_A_D2_2026" vbProcedure="false">Interface!$F$20</definedName>
    <definedName function="false" hidden="false" name="WIF_MktGW_Avg_A_D2_2027" vbProcedure="false">Interface!$G$20</definedName>
    <definedName function="false" hidden="false" name="WIF_MktGW_Avg_A_D2_2028" vbProcedure="false">Interface!$H$20</definedName>
    <definedName function="false" hidden="false" name="WIF_MktGW_Avg_A_D2_2029" vbProcedure="false">Interface!$I$20</definedName>
    <definedName function="false" hidden="false" name="WIF_MktGW_Avg_A_D2_2030" vbProcedure="false">Interface!$J$20</definedName>
    <definedName function="false" hidden="false" name="WIF_MktGW_Avg_A_D2_2031" vbProcedure="false">Interface!$K$20</definedName>
    <definedName function="false" hidden="false" name="WIF_MktGW_Avg_A_D2_2032" vbProcedure="false">Interface!$L$20</definedName>
    <definedName function="false" hidden="false" name="WIF_MktGW_Avg_A_D2_SiteOnly_2024" vbProcedure="false">Interface!$D$55</definedName>
    <definedName function="false" hidden="false" name="WIF_MktGW_Avg_A_D2_SiteOnly_2025" vbProcedure="false">Interface!$E$55</definedName>
    <definedName function="false" hidden="false" name="WIF_MktGW_Avg_A_D2_SiteOnly_2026" vbProcedure="false">Interface!$F$55</definedName>
    <definedName function="false" hidden="false" name="WIF_MktGW_Avg_A_D2_SiteOnly_2027" vbProcedure="false">Interface!$G$55</definedName>
    <definedName function="false" hidden="false" name="WIF_MktGW_Avg_A_D2_SiteOnly_2028" vbProcedure="false">Interface!$H$55</definedName>
    <definedName function="false" hidden="false" name="WIF_MktGW_Avg_A_D2_SiteOnly_2029" vbProcedure="false">Interface!$I$55</definedName>
    <definedName function="false" hidden="false" name="WIF_MktGW_Avg_A_D2_SiteOnly_2030" vbProcedure="false">Interface!$J$55</definedName>
    <definedName function="false" hidden="false" name="WIF_MktGW_Avg_A_D2_SiteOnly_2031" vbProcedure="false">Interface!$K$55</definedName>
    <definedName function="false" hidden="false" name="WIF_MktGW_Avg_A_D2_SiteOnly_2032" vbProcedure="false">Interface!$L$55</definedName>
    <definedName function="false" hidden="false" name="WIF_MktGW_Avg_B_D0_2024" vbProcedure="false">Interface!$D$21</definedName>
    <definedName function="false" hidden="false" name="WIF_MktGW_Avg_B_D0_2025" vbProcedure="false">Interface!$E$21</definedName>
    <definedName function="false" hidden="false" name="WIF_MktGW_Avg_B_D0_2026" vbProcedure="false">Interface!$F$21</definedName>
    <definedName function="false" hidden="false" name="WIF_MktGW_Avg_B_D0_2027" vbProcedure="false">Interface!$G$21</definedName>
    <definedName function="false" hidden="false" name="WIF_MktGW_Avg_B_D0_2028" vbProcedure="false">Interface!$H$21</definedName>
    <definedName function="false" hidden="false" name="WIF_MktGW_Avg_B_D0_2029" vbProcedure="false">Interface!$I$21</definedName>
    <definedName function="false" hidden="false" name="WIF_MktGW_Avg_B_D0_2030" vbProcedure="false">Interface!$J$21</definedName>
    <definedName function="false" hidden="false" name="WIF_MktGW_Avg_B_D0_2031" vbProcedure="false">Interface!$K$21</definedName>
    <definedName function="false" hidden="false" name="WIF_MktGW_Avg_B_D0_2032" vbProcedure="false">Interface!$L$21</definedName>
    <definedName function="false" hidden="false" name="WIF_MktGW_Avg_B_D0_SiteOnly_2024" vbProcedure="false">Interface!$D$56</definedName>
    <definedName function="false" hidden="false" name="WIF_MktGW_Avg_B_D0_SiteOnly_2025" vbProcedure="false">Interface!$E$56</definedName>
    <definedName function="false" hidden="false" name="WIF_MktGW_Avg_B_D0_SiteOnly_2026" vbProcedure="false">Interface!$F$56</definedName>
    <definedName function="false" hidden="false" name="WIF_MktGW_Avg_B_D0_SiteOnly_2027" vbProcedure="false">Interface!$G$56</definedName>
    <definedName function="false" hidden="false" name="WIF_MktGW_Avg_B_D0_SiteOnly_2028" vbProcedure="false">Interface!$H$56</definedName>
    <definedName function="false" hidden="false" name="WIF_MktGW_Avg_B_D0_SiteOnly_2029" vbProcedure="false">Interface!$I$56</definedName>
    <definedName function="false" hidden="false" name="WIF_MktGW_Avg_B_D0_SiteOnly_2030" vbProcedure="false">Interface!$J$56</definedName>
    <definedName function="false" hidden="false" name="WIF_MktGW_Avg_B_D0_SiteOnly_2031" vbProcedure="false">Interface!$K$56</definedName>
    <definedName function="false" hidden="false" name="WIF_MktGW_Avg_B_D0_SiteOnly_2032" vbProcedure="false">Interface!$L$56</definedName>
    <definedName function="false" hidden="false" name="WIF_MktGW_Avg_B_D1_2024" vbProcedure="false">Interface!$D$22</definedName>
    <definedName function="false" hidden="false" name="WIF_MktGW_Avg_B_D1_2025" vbProcedure="false">Interface!$E$22</definedName>
    <definedName function="false" hidden="false" name="WIF_MktGW_Avg_B_D1_2026" vbProcedure="false">Interface!$F$22</definedName>
    <definedName function="false" hidden="false" name="WIF_MktGW_Avg_B_D1_2027" vbProcedure="false">Interface!$G$22</definedName>
    <definedName function="false" hidden="false" name="WIF_MktGW_Avg_B_D1_2028" vbProcedure="false">Interface!$H$22</definedName>
    <definedName function="false" hidden="false" name="WIF_MktGW_Avg_B_D1_2029" vbProcedure="false">Interface!$I$22</definedName>
    <definedName function="false" hidden="false" name="WIF_MktGW_Avg_B_D1_2030" vbProcedure="false">Interface!$J$22</definedName>
    <definedName function="false" hidden="false" name="WIF_MktGW_Avg_B_D1_2031" vbProcedure="false">Interface!$K$22</definedName>
    <definedName function="false" hidden="false" name="WIF_MktGW_Avg_B_D1_2032" vbProcedure="false">Interface!$L$22</definedName>
    <definedName function="false" hidden="false" name="WIF_MktGW_Avg_B_D1_SiteOnly_2024" vbProcedure="false">Interface!$D$57</definedName>
    <definedName function="false" hidden="false" name="WIF_MktGW_Avg_B_D1_SiteOnly_2025" vbProcedure="false">Interface!$E$57</definedName>
    <definedName function="false" hidden="false" name="WIF_MktGW_Avg_B_D1_SiteOnly_2026" vbProcedure="false">Interface!$F$57</definedName>
    <definedName function="false" hidden="false" name="WIF_MktGW_Avg_B_D1_SiteOnly_2027" vbProcedure="false">Interface!$G$57</definedName>
    <definedName function="false" hidden="false" name="WIF_MktGW_Avg_B_D1_SiteOnly_2028" vbProcedure="false">Interface!$H$57</definedName>
    <definedName function="false" hidden="false" name="WIF_MktGW_Avg_B_D1_SiteOnly_2029" vbProcedure="false">Interface!$I$57</definedName>
    <definedName function="false" hidden="false" name="WIF_MktGW_Avg_B_D1_SiteOnly_2030" vbProcedure="false">Interface!$J$57</definedName>
    <definedName function="false" hidden="false" name="WIF_MktGW_Avg_B_D1_SiteOnly_2031" vbProcedure="false">Interface!$K$57</definedName>
    <definedName function="false" hidden="false" name="WIF_MktGW_Avg_B_D1_SiteOnly_2032" vbProcedure="false">Interface!$L$57</definedName>
    <definedName function="false" hidden="false" name="WIF_MktGW_Avg_B_D2_2024" vbProcedure="false">Interface!$D$23</definedName>
    <definedName function="false" hidden="false" name="WIF_MktGW_Avg_B_D2_2025" vbProcedure="false">Interface!$E$23</definedName>
    <definedName function="false" hidden="false" name="WIF_MktGW_Avg_B_D2_2026" vbProcedure="false">Interface!$F$23</definedName>
    <definedName function="false" hidden="false" name="WIF_MktGW_Avg_B_D2_2027" vbProcedure="false">Interface!$G$23</definedName>
    <definedName function="false" hidden="false" name="WIF_MktGW_Avg_B_D2_2028" vbProcedure="false">Interface!$H$23</definedName>
    <definedName function="false" hidden="false" name="WIF_MktGW_Avg_B_D2_2029" vbProcedure="false">Interface!$I$23</definedName>
    <definedName function="false" hidden="false" name="WIF_MktGW_Avg_B_D2_2030" vbProcedure="false">Interface!$J$23</definedName>
    <definedName function="false" hidden="false" name="WIF_MktGW_Avg_B_D2_2031" vbProcedure="false">Interface!$K$23</definedName>
    <definedName function="false" hidden="false" name="WIF_MktGW_Avg_B_D2_2032" vbProcedure="false">Interface!$L$23</definedName>
    <definedName function="false" hidden="false" name="WIF_MktGW_Avg_B_D2_SiteOnly_2024" vbProcedure="false">Interface!$D$58</definedName>
    <definedName function="false" hidden="false" name="WIF_MktGW_Avg_B_D2_SiteOnly_2025" vbProcedure="false">Interface!$E$58</definedName>
    <definedName function="false" hidden="false" name="WIF_MktGW_Avg_B_D2_SiteOnly_2026" vbProcedure="false">Interface!$F$58</definedName>
    <definedName function="false" hidden="false" name="WIF_MktGW_Avg_B_D2_SiteOnly_2027" vbProcedure="false">Interface!$G$58</definedName>
    <definedName function="false" hidden="false" name="WIF_MktGW_Avg_B_D2_SiteOnly_2028" vbProcedure="false">Interface!$H$58</definedName>
    <definedName function="false" hidden="false" name="WIF_MktGW_Avg_B_D2_SiteOnly_2029" vbProcedure="false">Interface!$I$58</definedName>
    <definedName function="false" hidden="false" name="WIF_MktGW_Avg_B_D2_SiteOnly_2030" vbProcedure="false">Interface!$J$58</definedName>
    <definedName function="false" hidden="false" name="WIF_MktGW_Avg_B_D2_SiteOnly_2031" vbProcedure="false">Interface!$K$58</definedName>
    <definedName function="false" hidden="false" name="WIF_MktGW_Avg_B_D2_SiteOnly_2032" vbProcedure="false">Interface!$L$58</definedName>
    <definedName function="false" hidden="false" name="WIF_MktGW_Avg_C_D0_2024" vbProcedure="false">Interface!$D$24</definedName>
    <definedName function="false" hidden="false" name="WIF_MktGW_Avg_C_D0_2025" vbProcedure="false">Interface!$E$24</definedName>
    <definedName function="false" hidden="false" name="WIF_MktGW_Avg_C_D0_2026" vbProcedure="false">Interface!$F$24</definedName>
    <definedName function="false" hidden="false" name="WIF_MktGW_Avg_C_D0_2027" vbProcedure="false">Interface!$G$24</definedName>
    <definedName function="false" hidden="false" name="WIF_MktGW_Avg_C_D0_2028" vbProcedure="false">Interface!$H$24</definedName>
    <definedName function="false" hidden="false" name="WIF_MktGW_Avg_C_D0_2029" vbProcedure="false">Interface!$I$24</definedName>
    <definedName function="false" hidden="false" name="WIF_MktGW_Avg_C_D0_2030" vbProcedure="false">Interface!$J$24</definedName>
    <definedName function="false" hidden="false" name="WIF_MktGW_Avg_C_D0_2031" vbProcedure="false">Interface!$K$24</definedName>
    <definedName function="false" hidden="false" name="WIF_MktGW_Avg_C_D0_2032" vbProcedure="false">Interface!$L$24</definedName>
    <definedName function="false" hidden="false" name="WIF_MktGW_Avg_C_D0_SiteOnly_2024" vbProcedure="false">Interface!$D$59</definedName>
    <definedName function="false" hidden="false" name="WIF_MktGW_Avg_C_D0_SiteOnly_2025" vbProcedure="false">Interface!$E$59</definedName>
    <definedName function="false" hidden="false" name="WIF_MktGW_Avg_C_D0_SiteOnly_2026" vbProcedure="false">Interface!$F$59</definedName>
    <definedName function="false" hidden="false" name="WIF_MktGW_Avg_C_D0_SiteOnly_2027" vbProcedure="false">Interface!$G$59</definedName>
    <definedName function="false" hidden="false" name="WIF_MktGW_Avg_C_D0_SiteOnly_2028" vbProcedure="false">Interface!$H$59</definedName>
    <definedName function="false" hidden="false" name="WIF_MktGW_Avg_C_D0_SiteOnly_2029" vbProcedure="false">Interface!$I$59</definedName>
    <definedName function="false" hidden="false" name="WIF_MktGW_Avg_C_D0_SiteOnly_2030" vbProcedure="false">Interface!$J$59</definedName>
    <definedName function="false" hidden="false" name="WIF_MktGW_Avg_C_D0_SiteOnly_2031" vbProcedure="false">Interface!$K$59</definedName>
    <definedName function="false" hidden="false" name="WIF_MktGW_Avg_C_D0_SiteOnly_2032" vbProcedure="false">Interface!$L$59</definedName>
    <definedName function="false" hidden="false" name="WIF_MktGW_Avg_C_D1_2024" vbProcedure="false">Interface!$D$25</definedName>
    <definedName function="false" hidden="false" name="WIF_MktGW_Avg_C_D1_2025" vbProcedure="false">Interface!$E$25</definedName>
    <definedName function="false" hidden="false" name="WIF_MktGW_Avg_C_D1_2026" vbProcedure="false">Interface!$F$25</definedName>
    <definedName function="false" hidden="false" name="WIF_MktGW_Avg_C_D1_2027" vbProcedure="false">Interface!$G$25</definedName>
    <definedName function="false" hidden="false" name="WIF_MktGW_Avg_C_D1_2028" vbProcedure="false">Interface!$H$25</definedName>
    <definedName function="false" hidden="false" name="WIF_MktGW_Avg_C_D1_2029" vbProcedure="false">Interface!$I$25</definedName>
    <definedName function="false" hidden="false" name="WIF_MktGW_Avg_C_D1_2030" vbProcedure="false">Interface!$J$25</definedName>
    <definedName function="false" hidden="false" name="WIF_MktGW_Avg_C_D1_2031" vbProcedure="false">Interface!$K$25</definedName>
    <definedName function="false" hidden="false" name="WIF_MktGW_Avg_C_D1_2032" vbProcedure="false">Interface!$L$25</definedName>
    <definedName function="false" hidden="false" name="WIF_MktGW_Avg_C_D1_SiteOnly_2024" vbProcedure="false">Interface!$D$60</definedName>
    <definedName function="false" hidden="false" name="WIF_MktGW_Avg_C_D1_SiteOnly_2025" vbProcedure="false">Interface!$E$60</definedName>
    <definedName function="false" hidden="false" name="WIF_MktGW_Avg_C_D1_SiteOnly_2026" vbProcedure="false">Interface!$F$60</definedName>
    <definedName function="false" hidden="false" name="WIF_MktGW_Avg_C_D1_SiteOnly_2027" vbProcedure="false">Interface!$G$60</definedName>
    <definedName function="false" hidden="false" name="WIF_MktGW_Avg_C_D1_SiteOnly_2028" vbProcedure="false">Interface!$H$60</definedName>
    <definedName function="false" hidden="false" name="WIF_MktGW_Avg_C_D1_SiteOnly_2029" vbProcedure="false">Interface!$I$60</definedName>
    <definedName function="false" hidden="false" name="WIF_MktGW_Avg_C_D1_SiteOnly_2030" vbProcedure="false">Interface!$J$60</definedName>
    <definedName function="false" hidden="false" name="WIF_MktGW_Avg_C_D1_SiteOnly_2031" vbProcedure="false">Interface!$K$60</definedName>
    <definedName function="false" hidden="false" name="WIF_MktGW_Avg_C_D1_SiteOnly_2032" vbProcedure="false">Interface!$L$60</definedName>
    <definedName function="false" hidden="false" name="WIF_MktGW_Avg_C_D2_2024" vbProcedure="false">Interface!$D$26</definedName>
    <definedName function="false" hidden="false" name="WIF_MktGW_Avg_C_D2_2025" vbProcedure="false">Interface!$E$26</definedName>
    <definedName function="false" hidden="false" name="WIF_MktGW_Avg_C_D2_2026" vbProcedure="false">Interface!$F$26</definedName>
    <definedName function="false" hidden="false" name="WIF_MktGW_Avg_C_D2_2027" vbProcedure="false">Interface!$G$26</definedName>
    <definedName function="false" hidden="false" name="WIF_MktGW_Avg_C_D2_2028" vbProcedure="false">Interface!$H$26</definedName>
    <definedName function="false" hidden="false" name="WIF_MktGW_Avg_C_D2_2029" vbProcedure="false">Interface!$I$26</definedName>
    <definedName function="false" hidden="false" name="WIF_MktGW_Avg_C_D2_2030" vbProcedure="false">Interface!$J$26</definedName>
    <definedName function="false" hidden="false" name="WIF_MktGW_Avg_C_D2_2031" vbProcedure="false">Interface!$K$26</definedName>
    <definedName function="false" hidden="false" name="WIF_MktGW_Avg_C_D2_2032" vbProcedure="false">Interface!$L$26</definedName>
    <definedName function="false" hidden="false" name="WIF_MktGW_Avg_C_D2_SiteOnly_2024" vbProcedure="false">Interface!$D$61</definedName>
    <definedName function="false" hidden="false" name="WIF_MktGW_Avg_C_D2_SiteOnly_2025" vbProcedure="false">Interface!$E$61</definedName>
    <definedName function="false" hidden="false" name="WIF_MktGW_Avg_C_D2_SiteOnly_2026" vbProcedure="false">Interface!$F$61</definedName>
    <definedName function="false" hidden="false" name="WIF_MktGW_Avg_C_D2_SiteOnly_2027" vbProcedure="false">Interface!$G$61</definedName>
    <definedName function="false" hidden="false" name="WIF_MktGW_Avg_C_D2_SiteOnly_2028" vbProcedure="false">Interface!$H$61</definedName>
    <definedName function="false" hidden="false" name="WIF_MktGW_Avg_C_D2_SiteOnly_2029" vbProcedure="false">Interface!$I$61</definedName>
    <definedName function="false" hidden="false" name="WIF_MktGW_Avg_C_D2_SiteOnly_2030" vbProcedure="false">Interface!$J$61</definedName>
    <definedName function="false" hidden="false" name="WIF_MktGW_Avg_C_D2_SiteOnly_2031" vbProcedure="false">Interface!$K$61</definedName>
    <definedName function="false" hidden="false" name="WIF_MktGW_Avg_C_D2_SiteOnly_2032" vbProcedure="false">Interface!$L$61</definedName>
    <definedName function="false" hidden="false" name="WIF_MktGW_YE_A_D0_2024" vbProcedure="false">Interface!$D$9</definedName>
    <definedName function="false" hidden="false" name="WIF_MktGW_YE_A_D0_2025" vbProcedure="false">Interface!$E$9</definedName>
    <definedName function="false" hidden="false" name="WIF_MktGW_YE_A_D0_2026" vbProcedure="false">Interface!$F$9</definedName>
    <definedName function="false" hidden="false" name="WIF_MktGW_YE_A_D0_2027" vbProcedure="false">Interface!$G$9</definedName>
    <definedName function="false" hidden="false" name="WIF_MktGW_YE_A_D0_2028" vbProcedure="false">Interface!$H$9</definedName>
    <definedName function="false" hidden="false" name="WIF_MktGW_YE_A_D0_2029" vbProcedure="false">Interface!$I$9</definedName>
    <definedName function="false" hidden="false" name="WIF_MktGW_YE_A_D0_2030" vbProcedure="false">Interface!$J$9</definedName>
    <definedName function="false" hidden="false" name="WIF_MktGW_YE_A_D0_2031" vbProcedure="false">Interface!$K$9</definedName>
    <definedName function="false" hidden="false" name="WIF_MktGW_YE_A_D0_2032" vbProcedure="false">Interface!$L$9</definedName>
    <definedName function="false" hidden="false" name="WIF_MktGW_YE_A_D0_SiteOnly_2024" vbProcedure="false">Interface!$D$44</definedName>
    <definedName function="false" hidden="false" name="WIF_MktGW_YE_A_D0_SiteOnly_2025" vbProcedure="false">Interface!$E$44</definedName>
    <definedName function="false" hidden="false" name="WIF_MktGW_YE_A_D0_SiteOnly_2026" vbProcedure="false">Interface!$F$44</definedName>
    <definedName function="false" hidden="false" name="WIF_MktGW_YE_A_D0_SiteOnly_2027" vbProcedure="false">Interface!$G$44</definedName>
    <definedName function="false" hidden="false" name="WIF_MktGW_YE_A_D0_SiteOnly_2028" vbProcedure="false">Interface!$H$44</definedName>
    <definedName function="false" hidden="false" name="WIF_MktGW_YE_A_D0_SiteOnly_2029" vbProcedure="false">Interface!$I$44</definedName>
    <definedName function="false" hidden="false" name="WIF_MktGW_YE_A_D0_SiteOnly_2030" vbProcedure="false">Interface!$J$44</definedName>
    <definedName function="false" hidden="false" name="WIF_MktGW_YE_A_D0_SiteOnly_2031" vbProcedure="false">Interface!$K$44</definedName>
    <definedName function="false" hidden="false" name="WIF_MktGW_YE_A_D0_SiteOnly_2032" vbProcedure="false">Interface!$L$44</definedName>
    <definedName function="false" hidden="false" name="WIF_MktGW_YE_A_D1_2024" vbProcedure="false">Interface!$D$10</definedName>
    <definedName function="false" hidden="false" name="WIF_MktGW_YE_A_D1_2025" vbProcedure="false">Interface!$E$10</definedName>
    <definedName function="false" hidden="false" name="WIF_MktGW_YE_A_D1_2026" vbProcedure="false">Interface!$F$10</definedName>
    <definedName function="false" hidden="false" name="WIF_MktGW_YE_A_D1_2027" vbProcedure="false">Interface!$G$10</definedName>
    <definedName function="false" hidden="false" name="WIF_MktGW_YE_A_D1_2028" vbProcedure="false">Interface!$H$10</definedName>
    <definedName function="false" hidden="false" name="WIF_MktGW_YE_A_D1_2029" vbProcedure="false">Interface!$I$10</definedName>
    <definedName function="false" hidden="false" name="WIF_MktGW_YE_A_D1_2030" vbProcedure="false">Interface!$J$10</definedName>
    <definedName function="false" hidden="false" name="WIF_MktGW_YE_A_D1_2031" vbProcedure="false">Interface!$K$10</definedName>
    <definedName function="false" hidden="false" name="WIF_MktGW_YE_A_D1_2032" vbProcedure="false">Interface!$L$10</definedName>
    <definedName function="false" hidden="false" name="WIF_MktGW_YE_A_D1_SiteOnly_2024" vbProcedure="false">Interface!$D$45</definedName>
    <definedName function="false" hidden="false" name="WIF_MktGW_YE_A_D1_SiteOnly_2025" vbProcedure="false">Interface!$E$45</definedName>
    <definedName function="false" hidden="false" name="WIF_MktGW_YE_A_D1_SiteOnly_2026" vbProcedure="false">Interface!$F$45</definedName>
    <definedName function="false" hidden="false" name="WIF_MktGW_YE_A_D1_SiteOnly_2027" vbProcedure="false">Interface!$G$45</definedName>
    <definedName function="false" hidden="false" name="WIF_MktGW_YE_A_D1_SiteOnly_2028" vbProcedure="false">Interface!$H$45</definedName>
    <definedName function="false" hidden="false" name="WIF_MktGW_YE_A_D1_SiteOnly_2029" vbProcedure="false">Interface!$I$45</definedName>
    <definedName function="false" hidden="false" name="WIF_MktGW_YE_A_D1_SiteOnly_2030" vbProcedure="false">Interface!$J$45</definedName>
    <definedName function="false" hidden="false" name="WIF_MktGW_YE_A_D1_SiteOnly_2031" vbProcedure="false">Interface!$K$45</definedName>
    <definedName function="false" hidden="false" name="WIF_MktGW_YE_A_D1_SiteOnly_2032" vbProcedure="false">Interface!$L$45</definedName>
    <definedName function="false" hidden="false" name="WIF_MktGW_YE_A_D2_2024" vbProcedure="false">Interface!$D$11</definedName>
    <definedName function="false" hidden="false" name="WIF_MktGW_YE_A_D2_2025" vbProcedure="false">Interface!$E$11</definedName>
    <definedName function="false" hidden="false" name="WIF_MktGW_YE_A_D2_2026" vbProcedure="false">Interface!$F$11</definedName>
    <definedName function="false" hidden="false" name="WIF_MktGW_YE_A_D2_2027" vbProcedure="false">Interface!$G$11</definedName>
    <definedName function="false" hidden="false" name="WIF_MktGW_YE_A_D2_2028" vbProcedure="false">Interface!$H$11</definedName>
    <definedName function="false" hidden="false" name="WIF_MktGW_YE_A_D2_2029" vbProcedure="false">Interface!$I$11</definedName>
    <definedName function="false" hidden="false" name="WIF_MktGW_YE_A_D2_2030" vbProcedure="false">Interface!$J$11</definedName>
    <definedName function="false" hidden="false" name="WIF_MktGW_YE_A_D2_2031" vbProcedure="false">Interface!$K$11</definedName>
    <definedName function="false" hidden="false" name="WIF_MktGW_YE_A_D2_2032" vbProcedure="false">Interface!$L$11</definedName>
    <definedName function="false" hidden="false" name="WIF_MktGW_YE_A_D2_SiteOnly_2024" vbProcedure="false">Interface!$D$46</definedName>
    <definedName function="false" hidden="false" name="WIF_MktGW_YE_A_D2_SiteOnly_2025" vbProcedure="false">Interface!$E$46</definedName>
    <definedName function="false" hidden="false" name="WIF_MktGW_YE_A_D2_SiteOnly_2026" vbProcedure="false">Interface!$F$46</definedName>
    <definedName function="false" hidden="false" name="WIF_MktGW_YE_A_D2_SiteOnly_2027" vbProcedure="false">Interface!$G$46</definedName>
    <definedName function="false" hidden="false" name="WIF_MktGW_YE_A_D2_SiteOnly_2028" vbProcedure="false">Interface!$H$46</definedName>
    <definedName function="false" hidden="false" name="WIF_MktGW_YE_A_D2_SiteOnly_2029" vbProcedure="false">Interface!$I$46</definedName>
    <definedName function="false" hidden="false" name="WIF_MktGW_YE_A_D2_SiteOnly_2030" vbProcedure="false">Interface!$J$46</definedName>
    <definedName function="false" hidden="false" name="WIF_MktGW_YE_A_D2_SiteOnly_2031" vbProcedure="false">Interface!$K$46</definedName>
    <definedName function="false" hidden="false" name="WIF_MktGW_YE_A_D2_SiteOnly_2032" vbProcedure="false">Interface!$L$46</definedName>
    <definedName function="false" hidden="false" name="WIF_MktGW_YE_B_D0_2024" vbProcedure="false">Interface!$D$12</definedName>
    <definedName function="false" hidden="false" name="WIF_MktGW_YE_B_D0_2025" vbProcedure="false">Interface!$E$12</definedName>
    <definedName function="false" hidden="false" name="WIF_MktGW_YE_B_D0_2026" vbProcedure="false">Interface!$F$12</definedName>
    <definedName function="false" hidden="false" name="WIF_MktGW_YE_B_D0_2027" vbProcedure="false">Interface!$G$12</definedName>
    <definedName function="false" hidden="false" name="WIF_MktGW_YE_B_D0_2028" vbProcedure="false">Interface!$H$12</definedName>
    <definedName function="false" hidden="false" name="WIF_MktGW_YE_B_D0_2029" vbProcedure="false">Interface!$I$12</definedName>
    <definedName function="false" hidden="false" name="WIF_MktGW_YE_B_D0_2030" vbProcedure="false">Interface!$J$12</definedName>
    <definedName function="false" hidden="false" name="WIF_MktGW_YE_B_D0_2031" vbProcedure="false">Interface!$K$12</definedName>
    <definedName function="false" hidden="false" name="WIF_MktGW_YE_B_D0_2032" vbProcedure="false">Interface!$L$12</definedName>
    <definedName function="false" hidden="false" name="WIF_MktGW_YE_B_D0_SiteOnly_2024" vbProcedure="false">Interface!$D$47</definedName>
    <definedName function="false" hidden="false" name="WIF_MktGW_YE_B_D0_SiteOnly_2025" vbProcedure="false">Interface!$E$47</definedName>
    <definedName function="false" hidden="false" name="WIF_MktGW_YE_B_D0_SiteOnly_2026" vbProcedure="false">Interface!$F$47</definedName>
    <definedName function="false" hidden="false" name="WIF_MktGW_YE_B_D0_SiteOnly_2027" vbProcedure="false">Interface!$G$47</definedName>
    <definedName function="false" hidden="false" name="WIF_MktGW_YE_B_D0_SiteOnly_2028" vbProcedure="false">Interface!$H$47</definedName>
    <definedName function="false" hidden="false" name="WIF_MktGW_YE_B_D0_SiteOnly_2029" vbProcedure="false">Interface!$I$47</definedName>
    <definedName function="false" hidden="false" name="WIF_MktGW_YE_B_D0_SiteOnly_2030" vbProcedure="false">Interface!$J$47</definedName>
    <definedName function="false" hidden="false" name="WIF_MktGW_YE_B_D0_SiteOnly_2031" vbProcedure="false">Interface!$K$47</definedName>
    <definedName function="false" hidden="false" name="WIF_MktGW_YE_B_D0_SiteOnly_2032" vbProcedure="false">Interface!$L$47</definedName>
    <definedName function="false" hidden="false" name="WIF_MktGW_YE_B_D1_2024" vbProcedure="false">Interface!$D$13</definedName>
    <definedName function="false" hidden="false" name="WIF_MktGW_YE_B_D1_2025" vbProcedure="false">Interface!$E$13</definedName>
    <definedName function="false" hidden="false" name="WIF_MktGW_YE_B_D1_2026" vbProcedure="false">Interface!$F$13</definedName>
    <definedName function="false" hidden="false" name="WIF_MktGW_YE_B_D1_2027" vbProcedure="false">Interface!$G$13</definedName>
    <definedName function="false" hidden="false" name="WIF_MktGW_YE_B_D1_2028" vbProcedure="false">Interface!$H$13</definedName>
    <definedName function="false" hidden="false" name="WIF_MktGW_YE_B_D1_2029" vbProcedure="false">Interface!$I$13</definedName>
    <definedName function="false" hidden="false" name="WIF_MktGW_YE_B_D1_2030" vbProcedure="false">Interface!$J$13</definedName>
    <definedName function="false" hidden="false" name="WIF_MktGW_YE_B_D1_2031" vbProcedure="false">Interface!$K$13</definedName>
    <definedName function="false" hidden="false" name="WIF_MktGW_YE_B_D1_2032" vbProcedure="false">Interface!$L$13</definedName>
    <definedName function="false" hidden="false" name="WIF_MktGW_YE_B_D1_SiteOnly_2024" vbProcedure="false">Interface!$D$48</definedName>
    <definedName function="false" hidden="false" name="WIF_MktGW_YE_B_D1_SiteOnly_2025" vbProcedure="false">Interface!$E$48</definedName>
    <definedName function="false" hidden="false" name="WIF_MktGW_YE_B_D1_SiteOnly_2026" vbProcedure="false">Interface!$F$48</definedName>
    <definedName function="false" hidden="false" name="WIF_MktGW_YE_B_D1_SiteOnly_2027" vbProcedure="false">Interface!$G$48</definedName>
    <definedName function="false" hidden="false" name="WIF_MktGW_YE_B_D1_SiteOnly_2028" vbProcedure="false">Interface!$H$48</definedName>
    <definedName function="false" hidden="false" name="WIF_MktGW_YE_B_D1_SiteOnly_2029" vbProcedure="false">Interface!$I$48</definedName>
    <definedName function="false" hidden="false" name="WIF_MktGW_YE_B_D1_SiteOnly_2030" vbProcedure="false">Interface!$J$48</definedName>
    <definedName function="false" hidden="false" name="WIF_MktGW_YE_B_D1_SiteOnly_2031" vbProcedure="false">Interface!$K$48</definedName>
    <definedName function="false" hidden="false" name="WIF_MktGW_YE_B_D1_SiteOnly_2032" vbProcedure="false">Interface!$L$48</definedName>
    <definedName function="false" hidden="false" name="WIF_MktGW_YE_B_D2_2024" vbProcedure="false">Interface!$D$14</definedName>
    <definedName function="false" hidden="false" name="WIF_MktGW_YE_B_D2_2025" vbProcedure="false">Interface!$E$14</definedName>
    <definedName function="false" hidden="false" name="WIF_MktGW_YE_B_D2_2026" vbProcedure="false">Interface!$F$14</definedName>
    <definedName function="false" hidden="false" name="WIF_MktGW_YE_B_D2_2027" vbProcedure="false">Interface!$G$14</definedName>
    <definedName function="false" hidden="false" name="WIF_MktGW_YE_B_D2_2028" vbProcedure="false">Interface!$H$14</definedName>
    <definedName function="false" hidden="false" name="WIF_MktGW_YE_B_D2_2029" vbProcedure="false">Interface!$I$14</definedName>
    <definedName function="false" hidden="false" name="WIF_MktGW_YE_B_D2_2030" vbProcedure="false">Interface!$J$14</definedName>
    <definedName function="false" hidden="false" name="WIF_MktGW_YE_B_D2_2031" vbProcedure="false">Interface!$K$14</definedName>
    <definedName function="false" hidden="false" name="WIF_MktGW_YE_B_D2_2032" vbProcedure="false">Interface!$L$14</definedName>
    <definedName function="false" hidden="false" name="WIF_MktGW_YE_B_D2_SiteOnly_2024" vbProcedure="false">Interface!$D$49</definedName>
    <definedName function="false" hidden="false" name="WIF_MktGW_YE_B_D2_SiteOnly_2025" vbProcedure="false">Interface!$E$49</definedName>
    <definedName function="false" hidden="false" name="WIF_MktGW_YE_B_D2_SiteOnly_2026" vbProcedure="false">Interface!$F$49</definedName>
    <definedName function="false" hidden="false" name="WIF_MktGW_YE_B_D2_SiteOnly_2027" vbProcedure="false">Interface!$G$49</definedName>
    <definedName function="false" hidden="false" name="WIF_MktGW_YE_B_D2_SiteOnly_2028" vbProcedure="false">Interface!$H$49</definedName>
    <definedName function="false" hidden="false" name="WIF_MktGW_YE_B_D2_SiteOnly_2029" vbProcedure="false">Interface!$I$49</definedName>
    <definedName function="false" hidden="false" name="WIF_MktGW_YE_B_D2_SiteOnly_2030" vbProcedure="false">Interface!$J$49</definedName>
    <definedName function="false" hidden="false" name="WIF_MktGW_YE_B_D2_SiteOnly_2031" vbProcedure="false">Interface!$K$49</definedName>
    <definedName function="false" hidden="false" name="WIF_MktGW_YE_B_D2_SiteOnly_2032" vbProcedure="false">Interface!$L$49</definedName>
    <definedName function="false" hidden="false" name="WIF_MktGW_YE_C_D0_2024" vbProcedure="false">Interface!$D$15</definedName>
    <definedName function="false" hidden="false" name="WIF_MktGW_YE_C_D0_2025" vbProcedure="false">Interface!$E$15</definedName>
    <definedName function="false" hidden="false" name="WIF_MktGW_YE_C_D0_2026" vbProcedure="false">Interface!$F$15</definedName>
    <definedName function="false" hidden="false" name="WIF_MktGW_YE_C_D0_2027" vbProcedure="false">Interface!$G$15</definedName>
    <definedName function="false" hidden="false" name="WIF_MktGW_YE_C_D0_2028" vbProcedure="false">Interface!$H$15</definedName>
    <definedName function="false" hidden="false" name="WIF_MktGW_YE_C_D0_2029" vbProcedure="false">Interface!$I$15</definedName>
    <definedName function="false" hidden="false" name="WIF_MktGW_YE_C_D0_2030" vbProcedure="false">Interface!$J$15</definedName>
    <definedName function="false" hidden="false" name="WIF_MktGW_YE_C_D0_2031" vbProcedure="false">Interface!$K$15</definedName>
    <definedName function="false" hidden="false" name="WIF_MktGW_YE_C_D0_2032" vbProcedure="false">Interface!$L$15</definedName>
    <definedName function="false" hidden="false" name="WIF_MktGW_YE_C_D0_SiteOnly_2024" vbProcedure="false">Interface!$D$50</definedName>
    <definedName function="false" hidden="false" name="WIF_MktGW_YE_C_D0_SiteOnly_2025" vbProcedure="false">Interface!$E$50</definedName>
    <definedName function="false" hidden="false" name="WIF_MktGW_YE_C_D0_SiteOnly_2026" vbProcedure="false">Interface!$F$50</definedName>
    <definedName function="false" hidden="false" name="WIF_MktGW_YE_C_D0_SiteOnly_2027" vbProcedure="false">Interface!$G$50</definedName>
    <definedName function="false" hidden="false" name="WIF_MktGW_YE_C_D0_SiteOnly_2028" vbProcedure="false">Interface!$H$50</definedName>
    <definedName function="false" hidden="false" name="WIF_MktGW_YE_C_D0_SiteOnly_2029" vbProcedure="false">Interface!$I$50</definedName>
    <definedName function="false" hidden="false" name="WIF_MktGW_YE_C_D0_SiteOnly_2030" vbProcedure="false">Interface!$J$50</definedName>
    <definedName function="false" hidden="false" name="WIF_MktGW_YE_C_D0_SiteOnly_2031" vbProcedure="false">Interface!$K$50</definedName>
    <definedName function="false" hidden="false" name="WIF_MktGW_YE_C_D0_SiteOnly_2032" vbProcedure="false">Interface!$L$50</definedName>
    <definedName function="false" hidden="false" name="WIF_MktGW_YE_C_D1_2024" vbProcedure="false">Interface!$D$16</definedName>
    <definedName function="false" hidden="false" name="WIF_MktGW_YE_C_D1_2025" vbProcedure="false">Interface!$E$16</definedName>
    <definedName function="false" hidden="false" name="WIF_MktGW_YE_C_D1_2026" vbProcedure="false">Interface!$F$16</definedName>
    <definedName function="false" hidden="false" name="WIF_MktGW_YE_C_D1_2027" vbProcedure="false">Interface!$G$16</definedName>
    <definedName function="false" hidden="false" name="WIF_MktGW_YE_C_D1_2028" vbProcedure="false">Interface!$H$16</definedName>
    <definedName function="false" hidden="false" name="WIF_MktGW_YE_C_D1_2029" vbProcedure="false">Interface!$I$16</definedName>
    <definedName function="false" hidden="false" name="WIF_MktGW_YE_C_D1_2030" vbProcedure="false">Interface!$J$16</definedName>
    <definedName function="false" hidden="false" name="WIF_MktGW_YE_C_D1_2031" vbProcedure="false">Interface!$K$16</definedName>
    <definedName function="false" hidden="false" name="WIF_MktGW_YE_C_D1_2032" vbProcedure="false">Interface!$L$16</definedName>
    <definedName function="false" hidden="false" name="WIF_MktGW_YE_C_D1_SiteOnly_2024" vbProcedure="false">Interface!$D$51</definedName>
    <definedName function="false" hidden="false" name="WIF_MktGW_YE_C_D1_SiteOnly_2025" vbProcedure="false">Interface!$E$51</definedName>
    <definedName function="false" hidden="false" name="WIF_MktGW_YE_C_D1_SiteOnly_2026" vbProcedure="false">Interface!$F$51</definedName>
    <definedName function="false" hidden="false" name="WIF_MktGW_YE_C_D1_SiteOnly_2027" vbProcedure="false">Interface!$G$51</definedName>
    <definedName function="false" hidden="false" name="WIF_MktGW_YE_C_D1_SiteOnly_2028" vbProcedure="false">Interface!$H$51</definedName>
    <definedName function="false" hidden="false" name="WIF_MktGW_YE_C_D1_SiteOnly_2029" vbProcedure="false">Interface!$I$51</definedName>
    <definedName function="false" hidden="false" name="WIF_MktGW_YE_C_D1_SiteOnly_2030" vbProcedure="false">Interface!$J$51</definedName>
    <definedName function="false" hidden="false" name="WIF_MktGW_YE_C_D1_SiteOnly_2031" vbProcedure="false">Interface!$K$51</definedName>
    <definedName function="false" hidden="false" name="WIF_MktGW_YE_C_D1_SiteOnly_2032" vbProcedure="false">Interface!$L$51</definedName>
    <definedName function="false" hidden="false" name="WIF_MktGW_YE_C_D2_2024" vbProcedure="false">Interface!$D$17</definedName>
    <definedName function="false" hidden="false" name="WIF_MktGW_YE_C_D2_2025" vbProcedure="false">Interface!$E$17</definedName>
    <definedName function="false" hidden="false" name="WIF_MktGW_YE_C_D2_2026" vbProcedure="false">Interface!$F$17</definedName>
    <definedName function="false" hidden="false" name="WIF_MktGW_YE_C_D2_2027" vbProcedure="false">Interface!$G$17</definedName>
    <definedName function="false" hidden="false" name="WIF_MktGW_YE_C_D2_2028" vbProcedure="false">Interface!$H$17</definedName>
    <definedName function="false" hidden="false" name="WIF_MktGW_YE_C_D2_2029" vbProcedure="false">Interface!$I$17</definedName>
    <definedName function="false" hidden="false" name="WIF_MktGW_YE_C_D2_2030" vbProcedure="false">Interface!$J$17</definedName>
    <definedName function="false" hidden="false" name="WIF_MktGW_YE_C_D2_2031" vbProcedure="false">Interface!$K$17</definedName>
    <definedName function="false" hidden="false" name="WIF_MktGW_YE_C_D2_2032" vbProcedure="false">Interface!$L$17</definedName>
    <definedName function="false" hidden="false" name="WIF_MktGW_YE_C_D2_SiteOnly_2024" vbProcedure="false">Interface!$D$52</definedName>
    <definedName function="false" hidden="false" name="WIF_MktGW_YE_C_D2_SiteOnly_2025" vbProcedure="false">Interface!$E$52</definedName>
    <definedName function="false" hidden="false" name="WIF_MktGW_YE_C_D2_SiteOnly_2026" vbProcedure="false">Interface!$F$52</definedName>
    <definedName function="false" hidden="false" name="WIF_MktGW_YE_C_D2_SiteOnly_2027" vbProcedure="false">Interface!$G$52</definedName>
    <definedName function="false" hidden="false" name="WIF_MktGW_YE_C_D2_SiteOnly_2028" vbProcedure="false">Interface!$H$52</definedName>
    <definedName function="false" hidden="false" name="WIF_MktGW_YE_C_D2_SiteOnly_2029" vbProcedure="false">Interface!$I$52</definedName>
    <definedName function="false" hidden="false" name="WIF_MktGW_YE_C_D2_SiteOnly_2030" vbProcedure="false">Interface!$J$52</definedName>
    <definedName function="false" hidden="false" name="WIF_MktGW_YE_C_D2_SiteOnly_2031" vbProcedure="false">Interface!$K$52</definedName>
    <definedName function="false" hidden="false" name="WIF_MktGW_YE_C_D2_SiteOnly_2032" vbProcedure="false">Interface!$L$52</definedName>
    <definedName function="false" hidden="false" name="WIF_PlayerGW_YE_amzn_2024" vbProcedure="false">Interface!$D$81</definedName>
    <definedName function="false" hidden="false" name="WIF_PlayerGW_YE_amzn_2025" vbProcedure="false">Interface!$E$81</definedName>
    <definedName function="false" hidden="false" name="WIF_PlayerGW_YE_amzn_2026" vbProcedure="false">Interface!$F$81</definedName>
    <definedName function="false" hidden="false" name="WIF_PlayerGW_YE_amzn_2027" vbProcedure="false">Interface!$G$81</definedName>
    <definedName function="false" hidden="false" name="WIF_PlayerGW_YE_amzn_2028" vbProcedure="false">Interface!$H$81</definedName>
    <definedName function="false" hidden="false" name="WIF_PlayerGW_YE_amzn_2029" vbProcedure="false">Interface!$I$81</definedName>
    <definedName function="false" hidden="false" name="WIF_PlayerGW_YE_amzn_2030" vbProcedure="false">Interface!$J$81</definedName>
    <definedName function="false" hidden="false" name="WIF_PlayerGW_YE_amzn_2031" vbProcedure="false">Interface!$K$81</definedName>
    <definedName function="false" hidden="false" name="WIF_PlayerGW_YE_amzn_2032" vbProcedure="false">Interface!$L$81</definedName>
    <definedName function="false" hidden="false" name="WIF_PlayerGW_YE_amzn_SiteOnly_2024" vbProcedure="false">Interface!$D$97</definedName>
    <definedName function="false" hidden="false" name="WIF_PlayerGW_YE_amzn_SiteOnly_2025" vbProcedure="false">Interface!$E$97</definedName>
    <definedName function="false" hidden="false" name="WIF_PlayerGW_YE_amzn_SiteOnly_2026" vbProcedure="false">Interface!$F$97</definedName>
    <definedName function="false" hidden="false" name="WIF_PlayerGW_YE_amzn_SiteOnly_2027" vbProcedure="false">Interface!$G$97</definedName>
    <definedName function="false" hidden="false" name="WIF_PlayerGW_YE_amzn_SiteOnly_2028" vbProcedure="false">Interface!$H$97</definedName>
    <definedName function="false" hidden="false" name="WIF_PlayerGW_YE_amzn_SiteOnly_2029" vbProcedure="false">Interface!$I$97</definedName>
    <definedName function="false" hidden="false" name="WIF_PlayerGW_YE_amzn_SiteOnly_2030" vbProcedure="false">Interface!$J$97</definedName>
    <definedName function="false" hidden="false" name="WIF_PlayerGW_YE_amzn_SiteOnly_2031" vbProcedure="false">Interface!$K$97</definedName>
    <definedName function="false" hidden="false" name="WIF_PlayerGW_YE_amzn_SiteOnly_2032" vbProcedure="false">Interface!$L$97</definedName>
    <definedName function="false" hidden="false" name="WIF_PlayerGW_YE_ant_2024" vbProcedure="false">Interface!$D$89</definedName>
    <definedName function="false" hidden="false" name="WIF_PlayerGW_YE_ant_2025" vbProcedure="false">Interface!$E$89</definedName>
    <definedName function="false" hidden="false" name="WIF_PlayerGW_YE_ant_2026" vbProcedure="false">Interface!$F$89</definedName>
    <definedName function="false" hidden="false" name="WIF_PlayerGW_YE_ant_2027" vbProcedure="false">Interface!$G$89</definedName>
    <definedName function="false" hidden="false" name="WIF_PlayerGW_YE_ant_2028" vbProcedure="false">Interface!$H$89</definedName>
    <definedName function="false" hidden="false" name="WIF_PlayerGW_YE_ant_2029" vbProcedure="false">Interface!$I$89</definedName>
    <definedName function="false" hidden="false" name="WIF_PlayerGW_YE_ant_2030" vbProcedure="false">Interface!$J$89</definedName>
    <definedName function="false" hidden="false" name="WIF_PlayerGW_YE_ant_2031" vbProcedure="false">Interface!$K$89</definedName>
    <definedName function="false" hidden="false" name="WIF_PlayerGW_YE_ant_2032" vbProcedure="false">Interface!$L$89</definedName>
    <definedName function="false" hidden="false" name="WIF_PlayerGW_YE_ant_SiteOnly_2024" vbProcedure="false">Interface!$D$105</definedName>
    <definedName function="false" hidden="false" name="WIF_PlayerGW_YE_ant_SiteOnly_2025" vbProcedure="false">Interface!$E$105</definedName>
    <definedName function="false" hidden="false" name="WIF_PlayerGW_YE_ant_SiteOnly_2026" vbProcedure="false">Interface!$F$105</definedName>
    <definedName function="false" hidden="false" name="WIF_PlayerGW_YE_ant_SiteOnly_2027" vbProcedure="false">Interface!$G$105</definedName>
    <definedName function="false" hidden="false" name="WIF_PlayerGW_YE_ant_SiteOnly_2028" vbProcedure="false">Interface!$H$105</definedName>
    <definedName function="false" hidden="false" name="WIF_PlayerGW_YE_ant_SiteOnly_2029" vbProcedure="false">Interface!$I$105</definedName>
    <definedName function="false" hidden="false" name="WIF_PlayerGW_YE_ant_SiteOnly_2030" vbProcedure="false">Interface!$J$105</definedName>
    <definedName function="false" hidden="false" name="WIF_PlayerGW_YE_ant_SiteOnly_2031" vbProcedure="false">Interface!$K$105</definedName>
    <definedName function="false" hidden="false" name="WIF_PlayerGW_YE_ant_SiteOnly_2032" vbProcedure="false">Interface!$L$105</definedName>
    <definedName function="false" hidden="false" name="WIF_PlayerGW_YE_cn_2024" vbProcedure="false">Interface!$D$92</definedName>
    <definedName function="false" hidden="false" name="WIF_PlayerGW_YE_cn_2025" vbProcedure="false">Interface!$E$92</definedName>
    <definedName function="false" hidden="false" name="WIF_PlayerGW_YE_cn_2026" vbProcedure="false">Interface!$F$92</definedName>
    <definedName function="false" hidden="false" name="WIF_PlayerGW_YE_cn_2027" vbProcedure="false">Interface!$G$92</definedName>
    <definedName function="false" hidden="false" name="WIF_PlayerGW_YE_cn_2028" vbProcedure="false">Interface!$H$92</definedName>
    <definedName function="false" hidden="false" name="WIF_PlayerGW_YE_cn_2029" vbProcedure="false">Interface!$I$92</definedName>
    <definedName function="false" hidden="false" name="WIF_PlayerGW_YE_cn_2030" vbProcedure="false">Interface!$J$92</definedName>
    <definedName function="false" hidden="false" name="WIF_PlayerGW_YE_cn_2031" vbProcedure="false">Interface!$K$92</definedName>
    <definedName function="false" hidden="false" name="WIF_PlayerGW_YE_cn_2032" vbProcedure="false">Interface!$L$92</definedName>
    <definedName function="false" hidden="false" name="WIF_PlayerGW_YE_cn_SiteOnly_2024" vbProcedure="false">Interface!$D$108</definedName>
    <definedName function="false" hidden="false" name="WIF_PlayerGW_YE_cn_SiteOnly_2025" vbProcedure="false">Interface!$E$108</definedName>
    <definedName function="false" hidden="false" name="WIF_PlayerGW_YE_cn_SiteOnly_2026" vbProcedure="false">Interface!$F$108</definedName>
    <definedName function="false" hidden="false" name="WIF_PlayerGW_YE_cn_SiteOnly_2027" vbProcedure="false">Interface!$G$108</definedName>
    <definedName function="false" hidden="false" name="WIF_PlayerGW_YE_cn_SiteOnly_2028" vbProcedure="false">Interface!$H$108</definedName>
    <definedName function="false" hidden="false" name="WIF_PlayerGW_YE_cn_SiteOnly_2029" vbProcedure="false">Interface!$I$108</definedName>
    <definedName function="false" hidden="false" name="WIF_PlayerGW_YE_cn_SiteOnly_2030" vbProcedure="false">Interface!$J$108</definedName>
    <definedName function="false" hidden="false" name="WIF_PlayerGW_YE_cn_SiteOnly_2031" vbProcedure="false">Interface!$K$108</definedName>
    <definedName function="false" hidden="false" name="WIF_PlayerGW_YE_cn_SiteOnly_2032" vbProcedure="false">Interface!$L$108</definedName>
    <definedName function="false" hidden="false" name="WIF_PlayerGW_YE_crwv_2024" vbProcedure="false">Interface!$D$84</definedName>
    <definedName function="false" hidden="false" name="WIF_PlayerGW_YE_crwv_2025" vbProcedure="false">Interface!$E$84</definedName>
    <definedName function="false" hidden="false" name="WIF_PlayerGW_YE_crwv_2026" vbProcedure="false">Interface!$F$84</definedName>
    <definedName function="false" hidden="false" name="WIF_PlayerGW_YE_crwv_2027" vbProcedure="false">Interface!$G$84</definedName>
    <definedName function="false" hidden="false" name="WIF_PlayerGW_YE_crwv_2028" vbProcedure="false">Interface!$H$84</definedName>
    <definedName function="false" hidden="false" name="WIF_PlayerGW_YE_crwv_2029" vbProcedure="false">Interface!$I$84</definedName>
    <definedName function="false" hidden="false" name="WIF_PlayerGW_YE_crwv_2030" vbProcedure="false">Interface!$J$84</definedName>
    <definedName function="false" hidden="false" name="WIF_PlayerGW_YE_crwv_2031" vbProcedure="false">Interface!$K$84</definedName>
    <definedName function="false" hidden="false" name="WIF_PlayerGW_YE_crwv_2032" vbProcedure="false">Interface!$L$84</definedName>
    <definedName function="false" hidden="false" name="WIF_PlayerGW_YE_crwv_SiteOnly_2024" vbProcedure="false">Interface!$D$100</definedName>
    <definedName function="false" hidden="false" name="WIF_PlayerGW_YE_crwv_SiteOnly_2025" vbProcedure="false">Interface!$E$100</definedName>
    <definedName function="false" hidden="false" name="WIF_PlayerGW_YE_crwv_SiteOnly_2026" vbProcedure="false">Interface!$F$100</definedName>
    <definedName function="false" hidden="false" name="WIF_PlayerGW_YE_crwv_SiteOnly_2027" vbProcedure="false">Interface!$G$100</definedName>
    <definedName function="false" hidden="false" name="WIF_PlayerGW_YE_crwv_SiteOnly_2028" vbProcedure="false">Interface!$H$100</definedName>
    <definedName function="false" hidden="false" name="WIF_PlayerGW_YE_crwv_SiteOnly_2029" vbProcedure="false">Interface!$I$100</definedName>
    <definedName function="false" hidden="false" name="WIF_PlayerGW_YE_crwv_SiteOnly_2030" vbProcedure="false">Interface!$J$100</definedName>
    <definedName function="false" hidden="false" name="WIF_PlayerGW_YE_crwv_SiteOnly_2031" vbProcedure="false">Interface!$K$100</definedName>
    <definedName function="false" hidden="false" name="WIF_PlayerGW_YE_crwv_SiteOnly_2032" vbProcedure="false">Interface!$L$100</definedName>
    <definedName function="false" hidden="false" name="WIF_PlayerGW_YE_googl_2024" vbProcedure="false">Interface!$D$80</definedName>
    <definedName function="false" hidden="false" name="WIF_PlayerGW_YE_googl_2025" vbProcedure="false">Interface!$E$80</definedName>
    <definedName function="false" hidden="false" name="WIF_PlayerGW_YE_googl_2026" vbProcedure="false">Interface!$F$80</definedName>
    <definedName function="false" hidden="false" name="WIF_PlayerGW_YE_googl_2027" vbProcedure="false">Interface!$G$80</definedName>
    <definedName function="false" hidden="false" name="WIF_PlayerGW_YE_googl_2028" vbProcedure="false">Interface!$H$80</definedName>
    <definedName function="false" hidden="false" name="WIF_PlayerGW_YE_googl_2029" vbProcedure="false">Interface!$I$80</definedName>
    <definedName function="false" hidden="false" name="WIF_PlayerGW_YE_googl_2030" vbProcedure="false">Interface!$J$80</definedName>
    <definedName function="false" hidden="false" name="WIF_PlayerGW_YE_googl_2031" vbProcedure="false">Interface!$K$80</definedName>
    <definedName function="false" hidden="false" name="WIF_PlayerGW_YE_googl_2032" vbProcedure="false">Interface!$L$80</definedName>
    <definedName function="false" hidden="false" name="WIF_PlayerGW_YE_googl_SiteOnly_2024" vbProcedure="false">Interface!$D$96</definedName>
    <definedName function="false" hidden="false" name="WIF_PlayerGW_YE_googl_SiteOnly_2025" vbProcedure="false">Interface!$E$96</definedName>
    <definedName function="false" hidden="false" name="WIF_PlayerGW_YE_googl_SiteOnly_2026" vbProcedure="false">Interface!$F$96</definedName>
    <definedName function="false" hidden="false" name="WIF_PlayerGW_YE_googl_SiteOnly_2027" vbProcedure="false">Interface!$G$96</definedName>
    <definedName function="false" hidden="false" name="WIF_PlayerGW_YE_googl_SiteOnly_2028" vbProcedure="false">Interface!$H$96</definedName>
    <definedName function="false" hidden="false" name="WIF_PlayerGW_YE_googl_SiteOnly_2029" vbProcedure="false">Interface!$I$96</definedName>
    <definedName function="false" hidden="false" name="WIF_PlayerGW_YE_googl_SiteOnly_2030" vbProcedure="false">Interface!$J$96</definedName>
    <definedName function="false" hidden="false" name="WIF_PlayerGW_YE_googl_SiteOnly_2031" vbProcedure="false">Interface!$K$96</definedName>
    <definedName function="false" hidden="false" name="WIF_PlayerGW_YE_googl_SiteOnly_2032" vbProcedure="false">Interface!$L$96</definedName>
    <definedName function="false" hidden="false" name="WIF_PlayerGW_YE_meta_2024" vbProcedure="false">Interface!$D$82</definedName>
    <definedName function="false" hidden="false" name="WIF_PlayerGW_YE_meta_2025" vbProcedure="false">Interface!$E$82</definedName>
    <definedName function="false" hidden="false" name="WIF_PlayerGW_YE_meta_2026" vbProcedure="false">Interface!$F$82</definedName>
    <definedName function="false" hidden="false" name="WIF_PlayerGW_YE_meta_2027" vbProcedure="false">Interface!$G$82</definedName>
    <definedName function="false" hidden="false" name="WIF_PlayerGW_YE_meta_2028" vbProcedure="false">Interface!$H$82</definedName>
    <definedName function="false" hidden="false" name="WIF_PlayerGW_YE_meta_2029" vbProcedure="false">Interface!$I$82</definedName>
    <definedName function="false" hidden="false" name="WIF_PlayerGW_YE_meta_2030" vbProcedure="false">Interface!$J$82</definedName>
    <definedName function="false" hidden="false" name="WIF_PlayerGW_YE_meta_2031" vbProcedure="false">Interface!$K$82</definedName>
    <definedName function="false" hidden="false" name="WIF_PlayerGW_YE_meta_2032" vbProcedure="false">Interface!$L$82</definedName>
    <definedName function="false" hidden="false" name="WIF_PlayerGW_YE_meta_SiteOnly_2024" vbProcedure="false">Interface!$D$98</definedName>
    <definedName function="false" hidden="false" name="WIF_PlayerGW_YE_meta_SiteOnly_2025" vbProcedure="false">Interface!$E$98</definedName>
    <definedName function="false" hidden="false" name="WIF_PlayerGW_YE_meta_SiteOnly_2026" vbProcedure="false">Interface!$F$98</definedName>
    <definedName function="false" hidden="false" name="WIF_PlayerGW_YE_meta_SiteOnly_2027" vbProcedure="false">Interface!$G$98</definedName>
    <definedName function="false" hidden="false" name="WIF_PlayerGW_YE_meta_SiteOnly_2028" vbProcedure="false">Interface!$H$98</definedName>
    <definedName function="false" hidden="false" name="WIF_PlayerGW_YE_meta_SiteOnly_2029" vbProcedure="false">Interface!$I$98</definedName>
    <definedName function="false" hidden="false" name="WIF_PlayerGW_YE_meta_SiteOnly_2030" vbProcedure="false">Interface!$J$98</definedName>
    <definedName function="false" hidden="false" name="WIF_PlayerGW_YE_meta_SiteOnly_2031" vbProcedure="false">Interface!$K$98</definedName>
    <definedName function="false" hidden="false" name="WIF_PlayerGW_YE_meta_SiteOnly_2032" vbProcedure="false">Interface!$L$98</definedName>
    <definedName function="false" hidden="false" name="WIF_PlayerGW_YE_msft_2024" vbProcedure="false">Interface!$D$79</definedName>
    <definedName function="false" hidden="false" name="WIF_PlayerGW_YE_msft_2025" vbProcedure="false">Interface!$E$79</definedName>
    <definedName function="false" hidden="false" name="WIF_PlayerGW_YE_msft_2026" vbProcedure="false">Interface!$F$79</definedName>
    <definedName function="false" hidden="false" name="WIF_PlayerGW_YE_msft_2027" vbProcedure="false">Interface!$G$79</definedName>
    <definedName function="false" hidden="false" name="WIF_PlayerGW_YE_msft_2028" vbProcedure="false">Interface!$H$79</definedName>
    <definedName function="false" hidden="false" name="WIF_PlayerGW_YE_msft_2029" vbProcedure="false">Interface!$I$79</definedName>
    <definedName function="false" hidden="false" name="WIF_PlayerGW_YE_msft_2030" vbProcedure="false">Interface!$J$79</definedName>
    <definedName function="false" hidden="false" name="WIF_PlayerGW_YE_msft_2031" vbProcedure="false">Interface!$K$79</definedName>
    <definedName function="false" hidden="false" name="WIF_PlayerGW_YE_msft_2032" vbProcedure="false">Interface!$L$79</definedName>
    <definedName function="false" hidden="false" name="WIF_PlayerGW_YE_msft_SiteOnly_2024" vbProcedure="false">Interface!$D$95</definedName>
    <definedName function="false" hidden="false" name="WIF_PlayerGW_YE_msft_SiteOnly_2025" vbProcedure="false">Interface!$E$95</definedName>
    <definedName function="false" hidden="false" name="WIF_PlayerGW_YE_msft_SiteOnly_2026" vbProcedure="false">Interface!$F$95</definedName>
    <definedName function="false" hidden="false" name="WIF_PlayerGW_YE_msft_SiteOnly_2027" vbProcedure="false">Interface!$G$95</definedName>
    <definedName function="false" hidden="false" name="WIF_PlayerGW_YE_msft_SiteOnly_2028" vbProcedure="false">Interface!$H$95</definedName>
    <definedName function="false" hidden="false" name="WIF_PlayerGW_YE_msft_SiteOnly_2029" vbProcedure="false">Interface!$I$95</definedName>
    <definedName function="false" hidden="false" name="WIF_PlayerGW_YE_msft_SiteOnly_2030" vbProcedure="false">Interface!$J$95</definedName>
    <definedName function="false" hidden="false" name="WIF_PlayerGW_YE_msft_SiteOnly_2031" vbProcedure="false">Interface!$K$95</definedName>
    <definedName function="false" hidden="false" name="WIF_PlayerGW_YE_msft_SiteOnly_2032" vbProcedure="false">Interface!$L$95</definedName>
    <definedName function="false" hidden="false" name="WIF_PlayerGW_YE_nbis_2024" vbProcedure="false">Interface!$D$85</definedName>
    <definedName function="false" hidden="false" name="WIF_PlayerGW_YE_nbis_2025" vbProcedure="false">Interface!$E$85</definedName>
    <definedName function="false" hidden="false" name="WIF_PlayerGW_YE_nbis_2026" vbProcedure="false">Interface!$F$85</definedName>
    <definedName function="false" hidden="false" name="WIF_PlayerGW_YE_nbis_2027" vbProcedure="false">Interface!$G$85</definedName>
    <definedName function="false" hidden="false" name="WIF_PlayerGW_YE_nbis_2028" vbProcedure="false">Interface!$H$85</definedName>
    <definedName function="false" hidden="false" name="WIF_PlayerGW_YE_nbis_2029" vbProcedure="false">Interface!$I$85</definedName>
    <definedName function="false" hidden="false" name="WIF_PlayerGW_YE_nbis_2030" vbProcedure="false">Interface!$J$85</definedName>
    <definedName function="false" hidden="false" name="WIF_PlayerGW_YE_nbis_2031" vbProcedure="false">Interface!$K$85</definedName>
    <definedName function="false" hidden="false" name="WIF_PlayerGW_YE_nbis_2032" vbProcedure="false">Interface!$L$85</definedName>
    <definedName function="false" hidden="false" name="WIF_PlayerGW_YE_nbis_SiteOnly_2024" vbProcedure="false">Interface!$D$101</definedName>
    <definedName function="false" hidden="false" name="WIF_PlayerGW_YE_nbis_SiteOnly_2025" vbProcedure="false">Interface!$E$101</definedName>
    <definedName function="false" hidden="false" name="WIF_PlayerGW_YE_nbis_SiteOnly_2026" vbProcedure="false">Interface!$F$101</definedName>
    <definedName function="false" hidden="false" name="WIF_PlayerGW_YE_nbis_SiteOnly_2027" vbProcedure="false">Interface!$G$101</definedName>
    <definedName function="false" hidden="false" name="WIF_PlayerGW_YE_nbis_SiteOnly_2028" vbProcedure="false">Interface!$H$101</definedName>
    <definedName function="false" hidden="false" name="WIF_PlayerGW_YE_nbis_SiteOnly_2029" vbProcedure="false">Interface!$I$101</definedName>
    <definedName function="false" hidden="false" name="WIF_PlayerGW_YE_nbis_SiteOnly_2030" vbProcedure="false">Interface!$J$101</definedName>
    <definedName function="false" hidden="false" name="WIF_PlayerGW_YE_nbis_SiteOnly_2031" vbProcedure="false">Interface!$K$101</definedName>
    <definedName function="false" hidden="false" name="WIF_PlayerGW_YE_nbis_SiteOnly_2032" vbProcedure="false">Interface!$L$101</definedName>
    <definedName function="false" hidden="false" name="WIF_PlayerGW_YE_neo_2024" vbProcedure="false">Interface!$D$90</definedName>
    <definedName function="false" hidden="false" name="WIF_PlayerGW_YE_neo_2025" vbProcedure="false">Interface!$E$90</definedName>
    <definedName function="false" hidden="false" name="WIF_PlayerGW_YE_neo_2026" vbProcedure="false">Interface!$F$90</definedName>
    <definedName function="false" hidden="false" name="WIF_PlayerGW_YE_neo_2027" vbProcedure="false">Interface!$G$90</definedName>
    <definedName function="false" hidden="false" name="WIF_PlayerGW_YE_neo_2028" vbProcedure="false">Interface!$H$90</definedName>
    <definedName function="false" hidden="false" name="WIF_PlayerGW_YE_neo_2029" vbProcedure="false">Interface!$I$90</definedName>
    <definedName function="false" hidden="false" name="WIF_PlayerGW_YE_neo_2030" vbProcedure="false">Interface!$J$90</definedName>
    <definedName function="false" hidden="false" name="WIF_PlayerGW_YE_neo_2031" vbProcedure="false">Interface!$K$90</definedName>
    <definedName function="false" hidden="false" name="WIF_PlayerGW_YE_neo_2032" vbProcedure="false">Interface!$L$90</definedName>
    <definedName function="false" hidden="false" name="WIF_PlayerGW_YE_neo_SiteOnly_2024" vbProcedure="false">Interface!$D$106</definedName>
    <definedName function="false" hidden="false" name="WIF_PlayerGW_YE_neo_SiteOnly_2025" vbProcedure="false">Interface!$E$106</definedName>
    <definedName function="false" hidden="false" name="WIF_PlayerGW_YE_neo_SiteOnly_2026" vbProcedure="false">Interface!$F$106</definedName>
    <definedName function="false" hidden="false" name="WIF_PlayerGW_YE_neo_SiteOnly_2027" vbProcedure="false">Interface!$G$106</definedName>
    <definedName function="false" hidden="false" name="WIF_PlayerGW_YE_neo_SiteOnly_2028" vbProcedure="false">Interface!$H$106</definedName>
    <definedName function="false" hidden="false" name="WIF_PlayerGW_YE_neo_SiteOnly_2029" vbProcedure="false">Interface!$I$106</definedName>
    <definedName function="false" hidden="false" name="WIF_PlayerGW_YE_neo_SiteOnly_2030" vbProcedure="false">Interface!$J$106</definedName>
    <definedName function="false" hidden="false" name="WIF_PlayerGW_YE_neo_SiteOnly_2031" vbProcedure="false">Interface!$K$106</definedName>
    <definedName function="false" hidden="false" name="WIF_PlayerGW_YE_neo_SiteOnly_2032" vbProcedure="false">Interface!$L$106</definedName>
    <definedName function="false" hidden="false" name="WIF_PlayerGW_YE_oai_2024" vbProcedure="false">Interface!$D$88</definedName>
    <definedName function="false" hidden="false" name="WIF_PlayerGW_YE_oai_2025" vbProcedure="false">Interface!$E$88</definedName>
    <definedName function="false" hidden="false" name="WIF_PlayerGW_YE_oai_2026" vbProcedure="false">Interface!$F$88</definedName>
    <definedName function="false" hidden="false" name="WIF_PlayerGW_YE_oai_2027" vbProcedure="false">Interface!$G$88</definedName>
    <definedName function="false" hidden="false" name="WIF_PlayerGW_YE_oai_2028" vbProcedure="false">Interface!$H$88</definedName>
    <definedName function="false" hidden="false" name="WIF_PlayerGW_YE_oai_2029" vbProcedure="false">Interface!$I$88</definedName>
    <definedName function="false" hidden="false" name="WIF_PlayerGW_YE_oai_2030" vbProcedure="false">Interface!$J$88</definedName>
    <definedName function="false" hidden="false" name="WIF_PlayerGW_YE_oai_2031" vbProcedure="false">Interface!$K$88</definedName>
    <definedName function="false" hidden="false" name="WIF_PlayerGW_YE_oai_2032" vbProcedure="false">Interface!$L$88</definedName>
    <definedName function="false" hidden="false" name="WIF_PlayerGW_YE_oai_SiteOnly_2024" vbProcedure="false">Interface!$D$104</definedName>
    <definedName function="false" hidden="false" name="WIF_PlayerGW_YE_oai_SiteOnly_2025" vbProcedure="false">Interface!$E$104</definedName>
    <definedName function="false" hidden="false" name="WIF_PlayerGW_YE_oai_SiteOnly_2026" vbProcedure="false">Interface!$F$104</definedName>
    <definedName function="false" hidden="false" name="WIF_PlayerGW_YE_oai_SiteOnly_2027" vbProcedure="false">Interface!$G$104</definedName>
    <definedName function="false" hidden="false" name="WIF_PlayerGW_YE_oai_SiteOnly_2028" vbProcedure="false">Interface!$H$104</definedName>
    <definedName function="false" hidden="false" name="WIF_PlayerGW_YE_oai_SiteOnly_2029" vbProcedure="false">Interface!$I$104</definedName>
    <definedName function="false" hidden="false" name="WIF_PlayerGW_YE_oai_SiteOnly_2030" vbProcedure="false">Interface!$J$104</definedName>
    <definedName function="false" hidden="false" name="WIF_PlayerGW_YE_oai_SiteOnly_2031" vbProcedure="false">Interface!$K$104</definedName>
    <definedName function="false" hidden="false" name="WIF_PlayerGW_YE_oai_SiteOnly_2032" vbProcedure="false">Interface!$L$104</definedName>
    <definedName function="false" hidden="false" name="WIF_PlayerGW_YE_orcl_2024" vbProcedure="false">Interface!$D$83</definedName>
    <definedName function="false" hidden="false" name="WIF_PlayerGW_YE_orcl_2025" vbProcedure="false">Interface!$E$83</definedName>
    <definedName function="false" hidden="false" name="WIF_PlayerGW_YE_orcl_2026" vbProcedure="false">Interface!$F$83</definedName>
    <definedName function="false" hidden="false" name="WIF_PlayerGW_YE_orcl_2027" vbProcedure="false">Interface!$G$83</definedName>
    <definedName function="false" hidden="false" name="WIF_PlayerGW_YE_orcl_2028" vbProcedure="false">Interface!$H$83</definedName>
    <definedName function="false" hidden="false" name="WIF_PlayerGW_YE_orcl_2029" vbProcedure="false">Interface!$I$83</definedName>
    <definedName function="false" hidden="false" name="WIF_PlayerGW_YE_orcl_2030" vbProcedure="false">Interface!$J$83</definedName>
    <definedName function="false" hidden="false" name="WIF_PlayerGW_YE_orcl_2031" vbProcedure="false">Interface!$K$83</definedName>
    <definedName function="false" hidden="false" name="WIF_PlayerGW_YE_orcl_2032" vbProcedure="false">Interface!$L$83</definedName>
    <definedName function="false" hidden="false" name="WIF_PlayerGW_YE_orcl_SiteOnly_2024" vbProcedure="false">Interface!$D$99</definedName>
    <definedName function="false" hidden="false" name="WIF_PlayerGW_YE_orcl_SiteOnly_2025" vbProcedure="false">Interface!$E$99</definedName>
    <definedName function="false" hidden="false" name="WIF_PlayerGW_YE_orcl_SiteOnly_2026" vbProcedure="false">Interface!$F$99</definedName>
    <definedName function="false" hidden="false" name="WIF_PlayerGW_YE_orcl_SiteOnly_2027" vbProcedure="false">Interface!$G$99</definedName>
    <definedName function="false" hidden="false" name="WIF_PlayerGW_YE_orcl_SiteOnly_2028" vbProcedure="false">Interface!$H$99</definedName>
    <definedName function="false" hidden="false" name="WIF_PlayerGW_YE_orcl_SiteOnly_2029" vbProcedure="false">Interface!$I$99</definedName>
    <definedName function="false" hidden="false" name="WIF_PlayerGW_YE_orcl_SiteOnly_2030" vbProcedure="false">Interface!$J$99</definedName>
    <definedName function="false" hidden="false" name="WIF_PlayerGW_YE_orcl_SiteOnly_2031" vbProcedure="false">Interface!$K$99</definedName>
    <definedName function="false" hidden="false" name="WIF_PlayerGW_YE_orcl_SiteOnly_2032" vbProcedure="false">Interface!$L$99</definedName>
    <definedName function="false" hidden="false" name="WIF_PlayerGW_YE_oth_2024" vbProcedure="false">Interface!$D$93</definedName>
    <definedName function="false" hidden="false" name="WIF_PlayerGW_YE_oth_2025" vbProcedure="false">Interface!$E$93</definedName>
    <definedName function="false" hidden="false" name="WIF_PlayerGW_YE_oth_2026" vbProcedure="false">Interface!$F$93</definedName>
    <definedName function="false" hidden="false" name="WIF_PlayerGW_YE_oth_2027" vbProcedure="false">Interface!$G$93</definedName>
    <definedName function="false" hidden="false" name="WIF_PlayerGW_YE_oth_2028" vbProcedure="false">Interface!$H$93</definedName>
    <definedName function="false" hidden="false" name="WIF_PlayerGW_YE_oth_2029" vbProcedure="false">Interface!$I$93</definedName>
    <definedName function="false" hidden="false" name="WIF_PlayerGW_YE_oth_2030" vbProcedure="false">Interface!$J$93</definedName>
    <definedName function="false" hidden="false" name="WIF_PlayerGW_YE_oth_2031" vbProcedure="false">Interface!$K$93</definedName>
    <definedName function="false" hidden="false" name="WIF_PlayerGW_YE_oth_2032" vbProcedure="false">Interface!$L$93</definedName>
    <definedName function="false" hidden="false" name="WIF_PlayerGW_YE_oth_SiteOnly_2024" vbProcedure="false">Interface!$D$109</definedName>
    <definedName function="false" hidden="false" name="WIF_PlayerGW_YE_oth_SiteOnly_2025" vbProcedure="false">Interface!$E$109</definedName>
    <definedName function="false" hidden="false" name="WIF_PlayerGW_YE_oth_SiteOnly_2026" vbProcedure="false">Interface!$F$109</definedName>
    <definedName function="false" hidden="false" name="WIF_PlayerGW_YE_oth_SiteOnly_2027" vbProcedure="false">Interface!$G$109</definedName>
    <definedName function="false" hidden="false" name="WIF_PlayerGW_YE_oth_SiteOnly_2028" vbProcedure="false">Interface!$H$109</definedName>
    <definedName function="false" hidden="false" name="WIF_PlayerGW_YE_oth_SiteOnly_2029" vbProcedure="false">Interface!$I$109</definedName>
    <definedName function="false" hidden="false" name="WIF_PlayerGW_YE_oth_SiteOnly_2030" vbProcedure="false">Interface!$J$109</definedName>
    <definedName function="false" hidden="false" name="WIF_PlayerGW_YE_oth_SiteOnly_2031" vbProcedure="false">Interface!$K$109</definedName>
    <definedName function="false" hidden="false" name="WIF_PlayerGW_YE_oth_SiteOnly_2032" vbProcedure="false">Interface!$L$109</definedName>
    <definedName function="false" hidden="false" name="WIF_PlayerGW_YE_sov_2024" vbProcedure="false">Interface!$D$91</definedName>
    <definedName function="false" hidden="false" name="WIF_PlayerGW_YE_sov_2025" vbProcedure="false">Interface!$E$91</definedName>
    <definedName function="false" hidden="false" name="WIF_PlayerGW_YE_sov_2026" vbProcedure="false">Interface!$F$91</definedName>
    <definedName function="false" hidden="false" name="WIF_PlayerGW_YE_sov_2027" vbProcedure="false">Interface!$G$91</definedName>
    <definedName function="false" hidden="false" name="WIF_PlayerGW_YE_sov_2028" vbProcedure="false">Interface!$H$91</definedName>
    <definedName function="false" hidden="false" name="WIF_PlayerGW_YE_sov_2029" vbProcedure="false">Interface!$I$91</definedName>
    <definedName function="false" hidden="false" name="WIF_PlayerGW_YE_sov_2030" vbProcedure="false">Interface!$J$91</definedName>
    <definedName function="false" hidden="false" name="WIF_PlayerGW_YE_sov_2031" vbProcedure="false">Interface!$K$91</definedName>
    <definedName function="false" hidden="false" name="WIF_PlayerGW_YE_sov_2032" vbProcedure="false">Interface!$L$91</definedName>
    <definedName function="false" hidden="false" name="WIF_PlayerGW_YE_sov_SiteOnly_2024" vbProcedure="false">Interface!$D$107</definedName>
    <definedName function="false" hidden="false" name="WIF_PlayerGW_YE_sov_SiteOnly_2025" vbProcedure="false">Interface!$E$107</definedName>
    <definedName function="false" hidden="false" name="WIF_PlayerGW_YE_sov_SiteOnly_2026" vbProcedure="false">Interface!$F$107</definedName>
    <definedName function="false" hidden="false" name="WIF_PlayerGW_YE_sov_SiteOnly_2027" vbProcedure="false">Interface!$G$107</definedName>
    <definedName function="false" hidden="false" name="WIF_PlayerGW_YE_sov_SiteOnly_2028" vbProcedure="false">Interface!$H$107</definedName>
    <definedName function="false" hidden="false" name="WIF_PlayerGW_YE_sov_SiteOnly_2029" vbProcedure="false">Interface!$I$107</definedName>
    <definedName function="false" hidden="false" name="WIF_PlayerGW_YE_sov_SiteOnly_2030" vbProcedure="false">Interface!$J$107</definedName>
    <definedName function="false" hidden="false" name="WIF_PlayerGW_YE_sov_SiteOnly_2031" vbProcedure="false">Interface!$K$107</definedName>
    <definedName function="false" hidden="false" name="WIF_PlayerGW_YE_sov_SiteOnly_2032" vbProcedure="false">Interface!$L$107</definedName>
    <definedName function="false" hidden="false" name="WIF_PlayerGW_YE_wyfi_2024" vbProcedure="false">Interface!$D$86</definedName>
    <definedName function="false" hidden="false" name="WIF_PlayerGW_YE_wyfi_2025" vbProcedure="false">Interface!$E$86</definedName>
    <definedName function="false" hidden="false" name="WIF_PlayerGW_YE_wyfi_2026" vbProcedure="false">Interface!$F$86</definedName>
    <definedName function="false" hidden="false" name="WIF_PlayerGW_YE_wyfi_2027" vbProcedure="false">Interface!$G$86</definedName>
    <definedName function="false" hidden="false" name="WIF_PlayerGW_YE_wyfi_2028" vbProcedure="false">Interface!$H$86</definedName>
    <definedName function="false" hidden="false" name="WIF_PlayerGW_YE_wyfi_2029" vbProcedure="false">Interface!$I$86</definedName>
    <definedName function="false" hidden="false" name="WIF_PlayerGW_YE_wyfi_2030" vbProcedure="false">Interface!$J$86</definedName>
    <definedName function="false" hidden="false" name="WIF_PlayerGW_YE_wyfi_2031" vbProcedure="false">Interface!$K$86</definedName>
    <definedName function="false" hidden="false" name="WIF_PlayerGW_YE_wyfi_2032" vbProcedure="false">Interface!$L$86</definedName>
    <definedName function="false" hidden="false" name="WIF_PlayerGW_YE_wyfi_SiteOnly_2024" vbProcedure="false">Interface!$D$102</definedName>
    <definedName function="false" hidden="false" name="WIF_PlayerGW_YE_wyfi_SiteOnly_2025" vbProcedure="false">Interface!$E$102</definedName>
    <definedName function="false" hidden="false" name="WIF_PlayerGW_YE_wyfi_SiteOnly_2026" vbProcedure="false">Interface!$F$102</definedName>
    <definedName function="false" hidden="false" name="WIF_PlayerGW_YE_wyfi_SiteOnly_2027" vbProcedure="false">Interface!$G$102</definedName>
    <definedName function="false" hidden="false" name="WIF_PlayerGW_YE_wyfi_SiteOnly_2028" vbProcedure="false">Interface!$H$102</definedName>
    <definedName function="false" hidden="false" name="WIF_PlayerGW_YE_wyfi_SiteOnly_2029" vbProcedure="false">Interface!$I$102</definedName>
    <definedName function="false" hidden="false" name="WIF_PlayerGW_YE_wyfi_SiteOnly_2030" vbProcedure="false">Interface!$J$102</definedName>
    <definedName function="false" hidden="false" name="WIF_PlayerGW_YE_wyfi_SiteOnly_2031" vbProcedure="false">Interface!$K$102</definedName>
    <definedName function="false" hidden="false" name="WIF_PlayerGW_YE_wyfi_SiteOnly_2032" vbProcedure="false">Interface!$L$102</definedName>
    <definedName function="false" hidden="false" name="WIF_PlayerGW_YE_xai_2024" vbProcedure="false">Interface!$D$87</definedName>
    <definedName function="false" hidden="false" name="WIF_PlayerGW_YE_xai_2025" vbProcedure="false">Interface!$E$87</definedName>
    <definedName function="false" hidden="false" name="WIF_PlayerGW_YE_xai_2026" vbProcedure="false">Interface!$F$87</definedName>
    <definedName function="false" hidden="false" name="WIF_PlayerGW_YE_xai_2027" vbProcedure="false">Interface!$G$87</definedName>
    <definedName function="false" hidden="false" name="WIF_PlayerGW_YE_xai_2028" vbProcedure="false">Interface!$H$87</definedName>
    <definedName function="false" hidden="false" name="WIF_PlayerGW_YE_xai_2029" vbProcedure="false">Interface!$I$87</definedName>
    <definedName function="false" hidden="false" name="WIF_PlayerGW_YE_xai_2030" vbProcedure="false">Interface!$J$87</definedName>
    <definedName function="false" hidden="false" name="WIF_PlayerGW_YE_xai_2031" vbProcedure="false">Interface!$K$87</definedName>
    <definedName function="false" hidden="false" name="WIF_PlayerGW_YE_xai_2032" vbProcedure="false">Interface!$L$87</definedName>
    <definedName function="false" hidden="false" name="WIF_PlayerGW_YE_xai_SiteOnly_2024" vbProcedure="false">Interface!$D$103</definedName>
    <definedName function="false" hidden="false" name="WIF_PlayerGW_YE_xai_SiteOnly_2025" vbProcedure="false">Interface!$E$103</definedName>
    <definedName function="false" hidden="false" name="WIF_PlayerGW_YE_xai_SiteOnly_2026" vbProcedure="false">Interface!$F$103</definedName>
    <definedName function="false" hidden="false" name="WIF_PlayerGW_YE_xai_SiteOnly_2027" vbProcedure="false">Interface!$G$103</definedName>
    <definedName function="false" hidden="false" name="WIF_PlayerGW_YE_xai_SiteOnly_2028" vbProcedure="false">Interface!$H$103</definedName>
    <definedName function="false" hidden="false" name="WIF_PlayerGW_YE_xai_SiteOnly_2029" vbProcedure="false">Interface!$I$103</definedName>
    <definedName function="false" hidden="false" name="WIF_PlayerGW_YE_xai_SiteOnly_2030" vbProcedure="false">Interface!$J$103</definedName>
    <definedName function="false" hidden="false" name="WIF_PlayerGW_YE_xai_SiteOnly_2031" vbProcedure="false">Interface!$K$103</definedName>
    <definedName function="false" hidden="false" name="WIF_PlayerGW_YE_xai_SiteOnly_2032" vbProcedure="false">Interface!$L$103</definedName>
    <definedName function="false" hidden="false" name="WIF_ShippedNotOnline_A_D1_2024" vbProcedure="false">Interface!$D$37</definedName>
    <definedName function="false" hidden="false" name="WIF_ShippedNotOnline_A_D1_2025" vbProcedure="false">Interface!$E$37</definedName>
    <definedName function="false" hidden="false" name="WIF_ShippedNotOnline_A_D1_2026" vbProcedure="false">Interface!$F$37</definedName>
    <definedName function="false" hidden="false" name="WIF_ShippedNotOnline_A_D1_2027" vbProcedure="false">Interface!$G$37</definedName>
    <definedName function="false" hidden="false" name="WIF_ShippedNotOnline_A_D1_2028" vbProcedure="false">Interface!$H$37</definedName>
    <definedName function="false" hidden="false" name="WIF_ShippedNotOnline_A_D1_2029" vbProcedure="false">Interface!$I$37</definedName>
    <definedName function="false" hidden="false" name="WIF_ShippedNotOnline_A_D1_2030" vbProcedure="false">Interface!$J$37</definedName>
    <definedName function="false" hidden="false" name="WIF_ShippedNotOnline_A_D1_2031" vbProcedure="false">Interface!$K$37</definedName>
    <definedName function="false" hidden="false" name="WIF_ShippedNotOnline_A_D1_2032" vbProcedure="false">Interface!$L$37</definedName>
    <definedName function="false" hidden="false" name="WIF_ShippedNotOnline_A_D1_SiteOnly_2024" vbProcedure="false">Interface!$D$72</definedName>
    <definedName function="false" hidden="false" name="WIF_ShippedNotOnline_A_D1_SiteOnly_2025" vbProcedure="false">Interface!$E$72</definedName>
    <definedName function="false" hidden="false" name="WIF_ShippedNotOnline_A_D1_SiteOnly_2026" vbProcedure="false">Interface!$F$72</definedName>
    <definedName function="false" hidden="false" name="WIF_ShippedNotOnline_A_D1_SiteOnly_2027" vbProcedure="false">Interface!$G$72</definedName>
    <definedName function="false" hidden="false" name="WIF_ShippedNotOnline_A_D1_SiteOnly_2028" vbProcedure="false">Interface!$H$72</definedName>
    <definedName function="false" hidden="false" name="WIF_ShippedNotOnline_A_D1_SiteOnly_2029" vbProcedure="false">Interface!$I$72</definedName>
    <definedName function="false" hidden="false" name="WIF_ShippedNotOnline_A_D1_SiteOnly_2030" vbProcedure="false">Interface!$J$72</definedName>
    <definedName function="false" hidden="false" name="WIF_ShippedNotOnline_A_D1_SiteOnly_2031" vbProcedure="false">Interface!$K$72</definedName>
    <definedName function="false" hidden="false" name="WIF_ShippedNotOnline_A_D1_SiteOnly_2032" vbProcedure="false">Interface!$L$72</definedName>
    <definedName function="false" hidden="false" name="WIF_ShippedNotOnline_A_D2_2024" vbProcedure="false">Interface!$D$38</definedName>
    <definedName function="false" hidden="false" name="WIF_ShippedNotOnline_A_D2_2025" vbProcedure="false">Interface!$E$38</definedName>
    <definedName function="false" hidden="false" name="WIF_ShippedNotOnline_A_D2_2026" vbProcedure="false">Interface!$F$38</definedName>
    <definedName function="false" hidden="false" name="WIF_ShippedNotOnline_A_D2_2027" vbProcedure="false">Interface!$G$38</definedName>
    <definedName function="false" hidden="false" name="WIF_ShippedNotOnline_A_D2_2028" vbProcedure="false">Interface!$H$38</definedName>
    <definedName function="false" hidden="false" name="WIF_ShippedNotOnline_A_D2_2029" vbProcedure="false">Interface!$I$38</definedName>
    <definedName function="false" hidden="false" name="WIF_ShippedNotOnline_A_D2_2030" vbProcedure="false">Interface!$J$38</definedName>
    <definedName function="false" hidden="false" name="WIF_ShippedNotOnline_A_D2_2031" vbProcedure="false">Interface!$K$38</definedName>
    <definedName function="false" hidden="false" name="WIF_ShippedNotOnline_A_D2_2032" vbProcedure="false">Interface!$L$38</definedName>
    <definedName function="false" hidden="false" name="WIF_ShippedNotOnline_A_D2_SiteOnly_2024" vbProcedure="false">Interface!$D$73</definedName>
    <definedName function="false" hidden="false" name="WIF_ShippedNotOnline_A_D2_SiteOnly_2025" vbProcedure="false">Interface!$E$73</definedName>
    <definedName function="false" hidden="false" name="WIF_ShippedNotOnline_A_D2_SiteOnly_2026" vbProcedure="false">Interface!$F$73</definedName>
    <definedName function="false" hidden="false" name="WIF_ShippedNotOnline_A_D2_SiteOnly_2027" vbProcedure="false">Interface!$G$73</definedName>
    <definedName function="false" hidden="false" name="WIF_ShippedNotOnline_A_D2_SiteOnly_2028" vbProcedure="false">Interface!$H$73</definedName>
    <definedName function="false" hidden="false" name="WIF_ShippedNotOnline_A_D2_SiteOnly_2029" vbProcedure="false">Interface!$I$73</definedName>
    <definedName function="false" hidden="false" name="WIF_ShippedNotOnline_A_D2_SiteOnly_2030" vbProcedure="false">Interface!$J$73</definedName>
    <definedName function="false" hidden="false" name="WIF_ShippedNotOnline_A_D2_SiteOnly_2031" vbProcedure="false">Interface!$K$73</definedName>
    <definedName function="false" hidden="false" name="WIF_ShippedNotOnline_A_D2_SiteOnly_2032" vbProcedure="false">Interface!$L$73</definedName>
    <definedName function="false" hidden="false" name="WIF_ShippedNotOnline_B_D1_2024" vbProcedure="false">Interface!$D$39</definedName>
    <definedName function="false" hidden="false" name="WIF_ShippedNotOnline_B_D1_2025" vbProcedure="false">Interface!$E$39</definedName>
    <definedName function="false" hidden="false" name="WIF_ShippedNotOnline_B_D1_2026" vbProcedure="false">Interface!$F$39</definedName>
    <definedName function="false" hidden="false" name="WIF_ShippedNotOnline_B_D1_2027" vbProcedure="false">Interface!$G$39</definedName>
    <definedName function="false" hidden="false" name="WIF_ShippedNotOnline_B_D1_2028" vbProcedure="false">Interface!$H$39</definedName>
    <definedName function="false" hidden="false" name="WIF_ShippedNotOnline_B_D1_2029" vbProcedure="false">Interface!$I$39</definedName>
    <definedName function="false" hidden="false" name="WIF_ShippedNotOnline_B_D1_2030" vbProcedure="false">Interface!$J$39</definedName>
    <definedName function="false" hidden="false" name="WIF_ShippedNotOnline_B_D1_2031" vbProcedure="false">Interface!$K$39</definedName>
    <definedName function="false" hidden="false" name="WIF_ShippedNotOnline_B_D1_2032" vbProcedure="false">Interface!$L$39</definedName>
    <definedName function="false" hidden="false" name="WIF_ShippedNotOnline_B_D1_SiteOnly_2024" vbProcedure="false">Interface!$D$74</definedName>
    <definedName function="false" hidden="false" name="WIF_ShippedNotOnline_B_D1_SiteOnly_2025" vbProcedure="false">Interface!$E$74</definedName>
    <definedName function="false" hidden="false" name="WIF_ShippedNotOnline_B_D1_SiteOnly_2026" vbProcedure="false">Interface!$F$74</definedName>
    <definedName function="false" hidden="false" name="WIF_ShippedNotOnline_B_D1_SiteOnly_2027" vbProcedure="false">Interface!$G$74</definedName>
    <definedName function="false" hidden="false" name="WIF_ShippedNotOnline_B_D1_SiteOnly_2028" vbProcedure="false">Interface!$H$74</definedName>
    <definedName function="false" hidden="false" name="WIF_ShippedNotOnline_B_D1_SiteOnly_2029" vbProcedure="false">Interface!$I$74</definedName>
    <definedName function="false" hidden="false" name="WIF_ShippedNotOnline_B_D1_SiteOnly_2030" vbProcedure="false">Interface!$J$74</definedName>
    <definedName function="false" hidden="false" name="WIF_ShippedNotOnline_B_D1_SiteOnly_2031" vbProcedure="false">Interface!$K$74</definedName>
    <definedName function="false" hidden="false" name="WIF_ShippedNotOnline_B_D1_SiteOnly_2032" vbProcedure="false">Interface!$L$74</definedName>
    <definedName function="false" hidden="false" name="WIF_ShippedNotOnline_B_D2_2024" vbProcedure="false">Interface!$D$40</definedName>
    <definedName function="false" hidden="false" name="WIF_ShippedNotOnline_B_D2_2025" vbProcedure="false">Interface!$E$40</definedName>
    <definedName function="false" hidden="false" name="WIF_ShippedNotOnline_B_D2_2026" vbProcedure="false">Interface!$F$40</definedName>
    <definedName function="false" hidden="false" name="WIF_ShippedNotOnline_B_D2_2027" vbProcedure="false">Interface!$G$40</definedName>
    <definedName function="false" hidden="false" name="WIF_ShippedNotOnline_B_D2_2028" vbProcedure="false">Interface!$H$40</definedName>
    <definedName function="false" hidden="false" name="WIF_ShippedNotOnline_B_D2_2029" vbProcedure="false">Interface!$I$40</definedName>
    <definedName function="false" hidden="false" name="WIF_ShippedNotOnline_B_D2_2030" vbProcedure="false">Interface!$J$40</definedName>
    <definedName function="false" hidden="false" name="WIF_ShippedNotOnline_B_D2_2031" vbProcedure="false">Interface!$K$40</definedName>
    <definedName function="false" hidden="false" name="WIF_ShippedNotOnline_B_D2_2032" vbProcedure="false">Interface!$L$40</definedName>
    <definedName function="false" hidden="false" name="WIF_ShippedNotOnline_B_D2_SiteOnly_2024" vbProcedure="false">Interface!$D$75</definedName>
    <definedName function="false" hidden="false" name="WIF_ShippedNotOnline_B_D2_SiteOnly_2025" vbProcedure="false">Interface!$E$75</definedName>
    <definedName function="false" hidden="false" name="WIF_ShippedNotOnline_B_D2_SiteOnly_2026" vbProcedure="false">Interface!$F$75</definedName>
    <definedName function="false" hidden="false" name="WIF_ShippedNotOnline_B_D2_SiteOnly_2027" vbProcedure="false">Interface!$G$75</definedName>
    <definedName function="false" hidden="false" name="WIF_ShippedNotOnline_B_D2_SiteOnly_2028" vbProcedure="false">Interface!$H$75</definedName>
    <definedName function="false" hidden="false" name="WIF_ShippedNotOnline_B_D2_SiteOnly_2029" vbProcedure="false">Interface!$I$75</definedName>
    <definedName function="false" hidden="false" name="WIF_ShippedNotOnline_B_D2_SiteOnly_2030" vbProcedure="false">Interface!$J$75</definedName>
    <definedName function="false" hidden="false" name="WIF_ShippedNotOnline_B_D2_SiteOnly_2031" vbProcedure="false">Interface!$K$75</definedName>
    <definedName function="false" hidden="false" name="WIF_ShippedNotOnline_B_D2_SiteOnly_2032" vbProcedure="false">Interface!$L$75</definedName>
    <definedName function="false" hidden="false" name="WIF_ShippedNotOnline_C_D1_2024" vbProcedure="false">Interface!$D$41</definedName>
    <definedName function="false" hidden="false" name="WIF_ShippedNotOnline_C_D1_2025" vbProcedure="false">Interface!$E$41</definedName>
    <definedName function="false" hidden="false" name="WIF_ShippedNotOnline_C_D1_2026" vbProcedure="false">Interface!$F$41</definedName>
    <definedName function="false" hidden="false" name="WIF_ShippedNotOnline_C_D1_2027" vbProcedure="false">Interface!$G$41</definedName>
    <definedName function="false" hidden="false" name="WIF_ShippedNotOnline_C_D1_2028" vbProcedure="false">Interface!$H$41</definedName>
    <definedName function="false" hidden="false" name="WIF_ShippedNotOnline_C_D1_2029" vbProcedure="false">Interface!$I$41</definedName>
    <definedName function="false" hidden="false" name="WIF_ShippedNotOnline_C_D1_2030" vbProcedure="false">Interface!$J$41</definedName>
    <definedName function="false" hidden="false" name="WIF_ShippedNotOnline_C_D1_2031" vbProcedure="false">Interface!$K$41</definedName>
    <definedName function="false" hidden="false" name="WIF_ShippedNotOnline_C_D1_2032" vbProcedure="false">Interface!$L$41</definedName>
    <definedName function="false" hidden="false" name="WIF_ShippedNotOnline_C_D1_SiteOnly_2024" vbProcedure="false">Interface!$D$76</definedName>
    <definedName function="false" hidden="false" name="WIF_ShippedNotOnline_C_D1_SiteOnly_2025" vbProcedure="false">Interface!$E$76</definedName>
    <definedName function="false" hidden="false" name="WIF_ShippedNotOnline_C_D1_SiteOnly_2026" vbProcedure="false">Interface!$F$76</definedName>
    <definedName function="false" hidden="false" name="WIF_ShippedNotOnline_C_D1_SiteOnly_2027" vbProcedure="false">Interface!$G$76</definedName>
    <definedName function="false" hidden="false" name="WIF_ShippedNotOnline_C_D1_SiteOnly_2028" vbProcedure="false">Interface!$H$76</definedName>
    <definedName function="false" hidden="false" name="WIF_ShippedNotOnline_C_D1_SiteOnly_2029" vbProcedure="false">Interface!$I$76</definedName>
    <definedName function="false" hidden="false" name="WIF_ShippedNotOnline_C_D1_SiteOnly_2030" vbProcedure="false">Interface!$J$76</definedName>
    <definedName function="false" hidden="false" name="WIF_ShippedNotOnline_C_D1_SiteOnly_2031" vbProcedure="false">Interface!$K$76</definedName>
    <definedName function="false" hidden="false" name="WIF_ShippedNotOnline_C_D1_SiteOnly_2032" vbProcedure="false">Interface!$L$76</definedName>
    <definedName function="false" hidden="false" name="WIF_ShippedNotOnline_C_D2_2024" vbProcedure="false">Interface!$D$42</definedName>
    <definedName function="false" hidden="false" name="WIF_ShippedNotOnline_C_D2_2025" vbProcedure="false">Interface!$E$42</definedName>
    <definedName function="false" hidden="false" name="WIF_ShippedNotOnline_C_D2_2026" vbProcedure="false">Interface!$F$42</definedName>
    <definedName function="false" hidden="false" name="WIF_ShippedNotOnline_C_D2_2027" vbProcedure="false">Interface!$G$42</definedName>
    <definedName function="false" hidden="false" name="WIF_ShippedNotOnline_C_D2_2028" vbProcedure="false">Interface!$H$42</definedName>
    <definedName function="false" hidden="false" name="WIF_ShippedNotOnline_C_D2_2029" vbProcedure="false">Interface!$I$42</definedName>
    <definedName function="false" hidden="false" name="WIF_ShippedNotOnline_C_D2_2030" vbProcedure="false">Interface!$J$42</definedName>
    <definedName function="false" hidden="false" name="WIF_ShippedNotOnline_C_D2_2031" vbProcedure="false">Interface!$K$42</definedName>
    <definedName function="false" hidden="false" name="WIF_ShippedNotOnline_C_D2_2032" vbProcedure="false">Interface!$L$42</definedName>
    <definedName function="false" hidden="false" name="WIF_ShippedNotOnline_C_D2_SiteOnly_2024" vbProcedure="false">Interface!$D$77</definedName>
    <definedName function="false" hidden="false" name="WIF_ShippedNotOnline_C_D2_SiteOnly_2025" vbProcedure="false">Interface!$E$77</definedName>
    <definedName function="false" hidden="false" name="WIF_ShippedNotOnline_C_D2_SiteOnly_2026" vbProcedure="false">Interface!$F$77</definedName>
    <definedName function="false" hidden="false" name="WIF_ShippedNotOnline_C_D2_SiteOnly_2027" vbProcedure="false">Interface!$G$77</definedName>
    <definedName function="false" hidden="false" name="WIF_ShippedNotOnline_C_D2_SiteOnly_2028" vbProcedure="false">Interface!$H$77</definedName>
    <definedName function="false" hidden="false" name="WIF_ShippedNotOnline_C_D2_SiteOnly_2029" vbProcedure="false">Interface!$I$77</definedName>
    <definedName function="false" hidden="false" name="WIF_ShippedNotOnline_C_D2_SiteOnly_2030" vbProcedure="false">Interface!$J$77</definedName>
    <definedName function="false" hidden="false" name="WIF_ShippedNotOnline_C_D2_SiteOnly_2031" vbProcedure="false">Interface!$K$77</definedName>
    <definedName function="false" hidden="false" name="WIF_ShippedNotOnline_C_D2_SiteOnly_2032" vbProcedure="false">Interface!$L$77</definedName>
    <definedName function="false" hidden="false" name="WIF_Spend_fac_bldg_2024" vbProcedure="false">Interface!$D$124</definedName>
    <definedName function="false" hidden="false" name="WIF_Spend_fac_bldg_2025" vbProcedure="false">Interface!$E$124</definedName>
    <definedName function="false" hidden="false" name="WIF_Spend_fac_bldg_2026" vbProcedure="false">Interface!$F$124</definedName>
    <definedName function="false" hidden="false" name="WIF_Spend_fac_bldg_2027" vbProcedure="false">Interface!$G$124</definedName>
    <definedName function="false" hidden="false" name="WIF_Spend_fac_bldg_2028" vbProcedure="false">Interface!$H$124</definedName>
    <definedName function="false" hidden="false" name="WIF_Spend_fac_bldg_2029" vbProcedure="false">Interface!$I$124</definedName>
    <definedName function="false" hidden="false" name="WIF_Spend_fac_bldg_2030" vbProcedure="false">Interface!$J$124</definedName>
    <definedName function="false" hidden="false" name="WIF_Spend_fac_bldg_2031" vbProcedure="false">Interface!$K$124</definedName>
    <definedName function="false" hidden="false" name="WIF_Spend_fac_bldg_2032" vbProcedure="false">Interface!$L$124</definedName>
    <definedName function="false" hidden="false" name="WIF_Spend_fac_cool_2024" vbProcedure="false">Interface!$D$123</definedName>
    <definedName function="false" hidden="false" name="WIF_Spend_fac_cool_2025" vbProcedure="false">Interface!$E$123</definedName>
    <definedName function="false" hidden="false" name="WIF_Spend_fac_cool_2026" vbProcedure="false">Interface!$F$123</definedName>
    <definedName function="false" hidden="false" name="WIF_Spend_fac_cool_2027" vbProcedure="false">Interface!$G$123</definedName>
    <definedName function="false" hidden="false" name="WIF_Spend_fac_cool_2028" vbProcedure="false">Interface!$H$123</definedName>
    <definedName function="false" hidden="false" name="WIF_Spend_fac_cool_2029" vbProcedure="false">Interface!$I$123</definedName>
    <definedName function="false" hidden="false" name="WIF_Spend_fac_cool_2030" vbProcedure="false">Interface!$J$123</definedName>
    <definedName function="false" hidden="false" name="WIF_Spend_fac_cool_2031" vbProcedure="false">Interface!$K$123</definedName>
    <definedName function="false" hidden="false" name="WIF_Spend_fac_cool_2032" vbProcedure="false">Interface!$L$123</definedName>
    <definedName function="false" hidden="false" name="WIF_Spend_fac_dist_2024" vbProcedure="false">Interface!$D$120</definedName>
    <definedName function="false" hidden="false" name="WIF_Spend_fac_dist_2025" vbProcedure="false">Interface!$E$120</definedName>
    <definedName function="false" hidden="false" name="WIF_Spend_fac_dist_2026" vbProcedure="false">Interface!$F$120</definedName>
    <definedName function="false" hidden="false" name="WIF_Spend_fac_dist_2027" vbProcedure="false">Interface!$G$120</definedName>
    <definedName function="false" hidden="false" name="WIF_Spend_fac_dist_2028" vbProcedure="false">Interface!$H$120</definedName>
    <definedName function="false" hidden="false" name="WIF_Spend_fac_dist_2029" vbProcedure="false">Interface!$I$120</definedName>
    <definedName function="false" hidden="false" name="WIF_Spend_fac_dist_2030" vbProcedure="false">Interface!$J$120</definedName>
    <definedName function="false" hidden="false" name="WIF_Spend_fac_dist_2031" vbProcedure="false">Interface!$K$120</definedName>
    <definedName function="false" hidden="false" name="WIF_Spend_fac_dist_2032" vbProcedure="false">Interface!$L$120</definedName>
    <definedName function="false" hidden="false" name="WIF_Spend_fac_gen_2024" vbProcedure="false">Interface!$D$121</definedName>
    <definedName function="false" hidden="false" name="WIF_Spend_fac_gen_2025" vbProcedure="false">Interface!$E$121</definedName>
    <definedName function="false" hidden="false" name="WIF_Spend_fac_gen_2026" vbProcedure="false">Interface!$F$121</definedName>
    <definedName function="false" hidden="false" name="WIF_Spend_fac_gen_2027" vbProcedure="false">Interface!$G$121</definedName>
    <definedName function="false" hidden="false" name="WIF_Spend_fac_gen_2028" vbProcedure="false">Interface!$H$121</definedName>
    <definedName function="false" hidden="false" name="WIF_Spend_fac_gen_2029" vbProcedure="false">Interface!$I$121</definedName>
    <definedName function="false" hidden="false" name="WIF_Spend_fac_gen_2030" vbProcedure="false">Interface!$J$121</definedName>
    <definedName function="false" hidden="false" name="WIF_Spend_fac_gen_2031" vbProcedure="false">Interface!$K$121</definedName>
    <definedName function="false" hidden="false" name="WIF_Spend_fac_gen_2032" vbProcedure="false">Interface!$L$121</definedName>
    <definedName function="false" hidden="false" name="WIF_Spend_fac_labor_2024" vbProcedure="false">Interface!$D$125</definedName>
    <definedName function="false" hidden="false" name="WIF_Spend_fac_labor_2025" vbProcedure="false">Interface!$E$125</definedName>
    <definedName function="false" hidden="false" name="WIF_Spend_fac_labor_2026" vbProcedure="false">Interface!$F$125</definedName>
    <definedName function="false" hidden="false" name="WIF_Spend_fac_labor_2027" vbProcedure="false">Interface!$G$125</definedName>
    <definedName function="false" hidden="false" name="WIF_Spend_fac_labor_2028" vbProcedure="false">Interface!$H$125</definedName>
    <definedName function="false" hidden="false" name="WIF_Spend_fac_labor_2029" vbProcedure="false">Interface!$I$125</definedName>
    <definedName function="false" hidden="false" name="WIF_Spend_fac_labor_2030" vbProcedure="false">Interface!$J$125</definedName>
    <definedName function="false" hidden="false" name="WIF_Spend_fac_labor_2031" vbProcedure="false">Interface!$K$125</definedName>
    <definedName function="false" hidden="false" name="WIF_Spend_fac_labor_2032" vbProcedure="false">Interface!$L$125</definedName>
    <definedName function="false" hidden="false" name="WIF_Spend_fac_land_2024" vbProcedure="false">Interface!$D$128</definedName>
    <definedName function="false" hidden="false" name="WIF_Spend_fac_land_2025" vbProcedure="false">Interface!$E$128</definedName>
    <definedName function="false" hidden="false" name="WIF_Spend_fac_land_2026" vbProcedure="false">Interface!$F$128</definedName>
    <definedName function="false" hidden="false" name="WIF_Spend_fac_land_2027" vbProcedure="false">Interface!$G$128</definedName>
    <definedName function="false" hidden="false" name="WIF_Spend_fac_land_2028" vbProcedure="false">Interface!$H$128</definedName>
    <definedName function="false" hidden="false" name="WIF_Spend_fac_land_2029" vbProcedure="false">Interface!$I$128</definedName>
    <definedName function="false" hidden="false" name="WIF_Spend_fac_land_2030" vbProcedure="false">Interface!$J$128</definedName>
    <definedName function="false" hidden="false" name="WIF_Spend_fac_land_2031" vbProcedure="false">Interface!$K$128</definedName>
    <definedName function="false" hidden="false" name="WIF_Spend_fac_land_2032" vbProcedure="false">Interface!$L$128</definedName>
    <definedName function="false" hidden="false" name="WIF_Spend_fac_net_2024" vbProcedure="false">Interface!$D$127</definedName>
    <definedName function="false" hidden="false" name="WIF_Spend_fac_net_2025" vbProcedure="false">Interface!$E$127</definedName>
    <definedName function="false" hidden="false" name="WIF_Spend_fac_net_2026" vbProcedure="false">Interface!$F$127</definedName>
    <definedName function="false" hidden="false" name="WIF_Spend_fac_net_2027" vbProcedure="false">Interface!$G$127</definedName>
    <definedName function="false" hidden="false" name="WIF_Spend_fac_net_2028" vbProcedure="false">Interface!$H$127</definedName>
    <definedName function="false" hidden="false" name="WIF_Spend_fac_net_2029" vbProcedure="false">Interface!$I$127</definedName>
    <definedName function="false" hidden="false" name="WIF_Spend_fac_net_2030" vbProcedure="false">Interface!$J$127</definedName>
    <definedName function="false" hidden="false" name="WIF_Spend_fac_net_2031" vbProcedure="false">Interface!$K$127</definedName>
    <definedName function="false" hidden="false" name="WIF_Spend_fac_net_2032" vbProcedure="false">Interface!$L$127</definedName>
    <definedName function="false" hidden="false" name="WIF_Spend_fac_prof_2024" vbProcedure="false">Interface!$D$126</definedName>
    <definedName function="false" hidden="false" name="WIF_Spend_fac_prof_2025" vbProcedure="false">Interface!$E$126</definedName>
    <definedName function="false" hidden="false" name="WIF_Spend_fac_prof_2026" vbProcedure="false">Interface!$F$126</definedName>
    <definedName function="false" hidden="false" name="WIF_Spend_fac_prof_2027" vbProcedure="false">Interface!$G$126</definedName>
    <definedName function="false" hidden="false" name="WIF_Spend_fac_prof_2028" vbProcedure="false">Interface!$H$126</definedName>
    <definedName function="false" hidden="false" name="WIF_Spend_fac_prof_2029" vbProcedure="false">Interface!$I$126</definedName>
    <definedName function="false" hidden="false" name="WIF_Spend_fac_prof_2030" vbProcedure="false">Interface!$J$126</definedName>
    <definedName function="false" hidden="false" name="WIF_Spend_fac_prof_2031" vbProcedure="false">Interface!$K$126</definedName>
    <definedName function="false" hidden="false" name="WIF_Spend_fac_prof_2032" vbProcedure="false">Interface!$L$126</definedName>
    <definedName function="false" hidden="false" name="WIF_Spend_fac_resid_2024" vbProcedure="false">Interface!$D$129</definedName>
    <definedName function="false" hidden="false" name="WIF_Spend_fac_resid_2025" vbProcedure="false">Interface!$E$129</definedName>
    <definedName function="false" hidden="false" name="WIF_Spend_fac_resid_2026" vbProcedure="false">Interface!$F$129</definedName>
    <definedName function="false" hidden="false" name="WIF_Spend_fac_resid_2027" vbProcedure="false">Interface!$G$129</definedName>
    <definedName function="false" hidden="false" name="WIF_Spend_fac_resid_2028" vbProcedure="false">Interface!$H$129</definedName>
    <definedName function="false" hidden="false" name="WIF_Spend_fac_resid_2029" vbProcedure="false">Interface!$I$129</definedName>
    <definedName function="false" hidden="false" name="WIF_Spend_fac_resid_2030" vbProcedure="false">Interface!$J$129</definedName>
    <definedName function="false" hidden="false" name="WIF_Spend_fac_resid_2031" vbProcedure="false">Interface!$K$129</definedName>
    <definedName function="false" hidden="false" name="WIF_Spend_fac_resid_2032" vbProcedure="false">Interface!$L$129</definedName>
    <definedName function="false" hidden="false" name="WIF_Spend_fac_sum_2024" vbProcedure="false">Interface!$D$130</definedName>
    <definedName function="false" hidden="false" name="WIF_Spend_fac_sum_2025" vbProcedure="false">Interface!$E$130</definedName>
    <definedName function="false" hidden="false" name="WIF_Spend_fac_sum_2026" vbProcedure="false">Interface!$F$130</definedName>
    <definedName function="false" hidden="false" name="WIF_Spend_fac_sum_2027" vbProcedure="false">Interface!$G$130</definedName>
    <definedName function="false" hidden="false" name="WIF_Spend_fac_sum_2028" vbProcedure="false">Interface!$H$130</definedName>
    <definedName function="false" hidden="false" name="WIF_Spend_fac_sum_2029" vbProcedure="false">Interface!$I$130</definedName>
    <definedName function="false" hidden="false" name="WIF_Spend_fac_sum_2030" vbProcedure="false">Interface!$J$130</definedName>
    <definedName function="false" hidden="false" name="WIF_Spend_fac_sum_2031" vbProcedure="false">Interface!$K$130</definedName>
    <definedName function="false" hidden="false" name="WIF_Spend_fac_sum_2032" vbProcedure="false">Interface!$L$130</definedName>
    <definedName function="false" hidden="false" name="WIF_Spend_fac_ups_2024" vbProcedure="false">Interface!$D$122</definedName>
    <definedName function="false" hidden="false" name="WIF_Spend_fac_ups_2025" vbProcedure="false">Interface!$E$122</definedName>
    <definedName function="false" hidden="false" name="WIF_Spend_fac_ups_2026" vbProcedure="false">Interface!$F$122</definedName>
    <definedName function="false" hidden="false" name="WIF_Spend_fac_ups_2027" vbProcedure="false">Interface!$G$122</definedName>
    <definedName function="false" hidden="false" name="WIF_Spend_fac_ups_2028" vbProcedure="false">Interface!$H$122</definedName>
    <definedName function="false" hidden="false" name="WIF_Spend_fac_ups_2029" vbProcedure="false">Interface!$I$122</definedName>
    <definedName function="false" hidden="false" name="WIF_Spend_fac_ups_2030" vbProcedure="false">Interface!$J$122</definedName>
    <definedName function="false" hidden="false" name="WIF_Spend_fac_ups_2031" vbProcedure="false">Interface!$K$122</definedName>
    <definedName function="false" hidden="false" name="WIF_Spend_fac_ups_2032" vbProcedure="false">Interface!$L$122</definedName>
    <definedName function="false" hidden="false" name="WIF_Spend_it_compute_2024" vbProcedure="false">Interface!$D$111</definedName>
    <definedName function="false" hidden="false" name="WIF_Spend_it_compute_2025" vbProcedure="false">Interface!$E$111</definedName>
    <definedName function="false" hidden="false" name="WIF_Spend_it_compute_2026" vbProcedure="false">Interface!$F$111</definedName>
    <definedName function="false" hidden="false" name="WIF_Spend_it_compute_2027" vbProcedure="false">Interface!$G$111</definedName>
    <definedName function="false" hidden="false" name="WIF_Spend_it_compute_2028" vbProcedure="false">Interface!$H$111</definedName>
    <definedName function="false" hidden="false" name="WIF_Spend_it_compute_2029" vbProcedure="false">Interface!$I$111</definedName>
    <definedName function="false" hidden="false" name="WIF_Spend_it_compute_2030" vbProcedure="false">Interface!$J$111</definedName>
    <definedName function="false" hidden="false" name="WIF_Spend_it_compute_2031" vbProcedure="false">Interface!$K$111</definedName>
    <definedName function="false" hidden="false" name="WIF_Spend_it_compute_2032" vbProcedure="false">Interface!$L$111</definedName>
    <definedName function="false" hidden="false" name="WIF_Spend_it_foundry_2024" vbProcedure="false">Interface!$D$114</definedName>
    <definedName function="false" hidden="false" name="WIF_Spend_it_foundry_2025" vbProcedure="false">Interface!$E$114</definedName>
    <definedName function="false" hidden="false" name="WIF_Spend_it_foundry_2026" vbProcedure="false">Interface!$F$114</definedName>
    <definedName function="false" hidden="false" name="WIF_Spend_it_foundry_2027" vbProcedure="false">Interface!$G$114</definedName>
    <definedName function="false" hidden="false" name="WIF_Spend_it_foundry_2028" vbProcedure="false">Interface!$H$114</definedName>
    <definedName function="false" hidden="false" name="WIF_Spend_it_foundry_2029" vbProcedure="false">Interface!$I$114</definedName>
    <definedName function="false" hidden="false" name="WIF_Spend_it_foundry_2030" vbProcedure="false">Interface!$J$114</definedName>
    <definedName function="false" hidden="false" name="WIF_Spend_it_foundry_2031" vbProcedure="false">Interface!$K$114</definedName>
    <definedName function="false" hidden="false" name="WIF_Spend_it_foundry_2032" vbProcedure="false">Interface!$L$114</definedName>
    <definedName function="false" hidden="false" name="WIF_Spend_it_memory_2024" vbProcedure="false">Interface!$D$112</definedName>
    <definedName function="false" hidden="false" name="WIF_Spend_it_memory_2025" vbProcedure="false">Interface!$E$112</definedName>
    <definedName function="false" hidden="false" name="WIF_Spend_it_memory_2026" vbProcedure="false">Interface!$F$112</definedName>
    <definedName function="false" hidden="false" name="WIF_Spend_it_memory_2027" vbProcedure="false">Interface!$G$112</definedName>
    <definedName function="false" hidden="false" name="WIF_Spend_it_memory_2028" vbProcedure="false">Interface!$H$112</definedName>
    <definedName function="false" hidden="false" name="WIF_Spend_it_memory_2029" vbProcedure="false">Interface!$I$112</definedName>
    <definedName function="false" hidden="false" name="WIF_Spend_it_memory_2030" vbProcedure="false">Interface!$J$112</definedName>
    <definedName function="false" hidden="false" name="WIF_Spend_it_memory_2031" vbProcedure="false">Interface!$K$112</definedName>
    <definedName function="false" hidden="false" name="WIF_Spend_it_memory_2032" vbProcedure="false">Interface!$L$112</definedName>
    <definedName function="false" hidden="false" name="WIF_Spend_it_network_2024" vbProcedure="false">Interface!$D$113</definedName>
    <definedName function="false" hidden="false" name="WIF_Spend_it_network_2025" vbProcedure="false">Interface!$E$113</definedName>
    <definedName function="false" hidden="false" name="WIF_Spend_it_network_2026" vbProcedure="false">Interface!$F$113</definedName>
    <definedName function="false" hidden="false" name="WIF_Spend_it_network_2027" vbProcedure="false">Interface!$G$113</definedName>
    <definedName function="false" hidden="false" name="WIF_Spend_it_network_2028" vbProcedure="false">Interface!$H$113</definedName>
    <definedName function="false" hidden="false" name="WIF_Spend_it_network_2029" vbProcedure="false">Interface!$I$113</definedName>
    <definedName function="false" hidden="false" name="WIF_Spend_it_network_2030" vbProcedure="false">Interface!$J$113</definedName>
    <definedName function="false" hidden="false" name="WIF_Spend_it_network_2031" vbProcedure="false">Interface!$K$113</definedName>
    <definedName function="false" hidden="false" name="WIF_Spend_it_network_2032" vbProcedure="false">Interface!$L$113</definedName>
    <definedName function="false" hidden="false" name="WIF_Spend_it_power_thermal_2024" vbProcedure="false">Interface!$D$116</definedName>
    <definedName function="false" hidden="false" name="WIF_Spend_it_power_thermal_2025" vbProcedure="false">Interface!$E$116</definedName>
    <definedName function="false" hidden="false" name="WIF_Spend_it_power_thermal_2026" vbProcedure="false">Interface!$F$116</definedName>
    <definedName function="false" hidden="false" name="WIF_Spend_it_power_thermal_2027" vbProcedure="false">Interface!$G$116</definedName>
    <definedName function="false" hidden="false" name="WIF_Spend_it_power_thermal_2028" vbProcedure="false">Interface!$H$116</definedName>
    <definedName function="false" hidden="false" name="WIF_Spend_it_power_thermal_2029" vbProcedure="false">Interface!$I$116</definedName>
    <definedName function="false" hidden="false" name="WIF_Spend_it_power_thermal_2030" vbProcedure="false">Interface!$J$116</definedName>
    <definedName function="false" hidden="false" name="WIF_Spend_it_power_thermal_2031" vbProcedure="false">Interface!$K$116</definedName>
    <definedName function="false" hidden="false" name="WIF_Spend_it_power_thermal_2032" vbProcedure="false">Interface!$L$116</definedName>
    <definedName function="false" hidden="false" name="WIF_Spend_it_server_2024" vbProcedure="false">Interface!$D$117</definedName>
    <definedName function="false" hidden="false" name="WIF_Spend_it_server_2025" vbProcedure="false">Interface!$E$117</definedName>
    <definedName function="false" hidden="false" name="WIF_Spend_it_server_2026" vbProcedure="false">Interface!$F$117</definedName>
    <definedName function="false" hidden="false" name="WIF_Spend_it_server_2027" vbProcedure="false">Interface!$G$117</definedName>
    <definedName function="false" hidden="false" name="WIF_Spend_it_server_2028" vbProcedure="false">Interface!$H$117</definedName>
    <definedName function="false" hidden="false" name="WIF_Spend_it_server_2029" vbProcedure="false">Interface!$I$117</definedName>
    <definedName function="false" hidden="false" name="WIF_Spend_it_server_2030" vbProcedure="false">Interface!$J$117</definedName>
    <definedName function="false" hidden="false" name="WIF_Spend_it_server_2031" vbProcedure="false">Interface!$K$117</definedName>
    <definedName function="false" hidden="false" name="WIF_Spend_it_server_2032" vbProcedure="false">Interface!$L$117</definedName>
    <definedName function="false" hidden="false" name="WIF_Spend_it_storage_2024" vbProcedure="false">Interface!$D$118</definedName>
    <definedName function="false" hidden="false" name="WIF_Spend_it_storage_2025" vbProcedure="false">Interface!$E$118</definedName>
    <definedName function="false" hidden="false" name="WIF_Spend_it_storage_2026" vbProcedure="false">Interface!$F$118</definedName>
    <definedName function="false" hidden="false" name="WIF_Spend_it_storage_2027" vbProcedure="false">Interface!$G$118</definedName>
    <definedName function="false" hidden="false" name="WIF_Spend_it_storage_2028" vbProcedure="false">Interface!$H$118</definedName>
    <definedName function="false" hidden="false" name="WIF_Spend_it_storage_2029" vbProcedure="false">Interface!$I$118</definedName>
    <definedName function="false" hidden="false" name="WIF_Spend_it_storage_2030" vbProcedure="false">Interface!$J$118</definedName>
    <definedName function="false" hidden="false" name="WIF_Spend_it_storage_2031" vbProcedure="false">Interface!$K$118</definedName>
    <definedName function="false" hidden="false" name="WIF_Spend_it_storage_2032" vbProcedure="false">Interface!$L$118</definedName>
    <definedName function="false" hidden="false" name="WIF_Spend_it_substrate_2024" vbProcedure="false">Interface!$D$115</definedName>
    <definedName function="false" hidden="false" name="WIF_Spend_it_substrate_2025" vbProcedure="false">Interface!$E$115</definedName>
    <definedName function="false" hidden="false" name="WIF_Spend_it_substrate_2026" vbProcedure="false">Interface!$F$115</definedName>
    <definedName function="false" hidden="false" name="WIF_Spend_it_substrate_2027" vbProcedure="false">Interface!$G$115</definedName>
    <definedName function="false" hidden="false" name="WIF_Spend_it_substrate_2028" vbProcedure="false">Interface!$H$115</definedName>
    <definedName function="false" hidden="false" name="WIF_Spend_it_substrate_2029" vbProcedure="false">Interface!$I$115</definedName>
    <definedName function="false" hidden="false" name="WIF_Spend_it_substrate_2030" vbProcedure="false">Interface!$J$115</definedName>
    <definedName function="false" hidden="false" name="WIF_Spend_it_substrate_2031" vbProcedure="false">Interface!$K$115</definedName>
    <definedName function="false" hidden="false" name="WIF_Spend_it_substrate_2032" vbProcedure="false">Interface!$L$115</definedName>
    <definedName function="false" hidden="false" name="WIF_Spend_it_sum_2024" vbProcedure="false">Interface!$D$119</definedName>
    <definedName function="false" hidden="false" name="WIF_Spend_it_sum_2025" vbProcedure="false">Interface!$E$119</definedName>
    <definedName function="false" hidden="false" name="WIF_Spend_it_sum_2026" vbProcedure="false">Interface!$F$119</definedName>
    <definedName function="false" hidden="false" name="WIF_Spend_it_sum_2027" vbProcedure="false">Interface!$G$119</definedName>
    <definedName function="false" hidden="false" name="WIF_Spend_it_sum_2028" vbProcedure="false">Interface!$H$119</definedName>
    <definedName function="false" hidden="false" name="WIF_Spend_it_sum_2029" vbProcedure="false">Interface!$I$119</definedName>
    <definedName function="false" hidden="false" name="WIF_Spend_it_sum_2030" vbProcedure="false">Interface!$J$119</definedName>
    <definedName function="false" hidden="false" name="WIF_Spend_it_sum_2031" vbProcedure="false">Interface!$K$119</definedName>
    <definedName function="false" hidden="false" name="WIF_Spend_it_sum_2032" vbProcedure="false">Interface!$L$119</definedName>
    <definedName function="false" hidden="false" name="WIF_Spend_self_gen_2024" vbProcedure="false">Interface!$D$131</definedName>
    <definedName function="false" hidden="false" name="WIF_Spend_self_gen_2025" vbProcedure="false">Interface!$E$131</definedName>
    <definedName function="false" hidden="false" name="WIF_Spend_self_gen_2026" vbProcedure="false">Interface!$F$131</definedName>
    <definedName function="false" hidden="false" name="WIF_Spend_self_gen_2027" vbProcedure="false">Interface!$G$131</definedName>
    <definedName function="false" hidden="false" name="WIF_Spend_self_gen_2028" vbProcedure="false">Interface!$H$131</definedName>
    <definedName function="false" hidden="false" name="WIF_Spend_self_gen_2029" vbProcedure="false">Interface!$I$131</definedName>
    <definedName function="false" hidden="false" name="WIF_Spend_self_gen_2030" vbProcedure="false">Interface!$J$131</definedName>
    <definedName function="false" hidden="false" name="WIF_Spend_self_gen_2031" vbProcedure="false">Interface!$K$131</definedName>
    <definedName function="false" hidden="false" name="WIF_Spend_self_gen_2032" vbProcedure="false">Interface!$L$131</definedName>
    <definedName function="false" hidden="false" name="WIF_Spend_total_2024" vbProcedure="false">Interface!$D$132</definedName>
    <definedName function="false" hidden="false" name="WIF_Spend_total_2025" vbProcedure="false">Interface!$E$132</definedName>
    <definedName function="false" hidden="false" name="WIF_Spend_total_2026" vbProcedure="false">Interface!$F$132</definedName>
    <definedName function="false" hidden="false" name="WIF_Spend_total_2027" vbProcedure="false">Interface!$G$132</definedName>
    <definedName function="false" hidden="false" name="WIF_Spend_total_2028" vbProcedure="false">Interface!$H$132</definedName>
    <definedName function="false" hidden="false" name="WIF_Spend_total_2029" vbProcedure="false">Interface!$I$132</definedName>
    <definedName function="false" hidden="false" name="WIF_Spend_total_2030" vbProcedure="false">Interface!$J$132</definedName>
    <definedName function="false" hidden="false" name="WIF_Spend_total_2031" vbProcedure="false">Interface!$K$132</definedName>
    <definedName function="false" hidden="false" name="WIF_Spend_total_2032" vbProcedure="false">Interface!$L$132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<sst xmlns="http://schemas.openxmlformats.org/spreadsheetml/2006/main" count="13369" uniqueCount="5457">
  <si>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v0.1.1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</si>
  <si>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</si>
  <si>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</si>
  <si>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</si>
  <si>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</si>
  <si>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</si>
  <si>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</si>
  <si>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</si>
  <si>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</si>
  <si>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</si>
  <si>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</si>
  <si>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</si>
  <si>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</si>
  <si>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</si>
  <si>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</si>
  <si>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</si>
  <si>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</si>
  <si>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</si>
  <si>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</si>
  <si>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</si>
  <si>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</si>
  <si>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</si>
  <si>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</si>
  <si>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</si>
  <si>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</si>
  <si>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</si>
  <si>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</si>
  <si>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</si>
  <si>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</si>
  <si>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</si>
  <si>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</si>
  <si>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</si>
  <si>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</si>
  <si>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</si>
  <si>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</si>
  <si>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</si>
  <si>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</si>
  <si>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</si>
  <si>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</si>
  <si>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</si>
  <si>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</si>
  <si>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</si>
  <si>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</si>
  <si>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</si>
  <si>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</si>
  <si>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</si>
  <si>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</si>
  <si>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</si>
  <si>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</si>
  <si>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</si>
  <si>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</si>
  <si>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</si>
  <si>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</si>
  <si>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</si>
  <si>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</si>
  <si>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</si>
  <si>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</si>
  <si>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</si>
  <si>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</si>
  <si>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</si>
  <si>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</si>
  <si>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</si>
  <si>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</si>
  <si>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</si>
  <si>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</si>
  <si>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</si>
  <si>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</si>
  <si>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</si>
  <si>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</si>
  <si>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</si>
  <si>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</si>
  <si>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</si>
  <si>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</si>
  <si>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</si>
  <si>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</si>
  <si>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</si>
  <si>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</si>
  <si>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</si>
  <si>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</si>
  <si>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</si>
  <si>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</si>
  <si>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</si>
  <si>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</si>
  <si>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</si>
  <si>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</si>
  <si>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</si>
  <si>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</si>
  <si>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</si>
  <si>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</si>
  <si>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</si>
  <si>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</si>
  <si>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</si>
  <si>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</si>
  <si>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</si>
  <si>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</t>
    </r>
    <r>
      <rPr>
        <sz val="11"/>
        <color theme="1"/>
        <rFont val="Noto Sans CJK SC"/>
        <family val="2"/>
      </rPr>
      <t xml:space="preserve">（已排定案例 </t>
    </r>
    <r>
      <rPr>
        <sz val="11"/>
        <color theme="1"/>
        <rFont val="Calibri"/>
        <family val="2"/>
        <charset val="1"/>
      </rPr>
      <t xml:space="preserve">3–12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Denton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〔無法核對〕、</t>
    </r>
    <r>
      <rPr>
        <sz val="11"/>
        <color theme="1"/>
        <rFont val="Calibri"/>
        <family val="2"/>
        <charset val="1"/>
      </rPr>
      <t xml:space="preserve">Nebius NJ 6–7</t>
    </r>
    <r>
      <rPr>
        <sz val="11"/>
        <color theme="1"/>
        <rFont val="Noto Sans CJK SC"/>
        <family val="2"/>
      </rPr>
      <t xml:space="preserve">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</si>
  <si>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</si>
  <si>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</si>
  <si>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</si>
  <si>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</si>
  <si>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</si>
  <si>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</si>
  <si>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</si>
  <si>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</si>
  <si>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</si>
  <si>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</si>
  <si>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</si>
  <si>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</si>
  <si>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</si>
  <si>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</si>
  <si>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</si>
  <si>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</si>
  <si>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</si>
  <si>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</si>
  <si>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</si>
  <si>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</si>
  <si>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</si>
  <si>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</si>
  <si>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</si>
  <si>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</si>
  <si>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</si>
  <si>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</si>
  <si>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</si>
  <si>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</si>
  <si>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</si>
  <si>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</si>
  <si>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</si>
  <si>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</si>
  <si>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</si>
  <si>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</si>
  <si>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</si>
  <si>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</si>
  <si>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</si>
  <si>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</si>
  <si>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</si>
  <si>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</si>
  <si>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</si>
  <si>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</si>
  <si>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</si>
  <si>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</si>
  <si>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</si>
  <si>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</si>
  <si>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</si>
  <si>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</si>
  <si>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</si>
  <si>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</si>
  <si>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</si>
  <si>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</si>
  <si>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</si>
  <si>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</si>
  <si>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</si>
  <si>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</si>
  <si>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</si>
  <si>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</si>
  <si>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</si>
  <si>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</si>
  <si>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</si>
  <si>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</si>
  <si>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</si>
  <si>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</si>
  <si>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</si>
  <si>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</si>
  <si>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</si>
  <si>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</si>
  <si>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</si>
  <si>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</si>
  <si>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</si>
  <si>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</si>
  <si>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</si>
  <si>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</si>
  <si>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</si>
  <si>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</si>
  <si>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</si>
  <si>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</si>
  <si>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</si>
  <si>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</si>
  <si>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</si>
  <si>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</si>
  <si>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</si>
  <si>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</si>
  <si>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</si>
  <si>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</si>
  <si>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</si>
  <si>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</si>
  <si>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</si>
  <si>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</si>
  <si>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</si>
  <si>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</si>
  <si>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</si>
  <si>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</si>
  <si>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</si>
  <si>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</si>
  <si>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</si>
  <si>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</si>
  <si>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</si>
  <si>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</si>
  <si>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</si>
  <si>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</si>
  <si>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</si>
  <si>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</si>
  <si>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</si>
  <si>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</si>
  <si>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</si>
  <si>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</si>
  <si>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</si>
  <si>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</si>
  <si>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</si>
  <si>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</si>
  <si>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</si>
  <si>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</si>
  <si>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</si>
  <si>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</si>
  <si>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</si>
  <si>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</si>
  <si>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</si>
  <si>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</si>
  <si>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</si>
  <si>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</si>
  <si>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</si>
  <si>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</si>
  <si>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</si>
  <si>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</si>
  <si>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</si>
  <si>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</si>
  <si>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</si>
  <si>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</si>
  <si>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</si>
  <si>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</si>
  <si>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</si>
  <si>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</si>
  <si>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</si>
  <si>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</si>
  <si>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</si>
  <si>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</si>
  <si>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</si>
  <si>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</si>
  <si>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</si>
  <si>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</si>
  <si>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</si>
  <si>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</si>
  <si>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</si>
  <si>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</si>
  <si>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</si>
  <si>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</si>
  <si>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</si>
  <si>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</si>
  <si>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</si>
  <si>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</si>
  <si>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</si>
  <si>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</si>
  <si>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</si>
  <si>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</si>
  <si>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</si>
  <si>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</si>
  <si>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</si>
  <si>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</si>
  <si>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</si>
  <si>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</si>
  <si>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</si>
  <si>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</si>
  <si>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</si>
  <si>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</si>
  <si>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</si>
  <si>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</si>
  <si>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</si>
  <si>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</si>
  <si>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</si>
  <si>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</si>
  <si>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</si>
  <si>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</si>
  <si>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</si>
  <si>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</si>
  <si>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</si>
  <si>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P50</t>
    </r>
    <r>
      <rPr>
        <sz val="11"/>
        <color theme="1"/>
        <rFont val="Noto Sans CJK SC"/>
        <family val="2"/>
      </rPr>
      <t xml:space="preserve">：基準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不是由所列例子算出（</t>
    </r>
    <r>
      <rPr>
        <sz val="11"/>
        <color theme="1"/>
        <rFont val="Calibri"/>
        <family val="2"/>
        <charset val="1"/>
      </rPr>
      <t xml:space="preserve">ModulEdge </t>
    </r>
    <r>
      <rPr>
        <sz val="11"/>
        <color theme="1"/>
        <rFont val="Noto Sans CJK SC"/>
        <family val="2"/>
      </rPr>
      <t xml:space="preserve">例為 </t>
    </r>
    <r>
      <rPr>
        <sz val="11"/>
        <color theme="1"/>
        <rFont val="Calibri"/>
        <family val="2"/>
        <charset val="1"/>
      </rPr>
      <t xml:space="preserve">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225 MW </t>
    </r>
    <r>
      <rPr>
        <sz val="11"/>
        <color theme="1"/>
        <rFont val="Noto Sans CJK SC"/>
        <family val="2"/>
      </rPr>
      <t xml:space="preserve">為全場需求非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）；判斷值，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段建議約 </t>
    </r>
    <r>
      <rPr>
        <sz val="11"/>
        <color theme="1"/>
        <rFont val="Calibri"/>
        <family val="2"/>
        <charset val="1"/>
      </rPr>
      <t xml:space="preserve">2.5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</si>
  <si>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</si>
  <si>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</si>
  <si>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</si>
  <si>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</si>
  <si>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</si>
  <si>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</si>
  <si>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</si>
  <si>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</si>
  <si>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</si>
  <si>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</si>
  <si>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</si>
  <si>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</si>
  <si>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</si>
  <si>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</si>
  <si>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</si>
  <si>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</si>
  <si>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</si>
  <si>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</si>
  <si>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</si>
  <si>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</si>
  <si>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</si>
  <si>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</si>
  <si>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</si>
  <si>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</si>
  <si>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</si>
  <si>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</si>
  <si>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</si>
  <si>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</si>
  <si>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</si>
  <si>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</si>
  <si>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</si>
  <si>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</si>
  <si>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</si>
  <si>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</si>
  <si>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</si>
  <si>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</si>
  <si>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</si>
  <si>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</si>
  <si>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</si>
  <si>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</si>
  <si>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</si>
  <si>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</si>
  <si>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</si>
  <si>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</si>
  <si>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</si>
  <si>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</si>
  <si>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</si>
  <si>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</si>
  <si>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</si>
  <si>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</si>
  <si>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</si>
  <si>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</si>
  <si>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</si>
  <si>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</si>
  <si>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</si>
  <si>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</si>
  <si>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</si>
  <si>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</si>
  <si>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</si>
  <si>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</si>
  <si>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</si>
  <si>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</si>
  <si>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</si>
  <si>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</si>
  <si>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</si>
  <si>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</si>
  <si>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</si>
  <si>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</si>
  <si>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</si>
  <si>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</si>
  <si>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</si>
  <si>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</si>
  <si>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</si>
  <si>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</si>
  <si>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</si>
  <si>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</si>
  <si>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</si>
  <si>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</si>
  <si>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</si>
  <si>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</si>
  <si>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</si>
  <si>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</si>
  <si>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</si>
  <si>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</si>
  <si>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</si>
  <si>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</si>
  <si>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</si>
  <si>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</si>
  <si>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</si>
  <si>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</si>
  <si>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</si>
  <si>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</si>
  <si>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</si>
  <si>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</si>
  <si>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</si>
  <si>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</si>
  <si>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</si>
  <si>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</si>
  <si>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</si>
  <si>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</si>
  <si>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</si>
  <si>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</si>
  <si>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</si>
  <si>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</si>
  <si>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</si>
  <si>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</si>
  <si>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</si>
  <si>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</si>
  <si>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</si>
  <si>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</si>
  <si>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</si>
  <si>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</si>
  <si>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</si>
  <si>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</si>
  <si>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</si>
  <si>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</si>
  <si>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</si>
  <si>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</si>
  <si>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</si>
  <si>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</si>
  <si>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</si>
  <si>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</si>
  <si>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</si>
  <si>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</si>
  <si>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</si>
  <si>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</si>
  <si>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</si>
  <si>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</si>
  <si>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</si>
  <si>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</si>
  <si>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</si>
  <si>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</si>
  <si>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</si>
  <si>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</si>
  <si>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</si>
  <si>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</si>
  <si>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</si>
  <si>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</si>
  <si>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</si>
  <si>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</si>
  <si>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</si>
  <si>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</si>
  <si>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</si>
  <si>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</si>
  <si>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</si>
  <si>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</si>
  <si>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</si>
  <si>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</si>
  <si>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</si>
  <si>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</si>
  <si>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</si>
  <si>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</si>
  <si>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</si>
  <si>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</si>
  <si>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</si>
  <si>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</si>
  <si>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</si>
  <si>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</si>
  <si>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</si>
  <si>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</si>
  <si>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</si>
  <si>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</si>
  <si>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</si>
  <si>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</si>
  <si>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</si>
  <si>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</si>
  <si>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</si>
  <si>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</si>
  <si>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</si>
  <si>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</si>
  <si>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</si>
  <si>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</si>
  <si>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</si>
  <si>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</si>
  <si>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</si>
  <si>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</si>
  <si>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</si>
  <si>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</si>
  <si>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</si>
  <si>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</si>
  <si>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</si>
  <si>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</si>
  <si>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</si>
  <si>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</si>
  <si>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</si>
  <si>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</si>
  <si>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</si>
  <si>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</si>
  <si>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</si>
  <si>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</si>
  <si>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</si>
  <si>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</si>
  <si>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</si>
  <si>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</si>
  <si>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</si>
  <si>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low double-digit </t>
    </r>
    <r>
      <rPr>
        <sz val="11"/>
        <color theme="1"/>
        <rFont val="Noto Sans CJK SC"/>
        <family val="2"/>
      </rPr>
      <t xml:space="preserve">中點，屬實）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</si>
  <si>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</si>
  <si>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</si>
  <si>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</si>
  <si>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</si>
  <si>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</si>
  <si>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</si>
  <si>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</si>
  <si>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</si>
  <si>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</si>
  <si>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</si>
  <si>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</si>
  <si>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</si>
  <si>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</si>
  <si>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</si>
  <si>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</si>
  <si>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</si>
  <si>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</si>
  <si>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</si>
  <si>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</si>
  <si>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</si>
  <si>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</si>
  <si>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</si>
  <si>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</si>
  <si>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</si>
  <si>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</si>
  <si>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</si>
  <si>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</si>
  <si>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</si>
  <si>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</si>
  <si>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</si>
  <si>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</si>
  <si>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</si>
  <si>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</si>
  <si>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</si>
  <si>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</si>
  <si>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</si>
  <si>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</si>
  <si>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</si>
  <si>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</si>
  <si>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</si>
  <si>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</si>
  <si>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</si>
  <si>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</si>
  <si>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 well over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上線（下限）；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</si>
  <si>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</si>
  <si>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</si>
  <si>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</si>
  <si>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</si>
  <si>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</si>
  <si>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</si>
  <si>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</si>
  <si>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</si>
  <si>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</si>
  <si>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</si>
  <si>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</si>
  <si>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</si>
  <si>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</si>
  <si>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</si>
  <si>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</si>
  <si>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</si>
  <si>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</si>
  <si>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</si>
  <si>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</si>
  <si>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</si>
  <si>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</si>
  <si>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</si>
  <si>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</si>
  <si>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</si>
  <si>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</si>
  <si>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</si>
  <si>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</si>
  <si>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</si>
  <si>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</si>
  <si>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</si>
  <si>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</si>
  <si>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</si>
  <si>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</si>
  <si>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</si>
  <si>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</si>
  <si>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</si>
  <si>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</si>
  <si>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</si>
  <si>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</si>
  <si>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</si>
  <si>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</si>
  <si>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</si>
  <si>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</si>
  <si>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</si>
  <si>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</si>
  <si>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</si>
  <si>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</si>
  <si>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636 MW-IT 2026-06-14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</si>
  <si>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</si>
  <si>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</si>
  <si>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as_of 2026-05-15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起分棟、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一期完工；</t>
    </r>
    <r>
      <rPr>
        <sz val="11"/>
        <color theme="1"/>
        <rFont val="Calibri"/>
        <family val="2"/>
        <charset val="1"/>
      </rPr>
      <t xml:space="preserve">D#24</t>
    </r>
    <r>
      <rPr>
        <sz val="11"/>
        <color theme="1"/>
        <rFont val="Noto Sans CJK SC"/>
        <family val="2"/>
      </rPr>
      <t xml:space="preserve">：宣布與實際落差 </t>
    </r>
    <r>
      <rPr>
        <sz val="11"/>
        <color theme="1"/>
        <rFont val="Calibri"/>
        <family val="2"/>
        <charset val="1"/>
      </rPr>
      <t xml:space="preserve">0–2 </t>
    </r>
    <r>
      <rPr>
        <sz val="11"/>
        <color theme="1"/>
        <rFont val="Noto Sans CJK SC"/>
        <family val="2"/>
      </rPr>
      <t xml:space="preserve">月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</si>
  <si>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</si>
  <si>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</si>
  <si>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</si>
  <si>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</si>
  <si>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</si>
  <si>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（屬實；首棟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年中）；全站分期未揭露，整筆放首棟月（偏早）；另有 </t>
    </r>
    <r>
      <rPr>
        <sz val="11"/>
        <color theme="1"/>
        <rFont val="Calibri"/>
        <family val="2"/>
        <charset val="1"/>
      </rPr>
      <t xml:space="preserve">700 MW </t>
    </r>
    <r>
      <rPr>
        <sz val="11"/>
        <color theme="1"/>
        <rFont val="Noto Sans CJK SC"/>
        <family val="2"/>
      </rPr>
      <t xml:space="preserve">報導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</si>
  <si>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</si>
  <si>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</si>
  <si>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</si>
  <si>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</si>
  <si>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</si>
  <si>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</si>
  <si>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</si>
  <si>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</si>
  <si>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</si>
  <si>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</si>
  <si>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</si>
  <si>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</si>
  <si>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</si>
  <si>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</si>
  <si>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</si>
  <si>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</si>
  <si>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</si>
  <si>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</si>
  <si>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</si>
  <si>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</si>
  <si>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</si>
  <si>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</si>
  <si>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</si>
  <si>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</si>
  <si>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</si>
  <si>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</si>
  <si>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</si>
  <si>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</si>
  <si>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</si>
  <si>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</si>
  <si>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</si>
  <si>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</si>
  <si>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</si>
  <si>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</si>
  <si>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</si>
  <si>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</si>
  <si>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</si>
  <si>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</si>
  <si>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（屬實，設施）；已知延遲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D#17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只佐證：首次供電 </t>
    </r>
    <r>
      <rPr>
        <sz val="11"/>
        <color theme="1"/>
        <rFont val="Calibri"/>
        <family val="2"/>
        <charset val="1"/>
      </rPr>
      <t xml:space="preserve">2027→2029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稱照時程）、</t>
    </r>
    <r>
      <rPr>
        <sz val="11"/>
        <color theme="1"/>
        <rFont val="Calibri"/>
        <family val="2"/>
        <charset val="1"/>
      </rPr>
      <t xml:space="preserve">D#16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</si>
  <si>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</si>
  <si>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</si>
  <si>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</si>
  <si>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</si>
  <si>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</si>
  <si>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</si>
  <si>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</si>
  <si>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</si>
  <si>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</si>
  <si>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</si>
  <si>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</si>
  <si>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</si>
  <si>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</si>
  <si>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</si>
  <si>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</si>
  <si>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</si>
  <si>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</si>
  <si>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</si>
  <si>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</si>
  <si>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</si>
  <si>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</si>
  <si>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</si>
  <si>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</si>
  <si>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起分期）；三年均分 </t>
    </r>
    <r>
      <rPr>
        <sz val="11"/>
        <color theme="1"/>
        <rFont val="Calibri"/>
        <family val="2"/>
        <charset val="1"/>
      </rPr>
      <t xml:space="preserve">[Assumed]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</si>
  <si>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</si>
  <si>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</si>
  <si>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</si>
  <si>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</si>
  <si>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</si>
  <si>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</si>
  <si>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需美方許可）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</si>
  <si>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</si>
  <si>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</si>
  <si>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</si>
  <si>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（屬實）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</si>
  <si>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</si>
  <si>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</si>
  <si>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</si>
  <si>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</si>
  <si>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</si>
  <si>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</si>
  <si>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</si>
  <si>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</si>
  <si>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</si>
  <si>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</si>
  <si>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</si>
  <si>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</si>
  <si>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</si>
  <si>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</si>
  <si>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</si>
  <si>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</si>
  <si>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</si>
  <si>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</si>
  <si>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</si>
  <si>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</si>
  <si>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</si>
  <si>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rgb="FF808080"/>
        <rFont val="Cambria"/>
        <family val="0"/>
        <charset val="1"/>
      </rPr>
      <t xml:space="preserve">B#14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</si>
  <si>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</si>
  <si>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</si>
  <si>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</si>
  <si>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</si>
  <si>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</si>
  <si>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</si>
  <si>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</si>
  <si>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rgb="FF808080"/>
        <rFont val="Cambria"/>
        <family val="0"/>
        <charset val="1"/>
      </rPr>
      <t xml:space="preserve">Stargate UAE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</si>
  <si>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B#27</t>
    </r>
    <r>
      <rPr>
        <sz val="11"/>
        <color rgb="FF808080"/>
        <rFont val="Noto Sans CJK SC"/>
        <family val="2"/>
      </rPr>
      <t xml:space="preserve">（未抽查）；</t>
    </r>
    <r>
      <rPr>
        <sz val="11"/>
        <color rgb="FF808080"/>
        <rFont val="Cambria"/>
        <family val="0"/>
        <charset val="1"/>
      </rPr>
      <t xml:space="preserve">D#21 </t>
    </r>
    <r>
      <rPr>
        <sz val="11"/>
        <color rgb="FF808080"/>
        <rFont val="Noto Sans CJK SC"/>
        <family val="2"/>
      </rPr>
      <t xml:space="preserve">未見上線；不入（只用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</si>
  <si>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cpx_sov_mis</t>
  </si>
  <si>
    <r>
      <rPr>
        <sz val="11"/>
        <color rgb="FF808080"/>
        <rFont val="Cambria"/>
        <family val="0"/>
        <charset val="1"/>
      </rPr>
      <t xml:space="preserve">Mistral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法國</t>
    </r>
  </si>
  <si>
    <r>
      <rPr>
        <sz val="11"/>
        <color rgb="FF808080"/>
        <rFont val="Cambria"/>
        <family val="0"/>
        <charset val="1"/>
      </rPr>
      <t xml:space="preserve">B#61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</si>
  <si>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</si>
  <si>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</si>
  <si>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</si>
  <si>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</si>
  <si>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</si>
  <si>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</si>
  <si>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</si>
  <si>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rgb="FF808080"/>
        <rFont val="Cambria"/>
        <family val="0"/>
        <charset val="1"/>
      </rPr>
      <t xml:space="preserve">Colossus 2 </t>
    </r>
    <r>
      <rPr>
        <sz val="11"/>
        <color rgb="FF808080"/>
        <rFont val="Noto Sans CJK SC"/>
        <family val="2"/>
      </rPr>
      <t xml:space="preserve">增量（</t>
    </r>
    <r>
      <rPr>
        <sz val="11"/>
        <color rgb="FF808080"/>
        <rFont val="Cambria"/>
        <family val="0"/>
        <charset val="1"/>
      </rPr>
      <t xml:space="preserve">1,531 MW-IT 2027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</si>
  <si>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B#47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段刪除 </t>
    </r>
    <r>
      <rPr>
        <sz val="11"/>
        <color rgb="FF808080"/>
        <rFont val="Cambria"/>
        <family val="0"/>
        <charset val="1"/>
      </rPr>
      <t xml:space="preserve">1,531 MW</t>
    </r>
    <r>
      <rPr>
        <sz val="11"/>
        <color rgb="FF808080"/>
        <rFont val="Noto Sans CJK SC"/>
        <family val="2"/>
      </rPr>
      <t xml:space="preserve">（無出處）；不入（只用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</si>
  <si>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</si>
  <si>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</si>
  <si>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</si>
  <si>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</si>
  <si>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</si>
  <si>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</si>
  <si>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</si>
  <si>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</si>
  <si>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</si>
  <si>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</si>
  <si>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</si>
  <si>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</si>
  <si>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</si>
  <si>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</si>
  <si>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</si>
  <si>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</si>
  <si>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</si>
  <si>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</si>
  <si>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</si>
  <si>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</si>
  <si>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</si>
  <si>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</si>
  <si>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</si>
  <si>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</si>
  <si>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</si>
  <si>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</si>
  <si>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</si>
  <si>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</si>
  <si>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</si>
  <si>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</si>
  <si>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</si>
  <si>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</si>
  <si>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</si>
  <si>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</si>
  <si>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</si>
  <si>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</si>
  <si>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</si>
  <si>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</si>
  <si>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</si>
  <si>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</si>
  <si>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</si>
  <si>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</si>
  <si>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</si>
  <si>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</si>
  <si>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</si>
  <si>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</si>
  <si>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</si>
  <si>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</si>
  <si>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</si>
  <si>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</si>
  <si>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</si>
  <si>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</si>
  <si>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</si>
  <si>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</si>
  <si>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</si>
  <si>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</si>
  <si>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</si>
  <si>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</si>
  <si>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</si>
  <si>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</si>
  <si>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</si>
  <si>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</si>
  <si>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</si>
  <si>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</si>
  <si>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</si>
  <si>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</si>
  <si>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</si>
  <si>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</si>
  <si>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</si>
  <si>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</si>
  <si>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</si>
  <si>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</si>
  <si>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</si>
  <si>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</si>
  <si>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</si>
  <si>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</si>
  <si>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</si>
  <si>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</si>
  <si>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</si>
  <si>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</si>
  <si>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</si>
  <si>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</si>
  <si>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</si>
  <si>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</si>
  <si>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</si>
  <si>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</si>
  <si>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</si>
  <si>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</si>
  <si>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</si>
  <si>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</si>
  <si>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</si>
  <si>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</si>
  <si>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</si>
  <si>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</si>
  <si>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</si>
  <si>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</si>
  <si>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</si>
  <si>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</si>
  <si>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</si>
  <si>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</si>
  <si>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</si>
  <si>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</si>
  <si>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</si>
  <si>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</si>
  <si>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</si>
  <si>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</si>
  <si>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</si>
  <si>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</si>
  <si>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</si>
  <si>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</si>
  <si>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</si>
  <si>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</si>
  <si>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</si>
  <si>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</si>
  <si>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</si>
  <si>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</si>
  <si>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</si>
  <si>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</si>
  <si>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</si>
  <si>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</si>
  <si>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</si>
  <si>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</si>
  <si>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</si>
  <si>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</si>
  <si>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</si>
  <si>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</si>
  <si>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</si>
  <si>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</si>
  <si>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</si>
  <si>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</si>
  <si>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</si>
  <si>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</si>
  <si>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</si>
  <si>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</si>
  <si>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</si>
  <si>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</si>
  <si>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</si>
  <si>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</si>
  <si>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</si>
  <si>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20261028_Siliconomics_v0.8.xlsx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f8259cb8c4e3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</si>
  <si>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</si>
  <si>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</si>
  <si>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</si>
  <si>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</si>
  <si>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</si>
  <si>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</si>
  <si>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</si>
  <si>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</si>
  <si>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</si>
  <si>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</si>
  <si>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</si>
  <si>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</si>
  <si>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</si>
  <si>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</si>
  <si>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</si>
  <si>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</si>
  <si>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</si>
  <si>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</si>
  <si>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</si>
  <si>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</si>
  <si>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</si>
  <si>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</si>
  <si>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</si>
  <si>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</si>
  <si>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</si>
  <si>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</si>
  <si>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</si>
  <si>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</si>
  <si>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</si>
  <si>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</si>
  <si>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</si>
  <si>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</si>
  <si>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</si>
  <si>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</si>
  <si>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</si>
  <si>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</si>
  <si>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</si>
  <si>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</si>
  <si>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</si>
  <si>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</si>
  <si>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</si>
  <si>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</si>
  <si>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</si>
  <si>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</si>
  <si>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</si>
  <si>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</si>
  <si>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</si>
  <si>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</si>
  <si>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</si>
  <si>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</si>
  <si>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</si>
  <si>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</si>
  <si>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</si>
  <si>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</si>
  <si>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</si>
  <si>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</si>
  <si>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</si>
  <si>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</si>
  <si>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</si>
  <si>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</si>
  <si>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</si>
  <si>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</si>
  <si>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</si>
  <si>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</si>
  <si>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</si>
  <si>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</si>
  <si>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</si>
  <si>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</si>
  <si>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</si>
  <si>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</si>
  <si>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</si>
  <si>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</si>
  <si>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</si>
  <si>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</si>
  <si>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</si>
  <si>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</si>
  <si>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</si>
  <si>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</si>
  <si>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</si>
  <si>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</si>
  <si>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</si>
  <si>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</si>
  <si>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</si>
  <si>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</si>
  <si>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</si>
  <si>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</si>
  <si>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</si>
  <si>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</si>
  <si>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</si>
  <si>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</si>
  <si>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</si>
  <si>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</si>
  <si>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</si>
  <si>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</si>
  <si>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</si>
  <si>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</si>
  <si>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</si>
  <si>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</si>
  <si>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</si>
  <si>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</si>
  <si>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</si>
  <si>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</si>
  <si>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</si>
  <si>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</si>
  <si>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</si>
  <si>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</si>
  <si>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</si>
  <si>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</si>
  <si>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</si>
  <si>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</si>
  <si>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</si>
  <si>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</si>
  <si>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</si>
  <si>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</si>
  <si>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</si>
  <si>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</si>
  <si>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</si>
  <si>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</si>
  <si>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</si>
  <si>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</si>
  <si>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</si>
  <si>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</si>
  <si>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</si>
  <si>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</si>
  <si>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</si>
  <si>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</si>
  <si>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</si>
  <si>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</si>
  <si>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</si>
  <si>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</si>
  <si>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</si>
  <si>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</si>
  <si>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</si>
  <si>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</si>
  <si>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</si>
  <si>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</si>
  <si>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</si>
  <si>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</si>
  <si>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</si>
  <si>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</si>
  <si>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</si>
  <si>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</si>
  <si>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</si>
  <si>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</si>
  <si>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</si>
  <si>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</si>
  <si>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</si>
  <si>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</si>
  <si>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</si>
  <si>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</si>
  <si>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</si>
  <si>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</si>
  <si>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</si>
  <si>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</si>
  <si>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</si>
  <si>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</si>
  <si>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</si>
  <si>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</si>
  <si>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</si>
  <si>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</si>
  <si>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</si>
  <si>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</si>
  <si>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</si>
  <si>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</si>
  <si>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</si>
  <si>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</si>
  <si>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</si>
  <si>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</si>
  <si>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</si>
  <si>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</si>
  <si>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</si>
  <si>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</si>
  <si>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</si>
  <si>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</si>
  <si>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</si>
  <si>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</si>
  <si>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</si>
  <si>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</si>
  <si>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</si>
  <si>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</si>
  <si>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</si>
  <si>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</si>
  <si>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</si>
  <si>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</si>
  <si>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</si>
  <si>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</si>
  <si>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</si>
  <si>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</si>
  <si>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</si>
  <si>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</si>
  <si>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</si>
  <si>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</si>
  <si>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</si>
  <si>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</si>
  <si>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</si>
  <si>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</si>
  <si>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</si>
  <si>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</si>
  <si>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</si>
  <si>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</si>
  <si>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</si>
  <si>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</si>
  <si>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</si>
  <si>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</si>
  <si>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</si>
  <si>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</si>
  <si>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</si>
  <si>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</si>
  <si>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</si>
  <si>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</si>
  <si>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</si>
  <si>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</si>
  <si>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</si>
  <si>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</si>
  <si>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</si>
  <si>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</si>
  <si>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</si>
  <si>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</si>
  <si>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</si>
  <si>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</si>
  <si>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</si>
  <si>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</si>
  <si>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</si>
  <si>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</si>
  <si>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</si>
  <si>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</si>
  <si>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</si>
  <si>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</si>
  <si>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</si>
  <si>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</si>
  <si>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</si>
  <si>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</si>
  <si>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</si>
  <si>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</si>
  <si>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</si>
  <si>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</si>
  <si>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</si>
  <si>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</si>
  <si>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</si>
  <si>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</si>
  <si>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</si>
  <si>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</si>
  <si>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</si>
  <si>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</si>
  <si>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</si>
  <si>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</si>
  <si>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</si>
  <si>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</si>
  <si>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</si>
  <si>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</si>
  <si>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</si>
  <si>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</si>
  <si>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</si>
  <si>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</si>
  <si>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</si>
  <si>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</si>
  <si>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</si>
  <si>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</si>
  <si>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</si>
  <si>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</si>
  <si>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</si>
  <si>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</si>
  <si>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</si>
  <si>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</si>
  <si>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</si>
  <si>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</si>
  <si>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</si>
  <si>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</si>
  <si>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</si>
  <si>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</si>
  <si>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</si>
  <si>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</si>
  <si>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</si>
  <si>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</si>
  <si>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</si>
  <si>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</si>
  <si>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</si>
  <si>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</si>
  <si>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</si>
  <si>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</si>
  <si>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</si>
  <si>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</si>
  <si>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</si>
  <si>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</si>
  <si>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</si>
  <si>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</si>
  <si>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</si>
  <si>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</si>
  <si>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</si>
  <si>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</si>
  <si>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</si>
  <si>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</si>
  <si>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</si>
  <si>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</si>
  <si>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</si>
  <si>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</si>
  <si>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</si>
  <si>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</si>
  <si>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</si>
  <si>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</si>
  <si>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</si>
  <si>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</si>
  <si>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</si>
  <si>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</si>
  <si>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</si>
  <si>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</si>
  <si>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</si>
  <si>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</si>
  <si>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</si>
  <si>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</si>
  <si>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</si>
  <si>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</si>
  <si>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</si>
  <si>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</si>
  <si>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</si>
  <si>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</si>
  <si>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</si>
  <si>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</si>
  <si>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</si>
  <si>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</si>
  <si>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</si>
  <si>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</si>
  <si>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</si>
  <si>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</si>
  <si>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</si>
  <si>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</si>
  <si>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只含 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</si>
  <si>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</si>
  <si>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</si>
  <si>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</si>
  <si>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</si>
  <si>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</si>
  <si>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</si>
  <si>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</si>
  <si>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</si>
  <si>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</si>
  <si>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</si>
  <si>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</si>
  <si>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</si>
  <si>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</si>
  <si>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</si>
  <si>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</si>
  <si>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</si>
  <si>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</si>
  <si>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</si>
  <si>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</si>
  <si>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</si>
  <si>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</si>
  <si>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</si>
  <si>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</si>
  <si>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</si>
  <si>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</si>
  <si>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</si>
  <si>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</si>
  <si>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</si>
  <si>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</si>
  <si>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</si>
  <si>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</si>
  <si>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</si>
  <si>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</si>
  <si>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</si>
  <si>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</si>
  <si>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</si>
  <si>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</si>
  <si>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</si>
  <si>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t xml:space="preserve">oth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</si>
  <si>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</si>
  <si>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</si>
  <si>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</si>
  <si>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</si>
  <si>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</si>
  <si>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</si>
  <si>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</si>
  <si>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</si>
  <si>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</si>
  <si>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</si>
  <si>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</si>
  <si>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</si>
  <si>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</si>
  <si>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</si>
  <si>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</si>
  <si>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</si>
  <si>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</si>
  <si>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</si>
  <si>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</si>
  <si>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</si>
  <si>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</si>
  <si>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</si>
  <si>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</si>
  <si>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</si>
  <si>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</si>
  <si>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</si>
  <si>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</si>
  <si>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</si>
  <si>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</si>
  <si>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</si>
  <si>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</si>
  <si>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</si>
  <si>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</si>
  <si>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</si>
  <si>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</si>
  <si>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</si>
  <si>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</si>
  <si>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</si>
  <si>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</si>
  <si>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</si>
  <si>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</si>
  <si>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</si>
  <si>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</si>
  <si>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</si>
  <si>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</si>
  <si>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</si>
  <si>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</si>
  <si>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</si>
  <si>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</si>
  <si>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</si>
  <si>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</si>
  <si>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</si>
  <si>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</si>
  <si>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</si>
  <si>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</si>
  <si>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</si>
  <si>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</si>
  <si>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</si>
  <si>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</si>
  <si>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</si>
  <si>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</si>
  <si>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</si>
  <si>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</si>
  <si>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</si>
  <si>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</si>
  <si>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</si>
  <si>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</si>
  <si>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</si>
  <si>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</si>
  <si>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</si>
  <si>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</si>
  <si>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</si>
  <si>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</si>
  <si>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</si>
  <si>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</si>
  <si>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</si>
  <si>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</si>
  <si>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</si>
  <si>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</si>
  <si>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</si>
  <si>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</si>
  <si>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</si>
  <si>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</si>
  <si>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</si>
  <si>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</si>
  <si>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</si>
  <si>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</si>
  <si>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</si>
  <si>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</si>
  <si>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</si>
  <si>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</si>
  <si>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</si>
  <si>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</si>
  <si>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</si>
  <si>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</si>
  <si>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</si>
  <si>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</si>
  <si>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</si>
  <si>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</si>
  <si>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</si>
  <si>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</si>
  <si>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</si>
  <si>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</si>
  <si>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</si>
  <si>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</si>
  <si>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</si>
  <si>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</si>
  <si>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</si>
  <si>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</si>
  <si>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</si>
  <si>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</si>
  <si>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</si>
  <si>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</si>
  <si>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</si>
  <si>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</si>
  <si>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</si>
  <si>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</si>
  <si>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</si>
  <si>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</si>
  <si>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</si>
  <si>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</si>
  <si>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</si>
  <si>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</si>
  <si>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</si>
  <si>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</si>
  <si>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</si>
  <si>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</si>
  <si>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</si>
  <si>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</si>
  <si>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</si>
  <si>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</si>
  <si>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</si>
  <si>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</si>
  <si>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</si>
  <si>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</si>
  <si>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</si>
  <si>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</si>
  <si>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</si>
  <si>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</si>
  <si>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</si>
  <si>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</si>
  <si>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</si>
  <si>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</si>
  <si>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</si>
  <si>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</si>
  <si>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</si>
  <si>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</si>
  <si>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</si>
  <si>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</si>
  <si>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</si>
  <si>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</si>
  <si>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</si>
  <si>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</si>
  <si>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</si>
  <si>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</si>
  <si>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</si>
  <si>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</si>
  <si>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</si>
  <si>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</si>
  <si>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</si>
  <si>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</si>
  <si>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</si>
  <si>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</si>
  <si>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</si>
  <si>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</si>
  <si>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</si>
  <si>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</si>
  <si>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</si>
  <si>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</si>
  <si>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</si>
  <si>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</si>
  <si>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</si>
  <si>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</si>
  <si>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</si>
  <si>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</si>
  <si>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</si>
  <si>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</si>
  <si>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</si>
  <si>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</si>
  <si>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</si>
  <si>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</si>
  <si>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</si>
  <si>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</si>
  <si>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</si>
  <si>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</si>
  <si>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</si>
  <si>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</si>
  <si>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</si>
  <si>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</si>
  <si>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</si>
  <si>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</si>
  <si>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</si>
  <si>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</si>
  <si>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</si>
  <si>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</si>
  <si>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</si>
  <si>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</si>
  <si>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</si>
  <si>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</si>
  <si>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</si>
  <si>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</si>
  <si>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</si>
  <si>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</si>
  <si>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</si>
  <si>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</si>
  <si>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</si>
  <si>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</si>
  <si>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</si>
  <si>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</si>
  <si>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</si>
  <si>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</si>
  <si>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</si>
  <si>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</si>
  <si>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</si>
  <si>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</si>
  <si>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</si>
  <si>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</si>
  <si>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</si>
  <si>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</si>
  <si>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</si>
  <si>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</si>
  <si>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</si>
  <si>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</si>
  <si>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</si>
  <si>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</si>
  <si>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</si>
  <si>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</si>
  <si>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</si>
  <si>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</si>
  <si>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</si>
  <si>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</si>
  <si>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</si>
  <si>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</si>
  <si>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</si>
  <si>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</si>
  <si>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</si>
  <si>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</si>
  <si>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</si>
  <si>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</si>
  <si>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</si>
  <si>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</si>
  <si>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</si>
  <si>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</si>
  <si>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</si>
  <si>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</si>
  <si>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</si>
  <si>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</si>
  <si>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</si>
  <si>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</si>
  <si>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</si>
  <si>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</si>
  <si>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</si>
  <si>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</si>
  <si>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</si>
  <si>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</si>
  <si>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</si>
  <si>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</si>
  <si>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</si>
  <si>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</si>
  <si>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</si>
  <si>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</si>
  <si>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</si>
  <si>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</si>
  <si>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</si>
  <si>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</si>
  <si>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</si>
  <si>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</si>
  <si>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</si>
  <si>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</si>
  <si>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</si>
  <si>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</si>
  <si>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</si>
  <si>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</si>
  <si>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</si>
  <si>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</si>
  <si>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</si>
  <si>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</si>
  <si>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</si>
  <si>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</si>
  <si>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</si>
  <si>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</si>
  <si>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</si>
  <si>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</si>
  <si>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</si>
  <si>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</si>
  <si>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</si>
  <si>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</si>
  <si>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</si>
  <si>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</si>
  <si>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</si>
  <si>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</si>
  <si>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</si>
  <si>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</si>
  <si>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</si>
  <si>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</si>
  <si>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</si>
  <si>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</si>
  <si>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</si>
  <si>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</si>
  <si>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</si>
  <si>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</si>
  <si>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</si>
  <si>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</si>
  <si>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</si>
  <si>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</si>
  <si>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</si>
  <si>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</si>
  <si>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</si>
  <si>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</si>
  <si>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</si>
  <si>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</si>
  <si>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</si>
  <si>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</si>
  <si>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</si>
  <si>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</si>
  <si>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</si>
  <si>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</si>
  <si>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</si>
  <si>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</si>
  <si>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</si>
  <si>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</si>
  <si>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</si>
  <si>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</si>
  <si>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</si>
  <si>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</si>
  <si>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</si>
  <si>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</si>
  <si>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</si>
  <si>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</si>
  <si>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</si>
  <si>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</si>
  <si>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</si>
  <si>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</si>
  <si>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</si>
  <si>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</si>
  <si>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</si>
  <si>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</si>
  <si>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</si>
  <si>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</si>
  <si>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</si>
  <si>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</si>
  <si>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</si>
  <si>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</si>
  <si>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</si>
  <si>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</si>
  <si>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</si>
  <si>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</si>
  <si>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</si>
  <si>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</si>
  <si>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</si>
  <si>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</si>
  <si>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</si>
  <si>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</si>
  <si>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</si>
  <si>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</si>
  <si>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</si>
  <si>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</si>
  <si>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</si>
  <si>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</si>
  <si>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</si>
  <si>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</si>
  <si>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</si>
  <si>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</si>
  <si>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</si>
  <si>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</si>
  <si>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</si>
  <si>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</si>
  <si>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</si>
  <si>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</si>
  <si>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</si>
  <si>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</si>
  <si>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</si>
  <si>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</si>
  <si>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</si>
  <si>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</si>
  <si>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</si>
  <si>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</si>
  <si>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</si>
  <si>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</si>
  <si>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</si>
  <si>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</si>
  <si>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</si>
  <si>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</si>
  <si>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</si>
  <si>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</si>
  <si>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</si>
  <si>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</si>
  <si>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</si>
  <si>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</si>
  <si>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</si>
  <si>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</si>
  <si>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</si>
  <si>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</si>
  <si>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</si>
  <si>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</si>
  <si>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</si>
  <si>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</si>
  <si>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</si>
  <si>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</si>
  <si>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</si>
  <si>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</si>
  <si>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</si>
  <si>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</si>
  <si>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</si>
  <si>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</si>
  <si>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</si>
  <si>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</si>
  <si>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</si>
  <si>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</si>
  <si>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</si>
  <si>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</si>
  <si>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</si>
  <si>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</si>
  <si>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</si>
  <si>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</si>
  <si>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</si>
  <si>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</si>
  <si>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</si>
  <si>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</si>
  <si>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</si>
  <si>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</si>
  <si>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</si>
  <si>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</si>
  <si>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</si>
  <si>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</si>
  <si>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</si>
  <si>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</si>
  <si>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</si>
  <si>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</si>
  <si>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</si>
  <si>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</si>
  <si>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</si>
  <si>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</si>
  <si>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</si>
  <si>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</si>
  <si>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</si>
  <si>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</si>
  <si>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</si>
  <si>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</si>
  <si>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</si>
  <si>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</si>
  <si>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2026H1</t>
  </si>
  <si>
    <t xml:space="preserve">Amazon</t>
  </si>
  <si>
    <t xml:space="preserve">9M2026</t>
  </si>
  <si>
    <t xml:space="preserve">Oracle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</si>
  <si>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</si>
  <si>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</si>
  <si>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</si>
  <si>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</si>
  <si>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</si>
  <si>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</si>
  <si>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</si>
  <si>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</si>
  <si>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報告口徑曆年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</si>
  <si>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F#29</t>
  </si>
  <si>
    <t xml:space="preserve">屬實</t>
  </si>
  <si>
    <t xml:space="preserve">FY27Q1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</si>
  <si>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&gt;50</t>
    </r>
    <r>
      <rPr>
        <sz val="11"/>
        <color theme="1"/>
        <rFont val="Noto Sans CJK SC"/>
        <family val="2"/>
      </rPr>
      <t xml:space="preserve">（含租賃改列效果）；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盤後財報未收錄</t>
    </r>
  </si>
  <si>
    <t xml:space="preserve">F#30</t>
  </si>
  <si>
    <t xml:space="preserve">2026-08-10</t>
  </si>
  <si>
    <t xml:space="preserve">bond_issue</t>
  </si>
  <si>
    <r>
      <rPr>
        <sz val="11"/>
        <color theme="1"/>
        <rFont val="Calibri"/>
        <family val="2"/>
        <charset val="1"/>
      </rPr>
      <t xml:space="preserve">USD 25B </t>
    </r>
    <r>
      <rPr>
        <sz val="11"/>
        <color theme="1"/>
        <rFont val="Noto Sans CJK SC"/>
        <family val="2"/>
      </rPr>
      <t xml:space="preserve">優先無擔保；</t>
    </r>
    <r>
      <rPr>
        <sz val="11"/>
        <color theme="1"/>
        <rFont val="Calibri"/>
        <family val="2"/>
        <charset val="1"/>
      </rPr>
      <t xml:space="preserve">2066 6.500%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2046 6.250%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2036 5.450%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票面利率）</t>
    </r>
  </si>
  <si>
    <t xml:space="preserve">F#49</t>
  </si>
  <si>
    <t xml:space="preserve">小誤（已更正）</t>
  </si>
  <si>
    <t xml:space="preserve">capex_cash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</si>
  <si>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盤後未收錄</t>
    </r>
  </si>
  <si>
    <t xml:space="preserve">F#55</t>
  </si>
  <si>
    <t xml:space="preserve">2026-08</t>
  </si>
  <si>
    <t xml:space="preserve">jv_offbalance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</si>
  <si>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</si>
  <si>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t xml:space="preserve">F#58</t>
  </si>
  <si>
    <t xml:space="preserve">2026-07-08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</si>
  <si>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檔、</t>
    </r>
    <r>
      <rPr>
        <sz val="11"/>
        <color theme="1"/>
        <rFont val="Calibri"/>
        <family val="2"/>
        <charset val="1"/>
      </rPr>
      <t xml:space="preserve">2029–2066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不再發債</t>
    </r>
  </si>
  <si>
    <t xml:space="preserve">F#75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</si>
  <si>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，主因記憶體漲價）；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發布</t>
    </r>
  </si>
  <si>
    <t xml:space="preserve">F#79</t>
  </si>
  <si>
    <t xml:space="preserve">2026-07</t>
  </si>
  <si>
    <t xml:space="preserve">vendor_financing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</si>
  <si>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</si>
  <si>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t xml:space="preserve">F#80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</si>
  <si>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</si>
  <si>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</si>
  <si>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</si>
  <si>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</si>
  <si>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</si>
  <si>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</si>
  <si>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</si>
  <si>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</si>
  <si>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</si>
  <si>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</si>
  <si>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</si>
  <si>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</si>
  <si>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</si>
  <si>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</si>
  <si>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</si>
  <si>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</si>
  <si>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</si>
  <si>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</si>
  <si>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</si>
  <si>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</si>
  <si>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</si>
  <si>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</si>
  <si>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</si>
  <si>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</si>
  <si>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</si>
  <si>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</si>
  <si>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</si>
  <si>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</si>
  <si>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</si>
  <si>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</si>
  <si>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</si>
  <si>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</si>
  <si>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</si>
  <si>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</si>
  <si>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</si>
  <si>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</si>
  <si>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</si>
  <si>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</si>
  <si>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</si>
  <si>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</si>
  <si>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</si>
  <si>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</si>
  <si>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</si>
  <si>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</si>
  <si>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</si>
  <si>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</si>
  <si>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</si>
  <si>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</si>
  <si>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</si>
  <si>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</si>
  <si>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</si>
  <si>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</si>
  <si>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</si>
  <si>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</si>
  <si>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</si>
  <si>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</si>
  <si>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</si>
  <si>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</si>
  <si>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</si>
  <si>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</si>
  <si>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</si>
  <si>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</si>
  <si>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</si>
  <si>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</si>
  <si>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</si>
  <si>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</si>
  <si>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</si>
  <si>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</si>
  <si>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</si>
  <si>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</si>
  <si>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</si>
  <si>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</si>
  <si>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</si>
  <si>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</si>
  <si>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</si>
  <si>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</si>
  <si>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</si>
  <si>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</si>
  <si>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</si>
  <si>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</si>
  <si>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</si>
  <si>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</si>
  <si>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</si>
  <si>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</si>
  <si>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</si>
  <si>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</si>
  <si>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</si>
  <si>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</si>
  <si>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</si>
  <si>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</si>
  <si>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</si>
  <si>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</si>
  <si>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</si>
  <si>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</si>
  <si>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</si>
  <si>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</si>
  <si>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</si>
  <si>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</si>
  <si>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</si>
  <si>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</si>
  <si>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</si>
  <si>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</si>
  <si>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</si>
  <si>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</si>
  <si>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</si>
  <si>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</si>
  <si>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</si>
  <si>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</si>
  <si>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</si>
  <si>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</si>
  <si>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</si>
  <si>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</si>
  <si>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</si>
  <si>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</si>
  <si>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</si>
  <si>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</si>
  <si>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</si>
  <si>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</si>
  <si>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</si>
  <si>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</si>
  <si>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</si>
  <si>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</si>
  <si>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</si>
  <si>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</si>
  <si>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</si>
  <si>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</si>
  <si>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</si>
  <si>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</si>
  <si>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</si>
  <si>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</si>
  <si>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</si>
  <si>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</si>
  <si>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</si>
  <si>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t xml:space="preserve">fin_lease_new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</si>
  <si>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</si>
  <si>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</si>
  <si>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</si>
  <si>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</si>
  <si>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</si>
  <si>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</si>
  <si>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</si>
  <si>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</si>
  <si>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</si>
  <si>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</si>
  <si>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</si>
  <si>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</si>
  <si>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</si>
  <si>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</si>
  <si>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</si>
  <si>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</si>
  <si>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</si>
  <si>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</si>
  <si>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</si>
  <si>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</si>
  <si>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</si>
  <si>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</si>
  <si>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</si>
  <si>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</si>
  <si>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</si>
  <si>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</si>
  <si>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</si>
  <si>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</si>
  <si>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</si>
  <si>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</si>
  <si>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</si>
  <si>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</si>
  <si>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</si>
  <si>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</si>
  <si>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</si>
  <si>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</si>
  <si>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</si>
  <si>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</si>
  <si>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</si>
  <si>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</si>
  <si>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</si>
  <si>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</si>
  <si>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</si>
  <si>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</si>
  <si>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</si>
  <si>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guide</t>
  </si>
  <si>
    <t xml:space="preserve">[Interested-party]</t>
  </si>
  <si>
    <r>
      <rPr>
        <sz val="11"/>
        <color theme="1"/>
        <rFont val="Calibri"/>
        <family val="2"/>
        <charset val="1"/>
      </rPr>
      <t xml:space="preserve">Microsoft FY26Q4 </t>
    </r>
    <r>
      <rPr>
        <sz val="11"/>
        <color theme="1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</si>
  <si>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</si>
  <si>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t xml:space="preserve">post</t>
  </si>
  <si>
    <t xml:space="preserve">https://www.thestar.com.my/business/business-news/2026/07/31/microsoft-sees-strong-cash-flow-lower-capex</t>
  </si>
  <si>
    <t xml:space="preserve">F#31</t>
  </si>
  <si>
    <t xml:space="preserve">2025-11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</si>
  <si>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Noto Sans CJK SC"/>
        <family val="2"/>
      </rPr>
      <t xml:space="preserve">未揭露）；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統計</t>
    </r>
  </si>
  <si>
    <r>
      <rPr>
        <sz val="11"/>
        <color theme="1"/>
        <rFont val="Calibri"/>
        <family val="2"/>
        <charset val="1"/>
      </rPr>
      <t xml:space="preserve">Data Center Knowledge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</si>
  <si>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</si>
  <si>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</si>
  <si>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</si>
  <si>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</si>
  <si>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</si>
  <si>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</si>
  <si>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</si>
  <si>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</si>
  <si>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</si>
  <si>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</si>
  <si>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</si>
  <si>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</si>
  <si>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</si>
  <si>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</si>
  <si>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</si>
  <si>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</si>
  <si>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</si>
  <si>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</si>
  <si>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</si>
  <si>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</si>
  <si>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</si>
  <si>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</si>
  <si>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</si>
  <si>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</si>
  <si>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</si>
  <si>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</si>
  <si>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</si>
  <si>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</si>
  <si>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</si>
  <si>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</si>
  <si>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</si>
  <si>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theme="1"/>
        <rFont val="Calibri"/>
        <family val="2"/>
        <charset val="1"/>
      </rPr>
      <t xml:space="preserve">Q1 45.790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39.069</t>
    </r>
  </si>
  <si>
    <r>
      <rPr>
        <sz val="11"/>
        <color theme="1"/>
        <rFont val="Calibri"/>
        <family val="2"/>
        <charset val="1"/>
      </rPr>
      <t xml:space="preserve">2026Q1–Q2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</si>
  <si>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</si>
  <si>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t xml:space="preserve">F#45</t>
  </si>
  <si>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</si>
  <si>
    <t xml:space="preserve">F#46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</si>
  <si>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5.855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53.3</t>
    </r>
  </si>
  <si>
    <t xml:space="preserve">F#47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</si>
  <si>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5.231</t>
    </r>
    <r>
      <rPr>
        <sz val="11"/>
        <color theme="1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</si>
  <si>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</si>
  <si>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</si>
  <si>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</si>
  <si>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</si>
  <si>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r>
      <rPr>
        <sz val="11"/>
        <color theme="1"/>
        <rFont val="Calibri"/>
        <family val="2"/>
        <charset val="1"/>
      </rPr>
      <t xml:space="preserve">Alphabet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debt.iss.202608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</si>
  <si>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</si>
  <si>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段更正：依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票面利率 </t>
    </r>
    <r>
      <rPr>
        <sz val="11"/>
        <color theme="1"/>
        <rFont val="Calibri"/>
        <family val="2"/>
        <charset val="1"/>
      </rPr>
      <t xml:space="preserve">2066 6.500%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2046 6.250%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2036 5.450%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原寫 </t>
    </r>
    <r>
      <rPr>
        <sz val="11"/>
        <color theme="1"/>
        <rFont val="Calibri"/>
        <family val="2"/>
        <charset val="1"/>
      </rPr>
      <t xml:space="preserve">6.283%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5.52% </t>
    </r>
    <r>
      <rPr>
        <sz val="11"/>
        <color theme="1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</si>
  <si>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</si>
  <si>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</si>
  <si>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</si>
  <si>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</si>
  <si>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</si>
  <si>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轉換）＋</t>
    </r>
    <r>
      <rPr>
        <sz val="11"/>
        <color theme="1"/>
        <rFont val="Calibri"/>
        <family val="2"/>
        <charset val="1"/>
      </rPr>
      <t xml:space="preserve">Berkshire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起）；用途含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</si>
  <si>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Alphabet 8-K 99.2 </t>
    </r>
    <r>
      <rPr>
        <sz val="11"/>
        <color theme="1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</si>
  <si>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</si>
  <si>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段更正：刪除『美國史上最大股權發行』（</t>
    </r>
    <r>
      <rPr>
        <sz val="11"/>
        <color theme="1"/>
        <rFont val="Calibri"/>
        <family val="2"/>
        <charset val="1"/>
      </rPr>
      <t xml:space="preserve">8-K Ex.99.2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</si>
  <si>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</si>
  <si>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</si>
  <si>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</si>
  <si>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</si>
  <si>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</si>
  <si>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</si>
  <si>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</si>
  <si>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2026 capex guidance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</si>
  <si>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</si>
  <si>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</si>
  <si>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</si>
  <si>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</si>
  <si>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</si>
  <si>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</si>
  <si>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</si>
  <si>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</si>
  <si>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</si>
  <si>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</si>
  <si>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</si>
  <si>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</si>
  <si>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</si>
  <si>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</si>
  <si>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</si>
  <si>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</si>
  <si>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</si>
  <si>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</si>
  <si>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</si>
  <si>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</si>
  <si>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</si>
  <si>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</si>
  <si>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</si>
  <si>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</si>
  <si>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</si>
  <si>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</si>
  <si>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</si>
  <si>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</si>
  <si>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</si>
  <si>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</si>
  <si>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</si>
  <si>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</si>
  <si>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</si>
  <si>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</si>
  <si>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theme="1"/>
        <rFont val="Calibri"/>
        <family val="2"/>
        <charset val="1"/>
      </rPr>
      <t xml:space="preserve">Q1 26.032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45.387</t>
    </r>
  </si>
  <si>
    <r>
      <rPr>
        <sz val="11"/>
        <color theme="1"/>
        <rFont val="Calibri"/>
        <family val="2"/>
        <charset val="1"/>
      </rPr>
      <t xml:space="preserve">2026Q1–Q2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</si>
  <si>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</si>
  <si>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t xml:space="preserve">F#70</t>
  </si>
  <si>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Q1 43.234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53.076</t>
    </r>
  </si>
  <si>
    <t xml:space="preserve">F#71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</si>
  <si>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 Q1 1.565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0.563</t>
    </r>
  </si>
  <si>
    <t xml:space="preserve">F#72</t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</si>
  <si>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，首次轉負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</si>
  <si>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</si>
  <si>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</si>
  <si>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</si>
  <si>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</si>
  <si>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</si>
  <si>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</si>
  <si>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theme="1"/>
        <rFont val="Calibri"/>
        <family val="2"/>
        <charset val="1"/>
      </rPr>
      <t xml:space="preserve">USD 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EUR 14.5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</si>
  <si>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</si>
  <si>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</si>
  <si>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theme="1"/>
        <rFont val="Calibri"/>
        <family val="2"/>
        <charset val="1"/>
      </rPr>
      <t xml:space="preserve">TNW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</si>
  <si>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</si>
  <si>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</si>
  <si>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</si>
  <si>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</si>
  <si>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</si>
  <si>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</si>
  <si>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</si>
  <si>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</si>
  <si>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</si>
  <si>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</si>
  <si>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Q2 Earnings Call Highlights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</si>
  <si>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</si>
  <si>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摘要），新聞稿無資本支出展望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</si>
  <si>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</si>
  <si>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</si>
  <si>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</si>
  <si>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</si>
  <si>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</si>
  <si>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</si>
  <si>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</si>
  <si>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</si>
  <si>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</si>
  <si>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</si>
  <si>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</si>
  <si>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</si>
  <si>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</si>
  <si>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</si>
  <si>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</si>
  <si>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</si>
  <si>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</si>
  <si>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</si>
  <si>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</si>
  <si>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</si>
  <si>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</si>
  <si>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</si>
  <si>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</si>
  <si>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</si>
  <si>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</si>
  <si>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</si>
  <si>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</si>
  <si>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</si>
  <si>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</si>
  <si>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</si>
  <si>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</si>
  <si>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</si>
  <si>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</si>
  <si>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</si>
  <si>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</si>
  <si>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</si>
  <si>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</si>
  <si>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</si>
  <si>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</si>
  <si>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</si>
  <si>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</si>
  <si>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</si>
  <si>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</si>
  <si>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</si>
  <si>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</si>
  <si>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</si>
  <si>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</si>
  <si>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</si>
  <si>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</si>
  <si>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</si>
  <si>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</si>
  <si>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</si>
  <si>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</si>
  <si>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</si>
  <si>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</si>
  <si>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</si>
  <si>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</si>
  <si>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</si>
  <si>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</si>
  <si>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t xml:space="preserve">2026-09-30</t>
  </si>
  <si>
    <t xml:space="preserve">jv_exposure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</si>
  <si>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</si>
  <si>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</si>
  <si>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</si>
  <si>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</si>
  <si>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</si>
  <si>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</si>
  <si>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</si>
  <si>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</si>
  <si>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</si>
  <si>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</si>
  <si>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</si>
  <si>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</si>
  <si>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</si>
  <si>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</si>
  <si>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</si>
  <si>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</si>
  <si>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</si>
  <si>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</si>
  <si>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</si>
  <si>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</si>
  <si>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</si>
  <si>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</si>
  <si>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</si>
  <si>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</si>
  <si>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</si>
  <si>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</si>
  <si>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</si>
  <si>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</si>
  <si>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</si>
  <si>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</si>
  <si>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</si>
  <si>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</si>
  <si>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</si>
  <si>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</si>
  <si>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</si>
  <si>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</si>
  <si>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</si>
  <si>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</si>
  <si>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</si>
  <si>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</si>
  <si>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</si>
  <si>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</si>
  <si>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</si>
  <si>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</si>
  <si>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</si>
  <si>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</si>
  <si>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</si>
  <si>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</si>
  <si>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</si>
  <si>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</si>
  <si>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</si>
  <si>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</si>
  <si>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</si>
  <si>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</si>
  <si>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</si>
  <si>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</si>
  <si>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</si>
  <si>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</si>
  <si>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</si>
  <si>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</si>
  <si>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</si>
  <si>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</si>
  <si>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</si>
  <si>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</si>
  <si>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</si>
  <si>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</si>
  <si>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</si>
  <si>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</si>
  <si>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</si>
  <si>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</si>
  <si>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</si>
  <si>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</si>
  <si>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</si>
  <si>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</si>
  <si>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</si>
  <si>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</si>
  <si>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</si>
  <si>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</si>
  <si>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</si>
  <si>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</si>
  <si>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</si>
  <si>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</si>
  <si>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</si>
  <si>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</si>
  <si>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</si>
  <si>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</si>
  <si>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</si>
  <si>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</si>
  <si>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</si>
  <si>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</si>
  <si>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</si>
  <si>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</si>
  <si>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</si>
  <si>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</si>
  <si>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</si>
  <si>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</si>
  <si>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</si>
  <si>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</si>
  <si>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</si>
  <si>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</si>
  <si>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</si>
  <si>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</si>
  <si>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</si>
  <si>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</si>
  <si>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</si>
  <si>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</si>
  <si>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</si>
  <si>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</si>
  <si>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</si>
  <si>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</si>
  <si>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</si>
  <si>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</si>
  <si>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</si>
  <si>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</si>
  <si>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</si>
  <si>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</si>
  <si>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</si>
  <si>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</si>
  <si>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</si>
  <si>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</si>
  <si>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</si>
  <si>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</si>
  <si>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</si>
  <si>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</si>
  <si>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</si>
  <si>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</si>
  <si>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</si>
  <si>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</si>
  <si>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</si>
  <si>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</si>
  <si>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</si>
  <si>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</si>
  <si>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</si>
  <si>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</si>
  <si>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</si>
  <si>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</si>
  <si>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</si>
  <si>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</si>
  <si>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</si>
  <si>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</si>
  <si>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</si>
  <si>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</si>
  <si>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</si>
  <si>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</si>
  <si>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</si>
  <si>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</si>
  <si>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</si>
  <si>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</si>
  <si>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</si>
  <si>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</si>
  <si>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</si>
  <si>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</si>
  <si>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</si>
  <si>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</si>
  <si>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</si>
  <si>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</si>
  <si>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</si>
  <si>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</si>
  <si>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</si>
  <si>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</si>
  <si>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</si>
  <si>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</si>
  <si>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</si>
  <si>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</si>
  <si>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</si>
  <si>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</si>
  <si>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</si>
  <si>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</si>
  <si>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</si>
  <si>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</si>
  <si>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</si>
  <si>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</si>
  <si>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</si>
  <si>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</si>
  <si>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</si>
  <si>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</si>
  <si>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</si>
  <si>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</si>
  <si>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</si>
  <si>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</si>
  <si>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</si>
  <si>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</si>
  <si>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</si>
  <si>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</si>
  <si>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</si>
  <si>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</si>
  <si>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</si>
  <si>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</si>
  <si>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</si>
  <si>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</si>
  <si>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</si>
  <si>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</si>
  <si>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</si>
  <si>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</si>
  <si>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</si>
  <si>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</si>
  <si>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</si>
  <si>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</si>
  <si>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</si>
  <si>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</si>
  <si>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</si>
  <si>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</si>
  <si>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</si>
  <si>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</si>
  <si>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</si>
  <si>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</si>
  <si>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</si>
  <si>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</si>
  <si>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</si>
  <si>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</si>
  <si>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</si>
  <si>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</si>
  <si>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</si>
  <si>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</si>
  <si>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</si>
  <si>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</si>
  <si>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</si>
  <si>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</si>
  <si>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</si>
  <si>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</si>
  <si>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</si>
  <si>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</si>
  <si>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</si>
  <si>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</si>
  <si>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</si>
  <si>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</si>
  <si>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</si>
  <si>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</si>
  <si>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</si>
  <si>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</si>
  <si>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</si>
  <si>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</si>
  <si>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</si>
  <si>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</si>
  <si>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</si>
  <si>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</si>
  <si>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</si>
  <si>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</si>
  <si>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</si>
  <si>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</si>
  <si>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</si>
  <si>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</si>
  <si>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</si>
  <si>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</si>
  <si>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</si>
  <si>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</si>
  <si>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</si>
  <si>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</si>
  <si>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</si>
  <si>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</si>
  <si>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</si>
  <si>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</si>
  <si>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</si>
  <si>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</si>
  <si>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</si>
  <si>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</si>
  <si>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</si>
  <si>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</si>
  <si>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</si>
  <si>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</si>
  <si>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</si>
  <si>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</si>
  <si>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</si>
  <si>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</si>
  <si>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</si>
  <si>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</si>
  <si>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</si>
  <si>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</si>
  <si>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</si>
  <si>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</si>
  <si>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</si>
  <si>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</si>
  <si>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</si>
  <si>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</si>
  <si>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</si>
  <si>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theme="1"/>
        <rFont val="Noto Sans CJK SC"/>
        <family val="2"/>
      </rPr>
      <t xml:space="preserve">付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Colossus</t>
    </r>
    <r>
      <rPr>
        <sz val="11"/>
        <color theme="1"/>
        <rFont val="Noto Sans CJK SC"/>
        <family val="2"/>
      </rPr>
      <t xml:space="preserve">）每月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，年化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天可終止（</t>
    </r>
    <r>
      <rPr>
        <sz val="11"/>
        <color theme="1"/>
        <rFont val="Calibri"/>
        <family val="2"/>
        <charset val="1"/>
      </rPr>
      <t xml:space="preserve">SRC_ANT_227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</si>
  <si>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</si>
  <si>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</si>
  <si>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（二手報導 </t>
    </r>
    <r>
      <rPr>
        <sz val="11"/>
        <color theme="1"/>
        <rFont val="Calibri"/>
        <family val="2"/>
        <charset val="1"/>
      </rPr>
      <t xml:space="preserve">PitchBook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）；刪除『至 </t>
    </r>
    <r>
      <rPr>
        <sz val="11"/>
        <color theme="1"/>
        <rFont val="Calibri"/>
        <family val="2"/>
        <charset val="1"/>
      </rPr>
      <t xml:space="preserve">2029-05</t>
    </r>
    <r>
      <rPr>
        <sz val="11"/>
        <color theme="1"/>
        <rFont val="Noto Sans CJK SC"/>
        <family val="2"/>
      </rPr>
      <t xml:space="preserve">』（不在來源）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</si>
  <si>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</si>
  <si>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</si>
  <si>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</si>
  <si>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</si>
  <si>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</si>
  <si>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</si>
  <si>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</si>
  <si>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</si>
  <si>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</si>
  <si>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</si>
  <si>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</si>
  <si>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</si>
  <si>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</si>
  <si>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</si>
  <si>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</si>
  <si>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</si>
  <si>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</si>
  <si>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</si>
  <si>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</si>
  <si>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</si>
  <si>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</si>
  <si>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</si>
  <si>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</si>
  <si>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</si>
  <si>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</si>
  <si>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</si>
  <si>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</si>
  <si>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</si>
  <si>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</si>
  <si>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</si>
  <si>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</si>
  <si>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</si>
  <si>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</si>
  <si>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</si>
  <si>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</si>
  <si>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</si>
  <si>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</si>
  <si>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</si>
  <si>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</si>
  <si>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</si>
  <si>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</si>
  <si>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</si>
  <si>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</si>
  <si>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</si>
  <si>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</si>
  <si>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</si>
  <si>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</si>
  <si>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</si>
  <si>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</si>
  <si>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</si>
  <si>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</si>
  <si>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</si>
  <si>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</si>
  <si>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</si>
  <si>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</si>
  <si>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</si>
  <si>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</si>
  <si>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</si>
  <si>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</si>
  <si>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</si>
  <si>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</si>
  <si>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</si>
  <si>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</si>
  <si>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t xml:space="preserve">AI Weekly</t>
  </si>
  <si>
    <t xml:space="preserve">https://aiweekly.co/alerts/crusoe-closes-3b-round-at-30b-valuation-tripling-series-e</t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</si>
  <si>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</si>
  <si>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</si>
  <si>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</si>
  <si>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</si>
  <si>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</si>
  <si>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</si>
  <si>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</si>
  <si>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</si>
  <si>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</si>
  <si>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</si>
  <si>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</si>
  <si>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</si>
  <si>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</si>
  <si>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</si>
  <si>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</si>
  <si>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</si>
  <si>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</si>
  <si>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</si>
  <si>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</si>
  <si>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</si>
  <si>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</si>
  <si>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</si>
  <si>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</si>
  <si>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</si>
  <si>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雲端合約（預付約 </t>
    </r>
    <r>
      <rPr>
        <sz val="11"/>
        <color rgb="FF808080"/>
        <rFont val="Cambria"/>
        <family val="0"/>
        <charset val="1"/>
      </rPr>
      <t xml:space="preserve">1.9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</si>
  <si>
    <t xml:space="preserve">Data Center Knowledge</t>
  </si>
  <si>
    <t xml:space="preserve">F#222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</si>
  <si>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</si>
  <si>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t xml:space="preserve">2026-04-26</t>
  </si>
  <si>
    <r>
      <rPr>
        <sz val="11"/>
        <color theme="1"/>
        <rFont val="Noto Sans CJK SC"/>
        <family val="2"/>
      </rPr>
      <t xml:space="preserve">非上市權益證券帳面（</t>
    </r>
    <r>
      <rPr>
        <sz val="11"/>
        <color theme="1"/>
        <rFont val="Calibri"/>
        <family val="2"/>
        <charset val="1"/>
      </rPr>
      <t xml:space="preserve">2026-01-25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22.251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</si>
  <si>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10-Q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2026-04-26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</si>
  <si>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</si>
  <si>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t xml:space="preserve">F#223</t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</si>
  <si>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</si>
  <si>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</si>
  <si>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</si>
  <si>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</si>
  <si>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</si>
  <si>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</si>
  <si>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</si>
  <si>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</si>
  <si>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</si>
  <si>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51.2</t>
    </r>
    <r>
      <rPr>
        <sz val="11"/>
        <color rgb="FF808080"/>
        <rFont val="Noto Sans CJK SC"/>
        <family val="2"/>
      </rPr>
      <t xml:space="preserve">＋上市 </t>
    </r>
    <r>
      <rPr>
        <sz val="11"/>
        <color rgb="FF808080"/>
        <rFont val="Cambria"/>
        <family val="0"/>
        <charset val="1"/>
      </rPr>
      <t xml:space="preserve">42.8</t>
    </r>
    <r>
      <rPr>
        <sz val="11"/>
        <color rgb="FF808080"/>
        <rFont val="Noto Sans CJK SC"/>
        <family val="2"/>
      </rPr>
      <t xml:space="preserve">（報導）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</si>
  <si>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</si>
  <si>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</si>
  <si>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</si>
  <si>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</si>
  <si>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</si>
  <si>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</si>
  <si>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</si>
  <si>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</si>
  <si>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</si>
  <si>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</si>
  <si>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</si>
  <si>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</si>
  <si>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</si>
  <si>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</si>
  <si>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</si>
  <si>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</si>
  <si>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</si>
  <si>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</si>
  <si>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</si>
  <si>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</si>
  <si>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</si>
  <si>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</si>
  <si>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</si>
  <si>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</si>
  <si>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</si>
  <si>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</si>
  <si>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</si>
  <si>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</si>
  <si>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</si>
  <si>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</si>
  <si>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</si>
  <si>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</si>
  <si>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</si>
  <si>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</si>
  <si>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</si>
  <si>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</si>
  <si>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</si>
  <si>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</si>
  <si>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</si>
  <si>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</si>
  <si>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</si>
  <si>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</si>
  <si>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主變壓器（判斷值；</t>
    </r>
    <r>
      <rPr>
        <sz val="11"/>
        <color theme="1"/>
        <rFont val="Calibri"/>
        <family val="2"/>
        <charset val="1"/>
      </rPr>
      <t xml:space="preserve">P50 </t>
    </r>
    <r>
      <rPr>
        <sz val="11"/>
        <color theme="1"/>
        <rFont val="Noto Sans CJK SC"/>
        <family val="2"/>
      </rPr>
      <t xml:space="preserve">例子不支持此基準）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</si>
  <si>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</si>
  <si>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</si>
  <si>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</si>
  <si>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</si>
  <si>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</si>
  <si>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</si>
  <si>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</si>
  <si>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</si>
  <si>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</si>
  <si>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</si>
  <si>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</si>
  <si>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</si>
  <si>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</si>
  <si>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</si>
  <si>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</si>
  <si>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</si>
  <si>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</si>
  <si>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</si>
  <si>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</si>
  <si>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</si>
  <si>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</si>
  <si>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</si>
  <si>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</si>
  <si>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</si>
  <si>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</si>
  <si>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</si>
  <si>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</si>
  <si>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</si>
  <si>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</si>
  <si>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</si>
  <si>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</si>
  <si>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</si>
  <si>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</si>
  <si>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</si>
  <si>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</si>
  <si>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</si>
  <si>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</si>
  <si>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</si>
  <si>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</si>
  <si>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</si>
  <si>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</si>
  <si>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</si>
  <si>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</si>
  <si>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</si>
  <si>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</si>
  <si>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</si>
  <si>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</si>
  <si>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</si>
  <si>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</si>
  <si>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</si>
  <si>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</si>
  <si>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</si>
  <si>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</si>
  <si>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</si>
  <si>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</si>
  <si>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</si>
  <si>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</si>
  <si>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</si>
  <si>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</si>
  <si>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</si>
  <si>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</si>
  <si>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</si>
  <si>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</si>
  <si>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</si>
  <si>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</si>
  <si>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</si>
  <si>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</si>
  <si>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</si>
  <si>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</si>
  <si>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</si>
  <si>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</si>
  <si>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</si>
  <si>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</si>
  <si>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</si>
  <si>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</si>
  <si>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</si>
  <si>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</si>
  <si>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</si>
  <si>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</si>
  <si>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</si>
  <si>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</si>
  <si>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</si>
  <si>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</si>
  <si>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</si>
  <si>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</si>
  <si>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</si>
  <si>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</si>
  <si>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</si>
  <si>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</si>
  <si>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</si>
  <si>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</si>
  <si>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</si>
  <si>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</si>
  <si>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</si>
  <si>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</si>
  <si>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</si>
  <si>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</si>
  <si>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</si>
  <si>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</si>
  <si>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</si>
  <si>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</si>
  <si>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</si>
  <si>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</si>
  <si>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</si>
  <si>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</si>
  <si>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</si>
  <si>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</si>
  <si>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</si>
  <si>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</si>
  <si>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</si>
  <si>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</si>
  <si>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</si>
  <si>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</si>
  <si>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</si>
  <si>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</si>
  <si>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</si>
  <si>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</si>
  <si>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</si>
  <si>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</si>
  <si>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</si>
  <si>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</si>
  <si>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</si>
  <si>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</si>
  <si>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</si>
  <si>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</si>
  <si>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</si>
  <si>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</si>
  <si>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</si>
  <si>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</si>
  <si>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</si>
  <si>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</si>
  <si>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</si>
  <si>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</si>
  <si>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</si>
  <si>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</si>
  <si>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</si>
  <si>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</si>
  <si>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</si>
  <si>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</si>
  <si>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</si>
  <si>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</si>
  <si>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</si>
  <si>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</si>
  <si>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</si>
  <si>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</si>
  <si>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</si>
  <si>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</si>
  <si>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</si>
  <si>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</si>
  <si>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</si>
  <si>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</si>
  <si>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</si>
  <si>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</si>
  <si>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</si>
  <si>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</si>
  <si>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</si>
  <si>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</si>
  <si>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</si>
  <si>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</si>
  <si>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</si>
  <si>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</si>
  <si>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</si>
  <si>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</si>
  <si>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</si>
  <si>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</si>
  <si>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</si>
  <si>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</si>
  <si>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</si>
  <si>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</si>
  <si>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</si>
  <si>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</si>
  <si>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</si>
  <si>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</si>
  <si>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</si>
  <si>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</si>
  <si>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</si>
  <si>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</si>
  <si>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</si>
  <si>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</si>
  <si>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</si>
  <si>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</si>
  <si>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</si>
  <si>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</si>
  <si>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</si>
  <si>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</si>
  <si>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</si>
  <si>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</si>
  <si>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</si>
  <si>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</si>
  <si>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</si>
  <si>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</si>
  <si>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</si>
  <si>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</si>
  <si>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</si>
  <si>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</si>
  <si>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</si>
  <si>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</si>
  <si>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</si>
  <si>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</si>
  <si>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</si>
  <si>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</si>
  <si>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</si>
  <si>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</si>
  <si>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</si>
  <si>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</si>
  <si>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</si>
  <si>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</si>
  <si>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</si>
  <si>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</si>
  <si>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</si>
  <si>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</si>
  <si>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</si>
  <si>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</si>
  <si>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</si>
  <si>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</si>
  <si>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</si>
  <si>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</si>
  <si>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</si>
  <si>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</si>
  <si>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</si>
  <si>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</si>
  <si>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</si>
  <si>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</si>
  <si>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</si>
  <si>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</si>
  <si>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</si>
  <si>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</si>
  <si>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</si>
  <si>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</si>
  <si>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</si>
  <si>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</si>
  <si>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</si>
  <si>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</si>
  <si>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</si>
  <si>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</si>
  <si>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</si>
  <si>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</si>
  <si>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</si>
  <si>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</si>
  <si>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</si>
  <si>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</si>
  <si>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</si>
  <si>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</si>
  <si>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</si>
  <si>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</si>
  <si>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</si>
  <si>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</si>
  <si>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</si>
  <si>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</si>
  <si>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</si>
  <si>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</si>
  <si>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</si>
  <si>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</si>
  <si>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</si>
  <si>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</si>
  <si>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</si>
  <si>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</si>
  <si>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</si>
  <si>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</si>
  <si>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</si>
  <si>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</si>
  <si>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</si>
  <si>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</si>
  <si>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</si>
  <si>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</si>
  <si>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</si>
  <si>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</si>
  <si>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</si>
  <si>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</si>
  <si>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</si>
  <si>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</si>
  <si>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</si>
  <si>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</si>
  <si>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</si>
  <si>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</si>
  <si>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</si>
  <si>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</si>
  <si>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</si>
  <si>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</si>
  <si>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</si>
  <si>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</si>
  <si>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</si>
  <si>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</si>
  <si>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</si>
  <si>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</si>
  <si>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</si>
  <si>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</si>
  <si>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</si>
  <si>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</si>
  <si>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</si>
  <si>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</si>
  <si>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</si>
  <si>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</si>
  <si>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</si>
  <si>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</si>
  <si>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</si>
  <si>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</si>
  <si>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</si>
  <si>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</si>
  <si>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</si>
  <si>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</si>
  <si>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</si>
  <si>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</si>
  <si>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</si>
  <si>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</si>
  <si>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</si>
  <si>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</si>
  <si>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</si>
  <si>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</si>
  <si>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</si>
  <si>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</si>
  <si>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</si>
  <si>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</si>
  <si>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</si>
  <si>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</si>
  <si>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</si>
  <si>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</si>
  <si>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</si>
  <si>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</si>
  <si>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</si>
  <si>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</si>
  <si>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</si>
  <si>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</si>
  <si>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</si>
  <si>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</si>
  <si>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</si>
  <si>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</si>
  <si>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</si>
  <si>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</si>
  <si>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</si>
  <si>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</si>
  <si>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</si>
  <si>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</si>
  <si>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</si>
  <si>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</si>
  <si>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</si>
  <si>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</si>
  <si>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</si>
  <si>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</si>
  <si>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</si>
  <si>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</si>
  <si>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</si>
  <si>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</si>
  <si>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</si>
  <si>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</si>
  <si>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</si>
  <si>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</si>
  <si>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</si>
  <si>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</si>
  <si>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</si>
  <si>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</si>
  <si>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</si>
  <si>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</si>
  <si>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</si>
  <si>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</si>
  <si>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</si>
  <si>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</si>
  <si>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</si>
  <si>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</si>
  <si>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</si>
  <si>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</si>
  <si>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</si>
  <si>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</si>
  <si>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</si>
  <si>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</si>
  <si>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</si>
  <si>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</si>
  <si>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</si>
  <si>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</si>
  <si>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</si>
  <si>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</si>
  <si>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</si>
  <si>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</si>
  <si>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</si>
  <si>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</si>
  <si>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</si>
  <si>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</si>
  <si>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</si>
  <si>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</si>
  <si>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</si>
  <si>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</si>
  <si>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</si>
  <si>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</si>
  <si>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</si>
  <si>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</si>
  <si>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</si>
  <si>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</si>
  <si>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</si>
  <si>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</si>
  <si>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</si>
  <si>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</si>
  <si>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</si>
  <si>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</si>
  <si>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</si>
  <si>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</si>
  <si>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</si>
  <si>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</si>
  <si>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</si>
  <si>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</si>
  <si>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</si>
  <si>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</si>
  <si>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</si>
  <si>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</si>
  <si>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</si>
  <si>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</si>
  <si>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</si>
  <si>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</si>
  <si>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</si>
  <si>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</si>
  <si>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</si>
  <si>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</si>
  <si>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</si>
  <si>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</si>
  <si>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</si>
  <si>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</si>
  <si>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</si>
  <si>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</si>
  <si>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</si>
  <si>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</si>
  <si>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</si>
  <si>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</si>
  <si>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</si>
  <si>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</si>
  <si>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</si>
  <si>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</si>
  <si>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</si>
  <si>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</si>
  <si>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</si>
  <si>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</si>
  <si>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</si>
  <si>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</si>
  <si>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</si>
  <si>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</si>
  <si>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</si>
  <si>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</si>
  <si>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</si>
  <si>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</si>
  <si>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</si>
  <si>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</si>
  <si>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</si>
  <si>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</si>
  <si>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</si>
  <si>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</si>
  <si>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</si>
  <si>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</si>
  <si>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</si>
  <si>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</si>
  <si>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</si>
  <si>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</si>
  <si>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</si>
  <si>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</si>
  <si>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</si>
  <si>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</si>
  <si>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</si>
  <si>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</si>
  <si>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</si>
  <si>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</si>
  <si>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</si>
  <si>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</si>
  <si>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</si>
  <si>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</si>
  <si>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</si>
  <si>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</si>
  <si>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</si>
  <si>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</si>
  <si>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</si>
  <si>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</si>
  <si>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</si>
  <si>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</si>
  <si>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</si>
  <si>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</si>
  <si>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</si>
  <si>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</si>
  <si>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</si>
  <si>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</si>
  <si>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</si>
  <si>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</si>
  <si>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</si>
  <si>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</si>
  <si>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</si>
  <si>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</si>
  <si>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</si>
  <si>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</si>
  <si>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</si>
  <si>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</si>
  <si>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</si>
  <si>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</si>
  <si>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</si>
  <si>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</si>
  <si>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</si>
  <si>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</si>
  <si>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</si>
  <si>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</si>
  <si>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</si>
  <si>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</si>
  <si>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</si>
  <si>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</si>
  <si>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</si>
  <si>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</si>
  <si>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</si>
  <si>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</si>
  <si>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</si>
  <si>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</si>
  <si>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</si>
  <si>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</si>
  <si>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</si>
  <si>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</si>
  <si>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</si>
  <si>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</si>
  <si>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</si>
  <si>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</si>
  <si>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</si>
  <si>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</si>
  <si>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</si>
  <si>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</si>
  <si>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</si>
  <si>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</si>
  <si>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</si>
  <si>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</si>
  <si>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</si>
  <si>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</si>
  <si>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</si>
  <si>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</si>
  <si>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</si>
  <si>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</si>
  <si>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</si>
  <si>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</si>
  <si>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</si>
  <si>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</si>
  <si>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</si>
  <si>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</si>
  <si>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</si>
  <si>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</si>
  <si>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</si>
  <si>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</si>
  <si>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</si>
  <si>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</si>
  <si>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</si>
  <si>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</si>
  <si>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</si>
  <si>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</si>
  <si>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</si>
  <si>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</si>
  <si>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</si>
  <si>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</si>
  <si>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</si>
  <si>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</si>
  <si>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</si>
  <si>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</si>
  <si>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</si>
  <si>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</si>
  <si>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</si>
  <si>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</si>
  <si>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</si>
  <si>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</si>
  <si>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</si>
  <si>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</si>
  <si>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</si>
  <si>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</si>
  <si>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</si>
  <si>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</si>
  <si>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</si>
  <si>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</si>
  <si>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</si>
  <si>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</si>
  <si>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</si>
  <si>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</si>
  <si>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</si>
  <si>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</si>
  <si>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</si>
  <si>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</si>
  <si>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</si>
  <si>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</si>
  <si>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</si>
  <si>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</si>
  <si>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</si>
  <si>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</si>
  <si>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</si>
  <si>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</si>
  <si>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</si>
  <si>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</si>
  <si>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</si>
  <si>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</si>
  <si>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</si>
  <si>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</si>
  <si>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</si>
  <si>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</si>
  <si>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</si>
  <si>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</si>
  <si>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</si>
  <si>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</si>
  <si>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</si>
  <si>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</si>
  <si>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</si>
  <si>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</si>
  <si>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</si>
  <si>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</si>
  <si>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</si>
  <si>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</si>
  <si>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</si>
  <si>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</si>
  <si>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</si>
  <si>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</si>
  <si>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</si>
  <si>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</si>
  <si>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</si>
  <si>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</si>
  <si>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</si>
  <si>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</si>
  <si>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</si>
  <si>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</si>
  <si>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</si>
  <si>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</si>
  <si>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</si>
  <si>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</si>
  <si>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</si>
  <si>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</si>
  <si>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</si>
  <si>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</si>
  <si>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</si>
  <si>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</si>
  <si>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</si>
  <si>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</si>
  <si>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</si>
  <si>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</si>
  <si>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</si>
  <si>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</si>
  <si>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</si>
  <si>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</si>
  <si>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</si>
  <si>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</si>
  <si>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</si>
  <si>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</si>
  <si>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</si>
  <si>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</si>
  <si>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</si>
  <si>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</si>
  <si>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</si>
  <si>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</si>
  <si>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</si>
  <si>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</si>
  <si>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</si>
  <si>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</si>
  <si>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</si>
  <si>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</si>
  <si>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</si>
  <si>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</si>
  <si>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</si>
  <si>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</si>
  <si>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</si>
  <si>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</si>
  <si>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</si>
  <si>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</si>
  <si>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</si>
  <si>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</si>
  <si>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</si>
  <si>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</si>
  <si>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</si>
  <si>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</si>
  <si>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</si>
  <si>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</si>
  <si>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</si>
  <si>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</si>
  <si>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</si>
  <si>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</si>
  <si>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</si>
  <si>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</si>
  <si>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</si>
  <si>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</si>
  <si>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</si>
  <si>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</si>
  <si>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</si>
  <si>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</si>
  <si>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</si>
  <si>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</si>
  <si>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</si>
  <si>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</si>
  <si>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</si>
  <si>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</si>
  <si>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</si>
  <si>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</si>
  <si>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</si>
  <si>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</si>
  <si>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</si>
  <si>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</si>
  <si>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</si>
  <si>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</si>
  <si>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</si>
  <si>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</si>
  <si>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</si>
  <si>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</si>
  <si>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</si>
  <si>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</si>
  <si>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</si>
  <si>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</si>
  <si>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</si>
  <si>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</si>
  <si>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</si>
  <si>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</si>
  <si>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</si>
  <si>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</si>
  <si>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</si>
  <si>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</si>
  <si>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</si>
  <si>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</si>
  <si>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</si>
  <si>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</si>
  <si>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</si>
  <si>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</si>
  <si>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</si>
  <si>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</si>
  <si>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</si>
  <si>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</si>
  <si>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</si>
  <si>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</si>
  <si>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</si>
  <si>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</si>
  <si>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</si>
  <si>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</si>
  <si>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</si>
  <si>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</si>
  <si>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</si>
  <si>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</si>
  <si>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</si>
  <si>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</si>
  <si>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</si>
  <si>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</si>
  <si>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</si>
  <si>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</si>
  <si>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</si>
  <si>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</si>
  <si>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</si>
  <si>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</si>
  <si>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</si>
  <si>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</si>
  <si>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</si>
  <si>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</si>
  <si>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</si>
  <si>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</si>
  <si>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</si>
  <si>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</si>
  <si>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</si>
  <si>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</si>
  <si>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</si>
  <si>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</si>
  <si>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</si>
  <si>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</si>
  <si>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</si>
  <si>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</si>
  <si>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</si>
  <si>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</si>
  <si>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</si>
  <si>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</si>
  <si>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</si>
  <si>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</si>
  <si>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</si>
  <si>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</si>
  <si>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</si>
  <si>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</si>
  <si>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</si>
  <si>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</si>
  <si>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</si>
  <si>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</si>
  <si>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</si>
  <si>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</si>
  <si>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</si>
  <si>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</si>
  <si>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</si>
  <si>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</si>
  <si>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</si>
  <si>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</si>
  <si>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</si>
  <si>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</si>
  <si>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</si>
  <si>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</si>
  <si>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</si>
  <si>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</si>
  <si>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</si>
  <si>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</si>
  <si>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</si>
  <si>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</si>
  <si>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</si>
  <si>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</si>
  <si>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</si>
  <si>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</si>
  <si>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</si>
  <si>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</si>
  <si>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</si>
  <si>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</si>
  <si>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</si>
  <si>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</si>
  <si>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</si>
  <si>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</si>
  <si>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</si>
  <si>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</si>
  <si>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</si>
  <si>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</si>
  <si>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</si>
  <si>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</si>
  <si>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</si>
  <si>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</si>
  <si>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</si>
  <si>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</si>
  <si>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</si>
  <si>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</si>
  <si>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</si>
  <si>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</si>
  <si>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</si>
  <si>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</si>
  <si>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</si>
  <si>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</si>
  <si>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</si>
  <si>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</si>
  <si>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</si>
  <si>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</si>
  <si>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</si>
  <si>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</si>
  <si>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</si>
  <si>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</si>
  <si>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</si>
  <si>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</si>
  <si>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</si>
  <si>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</si>
  <si>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</si>
  <si>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</si>
  <si>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</si>
  <si>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</si>
  <si>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</si>
  <si>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</si>
  <si>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</si>
  <si>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</si>
  <si>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</si>
  <si>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</si>
  <si>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</si>
  <si>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</si>
  <si>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</si>
  <si>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</si>
  <si>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</si>
  <si>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</si>
  <si>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</si>
  <si>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</si>
  <si>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</si>
  <si>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</si>
  <si>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</si>
  <si>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</si>
  <si>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</si>
  <si>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</si>
  <si>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</si>
  <si>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</si>
  <si>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</si>
  <si>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</si>
  <si>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</si>
  <si>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</si>
  <si>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</si>
  <si>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</si>
  <si>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</si>
  <si>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</si>
  <si>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</si>
  <si>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</si>
  <si>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</si>
  <si>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</si>
  <si>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</si>
  <si>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</si>
  <si>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</si>
  <si>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</si>
  <si>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</si>
  <si>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</si>
  <si>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</si>
  <si>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</si>
  <si>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</si>
  <si>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</si>
  <si>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</si>
  <si>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</si>
  <si>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</si>
  <si>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</si>
  <si>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</si>
  <si>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</si>
  <si>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</si>
  <si>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</si>
  <si>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</si>
  <si>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</si>
  <si>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</si>
  <si>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</si>
  <si>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</si>
  <si>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</si>
  <si>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</si>
  <si>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</si>
  <si>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</si>
  <si>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</si>
  <si>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</si>
  <si>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</si>
  <si>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</si>
  <si>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</si>
  <si>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</si>
  <si>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</si>
  <si>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</si>
  <si>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</si>
  <si>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</si>
  <si>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</si>
  <si>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</si>
  <si>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</si>
  <si>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</si>
  <si>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</si>
  <si>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</si>
  <si>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</si>
  <si>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</si>
  <si>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</si>
  <si>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</si>
  <si>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</si>
  <si>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</si>
  <si>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</si>
  <si>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</si>
  <si>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</si>
  <si>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</si>
  <si>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</si>
  <si>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</si>
  <si>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</si>
  <si>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</si>
  <si>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</si>
  <si>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</si>
  <si>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</si>
  <si>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</si>
  <si>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</si>
  <si>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</si>
  <si>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</si>
  <si>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</si>
  <si>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</si>
  <si>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</si>
  <si>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</si>
  <si>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</si>
  <si>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</si>
  <si>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</si>
  <si>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</si>
  <si>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</si>
  <si>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</si>
  <si>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</si>
  <si>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</si>
  <si>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</si>
  <si>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</si>
  <si>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</si>
  <si>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</si>
  <si>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</si>
  <si>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</si>
  <si>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</si>
  <si>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</si>
  <si>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</si>
  <si>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</si>
  <si>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</si>
  <si>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</si>
  <si>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</si>
  <si>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</si>
  <si>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</si>
  <si>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</si>
  <si>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</si>
  <si>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</si>
  <si>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</si>
  <si>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</si>
  <si>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</si>
  <si>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</si>
  <si>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</si>
  <si>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</si>
  <si>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</si>
  <si>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</si>
  <si>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</si>
  <si>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</si>
  <si>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</si>
  <si>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</si>
  <si>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</si>
  <si>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</si>
  <si>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</si>
  <si>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</si>
  <si>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</si>
  <si>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</si>
  <si>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</si>
  <si>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</si>
  <si>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</si>
  <si>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</si>
  <si>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</si>
  <si>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</si>
  <si>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</si>
  <si>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</si>
  <si>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</si>
  <si>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</si>
  <si>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</si>
  <si>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</si>
  <si>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</si>
  <si>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</si>
  <si>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</si>
  <si>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</si>
  <si>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</si>
  <si>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</si>
  <si>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</si>
  <si>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</si>
  <si>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</si>
  <si>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</si>
  <si>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</si>
  <si>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</si>
  <si>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</si>
  <si>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</si>
  <si>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</si>
  <si>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</si>
  <si>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</si>
  <si>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</si>
  <si>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</si>
  <si>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</si>
  <si>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</si>
  <si>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</si>
  <si>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</si>
  <si>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</si>
  <si>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</si>
  <si>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</si>
  <si>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</si>
  <si>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</si>
  <si>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</si>
  <si>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</si>
  <si>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</si>
  <si>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</si>
  <si>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</si>
  <si>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</si>
  <si>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</si>
  <si>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</si>
  <si>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</si>
  <si>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</si>
  <si>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</si>
  <si>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</si>
  <si>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</si>
  <si>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</si>
  <si>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</si>
  <si>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</si>
  <si>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</si>
  <si>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</si>
  <si>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</si>
  <si>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</si>
  <si>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</si>
  <si>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</si>
  <si>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</si>
  <si>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</si>
  <si>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</si>
  <si>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</si>
  <si>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</si>
  <si>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</si>
  <si>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</si>
  <si>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</si>
  <si>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</si>
  <si>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</si>
  <si>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</si>
  <si>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</si>
  <si>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</si>
  <si>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</si>
  <si>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</si>
  <si>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</si>
  <si>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</si>
  <si>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</si>
  <si>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</si>
  <si>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</si>
  <si>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</si>
  <si>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</si>
  <si>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</si>
  <si>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</si>
  <si>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</si>
  <si>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</si>
  <si>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</si>
  <si>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</si>
  <si>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</si>
  <si>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</si>
  <si>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</si>
  <si>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</si>
  <si>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</si>
  <si>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</si>
  <si>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</si>
  <si>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</si>
  <si>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</si>
  <si>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</si>
  <si>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</si>
  <si>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</si>
  <si>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</si>
  <si>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</si>
  <si>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</si>
  <si>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</si>
  <si>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</si>
  <si>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</si>
  <si>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</si>
  <si>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</si>
  <si>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</si>
  <si>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</si>
  <si>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</si>
  <si>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</si>
  <si>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</si>
  <si>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</si>
  <si>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</si>
  <si>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</si>
  <si>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</si>
  <si>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</si>
  <si>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</si>
  <si>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</si>
  <si>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</si>
  <si>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</si>
  <si>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</si>
  <si>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</si>
  <si>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</si>
  <si>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</si>
  <si>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</si>
  <si>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</si>
  <si>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</si>
  <si>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</si>
  <si>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</si>
  <si>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</si>
  <si>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</si>
  <si>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</si>
  <si>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</si>
  <si>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</si>
  <si>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</si>
  <si>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</si>
  <si>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</si>
  <si>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</si>
  <si>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</si>
  <si>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</si>
  <si>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</si>
  <si>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</si>
  <si>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</si>
  <si>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</si>
  <si>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</si>
  <si>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</si>
  <si>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</si>
  <si>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</si>
  <si>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</si>
  <si>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</si>
  <si>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</si>
  <si>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</si>
  <si>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</si>
  <si>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</si>
  <si>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</si>
  <si>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</si>
  <si>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</si>
  <si>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</si>
  <si>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</si>
  <si>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</si>
  <si>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</si>
  <si>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</si>
  <si>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</si>
  <si>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</si>
  <si>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</si>
  <si>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</si>
  <si>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</si>
  <si>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</si>
  <si>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</si>
  <si>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</si>
  <si>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</si>
  <si>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</si>
  <si>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</si>
  <si>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</si>
  <si>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</si>
  <si>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</si>
  <si>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</si>
  <si>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</si>
  <si>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</si>
  <si>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</si>
  <si>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</si>
  <si>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</si>
  <si>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</si>
  <si>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</si>
  <si>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</si>
  <si>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</si>
  <si>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</si>
  <si>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</si>
  <si>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</si>
  <si>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</si>
  <si>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</si>
  <si>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</si>
  <si>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</si>
  <si>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</si>
  <si>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</si>
  <si>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</si>
  <si>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</si>
  <si>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</si>
  <si>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</si>
  <si>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</si>
  <si>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</si>
  <si>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</si>
  <si>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</si>
  <si>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</si>
  <si>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</si>
  <si>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</si>
  <si>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</si>
  <si>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</si>
  <si>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</si>
  <si>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</si>
  <si>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</si>
  <si>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</si>
  <si>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</si>
  <si>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</si>
  <si>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</si>
  <si>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</si>
  <si>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</si>
  <si>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</si>
  <si>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</si>
  <si>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</si>
  <si>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</si>
  <si>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</si>
  <si>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</si>
  <si>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</si>
  <si>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</si>
  <si>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</si>
  <si>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</si>
  <si>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</si>
  <si>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</si>
  <si>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</si>
  <si>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</si>
  <si>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</si>
  <si>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</si>
  <si>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</si>
  <si>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</si>
  <si>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</si>
  <si>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</si>
  <si>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</si>
  <si>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</si>
  <si>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</si>
  <si>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</si>
  <si>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</si>
  <si>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</si>
  <si>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</si>
  <si>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</si>
  <si>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</si>
  <si>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</si>
  <si>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</si>
  <si>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</si>
  <si>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</si>
  <si>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</si>
  <si>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</si>
  <si>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</si>
  <si>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</si>
  <si>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</si>
  <si>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</si>
  <si>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</si>
  <si>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</si>
  <si>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</si>
  <si>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</si>
  <si>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</si>
  <si>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</si>
  <si>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</si>
  <si>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</si>
  <si>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</si>
  <si>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</si>
  <si>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</si>
  <si>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</si>
  <si>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</si>
  <si>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</si>
  <si>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</si>
  <si>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</si>
  <si>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</si>
  <si>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</si>
  <si>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</si>
  <si>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</si>
  <si>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</si>
  <si>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</si>
  <si>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</si>
  <si>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</si>
  <si>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</si>
  <si>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</si>
  <si>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</si>
  <si>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</si>
  <si>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</si>
  <si>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</si>
  <si>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</si>
  <si>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</si>
  <si>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</si>
  <si>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</si>
  <si>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</si>
  <si>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</si>
  <si>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</si>
  <si>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</si>
  <si>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</si>
  <si>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</si>
  <si>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</si>
  <si>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</si>
  <si>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</si>
  <si>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</si>
  <si>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</si>
  <si>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</si>
  <si>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</si>
  <si>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</si>
  <si>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</si>
  <si>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</si>
  <si>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</si>
  <si>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</si>
  <si>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</si>
  <si>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</si>
  <si>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</si>
  <si>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</si>
  <si>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</si>
  <si>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</si>
  <si>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</si>
  <si>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</si>
  <si>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</si>
  <si>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</si>
  <si>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</si>
  <si>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</si>
  <si>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</si>
  <si>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</si>
  <si>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</si>
  <si>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</si>
  <si>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</si>
  <si>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</si>
  <si>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</si>
  <si>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</si>
  <si>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</si>
  <si>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</si>
  <si>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</si>
  <si>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</si>
  <si>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</si>
  <si>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</si>
  <si>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</si>
  <si>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</si>
  <si>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</si>
  <si>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</si>
  <si>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</si>
  <si>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</si>
  <si>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</si>
  <si>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</si>
  <si>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</si>
  <si>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</si>
  <si>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</si>
  <si>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</si>
  <si>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</si>
  <si>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</si>
  <si>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</si>
  <si>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</si>
  <si>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</si>
  <si>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</si>
  <si>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</si>
  <si>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</si>
  <si>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</si>
  <si>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</si>
  <si>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</si>
  <si>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</si>
  <si>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</si>
  <si>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</si>
  <si>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</si>
  <si>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</si>
  <si>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</si>
  <si>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</si>
  <si>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</si>
  <si>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</si>
  <si>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</si>
  <si>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</si>
  <si>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</si>
  <si>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</si>
  <si>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</si>
  <si>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</si>
  <si>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</si>
  <si>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</si>
  <si>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</si>
  <si>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</si>
  <si>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</si>
  <si>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</si>
  <si>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</si>
  <si>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</si>
  <si>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</si>
  <si>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</si>
  <si>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</si>
  <si>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</si>
  <si>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</si>
  <si>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</si>
  <si>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</si>
  <si>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</si>
  <si>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</si>
  <si>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</si>
  <si>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</si>
  <si>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</si>
  <si>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</si>
  <si>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</si>
  <si>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</si>
  <si>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</si>
  <si>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</si>
  <si>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</si>
  <si>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</si>
  <si>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</si>
  <si>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</si>
  <si>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</si>
  <si>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</si>
  <si>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</si>
  <si>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</si>
  <si>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</si>
  <si>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</si>
  <si>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</si>
  <si>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</si>
  <si>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</si>
  <si>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</si>
  <si>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</si>
  <si>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</si>
  <si>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</si>
  <si>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</si>
  <si>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</si>
  <si>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</si>
  <si>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</si>
  <si>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</si>
  <si>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</si>
  <si>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</si>
  <si>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</si>
  <si>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</si>
  <si>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</si>
  <si>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</si>
  <si>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</si>
  <si>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</si>
  <si>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</si>
  <si>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</si>
  <si>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</si>
  <si>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</si>
  <si>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</si>
  <si>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</si>
  <si>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</si>
  <si>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</si>
  <si>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</si>
  <si>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</si>
  <si>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</si>
  <si>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</si>
  <si>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</si>
  <si>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</si>
  <si>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</si>
  <si>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</si>
  <si>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</si>
  <si>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</si>
  <si>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</si>
  <si>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</si>
  <si>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</si>
  <si>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</si>
  <si>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</si>
  <si>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</si>
  <si>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</si>
  <si>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</si>
  <si>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</si>
  <si>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</si>
  <si>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</si>
  <si>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</si>
  <si>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</si>
  <si>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</si>
  <si>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</si>
  <si>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</si>
  <si>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</si>
  <si>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</si>
  <si>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</si>
  <si>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</si>
  <si>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</si>
  <si>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</si>
  <si>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</si>
  <si>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</si>
  <si>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</si>
  <si>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</si>
  <si>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</si>
  <si>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</si>
  <si>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</si>
  <si>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</si>
  <si>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</si>
  <si>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</si>
  <si>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</si>
  <si>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</si>
  <si>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</si>
  <si>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</si>
  <si>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</si>
  <si>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</si>
  <si>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</si>
  <si>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</si>
  <si>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</si>
  <si>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</si>
  <si>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</si>
  <si>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</si>
  <si>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</si>
  <si>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</si>
  <si>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</si>
  <si>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</si>
  <si>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</si>
  <si>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</si>
  <si>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</si>
  <si>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</si>
  <si>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</si>
  <si>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</si>
  <si>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</si>
  <si>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</si>
  <si>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</si>
  <si>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</si>
  <si>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</si>
  <si>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</si>
  <si>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</si>
  <si>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</si>
  <si>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</si>
  <si>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</si>
  <si>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</si>
  <si>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</si>
  <si>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</si>
  <si>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</si>
  <si>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</si>
  <si>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</si>
  <si>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</si>
  <si>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</si>
  <si>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</si>
  <si>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</si>
  <si>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</si>
  <si>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</si>
  <si>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</si>
  <si>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</si>
  <si>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</si>
  <si>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</si>
  <si>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</si>
  <si>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</si>
  <si>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</si>
  <si>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</si>
  <si>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</si>
  <si>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</si>
  <si>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</si>
  <si>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</si>
  <si>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</si>
  <si>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</si>
  <si>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</si>
  <si>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</si>
  <si>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</si>
  <si>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</si>
  <si>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</si>
  <si>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</si>
  <si>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</si>
  <si>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</si>
  <si>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</si>
  <si>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</si>
  <si>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</si>
  <si>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</si>
  <si>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</si>
  <si>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</si>
  <si>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</si>
  <si>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</si>
  <si>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</si>
  <si>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</si>
  <si>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</si>
  <si>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</si>
  <si>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</si>
  <si>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</si>
  <si>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</si>
  <si>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</si>
  <si>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</si>
  <si>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</si>
  <si>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</si>
  <si>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</si>
  <si>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</si>
  <si>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</si>
  <si>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</si>
  <si>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</si>
  <si>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</si>
  <si>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</si>
  <si>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</si>
  <si>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</si>
  <si>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</si>
  <si>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</si>
  <si>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</si>
  <si>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</si>
  <si>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</si>
  <si>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</si>
  <si>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</si>
  <si>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</si>
  <si>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</si>
  <si>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</si>
  <si>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</si>
  <si>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</si>
  <si>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</si>
  <si>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</si>
  <si>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</si>
  <si>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</si>
  <si>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</si>
  <si>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</si>
  <si>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</si>
  <si>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</si>
  <si>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</si>
  <si>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</si>
  <si>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</si>
  <si>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</si>
  <si>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</si>
  <si>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</si>
  <si>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</si>
  <si>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</si>
  <si>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</si>
  <si>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</si>
  <si>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</si>
  <si>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</si>
  <si>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</si>
  <si>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</si>
  <si>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</si>
  <si>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</si>
  <si>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</si>
  <si>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</si>
  <si>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</si>
  <si>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</si>
  <si>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</si>
  <si>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</si>
  <si>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</si>
  <si>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</si>
  <si>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</si>
  <si>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</si>
  <si>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</si>
  <si>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</si>
  <si>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</si>
  <si>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</si>
  <si>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</si>
  <si>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</si>
  <si>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</si>
  <si>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</si>
  <si>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</si>
  <si>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</si>
  <si>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</si>
  <si>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</si>
  <si>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</si>
  <si>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</si>
  <si>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</si>
  <si>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</si>
  <si>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</si>
  <si>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</si>
  <si>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</si>
  <si>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</si>
  <si>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</si>
  <si>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</si>
  <si>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</si>
  <si>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</si>
  <si>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</si>
  <si>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</si>
  <si>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</si>
  <si>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</si>
  <si>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</si>
  <si>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</si>
  <si>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</si>
  <si>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</si>
  <si>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</si>
  <si>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</si>
  <si>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</si>
  <si>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</si>
  <si>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</si>
  <si>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</si>
  <si>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</si>
  <si>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</si>
  <si>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</si>
  <si>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</si>
  <si>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</si>
  <si>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</si>
  <si>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</si>
  <si>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</si>
  <si>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</si>
  <si>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</si>
  <si>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</si>
  <si>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</si>
  <si>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</si>
  <si>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</si>
  <si>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</si>
  <si>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</si>
  <si>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</si>
  <si>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</si>
  <si>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</si>
  <si>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</si>
  <si>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</si>
  <si>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</si>
  <si>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</si>
  <si>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</si>
  <si>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</si>
  <si>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</si>
  <si>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</si>
  <si>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</si>
  <si>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</si>
  <si>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</si>
  <si>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</si>
  <si>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</si>
  <si>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</si>
  <si>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</si>
  <si>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</si>
  <si>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</si>
  <si>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</si>
  <si>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</si>
  <si>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</si>
  <si>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</si>
  <si>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</si>
  <si>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</si>
  <si>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</si>
  <si>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</si>
  <si>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</si>
  <si>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</si>
  <si>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</si>
  <si>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</si>
  <si>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</si>
  <si>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</si>
  <si>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</si>
  <si>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</si>
  <si>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</si>
  <si>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</si>
  <si>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</si>
  <si>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</si>
  <si>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</si>
  <si>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</si>
  <si>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</si>
  <si>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</si>
  <si>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</si>
  <si>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</si>
  <si>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</si>
  <si>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</si>
  <si>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</si>
  <si>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</si>
  <si>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</si>
  <si>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</si>
  <si>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</si>
  <si>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</si>
  <si>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</si>
  <si>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</si>
  <si>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</si>
  <si>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</si>
  <si>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</si>
  <si>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</si>
  <si>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</si>
  <si>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</si>
  <si>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</si>
  <si>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</si>
  <si>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</si>
  <si>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</si>
  <si>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</si>
  <si>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</si>
  <si>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</si>
  <si>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</si>
  <si>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</si>
  <si>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</si>
  <si>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</si>
  <si>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</si>
  <si>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</si>
  <si>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</si>
  <si>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</si>
  <si>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</si>
  <si>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</si>
  <si>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</si>
  <si>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</si>
  <si>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</si>
  <si>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</si>
  <si>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</si>
  <si>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</si>
  <si>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</si>
  <si>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</si>
  <si>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</si>
  <si>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</si>
  <si>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</si>
  <si>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</si>
  <si>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</si>
  <si>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</si>
  <si>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</si>
  <si>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</si>
  <si>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</si>
  <si>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</si>
  <si>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</si>
  <si>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</si>
  <si>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</si>
  <si>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</si>
  <si>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</si>
  <si>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</si>
  <si>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</si>
  <si>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</si>
  <si>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</si>
  <si>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</si>
  <si>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</si>
  <si>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</si>
  <si>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</si>
  <si>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</si>
  <si>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</si>
  <si>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</si>
  <si>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</si>
  <si>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</si>
  <si>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</si>
  <si>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</si>
  <si>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</si>
  <si>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</si>
  <si>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</si>
  <si>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</si>
  <si>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</si>
  <si>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</si>
  <si>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</si>
  <si>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</si>
  <si>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</si>
  <si>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</si>
  <si>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</si>
  <si>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</si>
  <si>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</si>
  <si>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</si>
  <si>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</si>
  <si>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</si>
  <si>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</si>
  <si>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</si>
  <si>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</si>
  <si>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</si>
  <si>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</si>
  <si>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</si>
  <si>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</si>
  <si>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</si>
  <si>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</si>
  <si>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</si>
  <si>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</si>
  <si>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</si>
  <si>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</si>
  <si>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</si>
  <si>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</si>
  <si>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</si>
  <si>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</si>
  <si>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</si>
  <si>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</si>
  <si>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</si>
  <si>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</si>
  <si>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</si>
  <si>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</si>
  <si>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</si>
  <si>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</si>
  <si>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</si>
  <si>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</si>
  <si>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</si>
  <si>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</si>
  <si>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</si>
  <si>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</si>
  <si>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</si>
  <si>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</si>
  <si>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</si>
  <si>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</si>
  <si>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</si>
  <si>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</si>
  <si>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</si>
  <si>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</si>
  <si>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</si>
  <si>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</si>
  <si>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</si>
  <si>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</si>
  <si>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</si>
  <si>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</si>
  <si>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</si>
  <si>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</si>
  <si>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</si>
  <si>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</si>
  <si>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</si>
  <si>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</si>
  <si>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</si>
  <si>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</si>
  <si>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</si>
  <si>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</si>
  <si>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</si>
  <si>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</si>
  <si>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</si>
  <si>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</si>
  <si>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</si>
  <si>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</si>
  <si>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</si>
  <si>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</si>
  <si>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</si>
  <si>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</si>
  <si>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</si>
  <si>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</si>
  <si>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</si>
  <si>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</si>
  <si>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</si>
  <si>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</si>
  <si>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</si>
  <si>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</si>
  <si>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</si>
  <si>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</si>
  <si>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</si>
  <si>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</si>
  <si>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</si>
  <si>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</si>
  <si>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</si>
  <si>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</si>
  <si>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</si>
  <si>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</si>
  <si>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</si>
  <si>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</si>
  <si>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</si>
  <si>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</si>
  <si>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</si>
  <si>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</si>
  <si>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</si>
  <si>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</si>
  <si>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</si>
  <si>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</si>
  <si>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</si>
  <si>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</si>
  <si>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</si>
  <si>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</si>
  <si>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</si>
  <si>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</si>
  <si>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</si>
  <si>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</si>
  <si>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</si>
  <si>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</si>
  <si>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</si>
  <si>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</si>
  <si>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</si>
  <si>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</si>
  <si>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</si>
  <si>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</si>
  <si>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</si>
  <si>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</si>
  <si>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</si>
  <si>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</si>
  <si>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</si>
  <si>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</si>
  <si>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</si>
  <si>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</si>
  <si>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900 MW</t>
  </si>
  <si>
    <t xml:space="preserve">2026-03-30</t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</si>
  <si>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</si>
  <si>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</si>
  <si>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</si>
  <si>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（上限，另有選擇權再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</si>
  <si>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（無再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選擇權）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</si>
  <si>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</si>
  <si>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</si>
  <si>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</si>
  <si>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</si>
  <si>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</si>
  <si>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</si>
  <si>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</si>
  <si>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</si>
  <si>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</si>
  <si>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</si>
  <si>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</si>
  <si>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</si>
  <si>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</si>
  <si>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</si>
  <si>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</si>
  <si>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</si>
  <si>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</si>
  <si>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</si>
  <si>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</si>
  <si>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</si>
  <si>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</si>
  <si>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</si>
  <si>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</si>
  <si>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</si>
  <si>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</si>
  <si>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</si>
  <si>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</si>
  <si>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</si>
  <si>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</si>
  <si>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</si>
  <si>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</si>
  <si>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</si>
  <si>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</si>
  <si>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</si>
  <si>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</si>
  <si>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</si>
  <si>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</si>
  <si>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</si>
  <si>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</si>
  <si>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</si>
  <si>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</si>
  <si>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</si>
  <si>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</si>
  <si>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</si>
  <si>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</si>
  <si>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</si>
  <si>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</si>
  <si>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</si>
  <si>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</si>
  <si>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</si>
  <si>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</si>
  <si>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</si>
  <si>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</si>
  <si>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</si>
  <si>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</si>
  <si>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</si>
  <si>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</si>
  <si>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</si>
  <si>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</si>
  <si>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</si>
  <si>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</si>
  <si>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</si>
  <si>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</si>
  <si>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</si>
  <si>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</si>
  <si>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</si>
  <si>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</si>
  <si>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</si>
  <si>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</si>
  <si>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</si>
  <si>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</si>
  <si>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</si>
  <si>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</si>
  <si>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</si>
  <si>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</si>
  <si>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</si>
  <si>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</si>
  <si>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</si>
  <si>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</si>
  <si>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</si>
  <si>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</si>
  <si>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</si>
  <si>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</si>
  <si>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</si>
  <si>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</si>
  <si>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</si>
  <si>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</si>
  <si>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</si>
  <si>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</si>
  <si>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</si>
  <si>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</si>
  <si>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</si>
  <si>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</si>
  <si>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</si>
  <si>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</si>
  <si>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</si>
  <si>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</si>
  <si>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</si>
  <si>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</si>
  <si>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</si>
  <si>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</si>
  <si>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</si>
  <si>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</si>
  <si>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</si>
  <si>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</si>
  <si>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</si>
  <si>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</si>
  <si>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</si>
  <si>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</si>
  <si>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</si>
  <si>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</si>
  <si>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</si>
  <si>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</si>
  <si>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</si>
  <si>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</si>
  <si>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</si>
  <si>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</si>
  <si>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</si>
  <si>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</si>
  <si>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</si>
  <si>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</si>
  <si>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</si>
  <si>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</si>
  <si>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</si>
  <si>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</si>
  <si>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</si>
  <si>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</si>
  <si>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</si>
  <si>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</si>
  <si>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</si>
  <si>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</si>
  <si>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</si>
  <si>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</si>
  <si>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</si>
  <si>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</si>
  <si>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</si>
  <si>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</si>
  <si>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</si>
  <si>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</si>
  <si>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</si>
  <si>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</si>
  <si>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</si>
  <si>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</si>
  <si>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</si>
  <si>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</si>
  <si>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</si>
  <si>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</si>
  <si>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</si>
  <si>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</si>
  <si>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</si>
  <si>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</si>
  <si>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</si>
  <si>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</si>
  <si>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</si>
  <si>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</si>
  <si>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</si>
  <si>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</si>
  <si>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</si>
  <si>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</si>
  <si>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</si>
  <si>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</si>
  <si>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</si>
  <si>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</si>
  <si>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</si>
  <si>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</si>
  <si>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</si>
  <si>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</si>
  <si>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</si>
  <si>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</si>
  <si>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</si>
  <si>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</si>
  <si>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</si>
  <si>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</si>
  <si>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</si>
  <si>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</si>
  <si>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</si>
  <si>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</si>
  <si>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</si>
  <si>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</si>
  <si>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</si>
  <si>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</si>
  <si>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</si>
  <si>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</si>
  <si>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</si>
  <si>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</si>
  <si>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2026-03-16</t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</si>
  <si>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</si>
  <si>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</si>
  <si>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</si>
  <si>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</si>
  <si>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</si>
  <si>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</si>
  <si>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</si>
  <si>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</si>
  <si>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</si>
  <si>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</si>
  <si>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</si>
  <si>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</si>
  <si>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</si>
  <si>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</si>
  <si>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</si>
  <si>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</si>
  <si>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</si>
  <si>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</si>
  <si>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</si>
  <si>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</si>
  <si>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</si>
  <si>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</si>
  <si>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</si>
  <si>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</si>
  <si>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</si>
  <si>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</si>
  <si>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</si>
  <si>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</si>
  <si>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</si>
  <si>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</si>
  <si>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</si>
  <si>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</si>
  <si>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</si>
  <si>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</si>
  <si>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擴建）</t>
    </r>
  </si>
  <si>
    <t xml:space="preserve">2026-03-06</t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</si>
  <si>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</si>
  <si>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</si>
  <si>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</si>
  <si>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</si>
  <si>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</si>
  <si>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</si>
  <si>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</si>
  <si>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</si>
  <si>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</si>
  <si>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</si>
  <si>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</si>
  <si>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</si>
  <si>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</si>
  <si>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</si>
  <si>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</si>
  <si>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</si>
  <si>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</si>
  <si>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</si>
  <si>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</si>
  <si>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</si>
  <si>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</si>
  <si>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</si>
  <si>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</si>
  <si>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</si>
  <si>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</si>
  <si>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</si>
  <si>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</si>
  <si>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</si>
  <si>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</si>
  <si>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</si>
  <si>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</si>
  <si>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</si>
  <si>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</si>
  <si>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</si>
  <si>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</si>
  <si>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</si>
  <si>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</si>
  <si>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</si>
  <si>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</si>
  <si>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</si>
  <si>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</si>
  <si>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</si>
  <si>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</si>
  <si>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</si>
  <si>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</si>
  <si>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</si>
  <si>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</si>
  <si>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</si>
  <si>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</si>
  <si>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</si>
  <si>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</si>
  <si>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</si>
  <si>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</si>
  <si>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</si>
  <si>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</si>
  <si>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</si>
  <si>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</si>
  <si>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</si>
  <si>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</si>
  <si>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</si>
  <si>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</si>
  <si>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</si>
  <si>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</si>
  <si>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</si>
  <si>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</si>
  <si>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</si>
  <si>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</si>
  <si>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</si>
  <si>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</si>
  <si>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</si>
  <si>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</si>
  <si>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</si>
  <si>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</si>
  <si>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</si>
  <si>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</si>
  <si>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</si>
  <si>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</si>
  <si>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</si>
  <si>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</si>
  <si>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</si>
  <si>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</si>
  <si>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</si>
  <si>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</si>
  <si>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</si>
  <si>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</si>
  <si>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</si>
  <si>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</si>
  <si>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</si>
  <si>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</si>
  <si>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</si>
  <si>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</si>
  <si>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</si>
  <si>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</si>
  <si>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</si>
  <si>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</si>
  <si>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</si>
  <si>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</si>
  <si>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</si>
  <si>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</si>
  <si>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</si>
  <si>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</si>
  <si>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</si>
  <si>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</si>
  <si>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</si>
  <si>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</si>
  <si>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</si>
  <si>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</si>
  <si>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</si>
  <si>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</si>
  <si>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</si>
  <si>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</si>
  <si>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</si>
  <si>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</si>
  <si>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</si>
  <si>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</si>
  <si>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</si>
  <si>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</si>
  <si>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</si>
  <si>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</si>
  <si>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</si>
  <si>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</si>
  <si>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</si>
  <si>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</si>
  <si>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</si>
  <si>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</si>
  <si>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</si>
  <si>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</si>
  <si>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</si>
  <si>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</si>
  <si>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</si>
  <si>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</si>
  <si>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</si>
  <si>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</si>
  <si>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</si>
  <si>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</si>
  <si>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</si>
  <si>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</si>
  <si>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</si>
  <si>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</si>
  <si>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</si>
  <si>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</si>
  <si>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</si>
  <si>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</si>
  <si>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</si>
  <si>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</si>
  <si>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</si>
  <si>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</si>
  <si>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</si>
  <si>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</si>
  <si>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</si>
  <si>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</si>
  <si>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</si>
  <si>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</si>
  <si>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</si>
  <si>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</si>
  <si>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</si>
  <si>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</si>
  <si>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</si>
  <si>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</si>
  <si>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</si>
  <si>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</si>
  <si>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</si>
  <si>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</si>
  <si>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</si>
  <si>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</si>
  <si>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</si>
  <si>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</si>
  <si>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</si>
  <si>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</si>
  <si>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</si>
  <si>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</si>
  <si>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</si>
  <si>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</si>
  <si>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</si>
  <si>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</si>
  <si>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</si>
  <si>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</si>
  <si>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</si>
  <si>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</si>
  <si>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</si>
  <si>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</si>
  <si>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</si>
  <si>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</si>
  <si>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</si>
  <si>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</si>
  <si>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</si>
  <si>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</si>
  <si>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</si>
  <si>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</si>
  <si>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</si>
  <si>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</si>
  <si>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</si>
  <si>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</si>
  <si>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</si>
  <si>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</si>
  <si>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</si>
  <si>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</si>
  <si>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</si>
  <si>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</si>
  <si>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</si>
  <si>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投資人備忘錄，二手：</t>
    </r>
    <r>
      <rPr>
        <sz val="11"/>
        <color theme="1"/>
        <rFont val="Calibri"/>
        <family val="2"/>
        <charset val="1"/>
      </rPr>
      <t xml:space="preserve">Bloomberg/Epoch </t>
    </r>
    <r>
      <rPr>
        <sz val="11"/>
        <color theme="1"/>
        <rFont val="Noto Sans CJK SC"/>
        <family val="2"/>
      </rPr>
      <t xml:space="preserve">引）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</si>
  <si>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</si>
  <si>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</si>
  <si>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</si>
  <si>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</si>
  <si>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</si>
  <si>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</si>
  <si>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</si>
  <si>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</si>
  <si>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</si>
  <si>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</si>
  <si>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</si>
  <si>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</si>
  <si>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</si>
  <si>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</si>
  <si>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</si>
  <si>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</si>
  <si>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</si>
  <si>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</si>
  <si>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</si>
  <si>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</si>
  <si>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</si>
  <si>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</si>
  <si>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</si>
  <si>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</si>
  <si>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</si>
  <si>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</si>
  <si>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</si>
  <si>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</si>
  <si>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</si>
  <si>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</si>
  <si>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</si>
  <si>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</si>
  <si>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</si>
  <si>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</si>
  <si>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</si>
  <si>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</si>
  <si>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</si>
  <si>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</si>
  <si>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</si>
  <si>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</si>
  <si>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</si>
  <si>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</si>
  <si>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</si>
  <si>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</si>
  <si>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</si>
  <si>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</si>
  <si>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</si>
  <si>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</si>
  <si>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</si>
  <si>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</si>
  <si>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</si>
  <si>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</si>
  <si>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</si>
  <si>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</si>
  <si>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</si>
  <si>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</si>
  <si>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</si>
  <si>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</si>
  <si>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</si>
  <si>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</si>
  <si>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</si>
  <si>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</si>
  <si>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</si>
  <si>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</si>
  <si>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</si>
  <si>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</si>
  <si>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cp_oai_pp3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</si>
  <si>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</si>
  <si>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</si>
  <si>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</si>
  <si>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</si>
  <si>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</si>
  <si>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</si>
  <si>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</si>
  <si>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</si>
  <si>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</si>
  <si>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</si>
  <si>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</si>
  <si>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</si>
  <si>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</si>
  <si>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</si>
  <si>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</si>
  <si>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</si>
  <si>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</si>
  <si>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</si>
  <si>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8-K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</si>
  <si>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</si>
  <si>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</si>
  <si>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</si>
  <si>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</si>
  <si>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</si>
  <si>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</si>
  <si>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</si>
  <si>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</si>
  <si>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</si>
  <si>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</si>
  <si>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</si>
  <si>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</si>
  <si>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</si>
  <si>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</si>
  <si>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</si>
  <si>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</si>
  <si>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</si>
  <si>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</si>
  <si>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</si>
  <si>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</si>
  <si>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</si>
  <si>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</si>
  <si>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</si>
  <si>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</si>
  <si>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</si>
  <si>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</si>
  <si>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</si>
  <si>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</si>
  <si>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</si>
  <si>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</si>
  <si>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</si>
  <si>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</si>
  <si>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</si>
  <si>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</si>
  <si>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</si>
  <si>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</si>
  <si>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</si>
  <si>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</si>
  <si>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</si>
  <si>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</si>
  <si>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</si>
  <si>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</si>
  <si>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</si>
  <si>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</si>
  <si>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</si>
  <si>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</si>
  <si>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</si>
  <si>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</si>
  <si>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</si>
  <si>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</si>
  <si>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</si>
  <si>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</si>
  <si>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</si>
  <si>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</si>
  <si>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</si>
  <si>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</si>
  <si>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</si>
  <si>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</si>
  <si>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</si>
  <si>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</si>
  <si>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</si>
  <si>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</si>
  <si>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</si>
  <si>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</si>
  <si>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</si>
  <si>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</si>
  <si>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</si>
  <si>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</si>
  <si>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</si>
  <si>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</si>
  <si>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</si>
  <si>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</si>
  <si>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</si>
  <si>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</si>
  <si>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</si>
  <si>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</si>
  <si>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</si>
  <si>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</si>
  <si>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</si>
  <si>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</si>
  <si>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</si>
  <si>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</si>
  <si>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</si>
  <si>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</si>
  <si>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</si>
  <si>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</si>
  <si>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</si>
  <si>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</si>
  <si>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</si>
  <si>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</si>
  <si>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</si>
  <si>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</si>
  <si>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</si>
  <si>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</si>
  <si>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</si>
  <si>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</si>
  <si>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</si>
  <si>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</si>
  <si>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</si>
  <si>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</si>
  <si>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</si>
  <si>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</si>
  <si>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</si>
  <si>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</si>
  <si>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</si>
  <si>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</si>
  <si>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</si>
  <si>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</si>
  <si>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</si>
  <si>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</si>
  <si>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</si>
  <si>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</si>
  <si>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</si>
  <si>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</si>
  <si>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</si>
  <si>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</si>
  <si>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</si>
  <si>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</si>
  <si>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</si>
  <si>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</si>
  <si>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</si>
  <si>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</si>
  <si>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</si>
  <si>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</si>
  <si>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</si>
  <si>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</si>
  <si>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</si>
  <si>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</si>
  <si>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</si>
  <si>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</si>
  <si>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</si>
  <si>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</si>
  <si>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</si>
  <si>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</si>
  <si>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</si>
  <si>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</si>
  <si>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</si>
  <si>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</si>
  <si>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</si>
  <si>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</si>
  <si>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</si>
  <si>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</si>
  <si>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</si>
  <si>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</si>
  <si>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</si>
  <si>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</si>
  <si>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</si>
  <si>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</si>
  <si>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</si>
  <si>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</si>
  <si>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</si>
  <si>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</si>
  <si>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</si>
  <si>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</si>
  <si>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</si>
  <si>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</si>
  <si>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</si>
  <si>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</si>
  <si>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</si>
  <si>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</si>
  <si>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</si>
  <si>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</si>
  <si>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</si>
  <si>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</si>
  <si>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</si>
  <si>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</si>
  <si>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</si>
  <si>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</si>
  <si>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</si>
  <si>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</si>
  <si>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</si>
  <si>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</si>
  <si>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</si>
  <si>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</si>
  <si>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</si>
  <si>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</si>
  <si>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</si>
  <si>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</si>
  <si>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</si>
  <si>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</si>
  <si>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</si>
  <si>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</si>
  <si>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</si>
  <si>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</si>
  <si>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</si>
  <si>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</si>
  <si>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</si>
  <si>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</si>
  <si>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</si>
  <si>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</si>
  <si>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</si>
  <si>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</si>
  <si>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</si>
  <si>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</si>
  <si>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</si>
  <si>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</si>
  <si>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</si>
  <si>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</si>
  <si>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</si>
  <si>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</si>
  <si>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</si>
  <si>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</si>
  <si>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</si>
  <si>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</si>
  <si>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</si>
  <si>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</si>
  <si>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</si>
  <si>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</si>
  <si>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</si>
  <si>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</si>
  <si>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</si>
  <si>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</si>
  <si>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</si>
  <si>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</si>
  <si>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</si>
  <si>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</si>
  <si>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</si>
  <si>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</si>
  <si>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</si>
  <si>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</si>
  <si>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cp_sov_hum2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</si>
  <si>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</si>
  <si>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</si>
  <si>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</si>
  <si>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</si>
  <si>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</si>
  <si>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</si>
  <si>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</si>
  <si>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</si>
  <si>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</si>
  <si>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</si>
  <si>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</si>
  <si>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</si>
  <si>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</si>
  <si>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</si>
  <si>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</si>
  <si>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</si>
  <si>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</si>
  <si>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</si>
  <si>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</si>
  <si>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</si>
  <si>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</si>
  <si>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</si>
  <si>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</si>
  <si>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</si>
  <si>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</si>
  <si>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</si>
  <si>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</si>
  <si>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</si>
  <si>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</si>
  <si>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H100e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</si>
  <si>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</si>
  <si>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</si>
  <si>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</si>
  <si>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</si>
  <si>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</si>
  <si>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</si>
  <si>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</si>
  <si>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</si>
  <si>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</si>
  <si>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</si>
  <si>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</si>
  <si>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</si>
  <si>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</si>
  <si>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</si>
  <si>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</si>
  <si>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</si>
  <si>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</si>
  <si>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</si>
  <si>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</si>
  <si>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</si>
  <si>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</si>
  <si>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</si>
  <si>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</si>
  <si>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</si>
  <si>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</si>
  <si>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</si>
  <si>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</si>
  <si>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</si>
  <si>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</si>
  <si>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</si>
  <si>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</si>
  <si>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</si>
  <si>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</si>
  <si>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</si>
  <si>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</si>
  <si>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</si>
  <si>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</si>
  <si>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</si>
  <si>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</si>
  <si>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</si>
  <si>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</si>
  <si>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</si>
  <si>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</si>
  <si>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</si>
  <si>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</si>
  <si>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</si>
  <si>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</si>
  <si>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</si>
  <si>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</si>
  <si>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</si>
  <si>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</si>
  <si>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</si>
  <si>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</si>
  <si>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</si>
  <si>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</si>
  <si>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</si>
  <si>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</si>
  <si>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</si>
  <si>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</si>
  <si>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</si>
  <si>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</si>
  <si>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</si>
  <si>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</si>
  <si>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</si>
  <si>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</si>
  <si>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</si>
  <si>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</si>
  <si>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</si>
  <si>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</si>
  <si>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</si>
  <si>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</si>
  <si>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</si>
  <si>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</si>
  <si>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</si>
  <si>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</si>
  <si>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</si>
  <si>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</si>
  <si>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</si>
  <si>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</si>
  <si>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</si>
  <si>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</si>
  <si>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</si>
  <si>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</si>
  <si>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</si>
  <si>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</si>
  <si>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</si>
  <si>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Queued Up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Core Insights Review </t>
    </r>
    <r>
      <rPr>
        <sz val="11"/>
        <color theme="1"/>
        <rFont val="Noto Sans CJK SC"/>
        <family val="2"/>
      </rPr>
      <t xml:space="preserve">轉述）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</si>
  <si>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</si>
  <si>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</si>
  <si>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</si>
  <si>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</si>
  <si>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</si>
  <si>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</si>
  <si>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</si>
  <si>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</si>
  <si>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</si>
  <si>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</si>
  <si>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</si>
  <si>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</si>
  <si>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</si>
  <si>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</si>
  <si>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</si>
  <si>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</si>
  <si>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</si>
  <si>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</si>
  <si>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</si>
  <si>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</si>
  <si>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</si>
  <si>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</si>
  <si>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</si>
  <si>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</si>
  <si>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</si>
  <si>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</si>
  <si>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</si>
  <si>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</si>
  <si>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</si>
  <si>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</si>
  <si>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t xml:space="preserve">燃氣渦輪（全產業）｜全球｜平均等待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</si>
  <si>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</si>
  <si>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</si>
  <si>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</si>
  <si>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</si>
  <si>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</si>
  <si>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</si>
  <si>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</si>
  <si>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</si>
  <si>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</si>
  <si>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</si>
  <si>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</si>
  <si>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</si>
  <si>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</si>
  <si>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</si>
  <si>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</si>
  <si>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</si>
  <si>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</si>
  <si>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</si>
  <si>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</si>
  <si>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</si>
  <si>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</si>
  <si>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</si>
  <si>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</si>
  <si>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</si>
  <si>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</si>
  <si>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</si>
  <si>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</si>
  <si>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</si>
  <si>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</si>
  <si>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</si>
  <si>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</si>
  <si>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</si>
  <si>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</si>
  <si>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</si>
  <si>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</si>
  <si>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r>
      <rPr>
        <sz val="11"/>
        <color theme="1"/>
        <rFont val="Calibri"/>
        <family val="2"/>
        <charset val="1"/>
      </rPr>
      <t xml:space="preserve">dly_d1_m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cp_orcl_jup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</si>
  <si>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</si>
  <si>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</si>
  <si>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</si>
  <si>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</si>
  <si>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</si>
  <si>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</si>
  <si>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</si>
  <si>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</si>
  <si>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</si>
  <si>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</si>
  <si>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</si>
  <si>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</si>
  <si>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2026-03-02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</si>
  <si>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</si>
  <si>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</si>
  <si>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</si>
  <si>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</si>
  <si>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工期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</si>
  <si>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</si>
  <si>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</si>
  <si>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</si>
  <si>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</si>
  <si>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</si>
  <si>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</si>
  <si>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</si>
  <si>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</si>
  <si>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</si>
  <si>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</si>
  <si>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目標未見上線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</si>
  <si>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</si>
  <si>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</si>
  <si>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</si>
  <si>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</si>
  <si>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</si>
  <si>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</si>
  <si>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</si>
  <si>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</si>
  <si>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</si>
  <si>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</si>
  <si>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</si>
  <si>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</si>
  <si>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本人說）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</si>
  <si>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</si>
  <si>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</si>
  <si>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</si>
  <si>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</si>
  <si>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</si>
  <si>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</si>
  <si>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msft_guardian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cp_msft_wi1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</si>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</sst>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17.15" hidden="false" customHeight="false" outlineLevel="0" collapsed="false">
      <c r="A9" s="2" t="s">
        <v>8</v>
      </c>
    </row>
    <row r="10" customFormat="false" ht="17.15" hidden="false" customHeight="false" outlineLevel="0" collapsed="false">
      <c r="A10" s="3" t="s">
        <v>9</v>
      </c>
    </row>
    <row r="11" customFormat="false" ht="17.15" hidden="false" customHeight="false" outlineLevel="0" collapsed="false">
      <c r="A1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4" customFormat="false" ht="17.15" hidden="false" customHeight="fals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6"/>
      <c r="S4" s="6" t="s">
        <v>30</v>
      </c>
    </row>
    <row r="5" customFormat="false" ht="17.15" hidden="false" customHeight="false" outlineLevel="0" collapsed="false">
      <c r="A5" s="8" t="s">
        <v>31</v>
      </c>
    </row>
    <row r="6" customFormat="false" ht="17.15" hidden="false" customHeight="false" outlineLevel="0" collapsed="false">
      <c r="A6" s="0" t="s">
        <v>32</v>
      </c>
      <c r="B6" s="5" t="s">
        <v>33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38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34</v>
      </c>
      <c r="D7" s="0" t="s">
        <v>35</v>
      </c>
      <c r="E7" s="0" t="s">
        <v>41</v>
      </c>
      <c r="F7" s="0" t="s">
        <v>42</v>
      </c>
      <c r="G7" s="5" t="s">
        <v>43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44</v>
      </c>
      <c r="B8" s="5" t="s">
        <v>45</v>
      </c>
      <c r="C8" s="0" t="s">
        <v>34</v>
      </c>
      <c r="D8" s="5" t="s">
        <v>46</v>
      </c>
      <c r="E8" s="0" t="s">
        <v>36</v>
      </c>
      <c r="F8" s="0" t="s">
        <v>47</v>
      </c>
      <c r="G8" s="0" t="s">
        <v>48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49</v>
      </c>
      <c r="B9" s="5" t="s">
        <v>50</v>
      </c>
      <c r="C9" s="0" t="s">
        <v>34</v>
      </c>
      <c r="D9" s="0" t="s">
        <v>51</v>
      </c>
      <c r="E9" s="0" t="s">
        <v>52</v>
      </c>
      <c r="F9" s="0" t="s">
        <v>37</v>
      </c>
      <c r="G9" s="5" t="s">
        <v>53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54</v>
      </c>
      <c r="B10" s="5" t="s">
        <v>55</v>
      </c>
      <c r="C10" s="0" t="s">
        <v>34</v>
      </c>
      <c r="D10" s="5" t="s">
        <v>56</v>
      </c>
      <c r="E10" s="0" t="s">
        <v>52</v>
      </c>
      <c r="F10" s="0" t="s">
        <v>47</v>
      </c>
      <c r="G10" s="5" t="s">
        <v>57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58</v>
      </c>
      <c r="B11" s="5" t="s">
        <v>59</v>
      </c>
      <c r="C11" s="0" t="s">
        <v>34</v>
      </c>
      <c r="D11" s="0" t="s">
        <v>51</v>
      </c>
      <c r="E11" s="0" t="s">
        <v>52</v>
      </c>
      <c r="F11" s="0" t="s">
        <v>47</v>
      </c>
      <c r="G11" s="5" t="s">
        <v>60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61</v>
      </c>
    </row>
    <row r="13" customFormat="false" ht="17.15" hidden="false" customHeight="false" outlineLevel="0" collapsed="false">
      <c r="A13" s="0" t="s">
        <v>62</v>
      </c>
      <c r="B13" s="5" t="s">
        <v>63</v>
      </c>
      <c r="C13" s="0" t="s">
        <v>34</v>
      </c>
      <c r="D13" s="0" t="s">
        <v>51</v>
      </c>
      <c r="E13" s="0" t="s">
        <v>52</v>
      </c>
      <c r="F13" s="0" t="s">
        <v>47</v>
      </c>
      <c r="G13" s="0" t="s">
        <v>64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0" t="s">
        <v>34</v>
      </c>
      <c r="D14" s="0" t="s">
        <v>51</v>
      </c>
      <c r="E14" s="0" t="s">
        <v>36</v>
      </c>
      <c r="F14" s="0" t="s">
        <v>67</v>
      </c>
      <c r="G14" s="0" t="s">
        <v>68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69</v>
      </c>
      <c r="B15" s="5" t="s">
        <v>70</v>
      </c>
      <c r="C15" s="0" t="s">
        <v>34</v>
      </c>
      <c r="D15" s="0" t="s">
        <v>51</v>
      </c>
      <c r="E15" s="0" t="s">
        <v>52</v>
      </c>
      <c r="F15" s="0" t="s">
        <v>47</v>
      </c>
      <c r="G15" s="5" t="s">
        <v>71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72</v>
      </c>
    </row>
    <row r="17" customFormat="false" ht="17.15" hidden="false" customHeight="false" outlineLevel="0" collapsed="false">
      <c r="A17" s="0" t="s">
        <v>73</v>
      </c>
      <c r="B17" s="5" t="s">
        <v>74</v>
      </c>
      <c r="C17" s="5" t="s">
        <v>75</v>
      </c>
      <c r="D17" s="0" t="s">
        <v>76</v>
      </c>
      <c r="E17" s="0" t="s">
        <v>41</v>
      </c>
      <c r="F17" s="0" t="s">
        <v>77</v>
      </c>
      <c r="G17" s="0" t="s">
        <v>78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79</v>
      </c>
      <c r="B18" s="5" t="s">
        <v>80</v>
      </c>
      <c r="C18" s="5" t="s">
        <v>75</v>
      </c>
      <c r="D18" s="0" t="s">
        <v>76</v>
      </c>
      <c r="E18" s="0" t="s">
        <v>41</v>
      </c>
      <c r="F18" s="0" t="s">
        <v>77</v>
      </c>
      <c r="G18" s="0" t="s">
        <v>81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82</v>
      </c>
      <c r="B19" s="5" t="s">
        <v>83</v>
      </c>
      <c r="C19" s="0" t="s">
        <v>34</v>
      </c>
      <c r="D19" s="0" t="s">
        <v>51</v>
      </c>
      <c r="E19" s="0" t="s">
        <v>41</v>
      </c>
      <c r="F19" s="0" t="s">
        <v>77</v>
      </c>
      <c r="G19" s="0" t="s">
        <v>78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84</v>
      </c>
      <c r="B20" s="5" t="s">
        <v>85</v>
      </c>
      <c r="C20" s="0" t="s">
        <v>34</v>
      </c>
      <c r="D20" s="0" t="s">
        <v>51</v>
      </c>
      <c r="E20" s="0" t="s">
        <v>41</v>
      </c>
      <c r="F20" s="0" t="s">
        <v>77</v>
      </c>
      <c r="G20" s="0" t="s">
        <v>86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0" t="s">
        <v>34</v>
      </c>
      <c r="D22" s="0" t="s">
        <v>51</v>
      </c>
      <c r="E22" s="0" t="s">
        <v>36</v>
      </c>
      <c r="F22" s="0" t="s">
        <v>90</v>
      </c>
      <c r="G22" s="0" t="s">
        <v>91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0" t="s">
        <v>34</v>
      </c>
      <c r="D23" s="5" t="s">
        <v>56</v>
      </c>
      <c r="E23" s="0" t="s">
        <v>36</v>
      </c>
      <c r="F23" s="0" t="s">
        <v>90</v>
      </c>
      <c r="G23" s="0" t="s">
        <v>94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95</v>
      </c>
      <c r="B24" s="0" t="s">
        <v>96</v>
      </c>
      <c r="C24" s="0" t="s">
        <v>34</v>
      </c>
      <c r="D24" s="0" t="s">
        <v>51</v>
      </c>
      <c r="E24" s="0" t="s">
        <v>36</v>
      </c>
      <c r="F24" s="0" t="s">
        <v>90</v>
      </c>
      <c r="G24" s="0" t="s">
        <v>97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0" t="s">
        <v>34</v>
      </c>
      <c r="D25" s="5" t="s">
        <v>56</v>
      </c>
      <c r="E25" s="0" t="s">
        <v>36</v>
      </c>
      <c r="F25" s="0" t="s">
        <v>90</v>
      </c>
      <c r="G25" s="0" t="s">
        <v>100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101</v>
      </c>
      <c r="B26" s="0" t="s">
        <v>102</v>
      </c>
      <c r="C26" s="0" t="s">
        <v>34</v>
      </c>
      <c r="D26" s="5" t="s">
        <v>46</v>
      </c>
      <c r="E26" s="0" t="s">
        <v>36</v>
      </c>
      <c r="F26" s="0" t="s">
        <v>90</v>
      </c>
      <c r="G26" s="0" t="s">
        <v>103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0" t="s">
        <v>34</v>
      </c>
      <c r="D27" s="5" t="s">
        <v>46</v>
      </c>
      <c r="E27" s="0" t="s">
        <v>36</v>
      </c>
      <c r="F27" s="0" t="s">
        <v>90</v>
      </c>
      <c r="G27" s="5" t="s">
        <v>106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107</v>
      </c>
    </row>
    <row r="29" customFormat="false" ht="17.15" hidden="false" customHeight="false" outlineLevel="0" collapsed="false">
      <c r="A29" s="0" t="s">
        <v>108</v>
      </c>
      <c r="B29" s="0" t="s">
        <v>109</v>
      </c>
      <c r="C29" s="0" t="s">
        <v>110</v>
      </c>
      <c r="D29" s="0" t="s">
        <v>111</v>
      </c>
      <c r="E29" s="0" t="s">
        <v>112</v>
      </c>
      <c r="F29" s="0" t="s">
        <v>113</v>
      </c>
      <c r="G29" s="0" t="s">
        <v>114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115</v>
      </c>
      <c r="B30" s="0" t="s">
        <v>116</v>
      </c>
      <c r="C30" s="0" t="s">
        <v>34</v>
      </c>
      <c r="D30" s="5" t="s">
        <v>46</v>
      </c>
      <c r="E30" s="0" t="s">
        <v>117</v>
      </c>
      <c r="F30" s="0" t="s">
        <v>113</v>
      </c>
      <c r="G30" s="0" t="s">
        <v>118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119</v>
      </c>
      <c r="B31" s="0" t="s">
        <v>120</v>
      </c>
      <c r="C31" s="5" t="s">
        <v>121</v>
      </c>
      <c r="D31" s="0" t="s">
        <v>111</v>
      </c>
      <c r="E31" s="0" t="s">
        <v>36</v>
      </c>
      <c r="F31" s="0" t="s">
        <v>122</v>
      </c>
      <c r="G31" s="0" t="s">
        <v>123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124</v>
      </c>
      <c r="B32" s="0" t="s">
        <v>125</v>
      </c>
      <c r="C32" s="0" t="s">
        <v>34</v>
      </c>
      <c r="D32" s="5" t="s">
        <v>46</v>
      </c>
      <c r="E32" s="0" t="s">
        <v>117</v>
      </c>
      <c r="F32" s="0" t="s">
        <v>122</v>
      </c>
      <c r="G32" s="0" t="s">
        <v>118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110</v>
      </c>
      <c r="D33" s="0" t="s">
        <v>111</v>
      </c>
      <c r="E33" s="0" t="s">
        <v>112</v>
      </c>
      <c r="F33" s="0" t="s">
        <v>67</v>
      </c>
      <c r="G33" s="0" t="s">
        <v>128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129</v>
      </c>
      <c r="B34" s="0" t="s">
        <v>130</v>
      </c>
      <c r="C34" s="0" t="s">
        <v>34</v>
      </c>
      <c r="D34" s="5" t="s">
        <v>46</v>
      </c>
      <c r="E34" s="0" t="s">
        <v>117</v>
      </c>
      <c r="F34" s="0" t="s">
        <v>67</v>
      </c>
      <c r="G34" s="0" t="s">
        <v>118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131</v>
      </c>
      <c r="B35" s="0" t="s">
        <v>132</v>
      </c>
      <c r="C35" s="0" t="s">
        <v>110</v>
      </c>
      <c r="D35" s="0" t="s">
        <v>111</v>
      </c>
      <c r="E35" s="0" t="s">
        <v>36</v>
      </c>
      <c r="F35" s="0" t="s">
        <v>133</v>
      </c>
      <c r="G35" s="0" t="s">
        <v>134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34</v>
      </c>
      <c r="D36" s="5" t="s">
        <v>46</v>
      </c>
      <c r="E36" s="0" t="s">
        <v>117</v>
      </c>
      <c r="F36" s="0" t="s">
        <v>133</v>
      </c>
      <c r="G36" s="0" t="s">
        <v>137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110</v>
      </c>
      <c r="D37" s="0" t="s">
        <v>111</v>
      </c>
      <c r="E37" s="0" t="s">
        <v>140</v>
      </c>
      <c r="F37" s="0" t="s">
        <v>141</v>
      </c>
      <c r="G37" s="0" t="s">
        <v>142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34</v>
      </c>
      <c r="D38" s="5" t="s">
        <v>46</v>
      </c>
      <c r="E38" s="0" t="s">
        <v>117</v>
      </c>
      <c r="F38" s="0" t="s">
        <v>141</v>
      </c>
      <c r="G38" s="0" t="s">
        <v>118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5" t="s">
        <v>75</v>
      </c>
      <c r="D39" s="0" t="s">
        <v>111</v>
      </c>
      <c r="E39" s="0" t="s">
        <v>140</v>
      </c>
      <c r="F39" s="0" t="s">
        <v>77</v>
      </c>
      <c r="G39" s="0" t="s">
        <v>147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148</v>
      </c>
      <c r="B40" s="0" t="s">
        <v>149</v>
      </c>
      <c r="C40" s="0" t="s">
        <v>34</v>
      </c>
      <c r="D40" s="5" t="s">
        <v>46</v>
      </c>
      <c r="E40" s="0" t="s">
        <v>117</v>
      </c>
      <c r="F40" s="0" t="s">
        <v>77</v>
      </c>
      <c r="G40" s="0" t="s">
        <v>118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150</v>
      </c>
    </row>
    <row r="42" customFormat="false" ht="17.15" hidden="false" customHeight="false" outlineLevel="0" collapsed="false">
      <c r="A42" s="0" t="s">
        <v>151</v>
      </c>
      <c r="B42" s="0" t="s">
        <v>152</v>
      </c>
      <c r="C42" s="0" t="s">
        <v>110</v>
      </c>
      <c r="D42" s="0" t="s">
        <v>111</v>
      </c>
      <c r="E42" s="0" t="s">
        <v>36</v>
      </c>
      <c r="F42" s="0" t="s">
        <v>42</v>
      </c>
      <c r="G42" s="0" t="s">
        <v>153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110</v>
      </c>
      <c r="D43" s="0" t="s">
        <v>111</v>
      </c>
      <c r="E43" s="0" t="s">
        <v>36</v>
      </c>
      <c r="F43" s="0" t="s">
        <v>42</v>
      </c>
      <c r="G43" s="0" t="s">
        <v>156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5" t="s">
        <v>75</v>
      </c>
      <c r="D44" s="0" t="s">
        <v>111</v>
      </c>
      <c r="E44" s="0" t="s">
        <v>41</v>
      </c>
      <c r="F44" s="0" t="s">
        <v>42</v>
      </c>
      <c r="G44" s="0" t="s">
        <v>159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160</v>
      </c>
      <c r="B45" s="5" t="s">
        <v>161</v>
      </c>
      <c r="C45" s="0" t="s">
        <v>110</v>
      </c>
      <c r="D45" s="0" t="s">
        <v>111</v>
      </c>
      <c r="E45" s="0" t="s">
        <v>52</v>
      </c>
      <c r="F45" s="0" t="s">
        <v>162</v>
      </c>
      <c r="G45" s="0" t="s">
        <v>163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164</v>
      </c>
      <c r="B46" s="5" t="s">
        <v>165</v>
      </c>
      <c r="C46" s="5" t="s">
        <v>166</v>
      </c>
      <c r="D46" s="0" t="s">
        <v>111</v>
      </c>
      <c r="E46" s="0" t="s">
        <v>52</v>
      </c>
      <c r="F46" s="0" t="s">
        <v>42</v>
      </c>
      <c r="G46" s="0" t="s">
        <v>167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168</v>
      </c>
      <c r="B47" s="5" t="s">
        <v>169</v>
      </c>
      <c r="C47" s="5" t="s">
        <v>166</v>
      </c>
      <c r="D47" s="0" t="s">
        <v>111</v>
      </c>
      <c r="E47" s="0" t="s">
        <v>36</v>
      </c>
      <c r="F47" s="0" t="s">
        <v>77</v>
      </c>
      <c r="G47" s="0" t="s">
        <v>170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171</v>
      </c>
      <c r="B48" s="5" t="s">
        <v>172</v>
      </c>
      <c r="C48" s="0" t="s">
        <v>34</v>
      </c>
      <c r="D48" s="5" t="s">
        <v>173</v>
      </c>
      <c r="E48" s="0" t="s">
        <v>52</v>
      </c>
      <c r="F48" s="0" t="s">
        <v>42</v>
      </c>
      <c r="G48" s="0" t="s">
        <v>174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175</v>
      </c>
      <c r="B49" s="5" t="s">
        <v>176</v>
      </c>
      <c r="C49" s="0" t="s">
        <v>110</v>
      </c>
      <c r="D49" s="0" t="s">
        <v>111</v>
      </c>
      <c r="E49" s="0" t="s">
        <v>52</v>
      </c>
      <c r="F49" s="0" t="s">
        <v>42</v>
      </c>
      <c r="G49" s="0" t="s">
        <v>177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178</v>
      </c>
      <c r="B50" s="5" t="s">
        <v>179</v>
      </c>
      <c r="C50" s="0" t="s">
        <v>110</v>
      </c>
      <c r="D50" s="0" t="s">
        <v>111</v>
      </c>
      <c r="E50" s="0" t="s">
        <v>52</v>
      </c>
      <c r="F50" s="0" t="s">
        <v>42</v>
      </c>
      <c r="G50" s="0" t="s">
        <v>180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5" t="s">
        <v>75</v>
      </c>
      <c r="D52" s="0" t="s">
        <v>76</v>
      </c>
      <c r="E52" s="0" t="s">
        <v>140</v>
      </c>
      <c r="F52" s="0" t="s">
        <v>77</v>
      </c>
      <c r="G52" s="0" t="s">
        <v>184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5" t="s">
        <v>75</v>
      </c>
      <c r="D53" s="0" t="s">
        <v>76</v>
      </c>
      <c r="E53" s="0" t="s">
        <v>140</v>
      </c>
      <c r="F53" s="0" t="s">
        <v>187</v>
      </c>
      <c r="G53" s="0" t="s">
        <v>188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5" t="s">
        <v>75</v>
      </c>
      <c r="D54" s="0" t="s">
        <v>76</v>
      </c>
      <c r="E54" s="0" t="s">
        <v>140</v>
      </c>
      <c r="F54" s="0" t="s">
        <v>191</v>
      </c>
      <c r="G54" s="0" t="s">
        <v>192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5" t="s">
        <v>75</v>
      </c>
      <c r="D55" s="0" t="s">
        <v>76</v>
      </c>
      <c r="E55" s="0" t="s">
        <v>140</v>
      </c>
      <c r="F55" s="0" t="s">
        <v>187</v>
      </c>
      <c r="G55" s="0" t="s">
        <v>195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196</v>
      </c>
      <c r="B56" s="0" t="s">
        <v>197</v>
      </c>
      <c r="C56" s="5" t="s">
        <v>75</v>
      </c>
      <c r="D56" s="0" t="s">
        <v>76</v>
      </c>
      <c r="E56" s="0" t="s">
        <v>140</v>
      </c>
      <c r="F56" s="0" t="s">
        <v>187</v>
      </c>
      <c r="G56" s="0" t="s">
        <v>198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5" t="s">
        <v>75</v>
      </c>
      <c r="D57" s="0" t="s">
        <v>76</v>
      </c>
      <c r="E57" s="0" t="s">
        <v>140</v>
      </c>
      <c r="F57" s="0" t="s">
        <v>187</v>
      </c>
      <c r="G57" s="0" t="s">
        <v>201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5" t="s">
        <v>75</v>
      </c>
      <c r="D58" s="0" t="s">
        <v>76</v>
      </c>
      <c r="E58" s="0" t="s">
        <v>140</v>
      </c>
      <c r="F58" s="0" t="s">
        <v>187</v>
      </c>
      <c r="G58" s="0" t="s">
        <v>204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5" t="s">
        <v>75</v>
      </c>
      <c r="D59" s="0" t="s">
        <v>76</v>
      </c>
      <c r="E59" s="0" t="s">
        <v>140</v>
      </c>
      <c r="F59" s="0" t="s">
        <v>77</v>
      </c>
      <c r="G59" s="0" t="s">
        <v>207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5" t="s">
        <v>75</v>
      </c>
      <c r="D60" s="0" t="s">
        <v>76</v>
      </c>
      <c r="E60" s="0" t="s">
        <v>140</v>
      </c>
      <c r="F60" s="0" t="s">
        <v>187</v>
      </c>
      <c r="G60" s="0" t="s">
        <v>210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34</v>
      </c>
      <c r="D61" s="0" t="s">
        <v>213</v>
      </c>
      <c r="E61" s="0" t="s">
        <v>117</v>
      </c>
      <c r="F61" s="0" t="s">
        <v>113</v>
      </c>
      <c r="G61" s="0" t="s">
        <v>214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34</v>
      </c>
      <c r="D62" s="0" t="s">
        <v>213</v>
      </c>
      <c r="E62" s="0" t="s">
        <v>117</v>
      </c>
      <c r="F62" s="0" t="s">
        <v>122</v>
      </c>
      <c r="G62" s="0" t="s">
        <v>217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0" t="s">
        <v>34</v>
      </c>
      <c r="D63" s="0" t="s">
        <v>213</v>
      </c>
      <c r="E63" s="0" t="s">
        <v>117</v>
      </c>
      <c r="F63" s="0" t="s">
        <v>67</v>
      </c>
      <c r="G63" s="0" t="s">
        <v>220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221</v>
      </c>
    </row>
    <row r="65" customFormat="false" ht="17.15" hidden="false" customHeight="false" outlineLevel="0" collapsed="false">
      <c r="A65" s="0" t="s">
        <v>222</v>
      </c>
      <c r="B65" s="5" t="s">
        <v>223</v>
      </c>
      <c r="C65" s="0" t="s">
        <v>34</v>
      </c>
      <c r="D65" s="0" t="s">
        <v>224</v>
      </c>
      <c r="E65" s="0" t="s">
        <v>36</v>
      </c>
      <c r="F65" s="0" t="s">
        <v>225</v>
      </c>
      <c r="G65" s="0" t="s">
        <v>226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227</v>
      </c>
      <c r="B66" s="5" t="s">
        <v>228</v>
      </c>
      <c r="C66" s="0" t="s">
        <v>34</v>
      </c>
      <c r="D66" s="0" t="s">
        <v>35</v>
      </c>
      <c r="E66" s="0" t="s">
        <v>52</v>
      </c>
      <c r="F66" s="0" t="s">
        <v>229</v>
      </c>
      <c r="G66" s="0" t="s">
        <v>230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231</v>
      </c>
      <c r="B67" s="5" t="s">
        <v>232</v>
      </c>
      <c r="C67" s="0" t="s">
        <v>34</v>
      </c>
      <c r="D67" s="0" t="s">
        <v>233</v>
      </c>
      <c r="E67" s="0" t="s">
        <v>41</v>
      </c>
      <c r="F67" s="0" t="s">
        <v>225</v>
      </c>
      <c r="G67" s="0" t="s">
        <v>234</v>
      </c>
      <c r="H67" s="9" t="n">
        <v>0.8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235</v>
      </c>
      <c r="B68" s="0" t="s">
        <v>236</v>
      </c>
      <c r="C68" s="0" t="s">
        <v>34</v>
      </c>
      <c r="D68" s="0" t="s">
        <v>224</v>
      </c>
      <c r="E68" s="0" t="s">
        <v>36</v>
      </c>
      <c r="F68" s="0" t="s">
        <v>225</v>
      </c>
      <c r="G68" s="5" t="s">
        <v>237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238</v>
      </c>
      <c r="B69" s="5" t="s">
        <v>239</v>
      </c>
      <c r="C69" s="0" t="s">
        <v>34</v>
      </c>
      <c r="D69" s="0" t="s">
        <v>224</v>
      </c>
      <c r="E69" s="0" t="s">
        <v>36</v>
      </c>
      <c r="F69" s="0" t="s">
        <v>225</v>
      </c>
      <c r="G69" s="0" t="s">
        <v>240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241</v>
      </c>
      <c r="B70" s="5" t="s">
        <v>242</v>
      </c>
      <c r="C70" s="0" t="s">
        <v>34</v>
      </c>
      <c r="D70" s="0" t="s">
        <v>224</v>
      </c>
      <c r="E70" s="0" t="s">
        <v>36</v>
      </c>
      <c r="F70" s="0" t="s">
        <v>225</v>
      </c>
      <c r="G70" s="0" t="s">
        <v>243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244</v>
      </c>
      <c r="B71" s="5" t="s">
        <v>245</v>
      </c>
      <c r="C71" s="0" t="s">
        <v>34</v>
      </c>
      <c r="D71" s="0" t="s">
        <v>224</v>
      </c>
      <c r="E71" s="0" t="s">
        <v>36</v>
      </c>
      <c r="F71" s="0" t="s">
        <v>225</v>
      </c>
      <c r="G71" s="0" t="s">
        <v>246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247</v>
      </c>
      <c r="B72" s="5" t="s">
        <v>248</v>
      </c>
      <c r="C72" s="0" t="s">
        <v>34</v>
      </c>
      <c r="D72" s="0" t="s">
        <v>224</v>
      </c>
      <c r="E72" s="0" t="s">
        <v>36</v>
      </c>
      <c r="F72" s="0" t="s">
        <v>225</v>
      </c>
      <c r="G72" s="0" t="s">
        <v>249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250</v>
      </c>
      <c r="B73" s="5" t="s">
        <v>251</v>
      </c>
      <c r="C73" s="0" t="s">
        <v>34</v>
      </c>
      <c r="D73" s="0" t="s">
        <v>224</v>
      </c>
      <c r="E73" s="0" t="s">
        <v>36</v>
      </c>
      <c r="F73" s="0" t="s">
        <v>225</v>
      </c>
      <c r="G73" s="0" t="s">
        <v>252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253</v>
      </c>
      <c r="B74" s="5" t="s">
        <v>254</v>
      </c>
      <c r="C74" s="0" t="s">
        <v>34</v>
      </c>
      <c r="D74" s="0" t="s">
        <v>224</v>
      </c>
      <c r="E74" s="0" t="s">
        <v>36</v>
      </c>
      <c r="F74" s="0" t="s">
        <v>225</v>
      </c>
      <c r="G74" s="0" t="s">
        <v>255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256</v>
      </c>
      <c r="B75" s="5" t="s">
        <v>257</v>
      </c>
      <c r="C75" s="0" t="s">
        <v>34</v>
      </c>
      <c r="D75" s="0" t="s">
        <v>224</v>
      </c>
      <c r="E75" s="0" t="s">
        <v>36</v>
      </c>
      <c r="F75" s="0" t="s">
        <v>225</v>
      </c>
      <c r="G75" s="0" t="s">
        <v>258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259</v>
      </c>
    </row>
    <row r="77" customFormat="false" ht="17.15" hidden="false" customHeight="false" outlineLevel="0" collapsed="false">
      <c r="A77" s="0" t="s">
        <v>260</v>
      </c>
      <c r="B77" s="5" t="s">
        <v>261</v>
      </c>
      <c r="C77" s="0" t="s">
        <v>34</v>
      </c>
      <c r="D77" s="0" t="s">
        <v>35</v>
      </c>
      <c r="E77" s="0" t="s">
        <v>52</v>
      </c>
      <c r="F77" s="0" t="s">
        <v>225</v>
      </c>
      <c r="G77" s="0" t="s">
        <v>262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263</v>
      </c>
      <c r="B78" s="5" t="s">
        <v>264</v>
      </c>
      <c r="C78" s="0" t="s">
        <v>34</v>
      </c>
      <c r="D78" s="0" t="s">
        <v>233</v>
      </c>
      <c r="E78" s="0" t="s">
        <v>41</v>
      </c>
      <c r="F78" s="0" t="s">
        <v>225</v>
      </c>
      <c r="G78" s="0" t="s">
        <v>265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266</v>
      </c>
      <c r="B79" s="5" t="s">
        <v>267</v>
      </c>
      <c r="C79" s="0" t="s">
        <v>34</v>
      </c>
      <c r="D79" s="0" t="s">
        <v>51</v>
      </c>
      <c r="E79" s="0" t="s">
        <v>52</v>
      </c>
      <c r="F79" s="0" t="s">
        <v>47</v>
      </c>
      <c r="G79" s="0" t="s">
        <v>268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269</v>
      </c>
      <c r="B80" s="5" t="s">
        <v>270</v>
      </c>
      <c r="C80" s="0" t="s">
        <v>34</v>
      </c>
      <c r="D80" s="0" t="s">
        <v>271</v>
      </c>
      <c r="E80" s="0" t="s">
        <v>52</v>
      </c>
      <c r="F80" s="0" t="s">
        <v>229</v>
      </c>
      <c r="G80" s="0" t="s">
        <v>272</v>
      </c>
      <c r="H80" s="9" t="n">
        <v>1.8</v>
      </c>
      <c r="I80" s="9" t="n">
        <v>2</v>
      </c>
      <c r="J80" s="9" t="n">
        <v>3.2</v>
      </c>
      <c r="S80" s="0" t="n">
        <v>1</v>
      </c>
    </row>
    <row r="81" customFormat="false" ht="17.15" hidden="false" customHeight="false" outlineLevel="0" collapsed="false">
      <c r="A81" s="0" t="s">
        <v>273</v>
      </c>
      <c r="B81" s="5" t="s">
        <v>274</v>
      </c>
      <c r="C81" s="0" t="s">
        <v>34</v>
      </c>
      <c r="D81" s="0" t="s">
        <v>76</v>
      </c>
      <c r="E81" s="0" t="s">
        <v>41</v>
      </c>
      <c r="F81" s="0" t="s">
        <v>225</v>
      </c>
      <c r="G81" s="0" t="s">
        <v>275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276</v>
      </c>
      <c r="B82" s="5" t="s">
        <v>277</v>
      </c>
      <c r="C82" s="0" t="s">
        <v>34</v>
      </c>
      <c r="D82" s="0" t="s">
        <v>76</v>
      </c>
      <c r="E82" s="0" t="s">
        <v>41</v>
      </c>
      <c r="F82" s="0" t="s">
        <v>225</v>
      </c>
      <c r="G82" s="0" t="s">
        <v>278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34</v>
      </c>
      <c r="D83" s="0" t="s">
        <v>35</v>
      </c>
      <c r="E83" s="0" t="s">
        <v>36</v>
      </c>
      <c r="F83" s="0" t="s">
        <v>281</v>
      </c>
      <c r="G83" s="0" t="s">
        <v>282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283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34</v>
      </c>
      <c r="D85" s="0" t="s">
        <v>51</v>
      </c>
      <c r="E85" s="0" t="s">
        <v>36</v>
      </c>
      <c r="F85" s="0" t="s">
        <v>122</v>
      </c>
      <c r="G85" s="0" t="s">
        <v>286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34</v>
      </c>
      <c r="D86" s="0" t="s">
        <v>51</v>
      </c>
      <c r="E86" s="0" t="s">
        <v>36</v>
      </c>
      <c r="F86" s="0" t="s">
        <v>67</v>
      </c>
      <c r="G86" s="0" t="s">
        <v>289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34</v>
      </c>
      <c r="D87" s="0" t="s">
        <v>51</v>
      </c>
      <c r="E87" s="0" t="s">
        <v>36</v>
      </c>
      <c r="F87" s="0" t="s">
        <v>141</v>
      </c>
      <c r="G87" s="0" t="s">
        <v>292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34</v>
      </c>
      <c r="D88" s="0" t="s">
        <v>51</v>
      </c>
      <c r="E88" s="0" t="s">
        <v>36</v>
      </c>
      <c r="F88" s="0" t="s">
        <v>295</v>
      </c>
      <c r="G88" s="0" t="s">
        <v>292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296</v>
      </c>
      <c r="B89" s="0" t="s">
        <v>297</v>
      </c>
      <c r="C89" s="0" t="s">
        <v>34</v>
      </c>
      <c r="D89" s="0" t="s">
        <v>51</v>
      </c>
      <c r="E89" s="0" t="s">
        <v>36</v>
      </c>
      <c r="F89" s="0" t="s">
        <v>298</v>
      </c>
      <c r="G89" s="0" t="s">
        <v>292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299</v>
      </c>
      <c r="B90" s="0" t="s">
        <v>300</v>
      </c>
      <c r="C90" s="0" t="s">
        <v>34</v>
      </c>
      <c r="D90" s="0" t="s">
        <v>51</v>
      </c>
      <c r="E90" s="0" t="s">
        <v>36</v>
      </c>
      <c r="F90" s="0" t="s">
        <v>77</v>
      </c>
      <c r="G90" s="0" t="s">
        <v>301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302</v>
      </c>
    </row>
    <row r="92" customFormat="false" ht="17.15" hidden="false" customHeight="false" outlineLevel="0" collapsed="false">
      <c r="A92" s="0" t="s">
        <v>303</v>
      </c>
      <c r="B92" s="0" t="s">
        <v>304</v>
      </c>
      <c r="C92" s="0" t="s">
        <v>34</v>
      </c>
      <c r="D92" s="5" t="s">
        <v>56</v>
      </c>
      <c r="E92" s="0" t="s">
        <v>117</v>
      </c>
      <c r="F92" s="0" t="s">
        <v>113</v>
      </c>
      <c r="G92" s="0" t="s">
        <v>305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306</v>
      </c>
      <c r="B93" s="0" t="s">
        <v>307</v>
      </c>
      <c r="C93" s="0" t="s">
        <v>34</v>
      </c>
      <c r="D93" s="5" t="s">
        <v>56</v>
      </c>
      <c r="E93" s="0" t="s">
        <v>117</v>
      </c>
      <c r="F93" s="0" t="s">
        <v>122</v>
      </c>
      <c r="G93" s="0" t="s">
        <v>305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308</v>
      </c>
      <c r="B94" s="0" t="s">
        <v>309</v>
      </c>
      <c r="C94" s="0" t="s">
        <v>34</v>
      </c>
      <c r="D94" s="5" t="s">
        <v>56</v>
      </c>
      <c r="E94" s="0" t="s">
        <v>117</v>
      </c>
      <c r="F94" s="0" t="s">
        <v>67</v>
      </c>
      <c r="G94" s="0" t="s">
        <v>305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310</v>
      </c>
      <c r="B95" s="0" t="s">
        <v>311</v>
      </c>
      <c r="C95" s="0" t="s">
        <v>34</v>
      </c>
      <c r="D95" s="5" t="s">
        <v>56</v>
      </c>
      <c r="E95" s="0" t="s">
        <v>117</v>
      </c>
      <c r="F95" s="0" t="s">
        <v>133</v>
      </c>
      <c r="G95" s="0" t="s">
        <v>305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312</v>
      </c>
      <c r="B96" s="0" t="s">
        <v>313</v>
      </c>
      <c r="C96" s="0" t="s">
        <v>34</v>
      </c>
      <c r="D96" s="5" t="s">
        <v>56</v>
      </c>
      <c r="E96" s="0" t="s">
        <v>117</v>
      </c>
      <c r="F96" s="0" t="s">
        <v>141</v>
      </c>
      <c r="G96" s="0" t="s">
        <v>305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314</v>
      </c>
      <c r="B97" s="0" t="s">
        <v>315</v>
      </c>
      <c r="C97" s="0" t="s">
        <v>34</v>
      </c>
      <c r="D97" s="5" t="s">
        <v>56</v>
      </c>
      <c r="E97" s="0" t="s">
        <v>117</v>
      </c>
      <c r="F97" s="0" t="s">
        <v>295</v>
      </c>
      <c r="G97" s="0" t="s">
        <v>305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316</v>
      </c>
      <c r="B98" s="0" t="s">
        <v>317</v>
      </c>
      <c r="C98" s="0" t="s">
        <v>34</v>
      </c>
      <c r="D98" s="5" t="s">
        <v>56</v>
      </c>
      <c r="E98" s="0" t="s">
        <v>117</v>
      </c>
      <c r="F98" s="0" t="s">
        <v>298</v>
      </c>
      <c r="G98" s="0" t="s">
        <v>305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318</v>
      </c>
      <c r="B99" s="0" t="s">
        <v>319</v>
      </c>
      <c r="C99" s="0" t="s">
        <v>34</v>
      </c>
      <c r="D99" s="5" t="s">
        <v>56</v>
      </c>
      <c r="E99" s="0" t="s">
        <v>117</v>
      </c>
      <c r="F99" s="0" t="s">
        <v>187</v>
      </c>
      <c r="G99" s="0" t="s">
        <v>320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321</v>
      </c>
    </row>
    <row r="101" customFormat="false" ht="17.15" hidden="false" customHeight="false" outlineLevel="0" collapsed="false">
      <c r="A101" s="0" t="s">
        <v>322</v>
      </c>
      <c r="B101" s="0" t="s">
        <v>323</v>
      </c>
      <c r="C101" s="5" t="s">
        <v>121</v>
      </c>
      <c r="D101" s="0" t="s">
        <v>111</v>
      </c>
      <c r="E101" s="0" t="s">
        <v>41</v>
      </c>
      <c r="F101" s="0" t="s">
        <v>187</v>
      </c>
      <c r="G101" s="0" t="s">
        <v>324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325</v>
      </c>
      <c r="B102" s="0" t="s">
        <v>326</v>
      </c>
      <c r="C102" s="5" t="s">
        <v>121</v>
      </c>
      <c r="D102" s="0" t="s">
        <v>111</v>
      </c>
      <c r="E102" s="0" t="s">
        <v>41</v>
      </c>
      <c r="F102" s="0" t="s">
        <v>187</v>
      </c>
      <c r="G102" s="0" t="s">
        <v>327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328</v>
      </c>
      <c r="B103" s="0" t="s">
        <v>329</v>
      </c>
      <c r="C103" s="5" t="s">
        <v>121</v>
      </c>
      <c r="D103" s="0" t="s">
        <v>111</v>
      </c>
      <c r="E103" s="0" t="s">
        <v>41</v>
      </c>
      <c r="F103" s="0" t="s">
        <v>187</v>
      </c>
      <c r="G103" s="0" t="s">
        <v>330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331</v>
      </c>
      <c r="B104" s="0" t="s">
        <v>332</v>
      </c>
      <c r="C104" s="5" t="s">
        <v>121</v>
      </c>
      <c r="D104" s="0" t="s">
        <v>111</v>
      </c>
      <c r="E104" s="0" t="s">
        <v>41</v>
      </c>
      <c r="F104" s="0" t="s">
        <v>187</v>
      </c>
      <c r="G104" s="0" t="s">
        <v>333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334</v>
      </c>
      <c r="B105" s="0" t="s">
        <v>335</v>
      </c>
      <c r="C105" s="5" t="s">
        <v>121</v>
      </c>
      <c r="D105" s="0" t="s">
        <v>111</v>
      </c>
      <c r="E105" s="0" t="s">
        <v>41</v>
      </c>
      <c r="F105" s="0" t="s">
        <v>187</v>
      </c>
      <c r="G105" s="0" t="s">
        <v>336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337</v>
      </c>
      <c r="B106" s="0" t="s">
        <v>338</v>
      </c>
      <c r="C106" s="5" t="s">
        <v>121</v>
      </c>
      <c r="D106" s="0" t="s">
        <v>111</v>
      </c>
      <c r="E106" s="0" t="s">
        <v>41</v>
      </c>
      <c r="F106" s="0" t="s">
        <v>42</v>
      </c>
      <c r="G106" s="0" t="s">
        <v>339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340</v>
      </c>
    </row>
    <row r="108" customFormat="false" ht="17.15" hidden="false" customHeight="false" outlineLevel="0" collapsed="false">
      <c r="A108" s="0" t="s">
        <v>341</v>
      </c>
      <c r="B108" s="0" t="s">
        <v>342</v>
      </c>
      <c r="C108" s="0" t="s">
        <v>110</v>
      </c>
      <c r="D108" s="0" t="s">
        <v>111</v>
      </c>
      <c r="E108" s="0" t="s">
        <v>36</v>
      </c>
      <c r="F108" s="0" t="s">
        <v>42</v>
      </c>
      <c r="G108" s="5" t="s">
        <v>343</v>
      </c>
      <c r="S108" s="0" t="n">
        <v>2</v>
      </c>
    </row>
    <row r="109" customFormat="false" ht="17.15" hidden="false" customHeight="false" outlineLevel="0" collapsed="false">
      <c r="A109" s="0" t="s">
        <v>344</v>
      </c>
      <c r="B109" s="0" t="s">
        <v>345</v>
      </c>
      <c r="C109" s="0" t="s">
        <v>110</v>
      </c>
      <c r="D109" s="0" t="s">
        <v>111</v>
      </c>
      <c r="E109" s="0" t="s">
        <v>36</v>
      </c>
      <c r="F109" s="0" t="s">
        <v>42</v>
      </c>
      <c r="G109" s="5" t="s">
        <v>343</v>
      </c>
      <c r="S109" s="0" t="n">
        <v>2</v>
      </c>
    </row>
    <row r="110" customFormat="false" ht="17.15" hidden="false" customHeight="false" outlineLevel="0" collapsed="false">
      <c r="A110" s="0" t="s">
        <v>346</v>
      </c>
      <c r="B110" s="0" t="s">
        <v>347</v>
      </c>
      <c r="C110" s="0" t="s">
        <v>110</v>
      </c>
      <c r="D110" s="0" t="s">
        <v>111</v>
      </c>
      <c r="E110" s="0" t="s">
        <v>36</v>
      </c>
      <c r="F110" s="0" t="s">
        <v>42</v>
      </c>
      <c r="G110" s="5" t="s">
        <v>343</v>
      </c>
      <c r="S110" s="0" t="n">
        <v>2</v>
      </c>
    </row>
    <row r="111" customFormat="false" ht="17.15" hidden="false" customHeight="false" outlineLevel="0" collapsed="false">
      <c r="A111" s="0" t="s">
        <v>348</v>
      </c>
      <c r="B111" s="0" t="s">
        <v>349</v>
      </c>
      <c r="C111" s="0" t="s">
        <v>110</v>
      </c>
      <c r="D111" s="0" t="s">
        <v>111</v>
      </c>
      <c r="E111" s="0" t="s">
        <v>36</v>
      </c>
      <c r="F111" s="0" t="s">
        <v>42</v>
      </c>
      <c r="G111" s="5" t="s">
        <v>343</v>
      </c>
      <c r="S111" s="0" t="n">
        <v>2</v>
      </c>
    </row>
    <row r="112" customFormat="false" ht="17.15" hidden="false" customHeight="false" outlineLevel="0" collapsed="false">
      <c r="A112" s="0" t="s">
        <v>350</v>
      </c>
      <c r="B112" s="0" t="s">
        <v>351</v>
      </c>
      <c r="C112" s="0" t="s">
        <v>110</v>
      </c>
      <c r="D112" s="0" t="s">
        <v>111</v>
      </c>
      <c r="E112" s="0" t="s">
        <v>36</v>
      </c>
      <c r="F112" s="0" t="s">
        <v>42</v>
      </c>
      <c r="G112" s="5" t="s">
        <v>343</v>
      </c>
      <c r="S112" s="0" t="n">
        <v>2</v>
      </c>
    </row>
    <row r="113" customFormat="false" ht="17.15" hidden="false" customHeight="false" outlineLevel="0" collapsed="false">
      <c r="A113" s="0" t="s">
        <v>352</v>
      </c>
      <c r="B113" s="0" t="s">
        <v>353</v>
      </c>
      <c r="C113" s="0" t="s">
        <v>110</v>
      </c>
      <c r="D113" s="0" t="s">
        <v>111</v>
      </c>
      <c r="E113" s="0" t="s">
        <v>354</v>
      </c>
      <c r="F113" s="0" t="s">
        <v>187</v>
      </c>
      <c r="G113" s="0" t="s">
        <v>355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356</v>
      </c>
      <c r="B114" s="0" t="s">
        <v>357</v>
      </c>
      <c r="C114" s="5" t="s">
        <v>75</v>
      </c>
      <c r="D114" s="0" t="s">
        <v>111</v>
      </c>
      <c r="E114" s="0" t="s">
        <v>140</v>
      </c>
      <c r="F114" s="0" t="s">
        <v>295</v>
      </c>
      <c r="G114" s="0" t="s">
        <v>358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359</v>
      </c>
      <c r="B115" s="0" t="s">
        <v>360</v>
      </c>
      <c r="C115" s="0" t="s">
        <v>110</v>
      </c>
      <c r="D115" s="0" t="s">
        <v>111</v>
      </c>
      <c r="E115" s="0" t="s">
        <v>36</v>
      </c>
      <c r="F115" s="0" t="s">
        <v>298</v>
      </c>
      <c r="G115" s="0" t="s">
        <v>361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362</v>
      </c>
      <c r="B116" s="0" t="s">
        <v>363</v>
      </c>
      <c r="C116" s="5" t="s">
        <v>75</v>
      </c>
      <c r="D116" s="0" t="s">
        <v>111</v>
      </c>
      <c r="E116" s="0" t="s">
        <v>140</v>
      </c>
      <c r="F116" s="0" t="s">
        <v>77</v>
      </c>
      <c r="G116" s="0" t="s">
        <v>364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365</v>
      </c>
      <c r="B117" s="0" t="s">
        <v>366</v>
      </c>
      <c r="C117" s="0" t="s">
        <v>110</v>
      </c>
      <c r="D117" s="0" t="s">
        <v>111</v>
      </c>
      <c r="E117" s="0" t="s">
        <v>36</v>
      </c>
      <c r="F117" s="0" t="s">
        <v>77</v>
      </c>
      <c r="G117" s="0" t="s">
        <v>367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368</v>
      </c>
      <c r="B118" s="0" t="s">
        <v>369</v>
      </c>
      <c r="C118" s="0" t="s">
        <v>110</v>
      </c>
      <c r="D118" s="0" t="s">
        <v>111</v>
      </c>
      <c r="E118" s="0" t="s">
        <v>36</v>
      </c>
      <c r="F118" s="0" t="s">
        <v>370</v>
      </c>
      <c r="G118" s="0" t="s">
        <v>371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372</v>
      </c>
      <c r="B119" s="5" t="s">
        <v>373</v>
      </c>
      <c r="C119" s="0" t="s">
        <v>110</v>
      </c>
      <c r="D119" s="0" t="s">
        <v>111</v>
      </c>
      <c r="E119" s="0" t="s">
        <v>52</v>
      </c>
      <c r="F119" s="0" t="s">
        <v>162</v>
      </c>
      <c r="G119" s="0" t="s">
        <v>374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375</v>
      </c>
      <c r="B120" s="5" t="s">
        <v>376</v>
      </c>
      <c r="C120" s="5" t="s">
        <v>75</v>
      </c>
      <c r="D120" s="0" t="s">
        <v>111</v>
      </c>
      <c r="E120" s="0" t="s">
        <v>36</v>
      </c>
      <c r="F120" s="0" t="s">
        <v>77</v>
      </c>
      <c r="G120" s="0" t="s">
        <v>377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378</v>
      </c>
      <c r="B121" s="5" t="s">
        <v>379</v>
      </c>
      <c r="C121" s="5" t="s">
        <v>166</v>
      </c>
      <c r="D121" s="0" t="s">
        <v>111</v>
      </c>
      <c r="E121" s="0" t="s">
        <v>380</v>
      </c>
      <c r="F121" s="0" t="s">
        <v>42</v>
      </c>
      <c r="G121" s="0" t="s">
        <v>381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382</v>
      </c>
      <c r="B122" s="5" t="s">
        <v>383</v>
      </c>
      <c r="C122" s="0" t="s">
        <v>110</v>
      </c>
      <c r="D122" s="0" t="s">
        <v>111</v>
      </c>
      <c r="E122" s="0" t="s">
        <v>52</v>
      </c>
      <c r="F122" s="0" t="s">
        <v>42</v>
      </c>
      <c r="G122" s="0" t="s">
        <v>384</v>
      </c>
      <c r="S122" s="0" t="n">
        <v>2</v>
      </c>
    </row>
    <row r="123" customFormat="false" ht="17.15" hidden="false" customHeight="false" outlineLevel="0" collapsed="false">
      <c r="A123" s="8" t="s">
        <v>385</v>
      </c>
    </row>
    <row r="124" customFormat="false" ht="17.15" hidden="false" customHeight="false" outlineLevel="0" collapsed="false">
      <c r="A124" s="0" t="s">
        <v>386</v>
      </c>
      <c r="B124" s="0" t="s">
        <v>387</v>
      </c>
      <c r="C124" s="0" t="s">
        <v>34</v>
      </c>
      <c r="D124" s="0" t="s">
        <v>388</v>
      </c>
      <c r="E124" s="0" t="s">
        <v>140</v>
      </c>
      <c r="F124" s="0" t="s">
        <v>389</v>
      </c>
      <c r="G124" s="0" t="s">
        <v>390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391</v>
      </c>
      <c r="B125" s="0" t="s">
        <v>392</v>
      </c>
      <c r="C125" s="0" t="s">
        <v>34</v>
      </c>
      <c r="D125" s="0" t="s">
        <v>388</v>
      </c>
      <c r="E125" s="0" t="s">
        <v>140</v>
      </c>
      <c r="F125" s="0" t="s">
        <v>393</v>
      </c>
      <c r="G125" s="0" t="s">
        <v>394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395</v>
      </c>
      <c r="B126" s="0" t="s">
        <v>396</v>
      </c>
      <c r="C126" s="0" t="s">
        <v>34</v>
      </c>
      <c r="D126" s="0" t="s">
        <v>388</v>
      </c>
      <c r="E126" s="0" t="s">
        <v>140</v>
      </c>
      <c r="F126" s="0" t="s">
        <v>397</v>
      </c>
      <c r="G126" s="0" t="s">
        <v>398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399</v>
      </c>
      <c r="B127" s="0" t="s">
        <v>400</v>
      </c>
      <c r="C127" s="0" t="s">
        <v>34</v>
      </c>
      <c r="D127" s="0" t="s">
        <v>388</v>
      </c>
      <c r="E127" s="0" t="s">
        <v>140</v>
      </c>
      <c r="F127" s="0" t="s">
        <v>187</v>
      </c>
      <c r="G127" s="0" t="s">
        <v>401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402</v>
      </c>
      <c r="B128" s="0" t="s">
        <v>403</v>
      </c>
      <c r="C128" s="0" t="s">
        <v>34</v>
      </c>
      <c r="D128" s="0" t="s">
        <v>388</v>
      </c>
      <c r="E128" s="0" t="s">
        <v>140</v>
      </c>
      <c r="F128" s="0" t="s">
        <v>404</v>
      </c>
      <c r="G128" s="0" t="s">
        <v>405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406</v>
      </c>
      <c r="B129" s="0" t="s">
        <v>407</v>
      </c>
      <c r="C129" s="0" t="s">
        <v>34</v>
      </c>
      <c r="D129" s="0" t="s">
        <v>388</v>
      </c>
      <c r="E129" s="0" t="s">
        <v>140</v>
      </c>
      <c r="F129" s="0" t="s">
        <v>408</v>
      </c>
      <c r="G129" s="0" t="s">
        <v>409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410</v>
      </c>
      <c r="B130" s="0" t="s">
        <v>411</v>
      </c>
      <c r="C130" s="0" t="s">
        <v>34</v>
      </c>
      <c r="D130" s="0" t="s">
        <v>388</v>
      </c>
      <c r="E130" s="0" t="s">
        <v>140</v>
      </c>
      <c r="F130" s="0" t="s">
        <v>191</v>
      </c>
      <c r="G130" s="0" t="s">
        <v>412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413</v>
      </c>
      <c r="B131" s="12" t="s">
        <v>414</v>
      </c>
      <c r="C131" s="12" t="s">
        <v>34</v>
      </c>
      <c r="D131" s="12" t="s">
        <v>388</v>
      </c>
      <c r="E131" s="13" t="s">
        <v>415</v>
      </c>
      <c r="F131" s="12" t="s">
        <v>416</v>
      </c>
      <c r="G131" s="13" t="s">
        <v>417</v>
      </c>
      <c r="S131" s="0" t="n">
        <v>2</v>
      </c>
    </row>
    <row r="132" customFormat="false" ht="17.15" hidden="false" customHeight="false" outlineLevel="0" collapsed="false">
      <c r="A132" s="12" t="s">
        <v>418</v>
      </c>
      <c r="B132" s="12" t="s">
        <v>419</v>
      </c>
      <c r="C132" s="12" t="s">
        <v>34</v>
      </c>
      <c r="D132" s="12" t="s">
        <v>388</v>
      </c>
      <c r="E132" s="13" t="s">
        <v>415</v>
      </c>
      <c r="F132" s="12" t="s">
        <v>416</v>
      </c>
      <c r="G132" s="13" t="s">
        <v>420</v>
      </c>
      <c r="S132" s="0" t="n">
        <v>2</v>
      </c>
    </row>
    <row r="133" customFormat="false" ht="17.15" hidden="false" customHeight="false" outlineLevel="0" collapsed="false">
      <c r="A133" s="12" t="s">
        <v>421</v>
      </c>
      <c r="B133" s="12" t="s">
        <v>422</v>
      </c>
      <c r="C133" s="12" t="s">
        <v>34</v>
      </c>
      <c r="D133" s="12" t="s">
        <v>388</v>
      </c>
      <c r="E133" s="13" t="s">
        <v>415</v>
      </c>
      <c r="F133" s="12" t="s">
        <v>416</v>
      </c>
      <c r="G133" s="13" t="s">
        <v>420</v>
      </c>
      <c r="S133" s="0" t="n">
        <v>2</v>
      </c>
    </row>
    <row r="134" customFormat="false" ht="17.15" hidden="false" customHeight="false" outlineLevel="0" collapsed="false">
      <c r="A134" s="12" t="s">
        <v>423</v>
      </c>
      <c r="B134" s="12" t="s">
        <v>424</v>
      </c>
      <c r="C134" s="12" t="s">
        <v>34</v>
      </c>
      <c r="D134" s="12" t="s">
        <v>388</v>
      </c>
      <c r="E134" s="13" t="s">
        <v>415</v>
      </c>
      <c r="F134" s="12" t="s">
        <v>416</v>
      </c>
      <c r="G134" s="13" t="s">
        <v>420</v>
      </c>
      <c r="S134" s="0" t="n">
        <v>2</v>
      </c>
    </row>
    <row r="135" customFormat="false" ht="17.15" hidden="false" customHeight="false" outlineLevel="0" collapsed="false">
      <c r="A135" s="12" t="s">
        <v>425</v>
      </c>
      <c r="B135" s="13" t="s">
        <v>426</v>
      </c>
      <c r="C135" s="12" t="s">
        <v>34</v>
      </c>
      <c r="D135" s="12" t="s">
        <v>388</v>
      </c>
      <c r="E135" s="13" t="s">
        <v>415</v>
      </c>
      <c r="F135" s="12" t="s">
        <v>416</v>
      </c>
      <c r="G135" s="13" t="s">
        <v>420</v>
      </c>
      <c r="S135" s="0" t="n">
        <v>2</v>
      </c>
    </row>
    <row r="136" customFormat="false" ht="17.15" hidden="false" customHeight="false" outlineLevel="0" collapsed="false">
      <c r="A136" s="12" t="s">
        <v>427</v>
      </c>
      <c r="B136" s="13" t="s">
        <v>428</v>
      </c>
      <c r="C136" s="12" t="s">
        <v>34</v>
      </c>
      <c r="D136" s="12" t="s">
        <v>388</v>
      </c>
      <c r="E136" s="13" t="s">
        <v>415</v>
      </c>
      <c r="F136" s="12" t="s">
        <v>416</v>
      </c>
      <c r="G136" s="13" t="s">
        <v>420</v>
      </c>
      <c r="S136" s="0" t="n">
        <v>2</v>
      </c>
    </row>
    <row r="137" customFormat="false" ht="17.15" hidden="false" customHeight="false" outlineLevel="0" collapsed="false">
      <c r="A137" s="12" t="s">
        <v>429</v>
      </c>
      <c r="B137" s="13" t="s">
        <v>430</v>
      </c>
      <c r="C137" s="12" t="s">
        <v>34</v>
      </c>
      <c r="D137" s="12" t="s">
        <v>388</v>
      </c>
      <c r="E137" s="13" t="s">
        <v>415</v>
      </c>
      <c r="F137" s="12" t="s">
        <v>416</v>
      </c>
      <c r="G137" s="13" t="s">
        <v>420</v>
      </c>
      <c r="S137" s="0" t="n">
        <v>2</v>
      </c>
    </row>
    <row r="138" customFormat="false" ht="17.15" hidden="false" customHeight="false" outlineLevel="0" collapsed="false">
      <c r="A138" s="12" t="s">
        <v>431</v>
      </c>
      <c r="B138" s="13" t="s">
        <v>432</v>
      </c>
      <c r="C138" s="12" t="s">
        <v>34</v>
      </c>
      <c r="D138" s="12" t="s">
        <v>388</v>
      </c>
      <c r="E138" s="13" t="s">
        <v>415</v>
      </c>
      <c r="F138" s="12" t="s">
        <v>416</v>
      </c>
      <c r="G138" s="13" t="s">
        <v>420</v>
      </c>
      <c r="S138" s="0" t="n">
        <v>2</v>
      </c>
    </row>
    <row r="139" customFormat="false" ht="17.15" hidden="false" customHeight="false" outlineLevel="0" collapsed="false">
      <c r="A139" s="8" t="s">
        <v>433</v>
      </c>
    </row>
    <row r="140" customFormat="false" ht="17.15" hidden="false" customHeight="false" outlineLevel="0" collapsed="false">
      <c r="A140" s="12" t="s">
        <v>434</v>
      </c>
      <c r="B140" s="12" t="s">
        <v>435</v>
      </c>
      <c r="C140" s="12" t="s">
        <v>34</v>
      </c>
      <c r="D140" s="12" t="s">
        <v>388</v>
      </c>
      <c r="E140" s="13" t="s">
        <v>415</v>
      </c>
      <c r="F140" s="12" t="s">
        <v>416</v>
      </c>
      <c r="G140" s="13" t="s">
        <v>436</v>
      </c>
      <c r="S140" s="0" t="n">
        <v>2</v>
      </c>
    </row>
    <row r="141" customFormat="false" ht="17.15" hidden="false" customHeight="false" outlineLevel="0" collapsed="false">
      <c r="A141" s="12" t="s">
        <v>437</v>
      </c>
      <c r="B141" s="12" t="s">
        <v>438</v>
      </c>
      <c r="C141" s="12" t="s">
        <v>34</v>
      </c>
      <c r="D141" s="12" t="s">
        <v>388</v>
      </c>
      <c r="E141" s="13" t="s">
        <v>415</v>
      </c>
      <c r="F141" s="12" t="s">
        <v>416</v>
      </c>
      <c r="G141" s="13" t="s">
        <v>436</v>
      </c>
      <c r="S141" s="0" t="n">
        <v>2</v>
      </c>
    </row>
    <row r="142" customFormat="false" ht="17.15" hidden="false" customHeight="false" outlineLevel="0" collapsed="false">
      <c r="A142" s="12" t="s">
        <v>439</v>
      </c>
      <c r="B142" s="12" t="s">
        <v>440</v>
      </c>
      <c r="C142" s="12" t="s">
        <v>34</v>
      </c>
      <c r="D142" s="12" t="s">
        <v>388</v>
      </c>
      <c r="E142" s="13" t="s">
        <v>415</v>
      </c>
      <c r="F142" s="12" t="s">
        <v>416</v>
      </c>
      <c r="G142" s="13" t="s">
        <v>436</v>
      </c>
      <c r="S142" s="0" t="n">
        <v>2</v>
      </c>
    </row>
    <row r="143" customFormat="false" ht="17.15" hidden="false" customHeight="false" outlineLevel="0" collapsed="false">
      <c r="A143" s="12" t="s">
        <v>441</v>
      </c>
      <c r="B143" s="12" t="s">
        <v>442</v>
      </c>
      <c r="C143" s="12" t="s">
        <v>34</v>
      </c>
      <c r="D143" s="12" t="s">
        <v>388</v>
      </c>
      <c r="E143" s="13" t="s">
        <v>415</v>
      </c>
      <c r="F143" s="12" t="s">
        <v>416</v>
      </c>
      <c r="G143" s="13" t="s">
        <v>436</v>
      </c>
      <c r="S143" s="0" t="n">
        <v>2</v>
      </c>
    </row>
    <row r="144" customFormat="false" ht="17.15" hidden="false" customHeight="false" outlineLevel="0" collapsed="false">
      <c r="A144" s="12" t="s">
        <v>443</v>
      </c>
      <c r="B144" s="12" t="s">
        <v>444</v>
      </c>
      <c r="C144" s="12" t="s">
        <v>34</v>
      </c>
      <c r="D144" s="12" t="s">
        <v>388</v>
      </c>
      <c r="E144" s="13" t="s">
        <v>415</v>
      </c>
      <c r="F144" s="12" t="s">
        <v>416</v>
      </c>
      <c r="G144" s="13" t="s">
        <v>436</v>
      </c>
      <c r="S144" s="0" t="n">
        <v>2</v>
      </c>
    </row>
    <row r="145" customFormat="false" ht="17.15" hidden="false" customHeight="false" outlineLevel="0" collapsed="false">
      <c r="A145" s="12" t="s">
        <v>445</v>
      </c>
      <c r="B145" s="12" t="s">
        <v>446</v>
      </c>
      <c r="C145" s="12" t="s">
        <v>34</v>
      </c>
      <c r="D145" s="12" t="s">
        <v>388</v>
      </c>
      <c r="E145" s="13" t="s">
        <v>415</v>
      </c>
      <c r="F145" s="12" t="s">
        <v>416</v>
      </c>
      <c r="G145" s="13" t="s">
        <v>436</v>
      </c>
      <c r="S145" s="0" t="n">
        <v>2</v>
      </c>
    </row>
    <row r="146" customFormat="false" ht="17.15" hidden="false" customHeight="false" outlineLevel="0" collapsed="false">
      <c r="A146" s="12" t="s">
        <v>447</v>
      </c>
      <c r="B146" s="12" t="s">
        <v>448</v>
      </c>
      <c r="C146" s="12" t="s">
        <v>34</v>
      </c>
      <c r="D146" s="12" t="s">
        <v>388</v>
      </c>
      <c r="E146" s="13" t="s">
        <v>415</v>
      </c>
      <c r="F146" s="12" t="s">
        <v>416</v>
      </c>
      <c r="G146" s="13" t="s">
        <v>436</v>
      </c>
      <c r="S146" s="0" t="n">
        <v>2</v>
      </c>
    </row>
    <row r="147" customFormat="false" ht="17.15" hidden="false" customHeight="false" outlineLevel="0" collapsed="false">
      <c r="A147" s="12" t="s">
        <v>449</v>
      </c>
      <c r="B147" s="12" t="s">
        <v>450</v>
      </c>
      <c r="C147" s="12" t="s">
        <v>34</v>
      </c>
      <c r="D147" s="12" t="s">
        <v>388</v>
      </c>
      <c r="E147" s="13" t="s">
        <v>415</v>
      </c>
      <c r="F147" s="12" t="s">
        <v>416</v>
      </c>
      <c r="G147" s="13" t="s">
        <v>436</v>
      </c>
      <c r="S147" s="0" t="n">
        <v>2</v>
      </c>
    </row>
    <row r="148" customFormat="false" ht="17.15" hidden="false" customHeight="false" outlineLevel="0" collapsed="false">
      <c r="A148" s="12" t="s">
        <v>451</v>
      </c>
      <c r="B148" s="12" t="s">
        <v>452</v>
      </c>
      <c r="C148" s="12" t="s">
        <v>34</v>
      </c>
      <c r="D148" s="12" t="s">
        <v>388</v>
      </c>
      <c r="E148" s="13" t="s">
        <v>415</v>
      </c>
      <c r="F148" s="12" t="s">
        <v>416</v>
      </c>
      <c r="G148" s="13" t="s">
        <v>436</v>
      </c>
      <c r="S148" s="0" t="n">
        <v>2</v>
      </c>
    </row>
    <row r="149" customFormat="false" ht="17.15" hidden="false" customHeight="false" outlineLevel="0" collapsed="false">
      <c r="A149" s="12" t="s">
        <v>453</v>
      </c>
      <c r="B149" s="12" t="s">
        <v>454</v>
      </c>
      <c r="C149" s="12" t="s">
        <v>34</v>
      </c>
      <c r="D149" s="12" t="s">
        <v>388</v>
      </c>
      <c r="E149" s="13" t="s">
        <v>415</v>
      </c>
      <c r="F149" s="12" t="s">
        <v>416</v>
      </c>
      <c r="G149" s="13" t="s">
        <v>436</v>
      </c>
      <c r="S149" s="0" t="n">
        <v>2</v>
      </c>
    </row>
    <row r="150" customFormat="false" ht="17.15" hidden="false" customHeight="false" outlineLevel="0" collapsed="false">
      <c r="A150" s="12" t="s">
        <v>455</v>
      </c>
      <c r="B150" s="12" t="s">
        <v>456</v>
      </c>
      <c r="C150" s="12" t="s">
        <v>34</v>
      </c>
      <c r="D150" s="12" t="s">
        <v>388</v>
      </c>
      <c r="E150" s="13" t="s">
        <v>415</v>
      </c>
      <c r="F150" s="12" t="s">
        <v>416</v>
      </c>
      <c r="G150" s="13" t="s">
        <v>436</v>
      </c>
      <c r="S150" s="0" t="n">
        <v>2</v>
      </c>
    </row>
    <row r="151" customFormat="false" ht="17.15" hidden="false" customHeight="false" outlineLevel="0" collapsed="false">
      <c r="A151" s="12" t="s">
        <v>457</v>
      </c>
      <c r="B151" s="13" t="s">
        <v>458</v>
      </c>
      <c r="C151" s="12" t="s">
        <v>34</v>
      </c>
      <c r="D151" s="12" t="s">
        <v>388</v>
      </c>
      <c r="E151" s="13" t="s">
        <v>415</v>
      </c>
      <c r="F151" s="12" t="s">
        <v>416</v>
      </c>
      <c r="G151" s="13" t="s">
        <v>436</v>
      </c>
      <c r="S151" s="0" t="n">
        <v>2</v>
      </c>
    </row>
    <row r="152" customFormat="false" ht="17.15" hidden="false" customHeight="false" outlineLevel="0" collapsed="false">
      <c r="A152" s="12" t="s">
        <v>459</v>
      </c>
      <c r="B152" s="13" t="s">
        <v>460</v>
      </c>
      <c r="C152" s="12" t="s">
        <v>34</v>
      </c>
      <c r="D152" s="12" t="s">
        <v>388</v>
      </c>
      <c r="E152" s="13" t="s">
        <v>415</v>
      </c>
      <c r="F152" s="12" t="s">
        <v>416</v>
      </c>
      <c r="G152" s="13" t="s">
        <v>436</v>
      </c>
      <c r="S152" s="0" t="n">
        <v>2</v>
      </c>
    </row>
    <row r="153" customFormat="false" ht="17.15" hidden="false" customHeight="false" outlineLevel="0" collapsed="false">
      <c r="A153" s="12" t="s">
        <v>461</v>
      </c>
      <c r="B153" s="13" t="s">
        <v>462</v>
      </c>
      <c r="C153" s="12" t="s">
        <v>34</v>
      </c>
      <c r="D153" s="12" t="s">
        <v>388</v>
      </c>
      <c r="E153" s="13" t="s">
        <v>415</v>
      </c>
      <c r="F153" s="12" t="s">
        <v>416</v>
      </c>
      <c r="G153" s="13" t="s">
        <v>436</v>
      </c>
      <c r="S153" s="0" t="n">
        <v>2</v>
      </c>
    </row>
    <row r="154" customFormat="false" ht="17.15" hidden="false" customHeight="false" outlineLevel="0" collapsed="false">
      <c r="A154" s="12" t="s">
        <v>463</v>
      </c>
      <c r="B154" s="13" t="s">
        <v>464</v>
      </c>
      <c r="C154" s="12" t="s">
        <v>34</v>
      </c>
      <c r="D154" s="12" t="s">
        <v>388</v>
      </c>
      <c r="E154" s="13" t="s">
        <v>415</v>
      </c>
      <c r="F154" s="12" t="s">
        <v>416</v>
      </c>
      <c r="G154" s="13" t="s">
        <v>436</v>
      </c>
      <c r="S154" s="0" t="n">
        <v>2</v>
      </c>
    </row>
    <row r="155" customFormat="false" ht="17.15" hidden="false" customHeight="false" outlineLevel="0" collapsed="false">
      <c r="A155" s="8" t="s">
        <v>465</v>
      </c>
    </row>
    <row r="156" customFormat="false" ht="17.15" hidden="false" customHeight="false" outlineLevel="0" collapsed="false">
      <c r="A156" s="0" t="s">
        <v>466</v>
      </c>
      <c r="B156" s="0" t="s">
        <v>467</v>
      </c>
      <c r="C156" s="5" t="s">
        <v>75</v>
      </c>
      <c r="D156" s="0" t="s">
        <v>76</v>
      </c>
      <c r="E156" s="0" t="s">
        <v>140</v>
      </c>
      <c r="F156" s="0" t="s">
        <v>77</v>
      </c>
      <c r="G156" s="0" t="s">
        <v>468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469</v>
      </c>
      <c r="B157" s="0" t="s">
        <v>470</v>
      </c>
      <c r="C157" s="5" t="s">
        <v>75</v>
      </c>
      <c r="D157" s="0" t="s">
        <v>76</v>
      </c>
      <c r="E157" s="0" t="s">
        <v>140</v>
      </c>
      <c r="F157" s="0" t="s">
        <v>77</v>
      </c>
      <c r="G157" s="0" t="s">
        <v>471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472</v>
      </c>
    </row>
    <row r="159" customFormat="false" ht="17.15" hidden="false" customHeight="false" outlineLevel="0" collapsed="false">
      <c r="A159" s="0" t="s">
        <v>473</v>
      </c>
      <c r="B159" s="0" t="s">
        <v>474</v>
      </c>
      <c r="C159" s="5" t="s">
        <v>166</v>
      </c>
      <c r="D159" s="0" t="s">
        <v>76</v>
      </c>
      <c r="E159" s="0" t="s">
        <v>41</v>
      </c>
      <c r="F159" s="0" t="s">
        <v>77</v>
      </c>
      <c r="G159" s="0" t="s">
        <v>475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476</v>
      </c>
      <c r="B160" s="0" t="s">
        <v>477</v>
      </c>
      <c r="C160" s="5" t="s">
        <v>166</v>
      </c>
      <c r="D160" s="0" t="s">
        <v>76</v>
      </c>
      <c r="E160" s="0" t="s">
        <v>41</v>
      </c>
      <c r="F160" s="0" t="s">
        <v>77</v>
      </c>
      <c r="G160" s="0" t="s">
        <v>478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479</v>
      </c>
    </row>
    <row r="162" customFormat="false" ht="17.15" hidden="false" customHeight="false" outlineLevel="0" collapsed="false">
      <c r="A162" s="0" t="s">
        <v>480</v>
      </c>
      <c r="B162" s="5" t="s">
        <v>481</v>
      </c>
      <c r="C162" s="0" t="s">
        <v>34</v>
      </c>
      <c r="D162" s="0" t="s">
        <v>51</v>
      </c>
      <c r="E162" s="0" t="s">
        <v>482</v>
      </c>
      <c r="F162" s="0" t="s">
        <v>483</v>
      </c>
      <c r="G162" s="0" t="s">
        <v>484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485</v>
      </c>
      <c r="B163" s="5" t="s">
        <v>486</v>
      </c>
      <c r="C163" s="0" t="s">
        <v>34</v>
      </c>
      <c r="D163" s="0" t="s">
        <v>51</v>
      </c>
      <c r="E163" s="0" t="s">
        <v>482</v>
      </c>
      <c r="F163" s="0" t="s">
        <v>483</v>
      </c>
      <c r="G163" s="0" t="s">
        <v>484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487</v>
      </c>
      <c r="B164" s="5" t="s">
        <v>488</v>
      </c>
      <c r="C164" s="0" t="s">
        <v>34</v>
      </c>
      <c r="D164" s="0" t="s">
        <v>51</v>
      </c>
      <c r="E164" s="0" t="s">
        <v>482</v>
      </c>
      <c r="F164" s="0" t="s">
        <v>483</v>
      </c>
      <c r="G164" s="0" t="s">
        <v>484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489</v>
      </c>
      <c r="B165" s="5" t="s">
        <v>490</v>
      </c>
      <c r="C165" s="0" t="s">
        <v>34</v>
      </c>
      <c r="D165" s="0" t="s">
        <v>51</v>
      </c>
      <c r="E165" s="0" t="s">
        <v>482</v>
      </c>
      <c r="F165" s="0" t="s">
        <v>483</v>
      </c>
      <c r="G165" s="0" t="s">
        <v>484</v>
      </c>
      <c r="S165" s="0" t="n">
        <v>2</v>
      </c>
    </row>
    <row r="166" customFormat="false" ht="17.15" hidden="false" customHeight="false" outlineLevel="0" collapsed="false">
      <c r="A166" s="0" t="s">
        <v>491</v>
      </c>
      <c r="B166" s="5" t="s">
        <v>492</v>
      </c>
      <c r="C166" s="0" t="s">
        <v>34</v>
      </c>
      <c r="D166" s="0" t="s">
        <v>51</v>
      </c>
      <c r="E166" s="0" t="s">
        <v>482</v>
      </c>
      <c r="F166" s="0" t="s">
        <v>483</v>
      </c>
      <c r="G166" s="0" t="s">
        <v>484</v>
      </c>
      <c r="S166" s="0" t="n">
        <v>2</v>
      </c>
    </row>
    <row r="167" customFormat="false" ht="17.15" hidden="false" customHeight="false" outlineLevel="0" collapsed="false">
      <c r="A167" s="12" t="s">
        <v>493</v>
      </c>
      <c r="B167" s="13" t="s">
        <v>494</v>
      </c>
      <c r="C167" s="12" t="s">
        <v>34</v>
      </c>
      <c r="D167" s="12" t="s">
        <v>51</v>
      </c>
      <c r="E167" s="13" t="s">
        <v>415</v>
      </c>
      <c r="F167" s="12" t="s">
        <v>416</v>
      </c>
      <c r="G167" s="12" t="s">
        <v>495</v>
      </c>
      <c r="S167" s="0" t="n">
        <v>2</v>
      </c>
    </row>
    <row r="168" customFormat="false" ht="17.15" hidden="false" customHeight="false" outlineLevel="0" collapsed="false">
      <c r="A168" s="8" t="s">
        <v>496</v>
      </c>
    </row>
    <row r="169" customFormat="false" ht="17.15" hidden="false" customHeight="false" outlineLevel="0" collapsed="false">
      <c r="A169" s="6" t="s">
        <v>13</v>
      </c>
      <c r="B169" s="6" t="s">
        <v>14</v>
      </c>
      <c r="C169" s="6" t="s">
        <v>15</v>
      </c>
      <c r="D169" s="6" t="s">
        <v>16</v>
      </c>
      <c r="E169" s="6" t="s">
        <v>17</v>
      </c>
      <c r="F169" s="6" t="s">
        <v>18</v>
      </c>
      <c r="G169" s="6" t="s">
        <v>19</v>
      </c>
      <c r="H169" s="6" t="s">
        <v>497</v>
      </c>
      <c r="I169" s="6" t="s">
        <v>498</v>
      </c>
      <c r="J169" s="6" t="s">
        <v>499</v>
      </c>
      <c r="K169" s="7" t="s">
        <v>22</v>
      </c>
      <c r="L169" s="7" t="s">
        <v>23</v>
      </c>
      <c r="M169" s="7" t="s">
        <v>24</v>
      </c>
    </row>
    <row r="170" customFormat="false" ht="17.15" hidden="false" customHeight="false" outlineLevel="0" collapsed="false">
      <c r="A170" s="0" t="s">
        <v>500</v>
      </c>
      <c r="B170" s="0" t="s">
        <v>501</v>
      </c>
      <c r="C170" s="0" t="s">
        <v>110</v>
      </c>
      <c r="D170" s="5" t="s">
        <v>502</v>
      </c>
      <c r="E170" s="0" t="s">
        <v>52</v>
      </c>
      <c r="F170" s="0" t="s">
        <v>113</v>
      </c>
      <c r="G170" s="5" t="s">
        <v>503</v>
      </c>
      <c r="H170" s="9" t="s">
        <v>504</v>
      </c>
      <c r="I170" s="9" t="s">
        <v>505</v>
      </c>
      <c r="J170" s="16" t="s">
        <v>502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506</v>
      </c>
      <c r="B171" s="0" t="s">
        <v>507</v>
      </c>
      <c r="C171" s="0" t="s">
        <v>110</v>
      </c>
      <c r="D171" s="5" t="s">
        <v>502</v>
      </c>
      <c r="E171" s="0" t="s">
        <v>52</v>
      </c>
      <c r="F171" s="0" t="s">
        <v>122</v>
      </c>
      <c r="G171" s="5" t="s">
        <v>508</v>
      </c>
      <c r="H171" s="9" t="s">
        <v>509</v>
      </c>
      <c r="I171" s="9" t="s">
        <v>505</v>
      </c>
      <c r="J171" s="16" t="s">
        <v>502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510</v>
      </c>
      <c r="B172" s="0" t="s">
        <v>511</v>
      </c>
      <c r="C172" s="0" t="s">
        <v>110</v>
      </c>
      <c r="D172" s="0" t="s">
        <v>76</v>
      </c>
      <c r="E172" s="0" t="s">
        <v>140</v>
      </c>
      <c r="F172" s="0" t="s">
        <v>187</v>
      </c>
      <c r="G172" s="0" t="s">
        <v>512</v>
      </c>
      <c r="H172" s="9" t="s">
        <v>509</v>
      </c>
      <c r="I172" s="9" t="s">
        <v>513</v>
      </c>
      <c r="J172" s="9" t="s">
        <v>76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514</v>
      </c>
      <c r="B173" s="0" t="s">
        <v>515</v>
      </c>
      <c r="C173" s="0" t="s">
        <v>110</v>
      </c>
      <c r="D173" s="5" t="s">
        <v>502</v>
      </c>
      <c r="E173" s="0" t="s">
        <v>52</v>
      </c>
      <c r="F173" s="0" t="s">
        <v>67</v>
      </c>
      <c r="G173" s="5" t="s">
        <v>516</v>
      </c>
      <c r="H173" s="9" t="s">
        <v>517</v>
      </c>
      <c r="I173" s="9" t="s">
        <v>505</v>
      </c>
      <c r="J173" s="16" t="s">
        <v>502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518</v>
      </c>
      <c r="B174" s="0" t="s">
        <v>519</v>
      </c>
      <c r="C174" s="0" t="s">
        <v>110</v>
      </c>
      <c r="D174" s="0" t="s">
        <v>76</v>
      </c>
      <c r="E174" s="0" t="s">
        <v>41</v>
      </c>
      <c r="F174" s="0" t="s">
        <v>187</v>
      </c>
      <c r="G174" s="0" t="s">
        <v>520</v>
      </c>
      <c r="H174" s="9" t="s">
        <v>517</v>
      </c>
      <c r="I174" s="9" t="s">
        <v>513</v>
      </c>
      <c r="J174" s="9" t="s">
        <v>76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521</v>
      </c>
      <c r="B175" s="0" t="s">
        <v>522</v>
      </c>
      <c r="C175" s="0" t="s">
        <v>110</v>
      </c>
      <c r="D175" s="5" t="s">
        <v>502</v>
      </c>
      <c r="E175" s="0" t="s">
        <v>36</v>
      </c>
      <c r="F175" s="0" t="s">
        <v>47</v>
      </c>
      <c r="G175" s="5" t="s">
        <v>523</v>
      </c>
      <c r="H175" s="9" t="s">
        <v>524</v>
      </c>
      <c r="I175" s="9" t="s">
        <v>524</v>
      </c>
      <c r="J175" s="16" t="s">
        <v>502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525</v>
      </c>
      <c r="B176" s="0" t="s">
        <v>526</v>
      </c>
      <c r="C176" s="0" t="s">
        <v>110</v>
      </c>
      <c r="D176" s="0" t="s">
        <v>76</v>
      </c>
      <c r="E176" s="0" t="s">
        <v>140</v>
      </c>
      <c r="F176" s="0" t="s">
        <v>187</v>
      </c>
      <c r="G176" s="0" t="s">
        <v>527</v>
      </c>
      <c r="H176" s="9" t="s">
        <v>528</v>
      </c>
      <c r="I176" s="9" t="s">
        <v>529</v>
      </c>
      <c r="J176" s="9" t="s">
        <v>76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530</v>
      </c>
      <c r="B177" s="0" t="s">
        <v>531</v>
      </c>
      <c r="C177" s="0" t="s">
        <v>110</v>
      </c>
      <c r="D177" s="0" t="s">
        <v>76</v>
      </c>
      <c r="E177" s="0" t="s">
        <v>36</v>
      </c>
      <c r="F177" s="0" t="s">
        <v>77</v>
      </c>
      <c r="G177" s="0" t="s">
        <v>532</v>
      </c>
      <c r="H177" s="9" t="s">
        <v>533</v>
      </c>
      <c r="I177" s="9" t="s">
        <v>509</v>
      </c>
      <c r="J177" s="9" t="s">
        <v>76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534</v>
      </c>
      <c r="B178" s="0" t="s">
        <v>535</v>
      </c>
      <c r="C178" s="0" t="s">
        <v>110</v>
      </c>
      <c r="D178" s="5" t="s">
        <v>502</v>
      </c>
      <c r="E178" s="0" t="s">
        <v>36</v>
      </c>
      <c r="F178" s="0" t="s">
        <v>77</v>
      </c>
      <c r="G178" s="0" t="s">
        <v>536</v>
      </c>
      <c r="H178" s="9" t="s">
        <v>529</v>
      </c>
      <c r="I178" s="9" t="s">
        <v>529</v>
      </c>
      <c r="J178" s="16" t="s">
        <v>502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537</v>
      </c>
      <c r="B179" s="0" t="s">
        <v>538</v>
      </c>
      <c r="C179" s="0" t="s">
        <v>110</v>
      </c>
      <c r="D179" s="5" t="s">
        <v>502</v>
      </c>
      <c r="E179" s="0" t="s">
        <v>36</v>
      </c>
      <c r="F179" s="0" t="s">
        <v>47</v>
      </c>
      <c r="G179" s="5" t="s">
        <v>539</v>
      </c>
      <c r="H179" s="9" t="s">
        <v>513</v>
      </c>
      <c r="I179" s="9" t="s">
        <v>513</v>
      </c>
      <c r="J179" s="16" t="s">
        <v>502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540</v>
      </c>
      <c r="B180" s="5" t="s">
        <v>541</v>
      </c>
      <c r="C180" s="0" t="s">
        <v>110</v>
      </c>
      <c r="D180" s="0" t="s">
        <v>76</v>
      </c>
      <c r="E180" s="0" t="s">
        <v>140</v>
      </c>
      <c r="F180" s="0" t="s">
        <v>187</v>
      </c>
      <c r="G180" s="0" t="s">
        <v>542</v>
      </c>
      <c r="H180" s="9" t="s">
        <v>543</v>
      </c>
      <c r="I180" s="9" t="s">
        <v>504</v>
      </c>
      <c r="J180" s="9" t="s">
        <v>76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544</v>
      </c>
      <c r="B181" s="5" t="s">
        <v>545</v>
      </c>
      <c r="C181" s="0" t="s">
        <v>110</v>
      </c>
      <c r="D181" s="0" t="s">
        <v>76</v>
      </c>
      <c r="E181" s="0" t="s">
        <v>140</v>
      </c>
      <c r="F181" s="0" t="s">
        <v>187</v>
      </c>
      <c r="G181" s="0" t="s">
        <v>546</v>
      </c>
      <c r="H181" s="9" t="s">
        <v>543</v>
      </c>
      <c r="I181" s="9" t="s">
        <v>513</v>
      </c>
      <c r="J181" s="9" t="s">
        <v>76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547</v>
      </c>
      <c r="B182" s="5" t="s">
        <v>548</v>
      </c>
      <c r="C182" s="0" t="s">
        <v>110</v>
      </c>
      <c r="D182" s="5" t="s">
        <v>502</v>
      </c>
      <c r="E182" s="0" t="s">
        <v>36</v>
      </c>
      <c r="F182" s="0" t="s">
        <v>47</v>
      </c>
      <c r="G182" s="5" t="s">
        <v>549</v>
      </c>
      <c r="H182" s="9" t="s">
        <v>550</v>
      </c>
      <c r="I182" s="9" t="s">
        <v>505</v>
      </c>
      <c r="J182" s="16" t="s">
        <v>502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551</v>
      </c>
    </row>
    <row r="185" customFormat="false" ht="17.15" hidden="false" customHeight="false" outlineLevel="0" collapsed="false">
      <c r="A185" s="6" t="s">
        <v>13</v>
      </c>
      <c r="B185" s="6" t="s">
        <v>552</v>
      </c>
      <c r="C185" s="6" t="s">
        <v>15</v>
      </c>
      <c r="D185" s="6" t="s">
        <v>16</v>
      </c>
      <c r="E185" s="6" t="s">
        <v>17</v>
      </c>
      <c r="F185" s="6" t="s">
        <v>18</v>
      </c>
      <c r="G185" s="6" t="s">
        <v>19</v>
      </c>
      <c r="H185" s="6" t="s">
        <v>497</v>
      </c>
      <c r="I185" s="6" t="s">
        <v>498</v>
      </c>
      <c r="J185" s="7" t="s">
        <v>111</v>
      </c>
      <c r="K185" s="6" t="s">
        <v>553</v>
      </c>
      <c r="L185" s="6" t="s">
        <v>554</v>
      </c>
      <c r="M185" s="6" t="s">
        <v>555</v>
      </c>
      <c r="N185" s="6" t="s">
        <v>556</v>
      </c>
      <c r="O185" s="6" t="s">
        <v>557</v>
      </c>
    </row>
    <row r="186" customFormat="false" ht="17.15" hidden="false" customHeight="false" outlineLevel="0" collapsed="false">
      <c r="A186" s="0" t="s">
        <v>558</v>
      </c>
      <c r="B186" s="0" t="s">
        <v>559</v>
      </c>
      <c r="C186" s="0" t="s">
        <v>110</v>
      </c>
      <c r="D186" s="0" t="s">
        <v>111</v>
      </c>
      <c r="E186" s="0" t="s">
        <v>41</v>
      </c>
      <c r="F186" s="0" t="s">
        <v>187</v>
      </c>
      <c r="G186" s="0" t="s">
        <v>560</v>
      </c>
      <c r="H186" s="9" t="s">
        <v>504</v>
      </c>
      <c r="J186" s="9" t="n">
        <v>636</v>
      </c>
      <c r="K186" s="9" t="n">
        <v>2025</v>
      </c>
      <c r="L186" s="9" t="n">
        <v>11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561</v>
      </c>
      <c r="B187" s="0" t="s">
        <v>562</v>
      </c>
      <c r="C187" s="0" t="s">
        <v>110</v>
      </c>
      <c r="D187" s="0" t="s">
        <v>111</v>
      </c>
      <c r="E187" s="0" t="s">
        <v>41</v>
      </c>
      <c r="F187" s="0" t="s">
        <v>187</v>
      </c>
      <c r="G187" s="0" t="s">
        <v>563</v>
      </c>
      <c r="H187" s="9" t="s">
        <v>504</v>
      </c>
      <c r="J187" s="9" t="n">
        <v>369</v>
      </c>
      <c r="K187" s="9" t="n">
        <v>2026</v>
      </c>
      <c r="L187" s="9" t="n">
        <v>6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564</v>
      </c>
      <c r="B188" s="0" t="s">
        <v>565</v>
      </c>
      <c r="C188" s="0" t="s">
        <v>110</v>
      </c>
      <c r="D188" s="0" t="s">
        <v>111</v>
      </c>
      <c r="E188" s="0" t="s">
        <v>41</v>
      </c>
      <c r="F188" s="0" t="s">
        <v>187</v>
      </c>
      <c r="G188" s="0" t="s">
        <v>566</v>
      </c>
      <c r="H188" s="9" t="s">
        <v>504</v>
      </c>
      <c r="J188" s="9" t="n">
        <v>1894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567</v>
      </c>
      <c r="B189" s="0" t="s">
        <v>568</v>
      </c>
      <c r="C189" s="5" t="s">
        <v>75</v>
      </c>
      <c r="D189" s="0" t="s">
        <v>111</v>
      </c>
      <c r="E189" s="0" t="s">
        <v>140</v>
      </c>
      <c r="F189" s="0" t="s">
        <v>187</v>
      </c>
      <c r="G189" s="0" t="s">
        <v>569</v>
      </c>
      <c r="H189" s="9" t="s">
        <v>504</v>
      </c>
      <c r="I189" s="9" t="s">
        <v>505</v>
      </c>
      <c r="J189" s="9" t="n">
        <v>900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570</v>
      </c>
      <c r="B190" s="0" t="s">
        <v>571</v>
      </c>
      <c r="C190" s="0" t="s">
        <v>110</v>
      </c>
      <c r="D190" s="0" t="s">
        <v>111</v>
      </c>
      <c r="E190" s="0" t="s">
        <v>41</v>
      </c>
      <c r="F190" s="0" t="s">
        <v>187</v>
      </c>
      <c r="G190" s="0" t="s">
        <v>572</v>
      </c>
      <c r="H190" s="9" t="s">
        <v>517</v>
      </c>
      <c r="I190" s="9" t="s">
        <v>513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573</v>
      </c>
      <c r="B191" s="0" t="s">
        <v>574</v>
      </c>
      <c r="C191" s="0" t="s">
        <v>110</v>
      </c>
      <c r="D191" s="0" t="s">
        <v>111</v>
      </c>
      <c r="E191" s="0" t="s">
        <v>41</v>
      </c>
      <c r="F191" s="0" t="s">
        <v>187</v>
      </c>
      <c r="G191" s="0" t="s">
        <v>575</v>
      </c>
      <c r="H191" s="9" t="s">
        <v>517</v>
      </c>
      <c r="I191" s="9" t="s">
        <v>513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576</v>
      </c>
      <c r="B192" s="0" t="s">
        <v>577</v>
      </c>
      <c r="C192" s="0" t="s">
        <v>110</v>
      </c>
      <c r="D192" s="0" t="s">
        <v>111</v>
      </c>
      <c r="E192" s="0" t="s">
        <v>41</v>
      </c>
      <c r="F192" s="0" t="s">
        <v>187</v>
      </c>
      <c r="G192" s="0" t="s">
        <v>578</v>
      </c>
      <c r="H192" s="9" t="s">
        <v>524</v>
      </c>
      <c r="I192" s="9" t="s">
        <v>524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579</v>
      </c>
      <c r="B193" s="0" t="s">
        <v>580</v>
      </c>
      <c r="C193" s="0" t="s">
        <v>110</v>
      </c>
      <c r="D193" s="0" t="s">
        <v>111</v>
      </c>
      <c r="E193" s="0" t="s">
        <v>41</v>
      </c>
      <c r="F193" s="0" t="s">
        <v>187</v>
      </c>
      <c r="G193" s="0" t="s">
        <v>581</v>
      </c>
      <c r="H193" s="9" t="s">
        <v>524</v>
      </c>
      <c r="I193" s="9" t="s">
        <v>524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582</v>
      </c>
      <c r="B194" s="0" t="s">
        <v>583</v>
      </c>
      <c r="C194" s="0" t="s">
        <v>110</v>
      </c>
      <c r="D194" s="0" t="s">
        <v>111</v>
      </c>
      <c r="E194" s="0" t="s">
        <v>41</v>
      </c>
      <c r="F194" s="0" t="s">
        <v>187</v>
      </c>
      <c r="G194" s="0" t="s">
        <v>584</v>
      </c>
      <c r="H194" s="9" t="s">
        <v>524</v>
      </c>
      <c r="I194" s="9" t="s">
        <v>524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585</v>
      </c>
      <c r="B195" s="0" t="s">
        <v>586</v>
      </c>
      <c r="C195" s="0" t="s">
        <v>110</v>
      </c>
      <c r="D195" s="0" t="s">
        <v>111</v>
      </c>
      <c r="E195" s="0" t="s">
        <v>41</v>
      </c>
      <c r="F195" s="0" t="s">
        <v>187</v>
      </c>
      <c r="G195" s="0" t="s">
        <v>587</v>
      </c>
      <c r="H195" s="9" t="s">
        <v>524</v>
      </c>
      <c r="I195" s="9" t="s">
        <v>524</v>
      </c>
      <c r="J195" s="9" t="n">
        <v>154</v>
      </c>
      <c r="K195" s="9" t="n">
        <v>2028</v>
      </c>
      <c r="L195" s="9" t="n">
        <v>9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588</v>
      </c>
      <c r="B196" s="0" t="s">
        <v>589</v>
      </c>
      <c r="C196" s="0" t="s">
        <v>110</v>
      </c>
      <c r="D196" s="0" t="s">
        <v>111</v>
      </c>
      <c r="E196" s="0" t="s">
        <v>41</v>
      </c>
      <c r="F196" s="0" t="s">
        <v>187</v>
      </c>
      <c r="G196" s="0" t="s">
        <v>590</v>
      </c>
      <c r="H196" s="9" t="s">
        <v>524</v>
      </c>
      <c r="I196" s="9" t="s">
        <v>524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591</v>
      </c>
      <c r="B197" s="0" t="s">
        <v>592</v>
      </c>
      <c r="C197" s="5" t="s">
        <v>75</v>
      </c>
      <c r="D197" s="0" t="s">
        <v>111</v>
      </c>
      <c r="E197" s="0" t="s">
        <v>140</v>
      </c>
      <c r="F197" s="0" t="s">
        <v>187</v>
      </c>
      <c r="G197" s="0" t="s">
        <v>593</v>
      </c>
      <c r="H197" s="9" t="s">
        <v>524</v>
      </c>
      <c r="I197" s="9" t="s">
        <v>524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594</v>
      </c>
      <c r="B198" s="0" t="s">
        <v>595</v>
      </c>
      <c r="C198" s="5" t="s">
        <v>75</v>
      </c>
      <c r="D198" s="0" t="s">
        <v>111</v>
      </c>
      <c r="E198" s="0" t="s">
        <v>140</v>
      </c>
      <c r="F198" s="0" t="s">
        <v>187</v>
      </c>
      <c r="G198" s="0" t="s">
        <v>596</v>
      </c>
      <c r="H198" s="9" t="s">
        <v>524</v>
      </c>
      <c r="I198" s="9" t="s">
        <v>524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597</v>
      </c>
      <c r="B199" s="0" t="s">
        <v>598</v>
      </c>
      <c r="C199" s="5" t="s">
        <v>75</v>
      </c>
      <c r="D199" s="0" t="s">
        <v>111</v>
      </c>
      <c r="E199" s="0" t="s">
        <v>140</v>
      </c>
      <c r="F199" s="0" t="s">
        <v>187</v>
      </c>
      <c r="G199" s="0" t="s">
        <v>599</v>
      </c>
      <c r="H199" s="9" t="s">
        <v>528</v>
      </c>
      <c r="I199" s="9" t="s">
        <v>529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600</v>
      </c>
      <c r="B200" s="0" t="s">
        <v>601</v>
      </c>
      <c r="C200" s="5" t="s">
        <v>166</v>
      </c>
      <c r="D200" s="0" t="s">
        <v>111</v>
      </c>
      <c r="E200" s="0" t="s">
        <v>41</v>
      </c>
      <c r="F200" s="0" t="s">
        <v>187</v>
      </c>
      <c r="G200" s="0" t="s">
        <v>602</v>
      </c>
      <c r="H200" s="9" t="s">
        <v>528</v>
      </c>
      <c r="I200" s="9" t="s">
        <v>529</v>
      </c>
      <c r="J200" s="9" t="n">
        <v>200</v>
      </c>
      <c r="K200" s="9" t="n">
        <v>2027</v>
      </c>
      <c r="L200" s="9" t="n">
        <v>8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603</v>
      </c>
      <c r="B201" s="0" t="s">
        <v>604</v>
      </c>
      <c r="C201" s="5" t="s">
        <v>166</v>
      </c>
      <c r="D201" s="0" t="s">
        <v>111</v>
      </c>
      <c r="E201" s="0" t="s">
        <v>41</v>
      </c>
      <c r="F201" s="0" t="s">
        <v>187</v>
      </c>
      <c r="G201" s="0" t="s">
        <v>605</v>
      </c>
      <c r="H201" s="9" t="s">
        <v>528</v>
      </c>
      <c r="I201" s="9" t="s">
        <v>529</v>
      </c>
      <c r="J201" s="9" t="n">
        <v>1800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606</v>
      </c>
      <c r="B202" s="0" t="s">
        <v>607</v>
      </c>
      <c r="C202" s="5" t="s">
        <v>166</v>
      </c>
      <c r="D202" s="0" t="s">
        <v>111</v>
      </c>
      <c r="E202" s="0" t="s">
        <v>41</v>
      </c>
      <c r="F202" s="0" t="s">
        <v>187</v>
      </c>
      <c r="G202" s="0" t="s">
        <v>608</v>
      </c>
      <c r="H202" s="9" t="s">
        <v>528</v>
      </c>
      <c r="I202" s="9" t="s">
        <v>529</v>
      </c>
      <c r="J202" s="9" t="n">
        <v>2200</v>
      </c>
      <c r="K202" s="9" t="n">
        <v>2028</v>
      </c>
      <c r="L202" s="9" t="n">
        <v>12</v>
      </c>
      <c r="M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609</v>
      </c>
      <c r="B203" s="0" t="s">
        <v>610</v>
      </c>
      <c r="C203" s="5" t="s">
        <v>166</v>
      </c>
      <c r="D203" s="0" t="s">
        <v>111</v>
      </c>
      <c r="E203" s="0" t="s">
        <v>41</v>
      </c>
      <c r="F203" s="0" t="s">
        <v>187</v>
      </c>
      <c r="G203" s="0" t="s">
        <v>611</v>
      </c>
      <c r="H203" s="9" t="s">
        <v>528</v>
      </c>
      <c r="I203" s="9" t="s">
        <v>529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612</v>
      </c>
      <c r="B204" s="0" t="s">
        <v>613</v>
      </c>
      <c r="C204" s="5" t="s">
        <v>166</v>
      </c>
      <c r="D204" s="0" t="s">
        <v>111</v>
      </c>
      <c r="E204" s="0" t="s">
        <v>41</v>
      </c>
      <c r="F204" s="0" t="s">
        <v>187</v>
      </c>
      <c r="G204" s="0" t="s">
        <v>614</v>
      </c>
      <c r="H204" s="9" t="s">
        <v>528</v>
      </c>
      <c r="I204" s="9" t="s">
        <v>529</v>
      </c>
      <c r="J204" s="9" t="n">
        <v>1400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615</v>
      </c>
      <c r="B205" s="0" t="s">
        <v>616</v>
      </c>
      <c r="C205" s="0" t="s">
        <v>110</v>
      </c>
      <c r="D205" s="0" t="s">
        <v>111</v>
      </c>
      <c r="E205" s="0" t="s">
        <v>140</v>
      </c>
      <c r="F205" s="0" t="s">
        <v>187</v>
      </c>
      <c r="G205" s="0" t="s">
        <v>617</v>
      </c>
      <c r="H205" s="9" t="s">
        <v>618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619</v>
      </c>
      <c r="B206" s="0" t="s">
        <v>620</v>
      </c>
      <c r="C206" s="0" t="s">
        <v>110</v>
      </c>
      <c r="D206" s="0" t="s">
        <v>111</v>
      </c>
      <c r="E206" s="0" t="s">
        <v>140</v>
      </c>
      <c r="F206" s="0" t="s">
        <v>187</v>
      </c>
      <c r="G206" s="0" t="s">
        <v>621</v>
      </c>
      <c r="H206" s="9" t="s">
        <v>543</v>
      </c>
      <c r="I206" s="9" t="s">
        <v>504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622</v>
      </c>
      <c r="B207" s="0" t="s">
        <v>623</v>
      </c>
      <c r="C207" s="0" t="s">
        <v>110</v>
      </c>
      <c r="D207" s="0" t="s">
        <v>111</v>
      </c>
      <c r="E207" s="0" t="s">
        <v>140</v>
      </c>
      <c r="F207" s="0" t="s">
        <v>187</v>
      </c>
      <c r="G207" s="0" t="s">
        <v>624</v>
      </c>
      <c r="H207" s="9" t="s">
        <v>543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625</v>
      </c>
      <c r="B208" s="0" t="s">
        <v>626</v>
      </c>
      <c r="C208" s="0" t="s">
        <v>110</v>
      </c>
      <c r="D208" s="0" t="s">
        <v>111</v>
      </c>
      <c r="E208" s="0" t="s">
        <v>140</v>
      </c>
      <c r="F208" s="0" t="s">
        <v>187</v>
      </c>
      <c r="G208" s="0" t="s">
        <v>627</v>
      </c>
      <c r="H208" s="9" t="s">
        <v>543</v>
      </c>
      <c r="I208" s="9" t="s">
        <v>513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628</v>
      </c>
      <c r="B209" s="0" t="s">
        <v>629</v>
      </c>
      <c r="C209" s="0" t="s">
        <v>110</v>
      </c>
      <c r="D209" s="0" t="s">
        <v>111</v>
      </c>
      <c r="E209" s="0" t="s">
        <v>140</v>
      </c>
      <c r="F209" s="0" t="s">
        <v>187</v>
      </c>
      <c r="G209" s="5" t="s">
        <v>106</v>
      </c>
      <c r="H209" s="9" t="s">
        <v>543</v>
      </c>
      <c r="I209" s="9" t="s">
        <v>513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630</v>
      </c>
      <c r="B210" s="0" t="s">
        <v>631</v>
      </c>
      <c r="C210" s="0" t="s">
        <v>110</v>
      </c>
      <c r="D210" s="0" t="s">
        <v>111</v>
      </c>
      <c r="E210" s="0" t="s">
        <v>140</v>
      </c>
      <c r="F210" s="0" t="s">
        <v>77</v>
      </c>
      <c r="G210" s="0" t="s">
        <v>632</v>
      </c>
      <c r="H210" s="9" t="s">
        <v>529</v>
      </c>
      <c r="I210" s="9" t="s">
        <v>529</v>
      </c>
      <c r="J210" s="9" t="n">
        <v>1417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633</v>
      </c>
      <c r="B211" s="0" t="s">
        <v>634</v>
      </c>
      <c r="C211" s="0" t="s">
        <v>110</v>
      </c>
      <c r="D211" s="0" t="s">
        <v>111</v>
      </c>
      <c r="E211" s="0" t="s">
        <v>140</v>
      </c>
      <c r="F211" s="0" t="s">
        <v>77</v>
      </c>
      <c r="G211" s="0" t="s">
        <v>632</v>
      </c>
      <c r="H211" s="9" t="s">
        <v>529</v>
      </c>
      <c r="I211" s="9" t="s">
        <v>529</v>
      </c>
      <c r="J211" s="9" t="n">
        <v>1417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635</v>
      </c>
      <c r="B212" s="0" t="s">
        <v>636</v>
      </c>
      <c r="C212" s="0" t="s">
        <v>110</v>
      </c>
      <c r="D212" s="0" t="s">
        <v>111</v>
      </c>
      <c r="E212" s="0" t="s">
        <v>140</v>
      </c>
      <c r="F212" s="0" t="s">
        <v>77</v>
      </c>
      <c r="G212" s="0" t="s">
        <v>632</v>
      </c>
      <c r="H212" s="9" t="s">
        <v>529</v>
      </c>
      <c r="I212" s="9" t="s">
        <v>529</v>
      </c>
      <c r="J212" s="9" t="n">
        <v>1416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637</v>
      </c>
      <c r="B213" s="0" t="s">
        <v>638</v>
      </c>
      <c r="C213" s="5" t="s">
        <v>75</v>
      </c>
      <c r="D213" s="0" t="s">
        <v>111</v>
      </c>
      <c r="E213" s="0" t="s">
        <v>140</v>
      </c>
      <c r="F213" s="0" t="s">
        <v>77</v>
      </c>
      <c r="G213" s="0" t="s">
        <v>639</v>
      </c>
      <c r="H213" s="9" t="s">
        <v>640</v>
      </c>
      <c r="J213" s="9" t="n">
        <v>200</v>
      </c>
      <c r="K213" s="9" t="n">
        <v>2026</v>
      </c>
      <c r="L213" s="9" t="n">
        <v>6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641</v>
      </c>
      <c r="B214" s="0" t="s">
        <v>642</v>
      </c>
      <c r="C214" s="5" t="s">
        <v>75</v>
      </c>
      <c r="D214" s="0" t="s">
        <v>111</v>
      </c>
      <c r="E214" s="0" t="s">
        <v>140</v>
      </c>
      <c r="F214" s="0" t="s">
        <v>77</v>
      </c>
      <c r="G214" s="0" t="s">
        <v>643</v>
      </c>
      <c r="H214" s="9" t="s">
        <v>640</v>
      </c>
      <c r="J214" s="9" t="n">
        <v>1700</v>
      </c>
      <c r="K214" s="9" t="n">
        <v>2030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17" t="s">
        <v>644</v>
      </c>
      <c r="B215" s="17" t="s">
        <v>645</v>
      </c>
      <c r="C215" s="18" t="s">
        <v>75</v>
      </c>
      <c r="D215" s="17" t="s">
        <v>111</v>
      </c>
      <c r="E215" s="17" t="s">
        <v>140</v>
      </c>
      <c r="F215" s="17" t="s">
        <v>187</v>
      </c>
      <c r="G215" s="17" t="s">
        <v>646</v>
      </c>
      <c r="H215" s="9" t="s">
        <v>647</v>
      </c>
      <c r="J215" s="9" t="n">
        <v>310</v>
      </c>
      <c r="K215" s="9" t="n">
        <v>2027</v>
      </c>
      <c r="L215" s="9" t="n">
        <v>12</v>
      </c>
      <c r="N215" s="9" t="n">
        <v>0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648</v>
      </c>
      <c r="B216" s="17" t="s">
        <v>649</v>
      </c>
      <c r="C216" s="18" t="s">
        <v>75</v>
      </c>
      <c r="D216" s="17" t="s">
        <v>111</v>
      </c>
      <c r="E216" s="17" t="s">
        <v>140</v>
      </c>
      <c r="F216" s="17" t="s">
        <v>187</v>
      </c>
      <c r="G216" s="17" t="s">
        <v>650</v>
      </c>
      <c r="H216" s="9" t="s">
        <v>647</v>
      </c>
      <c r="J216" s="9" t="n">
        <v>1200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17" t="s">
        <v>651</v>
      </c>
      <c r="B217" s="17" t="s">
        <v>652</v>
      </c>
      <c r="C217" s="18" t="s">
        <v>75</v>
      </c>
      <c r="D217" s="17" t="s">
        <v>111</v>
      </c>
      <c r="E217" s="17" t="s">
        <v>140</v>
      </c>
      <c r="F217" s="17" t="s">
        <v>187</v>
      </c>
      <c r="G217" s="17" t="s">
        <v>653</v>
      </c>
      <c r="H217" s="9" t="s">
        <v>647</v>
      </c>
      <c r="J217" s="9" t="n">
        <v>1200</v>
      </c>
      <c r="K217" s="9" t="n">
        <v>2027</v>
      </c>
      <c r="L217" s="9" t="n">
        <v>12</v>
      </c>
      <c r="N217" s="9" t="n">
        <v>0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654</v>
      </c>
      <c r="B218" s="17" t="s">
        <v>655</v>
      </c>
      <c r="C218" s="18" t="s">
        <v>75</v>
      </c>
      <c r="D218" s="17" t="s">
        <v>111</v>
      </c>
      <c r="E218" s="17" t="s">
        <v>140</v>
      </c>
      <c r="F218" s="17" t="s">
        <v>187</v>
      </c>
      <c r="G218" s="17" t="s">
        <v>656</v>
      </c>
      <c r="H218" s="9" t="s">
        <v>618</v>
      </c>
      <c r="J218" s="9" t="n">
        <v>300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657</v>
      </c>
      <c r="B219" s="17" t="s">
        <v>658</v>
      </c>
      <c r="C219" s="17" t="s">
        <v>110</v>
      </c>
      <c r="D219" s="17" t="s">
        <v>111</v>
      </c>
      <c r="E219" s="17" t="s">
        <v>140</v>
      </c>
      <c r="F219" s="17" t="s">
        <v>187</v>
      </c>
      <c r="G219" s="17" t="s">
        <v>659</v>
      </c>
      <c r="H219" s="9" t="s">
        <v>517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660</v>
      </c>
      <c r="B220" s="17" t="s">
        <v>661</v>
      </c>
      <c r="C220" s="18" t="s">
        <v>75</v>
      </c>
      <c r="D220" s="17" t="s">
        <v>111</v>
      </c>
      <c r="E220" s="17" t="s">
        <v>140</v>
      </c>
      <c r="F220" s="17" t="s">
        <v>187</v>
      </c>
      <c r="G220" s="17" t="s">
        <v>662</v>
      </c>
      <c r="H220" s="9" t="s">
        <v>509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17" t="s">
        <v>663</v>
      </c>
      <c r="B221" s="17" t="s">
        <v>664</v>
      </c>
      <c r="C221" s="17" t="s">
        <v>110</v>
      </c>
      <c r="D221" s="17" t="s">
        <v>111</v>
      </c>
      <c r="E221" s="17" t="s">
        <v>140</v>
      </c>
      <c r="F221" s="17" t="s">
        <v>77</v>
      </c>
      <c r="G221" s="17" t="s">
        <v>665</v>
      </c>
      <c r="H221" s="9" t="s">
        <v>529</v>
      </c>
      <c r="I221" s="9" t="s">
        <v>529</v>
      </c>
      <c r="J221" s="9" t="n">
        <v>857</v>
      </c>
      <c r="K221" s="9" t="n">
        <v>2026</v>
      </c>
      <c r="L221" s="9" t="n">
        <v>10</v>
      </c>
      <c r="N221" s="9" t="n">
        <v>0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17" t="s">
        <v>666</v>
      </c>
      <c r="B222" s="17" t="s">
        <v>667</v>
      </c>
      <c r="C222" s="17" t="s">
        <v>110</v>
      </c>
      <c r="D222" s="17" t="s">
        <v>111</v>
      </c>
      <c r="E222" s="17" t="s">
        <v>140</v>
      </c>
      <c r="F222" s="17" t="s">
        <v>77</v>
      </c>
      <c r="G222" s="17" t="s">
        <v>668</v>
      </c>
      <c r="H222" s="9" t="s">
        <v>529</v>
      </c>
      <c r="I222" s="9" t="s">
        <v>529</v>
      </c>
      <c r="J222" s="9" t="n">
        <v>214</v>
      </c>
      <c r="K222" s="9" t="n">
        <v>2027</v>
      </c>
      <c r="L222" s="9" t="n">
        <v>3</v>
      </c>
      <c r="N222" s="9" t="n">
        <v>0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669</v>
      </c>
      <c r="B223" s="17" t="s">
        <v>670</v>
      </c>
      <c r="C223" s="17" t="s">
        <v>110</v>
      </c>
      <c r="D223" s="17" t="s">
        <v>111</v>
      </c>
      <c r="E223" s="17" t="s">
        <v>140</v>
      </c>
      <c r="F223" s="17" t="s">
        <v>77</v>
      </c>
      <c r="G223" s="17" t="s">
        <v>671</v>
      </c>
      <c r="H223" s="9" t="s">
        <v>543</v>
      </c>
      <c r="I223" s="9" t="s">
        <v>529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17" t="s">
        <v>672</v>
      </c>
      <c r="B224" s="17" t="s">
        <v>673</v>
      </c>
      <c r="C224" s="18" t="s">
        <v>75</v>
      </c>
      <c r="D224" s="17" t="s">
        <v>111</v>
      </c>
      <c r="E224" s="17" t="s">
        <v>140</v>
      </c>
      <c r="F224" s="17" t="s">
        <v>77</v>
      </c>
      <c r="G224" s="17" t="s">
        <v>674</v>
      </c>
      <c r="H224" s="9" t="s">
        <v>640</v>
      </c>
      <c r="I224" s="9" t="s">
        <v>529</v>
      </c>
      <c r="J224" s="9" t="n">
        <v>200</v>
      </c>
      <c r="K224" s="9" t="n">
        <v>2026</v>
      </c>
      <c r="L224" s="9" t="n">
        <v>9</v>
      </c>
      <c r="N224" s="9" t="n">
        <v>0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17" t="s">
        <v>675</v>
      </c>
      <c r="B225" s="17" t="s">
        <v>676</v>
      </c>
      <c r="C225" s="18" t="s">
        <v>75</v>
      </c>
      <c r="D225" s="17" t="s">
        <v>111</v>
      </c>
      <c r="E225" s="17" t="s">
        <v>140</v>
      </c>
      <c r="F225" s="17" t="s">
        <v>77</v>
      </c>
      <c r="G225" s="17" t="s">
        <v>677</v>
      </c>
      <c r="H225" s="9" t="s">
        <v>640</v>
      </c>
      <c r="J225" s="9" t="n">
        <v>1400</v>
      </c>
      <c r="K225" s="9" t="n">
        <v>2028</v>
      </c>
      <c r="L225" s="9" t="n">
        <v>12</v>
      </c>
      <c r="N225" s="9" t="n">
        <v>0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678</v>
      </c>
      <c r="B226" s="17" t="s">
        <v>679</v>
      </c>
      <c r="C226" s="18" t="s">
        <v>75</v>
      </c>
      <c r="D226" s="17" t="s">
        <v>111</v>
      </c>
      <c r="E226" s="17" t="s">
        <v>140</v>
      </c>
      <c r="F226" s="17" t="s">
        <v>77</v>
      </c>
      <c r="G226" s="17" t="s">
        <v>680</v>
      </c>
      <c r="H226" s="9" t="s">
        <v>543</v>
      </c>
      <c r="I226" s="9" t="s">
        <v>513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681</v>
      </c>
      <c r="B227" s="17" t="s">
        <v>682</v>
      </c>
      <c r="C227" s="18" t="s">
        <v>75</v>
      </c>
      <c r="D227" s="17" t="s">
        <v>111</v>
      </c>
      <c r="E227" s="17" t="s">
        <v>140</v>
      </c>
      <c r="F227" s="17" t="s">
        <v>77</v>
      </c>
      <c r="G227" s="17" t="s">
        <v>683</v>
      </c>
      <c r="H227" s="9" t="s">
        <v>543</v>
      </c>
      <c r="I227" s="9" t="s">
        <v>513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17" t="s">
        <v>684</v>
      </c>
      <c r="B228" s="17" t="s">
        <v>685</v>
      </c>
      <c r="C228" s="17" t="s">
        <v>110</v>
      </c>
      <c r="D228" s="17" t="s">
        <v>111</v>
      </c>
      <c r="E228" s="17" t="s">
        <v>41</v>
      </c>
      <c r="F228" s="17" t="s">
        <v>77</v>
      </c>
      <c r="G228" s="17" t="s">
        <v>686</v>
      </c>
      <c r="H228" s="9" t="s">
        <v>533</v>
      </c>
      <c r="J228" s="9" t="n">
        <v>585</v>
      </c>
      <c r="K228" s="9" t="n">
        <v>2027</v>
      </c>
      <c r="L228" s="9" t="n">
        <v>12</v>
      </c>
      <c r="N228" s="9" t="n">
        <v>0</v>
      </c>
      <c r="O228" s="9" t="n">
        <v>0</v>
      </c>
      <c r="S22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687</v>
      </c>
    </row>
    <row r="2" customFormat="false" ht="17.15" hidden="false" customHeight="false" outlineLevel="0" collapsed="false">
      <c r="A2" s="5" t="s">
        <v>688</v>
      </c>
    </row>
    <row r="4" customFormat="false" ht="17.15" hidden="false" customHeight="false" outlineLevel="0" collapsed="false">
      <c r="A4" s="6" t="s">
        <v>689</v>
      </c>
      <c r="B4" s="6" t="s">
        <v>690</v>
      </c>
      <c r="C4" s="6" t="s">
        <v>691</v>
      </c>
      <c r="D4" s="6" t="s">
        <v>692</v>
      </c>
      <c r="E4" s="6" t="s">
        <v>693</v>
      </c>
      <c r="F4" s="6" t="s">
        <v>694</v>
      </c>
      <c r="G4" s="6" t="s">
        <v>16</v>
      </c>
      <c r="H4" s="7" t="s">
        <v>695</v>
      </c>
    </row>
    <row r="5" customFormat="false" ht="15" hidden="false" customHeight="false" outlineLevel="0" collapsed="false">
      <c r="A5" s="0" t="s">
        <v>696</v>
      </c>
      <c r="B5" s="0" t="s">
        <v>697</v>
      </c>
      <c r="C5" s="0" t="s">
        <v>698</v>
      </c>
      <c r="D5" s="19" t="n">
        <v>22439</v>
      </c>
      <c r="E5" s="19" t="n">
        <v>22439</v>
      </c>
      <c r="F5" s="19" t="n">
        <v>22439</v>
      </c>
      <c r="G5" s="5" t="s">
        <v>699</v>
      </c>
      <c r="H5" s="20" t="s">
        <v>700</v>
      </c>
    </row>
    <row r="6" customFormat="false" ht="15" hidden="false" customHeight="false" outlineLevel="0" collapsed="false">
      <c r="A6" s="0" t="s">
        <v>696</v>
      </c>
      <c r="B6" s="0" t="s">
        <v>701</v>
      </c>
      <c r="C6" s="0" t="s">
        <v>702</v>
      </c>
      <c r="D6" s="19" t="n">
        <v>6969</v>
      </c>
      <c r="E6" s="19" t="n">
        <v>6969</v>
      </c>
      <c r="F6" s="19" t="n">
        <v>6969</v>
      </c>
      <c r="G6" s="5" t="s">
        <v>699</v>
      </c>
      <c r="H6" s="20" t="s">
        <v>700</v>
      </c>
    </row>
    <row r="7" customFormat="false" ht="15" hidden="false" customHeight="false" outlineLevel="0" collapsed="false">
      <c r="A7" s="0" t="s">
        <v>696</v>
      </c>
      <c r="B7" s="0" t="s">
        <v>703</v>
      </c>
      <c r="C7" s="0" t="s">
        <v>704</v>
      </c>
      <c r="D7" s="19" t="n">
        <v>6764</v>
      </c>
      <c r="E7" s="19" t="n">
        <v>6764</v>
      </c>
      <c r="F7" s="19" t="n">
        <v>6764</v>
      </c>
      <c r="G7" s="5" t="s">
        <v>699</v>
      </c>
      <c r="H7" s="20" t="s">
        <v>700</v>
      </c>
    </row>
    <row r="8" customFormat="false" ht="15" hidden="false" customHeight="false" outlineLevel="0" collapsed="false">
      <c r="A8" s="0" t="s">
        <v>696</v>
      </c>
      <c r="B8" s="0" t="s">
        <v>705</v>
      </c>
      <c r="C8" s="0" t="s">
        <v>706</v>
      </c>
      <c r="D8" s="19" t="n">
        <v>4052</v>
      </c>
      <c r="E8" s="19" t="n">
        <v>4052</v>
      </c>
      <c r="F8" s="19" t="n">
        <v>4052</v>
      </c>
      <c r="G8" s="5" t="s">
        <v>699</v>
      </c>
      <c r="H8" s="20" t="s">
        <v>700</v>
      </c>
    </row>
    <row r="9" customFormat="false" ht="17.15" hidden="false" customHeight="false" outlineLevel="0" collapsed="false">
      <c r="A9" s="0" t="s">
        <v>696</v>
      </c>
      <c r="B9" s="0" t="s">
        <v>707</v>
      </c>
      <c r="C9" s="0" t="s">
        <v>708</v>
      </c>
      <c r="D9" s="19" t="n">
        <v>2705</v>
      </c>
      <c r="E9" s="19" t="n">
        <v>2705</v>
      </c>
      <c r="F9" s="19" t="n">
        <v>2705</v>
      </c>
      <c r="G9" s="5" t="s">
        <v>699</v>
      </c>
      <c r="H9" s="20" t="s">
        <v>700</v>
      </c>
    </row>
    <row r="10" customFormat="false" ht="15" hidden="false" customHeight="false" outlineLevel="0" collapsed="false">
      <c r="A10" s="0" t="s">
        <v>709</v>
      </c>
      <c r="B10" s="0" t="s">
        <v>697</v>
      </c>
      <c r="C10" s="0" t="s">
        <v>710</v>
      </c>
      <c r="D10" s="19" t="n">
        <v>718048</v>
      </c>
      <c r="E10" s="19" t="n">
        <v>718048</v>
      </c>
      <c r="F10" s="19" t="n">
        <v>718048</v>
      </c>
      <c r="G10" s="5" t="s">
        <v>711</v>
      </c>
      <c r="H10" s="20" t="s">
        <v>712</v>
      </c>
    </row>
    <row r="11" customFormat="false" ht="15" hidden="false" customHeight="false" outlineLevel="0" collapsed="false">
      <c r="A11" s="0" t="s">
        <v>709</v>
      </c>
      <c r="B11" s="0" t="s">
        <v>701</v>
      </c>
      <c r="C11" s="0" t="s">
        <v>713</v>
      </c>
      <c r="D11" s="19" t="n">
        <v>501768</v>
      </c>
      <c r="E11" s="19" t="n">
        <v>501768</v>
      </c>
      <c r="F11" s="19" t="n">
        <v>501768</v>
      </c>
      <c r="G11" s="5" t="s">
        <v>711</v>
      </c>
      <c r="H11" s="20" t="s">
        <v>712</v>
      </c>
    </row>
    <row r="12" customFormat="false" ht="15" hidden="false" customHeight="false" outlineLevel="0" collapsed="false">
      <c r="A12" s="0" t="s">
        <v>709</v>
      </c>
      <c r="B12" s="0" t="s">
        <v>703</v>
      </c>
      <c r="C12" s="0" t="s">
        <v>714</v>
      </c>
      <c r="D12" s="19" t="n">
        <v>487008</v>
      </c>
      <c r="E12" s="19" t="n">
        <v>487008</v>
      </c>
      <c r="F12" s="19" t="n">
        <v>487008</v>
      </c>
      <c r="G12" s="5" t="s">
        <v>711</v>
      </c>
      <c r="H12" s="20" t="s">
        <v>712</v>
      </c>
    </row>
    <row r="13" customFormat="false" ht="15" hidden="false" customHeight="false" outlineLevel="0" collapsed="false">
      <c r="A13" s="0" t="s">
        <v>709</v>
      </c>
      <c r="B13" s="0" t="s">
        <v>705</v>
      </c>
      <c r="C13" s="0" t="s">
        <v>715</v>
      </c>
      <c r="D13" s="19" t="n">
        <v>291744</v>
      </c>
      <c r="E13" s="19" t="n">
        <v>291744</v>
      </c>
      <c r="F13" s="19" t="n">
        <v>291744</v>
      </c>
      <c r="G13" s="5" t="s">
        <v>711</v>
      </c>
      <c r="H13" s="20" t="s">
        <v>712</v>
      </c>
    </row>
    <row r="14" customFormat="false" ht="17.15" hidden="false" customHeight="false" outlineLevel="0" collapsed="false">
      <c r="A14" s="0" t="s">
        <v>709</v>
      </c>
      <c r="B14" s="0" t="s">
        <v>707</v>
      </c>
      <c r="C14" s="0" t="s">
        <v>716</v>
      </c>
      <c r="D14" s="19" t="n">
        <v>194760</v>
      </c>
      <c r="E14" s="19" t="n">
        <v>194760</v>
      </c>
      <c r="F14" s="19" t="n">
        <v>194760</v>
      </c>
      <c r="G14" s="5" t="s">
        <v>711</v>
      </c>
      <c r="H14" s="20" t="s">
        <v>712</v>
      </c>
    </row>
    <row r="15" customFormat="false" ht="15" hidden="false" customHeight="false" outlineLevel="0" collapsed="false">
      <c r="A15" s="0" t="s">
        <v>717</v>
      </c>
      <c r="B15" s="0" t="s">
        <v>697</v>
      </c>
      <c r="C15" s="0" t="s">
        <v>718</v>
      </c>
      <c r="D15" s="19" t="n">
        <v>21.4202694</v>
      </c>
      <c r="E15" s="19" t="n">
        <v>27.510214</v>
      </c>
      <c r="F15" s="19" t="n">
        <v>34.1207434</v>
      </c>
      <c r="G15" s="20" t="s">
        <v>213</v>
      </c>
      <c r="H15" s="20" t="s">
        <v>719</v>
      </c>
    </row>
    <row r="16" customFormat="false" ht="15" hidden="false" customHeight="false" outlineLevel="0" collapsed="false">
      <c r="A16" s="0" t="s">
        <v>717</v>
      </c>
      <c r="B16" s="0" t="s">
        <v>701</v>
      </c>
      <c r="C16" s="0" t="s">
        <v>720</v>
      </c>
      <c r="D16" s="19" t="n">
        <v>20.6393904</v>
      </c>
      <c r="E16" s="19" t="n">
        <v>24.015174</v>
      </c>
      <c r="F16" s="19" t="n">
        <v>27.6502044</v>
      </c>
      <c r="G16" s="20" t="s">
        <v>213</v>
      </c>
      <c r="H16" s="20" t="s">
        <v>719</v>
      </c>
    </row>
    <row r="17" customFormat="false" ht="15" hidden="false" customHeight="false" outlineLevel="0" collapsed="false">
      <c r="A17" s="0" t="s">
        <v>717</v>
      </c>
      <c r="B17" s="0" t="s">
        <v>703</v>
      </c>
      <c r="C17" s="0" t="s">
        <v>721</v>
      </c>
      <c r="D17" s="19" t="n">
        <v>28.5549024</v>
      </c>
      <c r="E17" s="19" t="n">
        <v>32.237224</v>
      </c>
      <c r="F17" s="19" t="n">
        <v>39.2826064</v>
      </c>
      <c r="G17" s="20" t="s">
        <v>213</v>
      </c>
      <c r="H17" s="20" t="s">
        <v>719</v>
      </c>
    </row>
    <row r="18" customFormat="false" ht="15" hidden="false" customHeight="false" outlineLevel="0" collapsed="false">
      <c r="A18" s="0" t="s">
        <v>717</v>
      </c>
      <c r="B18" s="0" t="s">
        <v>705</v>
      </c>
      <c r="C18" s="0" t="s">
        <v>722</v>
      </c>
      <c r="D18" s="19" t="n">
        <v>31.9970232</v>
      </c>
      <c r="E18" s="19" t="n">
        <v>37.586352</v>
      </c>
      <c r="F18" s="19" t="n">
        <v>42.6375752</v>
      </c>
      <c r="G18" s="20" t="s">
        <v>213</v>
      </c>
      <c r="H18" s="20" t="s">
        <v>719</v>
      </c>
    </row>
    <row r="19" customFormat="false" ht="17.15" hidden="false" customHeight="false" outlineLevel="0" collapsed="false">
      <c r="A19" s="0" t="s">
        <v>717</v>
      </c>
      <c r="B19" s="0" t="s">
        <v>707</v>
      </c>
      <c r="C19" s="0" t="s">
        <v>723</v>
      </c>
      <c r="D19" s="19" t="n">
        <v>35.845578</v>
      </c>
      <c r="E19" s="19" t="n">
        <v>50.08578</v>
      </c>
      <c r="F19" s="19" t="n">
        <v>65.481558</v>
      </c>
      <c r="G19" s="20" t="s">
        <v>213</v>
      </c>
      <c r="H19" s="20" t="s">
        <v>719</v>
      </c>
    </row>
    <row r="20" customFormat="false" ht="15" hidden="false" customHeight="false" outlineLevel="0" collapsed="false">
      <c r="A20" s="0" t="s">
        <v>724</v>
      </c>
      <c r="B20" s="0" t="s">
        <v>697</v>
      </c>
      <c r="C20" s="0" t="s">
        <v>725</v>
      </c>
      <c r="D20" s="19" t="n">
        <v>10.212</v>
      </c>
      <c r="E20" s="19" t="n">
        <v>12.67</v>
      </c>
      <c r="F20" s="19" t="n">
        <v>16.186</v>
      </c>
      <c r="G20" s="20" t="s">
        <v>213</v>
      </c>
      <c r="H20" s="20" t="s">
        <v>726</v>
      </c>
    </row>
    <row r="21" customFormat="false" ht="15" hidden="false" customHeight="false" outlineLevel="0" collapsed="false">
      <c r="A21" s="0" t="s">
        <v>724</v>
      </c>
      <c r="B21" s="0" t="s">
        <v>701</v>
      </c>
      <c r="C21" s="0" t="s">
        <v>727</v>
      </c>
      <c r="D21" s="19" t="n">
        <v>10.212</v>
      </c>
      <c r="E21" s="19" t="n">
        <v>12.67</v>
      </c>
      <c r="F21" s="19" t="n">
        <v>16.186</v>
      </c>
      <c r="G21" s="20" t="s">
        <v>213</v>
      </c>
      <c r="H21" s="20" t="s">
        <v>726</v>
      </c>
    </row>
    <row r="22" customFormat="false" ht="15" hidden="false" customHeight="false" outlineLevel="0" collapsed="false">
      <c r="A22" s="0" t="s">
        <v>724</v>
      </c>
      <c r="B22" s="0" t="s">
        <v>703</v>
      </c>
      <c r="C22" s="0" t="s">
        <v>728</v>
      </c>
      <c r="D22" s="19" t="n">
        <v>10.212</v>
      </c>
      <c r="E22" s="19" t="n">
        <v>12.67</v>
      </c>
      <c r="F22" s="19" t="n">
        <v>16.186</v>
      </c>
      <c r="G22" s="20" t="s">
        <v>213</v>
      </c>
      <c r="H22" s="20" t="s">
        <v>726</v>
      </c>
    </row>
    <row r="23" customFormat="false" ht="15" hidden="false" customHeight="false" outlineLevel="0" collapsed="false">
      <c r="A23" s="0" t="s">
        <v>724</v>
      </c>
      <c r="B23" s="0" t="s">
        <v>705</v>
      </c>
      <c r="C23" s="0" t="s">
        <v>729</v>
      </c>
      <c r="D23" s="19" t="n">
        <v>10.212</v>
      </c>
      <c r="E23" s="19" t="n">
        <v>12.67</v>
      </c>
      <c r="F23" s="19" t="n">
        <v>16.186</v>
      </c>
      <c r="G23" s="20" t="s">
        <v>213</v>
      </c>
      <c r="H23" s="20" t="s">
        <v>726</v>
      </c>
    </row>
    <row r="24" customFormat="false" ht="17.15" hidden="false" customHeight="false" outlineLevel="0" collapsed="false">
      <c r="A24" s="0" t="s">
        <v>724</v>
      </c>
      <c r="B24" s="0" t="s">
        <v>707</v>
      </c>
      <c r="C24" s="0" t="s">
        <v>730</v>
      </c>
      <c r="D24" s="19" t="n">
        <v>10.212</v>
      </c>
      <c r="E24" s="19" t="n">
        <v>12.67</v>
      </c>
      <c r="F24" s="19" t="n">
        <v>16.186</v>
      </c>
      <c r="G24" s="20" t="s">
        <v>213</v>
      </c>
      <c r="H24" s="20" t="s">
        <v>726</v>
      </c>
    </row>
    <row r="25" customFormat="false" ht="15" hidden="false" customHeight="false" outlineLevel="0" collapsed="false">
      <c r="A25" s="0" t="s">
        <v>731</v>
      </c>
      <c r="B25" s="0" t="s">
        <v>697</v>
      </c>
      <c r="C25" s="0" t="s">
        <v>732</v>
      </c>
      <c r="D25" s="19" t="n">
        <v>31.6322694</v>
      </c>
      <c r="E25" s="19" t="n">
        <v>40.180214</v>
      </c>
      <c r="F25" s="19" t="n">
        <v>50.3067434</v>
      </c>
      <c r="G25" s="20" t="s">
        <v>213</v>
      </c>
      <c r="H25" s="20" t="s">
        <v>733</v>
      </c>
    </row>
    <row r="26" customFormat="false" ht="15" hidden="false" customHeight="false" outlineLevel="0" collapsed="false">
      <c r="A26" s="0" t="s">
        <v>731</v>
      </c>
      <c r="B26" s="0" t="s">
        <v>701</v>
      </c>
      <c r="C26" s="0" t="s">
        <v>734</v>
      </c>
      <c r="D26" s="19" t="n">
        <v>30.8513904</v>
      </c>
      <c r="E26" s="19" t="n">
        <v>36.685174</v>
      </c>
      <c r="F26" s="19" t="n">
        <v>43.8362044</v>
      </c>
      <c r="G26" s="20" t="s">
        <v>213</v>
      </c>
      <c r="H26" s="20" t="s">
        <v>733</v>
      </c>
    </row>
    <row r="27" customFormat="false" ht="15" hidden="false" customHeight="false" outlineLevel="0" collapsed="false">
      <c r="A27" s="0" t="s">
        <v>731</v>
      </c>
      <c r="B27" s="0" t="s">
        <v>703</v>
      </c>
      <c r="C27" s="0" t="s">
        <v>735</v>
      </c>
      <c r="D27" s="19" t="n">
        <v>38.7669024</v>
      </c>
      <c r="E27" s="19" t="n">
        <v>44.907224</v>
      </c>
      <c r="F27" s="19" t="n">
        <v>55.4686064</v>
      </c>
      <c r="G27" s="20" t="s">
        <v>213</v>
      </c>
      <c r="H27" s="20" t="s">
        <v>733</v>
      </c>
    </row>
    <row r="28" customFormat="false" ht="15" hidden="false" customHeight="false" outlineLevel="0" collapsed="false">
      <c r="A28" s="0" t="s">
        <v>731</v>
      </c>
      <c r="B28" s="0" t="s">
        <v>705</v>
      </c>
      <c r="C28" s="0" t="s">
        <v>736</v>
      </c>
      <c r="D28" s="19" t="n">
        <v>42.2090232</v>
      </c>
      <c r="E28" s="19" t="n">
        <v>50.256352</v>
      </c>
      <c r="F28" s="19" t="n">
        <v>58.8235752</v>
      </c>
      <c r="G28" s="20" t="s">
        <v>213</v>
      </c>
      <c r="H28" s="20" t="s">
        <v>733</v>
      </c>
    </row>
    <row r="29" customFormat="false" ht="17.15" hidden="false" customHeight="false" outlineLevel="0" collapsed="false">
      <c r="A29" s="0" t="s">
        <v>731</v>
      </c>
      <c r="B29" s="0" t="s">
        <v>707</v>
      </c>
      <c r="C29" s="0" t="s">
        <v>737</v>
      </c>
      <c r="D29" s="19" t="n">
        <v>46.057578</v>
      </c>
      <c r="E29" s="19" t="n">
        <v>62.75578</v>
      </c>
      <c r="F29" s="19" t="n">
        <v>81.667558</v>
      </c>
      <c r="G29" s="20" t="s">
        <v>213</v>
      </c>
      <c r="H29" s="20" t="s">
        <v>733</v>
      </c>
    </row>
    <row r="30" customFormat="false" ht="17.15" hidden="false" customHeight="false" outlineLevel="0" collapsed="false">
      <c r="A30" s="0" t="s">
        <v>738</v>
      </c>
      <c r="B30" s="0" t="s">
        <v>697</v>
      </c>
      <c r="C30" s="0" t="s">
        <v>739</v>
      </c>
      <c r="D30" s="19" t="n">
        <v>0.9</v>
      </c>
      <c r="E30" s="19" t="n">
        <v>1.1</v>
      </c>
      <c r="F30" s="19" t="n">
        <v>1.3</v>
      </c>
      <c r="G30" s="20" t="s">
        <v>740</v>
      </c>
      <c r="H30" s="20" t="s">
        <v>741</v>
      </c>
    </row>
    <row r="31" customFormat="false" ht="17.15" hidden="false" customHeight="false" outlineLevel="0" collapsed="false">
      <c r="A31" s="0" t="s">
        <v>738</v>
      </c>
      <c r="B31" s="0" t="s">
        <v>701</v>
      </c>
      <c r="C31" s="0" t="s">
        <v>742</v>
      </c>
      <c r="D31" s="19" t="n">
        <v>2.8</v>
      </c>
      <c r="E31" s="19" t="n">
        <v>3.1</v>
      </c>
      <c r="F31" s="19" t="n">
        <v>3.4</v>
      </c>
      <c r="G31" s="20" t="s">
        <v>740</v>
      </c>
      <c r="H31" s="20" t="s">
        <v>741</v>
      </c>
    </row>
    <row r="32" customFormat="false" ht="17.15" hidden="false" customHeight="false" outlineLevel="0" collapsed="false">
      <c r="A32" s="0" t="s">
        <v>738</v>
      </c>
      <c r="B32" s="0" t="s">
        <v>703</v>
      </c>
      <c r="C32" s="0" t="s">
        <v>743</v>
      </c>
      <c r="D32" s="19" t="n">
        <v>4</v>
      </c>
      <c r="E32" s="19" t="n">
        <v>4.3</v>
      </c>
      <c r="F32" s="19" t="n">
        <v>5</v>
      </c>
      <c r="G32" s="20" t="s">
        <v>740</v>
      </c>
      <c r="H32" s="20" t="s">
        <v>741</v>
      </c>
    </row>
    <row r="33" customFormat="false" ht="17.15" hidden="false" customHeight="false" outlineLevel="0" collapsed="false">
      <c r="A33" s="0" t="s">
        <v>738</v>
      </c>
      <c r="B33" s="0" t="s">
        <v>705</v>
      </c>
      <c r="C33" s="0" t="s">
        <v>744</v>
      </c>
      <c r="D33" s="19" t="n">
        <v>7.5</v>
      </c>
      <c r="E33" s="19" t="n">
        <v>8.4</v>
      </c>
      <c r="F33" s="19" t="n">
        <v>9.1</v>
      </c>
      <c r="G33" s="20" t="s">
        <v>740</v>
      </c>
      <c r="H33" s="20" t="s">
        <v>741</v>
      </c>
    </row>
    <row r="34" customFormat="false" ht="17.15" hidden="false" customHeight="false" outlineLevel="0" collapsed="false">
      <c r="A34" s="0" t="s">
        <v>738</v>
      </c>
      <c r="B34" s="0" t="s">
        <v>707</v>
      </c>
      <c r="C34" s="0" t="s">
        <v>745</v>
      </c>
      <c r="D34" s="19" t="n">
        <v>12.6</v>
      </c>
      <c r="E34" s="19" t="n">
        <v>16.8</v>
      </c>
      <c r="F34" s="19" t="n">
        <v>21</v>
      </c>
      <c r="G34" s="20" t="s">
        <v>740</v>
      </c>
      <c r="H34" s="20" t="s">
        <v>741</v>
      </c>
    </row>
    <row r="35" customFormat="false" ht="17.15" hidden="false" customHeight="false" outlineLevel="0" collapsed="false">
      <c r="A35" s="0" t="s">
        <v>746</v>
      </c>
      <c r="B35" s="0" t="s">
        <v>697</v>
      </c>
      <c r="C35" s="0" t="s">
        <v>747</v>
      </c>
      <c r="D35" s="19" t="n">
        <v>0.05</v>
      </c>
      <c r="E35" s="19" t="n">
        <v>0.1</v>
      </c>
      <c r="F35" s="19" t="n">
        <v>0.15</v>
      </c>
      <c r="G35" s="5" t="s">
        <v>748</v>
      </c>
      <c r="H35" s="20" t="s">
        <v>749</v>
      </c>
    </row>
    <row r="36" customFormat="false" ht="17.15" hidden="false" customHeight="false" outlineLevel="0" collapsed="false">
      <c r="A36" s="0" t="s">
        <v>746</v>
      </c>
      <c r="B36" s="0" t="s">
        <v>701</v>
      </c>
      <c r="C36" s="0" t="s">
        <v>750</v>
      </c>
      <c r="D36" s="19" t="n">
        <v>0.05</v>
      </c>
      <c r="E36" s="19" t="n">
        <v>0.1</v>
      </c>
      <c r="F36" s="19" t="n">
        <v>0.15</v>
      </c>
      <c r="G36" s="5" t="s">
        <v>748</v>
      </c>
      <c r="H36" s="20" t="s">
        <v>749</v>
      </c>
    </row>
    <row r="37" customFormat="false" ht="17.15" hidden="false" customHeight="false" outlineLevel="0" collapsed="false">
      <c r="A37" s="0" t="s">
        <v>746</v>
      </c>
      <c r="B37" s="0" t="s">
        <v>703</v>
      </c>
      <c r="C37" s="0" t="s">
        <v>751</v>
      </c>
      <c r="D37" s="19" t="n">
        <v>0.05</v>
      </c>
      <c r="E37" s="19" t="n">
        <v>0.1</v>
      </c>
      <c r="F37" s="19" t="n">
        <v>0.15</v>
      </c>
      <c r="G37" s="5" t="s">
        <v>748</v>
      </c>
      <c r="H37" s="20" t="s">
        <v>749</v>
      </c>
    </row>
    <row r="38" customFormat="false" ht="17.15" hidden="false" customHeight="false" outlineLevel="0" collapsed="false">
      <c r="A38" s="0" t="s">
        <v>746</v>
      </c>
      <c r="B38" s="0" t="s">
        <v>705</v>
      </c>
      <c r="C38" s="0" t="s">
        <v>752</v>
      </c>
      <c r="D38" s="19" t="n">
        <v>0.05</v>
      </c>
      <c r="E38" s="19" t="n">
        <v>0.1</v>
      </c>
      <c r="F38" s="19" t="n">
        <v>0.15</v>
      </c>
      <c r="G38" s="5" t="s">
        <v>748</v>
      </c>
      <c r="H38" s="20" t="s">
        <v>749</v>
      </c>
    </row>
    <row r="39" customFormat="false" ht="17.15" hidden="false" customHeight="false" outlineLevel="0" collapsed="false">
      <c r="A39" s="0" t="s">
        <v>746</v>
      </c>
      <c r="B39" s="0" t="s">
        <v>707</v>
      </c>
      <c r="C39" s="0" t="s">
        <v>753</v>
      </c>
      <c r="D39" s="19" t="n">
        <v>0.05</v>
      </c>
      <c r="E39" s="19" t="n">
        <v>0.1</v>
      </c>
      <c r="F39" s="19" t="n">
        <v>0.15</v>
      </c>
      <c r="G39" s="5" t="s">
        <v>748</v>
      </c>
      <c r="H39" s="20" t="s">
        <v>749</v>
      </c>
    </row>
    <row r="40" customFormat="false" ht="15" hidden="false" customHeight="false" outlineLevel="0" collapsed="false">
      <c r="A40" s="0" t="s">
        <v>754</v>
      </c>
      <c r="B40" s="0" t="s">
        <v>697</v>
      </c>
      <c r="C40" s="0" t="s">
        <v>755</v>
      </c>
      <c r="D40" s="19" t="n">
        <v>300</v>
      </c>
      <c r="E40" s="19" t="n">
        <v>500</v>
      </c>
      <c r="F40" s="19" t="n">
        <v>800</v>
      </c>
      <c r="G40" s="20" t="s">
        <v>756</v>
      </c>
      <c r="H40" s="20" t="s">
        <v>757</v>
      </c>
    </row>
    <row r="41" customFormat="false" ht="15" hidden="false" customHeight="false" outlineLevel="0" collapsed="false">
      <c r="A41" s="0" t="s">
        <v>754</v>
      </c>
      <c r="B41" s="0" t="s">
        <v>701</v>
      </c>
      <c r="C41" s="0" t="s">
        <v>758</v>
      </c>
      <c r="D41" s="19" t="n">
        <v>300</v>
      </c>
      <c r="E41" s="19" t="n">
        <v>500</v>
      </c>
      <c r="F41" s="19" t="n">
        <v>800</v>
      </c>
      <c r="G41" s="20" t="s">
        <v>756</v>
      </c>
      <c r="H41" s="20" t="s">
        <v>757</v>
      </c>
    </row>
    <row r="42" customFormat="false" ht="15" hidden="false" customHeight="false" outlineLevel="0" collapsed="false">
      <c r="A42" s="0" t="s">
        <v>754</v>
      </c>
      <c r="B42" s="0" t="s">
        <v>703</v>
      </c>
      <c r="C42" s="0" t="s">
        <v>759</v>
      </c>
      <c r="D42" s="19" t="n">
        <v>300</v>
      </c>
      <c r="E42" s="19" t="n">
        <v>500</v>
      </c>
      <c r="F42" s="19" t="n">
        <v>800</v>
      </c>
      <c r="G42" s="20" t="s">
        <v>756</v>
      </c>
      <c r="H42" s="20" t="s">
        <v>757</v>
      </c>
    </row>
    <row r="43" customFormat="false" ht="15" hidden="false" customHeight="false" outlineLevel="0" collapsed="false">
      <c r="A43" s="0" t="s">
        <v>754</v>
      </c>
      <c r="B43" s="0" t="s">
        <v>705</v>
      </c>
      <c r="C43" s="0" t="s">
        <v>760</v>
      </c>
      <c r="D43" s="19" t="n">
        <v>300</v>
      </c>
      <c r="E43" s="19" t="n">
        <v>500</v>
      </c>
      <c r="F43" s="19" t="n">
        <v>800</v>
      </c>
      <c r="G43" s="20" t="s">
        <v>756</v>
      </c>
      <c r="H43" s="20" t="s">
        <v>757</v>
      </c>
    </row>
    <row r="44" customFormat="false" ht="17.15" hidden="false" customHeight="false" outlineLevel="0" collapsed="false">
      <c r="A44" s="0" t="s">
        <v>754</v>
      </c>
      <c r="B44" s="0" t="s">
        <v>707</v>
      </c>
      <c r="C44" s="0" t="s">
        <v>761</v>
      </c>
      <c r="D44" s="19" t="n">
        <v>300</v>
      </c>
      <c r="E44" s="19" t="n">
        <v>500</v>
      </c>
      <c r="F44" s="19" t="n">
        <v>800</v>
      </c>
      <c r="G44" s="20" t="s">
        <v>756</v>
      </c>
      <c r="H44" s="20" t="s">
        <v>757</v>
      </c>
    </row>
    <row r="45" customFormat="false" ht="17.15" hidden="false" customHeight="false" outlineLevel="0" collapsed="false">
      <c r="A45" s="0" t="s">
        <v>762</v>
      </c>
      <c r="B45" s="0" t="s">
        <v>763</v>
      </c>
      <c r="C45" s="0" t="s">
        <v>764</v>
      </c>
      <c r="D45" s="19" t="n">
        <v>0.7</v>
      </c>
      <c r="E45" s="19" t="n">
        <v>0.8</v>
      </c>
      <c r="F45" s="19" t="n">
        <v>1.15</v>
      </c>
      <c r="G45" s="5" t="s">
        <v>765</v>
      </c>
      <c r="H45" s="20" t="s">
        <v>766</v>
      </c>
    </row>
    <row r="46" customFormat="false" ht="17.15" hidden="false" customHeight="false" outlineLevel="0" collapsed="false">
      <c r="A46" s="0" t="s">
        <v>767</v>
      </c>
      <c r="B46" s="0" t="s">
        <v>768</v>
      </c>
      <c r="C46" s="0" t="s">
        <v>769</v>
      </c>
      <c r="D46" s="19" t="n">
        <v>0.6</v>
      </c>
      <c r="E46" s="19" t="n">
        <v>0.8</v>
      </c>
      <c r="F46" s="19" t="n">
        <v>1.1</v>
      </c>
      <c r="G46" s="5" t="s">
        <v>765</v>
      </c>
      <c r="H46" s="20" t="s">
        <v>770</v>
      </c>
    </row>
    <row r="47" customFormat="false" ht="17.15" hidden="false" customHeight="false" outlineLevel="0" collapsed="false">
      <c r="A47" s="0" t="s">
        <v>771</v>
      </c>
      <c r="B47" s="0" t="s">
        <v>772</v>
      </c>
      <c r="C47" s="0" t="s">
        <v>773</v>
      </c>
      <c r="D47" s="19" t="n">
        <v>0.3</v>
      </c>
      <c r="E47" s="19" t="n">
        <v>0.5</v>
      </c>
      <c r="F47" s="19" t="n">
        <v>0.8</v>
      </c>
      <c r="G47" s="5" t="s">
        <v>765</v>
      </c>
      <c r="H47" s="20" t="s">
        <v>774</v>
      </c>
    </row>
    <row r="48" customFormat="false" ht="17.15" hidden="false" customHeight="false" outlineLevel="0" collapsed="false">
      <c r="A48" s="0" t="s">
        <v>775</v>
      </c>
      <c r="B48" s="0" t="s">
        <v>776</v>
      </c>
      <c r="C48" s="0" t="s">
        <v>777</v>
      </c>
      <c r="D48" s="19" t="n">
        <v>0.2</v>
      </c>
      <c r="E48" s="19" t="n">
        <v>0.4</v>
      </c>
      <c r="F48" s="19" t="n">
        <v>0.8</v>
      </c>
      <c r="G48" s="5" t="s">
        <v>765</v>
      </c>
      <c r="H48" s="20" t="s">
        <v>778</v>
      </c>
    </row>
    <row r="49" customFormat="false" ht="17.15" hidden="false" customHeight="false" outlineLevel="0" collapsed="false">
      <c r="A49" s="0" t="s">
        <v>779</v>
      </c>
      <c r="B49" s="0" t="s">
        <v>780</v>
      </c>
      <c r="C49" s="0" t="s">
        <v>781</v>
      </c>
      <c r="D49" s="19" t="n">
        <v>0.4</v>
      </c>
      <c r="E49" s="19" t="n">
        <v>0.6</v>
      </c>
      <c r="F49" s="19" t="n">
        <v>0.9</v>
      </c>
      <c r="G49" s="5" t="s">
        <v>765</v>
      </c>
      <c r="H49" s="20" t="s">
        <v>782</v>
      </c>
    </row>
    <row r="50" customFormat="false" ht="17.15" hidden="false" customHeight="false" outlineLevel="0" collapsed="false">
      <c r="A50" s="0" t="s">
        <v>783</v>
      </c>
      <c r="B50" s="5" t="s">
        <v>784</v>
      </c>
      <c r="C50" s="0" t="s">
        <v>785</v>
      </c>
      <c r="D50" s="19" t="n">
        <v>0.05</v>
      </c>
      <c r="E50" s="19" t="n">
        <v>0.08</v>
      </c>
      <c r="F50" s="19" t="n">
        <v>0.15</v>
      </c>
      <c r="G50" s="5" t="s">
        <v>765</v>
      </c>
      <c r="H50" s="20" t="s">
        <v>786</v>
      </c>
    </row>
    <row r="51" customFormat="false" ht="17.15" hidden="false" customHeight="false" outlineLevel="0" collapsed="false">
      <c r="A51" s="0" t="s">
        <v>787</v>
      </c>
      <c r="B51" s="0" t="s">
        <v>788</v>
      </c>
      <c r="C51" s="0" t="s">
        <v>789</v>
      </c>
      <c r="D51" s="19" t="n">
        <v>0.25</v>
      </c>
      <c r="E51" s="19" t="n">
        <v>0.55</v>
      </c>
      <c r="F51" s="19" t="n">
        <v>0.75</v>
      </c>
      <c r="G51" s="5" t="s">
        <v>765</v>
      </c>
      <c r="H51" s="20" t="s">
        <v>790</v>
      </c>
    </row>
    <row r="52" customFormat="false" ht="17.15" hidden="false" customHeight="false" outlineLevel="0" collapsed="false">
      <c r="A52" s="0" t="s">
        <v>791</v>
      </c>
      <c r="B52" s="0" t="s">
        <v>792</v>
      </c>
      <c r="C52" s="0" t="s">
        <v>793</v>
      </c>
      <c r="D52" s="19" t="n">
        <v>0.67</v>
      </c>
      <c r="E52" s="19" t="n">
        <v>0.85</v>
      </c>
      <c r="F52" s="19" t="n">
        <v>1.12</v>
      </c>
      <c r="G52" s="5" t="s">
        <v>765</v>
      </c>
      <c r="H52" s="20" t="s">
        <v>794</v>
      </c>
    </row>
    <row r="53" customFormat="false" ht="17.15" hidden="false" customHeight="false" outlineLevel="0" collapsed="false">
      <c r="A53" s="0" t="s">
        <v>795</v>
      </c>
      <c r="B53" s="0" t="s">
        <v>796</v>
      </c>
      <c r="C53" s="0" t="s">
        <v>797</v>
      </c>
      <c r="D53" s="19" t="n">
        <v>0.65</v>
      </c>
      <c r="E53" s="19" t="n">
        <v>0.7</v>
      </c>
      <c r="F53" s="19" t="n">
        <v>0.9</v>
      </c>
      <c r="G53" s="5" t="s">
        <v>765</v>
      </c>
      <c r="H53" s="20" t="s">
        <v>798</v>
      </c>
    </row>
    <row r="54" customFormat="false" ht="17.15" hidden="false" customHeight="false" outlineLevel="0" collapsed="false">
      <c r="A54" s="0" t="s">
        <v>799</v>
      </c>
      <c r="B54" s="0" t="s">
        <v>800</v>
      </c>
      <c r="C54" s="0" t="s">
        <v>801</v>
      </c>
      <c r="D54" s="19" t="n">
        <v>0.45</v>
      </c>
      <c r="E54" s="19" t="n">
        <v>0.61</v>
      </c>
      <c r="F54" s="19" t="n">
        <v>0.7</v>
      </c>
      <c r="G54" s="5" t="s">
        <v>765</v>
      </c>
      <c r="H54" s="20" t="s">
        <v>802</v>
      </c>
    </row>
    <row r="55" customFormat="false" ht="17.15" hidden="false" customHeight="false" outlineLevel="0" collapsed="false">
      <c r="A55" s="0" t="s">
        <v>803</v>
      </c>
      <c r="B55" s="0" t="s">
        <v>804</v>
      </c>
      <c r="C55" s="0" t="s">
        <v>805</v>
      </c>
      <c r="D55" s="19" t="n">
        <v>0.8</v>
      </c>
      <c r="E55" s="19" t="n">
        <v>1</v>
      </c>
      <c r="F55" s="19" t="n">
        <v>1.2</v>
      </c>
      <c r="G55" s="5" t="s">
        <v>765</v>
      </c>
      <c r="H55" s="20" t="s">
        <v>806</v>
      </c>
    </row>
    <row r="56" customFormat="false" ht="17.15" hidden="false" customHeight="false" outlineLevel="0" collapsed="false">
      <c r="A56" s="0" t="s">
        <v>807</v>
      </c>
      <c r="B56" s="0" t="s">
        <v>808</v>
      </c>
      <c r="C56" s="0" t="s">
        <v>809</v>
      </c>
      <c r="D56" s="19" t="n">
        <v>0.7</v>
      </c>
      <c r="E56" s="19" t="n">
        <v>0.8</v>
      </c>
      <c r="F56" s="19" t="n">
        <v>1</v>
      </c>
      <c r="G56" s="5" t="s">
        <v>765</v>
      </c>
      <c r="H56" s="20" t="s">
        <v>810</v>
      </c>
    </row>
    <row r="57" customFormat="false" ht="17.15" hidden="false" customHeight="false" outlineLevel="0" collapsed="false">
      <c r="A57" s="0" t="s">
        <v>811</v>
      </c>
      <c r="B57" s="5" t="s">
        <v>812</v>
      </c>
      <c r="C57" s="0" t="s">
        <v>813</v>
      </c>
      <c r="D57" s="19" t="n">
        <v>0.45</v>
      </c>
      <c r="E57" s="19" t="n">
        <v>0.55</v>
      </c>
      <c r="F57" s="19" t="n">
        <v>0.7</v>
      </c>
      <c r="G57" s="5" t="s">
        <v>765</v>
      </c>
      <c r="H57" s="20" t="s">
        <v>814</v>
      </c>
    </row>
    <row r="58" customFormat="false" ht="17.15" hidden="false" customHeight="false" outlineLevel="0" collapsed="false">
      <c r="A58" s="0" t="s">
        <v>815</v>
      </c>
      <c r="B58" s="0" t="s">
        <v>816</v>
      </c>
      <c r="C58" s="0" t="s">
        <v>817</v>
      </c>
      <c r="D58" s="19" t="n">
        <v>0.4</v>
      </c>
      <c r="E58" s="19" t="n">
        <v>0.5</v>
      </c>
      <c r="F58" s="19" t="n">
        <v>0.6</v>
      </c>
      <c r="G58" s="5" t="s">
        <v>765</v>
      </c>
      <c r="H58" s="20" t="s">
        <v>818</v>
      </c>
    </row>
    <row r="59" customFormat="false" ht="17.15" hidden="false" customHeight="false" outlineLevel="0" collapsed="false">
      <c r="A59" s="0" t="s">
        <v>819</v>
      </c>
      <c r="B59" s="0" t="s">
        <v>697</v>
      </c>
      <c r="C59" s="0" t="s">
        <v>820</v>
      </c>
      <c r="D59" s="19" t="n">
        <v>1.1</v>
      </c>
      <c r="E59" s="19" t="n">
        <v>1.2</v>
      </c>
      <c r="F59" s="19" t="n">
        <v>1.3</v>
      </c>
      <c r="G59" s="20" t="s">
        <v>76</v>
      </c>
      <c r="H59" s="20" t="s">
        <v>821</v>
      </c>
    </row>
    <row r="60" customFormat="false" ht="17.15" hidden="false" customHeight="false" outlineLevel="0" collapsed="false">
      <c r="A60" s="0" t="s">
        <v>819</v>
      </c>
      <c r="B60" s="0" t="s">
        <v>701</v>
      </c>
      <c r="C60" s="0" t="s">
        <v>822</v>
      </c>
      <c r="D60" s="19" t="n">
        <v>1.1</v>
      </c>
      <c r="E60" s="19" t="n">
        <v>1.2</v>
      </c>
      <c r="F60" s="19" t="n">
        <v>1.3</v>
      </c>
      <c r="G60" s="20" t="s">
        <v>76</v>
      </c>
      <c r="H60" s="20" t="s">
        <v>821</v>
      </c>
    </row>
    <row r="61" customFormat="false" ht="17.15" hidden="false" customHeight="false" outlineLevel="0" collapsed="false">
      <c r="A61" s="0" t="s">
        <v>819</v>
      </c>
      <c r="B61" s="0" t="s">
        <v>703</v>
      </c>
      <c r="C61" s="0" t="s">
        <v>823</v>
      </c>
      <c r="D61" s="19" t="n">
        <v>1.1</v>
      </c>
      <c r="E61" s="19" t="n">
        <v>1.2</v>
      </c>
      <c r="F61" s="19" t="n">
        <v>1.3</v>
      </c>
      <c r="G61" s="20" t="s">
        <v>76</v>
      </c>
      <c r="H61" s="20" t="s">
        <v>821</v>
      </c>
    </row>
    <row r="62" customFormat="false" ht="17.15" hidden="false" customHeight="false" outlineLevel="0" collapsed="false">
      <c r="A62" s="0" t="s">
        <v>819</v>
      </c>
      <c r="B62" s="0" t="s">
        <v>705</v>
      </c>
      <c r="C62" s="0" t="s">
        <v>824</v>
      </c>
      <c r="D62" s="19" t="n">
        <v>1.1</v>
      </c>
      <c r="E62" s="19" t="n">
        <v>1.2</v>
      </c>
      <c r="F62" s="19" t="n">
        <v>1.3</v>
      </c>
      <c r="G62" s="20" t="s">
        <v>76</v>
      </c>
      <c r="H62" s="20" t="s">
        <v>821</v>
      </c>
    </row>
    <row r="63" customFormat="false" ht="17.15" hidden="false" customHeight="false" outlineLevel="0" collapsed="false">
      <c r="A63" s="0" t="s">
        <v>819</v>
      </c>
      <c r="B63" s="0" t="s">
        <v>707</v>
      </c>
      <c r="C63" s="0" t="s">
        <v>825</v>
      </c>
      <c r="D63" s="19" t="n">
        <v>1.1</v>
      </c>
      <c r="E63" s="19" t="n">
        <v>1.2</v>
      </c>
      <c r="F63" s="19" t="n">
        <v>1.3</v>
      </c>
      <c r="G63" s="20" t="s">
        <v>76</v>
      </c>
      <c r="H63" s="20" t="s">
        <v>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826</v>
      </c>
    </row>
    <row r="3" customFormat="false" ht="17.15" hidden="false" customHeight="false" outlineLevel="0" collapsed="false">
      <c r="A3" s="6" t="s">
        <v>827</v>
      </c>
      <c r="B3" s="6" t="s">
        <v>691</v>
      </c>
      <c r="C3" s="6" t="s">
        <v>16</v>
      </c>
      <c r="D3" s="6" t="s">
        <v>828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</row>
    <row r="4" customFormat="false" ht="17.15" hidden="false" customHeight="false" outlineLevel="0" collapsed="false">
      <c r="A4" s="8" t="s">
        <v>829</v>
      </c>
    </row>
    <row r="5" customFormat="false" ht="15" hidden="false" customHeight="false" outlineLevel="0" collapsed="false">
      <c r="A5" s="0" t="s">
        <v>830</v>
      </c>
      <c r="B5" s="0" t="s">
        <v>831</v>
      </c>
      <c r="C5" s="0" t="s">
        <v>35</v>
      </c>
      <c r="D5" s="19" t="n">
        <v>0.22</v>
      </c>
    </row>
    <row r="6" customFormat="false" ht="15" hidden="false" customHeight="false" outlineLevel="0" collapsed="false">
      <c r="A6" s="0" t="s">
        <v>832</v>
      </c>
      <c r="B6" s="0" t="s">
        <v>833</v>
      </c>
      <c r="C6" s="0" t="s">
        <v>35</v>
      </c>
      <c r="D6" s="19" t="n">
        <v>0.15</v>
      </c>
    </row>
    <row r="7" customFormat="false" ht="15" hidden="false" customHeight="false" outlineLevel="0" collapsed="false">
      <c r="A7" s="0" t="s">
        <v>834</v>
      </c>
      <c r="B7" s="0" t="s">
        <v>835</v>
      </c>
      <c r="C7" s="0" t="s">
        <v>35</v>
      </c>
      <c r="D7" s="19" t="n">
        <v>0.3</v>
      </c>
    </row>
    <row r="8" customFormat="false" ht="17.15" hidden="false" customHeight="false" outlineLevel="0" collapsed="false">
      <c r="A8" s="0" t="s">
        <v>836</v>
      </c>
      <c r="B8" s="0" t="s">
        <v>837</v>
      </c>
      <c r="C8" s="0" t="s">
        <v>838</v>
      </c>
      <c r="D8" s="19" t="n">
        <v>66.1944444444444</v>
      </c>
    </row>
    <row r="9" customFormat="false" ht="17.15" hidden="false" customHeight="false" outlineLevel="0" collapsed="false">
      <c r="A9" s="0" t="s">
        <v>839</v>
      </c>
      <c r="B9" s="0" t="s">
        <v>840</v>
      </c>
      <c r="C9" s="0" t="s">
        <v>838</v>
      </c>
      <c r="D9" s="19" t="n">
        <v>128.833333333333</v>
      </c>
    </row>
    <row r="10" customFormat="false" ht="17.15" hidden="false" customHeight="false" outlineLevel="0" collapsed="false">
      <c r="A10" s="0" t="s">
        <v>841</v>
      </c>
      <c r="B10" s="0" t="s">
        <v>842</v>
      </c>
      <c r="C10" s="0" t="s">
        <v>838</v>
      </c>
      <c r="D10" s="19" t="n">
        <v>257.166666666667</v>
      </c>
    </row>
    <row r="11" customFormat="false" ht="17.15" hidden="false" customHeight="false" outlineLevel="0" collapsed="false">
      <c r="A11" s="0" t="s">
        <v>843</v>
      </c>
      <c r="B11" s="0" t="s">
        <v>844</v>
      </c>
      <c r="C11" s="0" t="s">
        <v>838</v>
      </c>
      <c r="D11" s="19" t="n">
        <v>38.3125</v>
      </c>
    </row>
    <row r="12" customFormat="false" ht="17.15" hidden="false" customHeight="false" outlineLevel="0" collapsed="false">
      <c r="A12" s="0" t="s">
        <v>845</v>
      </c>
      <c r="B12" s="0" t="s">
        <v>846</v>
      </c>
      <c r="C12" s="0" t="s">
        <v>838</v>
      </c>
      <c r="D12" s="19" t="n">
        <v>40</v>
      </c>
    </row>
    <row r="13" customFormat="false" ht="17.15" hidden="false" customHeight="false" outlineLevel="0" collapsed="false">
      <c r="A13" s="0" t="s">
        <v>847</v>
      </c>
      <c r="B13" s="0" t="s">
        <v>848</v>
      </c>
      <c r="C13" s="0" t="s">
        <v>838</v>
      </c>
      <c r="D13" s="19" t="n">
        <v>100</v>
      </c>
    </row>
    <row r="14" customFormat="false" ht="17.15" hidden="false" customHeight="false" outlineLevel="0" collapsed="false">
      <c r="A14" s="0" t="s">
        <v>849</v>
      </c>
      <c r="B14" s="0" t="s">
        <v>850</v>
      </c>
      <c r="C14" s="0" t="s">
        <v>838</v>
      </c>
      <c r="D14" s="19" t="n">
        <v>25</v>
      </c>
    </row>
    <row r="15" customFormat="false" ht="17.15" hidden="false" customHeight="false" outlineLevel="0" collapsed="false">
      <c r="A15" s="0" t="s">
        <v>851</v>
      </c>
      <c r="B15" s="0" t="s">
        <v>852</v>
      </c>
      <c r="C15" s="0" t="s">
        <v>838</v>
      </c>
      <c r="D15" s="19" t="n">
        <v>20</v>
      </c>
    </row>
    <row r="16" customFormat="false" ht="17.15" hidden="false" customHeight="false" outlineLevel="0" collapsed="false">
      <c r="A16" s="0" t="s">
        <v>853</v>
      </c>
      <c r="B16" s="0" t="s">
        <v>854</v>
      </c>
      <c r="C16" s="0" t="s">
        <v>838</v>
      </c>
      <c r="D16" s="19" t="n">
        <v>20</v>
      </c>
    </row>
    <row r="18" customFormat="false" ht="17.15" hidden="false" customHeight="false" outlineLevel="0" collapsed="false">
      <c r="A18" s="8" t="s">
        <v>855</v>
      </c>
    </row>
    <row r="19" customFormat="false" ht="15" hidden="false" customHeight="false" outlineLevel="0" collapsed="false">
      <c r="A19" s="0" t="s">
        <v>856</v>
      </c>
      <c r="C19" s="5" t="s">
        <v>857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858</v>
      </c>
      <c r="C20" s="5" t="s">
        <v>857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859</v>
      </c>
      <c r="C21" s="5" t="s">
        <v>857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860</v>
      </c>
      <c r="C22" s="5" t="s">
        <v>857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861</v>
      </c>
      <c r="C23" s="5" t="s">
        <v>857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862</v>
      </c>
      <c r="C24" s="5" t="s">
        <v>857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863</v>
      </c>
      <c r="C25" s="5" t="s">
        <v>857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864</v>
      </c>
      <c r="C26" s="5" t="s">
        <v>857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865</v>
      </c>
      <c r="C27" s="0" t="s">
        <v>35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866</v>
      </c>
      <c r="C28" s="0" t="s">
        <v>35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867</v>
      </c>
      <c r="C29" s="0" t="s">
        <v>35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868</v>
      </c>
      <c r="C30" s="0" t="s">
        <v>869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870</v>
      </c>
      <c r="C31" s="0" t="s">
        <v>869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871</v>
      </c>
      <c r="C32" s="0" t="s">
        <v>869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872</v>
      </c>
      <c r="C33" s="0" t="s">
        <v>388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873</v>
      </c>
      <c r="C34" s="0" t="s">
        <v>388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874</v>
      </c>
      <c r="C35" s="0" t="s">
        <v>388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875</v>
      </c>
      <c r="C36" s="0" t="s">
        <v>876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877</v>
      </c>
    </row>
    <row r="2" customFormat="false" ht="17.15" hidden="false" customHeight="false" outlineLevel="0" collapsed="false">
      <c r="A2" s="5" t="s">
        <v>878</v>
      </c>
    </row>
    <row r="3" customFormat="false" ht="15" hidden="false" customHeight="false" outlineLevel="0" collapsed="false">
      <c r="A3" s="6" t="s">
        <v>14</v>
      </c>
      <c r="B3" s="6" t="s">
        <v>13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21" t="s">
        <v>879</v>
      </c>
    </row>
    <row r="5" customFormat="false" ht="17.15" hidden="false" customHeight="false" outlineLevel="0" collapsed="false">
      <c r="A5" s="5" t="s">
        <v>880</v>
      </c>
      <c r="B5" s="0" t="s">
        <v>480</v>
      </c>
      <c r="C5" s="0" t="s">
        <v>51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881</v>
      </c>
      <c r="B6" s="0" t="s">
        <v>485</v>
      </c>
      <c r="C6" s="0" t="s">
        <v>51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882</v>
      </c>
      <c r="B7" s="0" t="s">
        <v>487</v>
      </c>
      <c r="C7" s="0" t="s">
        <v>51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883</v>
      </c>
      <c r="B8" s="0" t="s">
        <v>489</v>
      </c>
      <c r="C8" s="0" t="s">
        <v>51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884</v>
      </c>
      <c r="B9" s="0" t="s">
        <v>491</v>
      </c>
      <c r="C9" s="0" t="s">
        <v>51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885</v>
      </c>
      <c r="C10" s="0" t="s">
        <v>51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886</v>
      </c>
      <c r="C11" s="0" t="s">
        <v>51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887</v>
      </c>
    </row>
    <row r="12" customFormat="false" ht="17.15" hidden="false" customHeight="false" outlineLevel="0" collapsed="false">
      <c r="A12" s="5" t="s">
        <v>888</v>
      </c>
      <c r="B12" s="0" t="s">
        <v>493</v>
      </c>
      <c r="C12" s="0" t="s">
        <v>51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889</v>
      </c>
    </row>
    <row r="13" customFormat="false" ht="17.15" hidden="false" customHeight="false" outlineLevel="0" collapsed="false">
      <c r="A13" s="5" t="s">
        <v>890</v>
      </c>
      <c r="C13" s="0" t="s">
        <v>35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891</v>
      </c>
    </row>
    <row r="14" customFormat="false" ht="17.15" hidden="false" customHeight="false" outlineLevel="0" collapsed="false">
      <c r="A14" s="5" t="s">
        <v>892</v>
      </c>
      <c r="B14" s="0" t="s">
        <v>893</v>
      </c>
      <c r="C14" s="0" t="s">
        <v>35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894</v>
      </c>
    </row>
    <row r="15" customFormat="false" ht="17.15" hidden="false" customHeight="false" outlineLevel="0" collapsed="false">
      <c r="A15" s="5" t="s">
        <v>895</v>
      </c>
      <c r="B15" s="0" t="s">
        <v>896</v>
      </c>
      <c r="C15" s="0" t="s">
        <v>35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897</v>
      </c>
    </row>
    <row r="16" customFormat="false" ht="17.15" hidden="false" customHeight="false" outlineLevel="0" collapsed="false">
      <c r="A16" s="5" t="s">
        <v>898</v>
      </c>
      <c r="B16" s="0" t="s">
        <v>899</v>
      </c>
      <c r="C16" s="0" t="s">
        <v>35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900</v>
      </c>
    </row>
    <row r="17" customFormat="false" ht="17.15" hidden="false" customHeight="false" outlineLevel="0" collapsed="false">
      <c r="A17" s="5" t="s">
        <v>901</v>
      </c>
      <c r="B17" s="0" t="s">
        <v>902</v>
      </c>
      <c r="C17" s="0" t="s">
        <v>35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894</v>
      </c>
    </row>
    <row r="18" customFormat="false" ht="17.15" hidden="false" customHeight="false" outlineLevel="0" collapsed="false">
      <c r="A18" s="5" t="s">
        <v>903</v>
      </c>
      <c r="B18" s="0" t="s">
        <v>904</v>
      </c>
      <c r="C18" s="0" t="s">
        <v>35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894</v>
      </c>
    </row>
    <row r="19" customFormat="false" ht="17.15" hidden="false" customHeight="false" outlineLevel="0" collapsed="false">
      <c r="A19" s="5" t="s">
        <v>905</v>
      </c>
      <c r="B19" s="0" t="s">
        <v>906</v>
      </c>
      <c r="C19" s="0" t="s">
        <v>35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894</v>
      </c>
    </row>
    <row r="21" customFormat="false" ht="17.15" hidden="false" customHeight="false" outlineLevel="0" collapsed="false">
      <c r="A21" s="8" t="s">
        <v>907</v>
      </c>
      <c r="B21" s="20" t="s">
        <v>504</v>
      </c>
      <c r="N21" s="20" t="s">
        <v>908</v>
      </c>
    </row>
    <row r="22" customFormat="false" ht="17.15" hidden="false" customHeight="false" outlineLevel="0" collapsed="false">
      <c r="A22" s="5" t="s">
        <v>909</v>
      </c>
      <c r="B22" s="0" t="s">
        <v>910</v>
      </c>
      <c r="C22" s="0" t="s">
        <v>76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911</v>
      </c>
      <c r="B23" s="0" t="s">
        <v>912</v>
      </c>
      <c r="C23" s="0" t="s">
        <v>76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913</v>
      </c>
      <c r="B24" s="0" t="s">
        <v>914</v>
      </c>
      <c r="C24" s="0" t="s">
        <v>76</v>
      </c>
      <c r="D24" s="24" t="str">
        <f aca="false">IF(D22&lt;&gt;"",D22,IF(D23&lt;&gt;"",D23,IF(INT(obsd_msft)=2023,obs_msft/1000+SUMIFS(Pipeline!$L$5:$L$47,Pipeline!$C$5:$C$47,"msft",Pipeline!$Q$5:$Q$47,1,Pipeline!$K$5:$K$47,"&gt;"&amp;obsd_msft,Pipeline!$K$5:$K$47,"&lt;="&amp;2024),"")))</f>
        <v/>
      </c>
      <c r="E24" s="24" t="n">
        <f aca="false">IF(E22&lt;&gt;"",E22,IF(E23&lt;&gt;"",E23,IF(INT(obsd_msft)=2024,obs_msft/1000+SUMIFS(Pipeline!$L$5:$L$47,Pipeline!$C$5:$C$47,"msft",Pipeline!$Q$5:$Q$47,1,Pipeline!$K$5:$K$47,"&gt;"&amp;obsd_msft,Pipeline!$K$5:$K$47,"&lt;="&amp;2025),"")))</f>
        <v>1.593775</v>
      </c>
      <c r="F24" s="24" t="n">
        <f aca="false">IF(F22&lt;&gt;"",F22,IF(F23&lt;&gt;"",F23,IF(INT(obsd_msft)=2025,obs_msft/1000+SUMIFS(Pipeline!$L$5:$L$47,Pipeline!$C$5:$C$47,"msft",Pipeline!$Q$5:$Q$47,1,Pipeline!$K$5:$K$47,"&gt;"&amp;obsd_msft,Pipeline!$K$5:$K$47,"&lt;="&amp;2026),"")))</f>
        <v>3.729045</v>
      </c>
      <c r="G24" s="24" t="n">
        <f aca="false">IF(G22&lt;&gt;"",G22,IF(G23&lt;&gt;"",G23,IF(INT(obsd_msft)=2026,obs_msft/1000+SUMIFS(Pipeline!$L$5:$L$47,Pipeline!$C$5:$C$47,"msft",Pipeline!$Q$5:$Q$47,1,Pipeline!$K$5:$K$47,"&gt;"&amp;obsd_msft,Pipeline!$K$5:$K$47,"&lt;="&amp;2027),"")))</f>
        <v>4.5</v>
      </c>
      <c r="H24" s="24" t="str">
        <f aca="false">IF(H22&lt;&gt;"",H22,IF(H23&lt;&gt;"",H23,IF(INT(obsd_msft)=2027,obs_msft/1000+SUMIFS(Pipeline!$L$5:$L$47,Pipeline!$C$5:$C$47,"msft",Pipeline!$Q$5:$Q$47,1,Pipeline!$K$5:$K$47,"&gt;"&amp;obsd_msft,Pipeline!$K$5:$K$47,"&lt;="&amp;2028),"")))</f>
        <v/>
      </c>
      <c r="I24" s="24" t="str">
        <f aca="false">IF(I22&lt;&gt;"",I22,IF(I23&lt;&gt;"",I23,IF(INT(obsd_msft)=2028,obs_msft/1000+SUMIFS(Pipeline!$L$5:$L$47,Pipeline!$C$5:$C$47,"msft",Pipeline!$Q$5:$Q$47,1,Pipeline!$K$5:$K$47,"&gt;"&amp;obsd_msft,Pipeline!$K$5:$K$47,"&lt;="&amp;2029),"")))</f>
        <v/>
      </c>
      <c r="J24" s="24" t="str">
        <f aca="false">IF(J22&lt;&gt;"",J22,IF(J23&lt;&gt;"",J23,IF(INT(obsd_msft)=2029,obs_msft/1000+SUMIFS(Pipeline!$L$5:$L$47,Pipeline!$C$5:$C$47,"msft",Pipeline!$Q$5:$Q$47,1,Pipeline!$K$5:$K$47,"&gt;"&amp;obsd_msft,Pipeline!$K$5:$K$47,"&lt;="&amp;2030),"")))</f>
        <v/>
      </c>
      <c r="K24" s="24" t="str">
        <f aca="false">IF(K22&lt;&gt;"",K22,IF(K23&lt;&gt;"",K23,IF(INT(obsd_msft)=2030,obs_msft/1000+SUMIFS(Pipeline!$L$5:$L$47,Pipeline!$C$5:$C$47,"msft",Pipeline!$Q$5:$Q$47,1,Pipeline!$K$5:$K$47,"&gt;"&amp;obsd_msft,Pipeline!$K$5:$K$47,"&lt;="&amp;2031),"")))</f>
        <v/>
      </c>
      <c r="L24" s="24" t="str">
        <f aca="false">IF(L22&lt;&gt;"",L22,IF(L23&lt;&gt;"",L23,IF(INT(obsd_msft)=2031,obs_msft/1000+SUMIFS(Pipeline!$L$5:$L$47,Pipeline!$C$5:$C$47,"msft",Pipeline!$Q$5:$Q$47,1,Pipeline!$K$5:$K$47,"&gt;"&amp;obsd_msft,Pipeline!$K$5:$K$47,"&lt;="&amp;2032),"")))</f>
        <v/>
      </c>
      <c r="M24" s="24" t="str">
        <f aca="false">IF(M22&lt;&gt;"",M22,IF(M23&lt;&gt;"",M23,IF(INT(obsd_msft)=2032,obs_msft/1000+SUMIFS(Pipeline!$L$5:$L$47,Pipeline!$C$5:$C$47,"msft",Pipeline!$Q$5:$Q$47,1,Pipeline!$K$5:$K$47,"&gt;"&amp;obsd_msft,Pipeline!$K$5:$K$47,"&lt;="&amp;2033),"")))</f>
        <v/>
      </c>
    </row>
    <row r="25" customFormat="false" ht="15" hidden="false" customHeight="false" outlineLevel="0" collapsed="false">
      <c r="A25" s="5" t="s">
        <v>915</v>
      </c>
      <c r="B25" s="0" t="s">
        <v>916</v>
      </c>
      <c r="C25" s="0" t="s">
        <v>76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917</v>
      </c>
      <c r="B26" s="0" t="s">
        <v>918</v>
      </c>
      <c r="C26" s="5" t="s">
        <v>46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919</v>
      </c>
      <c r="B27" s="0" t="s">
        <v>920</v>
      </c>
      <c r="C27" s="0" t="s">
        <v>76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921</v>
      </c>
      <c r="B28" s="0" t="s">
        <v>922</v>
      </c>
      <c r="C28" s="5" t="s">
        <v>46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923</v>
      </c>
      <c r="B29" s="0" t="s">
        <v>924</v>
      </c>
      <c r="C29" s="0" t="s">
        <v>76</v>
      </c>
      <c r="D29" s="24" t="n">
        <f aca="false">SUMIFS(Pipeline!$L$5:$L$47,Pipeline!$C$5:$C$47,"msft",Pipeline!$Q$5:$Q$47,1,Pipeline!$P$5:$P$47,2023)</f>
        <v>0</v>
      </c>
      <c r="E29" s="24" t="n">
        <f aca="false">SUMIFS(Pipeline!$L$5:$L$47,Pipeline!$C$5:$C$47,"msft",Pipeline!$Q$5:$Q$47,1,Pipeline!$P$5:$P$47,2024)</f>
        <v>0</v>
      </c>
      <c r="F29" s="24" t="n">
        <f aca="false">SUMIFS(Pipeline!$L$5:$L$47,Pipeline!$C$5:$C$47,"msft",Pipeline!$Q$5:$Q$47,1,Pipeline!$P$5:$P$47,2025)</f>
        <v>0.636</v>
      </c>
      <c r="G29" s="24" t="n">
        <f aca="false">SUMIFS(Pipeline!$L$5:$L$47,Pipeline!$C$5:$C$47,"msft",Pipeline!$Q$5:$Q$47,1,Pipeline!$P$5:$P$47,2026)</f>
        <v>0.369</v>
      </c>
      <c r="H29" s="24" t="n">
        <f aca="false">SUMIFS(Pipeline!$L$5:$L$47,Pipeline!$C$5:$C$47,"msft",Pipeline!$Q$5:$Q$47,1,Pipeline!$P$5:$P$47,2027)</f>
        <v>0.9</v>
      </c>
      <c r="I29" s="24" t="n">
        <f aca="false">SUMIFS(Pipeline!$L$5:$L$47,Pipeline!$C$5:$C$47,"msft",Pipeline!$Q$5:$Q$47,1,Pipeline!$P$5:$P$47,2028)</f>
        <v>1.894</v>
      </c>
      <c r="J29" s="24" t="n">
        <f aca="false">SUMIFS(Pipeline!$L$5:$L$47,Pipeline!$C$5:$C$47,"msft",Pipeline!$Q$5:$Q$47,1,Pipeline!$P$5:$P$47,2029)</f>
        <v>0</v>
      </c>
      <c r="K29" s="24" t="n">
        <f aca="false">SUMIFS(Pipeline!$L$5:$L$47,Pipeline!$C$5:$C$47,"msft",Pipeline!$Q$5:$Q$47,1,Pipeline!$P$5:$P$47,2030)</f>
        <v>0</v>
      </c>
      <c r="L29" s="24" t="n">
        <f aca="false">SUMIFS(Pipeline!$L$5:$L$47,Pipeline!$C$5:$C$47,"msft",Pipeline!$Q$5:$Q$47,1,Pipeline!$P$5:$P$47,2031)</f>
        <v>0</v>
      </c>
      <c r="M29" s="24" t="n">
        <f aca="false">SUMIFS(Pipeline!$L$5:$L$47,Pipeline!$C$5:$C$47,"msft",Pipeline!$Q$5:$Q$47,1,Pipeline!$P$5:$P$47,2032)</f>
        <v>0</v>
      </c>
    </row>
    <row r="30" customFormat="false" ht="17.15" hidden="false" customHeight="false" outlineLevel="0" collapsed="false">
      <c r="A30" s="5" t="s">
        <v>925</v>
      </c>
      <c r="B30" s="0" t="s">
        <v>926</v>
      </c>
      <c r="C30" s="0" t="s">
        <v>76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5.4</v>
      </c>
      <c r="I30" s="25" t="n">
        <f aca="false">IF(I24&lt;&gt;"",I24,IF(AND(I25&lt;&gt;"",I27&lt;&gt;""),I25+(I27-I25)*(2028-I26)/(I28-I26),IF(H30&lt;&gt;"",H30+I29,"")))</f>
        <v>7.294</v>
      </c>
      <c r="J30" s="25" t="n">
        <f aca="false">IF(J24&lt;&gt;"",J24,IF(AND(J25&lt;&gt;"",J27&lt;&gt;""),J25+(J27-J25)*(2029-J26)/(J28-J26),IF(I30&lt;&gt;"",I30+J29,"")))</f>
        <v>7.294</v>
      </c>
      <c r="K30" s="25" t="n">
        <f aca="false">IF(K24&lt;&gt;"",K24,IF(AND(K25&lt;&gt;"",K27&lt;&gt;""),K25+(K27-K25)*(2030-K26)/(K28-K26),IF(J30&lt;&gt;"",J30+K29,"")))</f>
        <v>7.294</v>
      </c>
      <c r="L30" s="25" t="n">
        <f aca="false">IF(L24&lt;&gt;"",L24,IF(AND(L25&lt;&gt;"",L27&lt;&gt;""),L25+(L27-L25)*(2031-L26)/(L28-L26),IF(K30&lt;&gt;"",K30+L29,"")))</f>
        <v>7.294</v>
      </c>
      <c r="M30" s="25" t="n">
        <f aca="false">IF(M24&lt;&gt;"",M24,IF(AND(M25&lt;&gt;"",M27&lt;&gt;""),M25+(M27-M25)*(2032-M26)/(M28-M26),IF(L30&lt;&gt;"",L30+M29,"")))</f>
        <v>7.294</v>
      </c>
    </row>
    <row r="31" customFormat="false" ht="15" hidden="false" customHeight="false" outlineLevel="0" collapsed="false">
      <c r="A31" s="5" t="s">
        <v>927</v>
      </c>
      <c r="B31" s="0" t="s">
        <v>928</v>
      </c>
      <c r="C31" s="0" t="s">
        <v>34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929</v>
      </c>
      <c r="B32" s="0" t="s">
        <v>930</v>
      </c>
      <c r="C32" s="0" t="s">
        <v>76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5.4</v>
      </c>
      <c r="I32" s="24" t="n">
        <f aca="false">IF(I30="","",IF(I31=2,I30-(obs_msft-obs_msft_lo)/1000,IF(AND(I31=5,In!$M$101&lt;&gt;""),In!$M$101*Players!$E$14/1000,I30)))</f>
        <v>7.294</v>
      </c>
      <c r="J32" s="24" t="n">
        <f aca="false">IF(J30="","",IF(J31=2,J30-(obs_msft-obs_msft_lo)/1000,IF(AND(J31=5,In!$N$101&lt;&gt;""),In!$N$101*Players!$E$14/1000,J30)))</f>
        <v>7.294</v>
      </c>
      <c r="K32" s="24" t="n">
        <f aca="false">IF(K30="","",IF(K31=2,K30-(obs_msft-obs_msft_lo)/1000,IF(AND(K31=5,In!$O$101&lt;&gt;""),In!$O$101*Players!$E$14/1000,K30)))</f>
        <v>7.294</v>
      </c>
      <c r="L32" s="24" t="n">
        <f aca="false">IF(L30="","",IF(L31=2,L30-(obs_msft-obs_msft_lo)/1000,IF(AND(L31=5,In!$P$101&lt;&gt;""),In!$P$101*Players!$E$14/1000,L30)))</f>
        <v>7.294</v>
      </c>
      <c r="M32" s="24" t="n">
        <f aca="false">IF(M30="","",IF(M31=2,M30-(obs_msft-obs_msft_lo)/1000,IF(AND(M31=5,In!$Q$101&lt;&gt;""),In!$Q$101*Players!$E$14/1000,M30)))</f>
        <v>7.294</v>
      </c>
    </row>
    <row r="33" customFormat="false" ht="17.15" hidden="false" customHeight="false" outlineLevel="0" collapsed="false">
      <c r="A33" s="5" t="s">
        <v>931</v>
      </c>
      <c r="B33" s="0" t="s">
        <v>932</v>
      </c>
      <c r="C33" s="0" t="s">
        <v>76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5.4</v>
      </c>
      <c r="I33" s="24" t="n">
        <f aca="false">IF(I30="","",IF(I31=2,I30+(obs_msft_hi-obs_msft)/1000,IF(AND(I31=5,In!$M$101&lt;&gt;""),In!$M$101*Players!$F$14/1000,I30)))</f>
        <v>7.294</v>
      </c>
      <c r="J33" s="24" t="n">
        <f aca="false">IF(J30="","",IF(J31=2,J30+(obs_msft_hi-obs_msft)/1000,IF(AND(J31=5,In!$N$101&lt;&gt;""),In!$N$101*Players!$F$14/1000,J30)))</f>
        <v>7.294</v>
      </c>
      <c r="K33" s="24" t="n">
        <f aca="false">IF(K30="","",IF(K31=2,K30+(obs_msft_hi-obs_msft)/1000,IF(AND(K31=5,In!$O$101&lt;&gt;""),In!$O$101*Players!$F$14/1000,K30)))</f>
        <v>7.294</v>
      </c>
      <c r="L33" s="24" t="n">
        <f aca="false">IF(L30="","",IF(L31=2,L30+(obs_msft_hi-obs_msft)/1000,IF(AND(L31=5,In!$P$101&lt;&gt;""),In!$P$101*Players!$F$14/1000,L30)))</f>
        <v>7.294</v>
      </c>
      <c r="M33" s="24" t="n">
        <f aca="false">IF(M30="","",IF(M31=2,M30+(obs_msft_hi-obs_msft)/1000,IF(AND(M31=5,In!$Q$101&lt;&gt;""),In!$Q$101*Players!$F$14/1000,M30)))</f>
        <v>7.294</v>
      </c>
    </row>
    <row r="34" customFormat="false" ht="17.15" hidden="false" customHeight="false" outlineLevel="0" collapsed="false">
      <c r="A34" s="5" t="s">
        <v>933</v>
      </c>
      <c r="B34" s="0" t="s">
        <v>934</v>
      </c>
      <c r="C34" s="0" t="s">
        <v>76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5.4</v>
      </c>
      <c r="I34" s="24" t="n">
        <f aca="false">IF(I30="","",IF(In!$C$108="未說明",I30/I$13,I30))</f>
        <v>7.294</v>
      </c>
      <c r="J34" s="24" t="n">
        <f aca="false">IF(J30="","",IF(In!$C$108="未說明",J30/J$13,J30))</f>
        <v>7.294</v>
      </c>
      <c r="K34" s="24" t="n">
        <f aca="false">IF(K30="","",IF(In!$C$108="未說明",K30/K$13,K30))</f>
        <v>7.294</v>
      </c>
      <c r="L34" s="24" t="n">
        <f aca="false">IF(L30="","",IF(In!$C$108="未說明",L30/L$13,L30))</f>
        <v>7.294</v>
      </c>
      <c r="M34" s="24" t="n">
        <f aca="false">IF(M30="","",IF(In!$C$108="未說明",M30/M$13,M30))</f>
        <v>7.294</v>
      </c>
    </row>
    <row r="35" customFormat="false" ht="17.15" hidden="false" customHeight="false" outlineLevel="0" collapsed="false">
      <c r="A35" s="5" t="s">
        <v>935</v>
      </c>
      <c r="B35" s="0" t="s">
        <v>936</v>
      </c>
      <c r="C35" s="0" t="s">
        <v>76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4.95</v>
      </c>
      <c r="I35" s="24" t="n">
        <f aca="false">IF(AND(H30&lt;&gt;"",I30&lt;&gt;""),(H30+I30)/2,"")</f>
        <v>6.347</v>
      </c>
      <c r="J35" s="24" t="n">
        <f aca="false">IF(AND(I30&lt;&gt;"",J30&lt;&gt;""),(I30+J30)/2,"")</f>
        <v>7.294</v>
      </c>
      <c r="K35" s="24" t="n">
        <f aca="false">IF(AND(J30&lt;&gt;"",K30&lt;&gt;""),(J30+K30)/2,"")</f>
        <v>7.294</v>
      </c>
      <c r="L35" s="24" t="n">
        <f aca="false">IF(AND(K30&lt;&gt;"",L30&lt;&gt;""),(K30+L30)/2,"")</f>
        <v>7.294</v>
      </c>
      <c r="M35" s="24" t="n">
        <f aca="false">IF(AND(L30&lt;&gt;"",M30&lt;&gt;""),(L30+M30)/2,"")</f>
        <v>7.294</v>
      </c>
    </row>
    <row r="36" customFormat="false" ht="17.15" hidden="false" customHeight="false" outlineLevel="0" collapsed="false">
      <c r="A36" s="5" t="s">
        <v>937</v>
      </c>
      <c r="B36" s="0" t="s">
        <v>938</v>
      </c>
      <c r="C36" s="0" t="s">
        <v>76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0.9</v>
      </c>
      <c r="I36" s="24" t="n">
        <f aca="false">IF(AND(H30&lt;&gt;"",I30&lt;&gt;""),I30-H30,0)</f>
        <v>1.894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939</v>
      </c>
      <c r="B37" s="0" t="s">
        <v>940</v>
      </c>
      <c r="C37" s="0" t="s">
        <v>76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941</v>
      </c>
      <c r="B38" s="0" t="s">
        <v>942</v>
      </c>
      <c r="C38" s="0" t="s">
        <v>51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943</v>
      </c>
      <c r="B40" s="20" t="s">
        <v>509</v>
      </c>
      <c r="N40" s="20" t="s">
        <v>944</v>
      </c>
    </row>
    <row r="41" customFormat="false" ht="17.15" hidden="false" customHeight="false" outlineLevel="0" collapsed="false">
      <c r="A41" s="5" t="s">
        <v>909</v>
      </c>
      <c r="B41" s="0" t="s">
        <v>945</v>
      </c>
      <c r="C41" s="0" t="s">
        <v>76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911</v>
      </c>
      <c r="B42" s="0" t="s">
        <v>946</v>
      </c>
      <c r="C42" s="0" t="s">
        <v>76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913</v>
      </c>
      <c r="B43" s="0" t="s">
        <v>947</v>
      </c>
      <c r="C43" s="0" t="s">
        <v>76</v>
      </c>
      <c r="D43" s="24" t="n">
        <f aca="false">IF(D41&lt;&gt;"",D41,IF(D42&lt;&gt;"",D42,IF(INT(obsd_googl)=2023,obschip_googl*Players!$D$15/1000+SUMIFS(Pipeline!$L$5:$L$47,Pipeline!$C$5:$C$47,"googl",Pipeline!$Q$5:$Q$47,1,Pipeline!$K$5:$K$47,"&gt;"&amp;obsd_googl,Pipeline!$K$5:$K$47,"&lt;="&amp;2024),"")))</f>
        <v>0.560578355681972</v>
      </c>
      <c r="E43" s="24" t="n">
        <f aca="false">IF(E41&lt;&gt;"",E41,IF(E42&lt;&gt;"",E42,IF(INT(obsd_googl)=2024,obschip_googl*Players!$D$15/1000+SUMIFS(Pipeline!$L$5:$L$47,Pipeline!$C$5:$C$47,"googl",Pipeline!$Q$5:$Q$47,1,Pipeline!$K$5:$K$47,"&gt;"&amp;obsd_googl,Pipeline!$K$5:$K$47,"&lt;="&amp;2025),"")))</f>
        <v>1.89038669917378</v>
      </c>
      <c r="F43" s="24" t="n">
        <f aca="false">IF(F41&lt;&gt;"",F41,IF(F42&lt;&gt;"",F42,IF(INT(obsd_googl)=2025,obschip_googl*Players!$D$15/1000+SUMIFS(Pipeline!$L$5:$L$47,Pipeline!$C$5:$C$47,"googl",Pipeline!$Q$5:$Q$47,1,Pipeline!$K$5:$K$47,"&gt;"&amp;obsd_googl,Pipeline!$K$5:$K$47,"&lt;="&amp;2026),"")))</f>
        <v>4.3</v>
      </c>
      <c r="G43" s="24" t="n">
        <f aca="false">IF(G41&lt;&gt;"",G41,IF(G42&lt;&gt;"",G42,IF(INT(obsd_googl)=2026,obschip_googl*Players!$D$15/1000+SUMIFS(Pipeline!$L$5:$L$47,Pipeline!$C$5:$C$47,"googl",Pipeline!$Q$5:$Q$47,1,Pipeline!$K$5:$K$47,"&gt;"&amp;obsd_googl,Pipeline!$K$5:$K$47,"&lt;="&amp;2027),"")))</f>
        <v>5.59267912772586</v>
      </c>
      <c r="H43" s="24" t="str">
        <f aca="false">IF(H41&lt;&gt;"",H41,IF(H42&lt;&gt;"",H42,IF(INT(obsd_googl)=2027,obschip_googl*Players!$D$15/1000+SUMIFS(Pipeline!$L$5:$L$47,Pipeline!$C$5:$C$47,"googl",Pipeline!$Q$5:$Q$47,1,Pipeline!$K$5:$K$47,"&gt;"&amp;obsd_googl,Pipeline!$K$5:$K$47,"&lt;="&amp;2028),"")))</f>
        <v/>
      </c>
      <c r="I43" s="24" t="str">
        <f aca="false">IF(I41&lt;&gt;"",I41,IF(I42&lt;&gt;"",I42,IF(INT(obsd_googl)=2028,obschip_googl*Players!$D$15/1000+SUMIFS(Pipeline!$L$5:$L$47,Pipeline!$C$5:$C$47,"googl",Pipeline!$Q$5:$Q$47,1,Pipeline!$K$5:$K$47,"&gt;"&amp;obsd_googl,Pipeline!$K$5:$K$47,"&lt;="&amp;2029),"")))</f>
        <v/>
      </c>
      <c r="J43" s="24" t="str">
        <f aca="false">IF(J41&lt;&gt;"",J41,IF(J42&lt;&gt;"",J42,IF(INT(obsd_googl)=2029,obschip_googl*Players!$D$15/1000+SUMIFS(Pipeline!$L$5:$L$47,Pipeline!$C$5:$C$47,"googl",Pipeline!$Q$5:$Q$47,1,Pipeline!$K$5:$K$47,"&gt;"&amp;obsd_googl,Pipeline!$K$5:$K$47,"&lt;="&amp;2030),"")))</f>
        <v/>
      </c>
      <c r="K43" s="24" t="str">
        <f aca="false">IF(K41&lt;&gt;"",K41,IF(K42&lt;&gt;"",K42,IF(INT(obsd_googl)=2030,obschip_googl*Players!$D$15/1000+SUMIFS(Pipeline!$L$5:$L$47,Pipeline!$C$5:$C$47,"googl",Pipeline!$Q$5:$Q$47,1,Pipeline!$K$5:$K$47,"&gt;"&amp;obsd_googl,Pipeline!$K$5:$K$47,"&lt;="&amp;2031),"")))</f>
        <v/>
      </c>
      <c r="L43" s="24" t="str">
        <f aca="false">IF(L41&lt;&gt;"",L41,IF(L42&lt;&gt;"",L42,IF(INT(obsd_googl)=2031,obschip_googl*Players!$D$15/1000+SUMIFS(Pipeline!$L$5:$L$47,Pipeline!$C$5:$C$47,"googl",Pipeline!$Q$5:$Q$47,1,Pipeline!$K$5:$K$47,"&gt;"&amp;obsd_googl,Pipeline!$K$5:$K$47,"&lt;="&amp;2032),"")))</f>
        <v/>
      </c>
      <c r="M43" s="24" t="str">
        <f aca="false">IF(M41&lt;&gt;"",M41,IF(M42&lt;&gt;"",M42,IF(INT(obsd_googl)=2032,obschip_googl*Players!$D$15/1000+SUMIFS(Pipeline!$L$5:$L$47,Pipeline!$C$5:$C$47,"googl",Pipeline!$Q$5:$Q$47,1,Pipeline!$K$5:$K$47,"&gt;"&amp;obsd_googl,Pipeline!$K$5:$K$47,"&lt;="&amp;2033),"")))</f>
        <v/>
      </c>
    </row>
    <row r="44" customFormat="false" ht="15" hidden="false" customHeight="false" outlineLevel="0" collapsed="false">
      <c r="A44" s="5" t="s">
        <v>915</v>
      </c>
      <c r="B44" s="0" t="s">
        <v>948</v>
      </c>
      <c r="C44" s="0" t="s">
        <v>76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917</v>
      </c>
      <c r="B45" s="0" t="s">
        <v>949</v>
      </c>
      <c r="C45" s="5" t="s">
        <v>46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919</v>
      </c>
      <c r="B46" s="0" t="s">
        <v>950</v>
      </c>
      <c r="C46" s="0" t="s">
        <v>76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921</v>
      </c>
      <c r="B47" s="0" t="s">
        <v>951</v>
      </c>
      <c r="C47" s="5" t="s">
        <v>46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923</v>
      </c>
      <c r="B48" s="0" t="s">
        <v>952</v>
      </c>
      <c r="C48" s="0" t="s">
        <v>76</v>
      </c>
      <c r="D48" s="24" t="n">
        <f aca="false">SUMIFS(Pipeline!$L$5:$L$47,Pipeline!$C$5:$C$47,"googl",Pipeline!$Q$5:$Q$47,1,Pipeline!$P$5:$P$47,2023)</f>
        <v>0</v>
      </c>
      <c r="E48" s="24" t="n">
        <f aca="false">SUMIFS(Pipeline!$L$5:$L$47,Pipeline!$C$5:$C$47,"googl",Pipeline!$Q$5:$Q$47,1,Pipeline!$P$5:$P$47,2024)</f>
        <v>0</v>
      </c>
      <c r="F48" s="24" t="n">
        <f aca="false">SUMIFS(Pipeline!$L$5:$L$47,Pipeline!$C$5:$C$47,"googl",Pipeline!$Q$5:$Q$47,1,Pipeline!$P$5:$P$47,2025)</f>
        <v>0</v>
      </c>
      <c r="G48" s="24" t="n">
        <f aca="false">SUMIFS(Pipeline!$L$5:$L$47,Pipeline!$C$5:$C$47,"googl",Pipeline!$Q$5:$Q$47,1,Pipeline!$P$5:$P$47,2026)</f>
        <v>0</v>
      </c>
      <c r="H48" s="24" t="n">
        <f aca="false">SUMIFS(Pipeline!$L$5:$L$47,Pipeline!$C$5:$C$47,"googl",Pipeline!$Q$5:$Q$47,1,Pipeline!$P$5:$P$47,2027)</f>
        <v>0</v>
      </c>
      <c r="I48" s="24" t="n">
        <f aca="false">SUMIFS(Pipeline!$L$5:$L$47,Pipeline!$C$5:$C$47,"googl",Pipeline!$Q$5:$Q$47,1,Pipeline!$P$5:$P$47,2028)</f>
        <v>0</v>
      </c>
      <c r="J48" s="24" t="n">
        <f aca="false">SUMIFS(Pipeline!$L$5:$L$47,Pipeline!$C$5:$C$47,"googl",Pipeline!$Q$5:$Q$47,1,Pipeline!$P$5:$P$47,2029)</f>
        <v>0</v>
      </c>
      <c r="K48" s="24" t="n">
        <f aca="false">SUMIFS(Pipeline!$L$5:$L$47,Pipeline!$C$5:$C$47,"googl",Pipeline!$Q$5:$Q$47,1,Pipeline!$P$5:$P$47,2030)</f>
        <v>0</v>
      </c>
      <c r="L48" s="24" t="n">
        <f aca="false">SUMIFS(Pipeline!$L$5:$L$47,Pipeline!$C$5:$C$47,"googl",Pipeline!$Q$5:$Q$47,1,Pipeline!$P$5:$P$47,2031)</f>
        <v>0</v>
      </c>
      <c r="M48" s="24" t="n">
        <f aca="false">SUMIFS(Pipeline!$L$5:$L$47,Pipeline!$C$5:$C$47,"googl",Pipeline!$Q$5:$Q$47,1,Pipeline!$P$5:$P$47,2032)</f>
        <v>0</v>
      </c>
    </row>
    <row r="49" customFormat="false" ht="17.15" hidden="false" customHeight="false" outlineLevel="0" collapsed="false">
      <c r="A49" s="5" t="s">
        <v>925</v>
      </c>
      <c r="B49" s="0" t="s">
        <v>953</v>
      </c>
      <c r="C49" s="0" t="s">
        <v>76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5.59267912772586</v>
      </c>
      <c r="I49" s="25" t="n">
        <f aca="false">IF(I43&lt;&gt;"",I43,IF(AND(I44&lt;&gt;"",I46&lt;&gt;""),I44+(I46-I44)*(2028-I45)/(I47-I45),IF(H49&lt;&gt;"",H49+I48,"")))</f>
        <v>5.59267912772586</v>
      </c>
      <c r="J49" s="25" t="n">
        <f aca="false">IF(J43&lt;&gt;"",J43,IF(AND(J44&lt;&gt;"",J46&lt;&gt;""),J44+(J46-J44)*(2029-J45)/(J47-J45),IF(I49&lt;&gt;"",I49+J48,"")))</f>
        <v>5.59267912772586</v>
      </c>
      <c r="K49" s="25" t="n">
        <f aca="false">IF(K43&lt;&gt;"",K43,IF(AND(K44&lt;&gt;"",K46&lt;&gt;""),K44+(K46-K44)*(2030-K45)/(K47-K45),IF(J49&lt;&gt;"",J49+K48,"")))</f>
        <v>5.59267912772586</v>
      </c>
      <c r="L49" s="25" t="n">
        <f aca="false">IF(L43&lt;&gt;"",L43,IF(AND(L44&lt;&gt;"",L46&lt;&gt;""),L44+(L46-L44)*(2031-L45)/(L47-L45),IF(K49&lt;&gt;"",K49+L48,"")))</f>
        <v>5.59267912772586</v>
      </c>
      <c r="M49" s="25" t="n">
        <f aca="false">IF(M43&lt;&gt;"",M43,IF(AND(M44&lt;&gt;"",M46&lt;&gt;""),M44+(M46-M44)*(2032-M45)/(M47-M45),IF(L49&lt;&gt;"",L49+M48,"")))</f>
        <v>5.59267912772586</v>
      </c>
    </row>
    <row r="50" customFormat="false" ht="15" hidden="false" customHeight="false" outlineLevel="0" collapsed="false">
      <c r="A50" s="5" t="s">
        <v>927</v>
      </c>
      <c r="B50" s="0" t="s">
        <v>954</v>
      </c>
      <c r="C50" s="0" t="s">
        <v>34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929</v>
      </c>
      <c r="B51" s="0" t="s">
        <v>955</v>
      </c>
      <c r="C51" s="0" t="s">
        <v>76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5.59267912772586</v>
      </c>
      <c r="I51" s="24" t="n">
        <f aca="false">IF(I49="","",IF(AND(I50=5,In!$M$102&lt;&gt;""),In!$M$102*Players!$E$15/1000,I49))</f>
        <v>5.59267912772586</v>
      </c>
      <c r="J51" s="24" t="n">
        <f aca="false">IF(J49="","",IF(AND(J50=5,In!$N$102&lt;&gt;""),In!$N$102*Players!$E$15/1000,J49))</f>
        <v>5.59267912772586</v>
      </c>
      <c r="K51" s="24" t="n">
        <f aca="false">IF(K49="","",IF(AND(K50=5,In!$O$102&lt;&gt;""),In!$O$102*Players!$E$15/1000,K49))</f>
        <v>5.59267912772586</v>
      </c>
      <c r="L51" s="24" t="n">
        <f aca="false">IF(L49="","",IF(AND(L50=5,In!$P$102&lt;&gt;""),In!$P$102*Players!$E$15/1000,L49))</f>
        <v>5.59267912772586</v>
      </c>
      <c r="M51" s="24" t="n">
        <f aca="false">IF(M49="","",IF(AND(M50=5,In!$Q$102&lt;&gt;""),In!$Q$102*Players!$E$15/1000,M49))</f>
        <v>5.59267912772586</v>
      </c>
    </row>
    <row r="52" customFormat="false" ht="17.15" hidden="false" customHeight="false" outlineLevel="0" collapsed="false">
      <c r="A52" s="5" t="s">
        <v>931</v>
      </c>
      <c r="B52" s="0" t="s">
        <v>956</v>
      </c>
      <c r="C52" s="0" t="s">
        <v>76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5.59267912772586</v>
      </c>
      <c r="I52" s="24" t="n">
        <f aca="false">IF(I49="","",IF(AND(I50=5,In!$M$102&lt;&gt;""),In!$M$102*Players!$F$15/1000,I49))</f>
        <v>5.59267912772586</v>
      </c>
      <c r="J52" s="24" t="n">
        <f aca="false">IF(J49="","",IF(AND(J50=5,In!$N$102&lt;&gt;""),In!$N$102*Players!$F$15/1000,J49))</f>
        <v>5.59267912772586</v>
      </c>
      <c r="K52" s="24" t="n">
        <f aca="false">IF(K49="","",IF(AND(K50=5,In!$O$102&lt;&gt;""),In!$O$102*Players!$F$15/1000,K49))</f>
        <v>5.59267912772586</v>
      </c>
      <c r="L52" s="24" t="n">
        <f aca="false">IF(L49="","",IF(AND(L50=5,In!$P$102&lt;&gt;""),In!$P$102*Players!$F$15/1000,L49))</f>
        <v>5.59267912772586</v>
      </c>
      <c r="M52" s="24" t="n">
        <f aca="false">IF(M49="","",IF(AND(M50=5,In!$Q$102&lt;&gt;""),In!$Q$102*Players!$F$15/1000,M49))</f>
        <v>5.59267912772586</v>
      </c>
    </row>
    <row r="53" customFormat="false" ht="17.15" hidden="false" customHeight="false" outlineLevel="0" collapsed="false">
      <c r="A53" s="5" t="s">
        <v>933</v>
      </c>
      <c r="B53" s="0" t="s">
        <v>957</v>
      </c>
      <c r="C53" s="0" t="s">
        <v>76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5.59267912772586</v>
      </c>
      <c r="I53" s="24" t="n">
        <f aca="false">IF(I49="","",IF(In!$C$109="未說明",I49/I$13,I49))</f>
        <v>5.59267912772586</v>
      </c>
      <c r="J53" s="24" t="n">
        <f aca="false">IF(J49="","",IF(In!$C$109="未說明",J49/J$13,J49))</f>
        <v>5.59267912772586</v>
      </c>
      <c r="K53" s="24" t="n">
        <f aca="false">IF(K49="","",IF(In!$C$109="未說明",K49/K$13,K49))</f>
        <v>5.59267912772586</v>
      </c>
      <c r="L53" s="24" t="n">
        <f aca="false">IF(L49="","",IF(In!$C$109="未說明",L49/L$13,L49))</f>
        <v>5.59267912772586</v>
      </c>
      <c r="M53" s="24" t="n">
        <f aca="false">IF(M49="","",IF(In!$C$109="未說明",M49/M$13,M49))</f>
        <v>5.59267912772586</v>
      </c>
    </row>
    <row r="54" customFormat="false" ht="17.15" hidden="false" customHeight="false" outlineLevel="0" collapsed="false">
      <c r="A54" s="5" t="s">
        <v>935</v>
      </c>
      <c r="B54" s="0" t="s">
        <v>958</v>
      </c>
      <c r="C54" s="0" t="s">
        <v>76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5.59267912772586</v>
      </c>
      <c r="I54" s="24" t="n">
        <f aca="false">IF(AND(H49&lt;&gt;"",I49&lt;&gt;""),(H49+I49)/2,"")</f>
        <v>5.59267912772586</v>
      </c>
      <c r="J54" s="24" t="n">
        <f aca="false">IF(AND(I49&lt;&gt;"",J49&lt;&gt;""),(I49+J49)/2,"")</f>
        <v>5.59267912772586</v>
      </c>
      <c r="K54" s="24" t="n">
        <f aca="false">IF(AND(J49&lt;&gt;"",K49&lt;&gt;""),(J49+K49)/2,"")</f>
        <v>5.59267912772586</v>
      </c>
      <c r="L54" s="24" t="n">
        <f aca="false">IF(AND(K49&lt;&gt;"",L49&lt;&gt;""),(K49+L49)/2,"")</f>
        <v>5.59267912772586</v>
      </c>
      <c r="M54" s="24" t="n">
        <f aca="false">IF(AND(L49&lt;&gt;"",M49&lt;&gt;""),(L49+M49)/2,"")</f>
        <v>5.59267912772586</v>
      </c>
    </row>
    <row r="55" customFormat="false" ht="17.15" hidden="false" customHeight="false" outlineLevel="0" collapsed="false">
      <c r="A55" s="5" t="s">
        <v>937</v>
      </c>
      <c r="B55" s="0" t="s">
        <v>959</v>
      </c>
      <c r="C55" s="0" t="s">
        <v>76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939</v>
      </c>
      <c r="B56" s="0" t="s">
        <v>960</v>
      </c>
      <c r="C56" s="0" t="s">
        <v>76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941</v>
      </c>
      <c r="B57" s="0" t="s">
        <v>961</v>
      </c>
      <c r="C57" s="0" t="s">
        <v>51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962</v>
      </c>
      <c r="B59" s="20" t="s">
        <v>517</v>
      </c>
      <c r="N59" s="20" t="s">
        <v>963</v>
      </c>
    </row>
    <row r="60" customFormat="false" ht="17.15" hidden="false" customHeight="false" outlineLevel="0" collapsed="false">
      <c r="A60" s="5" t="s">
        <v>909</v>
      </c>
      <c r="B60" s="0" t="s">
        <v>964</v>
      </c>
      <c r="C60" s="0" t="s">
        <v>76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911</v>
      </c>
      <c r="B61" s="0" t="s">
        <v>965</v>
      </c>
      <c r="C61" s="0" t="s">
        <v>76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913</v>
      </c>
      <c r="B62" s="0" t="s">
        <v>966</v>
      </c>
      <c r="C62" s="0" t="s">
        <v>76</v>
      </c>
      <c r="D62" s="24" t="str">
        <f aca="false">IF(D60&lt;&gt;"",D60,IF(D61&lt;&gt;"",D61,IF(INT(obsd_amzn)=2023,obs_amzn/1000+SUMIFS(Pipeline!$L$5:$L$47,Pipeline!$C$5:$C$47,"amzn",Pipeline!$Q$5:$Q$47,1,Pipeline!$K$5:$K$47,"&gt;"&amp;obsd_amzn,Pipeline!$K$5:$K$47,"&lt;="&amp;2024),"")))</f>
        <v/>
      </c>
      <c r="E62" s="24" t="n">
        <f aca="false">IF(E60&lt;&gt;"",E60,IF(E61&lt;&gt;"",E61,IF(INT(obsd_amzn)=2024,obs_amzn/1000+SUMIFS(Pipeline!$L$5:$L$47,Pipeline!$C$5:$C$47,"amzn",Pipeline!$Q$5:$Q$47,1,Pipeline!$K$5:$K$47,"&gt;"&amp;obsd_amzn,Pipeline!$K$5:$K$47,"&lt;="&amp;2025),"")))</f>
        <v>0.810284005979073</v>
      </c>
      <c r="F62" s="24" t="n">
        <f aca="false">IF(F60&lt;&gt;"",F60,IF(F61&lt;&gt;"",F61,IF(INT(obsd_amzn)=2025,obs_amzn/1000+SUMIFS(Pipeline!$L$5:$L$47,Pipeline!$C$5:$C$47,"amzn",Pipeline!$Q$5:$Q$47,1,Pipeline!$K$5:$K$47,"&gt;"&amp;obsd_amzn,Pipeline!$K$5:$K$47,"&lt;="&amp;2026),"")))</f>
        <v>2.2</v>
      </c>
      <c r="G62" s="24" t="n">
        <f aca="false">IF(G60&lt;&gt;"",G60,IF(G61&lt;&gt;"",G61,IF(INT(obsd_amzn)=2026,obs_amzn/1000+SUMIFS(Pipeline!$L$5:$L$47,Pipeline!$C$5:$C$47,"amzn",Pipeline!$Q$5:$Q$47,1,Pipeline!$K$5:$K$47,"&gt;"&amp;obsd_amzn,Pipeline!$K$5:$K$47,"&lt;="&amp;2027),"")))</f>
        <v>2.727</v>
      </c>
      <c r="H62" s="24" t="str">
        <f aca="false">IF(H60&lt;&gt;"",H60,IF(H61&lt;&gt;"",H61,IF(INT(obsd_amzn)=2027,obs_amzn/1000+SUMIFS(Pipeline!$L$5:$L$47,Pipeline!$C$5:$C$47,"amzn",Pipeline!$Q$5:$Q$47,1,Pipeline!$K$5:$K$47,"&gt;"&amp;obsd_amzn,Pipeline!$K$5:$K$47,"&lt;="&amp;2028),"")))</f>
        <v/>
      </c>
      <c r="I62" s="24" t="str">
        <f aca="false">IF(I60&lt;&gt;"",I60,IF(I61&lt;&gt;"",I61,IF(INT(obsd_amzn)=2028,obs_amzn/1000+SUMIFS(Pipeline!$L$5:$L$47,Pipeline!$C$5:$C$47,"amzn",Pipeline!$Q$5:$Q$47,1,Pipeline!$K$5:$K$47,"&gt;"&amp;obsd_amzn,Pipeline!$K$5:$K$47,"&lt;="&amp;2029),"")))</f>
        <v/>
      </c>
      <c r="J62" s="24" t="str">
        <f aca="false">IF(J60&lt;&gt;"",J60,IF(J61&lt;&gt;"",J61,IF(INT(obsd_amzn)=2029,obs_amzn/1000+SUMIFS(Pipeline!$L$5:$L$47,Pipeline!$C$5:$C$47,"amzn",Pipeline!$Q$5:$Q$47,1,Pipeline!$K$5:$K$47,"&gt;"&amp;obsd_amzn,Pipeline!$K$5:$K$47,"&lt;="&amp;2030),"")))</f>
        <v/>
      </c>
      <c r="K62" s="24" t="str">
        <f aca="false">IF(K60&lt;&gt;"",K60,IF(K61&lt;&gt;"",K61,IF(INT(obsd_amzn)=2030,obs_amzn/1000+SUMIFS(Pipeline!$L$5:$L$47,Pipeline!$C$5:$C$47,"amzn",Pipeline!$Q$5:$Q$47,1,Pipeline!$K$5:$K$47,"&gt;"&amp;obsd_amzn,Pipeline!$K$5:$K$47,"&lt;="&amp;2031),"")))</f>
        <v/>
      </c>
      <c r="L62" s="24" t="str">
        <f aca="false">IF(L60&lt;&gt;"",L60,IF(L61&lt;&gt;"",L61,IF(INT(obsd_amzn)=2031,obs_amzn/1000+SUMIFS(Pipeline!$L$5:$L$47,Pipeline!$C$5:$C$47,"amzn",Pipeline!$Q$5:$Q$47,1,Pipeline!$K$5:$K$47,"&gt;"&amp;obsd_amzn,Pipeline!$K$5:$K$47,"&lt;="&amp;2032),"")))</f>
        <v/>
      </c>
      <c r="M62" s="24" t="str">
        <f aca="false">IF(M60&lt;&gt;"",M60,IF(M61&lt;&gt;"",M61,IF(INT(obsd_amzn)=2032,obs_amzn/1000+SUMIFS(Pipeline!$L$5:$L$47,Pipeline!$C$5:$C$47,"amzn",Pipeline!$Q$5:$Q$47,1,Pipeline!$K$5:$K$47,"&gt;"&amp;obsd_amzn,Pipeline!$K$5:$K$47,"&lt;="&amp;2033),"")))</f>
        <v/>
      </c>
    </row>
    <row r="63" customFormat="false" ht="15" hidden="false" customHeight="false" outlineLevel="0" collapsed="false">
      <c r="A63" s="5" t="s">
        <v>915</v>
      </c>
      <c r="B63" s="0" t="s">
        <v>967</v>
      </c>
      <c r="C63" s="0" t="s">
        <v>76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917</v>
      </c>
      <c r="B64" s="0" t="s">
        <v>968</v>
      </c>
      <c r="C64" s="5" t="s">
        <v>46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919</v>
      </c>
      <c r="B65" s="0" t="s">
        <v>969</v>
      </c>
      <c r="C65" s="0" t="s">
        <v>76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921</v>
      </c>
      <c r="B66" s="0" t="s">
        <v>970</v>
      </c>
      <c r="C66" s="5" t="s">
        <v>46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923</v>
      </c>
      <c r="B67" s="0" t="s">
        <v>971</v>
      </c>
      <c r="C67" s="0" t="s">
        <v>76</v>
      </c>
      <c r="D67" s="24" t="n">
        <f aca="false">SUMIFS(Pipeline!$L$5:$L$47,Pipeline!$C$5:$C$47,"amzn",Pipeline!$Q$5:$Q$47,1,Pipeline!$P$5:$P$47,2023)</f>
        <v>0</v>
      </c>
      <c r="E67" s="24" t="n">
        <f aca="false">SUMIFS(Pipeline!$L$5:$L$47,Pipeline!$C$5:$C$47,"amzn",Pipeline!$Q$5:$Q$47,1,Pipeline!$P$5:$P$47,2024)</f>
        <v>0</v>
      </c>
      <c r="F67" s="24" t="n">
        <f aca="false">SUMIFS(Pipeline!$L$5:$L$47,Pipeline!$C$5:$C$47,"amzn",Pipeline!$Q$5:$Q$47,1,Pipeline!$P$5:$P$47,2025)</f>
        <v>0</v>
      </c>
      <c r="G67" s="24" t="n">
        <f aca="false">SUMIFS(Pipeline!$L$5:$L$47,Pipeline!$C$5:$C$47,"amzn",Pipeline!$Q$5:$Q$47,1,Pipeline!$P$5:$P$47,2026)</f>
        <v>0.127</v>
      </c>
      <c r="H67" s="24" t="n">
        <f aca="false">SUMIFS(Pipeline!$L$5:$L$47,Pipeline!$C$5:$C$47,"amzn",Pipeline!$Q$5:$Q$47,1,Pipeline!$P$5:$P$47,2027)</f>
        <v>0</v>
      </c>
      <c r="I67" s="24" t="n">
        <f aca="false">SUMIFS(Pipeline!$L$5:$L$47,Pipeline!$C$5:$C$47,"amzn",Pipeline!$Q$5:$Q$47,1,Pipeline!$P$5:$P$47,2028)</f>
        <v>0.888</v>
      </c>
      <c r="J67" s="24" t="n">
        <f aca="false">SUMIFS(Pipeline!$L$5:$L$47,Pipeline!$C$5:$C$47,"amzn",Pipeline!$Q$5:$Q$47,1,Pipeline!$P$5:$P$47,2029)</f>
        <v>0</v>
      </c>
      <c r="K67" s="24" t="n">
        <f aca="false">SUMIFS(Pipeline!$L$5:$L$47,Pipeline!$C$5:$C$47,"amzn",Pipeline!$Q$5:$Q$47,1,Pipeline!$P$5:$P$47,2030)</f>
        <v>0</v>
      </c>
      <c r="L67" s="24" t="n">
        <f aca="false">SUMIFS(Pipeline!$L$5:$L$47,Pipeline!$C$5:$C$47,"amzn",Pipeline!$Q$5:$Q$47,1,Pipeline!$P$5:$P$47,2031)</f>
        <v>0</v>
      </c>
      <c r="M67" s="24" t="n">
        <f aca="false">SUMIFS(Pipeline!$L$5:$L$47,Pipeline!$C$5:$C$47,"amzn",Pipeline!$Q$5:$Q$47,1,Pipeline!$P$5:$P$47,2032)</f>
        <v>0</v>
      </c>
    </row>
    <row r="68" customFormat="false" ht="17.15" hidden="false" customHeight="false" outlineLevel="0" collapsed="false">
      <c r="A68" s="5" t="s">
        <v>925</v>
      </c>
      <c r="B68" s="0" t="s">
        <v>972</v>
      </c>
      <c r="C68" s="0" t="s">
        <v>76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2.727</v>
      </c>
      <c r="I68" s="25" t="n">
        <f aca="false">IF(I62&lt;&gt;"",I62,IF(AND(I63&lt;&gt;"",I65&lt;&gt;""),I63+(I65-I63)*(2028-I64)/(I66-I64),IF(H68&lt;&gt;"",H68+I67,"")))</f>
        <v>3.615</v>
      </c>
      <c r="J68" s="25" t="n">
        <f aca="false">IF(J62&lt;&gt;"",J62,IF(AND(J63&lt;&gt;"",J65&lt;&gt;""),J63+(J65-J63)*(2029-J64)/(J66-J64),IF(I68&lt;&gt;"",I68+J67,"")))</f>
        <v>3.615</v>
      </c>
      <c r="K68" s="25" t="n">
        <f aca="false">IF(K62&lt;&gt;"",K62,IF(AND(K63&lt;&gt;"",K65&lt;&gt;""),K63+(K65-K63)*(2030-K64)/(K66-K64),IF(J68&lt;&gt;"",J68+K67,"")))</f>
        <v>3.615</v>
      </c>
      <c r="L68" s="25" t="n">
        <f aca="false">IF(L62&lt;&gt;"",L62,IF(AND(L63&lt;&gt;"",L65&lt;&gt;""),L63+(L65-L63)*(2031-L64)/(L66-L64),IF(K68&lt;&gt;"",K68+L67,"")))</f>
        <v>3.615</v>
      </c>
      <c r="M68" s="25" t="n">
        <f aca="false">IF(M62&lt;&gt;"",M62,IF(AND(M63&lt;&gt;"",M65&lt;&gt;""),M63+(M65-M63)*(2032-M64)/(M66-M64),IF(L68&lt;&gt;"",L68+M67,"")))</f>
        <v>3.615</v>
      </c>
    </row>
    <row r="69" customFormat="false" ht="15" hidden="false" customHeight="false" outlineLevel="0" collapsed="false">
      <c r="A69" s="5" t="s">
        <v>927</v>
      </c>
      <c r="B69" s="0" t="s">
        <v>973</v>
      </c>
      <c r="C69" s="0" t="s">
        <v>34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929</v>
      </c>
      <c r="B70" s="0" t="s">
        <v>974</v>
      </c>
      <c r="C70" s="0" t="s">
        <v>76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2.727</v>
      </c>
      <c r="I70" s="24" t="n">
        <f aca="false">IF(I68="","",IF(I69=2,I68-(obs_amzn-obs_amzn_lo)/1000,IF(AND(I69=5,In!$M$103&lt;&gt;""),In!$M$103*Players!$E$16/1000,I68)))</f>
        <v>3.615</v>
      </c>
      <c r="J70" s="24" t="n">
        <f aca="false">IF(J68="","",IF(J69=2,J68-(obs_amzn-obs_amzn_lo)/1000,IF(AND(J69=5,In!$N$103&lt;&gt;""),In!$N$103*Players!$E$16/1000,J68)))</f>
        <v>3.615</v>
      </c>
      <c r="K70" s="24" t="n">
        <f aca="false">IF(K68="","",IF(K69=2,K68-(obs_amzn-obs_amzn_lo)/1000,IF(AND(K69=5,In!$O$103&lt;&gt;""),In!$O$103*Players!$E$16/1000,K68)))</f>
        <v>3.615</v>
      </c>
      <c r="L70" s="24" t="n">
        <f aca="false">IF(L68="","",IF(L69=2,L68-(obs_amzn-obs_amzn_lo)/1000,IF(AND(L69=5,In!$P$103&lt;&gt;""),In!$P$103*Players!$E$16/1000,L68)))</f>
        <v>3.615</v>
      </c>
      <c r="M70" s="24" t="n">
        <f aca="false">IF(M68="","",IF(M69=2,M68-(obs_amzn-obs_amzn_lo)/1000,IF(AND(M69=5,In!$Q$103&lt;&gt;""),In!$Q$103*Players!$E$16/1000,M68)))</f>
        <v>3.615</v>
      </c>
    </row>
    <row r="71" customFormat="false" ht="17.15" hidden="false" customHeight="false" outlineLevel="0" collapsed="false">
      <c r="A71" s="5" t="s">
        <v>931</v>
      </c>
      <c r="B71" s="0" t="s">
        <v>975</v>
      </c>
      <c r="C71" s="0" t="s">
        <v>76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2.727</v>
      </c>
      <c r="I71" s="24" t="n">
        <f aca="false">IF(I68="","",IF(I69=2,I68+(obs_amzn_hi-obs_amzn)/1000,IF(AND(I69=5,In!$M$103&lt;&gt;""),In!$M$103*Players!$F$16/1000,I68)))</f>
        <v>3.615</v>
      </c>
      <c r="J71" s="24" t="n">
        <f aca="false">IF(J68="","",IF(J69=2,J68+(obs_amzn_hi-obs_amzn)/1000,IF(AND(J69=5,In!$N$103&lt;&gt;""),In!$N$103*Players!$F$16/1000,J68)))</f>
        <v>3.615</v>
      </c>
      <c r="K71" s="24" t="n">
        <f aca="false">IF(K68="","",IF(K69=2,K68+(obs_amzn_hi-obs_amzn)/1000,IF(AND(K69=5,In!$O$103&lt;&gt;""),In!$O$103*Players!$F$16/1000,K68)))</f>
        <v>3.615</v>
      </c>
      <c r="L71" s="24" t="n">
        <f aca="false">IF(L68="","",IF(L69=2,L68+(obs_amzn_hi-obs_amzn)/1000,IF(AND(L69=5,In!$P$103&lt;&gt;""),In!$P$103*Players!$F$16/1000,L68)))</f>
        <v>3.615</v>
      </c>
      <c r="M71" s="24" t="n">
        <f aca="false">IF(M68="","",IF(M69=2,M68+(obs_amzn_hi-obs_amzn)/1000,IF(AND(M69=5,In!$Q$103&lt;&gt;""),In!$Q$103*Players!$F$16/1000,M68)))</f>
        <v>3.615</v>
      </c>
    </row>
    <row r="72" customFormat="false" ht="17.15" hidden="false" customHeight="false" outlineLevel="0" collapsed="false">
      <c r="A72" s="5" t="s">
        <v>933</v>
      </c>
      <c r="B72" s="0" t="s">
        <v>976</v>
      </c>
      <c r="C72" s="0" t="s">
        <v>76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2.727</v>
      </c>
      <c r="I72" s="24" t="n">
        <f aca="false">IF(I68="","",IF(In!$C$110="未說明",I68/I$13,I68))</f>
        <v>3.615</v>
      </c>
      <c r="J72" s="24" t="n">
        <f aca="false">IF(J68="","",IF(In!$C$110="未說明",J68/J$13,J68))</f>
        <v>3.615</v>
      </c>
      <c r="K72" s="24" t="n">
        <f aca="false">IF(K68="","",IF(In!$C$110="未說明",K68/K$13,K68))</f>
        <v>3.615</v>
      </c>
      <c r="L72" s="24" t="n">
        <f aca="false">IF(L68="","",IF(In!$C$110="未說明",L68/L$13,L68))</f>
        <v>3.615</v>
      </c>
      <c r="M72" s="24" t="n">
        <f aca="false">IF(M68="","",IF(In!$C$110="未說明",M68/M$13,M68))</f>
        <v>3.615</v>
      </c>
    </row>
    <row r="73" customFormat="false" ht="17.15" hidden="false" customHeight="false" outlineLevel="0" collapsed="false">
      <c r="A73" s="5" t="s">
        <v>935</v>
      </c>
      <c r="B73" s="0" t="s">
        <v>977</v>
      </c>
      <c r="C73" s="0" t="s">
        <v>76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2.727</v>
      </c>
      <c r="I73" s="24" t="n">
        <f aca="false">IF(AND(H68&lt;&gt;"",I68&lt;&gt;""),(H68+I68)/2,"")</f>
        <v>3.171</v>
      </c>
      <c r="J73" s="24" t="n">
        <f aca="false">IF(AND(I68&lt;&gt;"",J68&lt;&gt;""),(I68+J68)/2,"")</f>
        <v>3.615</v>
      </c>
      <c r="K73" s="24" t="n">
        <f aca="false">IF(AND(J68&lt;&gt;"",K68&lt;&gt;""),(J68+K68)/2,"")</f>
        <v>3.615</v>
      </c>
      <c r="L73" s="24" t="n">
        <f aca="false">IF(AND(K68&lt;&gt;"",L68&lt;&gt;""),(K68+L68)/2,"")</f>
        <v>3.615</v>
      </c>
      <c r="M73" s="24" t="n">
        <f aca="false">IF(AND(L68&lt;&gt;"",M68&lt;&gt;""),(L68+M68)/2,"")</f>
        <v>3.615</v>
      </c>
    </row>
    <row r="74" customFormat="false" ht="17.15" hidden="false" customHeight="false" outlineLevel="0" collapsed="false">
      <c r="A74" s="5" t="s">
        <v>937</v>
      </c>
      <c r="B74" s="0" t="s">
        <v>978</v>
      </c>
      <c r="C74" s="0" t="s">
        <v>76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</v>
      </c>
      <c r="I74" s="24" t="n">
        <f aca="false">IF(AND(H68&lt;&gt;"",I68&lt;&gt;""),I68-H68,0)</f>
        <v>0.888</v>
      </c>
      <c r="J74" s="24" t="n">
        <f aca="false">IF(AND(I68&lt;&gt;"",J68&lt;&gt;""),J68-I68,0)</f>
        <v>0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939</v>
      </c>
      <c r="B75" s="0" t="s">
        <v>979</v>
      </c>
      <c r="C75" s="0" t="s">
        <v>76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941</v>
      </c>
      <c r="B76" s="0" t="s">
        <v>980</v>
      </c>
      <c r="C76" s="0" t="s">
        <v>51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981</v>
      </c>
      <c r="B78" s="20" t="s">
        <v>524</v>
      </c>
      <c r="N78" s="20" t="s">
        <v>982</v>
      </c>
    </row>
    <row r="79" customFormat="false" ht="17.15" hidden="false" customHeight="false" outlineLevel="0" collapsed="false">
      <c r="A79" s="5" t="s">
        <v>909</v>
      </c>
      <c r="B79" s="0" t="s">
        <v>983</v>
      </c>
      <c r="C79" s="0" t="s">
        <v>76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911</v>
      </c>
      <c r="B80" s="0" t="s">
        <v>984</v>
      </c>
      <c r="C80" s="0" t="s">
        <v>76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913</v>
      </c>
      <c r="B81" s="0" t="s">
        <v>985</v>
      </c>
      <c r="C81" s="0" t="s">
        <v>76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915</v>
      </c>
      <c r="B82" s="0" t="s">
        <v>986</v>
      </c>
      <c r="C82" s="0" t="s">
        <v>76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917</v>
      </c>
      <c r="B83" s="0" t="s">
        <v>987</v>
      </c>
      <c r="C83" s="5" t="s">
        <v>46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919</v>
      </c>
      <c r="B84" s="0" t="s">
        <v>988</v>
      </c>
      <c r="C84" s="0" t="s">
        <v>76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921</v>
      </c>
      <c r="B85" s="0" t="s">
        <v>989</v>
      </c>
      <c r="C85" s="5" t="s">
        <v>46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923</v>
      </c>
      <c r="B86" s="0" t="s">
        <v>990</v>
      </c>
      <c r="C86" s="0" t="s">
        <v>76</v>
      </c>
      <c r="D86" s="24" t="n">
        <f aca="false">SUMIFS(Pipeline!$L$5:$L$47,Pipeline!$C$5:$C$47,"meta",Pipeline!$Q$5:$Q$47,1,Pipeline!$P$5:$P$47,2023)</f>
        <v>0</v>
      </c>
      <c r="E86" s="24" t="n">
        <f aca="false">SUMIFS(Pipeline!$L$5:$L$47,Pipeline!$C$5:$C$47,"meta",Pipeline!$Q$5:$Q$47,1,Pipeline!$P$5:$P$47,2024)</f>
        <v>0</v>
      </c>
      <c r="F86" s="24" t="n">
        <f aca="false">SUMIFS(Pipeline!$L$5:$L$47,Pipeline!$C$5:$C$47,"meta",Pipeline!$Q$5:$Q$47,1,Pipeline!$P$5:$P$47,2025)</f>
        <v>0</v>
      </c>
      <c r="G86" s="24" t="n">
        <f aca="false">SUMIFS(Pipeline!$L$5:$L$47,Pipeline!$C$5:$C$47,"meta",Pipeline!$Q$5:$Q$47,1,Pipeline!$P$5:$P$47,2026)</f>
        <v>0.676</v>
      </c>
      <c r="H86" s="24" t="n">
        <f aca="false">SUMIFS(Pipeline!$L$5:$L$47,Pipeline!$C$5:$C$47,"meta",Pipeline!$Q$5:$Q$47,1,Pipeline!$P$5:$P$47,2027)</f>
        <v>0.192</v>
      </c>
      <c r="I86" s="24" t="n">
        <f aca="false">SUMIFS(Pipeline!$L$5:$L$47,Pipeline!$C$5:$C$47,"meta",Pipeline!$Q$5:$Q$47,1,Pipeline!$P$5:$P$47,2028)</f>
        <v>2.786</v>
      </c>
      <c r="J86" s="24" t="n">
        <f aca="false">SUMIFS(Pipeline!$L$5:$L$47,Pipeline!$C$5:$C$47,"meta",Pipeline!$Q$5:$Q$47,1,Pipeline!$P$5:$P$47,2029)</f>
        <v>0.368</v>
      </c>
      <c r="K86" s="24" t="n">
        <f aca="false">SUMIFS(Pipeline!$L$5:$L$47,Pipeline!$C$5:$C$47,"meta",Pipeline!$Q$5:$Q$47,1,Pipeline!$P$5:$P$47,2030)</f>
        <v>0</v>
      </c>
      <c r="L86" s="24" t="n">
        <f aca="false">SUMIFS(Pipeline!$L$5:$L$47,Pipeline!$C$5:$C$47,"meta",Pipeline!$Q$5:$Q$47,1,Pipeline!$P$5:$P$47,2031)</f>
        <v>0</v>
      </c>
      <c r="M86" s="24" t="n">
        <f aca="false">SUMIFS(Pipeline!$L$5:$L$47,Pipeline!$C$5:$C$47,"meta",Pipeline!$Q$5:$Q$47,1,Pipeline!$P$5:$P$47,2032)</f>
        <v>0</v>
      </c>
    </row>
    <row r="87" customFormat="false" ht="17.15" hidden="false" customHeight="false" outlineLevel="0" collapsed="false">
      <c r="A87" s="5" t="s">
        <v>925</v>
      </c>
      <c r="B87" s="0" t="s">
        <v>991</v>
      </c>
      <c r="C87" s="0" t="s">
        <v>76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6.130595</v>
      </c>
      <c r="J87" s="25" t="n">
        <f aca="false">IF(J81&lt;&gt;"",J81,IF(AND(J82&lt;&gt;"",J84&lt;&gt;""),J82+(J84-J82)*(2029-J83)/(J85-J83),IF(I87&lt;&gt;"",I87+J86,"")))</f>
        <v>6.498595</v>
      </c>
      <c r="K87" s="25" t="n">
        <f aca="false">IF(K81&lt;&gt;"",K81,IF(AND(K82&lt;&gt;"",K84&lt;&gt;""),K82+(K84-K82)*(2030-K83)/(K85-K83),IF(J87&lt;&gt;"",J87+K86,"")))</f>
        <v>6.498595</v>
      </c>
      <c r="L87" s="25" t="n">
        <f aca="false">IF(L81&lt;&gt;"",L81,IF(AND(L82&lt;&gt;"",L84&lt;&gt;""),L82+(L84-L82)*(2031-L83)/(L85-L83),IF(K87&lt;&gt;"",K87+L86,"")))</f>
        <v>6.498595</v>
      </c>
      <c r="M87" s="25" t="n">
        <f aca="false">IF(M81&lt;&gt;"",M81,IF(AND(M82&lt;&gt;"",M84&lt;&gt;""),M82+(M84-M82)*(2032-M83)/(M85-M83),IF(L87&lt;&gt;"",L87+M86,"")))</f>
        <v>6.498595</v>
      </c>
    </row>
    <row r="88" customFormat="false" ht="15" hidden="false" customHeight="false" outlineLevel="0" collapsed="false">
      <c r="A88" s="5" t="s">
        <v>927</v>
      </c>
      <c r="B88" s="0" t="s">
        <v>992</v>
      </c>
      <c r="C88" s="0" t="s">
        <v>34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929</v>
      </c>
      <c r="B89" s="0" t="s">
        <v>993</v>
      </c>
      <c r="C89" s="0" t="s">
        <v>76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3.344595</v>
      </c>
      <c r="I89" s="24" t="n">
        <f aca="false">IF(I87="","",IF(AND(I88=5,In!$M$104&lt;&gt;""),In!$M$104*Players!$E$17/1000,I87))</f>
        <v>6.130595</v>
      </c>
      <c r="J89" s="24" t="n">
        <f aca="false">IF(J87="","",IF(AND(J88=5,In!$N$104&lt;&gt;""),In!$N$104*Players!$E$17/1000,J87))</f>
        <v>6.498595</v>
      </c>
      <c r="K89" s="24" t="n">
        <f aca="false">IF(K87="","",IF(AND(K88=5,In!$O$104&lt;&gt;""),In!$O$104*Players!$E$17/1000,K87))</f>
        <v>6.498595</v>
      </c>
      <c r="L89" s="24" t="n">
        <f aca="false">IF(L87="","",IF(AND(L88=5,In!$P$104&lt;&gt;""),In!$P$104*Players!$E$17/1000,L87))</f>
        <v>6.498595</v>
      </c>
      <c r="M89" s="24" t="n">
        <f aca="false">IF(M87="","",IF(AND(M88=5,In!$Q$104&lt;&gt;""),In!$Q$104*Players!$E$17/1000,M87))</f>
        <v>6.498595</v>
      </c>
    </row>
    <row r="90" customFormat="false" ht="17.15" hidden="false" customHeight="false" outlineLevel="0" collapsed="false">
      <c r="A90" s="5" t="s">
        <v>931</v>
      </c>
      <c r="B90" s="0" t="s">
        <v>994</v>
      </c>
      <c r="C90" s="0" t="s">
        <v>76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3.344595</v>
      </c>
      <c r="I90" s="24" t="n">
        <f aca="false">IF(I87="","",IF(AND(I88=5,In!$M$104&lt;&gt;""),In!$M$104*Players!$F$17/1000,I87))</f>
        <v>6.130595</v>
      </c>
      <c r="J90" s="24" t="n">
        <f aca="false">IF(J87="","",IF(AND(J88=5,In!$N$104&lt;&gt;""),In!$N$104*Players!$F$17/1000,J87))</f>
        <v>6.498595</v>
      </c>
      <c r="K90" s="24" t="n">
        <f aca="false">IF(K87="","",IF(AND(K88=5,In!$O$104&lt;&gt;""),In!$O$104*Players!$F$17/1000,K87))</f>
        <v>6.498595</v>
      </c>
      <c r="L90" s="24" t="n">
        <f aca="false">IF(L87="","",IF(AND(L88=5,In!$P$104&lt;&gt;""),In!$P$104*Players!$F$17/1000,L87))</f>
        <v>6.498595</v>
      </c>
      <c r="M90" s="24" t="n">
        <f aca="false">IF(M87="","",IF(AND(M88=5,In!$Q$104&lt;&gt;""),In!$Q$104*Players!$F$17/1000,M87))</f>
        <v>6.498595</v>
      </c>
    </row>
    <row r="91" customFormat="false" ht="17.15" hidden="false" customHeight="false" outlineLevel="0" collapsed="false">
      <c r="A91" s="5" t="s">
        <v>933</v>
      </c>
      <c r="B91" s="0" t="s">
        <v>995</v>
      </c>
      <c r="C91" s="0" t="s">
        <v>76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3.344595</v>
      </c>
      <c r="I91" s="24" t="n">
        <f aca="false">IF(I87="","",IF(In!$C$111="未說明",I87/I$13,I87))</f>
        <v>6.130595</v>
      </c>
      <c r="J91" s="24" t="n">
        <f aca="false">IF(J87="","",IF(In!$C$111="未說明",J87/J$13,J87))</f>
        <v>6.498595</v>
      </c>
      <c r="K91" s="24" t="n">
        <f aca="false">IF(K87="","",IF(In!$C$111="未說明",K87/K$13,K87))</f>
        <v>6.498595</v>
      </c>
      <c r="L91" s="24" t="n">
        <f aca="false">IF(L87="","",IF(In!$C$111="未說明",L87/L$13,L87))</f>
        <v>6.498595</v>
      </c>
      <c r="M91" s="24" t="n">
        <f aca="false">IF(M87="","",IF(In!$C$111="未說明",M87/M$13,M87))</f>
        <v>6.498595</v>
      </c>
    </row>
    <row r="92" customFormat="false" ht="17.15" hidden="false" customHeight="false" outlineLevel="0" collapsed="false">
      <c r="A92" s="5" t="s">
        <v>935</v>
      </c>
      <c r="B92" s="0" t="s">
        <v>996</v>
      </c>
      <c r="C92" s="0" t="s">
        <v>76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4.737595</v>
      </c>
      <c r="J92" s="24" t="n">
        <f aca="false">IF(AND(I87&lt;&gt;"",J87&lt;&gt;""),(I87+J87)/2,"")</f>
        <v>6.314595</v>
      </c>
      <c r="K92" s="24" t="n">
        <f aca="false">IF(AND(J87&lt;&gt;"",K87&lt;&gt;""),(J87+K87)/2,"")</f>
        <v>6.498595</v>
      </c>
      <c r="L92" s="24" t="n">
        <f aca="false">IF(AND(K87&lt;&gt;"",L87&lt;&gt;""),(K87+L87)/2,"")</f>
        <v>6.498595</v>
      </c>
      <c r="M92" s="24" t="n">
        <f aca="false">IF(AND(L87&lt;&gt;"",M87&lt;&gt;""),(L87+M87)/2,"")</f>
        <v>6.498595</v>
      </c>
    </row>
    <row r="93" customFormat="false" ht="17.15" hidden="false" customHeight="false" outlineLevel="0" collapsed="false">
      <c r="A93" s="5" t="s">
        <v>937</v>
      </c>
      <c r="B93" s="0" t="s">
        <v>997</v>
      </c>
      <c r="C93" s="0" t="s">
        <v>76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2.786</v>
      </c>
      <c r="J93" s="24" t="n">
        <f aca="false">IF(AND(I87&lt;&gt;"",J87&lt;&gt;""),J87-I87,0)</f>
        <v>0.368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939</v>
      </c>
      <c r="B94" s="0" t="s">
        <v>998</v>
      </c>
      <c r="C94" s="0" t="s">
        <v>76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941</v>
      </c>
      <c r="B95" s="0" t="s">
        <v>999</v>
      </c>
      <c r="C95" s="0" t="s">
        <v>51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1000</v>
      </c>
      <c r="B97" s="20" t="s">
        <v>528</v>
      </c>
      <c r="N97" s="20" t="s">
        <v>1001</v>
      </c>
    </row>
    <row r="98" customFormat="false" ht="17.15" hidden="false" customHeight="false" outlineLevel="0" collapsed="false">
      <c r="A98" s="5" t="s">
        <v>909</v>
      </c>
      <c r="B98" s="0" t="s">
        <v>1002</v>
      </c>
      <c r="C98" s="0" t="s">
        <v>76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911</v>
      </c>
      <c r="B99" s="0" t="s">
        <v>1003</v>
      </c>
      <c r="C99" s="0" t="s">
        <v>76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913</v>
      </c>
      <c r="B100" s="0" t="s">
        <v>1004</v>
      </c>
      <c r="C100" s="0" t="s">
        <v>76</v>
      </c>
      <c r="D100" s="24" t="str">
        <f aca="false">IF(D98&lt;&gt;"",D98,IF(D99&lt;&gt;"",D99,IF(INT(obsd_orcl)=2023,obs_orcl/1000+SUMIFS(Pipeline!$L$5:$L$47,Pipeline!$C$5:$C$47,"orcl",Pipeline!$Q$5:$Q$47,1,Pipeline!$K$5:$K$47,"&gt;"&amp;obsd_orcl,Pipeline!$K$5:$K$47,"&lt;="&amp;2024),"")))</f>
        <v/>
      </c>
      <c r="E100" s="24" t="n">
        <f aca="false">IF(E98&lt;&gt;"",E98,IF(E99&lt;&gt;"",E99,IF(INT(obsd_orcl)=2024,obs_orcl/1000+SUMIFS(Pipeline!$L$5:$L$47,Pipeline!$C$5:$C$47,"orcl",Pipeline!$Q$5:$Q$47,1,Pipeline!$K$5:$K$47,"&gt;"&amp;obsd_orcl,Pipeline!$K$5:$K$47,"&lt;="&amp;2025),"")))</f>
        <v>0.386465</v>
      </c>
      <c r="F100" s="24" t="n">
        <f aca="false">IF(F98&lt;&gt;"",F98,IF(F99&lt;&gt;"",F99,IF(INT(obsd_orcl)=2025,obs_orcl/1000+SUMIFS(Pipeline!$L$5:$L$47,Pipeline!$C$5:$C$47,"orcl",Pipeline!$Q$5:$Q$47,1,Pipeline!$K$5:$K$47,"&gt;"&amp;obsd_orcl,Pipeline!$K$5:$K$47,"&lt;="&amp;2026),"")))</f>
        <v>1.20287</v>
      </c>
      <c r="G100" s="24" t="n">
        <f aca="false">IF(G98&lt;&gt;"",G98,IF(G99&lt;&gt;"",G99,IF(INT(obsd_orcl)=2026,obs_orcl/1000+SUMIFS(Pipeline!$L$5:$L$47,Pipeline!$C$5:$C$47,"orcl",Pipeline!$Q$5:$Q$47,1,Pipeline!$K$5:$K$47,"&gt;"&amp;obsd_orcl,Pipeline!$K$5:$K$47,"&lt;="&amp;2027),"")))</f>
        <v>2.749</v>
      </c>
      <c r="H100" s="24" t="str">
        <f aca="false">IF(H98&lt;&gt;"",H98,IF(H99&lt;&gt;"",H99,IF(INT(obsd_orcl)=2027,obs_orcl/1000+SUMIFS(Pipeline!$L$5:$L$47,Pipeline!$C$5:$C$47,"orcl",Pipeline!$Q$5:$Q$47,1,Pipeline!$K$5:$K$47,"&gt;"&amp;obsd_orcl,Pipeline!$K$5:$K$47,"&lt;="&amp;2028),"")))</f>
        <v/>
      </c>
      <c r="I100" s="24" t="str">
        <f aca="false">IF(I98&lt;&gt;"",I98,IF(I99&lt;&gt;"",I99,IF(INT(obsd_orcl)=2028,obs_orcl/1000+SUMIFS(Pipeline!$L$5:$L$47,Pipeline!$C$5:$C$47,"orcl",Pipeline!$Q$5:$Q$47,1,Pipeline!$K$5:$K$47,"&gt;"&amp;obsd_orcl,Pipeline!$K$5:$K$47,"&lt;="&amp;2029),"")))</f>
        <v/>
      </c>
      <c r="J100" s="24" t="str">
        <f aca="false">IF(J98&lt;&gt;"",J98,IF(J99&lt;&gt;"",J99,IF(INT(obsd_orcl)=2029,obs_orcl/1000+SUMIFS(Pipeline!$L$5:$L$47,Pipeline!$C$5:$C$47,"orcl",Pipeline!$Q$5:$Q$47,1,Pipeline!$K$5:$K$47,"&gt;"&amp;obsd_orcl,Pipeline!$K$5:$K$47,"&lt;="&amp;2030),"")))</f>
        <v/>
      </c>
      <c r="K100" s="24" t="str">
        <f aca="false">IF(K98&lt;&gt;"",K98,IF(K99&lt;&gt;"",K99,IF(INT(obsd_orcl)=2030,obs_orcl/1000+SUMIFS(Pipeline!$L$5:$L$47,Pipeline!$C$5:$C$47,"orcl",Pipeline!$Q$5:$Q$47,1,Pipeline!$K$5:$K$47,"&gt;"&amp;obsd_orcl,Pipeline!$K$5:$K$47,"&lt;="&amp;2031),"")))</f>
        <v/>
      </c>
      <c r="L100" s="24" t="str">
        <f aca="false">IF(L98&lt;&gt;"",L98,IF(L99&lt;&gt;"",L99,IF(INT(obsd_orcl)=2031,obs_orcl/1000+SUMIFS(Pipeline!$L$5:$L$47,Pipeline!$C$5:$C$47,"orcl",Pipeline!$Q$5:$Q$47,1,Pipeline!$K$5:$K$47,"&gt;"&amp;obsd_orcl,Pipeline!$K$5:$K$47,"&lt;="&amp;2032),"")))</f>
        <v/>
      </c>
      <c r="M100" s="24" t="str">
        <f aca="false">IF(M98&lt;&gt;"",M98,IF(M99&lt;&gt;"",M99,IF(INT(obsd_orcl)=2032,obs_orcl/1000+SUMIFS(Pipeline!$L$5:$L$47,Pipeline!$C$5:$C$47,"orcl",Pipeline!$Q$5:$Q$47,1,Pipeline!$K$5:$K$47,"&gt;"&amp;obsd_orcl,Pipeline!$K$5:$K$47,"&lt;="&amp;2033),"")))</f>
        <v/>
      </c>
    </row>
    <row r="101" customFormat="false" ht="15" hidden="false" customHeight="false" outlineLevel="0" collapsed="false">
      <c r="A101" s="5" t="s">
        <v>915</v>
      </c>
      <c r="B101" s="0" t="s">
        <v>1005</v>
      </c>
      <c r="C101" s="0" t="s">
        <v>76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917</v>
      </c>
      <c r="B102" s="0" t="s">
        <v>1006</v>
      </c>
      <c r="C102" s="5" t="s">
        <v>46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919</v>
      </c>
      <c r="B103" s="0" t="s">
        <v>1007</v>
      </c>
      <c r="C103" s="0" t="s">
        <v>76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921</v>
      </c>
      <c r="B104" s="0" t="s">
        <v>1008</v>
      </c>
      <c r="C104" s="5" t="s">
        <v>46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923</v>
      </c>
      <c r="B105" s="0" t="s">
        <v>1009</v>
      </c>
      <c r="C105" s="0" t="s">
        <v>76</v>
      </c>
      <c r="D105" s="24" t="n">
        <f aca="false">SUMIFS(Pipeline!$L$5:$L$47,Pipeline!$C$5:$C$47,"orcl",Pipeline!$Q$5:$Q$47,1,Pipeline!$P$5:$P$47,2023)</f>
        <v>0</v>
      </c>
      <c r="E105" s="24" t="n">
        <f aca="false">SUMIFS(Pipeline!$L$5:$L$47,Pipeline!$C$5:$C$47,"orcl",Pipeline!$Q$5:$Q$47,1,Pipeline!$P$5:$P$47,2024)</f>
        <v>0</v>
      </c>
      <c r="F105" s="24" t="n">
        <f aca="false">SUMIFS(Pipeline!$L$5:$L$47,Pipeline!$C$5:$C$47,"orcl",Pipeline!$Q$5:$Q$47,1,Pipeline!$P$5:$P$47,2025)</f>
        <v>0</v>
      </c>
      <c r="G105" s="24" t="n">
        <f aca="false">SUMIFS(Pipeline!$L$5:$L$47,Pipeline!$C$5:$C$47,"orcl",Pipeline!$Q$5:$Q$47,1,Pipeline!$P$5:$P$47,2026)</f>
        <v>0.206</v>
      </c>
      <c r="H105" s="24" t="n">
        <f aca="false">SUMIFS(Pipeline!$L$5:$L$47,Pipeline!$C$5:$C$47,"orcl",Pipeline!$Q$5:$Q$47,1,Pipeline!$P$5:$P$47,2027)</f>
        <v>0.166666666666667</v>
      </c>
      <c r="I105" s="24" t="n">
        <f aca="false">SUMIFS(Pipeline!$L$5:$L$47,Pipeline!$C$5:$C$47,"orcl",Pipeline!$Q$5:$Q$47,1,Pipeline!$P$5:$P$47,2028)</f>
        <v>5.58333333333333</v>
      </c>
      <c r="J105" s="24" t="n">
        <f aca="false">SUMIFS(Pipeline!$L$5:$L$47,Pipeline!$C$5:$C$47,"orcl",Pipeline!$Q$5:$Q$47,1,Pipeline!$P$5:$P$47,2029)</f>
        <v>0</v>
      </c>
      <c r="K105" s="24" t="n">
        <f aca="false">SUMIFS(Pipeline!$L$5:$L$47,Pipeline!$C$5:$C$47,"orcl",Pipeline!$Q$5:$Q$47,1,Pipeline!$P$5:$P$47,2030)</f>
        <v>0</v>
      </c>
      <c r="L105" s="24" t="n">
        <f aca="false">SUMIFS(Pipeline!$L$5:$L$47,Pipeline!$C$5:$C$47,"orcl",Pipeline!$Q$5:$Q$47,1,Pipeline!$P$5:$P$47,2031)</f>
        <v>0</v>
      </c>
      <c r="M105" s="24" t="n">
        <f aca="false">SUMIFS(Pipeline!$L$5:$L$47,Pipeline!$C$5:$C$47,"orcl",Pipeline!$Q$5:$Q$47,1,Pipeline!$P$5:$P$47,2032)</f>
        <v>0</v>
      </c>
    </row>
    <row r="106" customFormat="false" ht="17.15" hidden="false" customHeight="false" outlineLevel="0" collapsed="false">
      <c r="A106" s="5" t="s">
        <v>925</v>
      </c>
      <c r="B106" s="0" t="s">
        <v>1010</v>
      </c>
      <c r="C106" s="0" t="s">
        <v>76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8.499</v>
      </c>
      <c r="J106" s="25" t="n">
        <f aca="false">IF(J100&lt;&gt;"",J100,IF(AND(J101&lt;&gt;"",J103&lt;&gt;""),J101+(J103-J101)*(2029-J102)/(J104-J102),IF(I106&lt;&gt;"",I106+J105,"")))</f>
        <v>8.499</v>
      </c>
      <c r="K106" s="25" t="n">
        <f aca="false">IF(K100&lt;&gt;"",K100,IF(AND(K101&lt;&gt;"",K103&lt;&gt;""),K101+(K103-K101)*(2030-K102)/(K104-K102),IF(J106&lt;&gt;"",J106+K105,"")))</f>
        <v>8.499</v>
      </c>
      <c r="L106" s="25" t="n">
        <f aca="false">IF(L100&lt;&gt;"",L100,IF(AND(L101&lt;&gt;"",L103&lt;&gt;""),L101+(L103-L101)*(2031-L102)/(L104-L102),IF(K106&lt;&gt;"",K106+L105,"")))</f>
        <v>8.499</v>
      </c>
      <c r="M106" s="25" t="n">
        <f aca="false">IF(M100&lt;&gt;"",M100,IF(AND(M101&lt;&gt;"",M103&lt;&gt;""),M101+(M103-M101)*(2032-M102)/(M104-M102),IF(L106&lt;&gt;"",L106+M105,"")))</f>
        <v>8.499</v>
      </c>
    </row>
    <row r="107" customFormat="false" ht="15" hidden="false" customHeight="false" outlineLevel="0" collapsed="false">
      <c r="A107" s="5" t="s">
        <v>927</v>
      </c>
      <c r="B107" s="0" t="s">
        <v>1011</v>
      </c>
      <c r="C107" s="0" t="s">
        <v>34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929</v>
      </c>
      <c r="B108" s="0" t="s">
        <v>1012</v>
      </c>
      <c r="C108" s="0" t="s">
        <v>76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2.91566666666667</v>
      </c>
      <c r="I108" s="24" t="n">
        <f aca="false">IF(I106="","",IF(AND(I107=5,In!$M$105&lt;&gt;""),In!$M$105*Players!$E$18/1000,I106))</f>
        <v>8.499</v>
      </c>
      <c r="J108" s="24" t="n">
        <f aca="false">IF(J106="","",IF(AND(J107=5,In!$N$105&lt;&gt;""),In!$N$105*Players!$E$18/1000,J106))</f>
        <v>8.499</v>
      </c>
      <c r="K108" s="24" t="n">
        <f aca="false">IF(K106="","",IF(AND(K107=5,In!$O$105&lt;&gt;""),In!$O$105*Players!$E$18/1000,K106))</f>
        <v>8.499</v>
      </c>
      <c r="L108" s="24" t="n">
        <f aca="false">IF(L106="","",IF(AND(L107=5,In!$P$105&lt;&gt;""),In!$P$105*Players!$E$18/1000,L106))</f>
        <v>8.499</v>
      </c>
      <c r="M108" s="24" t="n">
        <f aca="false">IF(M106="","",IF(AND(M107=5,In!$Q$105&lt;&gt;""),In!$Q$105*Players!$E$18/1000,M106))</f>
        <v>8.499</v>
      </c>
    </row>
    <row r="109" customFormat="false" ht="17.15" hidden="false" customHeight="false" outlineLevel="0" collapsed="false">
      <c r="A109" s="5" t="s">
        <v>931</v>
      </c>
      <c r="B109" s="0" t="s">
        <v>1013</v>
      </c>
      <c r="C109" s="0" t="s">
        <v>76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2.91566666666667</v>
      </c>
      <c r="I109" s="24" t="n">
        <f aca="false">IF(I106="","",IF(AND(I107=5,In!$M$105&lt;&gt;""),In!$M$105*Players!$F$18/1000,I106))</f>
        <v>8.499</v>
      </c>
      <c r="J109" s="24" t="n">
        <f aca="false">IF(J106="","",IF(AND(J107=5,In!$N$105&lt;&gt;""),In!$N$105*Players!$F$18/1000,J106))</f>
        <v>8.499</v>
      </c>
      <c r="K109" s="24" t="n">
        <f aca="false">IF(K106="","",IF(AND(K107=5,In!$O$105&lt;&gt;""),In!$O$105*Players!$F$18/1000,K106))</f>
        <v>8.499</v>
      </c>
      <c r="L109" s="24" t="n">
        <f aca="false">IF(L106="","",IF(AND(L107=5,In!$P$105&lt;&gt;""),In!$P$105*Players!$F$18/1000,L106))</f>
        <v>8.499</v>
      </c>
      <c r="M109" s="24" t="n">
        <f aca="false">IF(M106="","",IF(AND(M107=5,In!$Q$105&lt;&gt;""),In!$Q$105*Players!$F$18/1000,M106))</f>
        <v>8.499</v>
      </c>
    </row>
    <row r="110" customFormat="false" ht="17.15" hidden="false" customHeight="false" outlineLevel="0" collapsed="false">
      <c r="A110" s="5" t="s">
        <v>933</v>
      </c>
      <c r="B110" s="0" t="s">
        <v>1014</v>
      </c>
      <c r="C110" s="0" t="s">
        <v>76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2.91566666666667</v>
      </c>
      <c r="I110" s="24" t="n">
        <f aca="false">IF(I106="","",IF(In!$C$112="未說明",I106/I$13,I106))</f>
        <v>8.499</v>
      </c>
      <c r="J110" s="24" t="n">
        <f aca="false">IF(J106="","",IF(In!$C$112="未說明",J106/J$13,J106))</f>
        <v>8.499</v>
      </c>
      <c r="K110" s="24" t="n">
        <f aca="false">IF(K106="","",IF(In!$C$112="未說明",K106/K$13,K106))</f>
        <v>8.499</v>
      </c>
      <c r="L110" s="24" t="n">
        <f aca="false">IF(L106="","",IF(In!$C$112="未說明",L106/L$13,L106))</f>
        <v>8.499</v>
      </c>
      <c r="M110" s="24" t="n">
        <f aca="false">IF(M106="","",IF(In!$C$112="未說明",M106/M$13,M106))</f>
        <v>8.499</v>
      </c>
    </row>
    <row r="111" customFormat="false" ht="17.15" hidden="false" customHeight="false" outlineLevel="0" collapsed="false">
      <c r="A111" s="5" t="s">
        <v>935</v>
      </c>
      <c r="B111" s="0" t="s">
        <v>1015</v>
      </c>
      <c r="C111" s="0" t="s">
        <v>76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5.70733333333333</v>
      </c>
      <c r="J111" s="24" t="n">
        <f aca="false">IF(AND(I106&lt;&gt;"",J106&lt;&gt;""),(I106+J106)/2,"")</f>
        <v>8.499</v>
      </c>
      <c r="K111" s="24" t="n">
        <f aca="false">IF(AND(J106&lt;&gt;"",K106&lt;&gt;""),(J106+K106)/2,"")</f>
        <v>8.499</v>
      </c>
      <c r="L111" s="24" t="n">
        <f aca="false">IF(AND(K106&lt;&gt;"",L106&lt;&gt;""),(K106+L106)/2,"")</f>
        <v>8.499</v>
      </c>
      <c r="M111" s="24" t="n">
        <f aca="false">IF(AND(L106&lt;&gt;"",M106&lt;&gt;""),(L106+M106)/2,"")</f>
        <v>8.499</v>
      </c>
    </row>
    <row r="112" customFormat="false" ht="17.15" hidden="false" customHeight="false" outlineLevel="0" collapsed="false">
      <c r="A112" s="5" t="s">
        <v>937</v>
      </c>
      <c r="B112" s="0" t="s">
        <v>1016</v>
      </c>
      <c r="C112" s="0" t="s">
        <v>76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5.58333333333333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939</v>
      </c>
      <c r="B113" s="0" t="s">
        <v>1017</v>
      </c>
      <c r="C113" s="0" t="s">
        <v>76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941</v>
      </c>
      <c r="B114" s="0" t="s">
        <v>1018</v>
      </c>
      <c r="C114" s="0" t="s">
        <v>51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1019</v>
      </c>
      <c r="B116" s="20" t="s">
        <v>618</v>
      </c>
      <c r="N116" s="20" t="s">
        <v>1020</v>
      </c>
    </row>
    <row r="117" customFormat="false" ht="17.15" hidden="false" customHeight="false" outlineLevel="0" collapsed="false">
      <c r="A117" s="5" t="s">
        <v>909</v>
      </c>
      <c r="B117" s="0" t="s">
        <v>1021</v>
      </c>
      <c r="C117" s="0" t="s">
        <v>76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911</v>
      </c>
      <c r="B118" s="0" t="s">
        <v>1022</v>
      </c>
      <c r="C118" s="0" t="s">
        <v>76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913</v>
      </c>
      <c r="B119" s="0" t="s">
        <v>1023</v>
      </c>
      <c r="C119" s="0" t="s">
        <v>76</v>
      </c>
      <c r="D119" s="24" t="n">
        <f aca="false">IF(D117&lt;&gt;"",D117,IF(D118&lt;&gt;"",D118,IF(INT(obsd_crwv)=2023,obs_crwv/1000+SUMIFS(Pipeline!$L$5:$L$47,Pipeline!$C$5:$C$47,"crwv",Pipeline!$Q$5:$Q$47,1,Pipeline!$K$5:$K$47,"&gt;"&amp;obsd_crwv,Pipeline!$K$5:$K$47,"&lt;="&amp;2024),"")))</f>
        <v>0.07</v>
      </c>
      <c r="E119" s="24" t="n">
        <f aca="false">IF(E117&lt;&gt;"",E117,IF(E118&lt;&gt;"",E118,IF(INT(obsd_crwv)=2024,obs_crwv/1000+SUMIFS(Pipeline!$L$5:$L$47,Pipeline!$C$5:$C$47,"crwv",Pipeline!$Q$5:$Q$47,1,Pipeline!$K$5:$K$47,"&gt;"&amp;obsd_crwv,Pipeline!$K$5:$K$47,"&lt;="&amp;2025),"")))</f>
        <v>0.36</v>
      </c>
      <c r="F119" s="24" t="n">
        <f aca="false">IF(F117&lt;&gt;"",F117,IF(F118&lt;&gt;"",F118,IF(INT(obsd_crwv)=2025,obs_crwv/1000+SUMIFS(Pipeline!$L$5:$L$47,Pipeline!$C$5:$C$47,"crwv",Pipeline!$Q$5:$Q$47,1,Pipeline!$K$5:$K$47,"&gt;"&amp;obsd_crwv,Pipeline!$K$5:$K$47,"&lt;="&amp;2026),"")))</f>
        <v>0.85</v>
      </c>
      <c r="G119" s="24" t="n">
        <f aca="false">IF(G117&lt;&gt;"",G117,IF(G118&lt;&gt;"",G118,IF(INT(obsd_crwv)=2026,obs_crwv/1000+SUMIFS(Pipeline!$L$5:$L$47,Pipeline!$C$5:$C$47,"crwv",Pipeline!$Q$5:$Q$47,1,Pipeline!$K$5:$K$47,"&gt;"&amp;obsd_crwv,Pipeline!$K$5:$K$47,"&lt;="&amp;2027),"")))</f>
        <v>1.85</v>
      </c>
      <c r="H119" s="24" t="str">
        <f aca="false">IF(H117&lt;&gt;"",H117,IF(H118&lt;&gt;"",H118,IF(INT(obsd_crwv)=2027,obs_crwv/1000+SUMIFS(Pipeline!$L$5:$L$47,Pipeline!$C$5:$C$47,"crwv",Pipeline!$Q$5:$Q$47,1,Pipeline!$K$5:$K$47,"&gt;"&amp;obsd_crwv,Pipeline!$K$5:$K$47,"&lt;="&amp;2028),"")))</f>
        <v/>
      </c>
      <c r="I119" s="24" t="str">
        <f aca="false">IF(I117&lt;&gt;"",I117,IF(I118&lt;&gt;"",I118,IF(INT(obsd_crwv)=2028,obs_crwv/1000+SUMIFS(Pipeline!$L$5:$L$47,Pipeline!$C$5:$C$47,"crwv",Pipeline!$Q$5:$Q$47,1,Pipeline!$K$5:$K$47,"&gt;"&amp;obsd_crwv,Pipeline!$K$5:$K$47,"&lt;="&amp;2029),"")))</f>
        <v/>
      </c>
      <c r="J119" s="24" t="str">
        <f aca="false">IF(J117&lt;&gt;"",J117,IF(J118&lt;&gt;"",J118,IF(INT(obsd_crwv)=2029,obs_crwv/1000+SUMIFS(Pipeline!$L$5:$L$47,Pipeline!$C$5:$C$47,"crwv",Pipeline!$Q$5:$Q$47,1,Pipeline!$K$5:$K$47,"&gt;"&amp;obsd_crwv,Pipeline!$K$5:$K$47,"&lt;="&amp;2030),"")))</f>
        <v/>
      </c>
      <c r="K119" s="24" t="n">
        <f aca="false">IF(K117&lt;&gt;"",K117,IF(K118&lt;&gt;"",K118,IF(INT(obsd_crwv)=2030,obs_crwv/1000+SUMIFS(Pipeline!$L$5:$L$47,Pipeline!$C$5:$C$47,"crwv",Pipeline!$Q$5:$Q$47,1,Pipeline!$K$5:$K$47,"&gt;"&amp;obsd_crwv,Pipeline!$K$5:$K$47,"&lt;="&amp;2031),"")))</f>
        <v>8</v>
      </c>
      <c r="L119" s="24" t="str">
        <f aca="false">IF(L117&lt;&gt;"",L117,IF(L118&lt;&gt;"",L118,IF(INT(obsd_crwv)=2031,obs_crwv/1000+SUMIFS(Pipeline!$L$5:$L$47,Pipeline!$C$5:$C$47,"crwv",Pipeline!$Q$5:$Q$47,1,Pipeline!$K$5:$K$47,"&gt;"&amp;obsd_crwv,Pipeline!$K$5:$K$47,"&lt;="&amp;2032),"")))</f>
        <v/>
      </c>
      <c r="M119" s="24" t="str">
        <f aca="false">IF(M117&lt;&gt;"",M117,IF(M118&lt;&gt;"",M118,IF(INT(obsd_crwv)=2032,obs_crwv/1000+SUMIFS(Pipeline!$L$5:$L$47,Pipeline!$C$5:$C$47,"crwv",Pipeline!$Q$5:$Q$47,1,Pipeline!$K$5:$K$47,"&gt;"&amp;obsd_crwv,Pipeline!$K$5:$K$47,"&lt;="&amp;2033),"")))</f>
        <v/>
      </c>
    </row>
    <row r="120" customFormat="false" ht="15" hidden="false" customHeight="false" outlineLevel="0" collapsed="false">
      <c r="A120" s="5" t="s">
        <v>915</v>
      </c>
      <c r="B120" s="0" t="s">
        <v>1024</v>
      </c>
      <c r="C120" s="0" t="s">
        <v>76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917</v>
      </c>
      <c r="B121" s="0" t="s">
        <v>1025</v>
      </c>
      <c r="C121" s="5" t="s">
        <v>46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919</v>
      </c>
      <c r="B122" s="0" t="s">
        <v>1026</v>
      </c>
      <c r="C122" s="0" t="s">
        <v>76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921</v>
      </c>
      <c r="B123" s="0" t="s">
        <v>1027</v>
      </c>
      <c r="C123" s="5" t="s">
        <v>46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923</v>
      </c>
      <c r="B124" s="0" t="s">
        <v>1028</v>
      </c>
      <c r="C124" s="0" t="s">
        <v>76</v>
      </c>
      <c r="D124" s="24" t="n">
        <f aca="false">SUMIFS(Pipeline!$L$5:$L$47,Pipeline!$C$5:$C$47,"crwv",Pipeline!$Q$5:$Q$47,1,Pipeline!$P$5:$P$47,2023)</f>
        <v>0</v>
      </c>
      <c r="E124" s="24" t="n">
        <f aca="false">SUMIFS(Pipeline!$L$5:$L$47,Pipeline!$C$5:$C$47,"crwv",Pipeline!$Q$5:$Q$47,1,Pipeline!$P$5:$P$47,2024)</f>
        <v>0</v>
      </c>
      <c r="F124" s="24" t="n">
        <f aca="false">SUMIFS(Pipeline!$L$5:$L$47,Pipeline!$C$5:$C$47,"crwv",Pipeline!$Q$5:$Q$47,1,Pipeline!$P$5:$P$47,2025)</f>
        <v>0</v>
      </c>
      <c r="G124" s="24" t="n">
        <f aca="false">SUMIFS(Pipeline!$L$5:$L$47,Pipeline!$C$5:$C$47,"crwv",Pipeline!$Q$5:$Q$47,1,Pipeline!$P$5:$P$47,2026)</f>
        <v>0</v>
      </c>
      <c r="H124" s="24" t="n">
        <f aca="false">SUMIFS(Pipeline!$L$5:$L$47,Pipeline!$C$5:$C$47,"crwv",Pipeline!$Q$5:$Q$47,1,Pipeline!$P$5:$P$47,2027)</f>
        <v>0.26</v>
      </c>
      <c r="I124" s="24" t="n">
        <f aca="false">SUMIFS(Pipeline!$L$5:$L$47,Pipeline!$C$5:$C$47,"crwv",Pipeline!$Q$5:$Q$47,1,Pipeline!$P$5:$P$47,2028)</f>
        <v>0</v>
      </c>
      <c r="J124" s="24" t="n">
        <f aca="false">SUMIFS(Pipeline!$L$5:$L$47,Pipeline!$C$5:$C$47,"crwv",Pipeline!$Q$5:$Q$47,1,Pipeline!$P$5:$P$47,2029)</f>
        <v>0</v>
      </c>
      <c r="K124" s="24" t="n">
        <f aca="false">SUMIFS(Pipeline!$L$5:$L$47,Pipeline!$C$5:$C$47,"crwv",Pipeline!$Q$5:$Q$47,1,Pipeline!$P$5:$P$47,2030)</f>
        <v>0</v>
      </c>
      <c r="L124" s="24" t="n">
        <f aca="false">SUMIFS(Pipeline!$L$5:$L$47,Pipeline!$C$5:$C$47,"crwv",Pipeline!$Q$5:$Q$47,1,Pipeline!$P$5:$P$47,2031)</f>
        <v>0</v>
      </c>
      <c r="M124" s="24" t="n">
        <f aca="false">SUMIFS(Pipeline!$L$5:$L$47,Pipeline!$C$5:$C$47,"crwv",Pipeline!$Q$5:$Q$47,1,Pipeline!$P$5:$P$47,2032)</f>
        <v>0</v>
      </c>
    </row>
    <row r="125" customFormat="false" ht="17.15" hidden="false" customHeight="false" outlineLevel="0" collapsed="false">
      <c r="A125" s="5" t="s">
        <v>925</v>
      </c>
      <c r="B125" s="0" t="s">
        <v>1029</v>
      </c>
      <c r="C125" s="0" t="s">
        <v>76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927</v>
      </c>
      <c r="B126" s="0" t="s">
        <v>1030</v>
      </c>
      <c r="C126" s="0" t="s">
        <v>34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929</v>
      </c>
      <c r="B127" s="0" t="s">
        <v>1031</v>
      </c>
      <c r="C127" s="0" t="s">
        <v>76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931</v>
      </c>
      <c r="B128" s="0" t="s">
        <v>1032</v>
      </c>
      <c r="C128" s="0" t="s">
        <v>76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933</v>
      </c>
      <c r="B129" s="0" t="s">
        <v>1033</v>
      </c>
      <c r="C129" s="0" t="s">
        <v>76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935</v>
      </c>
      <c r="B130" s="0" t="s">
        <v>1034</v>
      </c>
      <c r="C130" s="0" t="s">
        <v>76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937</v>
      </c>
      <c r="B131" s="0" t="s">
        <v>1035</v>
      </c>
      <c r="C131" s="0" t="s">
        <v>76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939</v>
      </c>
      <c r="B132" s="0" t="s">
        <v>1036</v>
      </c>
      <c r="C132" s="0" t="s">
        <v>76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941</v>
      </c>
      <c r="B133" s="0" t="s">
        <v>1037</v>
      </c>
      <c r="C133" s="0" t="s">
        <v>51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1038</v>
      </c>
      <c r="B135" s="20" t="s">
        <v>647</v>
      </c>
      <c r="N135" s="20" t="s">
        <v>1039</v>
      </c>
    </row>
    <row r="136" customFormat="false" ht="17.15" hidden="false" customHeight="false" outlineLevel="0" collapsed="false">
      <c r="A136" s="5" t="s">
        <v>909</v>
      </c>
      <c r="B136" s="0" t="s">
        <v>1040</v>
      </c>
      <c r="C136" s="0" t="s">
        <v>76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911</v>
      </c>
      <c r="B137" s="0" t="s">
        <v>1041</v>
      </c>
      <c r="C137" s="0" t="s">
        <v>76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913</v>
      </c>
      <c r="B138" s="0" t="s">
        <v>1042</v>
      </c>
      <c r="C138" s="0" t="s">
        <v>76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915</v>
      </c>
      <c r="B139" s="0" t="s">
        <v>1043</v>
      </c>
      <c r="C139" s="0" t="s">
        <v>76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917</v>
      </c>
      <c r="B140" s="0" t="s">
        <v>1044</v>
      </c>
      <c r="C140" s="5" t="s">
        <v>46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919</v>
      </c>
      <c r="B141" s="0" t="s">
        <v>1045</v>
      </c>
      <c r="C141" s="0" t="s">
        <v>76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921</v>
      </c>
      <c r="B142" s="0" t="s">
        <v>1046</v>
      </c>
      <c r="C142" s="5" t="s">
        <v>46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923</v>
      </c>
      <c r="B143" s="0" t="s">
        <v>1047</v>
      </c>
      <c r="C143" s="0" t="s">
        <v>76</v>
      </c>
      <c r="D143" s="24" t="n">
        <f aca="false">SUMIFS(Pipeline!$L$5:$L$47,Pipeline!$C$5:$C$47,"nbis",Pipeline!$Q$5:$Q$47,1,Pipeline!$P$5:$P$47,2023)</f>
        <v>0</v>
      </c>
      <c r="E143" s="24" t="n">
        <f aca="false">SUMIFS(Pipeline!$L$5:$L$47,Pipeline!$C$5:$C$47,"nbis",Pipeline!$Q$5:$Q$47,1,Pipeline!$P$5:$P$47,2024)</f>
        <v>0</v>
      </c>
      <c r="F143" s="24" t="n">
        <f aca="false">SUMIFS(Pipeline!$L$5:$L$47,Pipeline!$C$5:$C$47,"nbis",Pipeline!$Q$5:$Q$47,1,Pipeline!$P$5:$P$47,2025)</f>
        <v>0</v>
      </c>
      <c r="G143" s="24" t="n">
        <f aca="false">SUMIFS(Pipeline!$L$5:$L$47,Pipeline!$C$5:$C$47,"nbis",Pipeline!$Q$5:$Q$47,1,Pipeline!$P$5:$P$47,2026)</f>
        <v>0</v>
      </c>
      <c r="H143" s="24" t="n">
        <f aca="false">SUMIFS(Pipeline!$L$5:$L$47,Pipeline!$C$5:$C$47,"nbis",Pipeline!$Q$5:$Q$47,1,Pipeline!$P$5:$P$47,2027)</f>
        <v>0</v>
      </c>
      <c r="I143" s="24" t="n">
        <f aca="false">SUMIFS(Pipeline!$L$5:$L$47,Pipeline!$C$5:$C$47,"nbis",Pipeline!$Q$5:$Q$47,1,Pipeline!$P$5:$P$47,2028)</f>
        <v>0</v>
      </c>
      <c r="J143" s="24" t="n">
        <f aca="false">SUMIFS(Pipeline!$L$5:$L$47,Pipeline!$C$5:$C$47,"nbis",Pipeline!$Q$5:$Q$47,1,Pipeline!$P$5:$P$47,2029)</f>
        <v>0</v>
      </c>
      <c r="K143" s="24" t="n">
        <f aca="false">SUMIFS(Pipeline!$L$5:$L$47,Pipeline!$C$5:$C$47,"nbis",Pipeline!$Q$5:$Q$47,1,Pipeline!$P$5:$P$47,2030)</f>
        <v>0</v>
      </c>
      <c r="L143" s="24" t="n">
        <f aca="false">SUMIFS(Pipeline!$L$5:$L$47,Pipeline!$C$5:$C$47,"nbis",Pipeline!$Q$5:$Q$47,1,Pipeline!$P$5:$P$47,2031)</f>
        <v>0</v>
      </c>
      <c r="M143" s="24" t="n">
        <f aca="false">SUMIFS(Pipeline!$L$5:$L$47,Pipeline!$C$5:$C$47,"nbis",Pipeline!$Q$5:$Q$47,1,Pipeline!$P$5:$P$47,2032)</f>
        <v>0</v>
      </c>
    </row>
    <row r="144" customFormat="false" ht="17.15" hidden="false" customHeight="false" outlineLevel="0" collapsed="false">
      <c r="A144" s="5" t="s">
        <v>925</v>
      </c>
      <c r="B144" s="0" t="s">
        <v>1048</v>
      </c>
      <c r="C144" s="0" t="s">
        <v>76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</v>
      </c>
      <c r="I144" s="25" t="n">
        <f aca="false">IF(I138&lt;&gt;"",I138,IF(AND(I139&lt;&gt;"",I141&lt;&gt;""),I139+(I141-I139)*(2028-I140)/(I142-I140),IF(H144&lt;&gt;"",H144+I143,"")))</f>
        <v>0.9</v>
      </c>
      <c r="J144" s="25" t="n">
        <f aca="false">IF(J138&lt;&gt;"",J138,IF(AND(J139&lt;&gt;"",J141&lt;&gt;""),J139+(J141-J139)*(2029-J140)/(J142-J140),IF(I144&lt;&gt;"",I144+J143,"")))</f>
        <v>0.9</v>
      </c>
      <c r="K144" s="25" t="n">
        <f aca="false">IF(K138&lt;&gt;"",K138,IF(AND(K139&lt;&gt;"",K141&lt;&gt;""),K139+(K141-K139)*(2030-K140)/(K142-K140),IF(J144&lt;&gt;"",J144+K143,"")))</f>
        <v>0.9</v>
      </c>
      <c r="L144" s="25" t="n">
        <f aca="false">IF(L138&lt;&gt;"",L138,IF(AND(L139&lt;&gt;"",L141&lt;&gt;""),L139+(L141-L139)*(2031-L140)/(L142-L140),IF(K144&lt;&gt;"",K144+L143,"")))</f>
        <v>0.9</v>
      </c>
      <c r="M144" s="25" t="n">
        <f aca="false">IF(M138&lt;&gt;"",M138,IF(AND(M139&lt;&gt;"",M141&lt;&gt;""),M139+(M141-M139)*(2032-M140)/(M142-M140),IF(L144&lt;&gt;"",L144+M143,"")))</f>
        <v>0.9</v>
      </c>
    </row>
    <row r="145" customFormat="false" ht="15" hidden="false" customHeight="false" outlineLevel="0" collapsed="false">
      <c r="A145" s="5" t="s">
        <v>927</v>
      </c>
      <c r="B145" s="0" t="s">
        <v>1049</v>
      </c>
      <c r="C145" s="0" t="s">
        <v>34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929</v>
      </c>
      <c r="B146" s="0" t="s">
        <v>1050</v>
      </c>
      <c r="C146" s="0" t="s">
        <v>76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</v>
      </c>
      <c r="I146" s="24" t="n">
        <f aca="false">IF(I144="","",I144)</f>
        <v>0.9</v>
      </c>
      <c r="J146" s="24" t="n">
        <f aca="false">IF(J144="","",J144)</f>
        <v>0.9</v>
      </c>
      <c r="K146" s="24" t="n">
        <f aca="false">IF(K144="","",K144)</f>
        <v>0.9</v>
      </c>
      <c r="L146" s="24" t="n">
        <f aca="false">IF(L144="","",L144)</f>
        <v>0.9</v>
      </c>
      <c r="M146" s="24" t="n">
        <f aca="false">IF(M144="","",M144)</f>
        <v>0.9</v>
      </c>
    </row>
    <row r="147" customFormat="false" ht="17.15" hidden="false" customHeight="false" outlineLevel="0" collapsed="false">
      <c r="A147" s="5" t="s">
        <v>931</v>
      </c>
      <c r="B147" s="0" t="s">
        <v>1051</v>
      </c>
      <c r="C147" s="0" t="s">
        <v>76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</v>
      </c>
      <c r="I147" s="24" t="n">
        <f aca="false">IF(I144="","",I144)</f>
        <v>0.9</v>
      </c>
      <c r="J147" s="24" t="n">
        <f aca="false">IF(J144="","",J144)</f>
        <v>0.9</v>
      </c>
      <c r="K147" s="24" t="n">
        <f aca="false">IF(K144="","",K144)</f>
        <v>0.9</v>
      </c>
      <c r="L147" s="24" t="n">
        <f aca="false">IF(L144="","",L144)</f>
        <v>0.9</v>
      </c>
      <c r="M147" s="24" t="n">
        <f aca="false">IF(M144="","",M144)</f>
        <v>0.9</v>
      </c>
    </row>
    <row r="148" customFormat="false" ht="17.15" hidden="false" customHeight="false" outlineLevel="0" collapsed="false">
      <c r="A148" s="5" t="s">
        <v>933</v>
      </c>
      <c r="B148" s="0" t="s">
        <v>1052</v>
      </c>
      <c r="C148" s="0" t="s">
        <v>76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0.75</v>
      </c>
      <c r="I148" s="24" t="n">
        <f aca="false">IF(I144="","",IF(In!$C$114="未說明",I144/I$13,I144))</f>
        <v>0.75</v>
      </c>
      <c r="J148" s="24" t="n">
        <f aca="false">IF(J144="","",IF(In!$C$114="未說明",J144/J$13,J144))</f>
        <v>0.75</v>
      </c>
      <c r="K148" s="24" t="n">
        <f aca="false">IF(K144="","",IF(In!$C$114="未說明",K144/K$13,K144))</f>
        <v>0.75</v>
      </c>
      <c r="L148" s="24" t="n">
        <f aca="false">IF(L144="","",IF(In!$C$114="未說明",L144/L$13,L144))</f>
        <v>0.75</v>
      </c>
      <c r="M148" s="24" t="n">
        <f aca="false">IF(M144="","",IF(In!$C$114="未說明",M144/M$13,M144))</f>
        <v>0.75</v>
      </c>
    </row>
    <row r="149" customFormat="false" ht="17.15" hidden="false" customHeight="false" outlineLevel="0" collapsed="false">
      <c r="A149" s="5" t="s">
        <v>935</v>
      </c>
      <c r="B149" s="0" t="s">
        <v>1053</v>
      </c>
      <c r="C149" s="0" t="s">
        <v>76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</v>
      </c>
      <c r="I149" s="24" t="n">
        <f aca="false">IF(AND(H144&lt;&gt;"",I144&lt;&gt;""),(H144+I144)/2,"")</f>
        <v>0.9</v>
      </c>
      <c r="J149" s="24" t="n">
        <f aca="false">IF(AND(I144&lt;&gt;"",J144&lt;&gt;""),(I144+J144)/2,"")</f>
        <v>0.9</v>
      </c>
      <c r="K149" s="24" t="n">
        <f aca="false">IF(AND(J144&lt;&gt;"",K144&lt;&gt;""),(J144+K144)/2,"")</f>
        <v>0.9</v>
      </c>
      <c r="L149" s="24" t="n">
        <f aca="false">IF(AND(K144&lt;&gt;"",L144&lt;&gt;""),(K144+L144)/2,"")</f>
        <v>0.9</v>
      </c>
      <c r="M149" s="24" t="n">
        <f aca="false">IF(AND(L144&lt;&gt;"",M144&lt;&gt;""),(L144+M144)/2,"")</f>
        <v>0.9</v>
      </c>
    </row>
    <row r="150" customFormat="false" ht="17.15" hidden="false" customHeight="false" outlineLevel="0" collapsed="false">
      <c r="A150" s="5" t="s">
        <v>937</v>
      </c>
      <c r="B150" s="0" t="s">
        <v>1054</v>
      </c>
      <c r="C150" s="0" t="s">
        <v>76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939</v>
      </c>
      <c r="B151" s="0" t="s">
        <v>1055</v>
      </c>
      <c r="C151" s="0" t="s">
        <v>76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941</v>
      </c>
      <c r="B152" s="0" t="s">
        <v>1056</v>
      </c>
      <c r="C152" s="0" t="s">
        <v>51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1057</v>
      </c>
      <c r="B154" s="20" t="s">
        <v>1058</v>
      </c>
      <c r="N154" s="20" t="s">
        <v>1059</v>
      </c>
    </row>
    <row r="155" customFormat="false" ht="17.15" hidden="false" customHeight="false" outlineLevel="0" collapsed="false">
      <c r="A155" s="5" t="s">
        <v>909</v>
      </c>
      <c r="B155" s="0" t="s">
        <v>1060</v>
      </c>
      <c r="C155" s="0" t="s">
        <v>76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911</v>
      </c>
      <c r="B156" s="0" t="s">
        <v>1061</v>
      </c>
      <c r="C156" s="0" t="s">
        <v>76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913</v>
      </c>
      <c r="B157" s="0" t="s">
        <v>1062</v>
      </c>
      <c r="C157" s="0" t="s">
        <v>76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915</v>
      </c>
      <c r="B158" s="0" t="s">
        <v>1063</v>
      </c>
      <c r="C158" s="0" t="s">
        <v>76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917</v>
      </c>
      <c r="B159" s="0" t="s">
        <v>1064</v>
      </c>
      <c r="C159" s="5" t="s">
        <v>46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919</v>
      </c>
      <c r="B160" s="0" t="s">
        <v>1065</v>
      </c>
      <c r="C160" s="0" t="s">
        <v>76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921</v>
      </c>
      <c r="B161" s="0" t="s">
        <v>1066</v>
      </c>
      <c r="C161" s="5" t="s">
        <v>46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923</v>
      </c>
      <c r="B162" s="0" t="s">
        <v>1067</v>
      </c>
      <c r="C162" s="0" t="s">
        <v>76</v>
      </c>
      <c r="D162" s="24" t="n">
        <f aca="false">SUMIFS(Pipeline!$L$5:$L$47,Pipeline!$C$5:$C$47,"wyfi",Pipeline!$Q$5:$Q$47,1,Pipeline!$P$5:$P$47,2023)</f>
        <v>0</v>
      </c>
      <c r="E162" s="24" t="n">
        <f aca="false">SUMIFS(Pipeline!$L$5:$L$47,Pipeline!$C$5:$C$47,"wyfi",Pipeline!$Q$5:$Q$47,1,Pipeline!$P$5:$P$47,2024)</f>
        <v>0</v>
      </c>
      <c r="F162" s="24" t="n">
        <f aca="false">SUMIFS(Pipeline!$L$5:$L$47,Pipeline!$C$5:$C$47,"wyfi",Pipeline!$Q$5:$Q$47,1,Pipeline!$P$5:$P$47,2025)</f>
        <v>0</v>
      </c>
      <c r="G162" s="24" t="n">
        <f aca="false">SUMIFS(Pipeline!$L$5:$L$47,Pipeline!$C$5:$C$47,"wyfi",Pipeline!$Q$5:$Q$47,1,Pipeline!$P$5:$P$47,2026)</f>
        <v>0</v>
      </c>
      <c r="H162" s="24" t="n">
        <f aca="false">SUMIFS(Pipeline!$L$5:$L$47,Pipeline!$C$5:$C$47,"wyfi",Pipeline!$Q$5:$Q$47,1,Pipeline!$P$5:$P$47,2027)</f>
        <v>0</v>
      </c>
      <c r="I162" s="24" t="n">
        <f aca="false">SUMIFS(Pipeline!$L$5:$L$47,Pipeline!$C$5:$C$47,"wyfi",Pipeline!$Q$5:$Q$47,1,Pipeline!$P$5:$P$47,2028)</f>
        <v>0</v>
      </c>
      <c r="J162" s="24" t="n">
        <f aca="false">SUMIFS(Pipeline!$L$5:$L$47,Pipeline!$C$5:$C$47,"wyfi",Pipeline!$Q$5:$Q$47,1,Pipeline!$P$5:$P$47,2029)</f>
        <v>0</v>
      </c>
      <c r="K162" s="24" t="n">
        <f aca="false">SUMIFS(Pipeline!$L$5:$L$47,Pipeline!$C$5:$C$47,"wyfi",Pipeline!$Q$5:$Q$47,1,Pipeline!$P$5:$P$47,2030)</f>
        <v>0</v>
      </c>
      <c r="L162" s="24" t="n">
        <f aca="false">SUMIFS(Pipeline!$L$5:$L$47,Pipeline!$C$5:$C$47,"wyfi",Pipeline!$Q$5:$Q$47,1,Pipeline!$P$5:$P$47,2031)</f>
        <v>0</v>
      </c>
      <c r="M162" s="24" t="n">
        <f aca="false">SUMIFS(Pipeline!$L$5:$L$47,Pipeline!$C$5:$C$47,"wyfi",Pipeline!$Q$5:$Q$47,1,Pipeline!$P$5:$P$47,2032)</f>
        <v>0</v>
      </c>
    </row>
    <row r="163" customFormat="false" ht="17.15" hidden="false" customHeight="false" outlineLevel="0" collapsed="false">
      <c r="A163" s="5" t="s">
        <v>925</v>
      </c>
      <c r="B163" s="0" t="s">
        <v>1068</v>
      </c>
      <c r="C163" s="0" t="s">
        <v>76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927</v>
      </c>
      <c r="B164" s="0" t="s">
        <v>1069</v>
      </c>
      <c r="C164" s="0" t="s">
        <v>34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929</v>
      </c>
      <c r="B165" s="0" t="s">
        <v>1070</v>
      </c>
      <c r="C165" s="0" t="s">
        <v>76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931</v>
      </c>
      <c r="B166" s="0" t="s">
        <v>1071</v>
      </c>
      <c r="C166" s="0" t="s">
        <v>76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933</v>
      </c>
      <c r="B167" s="0" t="s">
        <v>1072</v>
      </c>
      <c r="C167" s="0" t="s">
        <v>76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935</v>
      </c>
      <c r="B168" s="0" t="s">
        <v>1073</v>
      </c>
      <c r="C168" s="0" t="s">
        <v>76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937</v>
      </c>
      <c r="B169" s="0" t="s">
        <v>1074</v>
      </c>
      <c r="C169" s="0" t="s">
        <v>76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939</v>
      </c>
      <c r="B170" s="0" t="s">
        <v>1075</v>
      </c>
      <c r="C170" s="0" t="s">
        <v>76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941</v>
      </c>
      <c r="B171" s="0" t="s">
        <v>1076</v>
      </c>
      <c r="C171" s="0" t="s">
        <v>51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1077</v>
      </c>
      <c r="B173" s="20" t="s">
        <v>533</v>
      </c>
      <c r="N173" s="20" t="s">
        <v>1078</v>
      </c>
    </row>
    <row r="174" customFormat="false" ht="17.15" hidden="false" customHeight="false" outlineLevel="0" collapsed="false">
      <c r="A174" s="5" t="s">
        <v>909</v>
      </c>
      <c r="B174" s="0" t="s">
        <v>1079</v>
      </c>
      <c r="C174" s="0" t="s">
        <v>76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911</v>
      </c>
      <c r="B175" s="0" t="s">
        <v>1080</v>
      </c>
      <c r="C175" s="0" t="s">
        <v>76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913</v>
      </c>
      <c r="B176" s="0" t="s">
        <v>1081</v>
      </c>
      <c r="C176" s="0" t="s">
        <v>76</v>
      </c>
      <c r="D176" s="24" t="str">
        <f aca="false">IF(D174&lt;&gt;"",D174,IF(D175&lt;&gt;"",D175,IF(INT(obsd_xai)=2023,obs_xai/1000+SUMIFS(Pipeline!$L$5:$L$47,Pipeline!$C$5:$C$47,"xai",Pipeline!$Q$5:$Q$47,1,Pipeline!$K$5:$K$47,"&gt;"&amp;obsd_xai,Pipeline!$K$5:$K$47,"&lt;="&amp;2024),"")))</f>
        <v/>
      </c>
      <c r="E176" s="24" t="str">
        <f aca="false">IF(E174&lt;&gt;"",E174,IF(E175&lt;&gt;"",E175,IF(INT(obsd_xai)=2024,obs_xai/1000+SUMIFS(Pipeline!$L$5:$L$47,Pipeline!$C$5:$C$47,"xai",Pipeline!$Q$5:$Q$47,1,Pipeline!$K$5:$K$47,"&gt;"&amp;obsd_xai,Pipeline!$K$5:$K$47,"&lt;="&amp;2025),"")))</f>
        <v/>
      </c>
      <c r="F176" s="24" t="n">
        <f aca="false">IF(F174&lt;&gt;"",F174,IF(F175&lt;&gt;"",F175,IF(INT(obsd_xai)=2025,obs_xai/1000+SUMIFS(Pipeline!$L$5:$L$47,Pipeline!$C$5:$C$47,"xai",Pipeline!$Q$5:$Q$47,1,Pipeline!$K$5:$K$47,"&gt;"&amp;obsd_xai,Pipeline!$K$5:$K$47,"&lt;="&amp;2026),"")))</f>
        <v>0.5698</v>
      </c>
      <c r="G176" s="24" t="n">
        <f aca="false">IF(G174&lt;&gt;"",G174,IF(G175&lt;&gt;"",G175,IF(INT(obsd_xai)=2026,obs_xai/1000+SUMIFS(Pipeline!$L$5:$L$47,Pipeline!$C$5:$C$47,"xai",Pipeline!$Q$5:$Q$47,1,Pipeline!$K$5:$K$47,"&gt;"&amp;obsd_xai,Pipeline!$K$5:$K$47,"&lt;="&amp;2027),"")))</f>
        <v>2</v>
      </c>
      <c r="H176" s="24" t="str">
        <f aca="false">IF(H174&lt;&gt;"",H174,IF(H175&lt;&gt;"",H175,IF(INT(obsd_xai)=2027,obs_xai/1000+SUMIFS(Pipeline!$L$5:$L$47,Pipeline!$C$5:$C$47,"xai",Pipeline!$Q$5:$Q$47,1,Pipeline!$K$5:$K$47,"&gt;"&amp;obsd_xai,Pipeline!$K$5:$K$47,"&lt;="&amp;2028),"")))</f>
        <v/>
      </c>
      <c r="I176" s="24" t="str">
        <f aca="false">IF(I174&lt;&gt;"",I174,IF(I175&lt;&gt;"",I175,IF(INT(obsd_xai)=2028,obs_xai/1000+SUMIFS(Pipeline!$L$5:$L$47,Pipeline!$C$5:$C$47,"xai",Pipeline!$Q$5:$Q$47,1,Pipeline!$K$5:$K$47,"&gt;"&amp;obsd_xai,Pipeline!$K$5:$K$47,"&lt;="&amp;2029),"")))</f>
        <v/>
      </c>
      <c r="J176" s="24" t="str">
        <f aca="false">IF(J174&lt;&gt;"",J174,IF(J175&lt;&gt;"",J175,IF(INT(obsd_xai)=2029,obs_xai/1000+SUMIFS(Pipeline!$L$5:$L$47,Pipeline!$C$5:$C$47,"xai",Pipeline!$Q$5:$Q$47,1,Pipeline!$K$5:$K$47,"&gt;"&amp;obsd_xai,Pipeline!$K$5:$K$47,"&lt;="&amp;2030),"")))</f>
        <v/>
      </c>
      <c r="K176" s="24" t="str">
        <f aca="false">IF(K174&lt;&gt;"",K174,IF(K175&lt;&gt;"",K175,IF(INT(obsd_xai)=2030,obs_xai/1000+SUMIFS(Pipeline!$L$5:$L$47,Pipeline!$C$5:$C$47,"xai",Pipeline!$Q$5:$Q$47,1,Pipeline!$K$5:$K$47,"&gt;"&amp;obsd_xai,Pipeline!$K$5:$K$47,"&lt;="&amp;2031),"")))</f>
        <v/>
      </c>
      <c r="L176" s="24" t="str">
        <f aca="false">IF(L174&lt;&gt;"",L174,IF(L175&lt;&gt;"",L175,IF(INT(obsd_xai)=2031,obs_xai/1000+SUMIFS(Pipeline!$L$5:$L$47,Pipeline!$C$5:$C$47,"xai",Pipeline!$Q$5:$Q$47,1,Pipeline!$K$5:$K$47,"&gt;"&amp;obsd_xai,Pipeline!$K$5:$K$47,"&lt;="&amp;2032),"")))</f>
        <v/>
      </c>
      <c r="M176" s="24" t="str">
        <f aca="false">IF(M174&lt;&gt;"",M174,IF(M175&lt;&gt;"",M175,IF(INT(obsd_xai)=2032,obs_xai/1000+SUMIFS(Pipeline!$L$5:$L$47,Pipeline!$C$5:$C$47,"xai",Pipeline!$Q$5:$Q$47,1,Pipeline!$K$5:$K$47,"&gt;"&amp;obsd_xai,Pipeline!$K$5:$K$47,"&lt;="&amp;2033),"")))</f>
        <v/>
      </c>
    </row>
    <row r="177" customFormat="false" ht="15" hidden="false" customHeight="false" outlineLevel="0" collapsed="false">
      <c r="A177" s="5" t="s">
        <v>915</v>
      </c>
      <c r="B177" s="0" t="s">
        <v>1082</v>
      </c>
      <c r="C177" s="0" t="s">
        <v>76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917</v>
      </c>
      <c r="B178" s="0" t="s">
        <v>1083</v>
      </c>
      <c r="C178" s="5" t="s">
        <v>46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919</v>
      </c>
      <c r="B179" s="0" t="s">
        <v>1084</v>
      </c>
      <c r="C179" s="0" t="s">
        <v>76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921</v>
      </c>
      <c r="B180" s="0" t="s">
        <v>1085</v>
      </c>
      <c r="C180" s="5" t="s">
        <v>46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923</v>
      </c>
      <c r="B181" s="0" t="s">
        <v>1086</v>
      </c>
      <c r="C181" s="0" t="s">
        <v>76</v>
      </c>
      <c r="D181" s="24" t="n">
        <f aca="false">SUMIFS(Pipeline!$L$5:$L$47,Pipeline!$C$5:$C$47,"xai",Pipeline!$Q$5:$Q$47,1,Pipeline!$P$5:$P$47,2023)</f>
        <v>0</v>
      </c>
      <c r="E181" s="24" t="n">
        <f aca="false">SUMIFS(Pipeline!$L$5:$L$47,Pipeline!$C$5:$C$47,"xai",Pipeline!$Q$5:$Q$47,1,Pipeline!$P$5:$P$47,2024)</f>
        <v>0</v>
      </c>
      <c r="F181" s="24" t="n">
        <f aca="false">SUMIFS(Pipeline!$L$5:$L$47,Pipeline!$C$5:$C$47,"xai",Pipeline!$Q$5:$Q$47,1,Pipeline!$P$5:$P$47,2025)</f>
        <v>0</v>
      </c>
      <c r="G181" s="24" t="n">
        <f aca="false">SUMIFS(Pipeline!$L$5:$L$47,Pipeline!$C$5:$C$47,"xai",Pipeline!$Q$5:$Q$47,1,Pipeline!$P$5:$P$47,2026)</f>
        <v>0</v>
      </c>
      <c r="H181" s="24" t="n">
        <f aca="false">SUMIFS(Pipeline!$L$5:$L$47,Pipeline!$C$5:$C$47,"xai",Pipeline!$Q$5:$Q$47,1,Pipeline!$P$5:$P$47,2027)</f>
        <v>0</v>
      </c>
      <c r="I181" s="24" t="n">
        <f aca="false">SUMIFS(Pipeline!$L$5:$L$47,Pipeline!$C$5:$C$47,"xai",Pipeline!$Q$5:$Q$47,1,Pipeline!$P$5:$P$47,2028)</f>
        <v>0</v>
      </c>
      <c r="J181" s="24" t="n">
        <f aca="false">SUMIFS(Pipeline!$L$5:$L$47,Pipeline!$C$5:$C$47,"xai",Pipeline!$Q$5:$Q$47,1,Pipeline!$P$5:$P$47,2029)</f>
        <v>0</v>
      </c>
      <c r="K181" s="24" t="n">
        <f aca="false">SUMIFS(Pipeline!$L$5:$L$47,Pipeline!$C$5:$C$47,"xai",Pipeline!$Q$5:$Q$47,1,Pipeline!$P$5:$P$47,2030)</f>
        <v>0</v>
      </c>
      <c r="L181" s="24" t="n">
        <f aca="false">SUMIFS(Pipeline!$L$5:$L$47,Pipeline!$C$5:$C$47,"xai",Pipeline!$Q$5:$Q$47,1,Pipeline!$P$5:$P$47,2031)</f>
        <v>0</v>
      </c>
      <c r="M181" s="24" t="n">
        <f aca="false">SUMIFS(Pipeline!$L$5:$L$47,Pipeline!$C$5:$C$47,"xai",Pipeline!$Q$5:$Q$47,1,Pipeline!$P$5:$P$47,2032)</f>
        <v>0</v>
      </c>
    </row>
    <row r="182" customFormat="false" ht="17.15" hidden="false" customHeight="false" outlineLevel="0" collapsed="false">
      <c r="A182" s="5" t="s">
        <v>925</v>
      </c>
      <c r="B182" s="0" t="s">
        <v>1087</v>
      </c>
      <c r="C182" s="0" t="s">
        <v>76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</v>
      </c>
      <c r="I182" s="25" t="n">
        <f aca="false">IF(I176&lt;&gt;"",I176,IF(AND(I177&lt;&gt;"",I179&lt;&gt;""),I177+(I179-I177)*(2028-I178)/(I180-I178),IF(H182&lt;&gt;"",H182+I181,"")))</f>
        <v>2</v>
      </c>
      <c r="J182" s="25" t="n">
        <f aca="false">IF(J176&lt;&gt;"",J176,IF(AND(J177&lt;&gt;"",J179&lt;&gt;""),J177+(J179-J177)*(2029-J178)/(J180-J178),IF(I182&lt;&gt;"",I182+J181,"")))</f>
        <v>2</v>
      </c>
      <c r="K182" s="25" t="n">
        <f aca="false">IF(K176&lt;&gt;"",K176,IF(AND(K177&lt;&gt;"",K179&lt;&gt;""),K177+(K179-K177)*(2030-K178)/(K180-K178),IF(J182&lt;&gt;"",J182+K181,"")))</f>
        <v>2</v>
      </c>
      <c r="L182" s="25" t="n">
        <f aca="false">IF(L176&lt;&gt;"",L176,IF(AND(L177&lt;&gt;"",L179&lt;&gt;""),L177+(L179-L177)*(2031-L178)/(L180-L178),IF(K182&lt;&gt;"",K182+L181,"")))</f>
        <v>2</v>
      </c>
      <c r="M182" s="25" t="n">
        <f aca="false">IF(M176&lt;&gt;"",M176,IF(AND(M177&lt;&gt;"",M179&lt;&gt;""),M177+(M179-M177)*(2032-M178)/(M180-M178),IF(L182&lt;&gt;"",L182+M181,"")))</f>
        <v>2</v>
      </c>
    </row>
    <row r="183" customFormat="false" ht="15" hidden="false" customHeight="false" outlineLevel="0" collapsed="false">
      <c r="A183" s="5" t="s">
        <v>927</v>
      </c>
      <c r="B183" s="0" t="s">
        <v>1088</v>
      </c>
      <c r="C183" s="0" t="s">
        <v>34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929</v>
      </c>
      <c r="B184" s="0" t="s">
        <v>1089</v>
      </c>
      <c r="C184" s="0" t="s">
        <v>76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</v>
      </c>
      <c r="I184" s="24" t="n">
        <f aca="false">IF(I182="","",IF(AND(I183=5,In!$M$106&lt;&gt;""),In!$M$106*Players!$E$19/1000,I182))</f>
        <v>2</v>
      </c>
      <c r="J184" s="24" t="n">
        <f aca="false">IF(J182="","",IF(AND(J183=5,In!$N$106&lt;&gt;""),In!$N$106*Players!$E$19/1000,J182))</f>
        <v>2</v>
      </c>
      <c r="K184" s="24" t="n">
        <f aca="false">IF(K182="","",IF(AND(K183=5,In!$O$106&lt;&gt;""),In!$O$106*Players!$E$19/1000,K182))</f>
        <v>2</v>
      </c>
      <c r="L184" s="24" t="n">
        <f aca="false">IF(L182="","",IF(AND(L183=5,In!$P$106&lt;&gt;""),In!$P$106*Players!$E$19/1000,L182))</f>
        <v>2</v>
      </c>
      <c r="M184" s="24" t="n">
        <f aca="false">IF(M182="","",IF(AND(M183=5,In!$Q$106&lt;&gt;""),In!$Q$106*Players!$E$19/1000,M182))</f>
        <v>2</v>
      </c>
    </row>
    <row r="185" customFormat="false" ht="17.15" hidden="false" customHeight="false" outlineLevel="0" collapsed="false">
      <c r="A185" s="5" t="s">
        <v>931</v>
      </c>
      <c r="B185" s="0" t="s">
        <v>1090</v>
      </c>
      <c r="C185" s="0" t="s">
        <v>76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</v>
      </c>
      <c r="I185" s="24" t="n">
        <f aca="false">IF(I182="","",IF(AND(I183=5,In!$M$106&lt;&gt;""),In!$M$106*Players!$F$19/1000,I182))</f>
        <v>2</v>
      </c>
      <c r="J185" s="24" t="n">
        <f aca="false">IF(J182="","",IF(AND(J183=5,In!$N$106&lt;&gt;""),In!$N$106*Players!$F$19/1000,J182))</f>
        <v>2</v>
      </c>
      <c r="K185" s="24" t="n">
        <f aca="false">IF(K182="","",IF(AND(K183=5,In!$O$106&lt;&gt;""),In!$O$106*Players!$F$19/1000,K182))</f>
        <v>2</v>
      </c>
      <c r="L185" s="24" t="n">
        <f aca="false">IF(L182="","",IF(AND(L183=5,In!$P$106&lt;&gt;""),In!$P$106*Players!$F$19/1000,L182))</f>
        <v>2</v>
      </c>
      <c r="M185" s="24" t="n">
        <f aca="false">IF(M182="","",IF(AND(M183=5,In!$Q$106&lt;&gt;""),In!$Q$106*Players!$F$19/1000,M182))</f>
        <v>2</v>
      </c>
    </row>
    <row r="186" customFormat="false" ht="17.15" hidden="false" customHeight="false" outlineLevel="0" collapsed="false">
      <c r="A186" s="5" t="s">
        <v>933</v>
      </c>
      <c r="B186" s="0" t="s">
        <v>1091</v>
      </c>
      <c r="C186" s="0" t="s">
        <v>76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1.66666666666667</v>
      </c>
      <c r="I186" s="24" t="n">
        <f aca="false">IF(I182="","",IF(In!$C$116="未說明",I182/I$13,I182))</f>
        <v>1.66666666666667</v>
      </c>
      <c r="J186" s="24" t="n">
        <f aca="false">IF(J182="","",IF(In!$C$116="未說明",J182/J$13,J182))</f>
        <v>1.66666666666667</v>
      </c>
      <c r="K186" s="24" t="n">
        <f aca="false">IF(K182="","",IF(In!$C$116="未說明",K182/K$13,K182))</f>
        <v>1.66666666666667</v>
      </c>
      <c r="L186" s="24" t="n">
        <f aca="false">IF(L182="","",IF(In!$C$116="未說明",L182/L$13,L182))</f>
        <v>1.66666666666667</v>
      </c>
      <c r="M186" s="24" t="n">
        <f aca="false">IF(M182="","",IF(In!$C$116="未說明",M182/M$13,M182))</f>
        <v>1.66666666666667</v>
      </c>
    </row>
    <row r="187" customFormat="false" ht="17.15" hidden="false" customHeight="false" outlineLevel="0" collapsed="false">
      <c r="A187" s="5" t="s">
        <v>935</v>
      </c>
      <c r="B187" s="0" t="s">
        <v>1092</v>
      </c>
      <c r="C187" s="0" t="s">
        <v>76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</v>
      </c>
      <c r="I187" s="24" t="n">
        <f aca="false">IF(AND(H182&lt;&gt;"",I182&lt;&gt;""),(H182+I182)/2,"")</f>
        <v>2</v>
      </c>
      <c r="J187" s="24" t="n">
        <f aca="false">IF(AND(I182&lt;&gt;"",J182&lt;&gt;""),(I182+J182)/2,"")</f>
        <v>2</v>
      </c>
      <c r="K187" s="24" t="n">
        <f aca="false">IF(AND(J182&lt;&gt;"",K182&lt;&gt;""),(J182+K182)/2,"")</f>
        <v>2</v>
      </c>
      <c r="L187" s="24" t="n">
        <f aca="false">IF(AND(K182&lt;&gt;"",L182&lt;&gt;""),(K182+L182)/2,"")</f>
        <v>2</v>
      </c>
      <c r="M187" s="24" t="n">
        <f aca="false">IF(AND(L182&lt;&gt;"",M182&lt;&gt;""),(L182+M182)/2,"")</f>
        <v>2</v>
      </c>
    </row>
    <row r="188" customFormat="false" ht="17.15" hidden="false" customHeight="false" outlineLevel="0" collapsed="false">
      <c r="A188" s="5" t="s">
        <v>937</v>
      </c>
      <c r="B188" s="0" t="s">
        <v>1093</v>
      </c>
      <c r="C188" s="0" t="s">
        <v>76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939</v>
      </c>
      <c r="B189" s="0" t="s">
        <v>1094</v>
      </c>
      <c r="C189" s="0" t="s">
        <v>76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941</v>
      </c>
      <c r="B190" s="0" t="s">
        <v>1095</v>
      </c>
      <c r="C190" s="0" t="s">
        <v>51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1096</v>
      </c>
      <c r="B192" s="20" t="s">
        <v>529</v>
      </c>
      <c r="N192" s="20" t="s">
        <v>1097</v>
      </c>
    </row>
    <row r="193" customFormat="false" ht="17.15" hidden="false" customHeight="false" outlineLevel="0" collapsed="false">
      <c r="A193" s="5" t="s">
        <v>909</v>
      </c>
      <c r="B193" s="0" t="s">
        <v>1098</v>
      </c>
      <c r="C193" s="0" t="s">
        <v>76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911</v>
      </c>
      <c r="B194" s="0" t="s">
        <v>1099</v>
      </c>
      <c r="C194" s="0" t="s">
        <v>76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913</v>
      </c>
      <c r="B195" s="0" t="s">
        <v>1100</v>
      </c>
      <c r="C195" s="0" t="s">
        <v>76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915</v>
      </c>
      <c r="B196" s="0" t="s">
        <v>1101</v>
      </c>
      <c r="C196" s="0" t="s">
        <v>76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917</v>
      </c>
      <c r="B197" s="0" t="s">
        <v>1102</v>
      </c>
      <c r="C197" s="5" t="s">
        <v>46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919</v>
      </c>
      <c r="B198" s="0" t="s">
        <v>1103</v>
      </c>
      <c r="C198" s="0" t="s">
        <v>76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921</v>
      </c>
      <c r="B199" s="0" t="s">
        <v>1104</v>
      </c>
      <c r="C199" s="5" t="s">
        <v>46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923</v>
      </c>
      <c r="B200" s="0" t="s">
        <v>1105</v>
      </c>
      <c r="C200" s="0" t="s">
        <v>76</v>
      </c>
      <c r="D200" s="24" t="n">
        <f aca="false">SUMIFS(Pipeline!$L$5:$L$47,Pipeline!$C$5:$C$47,"oai",Pipeline!$Q$5:$Q$47,1,Pipeline!$P$5:$P$47,2023)</f>
        <v>0</v>
      </c>
      <c r="E200" s="24" t="n">
        <f aca="false">SUMIFS(Pipeline!$L$5:$L$47,Pipeline!$C$5:$C$47,"oai",Pipeline!$Q$5:$Q$47,1,Pipeline!$P$5:$P$47,2024)</f>
        <v>0</v>
      </c>
      <c r="F200" s="24" t="n">
        <f aca="false">SUMIFS(Pipeline!$L$5:$L$47,Pipeline!$C$5:$C$47,"oai",Pipeline!$Q$5:$Q$47,1,Pipeline!$P$5:$P$47,2025)</f>
        <v>0</v>
      </c>
      <c r="G200" s="24" t="n">
        <f aca="false">SUMIFS(Pipeline!$L$5:$L$47,Pipeline!$C$5:$C$47,"oai",Pipeline!$Q$5:$Q$47,1,Pipeline!$P$5:$P$47,2026)</f>
        <v>0</v>
      </c>
      <c r="H200" s="24" t="n">
        <f aca="false">SUMIFS(Pipeline!$L$5:$L$47,Pipeline!$C$5:$C$47,"oai",Pipeline!$Q$5:$Q$47,1,Pipeline!$P$5:$P$47,2027)</f>
        <v>0</v>
      </c>
      <c r="I200" s="24" t="n">
        <f aca="false">SUMIFS(Pipeline!$L$5:$L$47,Pipeline!$C$5:$C$47,"oai",Pipeline!$Q$5:$Q$47,1,Pipeline!$P$5:$P$47,2028)</f>
        <v>1.417</v>
      </c>
      <c r="J200" s="24" t="n">
        <f aca="false">SUMIFS(Pipeline!$L$5:$L$47,Pipeline!$C$5:$C$47,"oai",Pipeline!$Q$5:$Q$47,1,Pipeline!$P$5:$P$47,2029)</f>
        <v>1.417</v>
      </c>
      <c r="K200" s="24" t="n">
        <f aca="false">SUMIFS(Pipeline!$L$5:$L$47,Pipeline!$C$5:$C$47,"oai",Pipeline!$Q$5:$Q$47,1,Pipeline!$P$5:$P$47,2030)</f>
        <v>1.416</v>
      </c>
      <c r="L200" s="24" t="n">
        <f aca="false">SUMIFS(Pipeline!$L$5:$L$47,Pipeline!$C$5:$C$47,"oai",Pipeline!$Q$5:$Q$47,1,Pipeline!$P$5:$P$47,2031)</f>
        <v>0</v>
      </c>
      <c r="M200" s="24" t="n">
        <f aca="false">SUMIFS(Pipeline!$L$5:$L$47,Pipeline!$C$5:$C$47,"oai",Pipeline!$Q$5:$Q$47,1,Pipeline!$P$5:$P$47,2032)</f>
        <v>0</v>
      </c>
    </row>
    <row r="201" customFormat="false" ht="17.15" hidden="false" customHeight="false" outlineLevel="0" collapsed="false">
      <c r="A201" s="5" t="s">
        <v>925</v>
      </c>
      <c r="B201" s="0" t="s">
        <v>1106</v>
      </c>
      <c r="C201" s="0" t="s">
        <v>76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</v>
      </c>
      <c r="I201" s="25" t="n">
        <f aca="false">IF(I195&lt;&gt;"",I195,IF(AND(I196&lt;&gt;"",I198&lt;&gt;""),I196+(I198-I196)*(2028-I197)/(I199-I197),IF(H201&lt;&gt;"",H201+I200,"")))</f>
        <v>1.417</v>
      </c>
      <c r="J201" s="25" t="n">
        <f aca="false">IF(J195&lt;&gt;"",J195,IF(AND(J196&lt;&gt;"",J198&lt;&gt;""),J196+(J198-J196)*(2029-J197)/(J199-J197),IF(I201&lt;&gt;"",I201+J200,"")))</f>
        <v>2.834</v>
      </c>
      <c r="K201" s="25" t="n">
        <f aca="false">IF(K195&lt;&gt;"",K195,IF(AND(K196&lt;&gt;"",K198&lt;&gt;""),K196+(K198-K196)*(2030-K197)/(K199-K197),IF(J201&lt;&gt;"",J201+K200,"")))</f>
        <v>4.25</v>
      </c>
      <c r="L201" s="25" t="n">
        <f aca="false">IF(L195&lt;&gt;"",L195,IF(AND(L196&lt;&gt;"",L198&lt;&gt;""),L196+(L198-L196)*(2031-L197)/(L199-L197),IF(K201&lt;&gt;"",K201+L200,"")))</f>
        <v>4.25</v>
      </c>
      <c r="M201" s="25" t="n">
        <f aca="false">IF(M195&lt;&gt;"",M195,IF(AND(M196&lt;&gt;"",M198&lt;&gt;""),M196+(M198-M196)*(2032-M197)/(M199-M197),IF(L201&lt;&gt;"",L201+M200,"")))</f>
        <v>4.25</v>
      </c>
    </row>
    <row r="202" customFormat="false" ht="15" hidden="false" customHeight="false" outlineLevel="0" collapsed="false">
      <c r="A202" s="5" t="s">
        <v>927</v>
      </c>
      <c r="B202" s="0" t="s">
        <v>1107</v>
      </c>
      <c r="C202" s="0" t="s">
        <v>34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929</v>
      </c>
      <c r="B203" s="0" t="s">
        <v>1108</v>
      </c>
      <c r="C203" s="0" t="s">
        <v>76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</v>
      </c>
      <c r="I203" s="24" t="n">
        <f aca="false">IF(I201="","",I201)</f>
        <v>1.417</v>
      </c>
      <c r="J203" s="24" t="n">
        <f aca="false">IF(J201="","",J201)</f>
        <v>2.834</v>
      </c>
      <c r="K203" s="24" t="n">
        <f aca="false">IF(K201="","",K201)</f>
        <v>4.25</v>
      </c>
      <c r="L203" s="24" t="n">
        <f aca="false">IF(L201="","",L201)</f>
        <v>4.25</v>
      </c>
      <c r="M203" s="24" t="n">
        <f aca="false">IF(M201="","",M201)</f>
        <v>4.25</v>
      </c>
    </row>
    <row r="204" customFormat="false" ht="17.15" hidden="false" customHeight="false" outlineLevel="0" collapsed="false">
      <c r="A204" s="5" t="s">
        <v>931</v>
      </c>
      <c r="B204" s="0" t="s">
        <v>1109</v>
      </c>
      <c r="C204" s="0" t="s">
        <v>76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</v>
      </c>
      <c r="I204" s="24" t="n">
        <f aca="false">IF(I201="","",I201)</f>
        <v>1.417</v>
      </c>
      <c r="J204" s="24" t="n">
        <f aca="false">IF(J201="","",J201)</f>
        <v>2.834</v>
      </c>
      <c r="K204" s="24" t="n">
        <f aca="false">IF(K201="","",K201)</f>
        <v>4.25</v>
      </c>
      <c r="L204" s="24" t="n">
        <f aca="false">IF(L201="","",L201)</f>
        <v>4.25</v>
      </c>
      <c r="M204" s="24" t="n">
        <f aca="false">IF(M201="","",M201)</f>
        <v>4.25</v>
      </c>
    </row>
    <row r="205" customFormat="false" ht="17.15" hidden="false" customHeight="false" outlineLevel="0" collapsed="false">
      <c r="A205" s="5" t="s">
        <v>933</v>
      </c>
      <c r="B205" s="0" t="s">
        <v>1110</v>
      </c>
      <c r="C205" s="0" t="s">
        <v>76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</v>
      </c>
      <c r="I205" s="24" t="n">
        <f aca="false">IF(I201="","",IF(In!$C$117="未說明",I201/I$13,I201))</f>
        <v>1.417</v>
      </c>
      <c r="J205" s="24" t="n">
        <f aca="false">IF(J201="","",IF(In!$C$117="未說明",J201/J$13,J201))</f>
        <v>2.834</v>
      </c>
      <c r="K205" s="24" t="n">
        <f aca="false">IF(K201="","",IF(In!$C$117="未說明",K201/K$13,K201))</f>
        <v>4.25</v>
      </c>
      <c r="L205" s="24" t="n">
        <f aca="false">IF(L201="","",IF(In!$C$117="未說明",L201/L$13,L201))</f>
        <v>4.25</v>
      </c>
      <c r="M205" s="24" t="n">
        <f aca="false">IF(M201="","",IF(In!$C$117="未說明",M201/M$13,M201))</f>
        <v>4.25</v>
      </c>
    </row>
    <row r="206" customFormat="false" ht="17.15" hidden="false" customHeight="false" outlineLevel="0" collapsed="false">
      <c r="A206" s="5" t="s">
        <v>935</v>
      </c>
      <c r="B206" s="0" t="s">
        <v>1111</v>
      </c>
      <c r="C206" s="0" t="s">
        <v>76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</v>
      </c>
      <c r="I206" s="24" t="n">
        <f aca="false">IF(AND(H201&lt;&gt;"",I201&lt;&gt;""),(H201+I201)/2,"")</f>
        <v>0.7085</v>
      </c>
      <c r="J206" s="24" t="n">
        <f aca="false">IF(AND(I201&lt;&gt;"",J201&lt;&gt;""),(I201+J201)/2,"")</f>
        <v>2.1255</v>
      </c>
      <c r="K206" s="24" t="n">
        <f aca="false">IF(AND(J201&lt;&gt;"",K201&lt;&gt;""),(J201+K201)/2,"")</f>
        <v>3.542</v>
      </c>
      <c r="L206" s="24" t="n">
        <f aca="false">IF(AND(K201&lt;&gt;"",L201&lt;&gt;""),(K201+L201)/2,"")</f>
        <v>4.25</v>
      </c>
      <c r="M206" s="24" t="n">
        <f aca="false">IF(AND(L201&lt;&gt;"",M201&lt;&gt;""),(L201+M201)/2,"")</f>
        <v>4.25</v>
      </c>
    </row>
    <row r="207" customFormat="false" ht="17.15" hidden="false" customHeight="false" outlineLevel="0" collapsed="false">
      <c r="A207" s="5" t="s">
        <v>937</v>
      </c>
      <c r="B207" s="0" t="s">
        <v>1112</v>
      </c>
      <c r="C207" s="0" t="s">
        <v>76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</v>
      </c>
      <c r="I207" s="24" t="n">
        <f aca="false">IF(AND(H201&lt;&gt;"",I201&lt;&gt;""),I201-H201,0)</f>
        <v>1.417</v>
      </c>
      <c r="J207" s="24" t="n">
        <f aca="false">IF(AND(I201&lt;&gt;"",J201&lt;&gt;""),J201-I201,0)</f>
        <v>1.417</v>
      </c>
      <c r="K207" s="24" t="n">
        <f aca="false">IF(AND(J201&lt;&gt;"",K201&lt;&gt;""),K201-J201,0)</f>
        <v>1.416</v>
      </c>
      <c r="L207" s="24" t="n">
        <f aca="false">IF(AND(K201&lt;&gt;"",L201&lt;&gt;""),L201-K201,0)</f>
        <v>0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939</v>
      </c>
      <c r="B208" s="0" t="s">
        <v>1113</v>
      </c>
      <c r="C208" s="0" t="s">
        <v>76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941</v>
      </c>
      <c r="B209" s="0" t="s">
        <v>1114</v>
      </c>
      <c r="C209" s="0" t="s">
        <v>51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1115</v>
      </c>
      <c r="B211" s="20" t="s">
        <v>513</v>
      </c>
      <c r="N211" s="20" t="s">
        <v>1116</v>
      </c>
    </row>
    <row r="212" customFormat="false" ht="17.15" hidden="false" customHeight="false" outlineLevel="0" collapsed="false">
      <c r="A212" s="5" t="s">
        <v>909</v>
      </c>
      <c r="B212" s="0" t="s">
        <v>1117</v>
      </c>
      <c r="C212" s="0" t="s">
        <v>76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911</v>
      </c>
      <c r="B213" s="0" t="s">
        <v>1118</v>
      </c>
      <c r="C213" s="0" t="s">
        <v>76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913</v>
      </c>
      <c r="B214" s="0" t="s">
        <v>1119</v>
      </c>
      <c r="C214" s="0" t="s">
        <v>76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915</v>
      </c>
      <c r="B215" s="0" t="s">
        <v>1120</v>
      </c>
      <c r="C215" s="0" t="s">
        <v>76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917</v>
      </c>
      <c r="B216" s="0" t="s">
        <v>1121</v>
      </c>
      <c r="C216" s="5" t="s">
        <v>46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919</v>
      </c>
      <c r="B217" s="0" t="s">
        <v>1122</v>
      </c>
      <c r="C217" s="0" t="s">
        <v>76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921</v>
      </c>
      <c r="B218" s="0" t="s">
        <v>1123</v>
      </c>
      <c r="C218" s="5" t="s">
        <v>46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923</v>
      </c>
      <c r="B219" s="0" t="s">
        <v>1124</v>
      </c>
      <c r="C219" s="0" t="s">
        <v>76</v>
      </c>
      <c r="D219" s="24" t="n">
        <f aca="false">SUMIFS(Pipeline!$L$5:$L$47,Pipeline!$C$5:$C$47,"ant",Pipeline!$Q$5:$Q$47,1,Pipeline!$P$5:$P$47,2023)</f>
        <v>0</v>
      </c>
      <c r="E219" s="24" t="n">
        <f aca="false">SUMIFS(Pipeline!$L$5:$L$47,Pipeline!$C$5:$C$47,"ant",Pipeline!$Q$5:$Q$47,1,Pipeline!$P$5:$P$47,2024)</f>
        <v>0</v>
      </c>
      <c r="F219" s="24" t="n">
        <f aca="false">SUMIFS(Pipeline!$L$5:$L$47,Pipeline!$C$5:$C$47,"ant",Pipeline!$Q$5:$Q$47,1,Pipeline!$P$5:$P$47,2025)</f>
        <v>0</v>
      </c>
      <c r="G219" s="24" t="n">
        <f aca="false">SUMIFS(Pipeline!$L$5:$L$47,Pipeline!$C$5:$C$47,"ant",Pipeline!$Q$5:$Q$47,1,Pipeline!$P$5:$P$47,2026)</f>
        <v>0</v>
      </c>
      <c r="H219" s="24" t="n">
        <f aca="false">SUMIFS(Pipeline!$L$5:$L$47,Pipeline!$C$5:$C$47,"ant",Pipeline!$Q$5:$Q$47,1,Pipeline!$P$5:$P$47,2027)</f>
        <v>0</v>
      </c>
      <c r="I219" s="24" t="n">
        <f aca="false">SUMIFS(Pipeline!$L$5:$L$47,Pipeline!$C$5:$C$47,"ant",Pipeline!$Q$5:$Q$47,1,Pipeline!$P$5:$P$47,2028)</f>
        <v>0</v>
      </c>
      <c r="J219" s="24" t="n">
        <f aca="false">SUMIFS(Pipeline!$L$5:$L$47,Pipeline!$C$5:$C$47,"ant",Pipeline!$Q$5:$Q$47,1,Pipeline!$P$5:$P$47,2029)</f>
        <v>0</v>
      </c>
      <c r="K219" s="24" t="n">
        <f aca="false">SUMIFS(Pipeline!$L$5:$L$47,Pipeline!$C$5:$C$47,"ant",Pipeline!$Q$5:$Q$47,1,Pipeline!$P$5:$P$47,2030)</f>
        <v>0</v>
      </c>
      <c r="L219" s="24" t="n">
        <f aca="false">SUMIFS(Pipeline!$L$5:$L$47,Pipeline!$C$5:$C$47,"ant",Pipeline!$Q$5:$Q$47,1,Pipeline!$P$5:$P$47,2031)</f>
        <v>0</v>
      </c>
      <c r="M219" s="24" t="n">
        <f aca="false">SUMIFS(Pipeline!$L$5:$L$47,Pipeline!$C$5:$C$47,"ant",Pipeline!$Q$5:$Q$47,1,Pipeline!$P$5:$P$47,2032)</f>
        <v>0</v>
      </c>
    </row>
    <row r="220" customFormat="false" ht="17.15" hidden="false" customHeight="false" outlineLevel="0" collapsed="false">
      <c r="A220" s="5" t="s">
        <v>925</v>
      </c>
      <c r="B220" s="0" t="s">
        <v>1125</v>
      </c>
      <c r="C220" s="0" t="s">
        <v>76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927</v>
      </c>
      <c r="B221" s="0" t="s">
        <v>1126</v>
      </c>
      <c r="C221" s="0" t="s">
        <v>34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929</v>
      </c>
      <c r="B222" s="0" t="s">
        <v>1127</v>
      </c>
      <c r="C222" s="0" t="s">
        <v>76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931</v>
      </c>
      <c r="B223" s="0" t="s">
        <v>1128</v>
      </c>
      <c r="C223" s="0" t="s">
        <v>76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933</v>
      </c>
      <c r="B224" s="0" t="s">
        <v>1129</v>
      </c>
      <c r="C224" s="0" t="s">
        <v>76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935</v>
      </c>
      <c r="B225" s="0" t="s">
        <v>1130</v>
      </c>
      <c r="C225" s="0" t="s">
        <v>76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937</v>
      </c>
      <c r="B226" s="0" t="s">
        <v>1131</v>
      </c>
      <c r="C226" s="0" t="s">
        <v>76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939</v>
      </c>
      <c r="B227" s="0" t="s">
        <v>1132</v>
      </c>
      <c r="C227" s="0" t="s">
        <v>76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941</v>
      </c>
      <c r="B228" s="0" t="s">
        <v>1133</v>
      </c>
      <c r="C228" s="0" t="s">
        <v>51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1134</v>
      </c>
      <c r="B230" s="20" t="s">
        <v>543</v>
      </c>
      <c r="N230" s="20" t="s">
        <v>1135</v>
      </c>
    </row>
    <row r="231" customFormat="false" ht="17.15" hidden="false" customHeight="false" outlineLevel="0" collapsed="false">
      <c r="A231" s="5" t="s">
        <v>909</v>
      </c>
      <c r="B231" s="0" t="s">
        <v>1136</v>
      </c>
      <c r="C231" s="0" t="s">
        <v>76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911</v>
      </c>
      <c r="B232" s="0" t="s">
        <v>1137</v>
      </c>
      <c r="C232" s="0" t="s">
        <v>76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913</v>
      </c>
      <c r="B233" s="0" t="s">
        <v>1138</v>
      </c>
      <c r="C233" s="0" t="s">
        <v>76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915</v>
      </c>
      <c r="B234" s="0" t="s">
        <v>1139</v>
      </c>
      <c r="C234" s="0" t="s">
        <v>76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917</v>
      </c>
      <c r="B235" s="0" t="s">
        <v>1140</v>
      </c>
      <c r="C235" s="5" t="s">
        <v>46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919</v>
      </c>
      <c r="B236" s="0" t="s">
        <v>1141</v>
      </c>
      <c r="C236" s="0" t="s">
        <v>76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921</v>
      </c>
      <c r="B237" s="0" t="s">
        <v>1142</v>
      </c>
      <c r="C237" s="5" t="s">
        <v>46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923</v>
      </c>
      <c r="B238" s="0" t="s">
        <v>1143</v>
      </c>
      <c r="C238" s="0" t="s">
        <v>76</v>
      </c>
      <c r="D238" s="24" t="n">
        <f aca="false">SUMIFS(Pipeline!$L$5:$L$47,Pipeline!$C$5:$C$47,"neo",Pipeline!$Q$5:$Q$47,1,Pipeline!$P$5:$P$47,2023)</f>
        <v>0</v>
      </c>
      <c r="E238" s="24" t="n">
        <f aca="false">SUMIFS(Pipeline!$L$5:$L$47,Pipeline!$C$5:$C$47,"neo",Pipeline!$Q$5:$Q$47,1,Pipeline!$P$5:$P$47,2024)</f>
        <v>0</v>
      </c>
      <c r="F238" s="24" t="n">
        <f aca="false">SUMIFS(Pipeline!$L$5:$L$47,Pipeline!$C$5:$C$47,"neo",Pipeline!$Q$5:$Q$47,1,Pipeline!$P$5:$P$47,2025)</f>
        <v>0</v>
      </c>
      <c r="G238" s="24" t="n">
        <f aca="false">SUMIFS(Pipeline!$L$5:$L$47,Pipeline!$C$5:$C$47,"neo",Pipeline!$Q$5:$Q$47,1,Pipeline!$P$5:$P$47,2026)</f>
        <v>0.1</v>
      </c>
      <c r="H238" s="24" t="n">
        <f aca="false">SUMIFS(Pipeline!$L$5:$L$47,Pipeline!$C$5:$C$47,"neo",Pipeline!$Q$5:$Q$47,1,Pipeline!$P$5:$P$47,2027)</f>
        <v>0.7</v>
      </c>
      <c r="I238" s="24" t="n">
        <f aca="false">SUMIFS(Pipeline!$L$5:$L$47,Pipeline!$C$5:$C$47,"neo",Pipeline!$Q$5:$Q$47,1,Pipeline!$P$5:$P$47,2028)</f>
        <v>0.201</v>
      </c>
      <c r="J238" s="24" t="n">
        <f aca="false">SUMIFS(Pipeline!$L$5:$L$47,Pipeline!$C$5:$C$47,"neo",Pipeline!$Q$5:$Q$47,1,Pipeline!$P$5:$P$47,2029)</f>
        <v>0</v>
      </c>
      <c r="K238" s="24" t="n">
        <f aca="false">SUMIFS(Pipeline!$L$5:$L$47,Pipeline!$C$5:$C$47,"neo",Pipeline!$Q$5:$Q$47,1,Pipeline!$P$5:$P$47,2030)</f>
        <v>0</v>
      </c>
      <c r="L238" s="24" t="n">
        <f aca="false">SUMIFS(Pipeline!$L$5:$L$47,Pipeline!$C$5:$C$47,"neo",Pipeline!$Q$5:$Q$47,1,Pipeline!$P$5:$P$47,2031)</f>
        <v>0</v>
      </c>
      <c r="M238" s="24" t="n">
        <f aca="false">SUMIFS(Pipeline!$L$5:$L$47,Pipeline!$C$5:$C$47,"neo",Pipeline!$Q$5:$Q$47,1,Pipeline!$P$5:$P$47,2032)</f>
        <v>0</v>
      </c>
    </row>
    <row r="239" customFormat="false" ht="17.15" hidden="false" customHeight="false" outlineLevel="0" collapsed="false">
      <c r="A239" s="5" t="s">
        <v>925</v>
      </c>
      <c r="B239" s="0" t="s">
        <v>1144</v>
      </c>
      <c r="C239" s="0" t="s">
        <v>76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</v>
      </c>
      <c r="I239" s="25" t="n">
        <f aca="false">IF(I233&lt;&gt;"",I233,IF(AND(I234&lt;&gt;"",I236&lt;&gt;""),I234+(I236-I234)*(2028-I235)/(I237-I235),IF(H239&lt;&gt;"",H239+I238,"")))</f>
        <v>2.201</v>
      </c>
      <c r="J239" s="25" t="n">
        <f aca="false">IF(J233&lt;&gt;"",J233,IF(AND(J234&lt;&gt;"",J236&lt;&gt;""),J234+(J236-J234)*(2029-J235)/(J237-J235),IF(I239&lt;&gt;"",I239+J238,"")))</f>
        <v>2.201</v>
      </c>
      <c r="K239" s="25" t="n">
        <f aca="false">IF(K233&lt;&gt;"",K233,IF(AND(K234&lt;&gt;"",K236&lt;&gt;""),K234+(K236-K234)*(2030-K235)/(K237-K235),IF(J239&lt;&gt;"",J239+K238,"")))</f>
        <v>2.201</v>
      </c>
      <c r="L239" s="25" t="n">
        <f aca="false">IF(L233&lt;&gt;"",L233,IF(AND(L234&lt;&gt;"",L236&lt;&gt;""),L234+(L236-L234)*(2031-L235)/(L237-L235),IF(K239&lt;&gt;"",K239+L238,"")))</f>
        <v>2.201</v>
      </c>
      <c r="M239" s="25" t="n">
        <f aca="false">IF(M233&lt;&gt;"",M233,IF(AND(M234&lt;&gt;"",M236&lt;&gt;""),M234+(M236-M234)*(2032-M235)/(M237-M235),IF(L239&lt;&gt;"",L239+M238,"")))</f>
        <v>2.201</v>
      </c>
    </row>
    <row r="240" customFormat="false" ht="15" hidden="false" customHeight="false" outlineLevel="0" collapsed="false">
      <c r="A240" s="5" t="s">
        <v>927</v>
      </c>
      <c r="B240" s="0" t="s">
        <v>1145</v>
      </c>
      <c r="C240" s="0" t="s">
        <v>34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929</v>
      </c>
      <c r="B241" s="0" t="s">
        <v>1146</v>
      </c>
      <c r="C241" s="0" t="s">
        <v>76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</v>
      </c>
      <c r="I241" s="24" t="n">
        <f aca="false">IF(I239="","",I239)</f>
        <v>2.201</v>
      </c>
      <c r="J241" s="24" t="n">
        <f aca="false">IF(J239="","",J239)</f>
        <v>2.201</v>
      </c>
      <c r="K241" s="24" t="n">
        <f aca="false">IF(K239="","",K239)</f>
        <v>2.201</v>
      </c>
      <c r="L241" s="24" t="n">
        <f aca="false">IF(L239="","",L239)</f>
        <v>2.201</v>
      </c>
      <c r="M241" s="24" t="n">
        <f aca="false">IF(M239="","",M239)</f>
        <v>2.201</v>
      </c>
    </row>
    <row r="242" customFormat="false" ht="17.15" hidden="false" customHeight="false" outlineLevel="0" collapsed="false">
      <c r="A242" s="5" t="s">
        <v>931</v>
      </c>
      <c r="B242" s="0" t="s">
        <v>1147</v>
      </c>
      <c r="C242" s="0" t="s">
        <v>76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</v>
      </c>
      <c r="I242" s="24" t="n">
        <f aca="false">IF(I239="","",I239)</f>
        <v>2.201</v>
      </c>
      <c r="J242" s="24" t="n">
        <f aca="false">IF(J239="","",J239)</f>
        <v>2.201</v>
      </c>
      <c r="K242" s="24" t="n">
        <f aca="false">IF(K239="","",K239)</f>
        <v>2.201</v>
      </c>
      <c r="L242" s="24" t="n">
        <f aca="false">IF(L239="","",L239)</f>
        <v>2.201</v>
      </c>
      <c r="M242" s="24" t="n">
        <f aca="false">IF(M239="","",M239)</f>
        <v>2.201</v>
      </c>
    </row>
    <row r="243" customFormat="false" ht="17.15" hidden="false" customHeight="false" outlineLevel="0" collapsed="false">
      <c r="A243" s="5" t="s">
        <v>933</v>
      </c>
      <c r="B243" s="0" t="s">
        <v>1148</v>
      </c>
      <c r="C243" s="0" t="s">
        <v>76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</v>
      </c>
      <c r="I243" s="24" t="n">
        <f aca="false">IF(I239="","",IF(In!$C$119="未說明",I239/I$13,I239))</f>
        <v>2.201</v>
      </c>
      <c r="J243" s="24" t="n">
        <f aca="false">IF(J239="","",IF(In!$C$119="未說明",J239/J$13,J239))</f>
        <v>2.201</v>
      </c>
      <c r="K243" s="24" t="n">
        <f aca="false">IF(K239="","",IF(In!$C$119="未說明",K239/K$13,K239))</f>
        <v>2.201</v>
      </c>
      <c r="L243" s="24" t="n">
        <f aca="false">IF(L239="","",IF(In!$C$119="未說明",L239/L$13,L239))</f>
        <v>2.201</v>
      </c>
      <c r="M243" s="24" t="n">
        <f aca="false">IF(M239="","",IF(In!$C$119="未說明",M239/M$13,M239))</f>
        <v>2.201</v>
      </c>
    </row>
    <row r="244" customFormat="false" ht="17.15" hidden="false" customHeight="false" outlineLevel="0" collapsed="false">
      <c r="A244" s="5" t="s">
        <v>935</v>
      </c>
      <c r="B244" s="0" t="s">
        <v>1149</v>
      </c>
      <c r="C244" s="0" t="s">
        <v>76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1.65</v>
      </c>
      <c r="I244" s="24" t="n">
        <f aca="false">IF(AND(H239&lt;&gt;"",I239&lt;&gt;""),(H239+I239)/2,"")</f>
        <v>2.1005</v>
      </c>
      <c r="J244" s="24" t="n">
        <f aca="false">IF(AND(I239&lt;&gt;"",J239&lt;&gt;""),(I239+J239)/2,"")</f>
        <v>2.201</v>
      </c>
      <c r="K244" s="24" t="n">
        <f aca="false">IF(AND(J239&lt;&gt;"",K239&lt;&gt;""),(J239+K239)/2,"")</f>
        <v>2.201</v>
      </c>
      <c r="L244" s="24" t="n">
        <f aca="false">IF(AND(K239&lt;&gt;"",L239&lt;&gt;""),(K239+L239)/2,"")</f>
        <v>2.201</v>
      </c>
      <c r="M244" s="24" t="n">
        <f aca="false">IF(AND(L239&lt;&gt;"",M239&lt;&gt;""),(L239+M239)/2,"")</f>
        <v>2.201</v>
      </c>
    </row>
    <row r="245" customFormat="false" ht="17.15" hidden="false" customHeight="false" outlineLevel="0" collapsed="false">
      <c r="A245" s="5" t="s">
        <v>937</v>
      </c>
      <c r="B245" s="0" t="s">
        <v>1150</v>
      </c>
      <c r="C245" s="0" t="s">
        <v>76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0.7</v>
      </c>
      <c r="I245" s="24" t="n">
        <f aca="false">IF(AND(H239&lt;&gt;"",I239&lt;&gt;""),I239-H239,0)</f>
        <v>0.201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939</v>
      </c>
      <c r="B246" s="0" t="s">
        <v>1151</v>
      </c>
      <c r="C246" s="0" t="s">
        <v>76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941</v>
      </c>
      <c r="B247" s="0" t="s">
        <v>1152</v>
      </c>
      <c r="C247" s="0" t="s">
        <v>51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1153</v>
      </c>
      <c r="B249" s="20" t="s">
        <v>640</v>
      </c>
      <c r="N249" s="20" t="s">
        <v>1154</v>
      </c>
    </row>
    <row r="250" customFormat="false" ht="17.15" hidden="false" customHeight="false" outlineLevel="0" collapsed="false">
      <c r="A250" s="5" t="s">
        <v>909</v>
      </c>
      <c r="B250" s="0" t="s">
        <v>1155</v>
      </c>
      <c r="C250" s="0" t="s">
        <v>76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911</v>
      </c>
      <c r="B251" s="0" t="s">
        <v>1156</v>
      </c>
      <c r="C251" s="0" t="s">
        <v>76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913</v>
      </c>
      <c r="B252" s="0" t="s">
        <v>1157</v>
      </c>
      <c r="C252" s="0" t="s">
        <v>76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915</v>
      </c>
      <c r="B253" s="0" t="s">
        <v>1158</v>
      </c>
      <c r="C253" s="0" t="s">
        <v>76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917</v>
      </c>
      <c r="B254" s="0" t="s">
        <v>1159</v>
      </c>
      <c r="C254" s="5" t="s">
        <v>46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919</v>
      </c>
      <c r="B255" s="0" t="s">
        <v>1160</v>
      </c>
      <c r="C255" s="0" t="s">
        <v>76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921</v>
      </c>
      <c r="B256" s="0" t="s">
        <v>1161</v>
      </c>
      <c r="C256" s="5" t="s">
        <v>46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923</v>
      </c>
      <c r="B257" s="0" t="s">
        <v>1162</v>
      </c>
      <c r="C257" s="0" t="s">
        <v>76</v>
      </c>
      <c r="D257" s="24" t="n">
        <f aca="false">SUMIFS(Pipeline!$L$5:$L$47,Pipeline!$C$5:$C$47,"sov",Pipeline!$Q$5:$Q$47,1,Pipeline!$P$5:$P$47,2023)</f>
        <v>0</v>
      </c>
      <c r="E257" s="24" t="n">
        <f aca="false">SUMIFS(Pipeline!$L$5:$L$47,Pipeline!$C$5:$C$47,"sov",Pipeline!$Q$5:$Q$47,1,Pipeline!$P$5:$P$47,2024)</f>
        <v>0</v>
      </c>
      <c r="F257" s="24" t="n">
        <f aca="false">SUMIFS(Pipeline!$L$5:$L$47,Pipeline!$C$5:$C$47,"sov",Pipeline!$Q$5:$Q$47,1,Pipeline!$P$5:$P$47,2025)</f>
        <v>0</v>
      </c>
      <c r="G257" s="24" t="n">
        <f aca="false">SUMIFS(Pipeline!$L$5:$L$47,Pipeline!$C$5:$C$47,"sov",Pipeline!$Q$5:$Q$47,1,Pipeline!$P$5:$P$47,2026)</f>
        <v>0.2</v>
      </c>
      <c r="H257" s="24" t="n">
        <f aca="false">SUMIFS(Pipeline!$L$5:$L$47,Pipeline!$C$5:$C$47,"sov",Pipeline!$Q$5:$Q$47,1,Pipeline!$P$5:$P$47,2027)</f>
        <v>0</v>
      </c>
      <c r="I257" s="24" t="n">
        <f aca="false">SUMIFS(Pipeline!$L$5:$L$47,Pipeline!$C$5:$C$47,"sov",Pipeline!$Q$5:$Q$47,1,Pipeline!$P$5:$P$47,2028)</f>
        <v>0</v>
      </c>
      <c r="J257" s="24" t="n">
        <f aca="false">SUMIFS(Pipeline!$L$5:$L$47,Pipeline!$C$5:$C$47,"sov",Pipeline!$Q$5:$Q$47,1,Pipeline!$P$5:$P$47,2029)</f>
        <v>0</v>
      </c>
      <c r="K257" s="24" t="n">
        <f aca="false">SUMIFS(Pipeline!$L$5:$L$47,Pipeline!$C$5:$C$47,"sov",Pipeline!$Q$5:$Q$47,1,Pipeline!$P$5:$P$47,2030)</f>
        <v>1.7</v>
      </c>
      <c r="L257" s="24" t="n">
        <f aca="false">SUMIFS(Pipeline!$L$5:$L$47,Pipeline!$C$5:$C$47,"sov",Pipeline!$Q$5:$Q$47,1,Pipeline!$P$5:$P$47,2031)</f>
        <v>0</v>
      </c>
      <c r="M257" s="24" t="n">
        <f aca="false">SUMIFS(Pipeline!$L$5:$L$47,Pipeline!$C$5:$C$47,"sov",Pipeline!$Q$5:$Q$47,1,Pipeline!$P$5:$P$47,2032)</f>
        <v>0</v>
      </c>
    </row>
    <row r="258" customFormat="false" ht="17.15" hidden="false" customHeight="false" outlineLevel="0" collapsed="false">
      <c r="A258" s="5" t="s">
        <v>925</v>
      </c>
      <c r="B258" s="0" t="s">
        <v>1163</v>
      </c>
      <c r="C258" s="0" t="s">
        <v>76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0.2</v>
      </c>
      <c r="H258" s="25" t="n">
        <f aca="false">IF(H252&lt;&gt;"",H252,IF(AND(H253&lt;&gt;"",H255&lt;&gt;""),H253+(H255-H253)*(2027-H254)/(H256-H254),IF(G258&lt;&gt;"",G258+H257,"")))</f>
        <v>0.2</v>
      </c>
      <c r="I258" s="25" t="n">
        <f aca="false">IF(I252&lt;&gt;"",I252,IF(AND(I253&lt;&gt;"",I255&lt;&gt;""),I253+(I255-I253)*(2028-I254)/(I256-I254),IF(H258&lt;&gt;"",H258+I257,"")))</f>
        <v>0.2</v>
      </c>
      <c r="J258" s="25" t="n">
        <f aca="false">IF(J252&lt;&gt;"",J252,IF(AND(J253&lt;&gt;"",J255&lt;&gt;""),J253+(J255-J253)*(2029-J254)/(J256-J254),IF(I258&lt;&gt;"",I258+J257,"")))</f>
        <v>0.2</v>
      </c>
      <c r="K258" s="25" t="n">
        <f aca="false">IF(K252&lt;&gt;"",K252,IF(AND(K253&lt;&gt;"",K255&lt;&gt;""),K253+(K255-K253)*(2030-K254)/(K256-K254),IF(J258&lt;&gt;"",J258+K257,"")))</f>
        <v>1.9</v>
      </c>
      <c r="L258" s="25" t="n">
        <f aca="false">IF(L252&lt;&gt;"",L252,IF(AND(L253&lt;&gt;"",L255&lt;&gt;""),L253+(L255-L253)*(2031-L254)/(L256-L254),IF(K258&lt;&gt;"",K258+L257,"")))</f>
        <v>1.9</v>
      </c>
      <c r="M258" s="25" t="n">
        <f aca="false">IF(M252&lt;&gt;"",M252,IF(AND(M253&lt;&gt;"",M255&lt;&gt;""),M253+(M255-M253)*(2032-M254)/(M256-M254),IF(L258&lt;&gt;"",L258+M257,"")))</f>
        <v>1.9</v>
      </c>
    </row>
    <row r="259" customFormat="false" ht="15" hidden="false" customHeight="false" outlineLevel="0" collapsed="false">
      <c r="A259" s="5" t="s">
        <v>927</v>
      </c>
      <c r="B259" s="0" t="s">
        <v>1164</v>
      </c>
      <c r="C259" s="0" t="s">
        <v>34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929</v>
      </c>
      <c r="B260" s="0" t="s">
        <v>1165</v>
      </c>
      <c r="C260" s="0" t="s">
        <v>76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0.2</v>
      </c>
      <c r="H260" s="24" t="n">
        <f aca="false">IF(H258="","",H258)</f>
        <v>0.2</v>
      </c>
      <c r="I260" s="24" t="n">
        <f aca="false">IF(I258="","",I258)</f>
        <v>0.2</v>
      </c>
      <c r="J260" s="24" t="n">
        <f aca="false">IF(J258="","",J258)</f>
        <v>0.2</v>
      </c>
      <c r="K260" s="24" t="n">
        <f aca="false">IF(K258="","",K258)</f>
        <v>1.9</v>
      </c>
      <c r="L260" s="24" t="n">
        <f aca="false">IF(L258="","",L258)</f>
        <v>1.9</v>
      </c>
      <c r="M260" s="24" t="n">
        <f aca="false">IF(M258="","",M258)</f>
        <v>1.9</v>
      </c>
    </row>
    <row r="261" customFormat="false" ht="17.15" hidden="false" customHeight="false" outlineLevel="0" collapsed="false">
      <c r="A261" s="5" t="s">
        <v>931</v>
      </c>
      <c r="B261" s="0" t="s">
        <v>1166</v>
      </c>
      <c r="C261" s="0" t="s">
        <v>76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0.2</v>
      </c>
      <c r="H261" s="24" t="n">
        <f aca="false">IF(H258="","",H258)</f>
        <v>0.2</v>
      </c>
      <c r="I261" s="24" t="n">
        <f aca="false">IF(I258="","",I258)</f>
        <v>0.2</v>
      </c>
      <c r="J261" s="24" t="n">
        <f aca="false">IF(J258="","",J258)</f>
        <v>0.2</v>
      </c>
      <c r="K261" s="24" t="n">
        <f aca="false">IF(K258="","",K258)</f>
        <v>1.9</v>
      </c>
      <c r="L261" s="24" t="n">
        <f aca="false">IF(L258="","",L258)</f>
        <v>1.9</v>
      </c>
      <c r="M261" s="24" t="n">
        <f aca="false">IF(M258="","",M258)</f>
        <v>1.9</v>
      </c>
    </row>
    <row r="262" customFormat="false" ht="17.15" hidden="false" customHeight="false" outlineLevel="0" collapsed="false">
      <c r="A262" s="5" t="s">
        <v>933</v>
      </c>
      <c r="B262" s="0" t="s">
        <v>1167</v>
      </c>
      <c r="C262" s="0" t="s">
        <v>76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0.166666666666667</v>
      </c>
      <c r="H262" s="24" t="n">
        <f aca="false">IF(H258="","",IF(In!$C$120="未說明",H258/H$13,H258))</f>
        <v>0.166666666666667</v>
      </c>
      <c r="I262" s="24" t="n">
        <f aca="false">IF(I258="","",IF(In!$C$120="未說明",I258/I$13,I258))</f>
        <v>0.166666666666667</v>
      </c>
      <c r="J262" s="24" t="n">
        <f aca="false">IF(J258="","",IF(In!$C$120="未說明",J258/J$13,J258))</f>
        <v>0.166666666666667</v>
      </c>
      <c r="K262" s="24" t="n">
        <f aca="false">IF(K258="","",IF(In!$C$120="未說明",K258/K$13,K258))</f>
        <v>1.58333333333333</v>
      </c>
      <c r="L262" s="24" t="n">
        <f aca="false">IF(L258="","",IF(In!$C$120="未說明",L258/L$13,L258))</f>
        <v>1.58333333333333</v>
      </c>
      <c r="M262" s="24" t="n">
        <f aca="false">IF(M258="","",IF(In!$C$120="未說明",M258/M$13,M258))</f>
        <v>1.58333333333333</v>
      </c>
    </row>
    <row r="263" customFormat="false" ht="17.15" hidden="false" customHeight="false" outlineLevel="0" collapsed="false">
      <c r="A263" s="5" t="s">
        <v>935</v>
      </c>
      <c r="B263" s="0" t="s">
        <v>1168</v>
      </c>
      <c r="C263" s="0" t="s">
        <v>76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0.1</v>
      </c>
      <c r="H263" s="24" t="n">
        <f aca="false">IF(AND(G258&lt;&gt;"",H258&lt;&gt;""),(G258+H258)/2,"")</f>
        <v>0.2</v>
      </c>
      <c r="I263" s="24" t="n">
        <f aca="false">IF(AND(H258&lt;&gt;"",I258&lt;&gt;""),(H258+I258)/2,"")</f>
        <v>0.2</v>
      </c>
      <c r="J263" s="24" t="n">
        <f aca="false">IF(AND(I258&lt;&gt;"",J258&lt;&gt;""),(I258+J258)/2,"")</f>
        <v>0.2</v>
      </c>
      <c r="K263" s="24" t="n">
        <f aca="false">IF(AND(J258&lt;&gt;"",K258&lt;&gt;""),(J258+K258)/2,"")</f>
        <v>1.05</v>
      </c>
      <c r="L263" s="24" t="n">
        <f aca="false">IF(AND(K258&lt;&gt;"",L258&lt;&gt;""),(K258+L258)/2,"")</f>
        <v>1.9</v>
      </c>
      <c r="M263" s="24" t="n">
        <f aca="false">IF(AND(L258&lt;&gt;"",M258&lt;&gt;""),(L258+M258)/2,"")</f>
        <v>1.9</v>
      </c>
    </row>
    <row r="264" customFormat="false" ht="17.15" hidden="false" customHeight="false" outlineLevel="0" collapsed="false">
      <c r="A264" s="5" t="s">
        <v>937</v>
      </c>
      <c r="B264" s="0" t="s">
        <v>1169</v>
      </c>
      <c r="C264" s="0" t="s">
        <v>76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0.2</v>
      </c>
      <c r="H264" s="24" t="n">
        <f aca="false">IF(AND(G258&lt;&gt;"",H258&lt;&gt;""),H258-G258,0)</f>
        <v>0</v>
      </c>
      <c r="I264" s="24" t="n">
        <f aca="false">IF(AND(H258&lt;&gt;"",I258&lt;&gt;""),I258-H258,0)</f>
        <v>0</v>
      </c>
      <c r="J264" s="24" t="n">
        <f aca="false">IF(AND(I258&lt;&gt;"",J258&lt;&gt;""),J258-I258,0)</f>
        <v>0</v>
      </c>
      <c r="K264" s="24" t="n">
        <f aca="false">IF(AND(J258&lt;&gt;"",K258&lt;&gt;""),K258-J258,0)</f>
        <v>1.7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939</v>
      </c>
      <c r="B265" s="0" t="s">
        <v>1170</v>
      </c>
      <c r="C265" s="0" t="s">
        <v>76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941</v>
      </c>
      <c r="B266" s="0" t="s">
        <v>1171</v>
      </c>
      <c r="C266" s="0" t="s">
        <v>51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1172</v>
      </c>
      <c r="B268" s="20" t="s">
        <v>550</v>
      </c>
      <c r="N268" s="20" t="s">
        <v>1173</v>
      </c>
    </row>
    <row r="269" customFormat="false" ht="17.15" hidden="false" customHeight="false" outlineLevel="0" collapsed="false">
      <c r="A269" s="5" t="s">
        <v>909</v>
      </c>
      <c r="B269" s="0" t="s">
        <v>1174</v>
      </c>
      <c r="C269" s="0" t="s">
        <v>76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911</v>
      </c>
      <c r="B270" s="0" t="s">
        <v>1175</v>
      </c>
      <c r="C270" s="0" t="s">
        <v>76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913</v>
      </c>
      <c r="B271" s="0" t="s">
        <v>1176</v>
      </c>
      <c r="C271" s="0" t="s">
        <v>76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915</v>
      </c>
      <c r="B272" s="0" t="s">
        <v>1177</v>
      </c>
      <c r="C272" s="0" t="s">
        <v>76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917</v>
      </c>
      <c r="B273" s="0" t="s">
        <v>1178</v>
      </c>
      <c r="C273" s="5" t="s">
        <v>46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919</v>
      </c>
      <c r="B274" s="0" t="s">
        <v>1179</v>
      </c>
      <c r="C274" s="0" t="s">
        <v>76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921</v>
      </c>
      <c r="B275" s="0" t="s">
        <v>1180</v>
      </c>
      <c r="C275" s="5" t="s">
        <v>46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923</v>
      </c>
      <c r="B276" s="0" t="s">
        <v>1181</v>
      </c>
      <c r="C276" s="0" t="s">
        <v>76</v>
      </c>
      <c r="D276" s="24" t="n">
        <f aca="false">SUMIFS(Pipeline!$L$5:$L$47,Pipeline!$C$5:$C$47,"cn",Pipeline!$Q$5:$Q$47,1,Pipeline!$P$5:$P$47,2023)</f>
        <v>0</v>
      </c>
      <c r="E276" s="24" t="n">
        <f aca="false">SUMIFS(Pipeline!$L$5:$L$47,Pipeline!$C$5:$C$47,"cn",Pipeline!$Q$5:$Q$47,1,Pipeline!$P$5:$P$47,2024)</f>
        <v>0</v>
      </c>
      <c r="F276" s="24" t="n">
        <f aca="false">SUMIFS(Pipeline!$L$5:$L$47,Pipeline!$C$5:$C$47,"cn",Pipeline!$Q$5:$Q$47,1,Pipeline!$P$5:$P$47,2025)</f>
        <v>0</v>
      </c>
      <c r="G276" s="24" t="n">
        <f aca="false">SUMIFS(Pipeline!$L$5:$L$47,Pipeline!$C$5:$C$47,"cn",Pipeline!$Q$5:$Q$47,1,Pipeline!$P$5:$P$47,2026)</f>
        <v>0</v>
      </c>
      <c r="H276" s="24" t="n">
        <f aca="false">SUMIFS(Pipeline!$L$5:$L$47,Pipeline!$C$5:$C$47,"cn",Pipeline!$Q$5:$Q$47,1,Pipeline!$P$5:$P$47,2027)</f>
        <v>0</v>
      </c>
      <c r="I276" s="24" t="n">
        <f aca="false">SUMIFS(Pipeline!$L$5:$L$47,Pipeline!$C$5:$C$47,"cn",Pipeline!$Q$5:$Q$47,1,Pipeline!$P$5:$P$47,2028)</f>
        <v>0</v>
      </c>
      <c r="J276" s="24" t="n">
        <f aca="false">SUMIFS(Pipeline!$L$5:$L$47,Pipeline!$C$5:$C$47,"cn",Pipeline!$Q$5:$Q$47,1,Pipeline!$P$5:$P$47,2029)</f>
        <v>0</v>
      </c>
      <c r="K276" s="24" t="n">
        <f aca="false">SUMIFS(Pipeline!$L$5:$L$47,Pipeline!$C$5:$C$47,"cn",Pipeline!$Q$5:$Q$47,1,Pipeline!$P$5:$P$47,2030)</f>
        <v>0</v>
      </c>
      <c r="L276" s="24" t="n">
        <f aca="false">SUMIFS(Pipeline!$L$5:$L$47,Pipeline!$C$5:$C$47,"cn",Pipeline!$Q$5:$Q$47,1,Pipeline!$P$5:$P$47,2031)</f>
        <v>0</v>
      </c>
      <c r="M276" s="24" t="n">
        <f aca="false">SUMIFS(Pipeline!$L$5:$L$47,Pipeline!$C$5:$C$47,"cn",Pipeline!$Q$5:$Q$47,1,Pipeline!$P$5:$P$47,2032)</f>
        <v>0</v>
      </c>
    </row>
    <row r="277" customFormat="false" ht="17.15" hidden="false" customHeight="false" outlineLevel="0" collapsed="false">
      <c r="A277" s="5" t="s">
        <v>925</v>
      </c>
      <c r="B277" s="0" t="s">
        <v>1182</v>
      </c>
      <c r="C277" s="0" t="s">
        <v>76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927</v>
      </c>
      <c r="B278" s="0" t="s">
        <v>1183</v>
      </c>
      <c r="C278" s="0" t="s">
        <v>34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929</v>
      </c>
      <c r="B279" s="0" t="s">
        <v>1184</v>
      </c>
      <c r="C279" s="0" t="s">
        <v>76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931</v>
      </c>
      <c r="B280" s="0" t="s">
        <v>1185</v>
      </c>
      <c r="C280" s="0" t="s">
        <v>76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933</v>
      </c>
      <c r="B281" s="0" t="s">
        <v>1186</v>
      </c>
      <c r="C281" s="0" t="s">
        <v>76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935</v>
      </c>
      <c r="B282" s="0" t="s">
        <v>1187</v>
      </c>
      <c r="C282" s="0" t="s">
        <v>76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937</v>
      </c>
      <c r="B283" s="0" t="s">
        <v>1188</v>
      </c>
      <c r="C283" s="0" t="s">
        <v>76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939</v>
      </c>
      <c r="B284" s="0" t="s">
        <v>1189</v>
      </c>
      <c r="C284" s="0" t="s">
        <v>76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941</v>
      </c>
      <c r="B285" s="0" t="s">
        <v>1190</v>
      </c>
      <c r="C285" s="0" t="s">
        <v>51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1191</v>
      </c>
      <c r="B287" s="20" t="s">
        <v>1192</v>
      </c>
      <c r="N287" s="20" t="s">
        <v>1193</v>
      </c>
    </row>
    <row r="288" customFormat="false" ht="17.15" hidden="false" customHeight="false" outlineLevel="0" collapsed="false">
      <c r="A288" s="5" t="s">
        <v>909</v>
      </c>
      <c r="B288" s="0" t="s">
        <v>1194</v>
      </c>
      <c r="C288" s="0" t="s">
        <v>76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911</v>
      </c>
      <c r="B289" s="0" t="s">
        <v>1195</v>
      </c>
      <c r="C289" s="0" t="s">
        <v>76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913</v>
      </c>
      <c r="B290" s="0" t="s">
        <v>1196</v>
      </c>
      <c r="C290" s="0" t="s">
        <v>76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915</v>
      </c>
      <c r="B291" s="0" t="s">
        <v>1197</v>
      </c>
      <c r="C291" s="0" t="s">
        <v>76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917</v>
      </c>
      <c r="B292" s="0" t="s">
        <v>1198</v>
      </c>
      <c r="C292" s="5" t="s">
        <v>46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919</v>
      </c>
      <c r="B293" s="0" t="s">
        <v>1199</v>
      </c>
      <c r="C293" s="0" t="s">
        <v>76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921</v>
      </c>
      <c r="B294" s="0" t="s">
        <v>1200</v>
      </c>
      <c r="C294" s="5" t="s">
        <v>46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923</v>
      </c>
      <c r="B295" s="0" t="s">
        <v>1201</v>
      </c>
      <c r="C295" s="0" t="s">
        <v>76</v>
      </c>
      <c r="D295" s="24" t="n">
        <f aca="false">SUMIFS(Pipeline!$L$5:$L$47,Pipeline!$C$5:$C$47,"oth",Pipeline!$Q$5:$Q$47,1,Pipeline!$P$5:$P$47,2023)</f>
        <v>0</v>
      </c>
      <c r="E295" s="24" t="n">
        <f aca="false">SUMIFS(Pipeline!$L$5:$L$47,Pipeline!$C$5:$C$47,"oth",Pipeline!$Q$5:$Q$47,1,Pipeline!$P$5:$P$47,2024)</f>
        <v>0</v>
      </c>
      <c r="F295" s="24" t="n">
        <f aca="false">SUMIFS(Pipeline!$L$5:$L$47,Pipeline!$C$5:$C$47,"oth",Pipeline!$Q$5:$Q$47,1,Pipeline!$P$5:$P$47,2025)</f>
        <v>0</v>
      </c>
      <c r="G295" s="24" t="n">
        <f aca="false">SUMIFS(Pipeline!$L$5:$L$47,Pipeline!$C$5:$C$47,"oth",Pipeline!$Q$5:$Q$47,1,Pipeline!$P$5:$P$47,2026)</f>
        <v>0</v>
      </c>
      <c r="H295" s="24" t="n">
        <f aca="false">SUMIFS(Pipeline!$L$5:$L$47,Pipeline!$C$5:$C$47,"oth",Pipeline!$Q$5:$Q$47,1,Pipeline!$P$5:$P$47,2027)</f>
        <v>0</v>
      </c>
      <c r="I295" s="24" t="n">
        <f aca="false">SUMIFS(Pipeline!$L$5:$L$47,Pipeline!$C$5:$C$47,"oth",Pipeline!$Q$5:$Q$47,1,Pipeline!$P$5:$P$47,2028)</f>
        <v>0</v>
      </c>
      <c r="J295" s="24" t="n">
        <f aca="false">SUMIFS(Pipeline!$L$5:$L$47,Pipeline!$C$5:$C$47,"oth",Pipeline!$Q$5:$Q$47,1,Pipeline!$P$5:$P$47,2029)</f>
        <v>0</v>
      </c>
      <c r="K295" s="24" t="n">
        <f aca="false">SUMIFS(Pipeline!$L$5:$L$47,Pipeline!$C$5:$C$47,"oth",Pipeline!$Q$5:$Q$47,1,Pipeline!$P$5:$P$47,2030)</f>
        <v>0</v>
      </c>
      <c r="L295" s="24" t="n">
        <f aca="false">SUMIFS(Pipeline!$L$5:$L$47,Pipeline!$C$5:$C$47,"oth",Pipeline!$Q$5:$Q$47,1,Pipeline!$P$5:$P$47,2031)</f>
        <v>0</v>
      </c>
      <c r="M295" s="24" t="n">
        <f aca="false">SUMIFS(Pipeline!$L$5:$L$47,Pipeline!$C$5:$C$47,"oth",Pipeline!$Q$5:$Q$47,1,Pipeline!$P$5:$P$47,2032)</f>
        <v>0</v>
      </c>
    </row>
    <row r="296" customFormat="false" ht="17.15" hidden="false" customHeight="false" outlineLevel="0" collapsed="false">
      <c r="A296" s="5" t="s">
        <v>925</v>
      </c>
      <c r="B296" s="0" t="s">
        <v>1202</v>
      </c>
      <c r="C296" s="0" t="s">
        <v>76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927</v>
      </c>
      <c r="B297" s="0" t="s">
        <v>1203</v>
      </c>
      <c r="C297" s="0" t="s">
        <v>34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929</v>
      </c>
      <c r="B298" s="0" t="s">
        <v>1204</v>
      </c>
      <c r="C298" s="0" t="s">
        <v>76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931</v>
      </c>
      <c r="B299" s="0" t="s">
        <v>1205</v>
      </c>
      <c r="C299" s="0" t="s">
        <v>76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933</v>
      </c>
      <c r="B300" s="0" t="s">
        <v>1206</v>
      </c>
      <c r="C300" s="0" t="s">
        <v>76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935</v>
      </c>
      <c r="B301" s="0" t="s">
        <v>1207</v>
      </c>
      <c r="C301" s="0" t="s">
        <v>76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937</v>
      </c>
      <c r="B302" s="0" t="s">
        <v>1208</v>
      </c>
      <c r="C302" s="0" t="s">
        <v>76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939</v>
      </c>
      <c r="B303" s="0" t="s">
        <v>1209</v>
      </c>
      <c r="C303" s="0" t="s">
        <v>76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941</v>
      </c>
      <c r="B304" s="0" t="s">
        <v>1210</v>
      </c>
      <c r="C304" s="0" t="s">
        <v>51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1211</v>
      </c>
    </row>
    <row r="307" customFormat="false" ht="17.15" hidden="false" customHeight="false" outlineLevel="0" collapsed="false">
      <c r="A307" s="5" t="s">
        <v>1212</v>
      </c>
      <c r="B307" s="0" t="s">
        <v>1213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37.6525147943925</v>
      </c>
      <c r="H307" s="25" t="n">
        <f aca="false">SUM(H30,H49,H68,H87,H106,H125,H144,H163,H182,H201,H220,H239,H258,H277,H296)</f>
        <v>43.1401599188997</v>
      </c>
      <c r="I307" s="25" t="n">
        <f aca="false">SUM(I30,I49,I68,I87,I106,I125,I144,I163,I182,I201,I220,I239,I258,I277,I296)</f>
        <v>59.7282073131421</v>
      </c>
      <c r="J307" s="25" t="n">
        <f aca="false">SUM(J30,J49,J68,J87,J106,J125,J144,J163,J182,J201,J220,J239,J258,J277,J296)</f>
        <v>65.6632286441395</v>
      </c>
      <c r="K307" s="25" t="n">
        <f aca="false">SUM(K30,K49,K68,K87,K106,K125,K144,K163,K182,K201,K220,K239,K258,K277,K296)</f>
        <v>73.3052836661874</v>
      </c>
      <c r="L307" s="25" t="n">
        <f aca="false">SUM(L30,L49,L68,L87,L106,L125,L144,L163,L182,L201,L220,L239,L258,L277,L296)</f>
        <v>75.4591298200336</v>
      </c>
      <c r="M307" s="25" t="n">
        <f aca="false">SUM(M30,M49,M68,M87,M106,M125,M144,M163,M182,M201,M220,M239,M258,M277,M296)</f>
        <v>77.8283605892643</v>
      </c>
    </row>
    <row r="308" customFormat="false" ht="17.15" hidden="false" customHeight="false" outlineLevel="0" collapsed="false">
      <c r="A308" s="5" t="s">
        <v>1214</v>
      </c>
      <c r="B308" s="0" t="s">
        <v>1215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34.3858481277259</v>
      </c>
      <c r="H308" s="24" t="n">
        <f aca="false">SUM(H32,H51,H70,H89,H108,H127,H146,H165,H184,H203,H222,H241,H260,H279,H298)</f>
        <v>43.1401599188997</v>
      </c>
      <c r="I308" s="24" t="n">
        <f aca="false">SUM(I32,I51,I70,I89,I108,I127,I146,I165,I184,I203,I222,I241,I260,I279,I298)</f>
        <v>59.7282073131421</v>
      </c>
      <c r="J308" s="24" t="n">
        <f aca="false">SUM(J32,J51,J70,J89,J108,J127,J146,J165,J184,J203,J222,J241,J260,J279,J298)</f>
        <v>65.6632286441395</v>
      </c>
      <c r="K308" s="24" t="n">
        <f aca="false">SUM(K32,K51,K70,K89,K108,K127,K146,K165,K184,K203,K222,K241,K260,K279,K298)</f>
        <v>73.3052836661874</v>
      </c>
      <c r="L308" s="24" t="n">
        <f aca="false">SUM(L32,L51,L70,L89,L108,L127,L146,L165,L184,L203,L222,L241,L260,L279,L298)</f>
        <v>75.4591298200336</v>
      </c>
      <c r="M308" s="24" t="n">
        <f aca="false">SUM(M32,M51,M70,M89,M108,M127,M146,M165,M184,M203,M222,M241,M260,M279,M298)</f>
        <v>77.8283605892643</v>
      </c>
    </row>
    <row r="309" customFormat="false" ht="17.15" hidden="false" customHeight="false" outlineLevel="0" collapsed="false">
      <c r="A309" s="5" t="s">
        <v>1216</v>
      </c>
      <c r="B309" s="0" t="s">
        <v>1217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41.0191814610592</v>
      </c>
      <c r="H309" s="24" t="n">
        <f aca="false">SUM(H33,H52,H71,H90,H109,H128,H147,H166,H185,H204,H223,H242,H261,H280,H299)</f>
        <v>43.1401599188997</v>
      </c>
      <c r="I309" s="24" t="n">
        <f aca="false">SUM(I33,I52,I71,I90,I109,I128,I147,I166,I185,I204,I223,I242,I261,I280,I299)</f>
        <v>59.7282073131421</v>
      </c>
      <c r="J309" s="24" t="n">
        <f aca="false">SUM(J33,J52,J71,J90,J109,J128,J147,J166,J185,J204,J223,J242,J261,J280,J299)</f>
        <v>65.6632286441395</v>
      </c>
      <c r="K309" s="24" t="n">
        <f aca="false">SUM(K33,K52,K71,K90,K109,K128,K147,K166,K185,K204,K223,K242,K261,K280,K299)</f>
        <v>73.3052836661874</v>
      </c>
      <c r="L309" s="24" t="n">
        <f aca="false">SUM(L33,L52,L71,L90,L109,L128,L147,L166,L185,L204,L223,L242,L261,L280,L299)</f>
        <v>75.4591298200336</v>
      </c>
      <c r="M309" s="24" t="n">
        <f aca="false">SUM(M33,M52,M71,M90,M109,M128,M147,M166,M185,M204,M223,M242,M261,M280,M299)</f>
        <v>77.8283605892643</v>
      </c>
    </row>
    <row r="310" customFormat="false" ht="17.15" hidden="false" customHeight="false" outlineLevel="0" collapsed="false">
      <c r="A310" s="5" t="s">
        <v>1218</v>
      </c>
      <c r="B310" s="0" t="s">
        <v>1219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37.1358481277259</v>
      </c>
      <c r="H310" s="24" t="n">
        <f aca="false">SUM(H34,H53,H72,H91,H110,H129,H148,H167,H186,H205,H224,H243,H262,H281,H300)</f>
        <v>42.623493252233</v>
      </c>
      <c r="I310" s="24" t="n">
        <f aca="false">SUM(I34,I53,I72,I91,I110,I129,I148,I167,I186,I205,I224,I243,I262,I281,I300)</f>
        <v>59.2115406464754</v>
      </c>
      <c r="J310" s="24" t="n">
        <f aca="false">SUM(J34,J53,J72,J91,J110,J129,J148,J167,J186,J205,J224,J243,J262,J281,J300)</f>
        <v>65.1465619774728</v>
      </c>
      <c r="K310" s="24" t="n">
        <f aca="false">SUM(K34,K53,K72,K91,K110,K129,K148,K167,K186,K205,K224,K243,K262,K281,K300)</f>
        <v>72.5052836661874</v>
      </c>
      <c r="L310" s="24" t="n">
        <f aca="false">SUM(L34,L53,L72,L91,L110,L129,L148,L167,L186,L205,L224,L243,L262,L281,L300)</f>
        <v>74.6591298200336</v>
      </c>
      <c r="M310" s="24" t="n">
        <f aca="false">SUM(M34,M53,M72,M91,M110,M129,M148,M167,M186,M205,M224,M243,M262,M281,M300)</f>
        <v>77.0283605892643</v>
      </c>
    </row>
    <row r="311" customFormat="false" ht="17.15" hidden="false" customHeight="false" outlineLevel="0" collapsed="false">
      <c r="A311" s="5" t="s">
        <v>1220</v>
      </c>
      <c r="B311" s="0" t="s">
        <v>1221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45.183017753271</v>
      </c>
      <c r="H311" s="24" t="n">
        <f aca="false">H307*H$13</f>
        <v>51.7681919026796</v>
      </c>
      <c r="I311" s="24" t="n">
        <f aca="false">I307*I$13</f>
        <v>71.6738487757705</v>
      </c>
      <c r="J311" s="24" t="n">
        <f aca="false">J307*J$13</f>
        <v>78.7958743729674</v>
      </c>
      <c r="K311" s="24" t="n">
        <f aca="false">K307*K$13</f>
        <v>87.9663403994249</v>
      </c>
      <c r="L311" s="24" t="n">
        <f aca="false">L307*L$13</f>
        <v>90.5509557840403</v>
      </c>
      <c r="M311" s="24" t="n">
        <f aca="false">M307*M$13</f>
        <v>93.3940327071172</v>
      </c>
    </row>
    <row r="312" customFormat="false" ht="17.15" hidden="false" customHeight="false" outlineLevel="0" collapsed="false">
      <c r="A312" s="5" t="s">
        <v>1222</v>
      </c>
      <c r="B312" s="0" t="s">
        <v>1223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31.4948290638629</v>
      </c>
      <c r="H312" s="24" t="n">
        <f aca="false">(G307+H307)/2</f>
        <v>40.3963373566461</v>
      </c>
      <c r="I312" s="24" t="n">
        <f aca="false">(H307+I307)/2</f>
        <v>51.4341836160209</v>
      </c>
      <c r="J312" s="24" t="n">
        <f aca="false">(I307+J307)/2</f>
        <v>62.6957179786408</v>
      </c>
      <c r="K312" s="24" t="n">
        <f aca="false">(J307+K307)/2</f>
        <v>69.4842561551635</v>
      </c>
      <c r="L312" s="24" t="n">
        <f aca="false">(K307+L307)/2</f>
        <v>74.3822067431105</v>
      </c>
      <c r="M312" s="24" t="n">
        <f aca="false">(L307+M307)/2</f>
        <v>76.6437452046489</v>
      </c>
    </row>
    <row r="313" customFormat="false" ht="17.15" hidden="false" customHeight="false" outlineLevel="0" collapsed="false">
      <c r="A313" s="5" t="s">
        <v>1224</v>
      </c>
      <c r="B313" s="0" t="s">
        <v>1225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12.3153714610592</v>
      </c>
      <c r="H313" s="24" t="n">
        <f aca="false">SUM(H36,H55,H74,H93,H112,H131,H150,H169,H188,H207,H226,H245,H264,H283,H302)</f>
        <v>5.48764512450717</v>
      </c>
      <c r="I313" s="24" t="n">
        <f aca="false">SUM(I36,I55,I74,I93,I112,I131,I150,I169,I188,I207,I226,I245,I264,I283,I302)</f>
        <v>16.5880473942424</v>
      </c>
      <c r="J313" s="24" t="n">
        <f aca="false">SUM(J36,J55,J74,J93,J112,J131,J150,J169,J188,J207,J226,J245,J264,J283,J302)</f>
        <v>5.93502133099745</v>
      </c>
      <c r="K313" s="24" t="n">
        <f aca="false">SUM(K36,K55,K74,K93,K112,K131,K150,K169,K188,K207,K226,K245,K264,K283,K302)</f>
        <v>7.6420550220479</v>
      </c>
      <c r="L313" s="24" t="n">
        <f aca="false">SUM(L36,L55,L74,L93,L112,L131,L150,L169,L188,L207,L226,L245,L264,L283,L302)</f>
        <v>2.15384615384616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1226</v>
      </c>
      <c r="B314" s="0" t="s">
        <v>1227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1228</v>
      </c>
      <c r="B315" s="0" t="s">
        <v>1229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25.9858481277259</v>
      </c>
      <c r="H315" s="24" t="n">
        <f aca="false">H307-N(H277)</f>
        <v>29.4839887943925</v>
      </c>
      <c r="I315" s="24" t="n">
        <f aca="false">I307-N(I277)</f>
        <v>43.7908221277259</v>
      </c>
      <c r="J315" s="24" t="n">
        <f aca="false">J307-N(J277)</f>
        <v>47.1133221277259</v>
      </c>
      <c r="K315" s="24" t="n">
        <f aca="false">K307-N(K277)</f>
        <v>51.7668221277259</v>
      </c>
      <c r="L315" s="24" t="n">
        <f aca="false">L307-N(L277)</f>
        <v>51.7668221277259</v>
      </c>
      <c r="M315" s="24" t="n">
        <f aca="false">M307-N(M277)</f>
        <v>51.7668221277259</v>
      </c>
    </row>
    <row r="316" customFormat="false" ht="15" hidden="false" customHeight="false" outlineLevel="0" collapsed="false">
      <c r="A316" s="5" t="s">
        <v>1230</v>
      </c>
      <c r="B316" s="0" t="s">
        <v>1231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1232</v>
      </c>
    </row>
    <row r="3" customFormat="false" ht="17.15" hidden="false" customHeight="false" outlineLevel="0" collapsed="false">
      <c r="A3" s="8" t="s">
        <v>1233</v>
      </c>
    </row>
    <row r="4" customFormat="false" ht="17.15" hidden="false" customHeight="false" outlineLevel="0" collapsed="false">
      <c r="A4" s="6" t="s">
        <v>497</v>
      </c>
      <c r="B4" s="6" t="s">
        <v>13</v>
      </c>
      <c r="C4" s="6" t="s">
        <v>1234</v>
      </c>
      <c r="D4" s="7" t="s">
        <v>1235</v>
      </c>
      <c r="E4" s="7" t="s">
        <v>1236</v>
      </c>
      <c r="F4" s="7" t="s">
        <v>1237</v>
      </c>
      <c r="G4" s="7" t="s">
        <v>981</v>
      </c>
      <c r="H4" s="7" t="s">
        <v>1238</v>
      </c>
      <c r="I4" s="7" t="s">
        <v>1239</v>
      </c>
      <c r="J4" s="6" t="s">
        <v>1240</v>
      </c>
      <c r="K4" s="6" t="s">
        <v>1241</v>
      </c>
      <c r="L4" s="6" t="s">
        <v>1242</v>
      </c>
      <c r="M4" s="7" t="s">
        <v>1243</v>
      </c>
      <c r="N4" s="6" t="s">
        <v>1244</v>
      </c>
    </row>
    <row r="5" customFormat="false" ht="17.15" hidden="false" customHeight="false" outlineLevel="0" collapsed="false">
      <c r="A5" s="0" t="s">
        <v>1245</v>
      </c>
      <c r="B5" s="0" t="s">
        <v>504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1246</v>
      </c>
      <c r="B6" s="0" t="s">
        <v>509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1247</v>
      </c>
      <c r="B7" s="0" t="s">
        <v>517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981</v>
      </c>
      <c r="B8" s="0" t="s">
        <v>524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1248</v>
      </c>
      <c r="B9" s="0" t="s">
        <v>528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1019</v>
      </c>
      <c r="B10" s="0" t="s">
        <v>618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1038</v>
      </c>
      <c r="B11" s="0" t="s">
        <v>647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1249</v>
      </c>
      <c r="B12" s="0" t="s">
        <v>1058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1250</v>
      </c>
      <c r="B13" s="0" t="s">
        <v>533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1251</v>
      </c>
      <c r="B14" s="0" t="s">
        <v>529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1252</v>
      </c>
      <c r="B15" s="0" t="s">
        <v>513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1253</v>
      </c>
      <c r="B16" s="0" t="s">
        <v>543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1254</v>
      </c>
      <c r="B17" s="0" t="s">
        <v>640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1255</v>
      </c>
      <c r="B18" s="0" t="s">
        <v>550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1256</v>
      </c>
      <c r="B19" s="0" t="s">
        <v>1192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1257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1258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1259</v>
      </c>
    </row>
    <row r="22" customFormat="false" ht="17.15" hidden="false" customHeight="false" outlineLevel="0" collapsed="false">
      <c r="A22" s="5" t="s">
        <v>1260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1259</v>
      </c>
    </row>
    <row r="24" customFormat="false" ht="17.15" hidden="false" customHeight="false" outlineLevel="0" collapsed="false">
      <c r="A24" s="8" t="s">
        <v>1261</v>
      </c>
    </row>
    <row r="25" customFormat="false" ht="17.15" hidden="false" customHeight="false" outlineLevel="0" collapsed="false">
      <c r="A25" s="6" t="s">
        <v>497</v>
      </c>
      <c r="B25" s="6" t="s">
        <v>13</v>
      </c>
      <c r="C25" s="6" t="s">
        <v>1234</v>
      </c>
      <c r="D25" s="7" t="s">
        <v>1235</v>
      </c>
      <c r="E25" s="7" t="s">
        <v>1236</v>
      </c>
      <c r="F25" s="7" t="s">
        <v>1237</v>
      </c>
      <c r="G25" s="7" t="s">
        <v>981</v>
      </c>
      <c r="H25" s="7" t="s">
        <v>1238</v>
      </c>
      <c r="I25" s="7" t="s">
        <v>1239</v>
      </c>
      <c r="J25" s="6" t="s">
        <v>1240</v>
      </c>
      <c r="K25" s="6" t="s">
        <v>1241</v>
      </c>
      <c r="L25" s="6" t="s">
        <v>1242</v>
      </c>
      <c r="M25" s="7" t="s">
        <v>1243</v>
      </c>
      <c r="N25" s="6" t="s">
        <v>1244</v>
      </c>
    </row>
    <row r="26" customFormat="false" ht="17.15" hidden="false" customHeight="false" outlineLevel="0" collapsed="false">
      <c r="A26" s="0" t="s">
        <v>1245</v>
      </c>
      <c r="B26" s="0" t="s">
        <v>504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1246</v>
      </c>
      <c r="B27" s="0" t="s">
        <v>509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1247</v>
      </c>
      <c r="B28" s="0" t="s">
        <v>517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981</v>
      </c>
      <c r="B29" s="0" t="s">
        <v>524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1248</v>
      </c>
      <c r="B30" s="0" t="s">
        <v>528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1019</v>
      </c>
      <c r="B31" s="0" t="s">
        <v>618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1038</v>
      </c>
      <c r="B32" s="0" t="s">
        <v>647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1249</v>
      </c>
      <c r="B33" s="0" t="s">
        <v>1058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1250</v>
      </c>
      <c r="B34" s="0" t="s">
        <v>533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1251</v>
      </c>
      <c r="B35" s="0" t="s">
        <v>529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1252</v>
      </c>
      <c r="B36" s="0" t="s">
        <v>513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1253</v>
      </c>
      <c r="B37" s="0" t="s">
        <v>543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1254</v>
      </c>
      <c r="B38" s="0" t="s">
        <v>640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0.2</v>
      </c>
      <c r="L38" s="24" t="n">
        <f aca="false">SUM(C38:K38)</f>
        <v>0.2</v>
      </c>
      <c r="M38" s="27" t="n">
        <f aca="false">N(Players!G258)</f>
        <v>0.2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1255</v>
      </c>
      <c r="B39" s="0" t="s">
        <v>550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1256</v>
      </c>
      <c r="B40" s="0" t="s">
        <v>1192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1257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13.3219777383178</v>
      </c>
      <c r="L41" s="24" t="n">
        <f aca="false">SUM(L26:L40)</f>
        <v>37.6525147943925</v>
      </c>
      <c r="M41" s="24" t="n">
        <f aca="false">SUM(M26:M40)</f>
        <v>37.6525147943925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1258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1259</v>
      </c>
    </row>
    <row r="43" customFormat="false" ht="17.15" hidden="false" customHeight="false" outlineLevel="0" collapsed="false">
      <c r="A43" s="5" t="s">
        <v>1260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1259</v>
      </c>
    </row>
    <row r="45" customFormat="false" ht="17.15" hidden="false" customHeight="false" outlineLevel="0" collapsed="false">
      <c r="A45" s="8" t="s">
        <v>1262</v>
      </c>
    </row>
    <row r="46" customFormat="false" ht="17.15" hidden="false" customHeight="false" outlineLevel="0" collapsed="false">
      <c r="A46" s="6" t="s">
        <v>497</v>
      </c>
      <c r="B46" s="6" t="s">
        <v>13</v>
      </c>
      <c r="C46" s="6" t="s">
        <v>1234</v>
      </c>
      <c r="D46" s="7" t="s">
        <v>1235</v>
      </c>
      <c r="E46" s="7" t="s">
        <v>1236</v>
      </c>
      <c r="F46" s="7" t="s">
        <v>1237</v>
      </c>
      <c r="G46" s="7" t="s">
        <v>981</v>
      </c>
      <c r="H46" s="7" t="s">
        <v>1238</v>
      </c>
      <c r="I46" s="7" t="s">
        <v>1239</v>
      </c>
      <c r="J46" s="6" t="s">
        <v>1240</v>
      </c>
      <c r="K46" s="6" t="s">
        <v>1241</v>
      </c>
      <c r="L46" s="6" t="s">
        <v>1242</v>
      </c>
      <c r="M46" s="7" t="s">
        <v>1243</v>
      </c>
      <c r="N46" s="6" t="s">
        <v>1244</v>
      </c>
    </row>
    <row r="47" customFormat="false" ht="17.15" hidden="false" customHeight="false" outlineLevel="0" collapsed="false">
      <c r="A47" s="0" t="s">
        <v>1245</v>
      </c>
      <c r="B47" s="0" t="s">
        <v>504</v>
      </c>
      <c r="C47" s="24" t="n">
        <f aca="false">SUMPRODUCT((In!$H$170:$H$182="msft")*(In!$I$170:$I$182="self")*((In!$J$170:$J$182="比")*$M47+(In!$J$170:$J$182&lt;&gt;"比"))*In!M$170:M$182)</f>
        <v>2.16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3.24</v>
      </c>
      <c r="L47" s="24" t="n">
        <f aca="false">SUM(C47:K47)</f>
        <v>5.4</v>
      </c>
      <c r="M47" s="27" t="n">
        <f aca="false">N(Players!H30)</f>
        <v>5.4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1246</v>
      </c>
      <c r="B48" s="0" t="s">
        <v>509</v>
      </c>
      <c r="C48" s="24" t="n">
        <f aca="false">SUMPRODUCT((In!$H$170:$H$182="googl")*(In!$I$170:$I$182="self")*((In!$J$170:$J$182="比")*$M48+(In!$J$170:$J$182&lt;&gt;"比"))*In!M$170:M$182)</f>
        <v>3.9148753894081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0.677803738317758</v>
      </c>
      <c r="L48" s="24" t="n">
        <f aca="false">SUM(C48:K48)</f>
        <v>5.59267912772586</v>
      </c>
      <c r="M48" s="27" t="n">
        <f aca="false">N(Players!H49)</f>
        <v>5.59267912772586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1247</v>
      </c>
      <c r="B49" s="0" t="s">
        <v>517</v>
      </c>
      <c r="C49" s="24" t="n">
        <f aca="false">SUMPRODUCT((In!$H$170:$H$182="amzn")*(In!$I$170:$I$182="self")*((In!$J$170:$J$182="比")*$M49+(In!$J$170:$J$182&lt;&gt;"比"))*In!M$170:M$182)</f>
        <v>0.5454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1.1446</v>
      </c>
      <c r="L49" s="24" t="n">
        <f aca="false">SUM(C49:K49)</f>
        <v>2.727</v>
      </c>
      <c r="M49" s="27" t="n">
        <f aca="false">N(Players!H68)</f>
        <v>2.727</v>
      </c>
      <c r="N49" s="28" t="n">
        <f aca="false">L49-M49</f>
        <v>0</v>
      </c>
    </row>
    <row r="50" customFormat="false" ht="15" hidden="false" customHeight="false" outlineLevel="0" collapsed="false">
      <c r="A50" s="0" t="s">
        <v>981</v>
      </c>
      <c r="B50" s="0" t="s">
        <v>524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3.344595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1248</v>
      </c>
      <c r="B51" s="0" t="s">
        <v>528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1019</v>
      </c>
      <c r="B52" s="0" t="s">
        <v>618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1038</v>
      </c>
      <c r="B53" s="0" t="s">
        <v>647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0.9</v>
      </c>
      <c r="L53" s="24" t="n">
        <f aca="false">SUM(C53:K53)</f>
        <v>0.9</v>
      </c>
      <c r="M53" s="27" t="n">
        <f aca="false">N(Players!H144)</f>
        <v>0.9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1249</v>
      </c>
      <c r="B54" s="0" t="s">
        <v>1058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1250</v>
      </c>
      <c r="B55" s="0" t="s">
        <v>533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1.81</v>
      </c>
      <c r="L55" s="24" t="n">
        <f aca="false">SUM(C55:K55)</f>
        <v>2</v>
      </c>
      <c r="M55" s="27" t="n">
        <f aca="false">N(Players!H182)</f>
        <v>2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1251</v>
      </c>
      <c r="B56" s="0" t="s">
        <v>529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</v>
      </c>
      <c r="M56" s="27" t="n">
        <f aca="false">N(Players!H201)</f>
        <v>0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1252</v>
      </c>
      <c r="B57" s="0" t="s">
        <v>513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1253</v>
      </c>
      <c r="B58" s="0" t="s">
        <v>543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1.6</v>
      </c>
      <c r="L58" s="24" t="n">
        <f aca="false">SUM(C58:K58)</f>
        <v>2</v>
      </c>
      <c r="M58" s="27" t="n">
        <f aca="false">N(Players!H239)</f>
        <v>2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1254</v>
      </c>
      <c r="B59" s="0" t="s">
        <v>640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0.2</v>
      </c>
      <c r="L59" s="24" t="n">
        <f aca="false">SUM(C59:K59)</f>
        <v>0.2</v>
      </c>
      <c r="M59" s="27" t="n">
        <f aca="false">N(Players!H258)</f>
        <v>0.2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1255</v>
      </c>
      <c r="B60" s="0" t="s">
        <v>550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1256</v>
      </c>
      <c r="B61" s="0" t="s">
        <v>1192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1257</v>
      </c>
      <c r="C62" s="24" t="n">
        <f aca="false">SUM(C47:C61)</f>
        <v>20.2764465139153</v>
      </c>
      <c r="D62" s="24" t="n">
        <f aca="false">SUM(D47:D61)</f>
        <v>0.991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15.9011184049844</v>
      </c>
      <c r="L62" s="24" t="n">
        <f aca="false">SUM(L47:L61)</f>
        <v>43.1401599188997</v>
      </c>
      <c r="M62" s="24" t="n">
        <f aca="false">SUM(M47:M61)</f>
        <v>43.1401599188997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1258</v>
      </c>
      <c r="D63" s="24" t="n">
        <f aca="false">IF(In!L156="","",IF(In!$C$156="設施",In!L156/Players!H$13,In!L156))</f>
        <v>11</v>
      </c>
      <c r="L63" s="29" t="n">
        <f aca="false">IF(OR(D63="",N(D63)=0),"",D62/D63)</f>
        <v>0.0900909090909091</v>
      </c>
      <c r="M63" s="5" t="s">
        <v>1259</v>
      </c>
    </row>
    <row r="64" customFormat="false" ht="17.15" hidden="false" customHeight="false" outlineLevel="0" collapsed="false">
      <c r="A64" s="5" t="s">
        <v>1260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1263</v>
      </c>
    </row>
    <row r="3" customFormat="false" ht="17.15" hidden="false" customHeight="false" outlineLevel="0" collapsed="false">
      <c r="A3" s="8" t="s">
        <v>1264</v>
      </c>
    </row>
    <row r="4" customFormat="false" ht="17.15" hidden="false" customHeight="false" outlineLevel="0" collapsed="false">
      <c r="A4" s="6" t="s">
        <v>1265</v>
      </c>
      <c r="B4" s="6" t="s">
        <v>1266</v>
      </c>
      <c r="C4" s="6" t="s">
        <v>497</v>
      </c>
      <c r="D4" s="6" t="s">
        <v>498</v>
      </c>
      <c r="E4" s="7" t="s">
        <v>111</v>
      </c>
      <c r="F4" s="6" t="s">
        <v>15</v>
      </c>
      <c r="G4" s="6" t="s">
        <v>556</v>
      </c>
      <c r="H4" s="6" t="s">
        <v>553</v>
      </c>
      <c r="I4" s="6" t="s">
        <v>554</v>
      </c>
      <c r="J4" s="6" t="s">
        <v>555</v>
      </c>
      <c r="K4" s="7" t="s">
        <v>1267</v>
      </c>
      <c r="L4" s="7" t="s">
        <v>1268</v>
      </c>
      <c r="M4" s="7" t="s">
        <v>1269</v>
      </c>
      <c r="N4" s="7" t="s">
        <v>1270</v>
      </c>
      <c r="O4" s="7" t="s">
        <v>1271</v>
      </c>
      <c r="P4" s="7" t="s">
        <v>1272</v>
      </c>
      <c r="Q4" s="6" t="s">
        <v>1273</v>
      </c>
      <c r="R4" s="7" t="s">
        <v>1274</v>
      </c>
      <c r="S4" s="6" t="s">
        <v>557</v>
      </c>
    </row>
    <row r="5" customFormat="false" ht="15" hidden="false" customHeight="false" outlineLevel="0" collapsed="false">
      <c r="A5" s="0" t="s">
        <v>558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636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11</v>
      </c>
      <c r="J5" s="19" t="n">
        <f aca="false">N(In!M186)</f>
        <v>0</v>
      </c>
      <c r="K5" s="24" t="n">
        <f aca="false">IF(OR(H5="",I5=""),9999,H5+I5/12)</f>
        <v>2025.91666666667</v>
      </c>
      <c r="L5" s="24" t="n">
        <f aca="false">IF(E5="",0,IF(F5="設施",E5/1000/INDEX(Players!$D$13:$M$13,1,MAX(1,MIN(10,H5-2022))),E5/1000*g_ITtoFac))</f>
        <v>0.636</v>
      </c>
      <c r="M5" s="24" t="n">
        <f aca="false">K5</f>
        <v>2025.91666666667</v>
      </c>
      <c r="N5" s="24" t="n">
        <f aca="false">IF(K5&gt;asof,K5+N(J5)/12,K5)</f>
        <v>2025.91666666667</v>
      </c>
      <c r="O5" s="24" t="n">
        <f aca="false">IF(K5&gt;asof,K5+IF(N(J5)&gt;0,N(J5),dly_d1_m)/12,K5)</f>
        <v>2025.91666666667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561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6</v>
      </c>
      <c r="J6" s="19" t="n">
        <f aca="false">N(In!M187)</f>
        <v>0</v>
      </c>
      <c r="K6" s="24" t="n">
        <f aca="false">IF(OR(H6="",I6=""),9999,H6+I6/12)</f>
        <v>2026.5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2026.5</v>
      </c>
      <c r="N6" s="24" t="n">
        <f aca="false">IF(K6&gt;asof,K6+N(J6)/12,K6)</f>
        <v>2026.5</v>
      </c>
      <c r="O6" s="24" t="n">
        <f aca="false">IF(K6&gt;asof,K6+IF(N(J6)&gt;0,N(J6),dly_d1_m)/12,K6)</f>
        <v>2026.5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564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1894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1.894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567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900</v>
      </c>
      <c r="F8" s="19" t="str">
        <f aca="false">In!C189</f>
        <v>未說明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0.9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570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573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576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579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582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585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9</v>
      </c>
      <c r="J14" s="19" t="n">
        <f aca="false">N(In!M195)</f>
        <v>0</v>
      </c>
      <c r="K14" s="24" t="n">
        <f aca="false">IF(OR(H14="",I14=""),9999,H14+I14/12)</f>
        <v>2028.75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2028.75</v>
      </c>
      <c r="N14" s="24" t="n">
        <f aca="false">IF(K14&gt;asof,K14+N(J14)/12,K14)</f>
        <v>2028.75</v>
      </c>
      <c r="O14" s="24" t="n">
        <f aca="false">IF(K14&gt;asof,K14+IF(N(J14)&gt;0,N(J14),dly_d1_m)/12,K14)</f>
        <v>2029.25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588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591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594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597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600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200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8</v>
      </c>
      <c r="J19" s="19" t="n">
        <f aca="false">N(In!M200)</f>
        <v>0</v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603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1800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606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12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2030</v>
      </c>
      <c r="O21" s="24" t="n">
        <f aca="false">IF(K21&gt;asof,K21+IF(N(J21)&gt;0,N(J21),dly_d1_m)/12,K21)</f>
        <v>2030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609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612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1400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1.16666666666667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615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619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622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625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628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630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1417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1.417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633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1417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1.417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635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1416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1.416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637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6</v>
      </c>
      <c r="J32" s="19" t="n">
        <f aca="false">N(In!M213)</f>
        <v>0</v>
      </c>
      <c r="K32" s="24" t="n">
        <f aca="false">IF(OR(H32="",I32=""),9999,H32+I32/12)</f>
        <v>2026.5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2026.5</v>
      </c>
      <c r="N32" s="24" t="n">
        <f aca="false">IF(K32&gt;asof,K32+N(J32)/12,K32)</f>
        <v>2026.5</v>
      </c>
      <c r="O32" s="24" t="n">
        <f aca="false">IF(K32&gt;asof,K32+IF(N(J32)&gt;0,N(J32),dly_d1_m)/12,K32)</f>
        <v>2026.5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641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1700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2030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2031</v>
      </c>
      <c r="L33" s="24" t="n">
        <f aca="false">IF(E33="",0,IF(F33="設施",E33/1000/INDEX(Players!$D$13:$M$13,1,MAX(1,MIN(10,H33-2022))),E33/1000*g_ITtoFac))</f>
        <v>1.7</v>
      </c>
      <c r="M33" s="24" t="n">
        <f aca="false">K33</f>
        <v>2031</v>
      </c>
      <c r="N33" s="24" t="n">
        <f aca="false">IF(K33&gt;asof,K33+N(J33)/12,K33)</f>
        <v>2031</v>
      </c>
      <c r="O33" s="24" t="n">
        <f aca="false">IF(K33&gt;asof,K33+IF(N(J33)&gt;0,N(J33),dly_d1_m)/12,K33)</f>
        <v>2031.5</v>
      </c>
      <c r="P33" s="20" t="n">
        <f aca="false">IF(K33=9999,"",ROUNDUP(K33,0)-1)</f>
        <v>2030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0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644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310</v>
      </c>
      <c r="F34" s="19" t="str">
        <f aca="false">In!C215</f>
        <v>未說明</v>
      </c>
      <c r="G34" s="19" t="n">
        <f aca="false">IF(In!N215="","",In!N215)</f>
        <v>0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648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1200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1.2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651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1200</v>
      </c>
      <c r="F36" s="19" t="str">
        <f aca="false">In!C217</f>
        <v>未說明</v>
      </c>
      <c r="G36" s="19" t="n">
        <f aca="false">IF(In!N217="","",In!N217)</f>
        <v>0</v>
      </c>
      <c r="H36" s="19" t="n">
        <f aca="false">IF(In!K217="","",In!K217)</f>
        <v>2027</v>
      </c>
      <c r="I36" s="19" t="n">
        <f aca="false">IF(In!L217="","",In!L217)</f>
        <v>12</v>
      </c>
      <c r="J36" s="19" t="n">
        <f aca="false">N(In!M217)</f>
        <v>0</v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654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300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0.3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657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660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663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857</v>
      </c>
      <c r="F40" s="19" t="str">
        <f aca="false">In!C221</f>
        <v>IT</v>
      </c>
      <c r="G40" s="19" t="n">
        <f aca="false">IF(In!N221="","",In!N221)</f>
        <v>0</v>
      </c>
      <c r="H40" s="19" t="n">
        <f aca="false">IF(In!K221="","",In!K221)</f>
        <v>2026</v>
      </c>
      <c r="I40" s="19" t="n">
        <f aca="false">IF(In!L221="","",In!L221)</f>
        <v>10</v>
      </c>
      <c r="J40" s="19" t="n">
        <f aca="false">N(In!M221)</f>
        <v>0</v>
      </c>
      <c r="K40" s="24" t="n">
        <f aca="false">IF(OR(H40="",I40=""),9999,H40+I40/12)</f>
        <v>2026.83333333333</v>
      </c>
      <c r="L40" s="24" t="n">
        <f aca="false">IF(E40="",0,IF(F40="設施",E40/1000/INDEX(Players!$D$13:$M$13,1,MAX(1,MIN(10,H40-2022))),E40/1000*g_ITtoFac))</f>
        <v>0.857</v>
      </c>
      <c r="M40" s="24" t="n">
        <f aca="false">K40</f>
        <v>2026.83333333333</v>
      </c>
      <c r="N40" s="24" t="n">
        <f aca="false">IF(K40&gt;asof,K40+N(J40)/12,K40)</f>
        <v>2026.83333333333</v>
      </c>
      <c r="O40" s="24" t="n">
        <f aca="false">IF(K40&gt;asof,K40+IF(N(J40)&gt;0,N(J40),dly_d1_m)/12,K40)</f>
        <v>2027.33333333333</v>
      </c>
      <c r="P40" s="20" t="n">
        <f aca="false">IF(K40=9999,"",ROUNDUP(K40,0)-1)</f>
        <v>2026</v>
      </c>
      <c r="Q40" s="20" t="n">
        <f aca="false">IF(AND(N(G40)=1,K40&lt;9999,L40&gt;0),1,0)</f>
        <v>0</v>
      </c>
      <c r="R40" s="20" t="n">
        <f aca="false">IF(AND(K40&gt;asof,K40&lt;9999,N(S40)&lt;&gt;1,P40&gt;=dly_d2_y0,P40&lt;=dly_d2_y1),1,0)</f>
        <v>0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666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0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669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672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0</v>
      </c>
      <c r="H43" s="19" t="n">
        <f aca="false">IF(In!K224="","",In!K224)</f>
        <v>2026</v>
      </c>
      <c r="I43" s="19" t="n">
        <f aca="false">IF(In!L224="","",In!L224)</f>
        <v>9</v>
      </c>
      <c r="J43" s="19" t="n">
        <f aca="false">N(In!M224)</f>
        <v>0</v>
      </c>
      <c r="K43" s="24" t="n">
        <f aca="false">IF(OR(H43="",I43=""),9999,H43+I43/12)</f>
        <v>2026.75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2026.75</v>
      </c>
      <c r="N43" s="24" t="n">
        <f aca="false">IF(K43&gt;asof,K43+N(J43)/12,K43)</f>
        <v>2026.75</v>
      </c>
      <c r="O43" s="24" t="n">
        <f aca="false">IF(K43&gt;asof,K43+IF(N(J43)&gt;0,N(J43),dly_d1_m)/12,K43)</f>
        <v>2026.75</v>
      </c>
      <c r="P43" s="20" t="n">
        <f aca="false">IF(K43=9999,"",ROUNDUP(K43,0)-1)</f>
        <v>2026</v>
      </c>
      <c r="Q43" s="20" t="n">
        <f aca="false">IF(AND(N(G43)=1,K43&lt;9999,L43&gt;0),1,0)</f>
        <v>0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675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1400</v>
      </c>
      <c r="F44" s="19" t="str">
        <f aca="false">In!C225</f>
        <v>未說明</v>
      </c>
      <c r="G44" s="19" t="n">
        <f aca="false">IF(In!N225="","",In!N225)</f>
        <v>0</v>
      </c>
      <c r="H44" s="19" t="n">
        <f aca="false">IF(In!K225="","",In!K225)</f>
        <v>2028</v>
      </c>
      <c r="I44" s="19" t="n">
        <f aca="false">IF(In!L225="","",In!L225)</f>
        <v>12</v>
      </c>
      <c r="J44" s="19" t="n">
        <f aca="false">N(In!M225)</f>
        <v>0</v>
      </c>
      <c r="K44" s="24" t="n">
        <f aca="false">IF(OR(H44="",I44=""),9999,H44+I44/12)</f>
        <v>2029</v>
      </c>
      <c r="L44" s="24" t="n">
        <f aca="false">IF(E44="",0,IF(F44="設施",E44/1000/INDEX(Players!$D$13:$M$13,1,MAX(1,MIN(10,H44-2022))),E44/1000*g_ITtoFac))</f>
        <v>1.4</v>
      </c>
      <c r="M44" s="24" t="n">
        <f aca="false">K44</f>
        <v>2029</v>
      </c>
      <c r="N44" s="24" t="n">
        <f aca="false">IF(K44&gt;asof,K44+N(J44)/12,K44)</f>
        <v>2029</v>
      </c>
      <c r="O44" s="24" t="n">
        <f aca="false">IF(K44&gt;asof,K44+IF(N(J44)&gt;0,N(J44),dly_d1_m)/12,K44)</f>
        <v>2029.5</v>
      </c>
      <c r="P44" s="20" t="n">
        <f aca="false">IF(K44=9999,"",ROUNDUP(K44,0)-1)</f>
        <v>2028</v>
      </c>
      <c r="Q44" s="20" t="n">
        <f aca="false">IF(AND(N(G44)=1,K44&lt;9999,L44&gt;0),1,0)</f>
        <v>0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678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681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684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0</v>
      </c>
      <c r="H47" s="19" t="n">
        <f aca="false">IF(In!K228="","",In!K228)</f>
        <v>2027</v>
      </c>
      <c r="I47" s="19" t="n">
        <f aca="false">IF(In!L228="","",In!L228)</f>
        <v>12</v>
      </c>
      <c r="J47" s="19" t="n">
        <f aca="false">N(In!M228)</f>
        <v>0</v>
      </c>
      <c r="K47" s="24" t="n">
        <f aca="false">IF(OR(H47="",I47=""),9999,H47+I47/12)</f>
        <v>2028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2028</v>
      </c>
      <c r="N47" s="24" t="n">
        <f aca="false">IF(K47&gt;asof,K47+N(J47)/12,K47)</f>
        <v>2028</v>
      </c>
      <c r="O47" s="24" t="n">
        <f aca="false">IF(K47&gt;asof,K47+IF(N(J47)&gt;0,N(J47),dly_d1_m)/12,K47)</f>
        <v>2028.5</v>
      </c>
      <c r="P47" s="20" t="n">
        <f aca="false">IF(K47=9999,"",ROUNDUP(K47,0)-1)</f>
        <v>2027</v>
      </c>
      <c r="Q47" s="20" t="n">
        <f aca="false">IF(AND(N(G47)=1,K47&lt;9999,L47&gt;0),1,0)</f>
        <v>0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9" customFormat="false" ht="17.15" hidden="false" customHeight="false" outlineLevel="0" collapsed="false">
      <c r="A49" s="8" t="s">
        <v>1275</v>
      </c>
    </row>
    <row r="50" customFormat="false" ht="15" hidden="false" customHeight="false" outlineLevel="0" collapsed="false">
      <c r="A50" s="6" t="s">
        <v>1276</v>
      </c>
      <c r="B50" s="6" t="s">
        <v>13</v>
      </c>
      <c r="C50" s="6" t="s">
        <v>1277</v>
      </c>
      <c r="D50" s="7" t="s">
        <v>20</v>
      </c>
      <c r="E50" s="7" t="s">
        <v>21</v>
      </c>
      <c r="F50" s="7" t="s">
        <v>22</v>
      </c>
      <c r="G50" s="7" t="s">
        <v>23</v>
      </c>
      <c r="H50" s="7" t="s">
        <v>24</v>
      </c>
      <c r="I50" s="7" t="s">
        <v>25</v>
      </c>
      <c r="J50" s="7" t="s">
        <v>26</v>
      </c>
      <c r="K50" s="7" t="s">
        <v>27</v>
      </c>
      <c r="L50" s="7" t="s">
        <v>28</v>
      </c>
      <c r="M50" s="7" t="s">
        <v>29</v>
      </c>
    </row>
    <row r="51" customFormat="false" ht="17.15" hidden="false" customHeight="false" outlineLevel="0" collapsed="false">
      <c r="A51" s="0" t="s">
        <v>1245</v>
      </c>
      <c r="B51" s="0" t="s">
        <v>504</v>
      </c>
      <c r="C51" s="5" t="s">
        <v>1278</v>
      </c>
      <c r="E51" s="24" t="n">
        <f aca="false">Players!E36-SUMIFS($L$5:$L$47,$C$5:$C$47,"msft",$Q$5:$Q$47,1,$P$5:$P$47,2024)</f>
        <v>0</v>
      </c>
      <c r="F51" s="24" t="n">
        <f aca="false">Players!F36-SUMIFS($L$5:$L$47,$C$5:$C$47,"msft",$Q$5:$Q$47,1,$P$5:$P$47,2025)</f>
        <v>1.49927</v>
      </c>
      <c r="G51" s="24" t="n">
        <f aca="false">Players!G36-SUMIFS($L$5:$L$47,$C$5:$C$47,"msft",$Q$5:$Q$47,1,$P$5:$P$47,2026)</f>
        <v>0.401955</v>
      </c>
      <c r="H51" s="24" t="n">
        <f aca="false">Players!H36-SUMIFS($L$5:$L$47,$C$5:$C$47,"msft",$Q$5:$Q$47,1,$P$5:$P$47,2027)</f>
        <v>0</v>
      </c>
      <c r="I51" s="24" t="n">
        <f aca="false">Players!I36-SUMIFS($L$5:$L$47,$C$5:$C$47,"msft",$Q$5:$Q$47,1,$P$5:$P$47,2028)</f>
        <v>0</v>
      </c>
      <c r="J51" s="24" t="n">
        <f aca="false">Players!J36-SUMIFS($L$5:$L$47,$C$5:$C$47,"msft",$Q$5:$Q$47,1,$P$5:$P$47,2029)</f>
        <v>0</v>
      </c>
      <c r="K51" s="24" t="n">
        <f aca="false">Players!K36-SUMIFS($L$5:$L$47,$C$5:$C$47,"msft",$Q$5:$Q$47,1,$P$5:$P$47,2030)</f>
        <v>0</v>
      </c>
      <c r="L51" s="24" t="n">
        <f aca="false">Players!L36-SUMIFS($L$5:$L$47,$C$5:$C$47,"msft",$Q$5:$Q$47,1,$P$5:$P$47,2031)</f>
        <v>0</v>
      </c>
      <c r="M51" s="24" t="n">
        <f aca="false">Players!M36-SUMIFS($L$5:$L$47,$C$5:$C$47,"msft",$Q$5:$Q$47,1,$P$5:$P$47,2032)</f>
        <v>0</v>
      </c>
    </row>
    <row r="52" customFormat="false" ht="17.15" hidden="false" customHeight="false" outlineLevel="0" collapsed="false">
      <c r="A52" s="0" t="s">
        <v>1246</v>
      </c>
      <c r="B52" s="0" t="s">
        <v>509</v>
      </c>
      <c r="C52" s="5" t="s">
        <v>1278</v>
      </c>
      <c r="E52" s="24" t="n">
        <f aca="false">Players!E55-SUMIFS($L$5:$L$47,$C$5:$C$47,"googl",$Q$5:$Q$47,1,$P$5:$P$47,2024)</f>
        <v>1.32980834349181</v>
      </c>
      <c r="F52" s="24" t="n">
        <f aca="false">Players!F55-SUMIFS($L$5:$L$47,$C$5:$C$47,"googl",$Q$5:$Q$47,1,$P$5:$P$47,2025)</f>
        <v>2.40961330082622</v>
      </c>
      <c r="G52" s="24" t="n">
        <f aca="false">Players!G55-SUMIFS($L$5:$L$47,$C$5:$C$47,"googl",$Q$5:$Q$47,1,$P$5:$P$47,2026)</f>
        <v>1.29267912772586</v>
      </c>
      <c r="H52" s="24" t="n">
        <f aca="false">Players!H55-SUMIFS($L$5:$L$47,$C$5:$C$47,"googl",$Q$5:$Q$47,1,$P$5:$P$47,2027)</f>
        <v>0</v>
      </c>
      <c r="I52" s="24" t="n">
        <f aca="false">Players!I55-SUMIFS($L$5:$L$47,$C$5:$C$47,"googl",$Q$5:$Q$47,1,$P$5:$P$47,2028)</f>
        <v>0</v>
      </c>
      <c r="J52" s="24" t="n">
        <f aca="false">Players!J55-SUMIFS($L$5:$L$47,$C$5:$C$47,"googl",$Q$5:$Q$47,1,$P$5:$P$47,2029)</f>
        <v>0</v>
      </c>
      <c r="K52" s="24" t="n">
        <f aca="false">Players!K55-SUMIFS($L$5:$L$47,$C$5:$C$47,"googl",$Q$5:$Q$47,1,$P$5:$P$47,2030)</f>
        <v>0</v>
      </c>
      <c r="L52" s="24" t="n">
        <f aca="false">Players!L55-SUMIFS($L$5:$L$47,$C$5:$C$47,"googl",$Q$5:$Q$47,1,$P$5:$P$47,2031)</f>
        <v>0</v>
      </c>
      <c r="M52" s="24" t="n">
        <f aca="false">Players!M55-SUMIFS($L$5:$L$47,$C$5:$C$47,"googl",$Q$5:$Q$47,1,$P$5:$P$47,2032)</f>
        <v>0</v>
      </c>
    </row>
    <row r="53" customFormat="false" ht="17.15" hidden="false" customHeight="false" outlineLevel="0" collapsed="false">
      <c r="A53" s="0" t="s">
        <v>1247</v>
      </c>
      <c r="B53" s="0" t="s">
        <v>517</v>
      </c>
      <c r="C53" s="5" t="s">
        <v>1278</v>
      </c>
      <c r="E53" s="24" t="n">
        <f aca="false">Players!E74-SUMIFS($L$5:$L$47,$C$5:$C$47,"amzn",$Q$5:$Q$47,1,$P$5:$P$47,2024)</f>
        <v>0</v>
      </c>
      <c r="F53" s="24" t="n">
        <f aca="false">Players!F74-SUMIFS($L$5:$L$47,$C$5:$C$47,"amzn",$Q$5:$Q$47,1,$P$5:$P$47,2025)</f>
        <v>1.38971599402093</v>
      </c>
      <c r="G53" s="24" t="n">
        <f aca="false">Players!G74-SUMIFS($L$5:$L$47,$C$5:$C$47,"amzn",$Q$5:$Q$47,1,$P$5:$P$47,2026)</f>
        <v>0.4</v>
      </c>
      <c r="H53" s="24" t="n">
        <f aca="false">Players!H74-SUMIFS($L$5:$L$47,$C$5:$C$47,"amzn",$Q$5:$Q$47,1,$P$5:$P$47,2027)</f>
        <v>0</v>
      </c>
      <c r="I53" s="24" t="n">
        <f aca="false">Players!I74-SUMIFS($L$5:$L$47,$C$5:$C$47,"amzn",$Q$5:$Q$47,1,$P$5:$P$47,2028)</f>
        <v>0</v>
      </c>
      <c r="J53" s="24" t="n">
        <f aca="false">Players!J74-SUMIFS($L$5:$L$47,$C$5:$C$47,"amzn",$Q$5:$Q$47,1,$P$5:$P$47,2029)</f>
        <v>0</v>
      </c>
      <c r="K53" s="24" t="n">
        <f aca="false">Players!K74-SUMIFS($L$5:$L$47,$C$5:$C$47,"amzn",$Q$5:$Q$47,1,$P$5:$P$47,2030)</f>
        <v>0</v>
      </c>
      <c r="L53" s="24" t="n">
        <f aca="false">Players!L74-SUMIFS($L$5:$L$47,$C$5:$C$47,"amzn",$Q$5:$Q$47,1,$P$5:$P$47,2031)</f>
        <v>0</v>
      </c>
      <c r="M53" s="24" t="n">
        <f aca="false">Players!M74-SUMIFS($L$5:$L$47,$C$5:$C$47,"amzn",$Q$5:$Q$47,1,$P$5:$P$47,2032)</f>
        <v>0</v>
      </c>
    </row>
    <row r="54" customFormat="false" ht="15" hidden="false" customHeight="false" outlineLevel="0" collapsed="false">
      <c r="A54" s="0" t="s">
        <v>981</v>
      </c>
      <c r="B54" s="0" t="s">
        <v>524</v>
      </c>
      <c r="C54" s="5" t="s">
        <v>1278</v>
      </c>
      <c r="E54" s="24" t="n">
        <f aca="false">Players!E93-SUMIFS($L$5:$L$47,$C$5:$C$47,"meta",$Q$5:$Q$47,1,$P$5:$P$47,2024)</f>
        <v>0</v>
      </c>
      <c r="F54" s="24" t="n">
        <f aca="false">Players!F93-SUMIFS($L$5:$L$47,$C$5:$C$47,"meta",$Q$5:$Q$47,1,$P$5:$P$47,2025)</f>
        <v>1.50812</v>
      </c>
      <c r="G54" s="24" t="n">
        <f aca="false">Players!G93-SUMIFS($L$5:$L$47,$C$5:$C$47,"meta",$Q$5:$Q$47,1,$P$5:$P$47,2026)</f>
        <v>0</v>
      </c>
      <c r="H54" s="24" t="n">
        <f aca="false">Players!H93-SUMIFS($L$5:$L$47,$C$5:$C$47,"meta",$Q$5:$Q$47,1,$P$5:$P$47,2027)</f>
        <v>0</v>
      </c>
      <c r="I54" s="24" t="n">
        <f aca="false">Players!I93-SUMIFS($L$5:$L$47,$C$5:$C$47,"meta",$Q$5:$Q$47,1,$P$5:$P$47,2028)</f>
        <v>0</v>
      </c>
      <c r="J54" s="24" t="n">
        <f aca="false">Players!J93-SUMIFS($L$5:$L$47,$C$5:$C$47,"meta",$Q$5:$Q$47,1,$P$5:$P$47,2029)</f>
        <v>0</v>
      </c>
      <c r="K54" s="24" t="n">
        <f aca="false">Players!K93-SUMIFS($L$5:$L$47,$C$5:$C$47,"meta",$Q$5:$Q$47,1,$P$5:$P$47,2030)</f>
        <v>0</v>
      </c>
      <c r="L54" s="24" t="n">
        <f aca="false">Players!L93-SUMIFS($L$5:$L$47,$C$5:$C$47,"meta",$Q$5:$Q$47,1,$P$5:$P$47,2031)</f>
        <v>0</v>
      </c>
      <c r="M54" s="24" t="n">
        <f aca="false">Players!M93-SUMIFS($L$5:$L$47,$C$5:$C$47,"meta",$Q$5:$Q$47,1,$P$5:$P$47,2032)</f>
        <v>0</v>
      </c>
    </row>
    <row r="55" customFormat="false" ht="17.15" hidden="false" customHeight="false" outlineLevel="0" collapsed="false">
      <c r="A55" s="0" t="s">
        <v>1248</v>
      </c>
      <c r="B55" s="0" t="s">
        <v>528</v>
      </c>
      <c r="C55" s="5" t="s">
        <v>1278</v>
      </c>
      <c r="E55" s="24" t="n">
        <f aca="false">Players!E112-SUMIFS($L$5:$L$47,$C$5:$C$47,"orcl",$Q$5:$Q$47,1,$P$5:$P$47,2024)</f>
        <v>0</v>
      </c>
      <c r="F55" s="24" t="n">
        <f aca="false">Players!F112-SUMIFS($L$5:$L$47,$C$5:$C$47,"orcl",$Q$5:$Q$47,1,$P$5:$P$47,2025)</f>
        <v>0.816405</v>
      </c>
      <c r="G55" s="24" t="n">
        <f aca="false">Players!G112-SUMIFS($L$5:$L$47,$C$5:$C$47,"orcl",$Q$5:$Q$47,1,$P$5:$P$47,2026)</f>
        <v>1.34013</v>
      </c>
      <c r="H55" s="24" t="n">
        <f aca="false">Players!H112-SUMIFS($L$5:$L$47,$C$5:$C$47,"orcl",$Q$5:$Q$47,1,$P$5:$P$47,2027)</f>
        <v>0</v>
      </c>
      <c r="I55" s="24" t="n">
        <f aca="false">Players!I112-SUMIFS($L$5:$L$47,$C$5:$C$47,"orcl",$Q$5:$Q$47,1,$P$5:$P$47,2028)</f>
        <v>0</v>
      </c>
      <c r="J55" s="24" t="n">
        <f aca="false">Players!J112-SUMIFS($L$5:$L$47,$C$5:$C$47,"orcl",$Q$5:$Q$47,1,$P$5:$P$47,2029)</f>
        <v>0</v>
      </c>
      <c r="K55" s="24" t="n">
        <f aca="false">Players!K112-SUMIFS($L$5:$L$47,$C$5:$C$47,"orcl",$Q$5:$Q$47,1,$P$5:$P$47,2030)</f>
        <v>0</v>
      </c>
      <c r="L55" s="24" t="n">
        <f aca="false">Players!L112-SUMIFS($L$5:$L$47,$C$5:$C$47,"orcl",$Q$5:$Q$47,1,$P$5:$P$47,2031)</f>
        <v>0</v>
      </c>
      <c r="M55" s="24" t="n">
        <f aca="false">Players!M112-SUMIFS($L$5:$L$47,$C$5:$C$47,"orcl",$Q$5:$Q$47,1,$P$5:$P$47,2032)</f>
        <v>0</v>
      </c>
    </row>
    <row r="56" customFormat="false" ht="15" hidden="false" customHeight="false" outlineLevel="0" collapsed="false">
      <c r="A56" s="0" t="s">
        <v>1019</v>
      </c>
      <c r="B56" s="0" t="s">
        <v>618</v>
      </c>
      <c r="C56" s="5" t="s">
        <v>1278</v>
      </c>
      <c r="E56" s="24" t="n">
        <f aca="false">Players!E131-SUMIFS($L$5:$L$47,$C$5:$C$47,"crwv",$Q$5:$Q$47,1,$P$5:$P$47,2024)</f>
        <v>0.29</v>
      </c>
      <c r="F56" s="24" t="n">
        <f aca="false">Players!F131-SUMIFS($L$5:$L$47,$C$5:$C$47,"crwv",$Q$5:$Q$47,1,$P$5:$P$47,2025)</f>
        <v>0.49</v>
      </c>
      <c r="G56" s="24" t="n">
        <f aca="false">Players!G131-SUMIFS($L$5:$L$47,$C$5:$C$47,"crwv",$Q$5:$Q$47,1,$P$5:$P$47,2026)</f>
        <v>1</v>
      </c>
      <c r="H56" s="24" t="n">
        <f aca="false">Players!H131-SUMIFS($L$5:$L$47,$C$5:$C$47,"crwv",$Q$5:$Q$47,1,$P$5:$P$47,2027)</f>
        <v>1.2775</v>
      </c>
      <c r="I56" s="24" t="n">
        <f aca="false">Players!I131-SUMIFS($L$5:$L$47,$C$5:$C$47,"crwv",$Q$5:$Q$47,1,$P$5:$P$47,2028)</f>
        <v>1.5375</v>
      </c>
      <c r="J56" s="24" t="n">
        <f aca="false">Players!J131-SUMIFS($L$5:$L$47,$C$5:$C$47,"crwv",$Q$5:$Q$47,1,$P$5:$P$47,2029)</f>
        <v>1.5375</v>
      </c>
      <c r="K56" s="24" t="n">
        <f aca="false">Players!K131-SUMIFS($L$5:$L$47,$C$5:$C$47,"crwv",$Q$5:$Q$47,1,$P$5:$P$47,2030)</f>
        <v>1.5375</v>
      </c>
      <c r="L56" s="24" t="n">
        <f aca="false">Players!L131-SUMIFS($L$5:$L$47,$C$5:$C$47,"crwv",$Q$5:$Q$47,1,$P$5:$P$47,2031)</f>
        <v>0</v>
      </c>
      <c r="M56" s="24" t="n">
        <f aca="false">Players!M131-SUMIFS($L$5:$L$47,$C$5:$C$47,"crwv",$Q$5:$Q$47,1,$P$5:$P$47,2032)</f>
        <v>0</v>
      </c>
    </row>
    <row r="57" customFormat="false" ht="15" hidden="false" customHeight="false" outlineLevel="0" collapsed="false">
      <c r="A57" s="0" t="s">
        <v>1038</v>
      </c>
      <c r="B57" s="0" t="s">
        <v>647</v>
      </c>
      <c r="C57" s="5" t="s">
        <v>1278</v>
      </c>
      <c r="E57" s="24" t="n">
        <f aca="false">Players!E150-SUMIFS($L$5:$L$47,$C$5:$C$47,"nbis",$Q$5:$Q$47,1,$P$5:$P$47,2024)</f>
        <v>0</v>
      </c>
      <c r="F57" s="24" t="n">
        <f aca="false">Players!F150-SUMIFS($L$5:$L$47,$C$5:$C$47,"nbis",$Q$5:$Q$47,1,$P$5:$P$47,2025)</f>
        <v>0</v>
      </c>
      <c r="G57" s="24" t="n">
        <f aca="false">Players!G150-SUMIFS($L$5:$L$47,$C$5:$C$47,"nbis",$Q$5:$Q$47,1,$P$5:$P$47,2026)</f>
        <v>0.73</v>
      </c>
      <c r="H57" s="24" t="n">
        <f aca="false">Players!H150-SUMIFS($L$5:$L$47,$C$5:$C$47,"nbis",$Q$5:$Q$47,1,$P$5:$P$47,2027)</f>
        <v>0</v>
      </c>
      <c r="I57" s="24" t="n">
        <f aca="false">Players!I150-SUMIFS($L$5:$L$47,$C$5:$C$47,"nbis",$Q$5:$Q$47,1,$P$5:$P$47,2028)</f>
        <v>0</v>
      </c>
      <c r="J57" s="24" t="n">
        <f aca="false">Players!J150-SUMIFS($L$5:$L$47,$C$5:$C$47,"nbis",$Q$5:$Q$47,1,$P$5:$P$47,2029)</f>
        <v>0</v>
      </c>
      <c r="K57" s="24" t="n">
        <f aca="false">Players!K150-SUMIFS($L$5:$L$47,$C$5:$C$47,"nbis",$Q$5:$Q$47,1,$P$5:$P$47,2030)</f>
        <v>0</v>
      </c>
      <c r="L57" s="24" t="n">
        <f aca="false">Players!L150-SUMIFS($L$5:$L$47,$C$5:$C$47,"nbis",$Q$5:$Q$47,1,$P$5:$P$47,2031)</f>
        <v>0</v>
      </c>
      <c r="M57" s="24" t="n">
        <f aca="false">Players!M150-SUMIFS($L$5:$L$47,$C$5:$C$47,"nbis",$Q$5:$Q$47,1,$P$5:$P$47,2032)</f>
        <v>0</v>
      </c>
    </row>
    <row r="58" customFormat="false" ht="17.15" hidden="false" customHeight="false" outlineLevel="0" collapsed="false">
      <c r="A58" s="0" t="s">
        <v>1249</v>
      </c>
      <c r="B58" s="0" t="s">
        <v>1058</v>
      </c>
      <c r="C58" s="5" t="s">
        <v>1278</v>
      </c>
      <c r="E58" s="24" t="n">
        <f aca="false">Players!E169-SUMIFS($L$5:$L$47,$C$5:$C$47,"wyfi",$Q$5:$Q$47,1,$P$5:$P$47,2024)</f>
        <v>0</v>
      </c>
      <c r="F58" s="24" t="n">
        <f aca="false">Players!F169-SUMIFS($L$5:$L$47,$C$5:$C$47,"wyfi",$Q$5:$Q$47,1,$P$5:$P$47,2025)</f>
        <v>0</v>
      </c>
      <c r="G58" s="24" t="n">
        <f aca="false">Players!G169-SUMIFS($L$5:$L$47,$C$5:$C$47,"wyfi",$Q$5:$Q$47,1,$P$5:$P$47,2026)</f>
        <v>0.009074</v>
      </c>
      <c r="H58" s="24" t="n">
        <f aca="false">Players!H169-SUMIFS($L$5:$L$47,$C$5:$C$47,"wyfi",$Q$5:$Q$47,1,$P$5:$P$47,2027)</f>
        <v>0.001974</v>
      </c>
      <c r="I58" s="24" t="n">
        <f aca="false">Players!I169-SUMIFS($L$5:$L$47,$C$5:$C$47,"wyfi",$Q$5:$Q$47,1,$P$5:$P$47,2028)</f>
        <v>0</v>
      </c>
      <c r="J58" s="24" t="n">
        <f aca="false">Players!J169-SUMIFS($L$5:$L$47,$C$5:$C$47,"wyfi",$Q$5:$Q$47,1,$P$5:$P$47,2029)</f>
        <v>0</v>
      </c>
      <c r="K58" s="24" t="n">
        <f aca="false">Players!K169-SUMIFS($L$5:$L$47,$C$5:$C$47,"wyfi",$Q$5:$Q$47,1,$P$5:$P$47,2030)</f>
        <v>0</v>
      </c>
      <c r="L58" s="24" t="n">
        <f aca="false">Players!L169-SUMIFS($L$5:$L$47,$C$5:$C$47,"wyfi",$Q$5:$Q$47,1,$P$5:$P$47,2031)</f>
        <v>0</v>
      </c>
      <c r="M58" s="24" t="n">
        <f aca="false">Players!M169-SUMIFS($L$5:$L$47,$C$5:$C$47,"wyfi",$Q$5:$Q$47,1,$P$5:$P$47,2032)</f>
        <v>0</v>
      </c>
    </row>
    <row r="59" customFormat="false" ht="17.15" hidden="false" customHeight="false" outlineLevel="0" collapsed="false">
      <c r="A59" s="0" t="s">
        <v>1250</v>
      </c>
      <c r="B59" s="0" t="s">
        <v>533</v>
      </c>
      <c r="C59" s="5" t="s">
        <v>1278</v>
      </c>
      <c r="E59" s="24" t="n">
        <f aca="false">Players!E188-SUMIFS($L$5:$L$47,$C$5:$C$47,"xai",$Q$5:$Q$47,1,$P$5:$P$47,2024)</f>
        <v>0</v>
      </c>
      <c r="F59" s="24" t="n">
        <f aca="false">Players!F188-SUMIFS($L$5:$L$47,$C$5:$C$47,"xai",$Q$5:$Q$47,1,$P$5:$P$47,2025)</f>
        <v>0</v>
      </c>
      <c r="G59" s="24" t="n">
        <f aca="false">Players!G188-SUMIFS($L$5:$L$47,$C$5:$C$47,"xai",$Q$5:$Q$47,1,$P$5:$P$47,2026)</f>
        <v>1.4302</v>
      </c>
      <c r="H59" s="24" t="n">
        <f aca="false">Players!H188-SUMIFS($L$5:$L$47,$C$5:$C$47,"xai",$Q$5:$Q$47,1,$P$5:$P$47,2027)</f>
        <v>0</v>
      </c>
      <c r="I59" s="24" t="n">
        <f aca="false">Players!I188-SUMIFS($L$5:$L$47,$C$5:$C$47,"xai",$Q$5:$Q$47,1,$P$5:$P$47,2028)</f>
        <v>0</v>
      </c>
      <c r="J59" s="24" t="n">
        <f aca="false">Players!J188-SUMIFS($L$5:$L$47,$C$5:$C$47,"xai",$Q$5:$Q$47,1,$P$5:$P$47,2029)</f>
        <v>0</v>
      </c>
      <c r="K59" s="24" t="n">
        <f aca="false">Players!K188-SUMIFS($L$5:$L$47,$C$5:$C$47,"xai",$Q$5:$Q$47,1,$P$5:$P$47,2030)</f>
        <v>0</v>
      </c>
      <c r="L59" s="24" t="n">
        <f aca="false">Players!L188-SUMIFS($L$5:$L$47,$C$5:$C$47,"xai",$Q$5:$Q$47,1,$P$5:$P$47,2031)</f>
        <v>0</v>
      </c>
      <c r="M59" s="24" t="n">
        <f aca="false">Players!M188-SUMIFS($L$5:$L$47,$C$5:$C$47,"xai",$Q$5:$Q$47,1,$P$5:$P$47,2032)</f>
        <v>0</v>
      </c>
    </row>
    <row r="60" customFormat="false" ht="17.15" hidden="false" customHeight="false" outlineLevel="0" collapsed="false">
      <c r="A60" s="0" t="s">
        <v>1251</v>
      </c>
      <c r="B60" s="0" t="s">
        <v>529</v>
      </c>
      <c r="C60" s="5" t="s">
        <v>1278</v>
      </c>
      <c r="E60" s="24" t="n">
        <f aca="false">Players!E207-SUMIFS($L$5:$L$47,$C$5:$C$47,"oai",$Q$5:$Q$47,1,$P$5:$P$47,2024)</f>
        <v>0</v>
      </c>
      <c r="F60" s="24" t="n">
        <f aca="false">Players!F207-SUMIFS($L$5:$L$47,$C$5:$C$47,"oai",$Q$5:$Q$47,1,$P$5:$P$47,2025)</f>
        <v>0</v>
      </c>
      <c r="G60" s="24" t="n">
        <f aca="false">Players!G207-SUMIFS($L$5:$L$47,$C$5:$C$47,"oai",$Q$5:$Q$47,1,$P$5:$P$47,2026)</f>
        <v>0</v>
      </c>
      <c r="H60" s="24" t="n">
        <f aca="false">Players!H207-SUMIFS($L$5:$L$47,$C$5:$C$47,"oai",$Q$5:$Q$47,1,$P$5:$P$47,2027)</f>
        <v>0</v>
      </c>
      <c r="I60" s="24" t="n">
        <f aca="false">Players!I207-SUMIFS($L$5:$L$47,$C$5:$C$47,"oai",$Q$5:$Q$47,1,$P$5:$P$47,2028)</f>
        <v>0</v>
      </c>
      <c r="J60" s="24" t="n">
        <f aca="false">Players!J207-SUMIFS($L$5:$L$47,$C$5:$C$47,"oai",$Q$5:$Q$47,1,$P$5:$P$47,2029)</f>
        <v>0</v>
      </c>
      <c r="K60" s="24" t="n">
        <f aca="false">Players!K207-SUMIFS($L$5:$L$47,$C$5:$C$47,"oai",$Q$5:$Q$47,1,$P$5:$P$47,2030)</f>
        <v>0</v>
      </c>
      <c r="L60" s="24" t="n">
        <f aca="false">Players!L207-SUMIFS($L$5:$L$47,$C$5:$C$47,"oai",$Q$5:$Q$47,1,$P$5:$P$47,2031)</f>
        <v>0</v>
      </c>
      <c r="M60" s="24" t="n">
        <f aca="false">Players!M207-SUMIFS($L$5:$L$47,$C$5:$C$47,"oai",$Q$5:$Q$47,1,$P$5:$P$47,2032)</f>
        <v>0</v>
      </c>
    </row>
    <row r="61" customFormat="false" ht="17.15" hidden="false" customHeight="false" outlineLevel="0" collapsed="false">
      <c r="A61" s="0" t="s">
        <v>1252</v>
      </c>
      <c r="B61" s="0" t="s">
        <v>513</v>
      </c>
      <c r="C61" s="5" t="s">
        <v>1278</v>
      </c>
      <c r="E61" s="24" t="n">
        <f aca="false">Players!E226-SUMIFS($L$5:$L$47,$C$5:$C$47,"ant",$Q$5:$Q$47,1,$P$5:$P$47,2024)</f>
        <v>0</v>
      </c>
      <c r="F61" s="24" t="n">
        <f aca="false">Players!F226-SUMIFS($L$5:$L$47,$C$5:$C$47,"ant",$Q$5:$Q$47,1,$P$5:$P$47,2025)</f>
        <v>0</v>
      </c>
      <c r="G61" s="24" t="n">
        <f aca="false">Players!G226-SUMIFS($L$5:$L$47,$C$5:$C$47,"ant",$Q$5:$Q$47,1,$P$5:$P$47,2026)</f>
        <v>0</v>
      </c>
      <c r="H61" s="24" t="n">
        <f aca="false">Players!H226-SUMIFS($L$5:$L$47,$C$5:$C$47,"ant",$Q$5:$Q$47,1,$P$5:$P$47,2027)</f>
        <v>0</v>
      </c>
      <c r="I61" s="24" t="n">
        <f aca="false">Players!I226-SUMIFS($L$5:$L$47,$C$5:$C$47,"ant",$Q$5:$Q$47,1,$P$5:$P$47,2028)</f>
        <v>0</v>
      </c>
      <c r="J61" s="24" t="n">
        <f aca="false">Players!J226-SUMIFS($L$5:$L$47,$C$5:$C$47,"ant",$Q$5:$Q$47,1,$P$5:$P$47,2029)</f>
        <v>0</v>
      </c>
      <c r="K61" s="24" t="n">
        <f aca="false">Players!K226-SUMIFS($L$5:$L$47,$C$5:$C$47,"ant",$Q$5:$Q$47,1,$P$5:$P$47,2030)</f>
        <v>0</v>
      </c>
      <c r="L61" s="24" t="n">
        <f aca="false">Players!L226-SUMIFS($L$5:$L$47,$C$5:$C$47,"ant",$Q$5:$Q$47,1,$P$5:$P$47,2031)</f>
        <v>0</v>
      </c>
      <c r="M61" s="24" t="n">
        <f aca="false">Players!M226-SUMIFS($L$5:$L$47,$C$5:$C$47,"ant",$Q$5:$Q$47,1,$P$5:$P$47,2032)</f>
        <v>0</v>
      </c>
    </row>
    <row r="62" customFormat="false" ht="17.15" hidden="false" customHeight="false" outlineLevel="0" collapsed="false">
      <c r="A62" s="5" t="s">
        <v>1253</v>
      </c>
      <c r="B62" s="0" t="s">
        <v>543</v>
      </c>
      <c r="C62" s="5" t="s">
        <v>1278</v>
      </c>
      <c r="E62" s="24" t="n">
        <f aca="false">Players!E245-SUMIFS($L$5:$L$47,$C$5:$C$47,"neo",$Q$5:$Q$47,1,$P$5:$P$47,2024)</f>
        <v>0</v>
      </c>
      <c r="F62" s="24" t="n">
        <f aca="false">Players!F245-SUMIFS($L$5:$L$47,$C$5:$C$47,"neo",$Q$5:$Q$47,1,$P$5:$P$47,2025)</f>
        <v>0.3</v>
      </c>
      <c r="G62" s="24" t="n">
        <f aca="false">Players!G245-SUMIFS($L$5:$L$47,$C$5:$C$47,"neo",$Q$5:$Q$47,1,$P$5:$P$47,2026)</f>
        <v>0.7</v>
      </c>
      <c r="H62" s="24" t="n">
        <f aca="false">Players!H245-SUMIFS($L$5:$L$47,$C$5:$C$47,"neo",$Q$5:$Q$47,1,$P$5:$P$47,2027)</f>
        <v>0</v>
      </c>
      <c r="I62" s="24" t="n">
        <f aca="false">Players!I245-SUMIFS($L$5:$L$47,$C$5:$C$47,"neo",$Q$5:$Q$47,1,$P$5:$P$47,2028)</f>
        <v>0</v>
      </c>
      <c r="J62" s="24" t="n">
        <f aca="false">Players!J245-SUMIFS($L$5:$L$47,$C$5:$C$47,"neo",$Q$5:$Q$47,1,$P$5:$P$47,2029)</f>
        <v>0</v>
      </c>
      <c r="K62" s="24" t="n">
        <f aca="false">Players!K245-SUMIFS($L$5:$L$47,$C$5:$C$47,"neo",$Q$5:$Q$47,1,$P$5:$P$47,2030)</f>
        <v>0</v>
      </c>
      <c r="L62" s="24" t="n">
        <f aca="false">Players!L245-SUMIFS($L$5:$L$47,$C$5:$C$47,"neo",$Q$5:$Q$47,1,$P$5:$P$47,2031)</f>
        <v>0</v>
      </c>
      <c r="M62" s="24" t="n">
        <f aca="false">Players!M245-SUMIFS($L$5:$L$47,$C$5:$C$47,"neo",$Q$5:$Q$47,1,$P$5:$P$47,2032)</f>
        <v>0</v>
      </c>
    </row>
    <row r="63" customFormat="false" ht="17.15" hidden="false" customHeight="false" outlineLevel="0" collapsed="false">
      <c r="A63" s="5" t="s">
        <v>1254</v>
      </c>
      <c r="B63" s="0" t="s">
        <v>640</v>
      </c>
      <c r="C63" s="5" t="s">
        <v>1278</v>
      </c>
      <c r="E63" s="24" t="n">
        <f aca="false">Players!E264-SUMIFS($L$5:$L$47,$C$5:$C$47,"sov",$Q$5:$Q$47,1,$P$5:$P$47,2024)</f>
        <v>0</v>
      </c>
      <c r="F63" s="24" t="n">
        <f aca="false">Players!F264-SUMIFS($L$5:$L$47,$C$5:$C$47,"sov",$Q$5:$Q$47,1,$P$5:$P$47,2025)</f>
        <v>0</v>
      </c>
      <c r="G63" s="24" t="n">
        <f aca="false">Players!G264-SUMIFS($L$5:$L$47,$C$5:$C$47,"sov",$Q$5:$Q$47,1,$P$5:$P$47,2026)</f>
        <v>0</v>
      </c>
      <c r="H63" s="24" t="n">
        <f aca="false">Players!H264-SUMIFS($L$5:$L$47,$C$5:$C$47,"sov",$Q$5:$Q$47,1,$P$5:$P$47,2027)</f>
        <v>0</v>
      </c>
      <c r="I63" s="24" t="n">
        <f aca="false">Players!I264-SUMIFS($L$5:$L$47,$C$5:$C$47,"sov",$Q$5:$Q$47,1,$P$5:$P$47,2028)</f>
        <v>0</v>
      </c>
      <c r="J63" s="24" t="n">
        <f aca="false">Players!J264-SUMIFS($L$5:$L$47,$C$5:$C$47,"sov",$Q$5:$Q$47,1,$P$5:$P$47,2029)</f>
        <v>0</v>
      </c>
      <c r="K63" s="24" t="n">
        <f aca="false">Players!K264-SUMIFS($L$5:$L$47,$C$5:$C$47,"sov",$Q$5:$Q$47,1,$P$5:$P$47,2030)</f>
        <v>0</v>
      </c>
      <c r="L63" s="24" t="n">
        <f aca="false">Players!L264-SUMIFS($L$5:$L$47,$C$5:$C$47,"sov",$Q$5:$Q$47,1,$P$5:$P$47,2031)</f>
        <v>0</v>
      </c>
      <c r="M63" s="24" t="n">
        <f aca="false">Players!M264-SUMIFS($L$5:$L$47,$C$5:$C$47,"sov",$Q$5:$Q$47,1,$P$5:$P$47,2032)</f>
        <v>0</v>
      </c>
    </row>
    <row r="64" customFormat="false" ht="17.15" hidden="false" customHeight="false" outlineLevel="0" collapsed="false">
      <c r="A64" s="5" t="s">
        <v>1255</v>
      </c>
      <c r="B64" s="0" t="s">
        <v>550</v>
      </c>
      <c r="C64" s="5" t="s">
        <v>1278</v>
      </c>
      <c r="E64" s="24" t="n">
        <f aca="false">Players!E283-SUMIFS($L$5:$L$47,$C$5:$C$47,"cn",$Q$5:$Q$47,1,$P$5:$P$47,2024)</f>
        <v>0</v>
      </c>
      <c r="F64" s="24" t="n">
        <f aca="false">Players!F283-SUMIFS($L$5:$L$47,$C$5:$C$47,"cn",$Q$5:$Q$47,1,$P$5:$P$47,2025)</f>
        <v>0</v>
      </c>
      <c r="G64" s="24" t="n">
        <f aca="false">Players!G283-SUMIFS($L$5:$L$47,$C$5:$C$47,"cn",$Q$5:$Q$47,1,$P$5:$P$47,2026)</f>
        <v>3.33333333333333</v>
      </c>
      <c r="H64" s="24" t="n">
        <f aca="false">Players!H283-SUMIFS($L$5:$L$47,$C$5:$C$47,"cn",$Q$5:$Q$47,1,$P$5:$P$47,2027)</f>
        <v>1.9895044578405</v>
      </c>
      <c r="I64" s="24" t="n">
        <f aca="false">Players!I283-SUMIFS($L$5:$L$47,$C$5:$C$47,"cn",$Q$5:$Q$47,1,$P$5:$P$47,2028)</f>
        <v>2.28121406090902</v>
      </c>
      <c r="J64" s="24" t="n">
        <f aca="false">Players!J283-SUMIFS($L$5:$L$47,$C$5:$C$47,"cn",$Q$5:$Q$47,1,$P$5:$P$47,2029)</f>
        <v>2.61252133099745</v>
      </c>
      <c r="K64" s="24" t="n">
        <f aca="false">Players!K283-SUMIFS($L$5:$L$47,$C$5:$C$47,"cn",$Q$5:$Q$47,1,$P$5:$P$47,2030)</f>
        <v>2.9885550220479</v>
      </c>
      <c r="L64" s="24" t="n">
        <f aca="false">Players!L283-SUMIFS($L$5:$L$47,$C$5:$C$47,"cn",$Q$5:$Q$47,1,$P$5:$P$47,2031)</f>
        <v>2.15384615384616</v>
      </c>
      <c r="M64" s="24" t="n">
        <f aca="false">Players!M283-SUMIFS($L$5:$L$47,$C$5:$C$47,"cn",$Q$5:$Q$47,1,$P$5:$P$47,2032)</f>
        <v>2.36923076923077</v>
      </c>
    </row>
    <row r="65" customFormat="false" ht="17.15" hidden="false" customHeight="false" outlineLevel="0" collapsed="false">
      <c r="A65" s="5" t="s">
        <v>1256</v>
      </c>
      <c r="B65" s="0" t="s">
        <v>1192</v>
      </c>
      <c r="C65" s="5" t="s">
        <v>1278</v>
      </c>
      <c r="E65" s="24" t="n">
        <f aca="false">Players!E302-SUMIFS($L$5:$L$47,$C$5:$C$47,"oth",$Q$5:$Q$47,1,$P$5:$P$47,2024)</f>
        <v>0</v>
      </c>
      <c r="F65" s="24" t="n">
        <f aca="false">Players!F302-SUMIFS($L$5:$L$47,$C$5:$C$47,"oth",$Q$5:$Q$47,1,$P$5:$P$47,2025)</f>
        <v>0</v>
      </c>
      <c r="G65" s="24" t="n">
        <f aca="false">Players!G302-SUMIFS($L$5:$L$47,$C$5:$C$47,"oth",$Q$5:$Q$47,1,$P$5:$P$47,2026)</f>
        <v>0</v>
      </c>
      <c r="H65" s="24" t="n">
        <f aca="false">Players!H302-SUMIFS($L$5:$L$47,$C$5:$C$47,"oth",$Q$5:$Q$47,1,$P$5:$P$47,2027)</f>
        <v>0</v>
      </c>
      <c r="I65" s="24" t="n">
        <f aca="false">Players!I302-SUMIFS($L$5:$L$47,$C$5:$C$47,"oth",$Q$5:$Q$47,1,$P$5:$P$47,2028)</f>
        <v>0</v>
      </c>
      <c r="J65" s="24" t="n">
        <f aca="false">Players!J302-SUMIFS($L$5:$L$47,$C$5:$C$47,"oth",$Q$5:$Q$47,1,$P$5:$P$47,2029)</f>
        <v>0</v>
      </c>
      <c r="K65" s="24" t="n">
        <f aca="false">Players!K302-SUMIFS($L$5:$L$47,$C$5:$C$47,"oth",$Q$5:$Q$47,1,$P$5:$P$47,2030)</f>
        <v>0</v>
      </c>
      <c r="L65" s="24" t="n">
        <f aca="false">Players!L302-SUMIFS($L$5:$L$47,$C$5:$C$47,"oth",$Q$5:$Q$47,1,$P$5:$P$47,2031)</f>
        <v>0</v>
      </c>
      <c r="M65" s="24" t="n">
        <f aca="false">Players!M302-SUMIFS($L$5:$L$47,$C$5:$C$47,"oth",$Q$5:$Q$47,1,$P$5:$P$47,2032)</f>
        <v>0</v>
      </c>
    </row>
    <row r="67" customFormat="false" ht="17.15" hidden="false" customHeight="false" outlineLevel="0" collapsed="false">
      <c r="A67" s="0" t="s">
        <v>1245</v>
      </c>
      <c r="B67" s="0" t="s">
        <v>504</v>
      </c>
      <c r="C67" s="5" t="s">
        <v>1279</v>
      </c>
      <c r="E67" s="24" t="n">
        <f aca="false">IF(Players!E31=2,E51,0)</f>
        <v>0</v>
      </c>
      <c r="F67" s="24" t="n">
        <f aca="false">IF(Players!F31=2,F51,0)</f>
        <v>0</v>
      </c>
      <c r="G67" s="24" t="n">
        <f aca="false">IF(Players!G31=2,G51,0)</f>
        <v>0.401955</v>
      </c>
      <c r="H67" s="24" t="n">
        <f aca="false">IF(Players!H31=2,H51,0)</f>
        <v>0</v>
      </c>
      <c r="I67" s="24" t="n">
        <f aca="false">IF(Players!I31=2,I51,0)</f>
        <v>0</v>
      </c>
      <c r="J67" s="24" t="n">
        <f aca="false">IF(Players!J31=2,J51,0)</f>
        <v>0</v>
      </c>
      <c r="K67" s="24" t="n">
        <f aca="false">IF(Players!K31=2,K51,0)</f>
        <v>0</v>
      </c>
      <c r="L67" s="24" t="n">
        <f aca="false">IF(Players!L31=2,L51,0)</f>
        <v>0</v>
      </c>
      <c r="M67" s="24" t="n">
        <f aca="false">IF(Players!M31=2,M51,0)</f>
        <v>0</v>
      </c>
    </row>
    <row r="68" customFormat="false" ht="17.15" hidden="false" customHeight="false" outlineLevel="0" collapsed="false">
      <c r="A68" s="0" t="s">
        <v>1246</v>
      </c>
      <c r="B68" s="0" t="s">
        <v>509</v>
      </c>
      <c r="C68" s="5" t="s">
        <v>1279</v>
      </c>
      <c r="E68" s="24" t="n">
        <f aca="false">IF(Players!E50=2,E52,0)</f>
        <v>0</v>
      </c>
      <c r="F68" s="24" t="n">
        <f aca="false">IF(Players!F50=2,F52,0)</f>
        <v>0</v>
      </c>
      <c r="G68" s="24" t="n">
        <f aca="false">IF(Players!G50=2,G52,0)</f>
        <v>1.29267912772586</v>
      </c>
      <c r="H68" s="24" t="n">
        <f aca="false">IF(Players!H50=2,H52,0)</f>
        <v>0</v>
      </c>
      <c r="I68" s="24" t="n">
        <f aca="false">IF(Players!I50=2,I52,0)</f>
        <v>0</v>
      </c>
      <c r="J68" s="24" t="n">
        <f aca="false">IF(Players!J50=2,J52,0)</f>
        <v>0</v>
      </c>
      <c r="K68" s="24" t="n">
        <f aca="false">IF(Players!K50=2,K52,0)</f>
        <v>0</v>
      </c>
      <c r="L68" s="24" t="n">
        <f aca="false">IF(Players!L50=2,L52,0)</f>
        <v>0</v>
      </c>
      <c r="M68" s="24" t="n">
        <f aca="false">IF(Players!M50=2,M52,0)</f>
        <v>0</v>
      </c>
    </row>
    <row r="69" customFormat="false" ht="17.15" hidden="false" customHeight="false" outlineLevel="0" collapsed="false">
      <c r="A69" s="0" t="s">
        <v>1247</v>
      </c>
      <c r="B69" s="0" t="s">
        <v>517</v>
      </c>
      <c r="C69" s="5" t="s">
        <v>1279</v>
      </c>
      <c r="E69" s="24" t="n">
        <f aca="false">IF(Players!E69=2,E53,0)</f>
        <v>0</v>
      </c>
      <c r="F69" s="24" t="n">
        <f aca="false">IF(Players!F69=2,F53,0)</f>
        <v>0</v>
      </c>
      <c r="G69" s="24" t="n">
        <f aca="false">IF(Players!G69=2,G53,0)</f>
        <v>0.4</v>
      </c>
      <c r="H69" s="24" t="n">
        <f aca="false">IF(Players!H69=2,H53,0)</f>
        <v>0</v>
      </c>
      <c r="I69" s="24" t="n">
        <f aca="false">IF(Players!I69=2,I53,0)</f>
        <v>0</v>
      </c>
      <c r="J69" s="24" t="n">
        <f aca="false">IF(Players!J69=2,J53,0)</f>
        <v>0</v>
      </c>
      <c r="K69" s="24" t="n">
        <f aca="false">IF(Players!K69=2,K53,0)</f>
        <v>0</v>
      </c>
      <c r="L69" s="24" t="n">
        <f aca="false">IF(Players!L69=2,L53,0)</f>
        <v>0</v>
      </c>
      <c r="M69" s="24" t="n">
        <f aca="false">IF(Players!M69=2,M53,0)</f>
        <v>0</v>
      </c>
    </row>
    <row r="70" customFormat="false" ht="15" hidden="false" customHeight="false" outlineLevel="0" collapsed="false">
      <c r="A70" s="0" t="s">
        <v>981</v>
      </c>
      <c r="B70" s="0" t="s">
        <v>524</v>
      </c>
      <c r="C70" s="5" t="s">
        <v>1279</v>
      </c>
      <c r="E70" s="24" t="n">
        <f aca="false">IF(Players!E88=2,E54,0)</f>
        <v>0</v>
      </c>
      <c r="F70" s="24" t="n">
        <f aca="false">IF(Players!F88=2,F54,0)</f>
        <v>0</v>
      </c>
      <c r="G70" s="24" t="n">
        <f aca="false">IF(Players!G88=2,G54,0)</f>
        <v>0</v>
      </c>
      <c r="H70" s="24" t="n">
        <f aca="false">IF(Players!H88=2,H54,0)</f>
        <v>0</v>
      </c>
      <c r="I70" s="24" t="n">
        <f aca="false">IF(Players!I88=2,I54,0)</f>
        <v>0</v>
      </c>
      <c r="J70" s="24" t="n">
        <f aca="false">IF(Players!J88=2,J54,0)</f>
        <v>0</v>
      </c>
      <c r="K70" s="24" t="n">
        <f aca="false">IF(Players!K88=2,K54,0)</f>
        <v>0</v>
      </c>
      <c r="L70" s="24" t="n">
        <f aca="false">IF(Players!L88=2,L54,0)</f>
        <v>0</v>
      </c>
      <c r="M70" s="24" t="n">
        <f aca="false">IF(Players!M88=2,M54,0)</f>
        <v>0</v>
      </c>
    </row>
    <row r="71" customFormat="false" ht="17.15" hidden="false" customHeight="false" outlineLevel="0" collapsed="false">
      <c r="A71" s="0" t="s">
        <v>1248</v>
      </c>
      <c r="B71" s="0" t="s">
        <v>528</v>
      </c>
      <c r="C71" s="5" t="s">
        <v>1279</v>
      </c>
      <c r="E71" s="24" t="n">
        <f aca="false">IF(Players!E107=2,E55,0)</f>
        <v>0</v>
      </c>
      <c r="F71" s="24" t="n">
        <f aca="false">IF(Players!F107=2,F55,0)</f>
        <v>0</v>
      </c>
      <c r="G71" s="24" t="n">
        <f aca="false">IF(Players!G107=2,G55,0)</f>
        <v>1.34013</v>
      </c>
      <c r="H71" s="24" t="n">
        <f aca="false">IF(Players!H107=2,H55,0)</f>
        <v>0</v>
      </c>
      <c r="I71" s="24" t="n">
        <f aca="false">IF(Players!I107=2,I55,0)</f>
        <v>0</v>
      </c>
      <c r="J71" s="24" t="n">
        <f aca="false">IF(Players!J107=2,J55,0)</f>
        <v>0</v>
      </c>
      <c r="K71" s="24" t="n">
        <f aca="false">IF(Players!K107=2,K55,0)</f>
        <v>0</v>
      </c>
      <c r="L71" s="24" t="n">
        <f aca="false">IF(Players!L107=2,L55,0)</f>
        <v>0</v>
      </c>
      <c r="M71" s="24" t="n">
        <f aca="false">IF(Players!M107=2,M55,0)</f>
        <v>0</v>
      </c>
    </row>
    <row r="72" customFormat="false" ht="15" hidden="false" customHeight="false" outlineLevel="0" collapsed="false">
      <c r="A72" s="0" t="s">
        <v>1019</v>
      </c>
      <c r="B72" s="0" t="s">
        <v>618</v>
      </c>
      <c r="C72" s="5" t="s">
        <v>1279</v>
      </c>
      <c r="E72" s="24" t="n">
        <f aca="false">IF(Players!E126=2,E56,0)</f>
        <v>0</v>
      </c>
      <c r="F72" s="24" t="n">
        <f aca="false">IF(Players!F126=2,F56,0)</f>
        <v>0</v>
      </c>
      <c r="G72" s="24" t="n">
        <f aca="false">IF(Players!G126=2,G56,0)</f>
        <v>0</v>
      </c>
      <c r="H72" s="24" t="n">
        <f aca="false">IF(Players!H126=2,H56,0)</f>
        <v>0</v>
      </c>
      <c r="I72" s="24" t="n">
        <f aca="false">IF(Players!I126=2,I56,0)</f>
        <v>0</v>
      </c>
      <c r="J72" s="24" t="n">
        <f aca="false">IF(Players!J126=2,J56,0)</f>
        <v>0</v>
      </c>
      <c r="K72" s="24" t="n">
        <f aca="false">IF(Players!K126=2,K56,0)</f>
        <v>0</v>
      </c>
      <c r="L72" s="24" t="n">
        <f aca="false">IF(Players!L126=2,L56,0)</f>
        <v>0</v>
      </c>
      <c r="M72" s="24" t="n">
        <f aca="false">IF(Players!M126=2,M56,0)</f>
        <v>0</v>
      </c>
    </row>
    <row r="73" customFormat="false" ht="15" hidden="false" customHeight="false" outlineLevel="0" collapsed="false">
      <c r="A73" s="0" t="s">
        <v>1038</v>
      </c>
      <c r="B73" s="0" t="s">
        <v>647</v>
      </c>
      <c r="C73" s="5" t="s">
        <v>1279</v>
      </c>
      <c r="E73" s="24" t="n">
        <f aca="false">IF(Players!E145=2,E57,0)</f>
        <v>0</v>
      </c>
      <c r="F73" s="24" t="n">
        <f aca="false">IF(Players!F145=2,F57,0)</f>
        <v>0</v>
      </c>
      <c r="G73" s="24" t="n">
        <f aca="false">IF(Players!G145=2,G57,0)</f>
        <v>0</v>
      </c>
      <c r="H73" s="24" t="n">
        <f aca="false">IF(Players!H145=2,H57,0)</f>
        <v>0</v>
      </c>
      <c r="I73" s="24" t="n">
        <f aca="false">IF(Players!I145=2,I57,0)</f>
        <v>0</v>
      </c>
      <c r="J73" s="24" t="n">
        <f aca="false">IF(Players!J145=2,J57,0)</f>
        <v>0</v>
      </c>
      <c r="K73" s="24" t="n">
        <f aca="false">IF(Players!K145=2,K57,0)</f>
        <v>0</v>
      </c>
      <c r="L73" s="24" t="n">
        <f aca="false">IF(Players!L145=2,L57,0)</f>
        <v>0</v>
      </c>
      <c r="M73" s="24" t="n">
        <f aca="false">IF(Players!M145=2,M57,0)</f>
        <v>0</v>
      </c>
    </row>
    <row r="74" customFormat="false" ht="17.15" hidden="false" customHeight="false" outlineLevel="0" collapsed="false">
      <c r="A74" s="0" t="s">
        <v>1249</v>
      </c>
      <c r="B74" s="0" t="s">
        <v>1058</v>
      </c>
      <c r="C74" s="5" t="s">
        <v>1279</v>
      </c>
      <c r="E74" s="24" t="n">
        <f aca="false">IF(Players!E164=2,E58,0)</f>
        <v>0</v>
      </c>
      <c r="F74" s="24" t="n">
        <f aca="false">IF(Players!F164=2,F58,0)</f>
        <v>0</v>
      </c>
      <c r="G74" s="24" t="n">
        <f aca="false">IF(Players!G164=2,G58,0)</f>
        <v>0</v>
      </c>
      <c r="H74" s="24" t="n">
        <f aca="false">IF(Players!H164=2,H58,0)</f>
        <v>0</v>
      </c>
      <c r="I74" s="24" t="n">
        <f aca="false">IF(Players!I164=2,I58,0)</f>
        <v>0</v>
      </c>
      <c r="J74" s="24" t="n">
        <f aca="false">IF(Players!J164=2,J58,0)</f>
        <v>0</v>
      </c>
      <c r="K74" s="24" t="n">
        <f aca="false">IF(Players!K164=2,K58,0)</f>
        <v>0</v>
      </c>
      <c r="L74" s="24" t="n">
        <f aca="false">IF(Players!L164=2,L58,0)</f>
        <v>0</v>
      </c>
      <c r="M74" s="24" t="n">
        <f aca="false">IF(Players!M164=2,M58,0)</f>
        <v>0</v>
      </c>
    </row>
    <row r="75" customFormat="false" ht="17.15" hidden="false" customHeight="false" outlineLevel="0" collapsed="false">
      <c r="A75" s="0" t="s">
        <v>1250</v>
      </c>
      <c r="B75" s="0" t="s">
        <v>533</v>
      </c>
      <c r="C75" s="5" t="s">
        <v>1279</v>
      </c>
      <c r="E75" s="24" t="n">
        <f aca="false">IF(Players!E183=2,E59,0)</f>
        <v>0</v>
      </c>
      <c r="F75" s="24" t="n">
        <f aca="false">IF(Players!F183=2,F59,0)</f>
        <v>0</v>
      </c>
      <c r="G75" s="24" t="n">
        <f aca="false">IF(Players!G183=2,G59,0)</f>
        <v>0</v>
      </c>
      <c r="H75" s="24" t="n">
        <f aca="false">IF(Players!H183=2,H59,0)</f>
        <v>0</v>
      </c>
      <c r="I75" s="24" t="n">
        <f aca="false">IF(Players!I183=2,I59,0)</f>
        <v>0</v>
      </c>
      <c r="J75" s="24" t="n">
        <f aca="false">IF(Players!J183=2,J59,0)</f>
        <v>0</v>
      </c>
      <c r="K75" s="24" t="n">
        <f aca="false">IF(Players!K183=2,K59,0)</f>
        <v>0</v>
      </c>
      <c r="L75" s="24" t="n">
        <f aca="false">IF(Players!L183=2,L59,0)</f>
        <v>0</v>
      </c>
      <c r="M75" s="24" t="n">
        <f aca="false">IF(Players!M183=2,M59,0)</f>
        <v>0</v>
      </c>
    </row>
    <row r="76" customFormat="false" ht="17.15" hidden="false" customHeight="false" outlineLevel="0" collapsed="false">
      <c r="A76" s="0" t="s">
        <v>1251</v>
      </c>
      <c r="B76" s="0" t="s">
        <v>529</v>
      </c>
      <c r="C76" s="5" t="s">
        <v>1279</v>
      </c>
      <c r="E76" s="24" t="n">
        <f aca="false">IF(Players!E202=2,E60,0)</f>
        <v>0</v>
      </c>
      <c r="F76" s="24" t="n">
        <f aca="false">IF(Players!F202=2,F60,0)</f>
        <v>0</v>
      </c>
      <c r="G76" s="24" t="n">
        <f aca="false">IF(Players!G202=2,G60,0)</f>
        <v>0</v>
      </c>
      <c r="H76" s="24" t="n">
        <f aca="false">IF(Players!H202=2,H60,0)</f>
        <v>0</v>
      </c>
      <c r="I76" s="24" t="n">
        <f aca="false">IF(Players!I202=2,I60,0)</f>
        <v>0</v>
      </c>
      <c r="J76" s="24" t="n">
        <f aca="false">IF(Players!J202=2,J60,0)</f>
        <v>0</v>
      </c>
      <c r="K76" s="24" t="n">
        <f aca="false">IF(Players!K202=2,K60,0)</f>
        <v>0</v>
      </c>
      <c r="L76" s="24" t="n">
        <f aca="false">IF(Players!L202=2,L60,0)</f>
        <v>0</v>
      </c>
      <c r="M76" s="24" t="n">
        <f aca="false">IF(Players!M202=2,M60,0)</f>
        <v>0</v>
      </c>
    </row>
    <row r="77" customFormat="false" ht="17.15" hidden="false" customHeight="false" outlineLevel="0" collapsed="false">
      <c r="A77" s="0" t="s">
        <v>1252</v>
      </c>
      <c r="B77" s="0" t="s">
        <v>513</v>
      </c>
      <c r="C77" s="5" t="s">
        <v>1279</v>
      </c>
      <c r="E77" s="24" t="n">
        <f aca="false">IF(Players!E221=2,E61,0)</f>
        <v>0</v>
      </c>
      <c r="F77" s="24" t="n">
        <f aca="false">IF(Players!F221=2,F61,0)</f>
        <v>0</v>
      </c>
      <c r="G77" s="24" t="n">
        <f aca="false">IF(Players!G221=2,G61,0)</f>
        <v>0</v>
      </c>
      <c r="H77" s="24" t="n">
        <f aca="false">IF(Players!H221=2,H61,0)</f>
        <v>0</v>
      </c>
      <c r="I77" s="24" t="n">
        <f aca="false">IF(Players!I221=2,I61,0)</f>
        <v>0</v>
      </c>
      <c r="J77" s="24" t="n">
        <f aca="false">IF(Players!J221=2,J61,0)</f>
        <v>0</v>
      </c>
      <c r="K77" s="24" t="n">
        <f aca="false">IF(Players!K221=2,K61,0)</f>
        <v>0</v>
      </c>
      <c r="L77" s="24" t="n">
        <f aca="false">IF(Players!L221=2,L61,0)</f>
        <v>0</v>
      </c>
      <c r="M77" s="24" t="n">
        <f aca="false">IF(Players!M221=2,M61,0)</f>
        <v>0</v>
      </c>
    </row>
    <row r="78" customFormat="false" ht="17.15" hidden="false" customHeight="false" outlineLevel="0" collapsed="false">
      <c r="A78" s="5" t="s">
        <v>1253</v>
      </c>
      <c r="B78" s="0" t="s">
        <v>543</v>
      </c>
      <c r="C78" s="5" t="s">
        <v>1279</v>
      </c>
      <c r="E78" s="24" t="n">
        <f aca="false">IF(Players!E240=2,E62,0)</f>
        <v>0</v>
      </c>
      <c r="F78" s="24" t="n">
        <f aca="false">IF(Players!F240=2,F62,0)</f>
        <v>0</v>
      </c>
      <c r="G78" s="24" t="n">
        <f aca="false">IF(Players!G240=2,G62,0)</f>
        <v>0</v>
      </c>
      <c r="H78" s="24" t="n">
        <f aca="false">IF(Players!H240=2,H62,0)</f>
        <v>0</v>
      </c>
      <c r="I78" s="24" t="n">
        <f aca="false">IF(Players!I240=2,I62,0)</f>
        <v>0</v>
      </c>
      <c r="J78" s="24" t="n">
        <f aca="false">IF(Players!J240=2,J62,0)</f>
        <v>0</v>
      </c>
      <c r="K78" s="24" t="n">
        <f aca="false">IF(Players!K240=2,K62,0)</f>
        <v>0</v>
      </c>
      <c r="L78" s="24" t="n">
        <f aca="false">IF(Players!L240=2,L62,0)</f>
        <v>0</v>
      </c>
      <c r="M78" s="24" t="n">
        <f aca="false">IF(Players!M240=2,M62,0)</f>
        <v>0</v>
      </c>
    </row>
    <row r="79" customFormat="false" ht="17.15" hidden="false" customHeight="false" outlineLevel="0" collapsed="false">
      <c r="A79" s="5" t="s">
        <v>1254</v>
      </c>
      <c r="B79" s="0" t="s">
        <v>640</v>
      </c>
      <c r="C79" s="5" t="s">
        <v>1279</v>
      </c>
      <c r="E79" s="24" t="n">
        <f aca="false">IF(Players!E259=2,E63,0)</f>
        <v>0</v>
      </c>
      <c r="F79" s="24" t="n">
        <f aca="false">IF(Players!F259=2,F63,0)</f>
        <v>0</v>
      </c>
      <c r="G79" s="24" t="n">
        <f aca="false">IF(Players!G259=2,G63,0)</f>
        <v>0</v>
      </c>
      <c r="H79" s="24" t="n">
        <f aca="false">IF(Players!H259=2,H63,0)</f>
        <v>0</v>
      </c>
      <c r="I79" s="24" t="n">
        <f aca="false">IF(Players!I259=2,I63,0)</f>
        <v>0</v>
      </c>
      <c r="J79" s="24" t="n">
        <f aca="false">IF(Players!J259=2,J63,0)</f>
        <v>0</v>
      </c>
      <c r="K79" s="24" t="n">
        <f aca="false">IF(Players!K259=2,K63,0)</f>
        <v>0</v>
      </c>
      <c r="L79" s="24" t="n">
        <f aca="false">IF(Players!L259=2,L63,0)</f>
        <v>0</v>
      </c>
      <c r="M79" s="24" t="n">
        <f aca="false">IF(Players!M259=2,M63,0)</f>
        <v>0</v>
      </c>
    </row>
    <row r="80" customFormat="false" ht="17.15" hidden="false" customHeight="false" outlineLevel="0" collapsed="false">
      <c r="A80" s="5" t="s">
        <v>1255</v>
      </c>
      <c r="B80" s="0" t="s">
        <v>550</v>
      </c>
      <c r="C80" s="5" t="s">
        <v>1279</v>
      </c>
      <c r="E80" s="24" t="n">
        <f aca="false">IF(Players!E278=2,E64,0)</f>
        <v>0</v>
      </c>
      <c r="F80" s="24" t="n">
        <f aca="false">IF(Players!F278=2,F64,0)</f>
        <v>0</v>
      </c>
      <c r="G80" s="24" t="n">
        <f aca="false">IF(Players!G278=2,G64,0)</f>
        <v>0</v>
      </c>
      <c r="H80" s="24" t="n">
        <f aca="false">IF(Players!H278=2,H64,0)</f>
        <v>0</v>
      </c>
      <c r="I80" s="24" t="n">
        <f aca="false">IF(Players!I278=2,I64,0)</f>
        <v>0</v>
      </c>
      <c r="J80" s="24" t="n">
        <f aca="false">IF(Players!J278=2,J64,0)</f>
        <v>0</v>
      </c>
      <c r="K80" s="24" t="n">
        <f aca="false">IF(Players!K278=2,K64,0)</f>
        <v>0</v>
      </c>
      <c r="L80" s="24" t="n">
        <f aca="false">IF(Players!L278=2,L64,0)</f>
        <v>0</v>
      </c>
      <c r="M80" s="24" t="n">
        <f aca="false">IF(Players!M278=2,M64,0)</f>
        <v>0</v>
      </c>
    </row>
    <row r="81" customFormat="false" ht="17.15" hidden="false" customHeight="false" outlineLevel="0" collapsed="false">
      <c r="A81" s="5" t="s">
        <v>1256</v>
      </c>
      <c r="B81" s="0" t="s">
        <v>1192</v>
      </c>
      <c r="C81" s="5" t="s">
        <v>1279</v>
      </c>
      <c r="E81" s="24" t="n">
        <f aca="false">IF(Players!E297=2,E65,0)</f>
        <v>0</v>
      </c>
      <c r="F81" s="24" t="n">
        <f aca="false">IF(Players!F297=2,F65,0)</f>
        <v>0</v>
      </c>
      <c r="G81" s="24" t="n">
        <f aca="false">IF(Players!G297=2,G65,0)</f>
        <v>0</v>
      </c>
      <c r="H81" s="24" t="n">
        <f aca="false">IF(Players!H297=2,H65,0)</f>
        <v>0</v>
      </c>
      <c r="I81" s="24" t="n">
        <f aca="false">IF(Players!I297=2,I65,0)</f>
        <v>0</v>
      </c>
      <c r="J81" s="24" t="n">
        <f aca="false">IF(Players!J297=2,J65,0)</f>
        <v>0</v>
      </c>
      <c r="K81" s="24" t="n">
        <f aca="false">IF(Players!K297=2,K65,0)</f>
        <v>0</v>
      </c>
      <c r="L81" s="24" t="n">
        <f aca="false">IF(Players!L297=2,L65,0)</f>
        <v>0</v>
      </c>
      <c r="M81" s="24" t="n">
        <f aca="false">IF(Players!M297=2,M65,0)</f>
        <v>0</v>
      </c>
    </row>
    <row r="83" customFormat="false" ht="17.15" hidden="false" customHeight="false" outlineLevel="0" collapsed="false">
      <c r="A83" s="0" t="s">
        <v>1245</v>
      </c>
      <c r="B83" s="0" t="s">
        <v>504</v>
      </c>
      <c r="C83" s="5" t="s">
        <v>1280</v>
      </c>
      <c r="E83" s="24" t="n">
        <f aca="false">E51-E67</f>
        <v>0</v>
      </c>
      <c r="F83" s="24" t="n">
        <f aca="false">F51-F67</f>
        <v>1.49927</v>
      </c>
      <c r="G83" s="24" t="n">
        <f aca="false">G51-G67</f>
        <v>0</v>
      </c>
      <c r="H83" s="24" t="n">
        <f aca="false">H51-H67</f>
        <v>0</v>
      </c>
      <c r="I83" s="24" t="n">
        <f aca="false">I51-I67</f>
        <v>0</v>
      </c>
      <c r="J83" s="24" t="n">
        <f aca="false">J51-J67</f>
        <v>0</v>
      </c>
      <c r="K83" s="24" t="n">
        <f aca="false">K51-K67</f>
        <v>0</v>
      </c>
      <c r="L83" s="24" t="n">
        <f aca="false">L51-L67</f>
        <v>0</v>
      </c>
      <c r="M83" s="24" t="n">
        <f aca="false">M51-M67</f>
        <v>0</v>
      </c>
    </row>
    <row r="84" customFormat="false" ht="17.15" hidden="false" customHeight="false" outlineLevel="0" collapsed="false">
      <c r="A84" s="0" t="s">
        <v>1246</v>
      </c>
      <c r="B84" s="0" t="s">
        <v>509</v>
      </c>
      <c r="C84" s="5" t="s">
        <v>1280</v>
      </c>
      <c r="E84" s="24" t="n">
        <f aca="false">E52-E68</f>
        <v>1.32980834349181</v>
      </c>
      <c r="F84" s="24" t="n">
        <f aca="false">F52-F68</f>
        <v>2.40961330082622</v>
      </c>
      <c r="G84" s="24" t="n">
        <f aca="false">G52-G68</f>
        <v>0</v>
      </c>
      <c r="H84" s="24" t="n">
        <f aca="false">H52-H68</f>
        <v>0</v>
      </c>
      <c r="I84" s="24" t="n">
        <f aca="false">I52-I68</f>
        <v>0</v>
      </c>
      <c r="J84" s="24" t="n">
        <f aca="false">J52-J68</f>
        <v>0</v>
      </c>
      <c r="K84" s="24" t="n">
        <f aca="false">K52-K68</f>
        <v>0</v>
      </c>
      <c r="L84" s="24" t="n">
        <f aca="false">L52-L68</f>
        <v>0</v>
      </c>
      <c r="M84" s="24" t="n">
        <f aca="false">M52-M68</f>
        <v>0</v>
      </c>
    </row>
    <row r="85" customFormat="false" ht="17.15" hidden="false" customHeight="false" outlineLevel="0" collapsed="false">
      <c r="A85" s="0" t="s">
        <v>1247</v>
      </c>
      <c r="B85" s="0" t="s">
        <v>517</v>
      </c>
      <c r="C85" s="5" t="s">
        <v>1280</v>
      </c>
      <c r="E85" s="24" t="n">
        <f aca="false">E53-E69</f>
        <v>0</v>
      </c>
      <c r="F85" s="24" t="n">
        <f aca="false">F53-F69</f>
        <v>1.38971599402093</v>
      </c>
      <c r="G85" s="24" t="n">
        <f aca="false">G53-G69</f>
        <v>0</v>
      </c>
      <c r="H85" s="24" t="n">
        <f aca="false">H53-H69</f>
        <v>0</v>
      </c>
      <c r="I85" s="24" t="n">
        <f aca="false">I53-I69</f>
        <v>0</v>
      </c>
      <c r="J85" s="24" t="n">
        <f aca="false">J53-J69</f>
        <v>0</v>
      </c>
      <c r="K85" s="24" t="n">
        <f aca="false">K53-K69</f>
        <v>0</v>
      </c>
      <c r="L85" s="24" t="n">
        <f aca="false">L53-L69</f>
        <v>0</v>
      </c>
      <c r="M85" s="24" t="n">
        <f aca="false">M53-M69</f>
        <v>0</v>
      </c>
    </row>
    <row r="86" customFormat="false" ht="15" hidden="false" customHeight="false" outlineLevel="0" collapsed="false">
      <c r="A86" s="0" t="s">
        <v>981</v>
      </c>
      <c r="B86" s="0" t="s">
        <v>524</v>
      </c>
      <c r="C86" s="5" t="s">
        <v>1280</v>
      </c>
      <c r="E86" s="24" t="n">
        <f aca="false">E54-E70</f>
        <v>0</v>
      </c>
      <c r="F86" s="24" t="n">
        <f aca="false">F54-F70</f>
        <v>1.50812</v>
      </c>
      <c r="G86" s="24" t="n">
        <f aca="false">G54-G70</f>
        <v>0</v>
      </c>
      <c r="H86" s="24" t="n">
        <f aca="false">H54-H70</f>
        <v>0</v>
      </c>
      <c r="I86" s="24" t="n">
        <f aca="false">I54-I70</f>
        <v>0</v>
      </c>
      <c r="J86" s="24" t="n">
        <f aca="false">J54-J70</f>
        <v>0</v>
      </c>
      <c r="K86" s="24" t="n">
        <f aca="false">K54-K70</f>
        <v>0</v>
      </c>
      <c r="L86" s="24" t="n">
        <f aca="false">L54-L70</f>
        <v>0</v>
      </c>
      <c r="M86" s="24" t="n">
        <f aca="false">M54-M70</f>
        <v>0</v>
      </c>
    </row>
    <row r="87" customFormat="false" ht="17.15" hidden="false" customHeight="false" outlineLevel="0" collapsed="false">
      <c r="A87" s="0" t="s">
        <v>1248</v>
      </c>
      <c r="B87" s="0" t="s">
        <v>528</v>
      </c>
      <c r="C87" s="5" t="s">
        <v>1280</v>
      </c>
      <c r="E87" s="24" t="n">
        <f aca="false">E55-E71</f>
        <v>0</v>
      </c>
      <c r="F87" s="24" t="n">
        <f aca="false">F55-F71</f>
        <v>0.816405</v>
      </c>
      <c r="G87" s="24" t="n">
        <f aca="false">G55-G71</f>
        <v>0</v>
      </c>
      <c r="H87" s="24" t="n">
        <f aca="false">H55-H71</f>
        <v>0</v>
      </c>
      <c r="I87" s="24" t="n">
        <f aca="false">I55-I71</f>
        <v>0</v>
      </c>
      <c r="J87" s="24" t="n">
        <f aca="false">J55-J71</f>
        <v>0</v>
      </c>
      <c r="K87" s="24" t="n">
        <f aca="false">K55-K71</f>
        <v>0</v>
      </c>
      <c r="L87" s="24" t="n">
        <f aca="false">L55-L71</f>
        <v>0</v>
      </c>
      <c r="M87" s="24" t="n">
        <f aca="false">M55-M71</f>
        <v>0</v>
      </c>
    </row>
    <row r="88" customFormat="false" ht="15" hidden="false" customHeight="false" outlineLevel="0" collapsed="false">
      <c r="A88" s="0" t="s">
        <v>1019</v>
      </c>
      <c r="B88" s="0" t="s">
        <v>618</v>
      </c>
      <c r="C88" s="5" t="s">
        <v>1280</v>
      </c>
      <c r="E88" s="24" t="n">
        <f aca="false">E56-E72</f>
        <v>0.29</v>
      </c>
      <c r="F88" s="24" t="n">
        <f aca="false">F56-F72</f>
        <v>0.49</v>
      </c>
      <c r="G88" s="24" t="n">
        <f aca="false">G56-G72</f>
        <v>1</v>
      </c>
      <c r="H88" s="24" t="n">
        <f aca="false">H56-H72</f>
        <v>1.2775</v>
      </c>
      <c r="I88" s="24" t="n">
        <f aca="false">I56-I72</f>
        <v>1.5375</v>
      </c>
      <c r="J88" s="24" t="n">
        <f aca="false">J56-J72</f>
        <v>1.5375</v>
      </c>
      <c r="K88" s="24" t="n">
        <f aca="false">K56-K72</f>
        <v>1.5375</v>
      </c>
      <c r="L88" s="24" t="n">
        <f aca="false">L56-L72</f>
        <v>0</v>
      </c>
      <c r="M88" s="24" t="n">
        <f aca="false">M56-M72</f>
        <v>0</v>
      </c>
    </row>
    <row r="89" customFormat="false" ht="15" hidden="false" customHeight="false" outlineLevel="0" collapsed="false">
      <c r="A89" s="0" t="s">
        <v>1038</v>
      </c>
      <c r="B89" s="0" t="s">
        <v>647</v>
      </c>
      <c r="C89" s="5" t="s">
        <v>1280</v>
      </c>
      <c r="E89" s="24" t="n">
        <f aca="false">E57-E73</f>
        <v>0</v>
      </c>
      <c r="F89" s="24" t="n">
        <f aca="false">F57-F73</f>
        <v>0</v>
      </c>
      <c r="G89" s="24" t="n">
        <f aca="false">G57-G73</f>
        <v>0.73</v>
      </c>
      <c r="H89" s="24" t="n">
        <f aca="false">H57-H73</f>
        <v>0</v>
      </c>
      <c r="I89" s="24" t="n">
        <f aca="false">I57-I73</f>
        <v>0</v>
      </c>
      <c r="J89" s="24" t="n">
        <f aca="false">J57-J73</f>
        <v>0</v>
      </c>
      <c r="K89" s="24" t="n">
        <f aca="false">K57-K73</f>
        <v>0</v>
      </c>
      <c r="L89" s="24" t="n">
        <f aca="false">L57-L73</f>
        <v>0</v>
      </c>
      <c r="M89" s="24" t="n">
        <f aca="false">M57-M73</f>
        <v>0</v>
      </c>
    </row>
    <row r="90" customFormat="false" ht="17.15" hidden="false" customHeight="false" outlineLevel="0" collapsed="false">
      <c r="A90" s="0" t="s">
        <v>1249</v>
      </c>
      <c r="B90" s="0" t="s">
        <v>1058</v>
      </c>
      <c r="C90" s="5" t="s">
        <v>1280</v>
      </c>
      <c r="E90" s="24" t="n">
        <f aca="false">E58-E74</f>
        <v>0</v>
      </c>
      <c r="F90" s="24" t="n">
        <f aca="false">F58-F74</f>
        <v>0</v>
      </c>
      <c r="G90" s="24" t="n">
        <f aca="false">G58-G74</f>
        <v>0.009074</v>
      </c>
      <c r="H90" s="24" t="n">
        <f aca="false">H58-H74</f>
        <v>0.001974</v>
      </c>
      <c r="I90" s="24" t="n">
        <f aca="false">I58-I74</f>
        <v>0</v>
      </c>
      <c r="J90" s="24" t="n">
        <f aca="false">J58-J74</f>
        <v>0</v>
      </c>
      <c r="K90" s="24" t="n">
        <f aca="false">K58-K74</f>
        <v>0</v>
      </c>
      <c r="L90" s="24" t="n">
        <f aca="false">L58-L74</f>
        <v>0</v>
      </c>
      <c r="M90" s="24" t="n">
        <f aca="false">M58-M74</f>
        <v>0</v>
      </c>
    </row>
    <row r="91" customFormat="false" ht="17.15" hidden="false" customHeight="false" outlineLevel="0" collapsed="false">
      <c r="A91" s="0" t="s">
        <v>1250</v>
      </c>
      <c r="B91" s="0" t="s">
        <v>533</v>
      </c>
      <c r="C91" s="5" t="s">
        <v>1280</v>
      </c>
      <c r="E91" s="24" t="n">
        <f aca="false">E59-E75</f>
        <v>0</v>
      </c>
      <c r="F91" s="24" t="n">
        <f aca="false">F59-F75</f>
        <v>0</v>
      </c>
      <c r="G91" s="24" t="n">
        <f aca="false">G59-G75</f>
        <v>1.4302</v>
      </c>
      <c r="H91" s="24" t="n">
        <f aca="false">H59-H75</f>
        <v>0</v>
      </c>
      <c r="I91" s="24" t="n">
        <f aca="false">I59-I75</f>
        <v>0</v>
      </c>
      <c r="J91" s="24" t="n">
        <f aca="false">J59-J75</f>
        <v>0</v>
      </c>
      <c r="K91" s="24" t="n">
        <f aca="false">K59-K75</f>
        <v>0</v>
      </c>
      <c r="L91" s="24" t="n">
        <f aca="false">L59-L75</f>
        <v>0</v>
      </c>
      <c r="M91" s="24" t="n">
        <f aca="false">M59-M75</f>
        <v>0</v>
      </c>
    </row>
    <row r="92" customFormat="false" ht="17.15" hidden="false" customHeight="false" outlineLevel="0" collapsed="false">
      <c r="A92" s="0" t="s">
        <v>1251</v>
      </c>
      <c r="B92" s="0" t="s">
        <v>529</v>
      </c>
      <c r="C92" s="5" t="s">
        <v>1280</v>
      </c>
      <c r="E92" s="24" t="n">
        <f aca="false">E60-E76</f>
        <v>0</v>
      </c>
      <c r="F92" s="24" t="n">
        <f aca="false">F60-F76</f>
        <v>0</v>
      </c>
      <c r="G92" s="24" t="n">
        <f aca="false">G60-G76</f>
        <v>0</v>
      </c>
      <c r="H92" s="24" t="n">
        <f aca="false">H60-H76</f>
        <v>0</v>
      </c>
      <c r="I92" s="24" t="n">
        <f aca="false">I60-I76</f>
        <v>0</v>
      </c>
      <c r="J92" s="24" t="n">
        <f aca="false">J60-J76</f>
        <v>0</v>
      </c>
      <c r="K92" s="24" t="n">
        <f aca="false">K60-K76</f>
        <v>0</v>
      </c>
      <c r="L92" s="24" t="n">
        <f aca="false">L60-L76</f>
        <v>0</v>
      </c>
      <c r="M92" s="24" t="n">
        <f aca="false">M60-M76</f>
        <v>0</v>
      </c>
    </row>
    <row r="93" customFormat="false" ht="17.15" hidden="false" customHeight="false" outlineLevel="0" collapsed="false">
      <c r="A93" s="0" t="s">
        <v>1252</v>
      </c>
      <c r="B93" s="0" t="s">
        <v>513</v>
      </c>
      <c r="C93" s="5" t="s">
        <v>1280</v>
      </c>
      <c r="E93" s="24" t="n">
        <f aca="false">E61-E77</f>
        <v>0</v>
      </c>
      <c r="F93" s="24" t="n">
        <f aca="false">F61-F77</f>
        <v>0</v>
      </c>
      <c r="G93" s="24" t="n">
        <f aca="false">G61-G77</f>
        <v>0</v>
      </c>
      <c r="H93" s="24" t="n">
        <f aca="false">H61-H77</f>
        <v>0</v>
      </c>
      <c r="I93" s="24" t="n">
        <f aca="false">I61-I77</f>
        <v>0</v>
      </c>
      <c r="J93" s="24" t="n">
        <f aca="false">J61-J77</f>
        <v>0</v>
      </c>
      <c r="K93" s="24" t="n">
        <f aca="false">K61-K77</f>
        <v>0</v>
      </c>
      <c r="L93" s="24" t="n">
        <f aca="false">L61-L77</f>
        <v>0</v>
      </c>
      <c r="M93" s="24" t="n">
        <f aca="false">M61-M77</f>
        <v>0</v>
      </c>
    </row>
    <row r="94" customFormat="false" ht="17.15" hidden="false" customHeight="false" outlineLevel="0" collapsed="false">
      <c r="A94" s="5" t="s">
        <v>1253</v>
      </c>
      <c r="B94" s="0" t="s">
        <v>543</v>
      </c>
      <c r="C94" s="5" t="s">
        <v>1280</v>
      </c>
      <c r="E94" s="24" t="n">
        <f aca="false">E62-E78</f>
        <v>0</v>
      </c>
      <c r="F94" s="24" t="n">
        <f aca="false">F62-F78</f>
        <v>0.3</v>
      </c>
      <c r="G94" s="24" t="n">
        <f aca="false">G62-G78</f>
        <v>0.7</v>
      </c>
      <c r="H94" s="24" t="n">
        <f aca="false">H62-H78</f>
        <v>0</v>
      </c>
      <c r="I94" s="24" t="n">
        <f aca="false">I62-I78</f>
        <v>0</v>
      </c>
      <c r="J94" s="24" t="n">
        <f aca="false">J62-J78</f>
        <v>0</v>
      </c>
      <c r="K94" s="24" t="n">
        <f aca="false">K62-K78</f>
        <v>0</v>
      </c>
      <c r="L94" s="24" t="n">
        <f aca="false">L62-L78</f>
        <v>0</v>
      </c>
      <c r="M94" s="24" t="n">
        <f aca="false">M62-M78</f>
        <v>0</v>
      </c>
    </row>
    <row r="95" customFormat="false" ht="17.15" hidden="false" customHeight="false" outlineLevel="0" collapsed="false">
      <c r="A95" s="5" t="s">
        <v>1254</v>
      </c>
      <c r="B95" s="0" t="s">
        <v>640</v>
      </c>
      <c r="C95" s="5" t="s">
        <v>1280</v>
      </c>
      <c r="E95" s="24" t="n">
        <f aca="false">E63-E79</f>
        <v>0</v>
      </c>
      <c r="F95" s="24" t="n">
        <f aca="false">F63-F79</f>
        <v>0</v>
      </c>
      <c r="G95" s="24" t="n">
        <f aca="false">G63-G79</f>
        <v>0</v>
      </c>
      <c r="H95" s="24" t="n">
        <f aca="false">H63-H79</f>
        <v>0</v>
      </c>
      <c r="I95" s="24" t="n">
        <f aca="false">I63-I79</f>
        <v>0</v>
      </c>
      <c r="J95" s="24" t="n">
        <f aca="false">J63-J79</f>
        <v>0</v>
      </c>
      <c r="K95" s="24" t="n">
        <f aca="false">K63-K79</f>
        <v>0</v>
      </c>
      <c r="L95" s="24" t="n">
        <f aca="false">L63-L79</f>
        <v>0</v>
      </c>
      <c r="M95" s="24" t="n">
        <f aca="false">M63-M79</f>
        <v>0</v>
      </c>
    </row>
    <row r="96" customFormat="false" ht="17.15" hidden="false" customHeight="false" outlineLevel="0" collapsed="false">
      <c r="A96" s="5" t="s">
        <v>1255</v>
      </c>
      <c r="B96" s="0" t="s">
        <v>550</v>
      </c>
      <c r="C96" s="5" t="s">
        <v>1280</v>
      </c>
      <c r="E96" s="24" t="n">
        <f aca="false">E64-E80</f>
        <v>0</v>
      </c>
      <c r="F96" s="24" t="n">
        <f aca="false">F64-F80</f>
        <v>0</v>
      </c>
      <c r="G96" s="24" t="n">
        <f aca="false">G64-G80</f>
        <v>3.33333333333333</v>
      </c>
      <c r="H96" s="24" t="n">
        <f aca="false">H64-H80</f>
        <v>1.9895044578405</v>
      </c>
      <c r="I96" s="24" t="n">
        <f aca="false">I64-I80</f>
        <v>2.28121406090902</v>
      </c>
      <c r="J96" s="24" t="n">
        <f aca="false">J64-J80</f>
        <v>2.61252133099745</v>
      </c>
      <c r="K96" s="24" t="n">
        <f aca="false">K64-K80</f>
        <v>2.9885550220479</v>
      </c>
      <c r="L96" s="24" t="n">
        <f aca="false">L64-L80</f>
        <v>2.15384615384616</v>
      </c>
      <c r="M96" s="24" t="n">
        <f aca="false">M64-M80</f>
        <v>2.36923076923077</v>
      </c>
    </row>
    <row r="97" customFormat="false" ht="17.15" hidden="false" customHeight="false" outlineLevel="0" collapsed="false">
      <c r="A97" s="5" t="s">
        <v>1256</v>
      </c>
      <c r="B97" s="0" t="s">
        <v>1192</v>
      </c>
      <c r="C97" s="5" t="s">
        <v>1280</v>
      </c>
      <c r="E97" s="24" t="n">
        <f aca="false">E65-E81</f>
        <v>0</v>
      </c>
      <c r="F97" s="24" t="n">
        <f aca="false">F65-F81</f>
        <v>0</v>
      </c>
      <c r="G97" s="24" t="n">
        <f aca="false">G65-G81</f>
        <v>0</v>
      </c>
      <c r="H97" s="24" t="n">
        <f aca="false">H65-H81</f>
        <v>0</v>
      </c>
      <c r="I97" s="24" t="n">
        <f aca="false">I65-I81</f>
        <v>0</v>
      </c>
      <c r="J97" s="24" t="n">
        <f aca="false">J65-J81</f>
        <v>0</v>
      </c>
      <c r="K97" s="24" t="n">
        <f aca="false">K65-K81</f>
        <v>0</v>
      </c>
      <c r="L97" s="24" t="n">
        <f aca="false">L65-L81</f>
        <v>0</v>
      </c>
      <c r="M97" s="24" t="n">
        <f aca="false">M65-M81</f>
        <v>0</v>
      </c>
    </row>
    <row r="99" customFormat="false" ht="15" hidden="false" customHeight="false" outlineLevel="0" collapsed="false">
      <c r="A99" s="21" t="s">
        <v>1278</v>
      </c>
      <c r="D99" s="24" t="n">
        <v>0</v>
      </c>
      <c r="E99" s="24" t="n">
        <f aca="false">SUM(E51:E65)</f>
        <v>1.61980834349181</v>
      </c>
      <c r="F99" s="24" t="n">
        <f aca="false">SUM(F51:F65)</f>
        <v>8.41312429484715</v>
      </c>
      <c r="G99" s="24" t="n">
        <f aca="false">SUM(G51:G65)</f>
        <v>10.6373714610592</v>
      </c>
      <c r="H99" s="24" t="n">
        <f aca="false">SUM(H51:H65)</f>
        <v>3.2689784578405</v>
      </c>
      <c r="I99" s="24" t="n">
        <f aca="false">SUM(I51:I65)</f>
        <v>3.81871406090902</v>
      </c>
      <c r="J99" s="24" t="n">
        <f aca="false">SUM(J51:J65)</f>
        <v>4.15002133099745</v>
      </c>
      <c r="K99" s="24" t="n">
        <f aca="false">SUM(K51:K65)</f>
        <v>4.5260550220479</v>
      </c>
      <c r="L99" s="24" t="n">
        <f aca="false">SUM(L51:L65)</f>
        <v>2.15384615384616</v>
      </c>
      <c r="M99" s="24" t="n">
        <f aca="false">SUM(M51:M65)</f>
        <v>2.36923076923077</v>
      </c>
    </row>
    <row r="100" customFormat="false" ht="15" hidden="false" customHeight="false" outlineLevel="0" collapsed="false">
      <c r="A100" s="21" t="s">
        <v>1281</v>
      </c>
      <c r="D100" s="24" t="n">
        <v>0</v>
      </c>
      <c r="E100" s="24" t="n">
        <f aca="false">SUM(E67:E81)</f>
        <v>0</v>
      </c>
      <c r="F100" s="24" t="n">
        <f aca="false">SUM(F67:F81)</f>
        <v>0</v>
      </c>
      <c r="G100" s="24" t="n">
        <f aca="false">SUM(G67:G81)</f>
        <v>3.43476412772586</v>
      </c>
      <c r="H100" s="24" t="n">
        <f aca="false">SUM(H67:H81)</f>
        <v>0</v>
      </c>
      <c r="I100" s="24" t="n">
        <f aca="false">SUM(I67:I81)</f>
        <v>0</v>
      </c>
      <c r="J100" s="24" t="n">
        <f aca="false">SUM(J67:J81)</f>
        <v>0</v>
      </c>
      <c r="K100" s="24" t="n">
        <f aca="false">SUM(K67:K81)</f>
        <v>0</v>
      </c>
      <c r="L100" s="24" t="n">
        <f aca="false">SUM(L67:L81)</f>
        <v>0</v>
      </c>
      <c r="M100" s="24" t="n">
        <f aca="false">SUM(M67:M81)</f>
        <v>0</v>
      </c>
    </row>
    <row r="101" customFormat="false" ht="15" hidden="false" customHeight="false" outlineLevel="0" collapsed="false">
      <c r="A101" s="21" t="s">
        <v>1282</v>
      </c>
      <c r="D101" s="24" t="n">
        <v>0</v>
      </c>
      <c r="E101" s="24" t="n">
        <f aca="false">SUM(E83:E97)</f>
        <v>1.61980834349181</v>
      </c>
      <c r="F101" s="24" t="n">
        <f aca="false">SUM(F83:F97)</f>
        <v>8.41312429484715</v>
      </c>
      <c r="G101" s="24" t="n">
        <f aca="false">SUM(G83:G97)</f>
        <v>7.20260733333333</v>
      </c>
      <c r="H101" s="24" t="n">
        <f aca="false">SUM(H83:H97)</f>
        <v>3.2689784578405</v>
      </c>
      <c r="I101" s="24" t="n">
        <f aca="false">SUM(I83:I97)</f>
        <v>3.81871406090902</v>
      </c>
      <c r="J101" s="24" t="n">
        <f aca="false">SUM(J83:J97)</f>
        <v>4.15002133099745</v>
      </c>
      <c r="K101" s="24" t="n">
        <f aca="false">SUM(K83:K97)</f>
        <v>4.5260550220479</v>
      </c>
      <c r="L101" s="24" t="n">
        <f aca="false">SUM(L83:L97)</f>
        <v>2.15384615384616</v>
      </c>
      <c r="M101" s="24" t="n">
        <f aca="false">SUM(M83:M97)</f>
        <v>2.36923076923077</v>
      </c>
    </row>
    <row r="102" customFormat="false" ht="17.15" hidden="false" customHeight="false" outlineLevel="0" collapsed="false">
      <c r="A102" s="21" t="s">
        <v>1283</v>
      </c>
      <c r="D102" s="24" t="n">
        <f aca="false">SUMIFS($L$5:$L$47,$Q$5:$Q$47,1,$P$5:$P$47,2023)</f>
        <v>0</v>
      </c>
      <c r="E102" s="24" t="n">
        <f aca="false">SUMIFS($L$5:$L$47,$Q$5:$Q$47,1,$P$5:$P$47,2024)</f>
        <v>0</v>
      </c>
      <c r="F102" s="24" t="n">
        <f aca="false">SUMIFS($L$5:$L$47,$Q$5:$Q$47,1,$P$5:$P$47,2025)</f>
        <v>0.636</v>
      </c>
      <c r="G102" s="24" t="n">
        <f aca="false">SUMIFS($L$5:$L$47,$Q$5:$Q$47,1,$P$5:$P$47,2026)</f>
        <v>1.678</v>
      </c>
      <c r="H102" s="24" t="n">
        <f aca="false">SUMIFS($L$5:$L$47,$Q$5:$Q$47,1,$P$5:$P$47,2027)</f>
        <v>2.21866666666667</v>
      </c>
      <c r="I102" s="24" t="n">
        <f aca="false">SUMIFS($L$5:$L$47,$Q$5:$Q$47,1,$P$5:$P$47,2028)</f>
        <v>12.7693333333333</v>
      </c>
      <c r="J102" s="24" t="n">
        <f aca="false">SUMIFS($L$5:$L$47,$Q$5:$Q$47,1,$P$5:$P$47,2029)</f>
        <v>1.785</v>
      </c>
      <c r="K102" s="24" t="n">
        <f aca="false">SUMIFS($L$5:$L$47,$Q$5:$Q$47,1,$P$5:$P$47,2030)</f>
        <v>3.116</v>
      </c>
      <c r="L102" s="24" t="n">
        <f aca="false">SUMIFS($L$5:$L$47,$Q$5:$Q$47,1,$P$5:$P$47,2031)</f>
        <v>0</v>
      </c>
      <c r="M102" s="24" t="n">
        <f aca="false">SUMIFS($L$5:$L$47,$Q$5:$Q$47,1,$P$5:$P$47,2032)</f>
        <v>0</v>
      </c>
    </row>
    <row r="103" customFormat="false" ht="17.15" hidden="false" customHeight="false" outlineLevel="0" collapsed="false">
      <c r="A103" s="21" t="s">
        <v>1284</v>
      </c>
      <c r="D103" s="24" t="n">
        <f aca="false">Players!D314</f>
        <v>0.630578355681972</v>
      </c>
      <c r="E103" s="24" t="n">
        <f aca="false">Players!E314</f>
        <v>3.95899900597907</v>
      </c>
      <c r="F103" s="24" t="n">
        <f aca="false">Players!F314</f>
        <v>10.0786333333333</v>
      </c>
      <c r="G103" s="24" t="n">
        <f aca="false">Players!G314</f>
        <v>0</v>
      </c>
      <c r="H103" s="24" t="n">
        <f aca="false">Players!H314</f>
        <v>0</v>
      </c>
      <c r="I103" s="24" t="n">
        <f aca="false">Players!I314</f>
        <v>0</v>
      </c>
      <c r="J103" s="24" t="n">
        <f aca="false">Players!J314</f>
        <v>0</v>
      </c>
      <c r="K103" s="24" t="n">
        <f aca="false">Players!K314</f>
        <v>0</v>
      </c>
      <c r="L103" s="24" t="n">
        <f aca="false">Players!L314</f>
        <v>0</v>
      </c>
      <c r="M103" s="24" t="n">
        <f aca="false">Players!M314</f>
        <v>0</v>
      </c>
    </row>
    <row r="104" customFormat="false" ht="17.15" hidden="false" customHeight="false" outlineLevel="0" collapsed="false">
      <c r="A104" s="21" t="s">
        <v>1285</v>
      </c>
      <c r="D104" s="24" t="n">
        <f aca="false">D99+D102</f>
        <v>0</v>
      </c>
      <c r="E104" s="24" t="n">
        <f aca="false">E99+E102</f>
        <v>1.61980834349181</v>
      </c>
      <c r="F104" s="24" t="n">
        <f aca="false">F99+F102</f>
        <v>9.04912429484715</v>
      </c>
      <c r="G104" s="24" t="n">
        <f aca="false">G99+G102</f>
        <v>12.3153714610592</v>
      </c>
      <c r="H104" s="24" t="n">
        <f aca="false">H99+H102</f>
        <v>5.48764512450717</v>
      </c>
      <c r="I104" s="24" t="n">
        <f aca="false">I99+I102</f>
        <v>16.5880473942424</v>
      </c>
      <c r="J104" s="24" t="n">
        <f aca="false">J99+J102</f>
        <v>5.93502133099745</v>
      </c>
      <c r="K104" s="24" t="n">
        <f aca="false">K99+K102</f>
        <v>7.6420550220479</v>
      </c>
      <c r="L104" s="24" t="n">
        <f aca="false">L99+L102</f>
        <v>2.15384615384616</v>
      </c>
      <c r="M104" s="24" t="n">
        <f aca="false">M99+M102</f>
        <v>2.36923076923077</v>
      </c>
    </row>
    <row r="106" customFormat="false" ht="17.15" hidden="false" customHeight="false" outlineLevel="0" collapsed="false">
      <c r="A106" s="8" t="s">
        <v>1286</v>
      </c>
    </row>
    <row r="107" customFormat="false" ht="17.15" hidden="false" customHeight="false" outlineLevel="0" collapsed="false">
      <c r="A107" s="6" t="s">
        <v>1287</v>
      </c>
      <c r="B107" s="6" t="s">
        <v>1288</v>
      </c>
      <c r="C107" s="6"/>
      <c r="D107" s="6"/>
      <c r="E107" s="7" t="s">
        <v>21</v>
      </c>
      <c r="F107" s="7" t="s">
        <v>22</v>
      </c>
      <c r="G107" s="7" t="s">
        <v>23</v>
      </c>
      <c r="H107" s="7" t="s">
        <v>24</v>
      </c>
      <c r="I107" s="7" t="s">
        <v>25</v>
      </c>
      <c r="J107" s="7" t="s">
        <v>26</v>
      </c>
      <c r="K107" s="7" t="s">
        <v>27</v>
      </c>
      <c r="L107" s="7" t="s">
        <v>28</v>
      </c>
      <c r="M107" s="7" t="s">
        <v>29</v>
      </c>
    </row>
    <row r="108" customFormat="false" ht="17.15" hidden="false" customHeight="false" outlineLevel="0" collapsed="false">
      <c r="A108" s="0" t="s">
        <v>1289</v>
      </c>
      <c r="B108" s="0" t="n">
        <v>2023</v>
      </c>
      <c r="E108" s="29" t="n">
        <f aca="false">MAX(0,MIN(2023+1,2024+MAX(0,MIN(1,asof-2024)))-2024)+MAX(0,MIN(2023+1,2024+1+0)-(MAX(2024,asof)+0))</f>
        <v>0</v>
      </c>
      <c r="F108" s="29" t="n">
        <f aca="false">MAX(0,MIN(2023+1,2025+MAX(0,MIN(1,asof-2025)))-2025)+MAX(0,MIN(2023+1,2025+1+0)-(MAX(2025,asof)+0))</f>
        <v>0</v>
      </c>
      <c r="G108" s="29" t="n">
        <f aca="false">MAX(0,MIN(2023+1,2026+MAX(0,MIN(1,asof-2026)))-2026)+MAX(0,MIN(2023+1,2026+1+0)-(MAX(2026,asof)+0))</f>
        <v>0</v>
      </c>
      <c r="H108" s="29" t="n">
        <f aca="false">MAX(0,MIN(2023+1,2027+MAX(0,MIN(1,asof-2027)))-2027)+MAX(0,MIN(2023+1,2027+1+0)-(MAX(2027,asof)+0))</f>
        <v>0</v>
      </c>
      <c r="I108" s="29" t="n">
        <f aca="false">MAX(0,MIN(2023+1,2028+MAX(0,MIN(1,asof-2028)))-2028)+MAX(0,MIN(2023+1,2028+1+0)-(MAX(2028,asof)+0))</f>
        <v>0</v>
      </c>
      <c r="J108" s="29" t="n">
        <f aca="false">MAX(0,MIN(2023+1,2029+MAX(0,MIN(1,asof-2029)))-2029)+MAX(0,MIN(2023+1,2029+1+0)-(MAX(2029,asof)+0))</f>
        <v>0</v>
      </c>
      <c r="K108" s="29" t="n">
        <f aca="false">MAX(0,MIN(2023+1,2030+MAX(0,MIN(1,asof-2030)))-2030)+MAX(0,MIN(2023+1,2030+1+0)-(MAX(2030,asof)+0))</f>
        <v>0</v>
      </c>
      <c r="L108" s="29" t="n">
        <f aca="false">MAX(0,MIN(2023+1,2031+MAX(0,MIN(1,asof-2031)))-2031)+MAX(0,MIN(2023+1,2031+1+0)-(MAX(2031,asof)+0))</f>
        <v>0</v>
      </c>
      <c r="M108" s="29" t="n">
        <f aca="false">MAX(0,MIN(2023+1,2032+MAX(0,MIN(1,asof-2032)))-2032)+MAX(0,MIN(2023+1,2032+1+0)-(MAX(2032,asof)+0))</f>
        <v>0</v>
      </c>
    </row>
    <row r="109" customFormat="false" ht="17.15" hidden="false" customHeight="false" outlineLevel="0" collapsed="false">
      <c r="A109" s="0" t="s">
        <v>1290</v>
      </c>
      <c r="B109" s="0" t="n">
        <v>2024</v>
      </c>
      <c r="E109" s="29" t="n">
        <f aca="false">MAX(0,MIN(2024+1,2024+MAX(0,MIN(1,asof-2024)))-2024)+MAX(0,MIN(2024+1,2024+1+0)-(MAX(2024,asof)+0))</f>
        <v>1</v>
      </c>
      <c r="F109" s="29" t="n">
        <f aca="false">MAX(0,MIN(2024+1,2025+MAX(0,MIN(1,asof-2025)))-2025)+MAX(0,MIN(2024+1,2025+1+0)-(MAX(2025,asof)+0))</f>
        <v>0</v>
      </c>
      <c r="G109" s="29" t="n">
        <f aca="false">MAX(0,MIN(2024+1,2026+MAX(0,MIN(1,asof-2026)))-2026)+MAX(0,MIN(2024+1,2026+1+0)-(MAX(2026,asof)+0))</f>
        <v>0</v>
      </c>
      <c r="H109" s="29" t="n">
        <f aca="false">MAX(0,MIN(2024+1,2027+MAX(0,MIN(1,asof-2027)))-2027)+MAX(0,MIN(2024+1,2027+1+0)-(MAX(2027,asof)+0))</f>
        <v>0</v>
      </c>
      <c r="I109" s="29" t="n">
        <f aca="false">MAX(0,MIN(2024+1,2028+MAX(0,MIN(1,asof-2028)))-2028)+MAX(0,MIN(2024+1,2028+1+0)-(MAX(2028,asof)+0))</f>
        <v>0</v>
      </c>
      <c r="J109" s="29" t="n">
        <f aca="false">MAX(0,MIN(2024+1,2029+MAX(0,MIN(1,asof-2029)))-2029)+MAX(0,MIN(2024+1,2029+1+0)-(MAX(2029,asof)+0))</f>
        <v>0</v>
      </c>
      <c r="K109" s="29" t="n">
        <f aca="false">MAX(0,MIN(2024+1,2030+MAX(0,MIN(1,asof-2030)))-2030)+MAX(0,MIN(2024+1,2030+1+0)-(MAX(2030,asof)+0))</f>
        <v>0</v>
      </c>
      <c r="L109" s="29" t="n">
        <f aca="false">MAX(0,MIN(2024+1,2031+MAX(0,MIN(1,asof-2031)))-2031)+MAX(0,MIN(2024+1,2031+1+0)-(MAX(2031,asof)+0))</f>
        <v>0</v>
      </c>
      <c r="M109" s="29" t="n">
        <f aca="false">MAX(0,MIN(2024+1,2032+MAX(0,MIN(1,asof-2032)))-2032)+MAX(0,MIN(2024+1,2032+1+0)-(MAX(2032,asof)+0))</f>
        <v>0</v>
      </c>
    </row>
    <row r="110" customFormat="false" ht="17.15" hidden="false" customHeight="false" outlineLevel="0" collapsed="false">
      <c r="A110" s="0" t="s">
        <v>1291</v>
      </c>
      <c r="B110" s="0" t="n">
        <v>2025</v>
      </c>
      <c r="E110" s="29" t="n">
        <f aca="false">MAX(0,MIN(2025+1,2024+MAX(0,MIN(1,asof-2024)))-2024)+MAX(0,MIN(2025+1,2024+1+0)-(MAX(2024,asof)+0))</f>
        <v>1</v>
      </c>
      <c r="F110" s="29" t="n">
        <f aca="false">MAX(0,MIN(2025+1,2025+MAX(0,MIN(1,asof-2025)))-2025)+MAX(0,MIN(2025+1,2025+1+0)-(MAX(2025,asof)+0))</f>
        <v>1</v>
      </c>
      <c r="G110" s="29" t="n">
        <f aca="false">MAX(0,MIN(2025+1,2026+MAX(0,MIN(1,asof-2026)))-2026)+MAX(0,MIN(2025+1,2026+1+0)-(MAX(2026,asof)+0))</f>
        <v>0</v>
      </c>
      <c r="H110" s="29" t="n">
        <f aca="false">MAX(0,MIN(2025+1,2027+MAX(0,MIN(1,asof-2027)))-2027)+MAX(0,MIN(2025+1,2027+1+0)-(MAX(2027,asof)+0))</f>
        <v>0</v>
      </c>
      <c r="I110" s="29" t="n">
        <f aca="false">MAX(0,MIN(2025+1,2028+MAX(0,MIN(1,asof-2028)))-2028)+MAX(0,MIN(2025+1,2028+1+0)-(MAX(2028,asof)+0))</f>
        <v>0</v>
      </c>
      <c r="J110" s="29" t="n">
        <f aca="false">MAX(0,MIN(2025+1,2029+MAX(0,MIN(1,asof-2029)))-2029)+MAX(0,MIN(2025+1,2029+1+0)-(MAX(2029,asof)+0))</f>
        <v>0</v>
      </c>
      <c r="K110" s="29" t="n">
        <f aca="false">MAX(0,MIN(2025+1,2030+MAX(0,MIN(1,asof-2030)))-2030)+MAX(0,MIN(2025+1,2030+1+0)-(MAX(2030,asof)+0))</f>
        <v>0</v>
      </c>
      <c r="L110" s="29" t="n">
        <f aca="false">MAX(0,MIN(2025+1,2031+MAX(0,MIN(1,asof-2031)))-2031)+MAX(0,MIN(2025+1,2031+1+0)-(MAX(2031,asof)+0))</f>
        <v>0</v>
      </c>
      <c r="M110" s="29" t="n">
        <f aca="false">MAX(0,MIN(2025+1,2032+MAX(0,MIN(1,asof-2032)))-2032)+MAX(0,MIN(2025+1,2032+1+0)-(MAX(2032,asof)+0))</f>
        <v>0</v>
      </c>
    </row>
    <row r="111" customFormat="false" ht="17.15" hidden="false" customHeight="false" outlineLevel="0" collapsed="false">
      <c r="A111" s="0" t="s">
        <v>1292</v>
      </c>
      <c r="B111" s="0" t="n">
        <v>2026</v>
      </c>
      <c r="E111" s="29" t="n">
        <f aca="false">MAX(0,MIN(2026+1,2024+MAX(0,MIN(1,asof-2024)))-2024)+MAX(0,MIN(2026+1,2024+1+0)-(MAX(2024,asof)+0))</f>
        <v>1</v>
      </c>
      <c r="F111" s="29" t="n">
        <f aca="false">MAX(0,MIN(2026+1,2025+MAX(0,MIN(1,asof-2025)))-2025)+MAX(0,MIN(2026+1,2025+1+0)-(MAX(2025,asof)+0))</f>
        <v>1</v>
      </c>
      <c r="G111" s="29" t="n">
        <f aca="false">MAX(0,MIN(2026+1,2026+MAX(0,MIN(1,asof-2026)))-2026)+MAX(0,MIN(2026+1,2026+1+0)-(MAX(2026,asof)+0))</f>
        <v>1</v>
      </c>
      <c r="H111" s="29" t="n">
        <f aca="false">MAX(0,MIN(2026+1,2027+MAX(0,MIN(1,asof-2027)))-2027)+MAX(0,MIN(2026+1,2027+1+0)-(MAX(2027,asof)+0))</f>
        <v>0</v>
      </c>
      <c r="I111" s="29" t="n">
        <f aca="false">MAX(0,MIN(2026+1,2028+MAX(0,MIN(1,asof-2028)))-2028)+MAX(0,MIN(2026+1,2028+1+0)-(MAX(2028,asof)+0))</f>
        <v>0</v>
      </c>
      <c r="J111" s="29" t="n">
        <f aca="false">MAX(0,MIN(2026+1,2029+MAX(0,MIN(1,asof-2029)))-2029)+MAX(0,MIN(2026+1,2029+1+0)-(MAX(2029,asof)+0))</f>
        <v>0</v>
      </c>
      <c r="K111" s="29" t="n">
        <f aca="false">MAX(0,MIN(2026+1,2030+MAX(0,MIN(1,asof-2030)))-2030)+MAX(0,MIN(2026+1,2030+1+0)-(MAX(2030,asof)+0))</f>
        <v>0</v>
      </c>
      <c r="L111" s="29" t="n">
        <f aca="false">MAX(0,MIN(2026+1,2031+MAX(0,MIN(1,asof-2031)))-2031)+MAX(0,MIN(2026+1,2031+1+0)-(MAX(2031,asof)+0))</f>
        <v>0</v>
      </c>
      <c r="M111" s="29" t="n">
        <f aca="false">MAX(0,MIN(2026+1,2032+MAX(0,MIN(1,asof-2032)))-2032)+MAX(0,MIN(2026+1,2032+1+0)-(MAX(2032,asof)+0))</f>
        <v>0</v>
      </c>
    </row>
    <row r="112" customFormat="false" ht="17.15" hidden="false" customHeight="false" outlineLevel="0" collapsed="false">
      <c r="A112" s="0" t="s">
        <v>1293</v>
      </c>
      <c r="B112" s="0" t="n">
        <v>2027</v>
      </c>
      <c r="E112" s="29" t="n">
        <f aca="false">MAX(0,MIN(2027+1,2024+MAX(0,MIN(1,asof-2024)))-2024)+MAX(0,MIN(2027+1,2024+1+0)-(MAX(2024,asof)+0))</f>
        <v>1</v>
      </c>
      <c r="F112" s="29" t="n">
        <f aca="false">MAX(0,MIN(2027+1,2025+MAX(0,MIN(1,asof-2025)))-2025)+MAX(0,MIN(2027+1,2025+1+0)-(MAX(2025,asof)+0))</f>
        <v>1</v>
      </c>
      <c r="G112" s="29" t="n">
        <f aca="false">MAX(0,MIN(2027+1,2026+MAX(0,MIN(1,asof-2026)))-2026)+MAX(0,MIN(2027+1,2026+1+0)-(MAX(2026,asof)+0))</f>
        <v>1</v>
      </c>
      <c r="H112" s="29" t="n">
        <f aca="false">MAX(0,MIN(2027+1,2027+MAX(0,MIN(1,asof-2027)))-2027)+MAX(0,MIN(2027+1,2027+1+0)-(MAX(2027,asof)+0))</f>
        <v>1</v>
      </c>
      <c r="I112" s="29" t="n">
        <f aca="false">MAX(0,MIN(2027+1,2028+MAX(0,MIN(1,asof-2028)))-2028)+MAX(0,MIN(2027+1,2028+1+0)-(MAX(2028,asof)+0))</f>
        <v>0</v>
      </c>
      <c r="J112" s="29" t="n">
        <f aca="false">MAX(0,MIN(2027+1,2029+MAX(0,MIN(1,asof-2029)))-2029)+MAX(0,MIN(2027+1,2029+1+0)-(MAX(2029,asof)+0))</f>
        <v>0</v>
      </c>
      <c r="K112" s="29" t="n">
        <f aca="false">MAX(0,MIN(2027+1,2030+MAX(0,MIN(1,asof-2030)))-2030)+MAX(0,MIN(2027+1,2030+1+0)-(MAX(2030,asof)+0))</f>
        <v>0</v>
      </c>
      <c r="L112" s="29" t="n">
        <f aca="false">MAX(0,MIN(2027+1,2031+MAX(0,MIN(1,asof-2031)))-2031)+MAX(0,MIN(2027+1,2031+1+0)-(MAX(2031,asof)+0))</f>
        <v>0</v>
      </c>
      <c r="M112" s="29" t="n">
        <f aca="false">MAX(0,MIN(2027+1,2032+MAX(0,MIN(1,asof-2032)))-2032)+MAX(0,MIN(2027+1,2032+1+0)-(MAX(2032,asof)+0))</f>
        <v>0</v>
      </c>
    </row>
    <row r="113" customFormat="false" ht="17.15" hidden="false" customHeight="false" outlineLevel="0" collapsed="false">
      <c r="A113" s="0" t="s">
        <v>1294</v>
      </c>
      <c r="B113" s="0" t="n">
        <v>2028</v>
      </c>
      <c r="E113" s="29" t="n">
        <f aca="false">MAX(0,MIN(2028+1,2024+MAX(0,MIN(1,asof-2024)))-2024)+MAX(0,MIN(2028+1,2024+1+0)-(MAX(2024,asof)+0))</f>
        <v>1</v>
      </c>
      <c r="F113" s="29" t="n">
        <f aca="false">MAX(0,MIN(2028+1,2025+MAX(0,MIN(1,asof-2025)))-2025)+MAX(0,MIN(2028+1,2025+1+0)-(MAX(2025,asof)+0))</f>
        <v>1</v>
      </c>
      <c r="G113" s="29" t="n">
        <f aca="false">MAX(0,MIN(2028+1,2026+MAX(0,MIN(1,asof-2026)))-2026)+MAX(0,MIN(2028+1,2026+1+0)-(MAX(2026,asof)+0))</f>
        <v>1</v>
      </c>
      <c r="H113" s="29" t="n">
        <f aca="false">MAX(0,MIN(2028+1,2027+MAX(0,MIN(1,asof-2027)))-2027)+MAX(0,MIN(2028+1,2027+1+0)-(MAX(2027,asof)+0))</f>
        <v>1</v>
      </c>
      <c r="I113" s="29" t="n">
        <f aca="false">MAX(0,MIN(2028+1,2028+MAX(0,MIN(1,asof-2028)))-2028)+MAX(0,MIN(2028+1,2028+1+0)-(MAX(2028,asof)+0))</f>
        <v>1</v>
      </c>
      <c r="J113" s="29" t="n">
        <f aca="false">MAX(0,MIN(2028+1,2029+MAX(0,MIN(1,asof-2029)))-2029)+MAX(0,MIN(2028+1,2029+1+0)-(MAX(2029,asof)+0))</f>
        <v>0</v>
      </c>
      <c r="K113" s="29" t="n">
        <f aca="false">MAX(0,MIN(2028+1,2030+MAX(0,MIN(1,asof-2030)))-2030)+MAX(0,MIN(2028+1,2030+1+0)-(MAX(2030,asof)+0))</f>
        <v>0</v>
      </c>
      <c r="L113" s="29" t="n">
        <f aca="false">MAX(0,MIN(2028+1,2031+MAX(0,MIN(1,asof-2031)))-2031)+MAX(0,MIN(2028+1,2031+1+0)-(MAX(2031,asof)+0))</f>
        <v>0</v>
      </c>
      <c r="M113" s="29" t="n">
        <f aca="false">MAX(0,MIN(2028+1,2032+MAX(0,MIN(1,asof-2032)))-2032)+MAX(0,MIN(2028+1,2032+1+0)-(MAX(2032,asof)+0))</f>
        <v>0</v>
      </c>
    </row>
    <row r="114" customFormat="false" ht="17.15" hidden="false" customHeight="false" outlineLevel="0" collapsed="false">
      <c r="A114" s="0" t="s">
        <v>1295</v>
      </c>
      <c r="B114" s="0" t="n">
        <v>2029</v>
      </c>
      <c r="E114" s="29" t="n">
        <f aca="false">MAX(0,MIN(2029+1,2024+MAX(0,MIN(1,asof-2024)))-2024)+MAX(0,MIN(2029+1,2024+1+0)-(MAX(2024,asof)+0))</f>
        <v>1</v>
      </c>
      <c r="F114" s="29" t="n">
        <f aca="false">MAX(0,MIN(2029+1,2025+MAX(0,MIN(1,asof-2025)))-2025)+MAX(0,MIN(2029+1,2025+1+0)-(MAX(2025,asof)+0))</f>
        <v>1</v>
      </c>
      <c r="G114" s="29" t="n">
        <f aca="false">MAX(0,MIN(2029+1,2026+MAX(0,MIN(1,asof-2026)))-2026)+MAX(0,MIN(2029+1,2026+1+0)-(MAX(2026,asof)+0))</f>
        <v>1</v>
      </c>
      <c r="H114" s="29" t="n">
        <f aca="false">MAX(0,MIN(2029+1,2027+MAX(0,MIN(1,asof-2027)))-2027)+MAX(0,MIN(2029+1,2027+1+0)-(MAX(2027,asof)+0))</f>
        <v>1</v>
      </c>
      <c r="I114" s="29" t="n">
        <f aca="false">MAX(0,MIN(2029+1,2028+MAX(0,MIN(1,asof-2028)))-2028)+MAX(0,MIN(2029+1,2028+1+0)-(MAX(2028,asof)+0))</f>
        <v>1</v>
      </c>
      <c r="J114" s="29" t="n">
        <f aca="false">MAX(0,MIN(2029+1,2029+MAX(0,MIN(1,asof-2029)))-2029)+MAX(0,MIN(2029+1,2029+1+0)-(MAX(2029,asof)+0))</f>
        <v>1</v>
      </c>
      <c r="K114" s="29" t="n">
        <f aca="false">MAX(0,MIN(2029+1,2030+MAX(0,MIN(1,asof-2030)))-2030)+MAX(0,MIN(2029+1,2030+1+0)-(MAX(2030,asof)+0))</f>
        <v>0</v>
      </c>
      <c r="L114" s="29" t="n">
        <f aca="false">MAX(0,MIN(2029+1,2031+MAX(0,MIN(1,asof-2031)))-2031)+MAX(0,MIN(2029+1,2031+1+0)-(MAX(2031,asof)+0))</f>
        <v>0</v>
      </c>
      <c r="M114" s="29" t="n">
        <f aca="false">MAX(0,MIN(2029+1,2032+MAX(0,MIN(1,asof-2032)))-2032)+MAX(0,MIN(2029+1,2032+1+0)-(MAX(2032,asof)+0))</f>
        <v>0</v>
      </c>
    </row>
    <row r="115" customFormat="false" ht="17.15" hidden="false" customHeight="false" outlineLevel="0" collapsed="false">
      <c r="A115" s="0" t="s">
        <v>1296</v>
      </c>
      <c r="B115" s="0" t="n">
        <v>2030</v>
      </c>
      <c r="E115" s="29" t="n">
        <f aca="false">MAX(0,MIN(2030+1,2024+MAX(0,MIN(1,asof-2024)))-2024)+MAX(0,MIN(2030+1,2024+1+0)-(MAX(2024,asof)+0))</f>
        <v>1</v>
      </c>
      <c r="F115" s="29" t="n">
        <f aca="false">MAX(0,MIN(2030+1,2025+MAX(0,MIN(1,asof-2025)))-2025)+MAX(0,MIN(2030+1,2025+1+0)-(MAX(2025,asof)+0))</f>
        <v>1</v>
      </c>
      <c r="G115" s="29" t="n">
        <f aca="false">MAX(0,MIN(2030+1,2026+MAX(0,MIN(1,asof-2026)))-2026)+MAX(0,MIN(2030+1,2026+1+0)-(MAX(2026,asof)+0))</f>
        <v>1</v>
      </c>
      <c r="H115" s="29" t="n">
        <f aca="false">MAX(0,MIN(2030+1,2027+MAX(0,MIN(1,asof-2027)))-2027)+MAX(0,MIN(2030+1,2027+1+0)-(MAX(2027,asof)+0))</f>
        <v>1</v>
      </c>
      <c r="I115" s="29" t="n">
        <f aca="false">MAX(0,MIN(2030+1,2028+MAX(0,MIN(1,asof-2028)))-2028)+MAX(0,MIN(2030+1,2028+1+0)-(MAX(2028,asof)+0))</f>
        <v>1</v>
      </c>
      <c r="J115" s="29" t="n">
        <f aca="false">MAX(0,MIN(2030+1,2029+MAX(0,MIN(1,asof-2029)))-2029)+MAX(0,MIN(2030+1,2029+1+0)-(MAX(2029,asof)+0))</f>
        <v>1</v>
      </c>
      <c r="K115" s="29" t="n">
        <f aca="false">MAX(0,MIN(2030+1,2030+MAX(0,MIN(1,asof-2030)))-2030)+MAX(0,MIN(2030+1,2030+1+0)-(MAX(2030,asof)+0))</f>
        <v>1</v>
      </c>
      <c r="L115" s="29" t="n">
        <f aca="false">MAX(0,MIN(2030+1,2031+MAX(0,MIN(1,asof-2031)))-2031)+MAX(0,MIN(2030+1,2031+1+0)-(MAX(2031,asof)+0))</f>
        <v>0</v>
      </c>
      <c r="M115" s="29" t="n">
        <f aca="false">MAX(0,MIN(2030+1,2032+MAX(0,MIN(1,asof-2032)))-2032)+MAX(0,MIN(2030+1,2032+1+0)-(MAX(2032,asof)+0))</f>
        <v>0</v>
      </c>
    </row>
    <row r="116" customFormat="false" ht="17.15" hidden="false" customHeight="false" outlineLevel="0" collapsed="false">
      <c r="A116" s="0" t="s">
        <v>1297</v>
      </c>
      <c r="B116" s="0" t="n">
        <v>2031</v>
      </c>
      <c r="E116" s="29" t="n">
        <f aca="false">MAX(0,MIN(2031+1,2024+MAX(0,MIN(1,asof-2024)))-2024)+MAX(0,MIN(2031+1,2024+1+0)-(MAX(2024,asof)+0))</f>
        <v>1</v>
      </c>
      <c r="F116" s="29" t="n">
        <f aca="false">MAX(0,MIN(2031+1,2025+MAX(0,MIN(1,asof-2025)))-2025)+MAX(0,MIN(2031+1,2025+1+0)-(MAX(2025,asof)+0))</f>
        <v>1</v>
      </c>
      <c r="G116" s="29" t="n">
        <f aca="false">MAX(0,MIN(2031+1,2026+MAX(0,MIN(1,asof-2026)))-2026)+MAX(0,MIN(2031+1,2026+1+0)-(MAX(2026,asof)+0))</f>
        <v>1</v>
      </c>
      <c r="H116" s="29" t="n">
        <f aca="false">MAX(0,MIN(2031+1,2027+MAX(0,MIN(1,asof-2027)))-2027)+MAX(0,MIN(2031+1,2027+1+0)-(MAX(2027,asof)+0))</f>
        <v>1</v>
      </c>
      <c r="I116" s="29" t="n">
        <f aca="false">MAX(0,MIN(2031+1,2028+MAX(0,MIN(1,asof-2028)))-2028)+MAX(0,MIN(2031+1,2028+1+0)-(MAX(2028,asof)+0))</f>
        <v>1</v>
      </c>
      <c r="J116" s="29" t="n">
        <f aca="false">MAX(0,MIN(2031+1,2029+MAX(0,MIN(1,asof-2029)))-2029)+MAX(0,MIN(2031+1,2029+1+0)-(MAX(2029,asof)+0))</f>
        <v>1</v>
      </c>
      <c r="K116" s="29" t="n">
        <f aca="false">MAX(0,MIN(2031+1,2030+MAX(0,MIN(1,asof-2030)))-2030)+MAX(0,MIN(2031+1,2030+1+0)-(MAX(2030,asof)+0))</f>
        <v>1</v>
      </c>
      <c r="L116" s="29" t="n">
        <f aca="false">MAX(0,MIN(2031+1,2031+MAX(0,MIN(1,asof-2031)))-2031)+MAX(0,MIN(2031+1,2031+1+0)-(MAX(2031,asof)+0))</f>
        <v>1</v>
      </c>
      <c r="M116" s="29" t="n">
        <f aca="false">MAX(0,MIN(2031+1,2032+MAX(0,MIN(1,asof-2032)))-2032)+MAX(0,MIN(2031+1,2032+1+0)-(MAX(2032,asof)+0))</f>
        <v>0</v>
      </c>
    </row>
    <row r="117" customFormat="false" ht="17.15" hidden="false" customHeight="false" outlineLevel="0" collapsed="false">
      <c r="A117" s="0" t="s">
        <v>1298</v>
      </c>
      <c r="B117" s="0" t="n">
        <v>2032</v>
      </c>
      <c r="E117" s="29" t="n">
        <f aca="false">MAX(0,MIN(2032+1,2024+MAX(0,MIN(1,asof-2024)))-2024)+MAX(0,MIN(2032+1,2024+1+0)-(MAX(2024,asof)+0))</f>
        <v>1</v>
      </c>
      <c r="F117" s="29" t="n">
        <f aca="false">MAX(0,MIN(2032+1,2025+MAX(0,MIN(1,asof-2025)))-2025)+MAX(0,MIN(2032+1,2025+1+0)-(MAX(2025,asof)+0))</f>
        <v>1</v>
      </c>
      <c r="G117" s="29" t="n">
        <f aca="false">MAX(0,MIN(2032+1,2026+MAX(0,MIN(1,asof-2026)))-2026)+MAX(0,MIN(2032+1,2026+1+0)-(MAX(2026,asof)+0))</f>
        <v>1</v>
      </c>
      <c r="H117" s="29" t="n">
        <f aca="false">MAX(0,MIN(2032+1,2027+MAX(0,MIN(1,asof-2027)))-2027)+MAX(0,MIN(2032+1,2027+1+0)-(MAX(2027,asof)+0))</f>
        <v>1</v>
      </c>
      <c r="I117" s="29" t="n">
        <f aca="false">MAX(0,MIN(2032+1,2028+MAX(0,MIN(1,asof-2028)))-2028)+MAX(0,MIN(2032+1,2028+1+0)-(MAX(2028,asof)+0))</f>
        <v>1</v>
      </c>
      <c r="J117" s="29" t="n">
        <f aca="false">MAX(0,MIN(2032+1,2029+MAX(0,MIN(1,asof-2029)))-2029)+MAX(0,MIN(2032+1,2029+1+0)-(MAX(2029,asof)+0))</f>
        <v>1</v>
      </c>
      <c r="K117" s="29" t="n">
        <f aca="false">MAX(0,MIN(2032+1,2030+MAX(0,MIN(1,asof-2030)))-2030)+MAX(0,MIN(2032+1,2030+1+0)-(MAX(2030,asof)+0))</f>
        <v>1</v>
      </c>
      <c r="L117" s="29" t="n">
        <f aca="false">MAX(0,MIN(2032+1,2031+MAX(0,MIN(1,asof-2031)))-2031)+MAX(0,MIN(2032+1,2031+1+0)-(MAX(2031,asof)+0))</f>
        <v>1</v>
      </c>
      <c r="M117" s="29" t="n">
        <f aca="false">MAX(0,MIN(2032+1,2032+MAX(0,MIN(1,asof-2032)))-2032)+MAX(0,MIN(2032+1,2032+1+0)-(MAX(2032,asof)+0))</f>
        <v>1</v>
      </c>
    </row>
    <row r="119" customFormat="false" ht="17.15" hidden="false" customHeight="false" outlineLevel="0" collapsed="false">
      <c r="A119" s="6" t="s">
        <v>1299</v>
      </c>
      <c r="B119" s="6" t="s">
        <v>1288</v>
      </c>
      <c r="C119" s="6"/>
      <c r="D119" s="6"/>
      <c r="E119" s="7" t="s">
        <v>21</v>
      </c>
      <c r="F119" s="7" t="s">
        <v>22</v>
      </c>
      <c r="G119" s="7" t="s">
        <v>23</v>
      </c>
      <c r="H119" s="7" t="s">
        <v>24</v>
      </c>
      <c r="I119" s="7" t="s">
        <v>25</v>
      </c>
      <c r="J119" s="7" t="s">
        <v>26</v>
      </c>
      <c r="K119" s="7" t="s">
        <v>27</v>
      </c>
      <c r="L119" s="7" t="s">
        <v>28</v>
      </c>
      <c r="M119" s="7" t="s">
        <v>29</v>
      </c>
    </row>
    <row r="120" customFormat="false" ht="17.15" hidden="false" customHeight="false" outlineLevel="0" collapsed="false">
      <c r="A120" s="0" t="s">
        <v>1300</v>
      </c>
      <c r="B120" s="0" t="n">
        <v>2023</v>
      </c>
      <c r="E120" s="29" t="n">
        <f aca="false">MAX(0,MIN(2023+1,2024+MAX(0,MIN(1,asof-2024)))-2024)+((1-dly_d1_s)*MAX(0,MIN(2023+1,2024+1+0)-(MAX(2024,asof)+0))+dly_d1_s*MAX(0,MIN(2023+1,2024+1+dly_d1_m/12)-(MAX(2024,asof)+dly_d1_m/12)))</f>
        <v>0</v>
      </c>
      <c r="F120" s="29" t="n">
        <f aca="false">MAX(0,MIN(2023+1,2025+MAX(0,MIN(1,asof-2025)))-2025)+((1-dly_d1_s)*MAX(0,MIN(2023+1,2025+1+0)-(MAX(2025,asof)+0))+dly_d1_s*MAX(0,MIN(2023+1,2025+1+dly_d1_m/12)-(MAX(2025,asof)+dly_d1_m/12)))</f>
        <v>0</v>
      </c>
      <c r="G120" s="29" t="n">
        <f aca="false">MAX(0,MIN(2023+1,2026+MAX(0,MIN(1,asof-2026)))-2026)+((1-dly_d1_s)*MAX(0,MIN(2023+1,2026+1+0)-(MAX(2026,asof)+0))+dly_d1_s*MAX(0,MIN(2023+1,2026+1+dly_d1_m/12)-(MAX(2026,asof)+dly_d1_m/12)))</f>
        <v>0</v>
      </c>
      <c r="H120" s="29" t="n">
        <f aca="false">MAX(0,MIN(2023+1,2027+MAX(0,MIN(1,asof-2027)))-2027)+((1-dly_d1_s)*MAX(0,MIN(2023+1,2027+1+0)-(MAX(2027,asof)+0))+dly_d1_s*MAX(0,MIN(2023+1,2027+1+dly_d1_m/12)-(MAX(2027,asof)+dly_d1_m/12)))</f>
        <v>0</v>
      </c>
      <c r="I120" s="29" t="n">
        <f aca="false">MAX(0,MIN(2023+1,2028+MAX(0,MIN(1,asof-2028)))-2028)+((1-dly_d1_s)*MAX(0,MIN(2023+1,2028+1+0)-(MAX(2028,asof)+0))+dly_d1_s*MAX(0,MIN(2023+1,2028+1+dly_d1_m/12)-(MAX(2028,asof)+dly_d1_m/12)))</f>
        <v>0</v>
      </c>
      <c r="J120" s="29" t="n">
        <f aca="false">MAX(0,MIN(2023+1,2029+MAX(0,MIN(1,asof-2029)))-2029)+((1-dly_d1_s)*MAX(0,MIN(2023+1,2029+1+0)-(MAX(2029,asof)+0))+dly_d1_s*MAX(0,MIN(2023+1,2029+1+dly_d1_m/12)-(MAX(2029,asof)+dly_d1_m/12)))</f>
        <v>0</v>
      </c>
      <c r="K120" s="29" t="n">
        <f aca="false">MAX(0,MIN(2023+1,2030+MAX(0,MIN(1,asof-2030)))-2030)+((1-dly_d1_s)*MAX(0,MIN(2023+1,2030+1+0)-(MAX(2030,asof)+0))+dly_d1_s*MAX(0,MIN(2023+1,2030+1+dly_d1_m/12)-(MAX(2030,asof)+dly_d1_m/12)))</f>
        <v>0</v>
      </c>
      <c r="L120" s="29" t="n">
        <f aca="false">MAX(0,MIN(2023+1,2031+MAX(0,MIN(1,asof-2031)))-2031)+((1-dly_d1_s)*MAX(0,MIN(2023+1,2031+1+0)-(MAX(2031,asof)+0))+dly_d1_s*MAX(0,MIN(2023+1,2031+1+dly_d1_m/12)-(MAX(2031,asof)+dly_d1_m/12)))</f>
        <v>0</v>
      </c>
      <c r="M120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21" customFormat="false" ht="17.15" hidden="false" customHeight="false" outlineLevel="0" collapsed="false">
      <c r="A121" s="0" t="s">
        <v>1301</v>
      </c>
      <c r="B121" s="0" t="n">
        <v>2024</v>
      </c>
      <c r="E121" s="29" t="n">
        <f aca="false">MAX(0,MIN(2024+1,2024+MAX(0,MIN(1,asof-2024)))-2024)+((1-dly_d1_s)*MAX(0,MIN(2024+1,2024+1+0)-(MAX(2024,asof)+0))+dly_d1_s*MAX(0,MIN(2024+1,2024+1+dly_d1_m/12)-(MAX(2024,asof)+dly_d1_m/12)))</f>
        <v>1</v>
      </c>
      <c r="F121" s="29" t="n">
        <f aca="false">MAX(0,MIN(2024+1,2025+MAX(0,MIN(1,asof-2025)))-2025)+((1-dly_d1_s)*MAX(0,MIN(2024+1,2025+1+0)-(MAX(2025,asof)+0))+dly_d1_s*MAX(0,MIN(2024+1,2025+1+dly_d1_m/12)-(MAX(2025,asof)+dly_d1_m/12)))</f>
        <v>0</v>
      </c>
      <c r="G121" s="29" t="n">
        <f aca="false">MAX(0,MIN(2024+1,2026+MAX(0,MIN(1,asof-2026)))-2026)+((1-dly_d1_s)*MAX(0,MIN(2024+1,2026+1+0)-(MAX(2026,asof)+0))+dly_d1_s*MAX(0,MIN(2024+1,2026+1+dly_d1_m/12)-(MAX(2026,asof)+dly_d1_m/12)))</f>
        <v>0</v>
      </c>
      <c r="H121" s="29" t="n">
        <f aca="false">MAX(0,MIN(2024+1,2027+MAX(0,MIN(1,asof-2027)))-2027)+((1-dly_d1_s)*MAX(0,MIN(2024+1,2027+1+0)-(MAX(2027,asof)+0))+dly_d1_s*MAX(0,MIN(2024+1,2027+1+dly_d1_m/12)-(MAX(2027,asof)+dly_d1_m/12)))</f>
        <v>0</v>
      </c>
      <c r="I121" s="29" t="n">
        <f aca="false">MAX(0,MIN(2024+1,2028+MAX(0,MIN(1,asof-2028)))-2028)+((1-dly_d1_s)*MAX(0,MIN(2024+1,2028+1+0)-(MAX(2028,asof)+0))+dly_d1_s*MAX(0,MIN(2024+1,2028+1+dly_d1_m/12)-(MAX(2028,asof)+dly_d1_m/12)))</f>
        <v>0</v>
      </c>
      <c r="J121" s="29" t="n">
        <f aca="false">MAX(0,MIN(2024+1,2029+MAX(0,MIN(1,asof-2029)))-2029)+((1-dly_d1_s)*MAX(0,MIN(2024+1,2029+1+0)-(MAX(2029,asof)+0))+dly_d1_s*MAX(0,MIN(2024+1,2029+1+dly_d1_m/12)-(MAX(2029,asof)+dly_d1_m/12)))</f>
        <v>0</v>
      </c>
      <c r="K121" s="29" t="n">
        <f aca="false">MAX(0,MIN(2024+1,2030+MAX(0,MIN(1,asof-2030)))-2030)+((1-dly_d1_s)*MAX(0,MIN(2024+1,2030+1+0)-(MAX(2030,asof)+0))+dly_d1_s*MAX(0,MIN(2024+1,2030+1+dly_d1_m/12)-(MAX(2030,asof)+dly_d1_m/12)))</f>
        <v>0</v>
      </c>
      <c r="L121" s="29" t="n">
        <f aca="false">MAX(0,MIN(2024+1,2031+MAX(0,MIN(1,asof-2031)))-2031)+((1-dly_d1_s)*MAX(0,MIN(2024+1,2031+1+0)-(MAX(2031,asof)+0))+dly_d1_s*MAX(0,MIN(2024+1,2031+1+dly_d1_m/12)-(MAX(2031,asof)+dly_d1_m/12)))</f>
        <v>0</v>
      </c>
      <c r="M121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22" customFormat="false" ht="17.15" hidden="false" customHeight="false" outlineLevel="0" collapsed="false">
      <c r="A122" s="0" t="s">
        <v>1302</v>
      </c>
      <c r="B122" s="0" t="n">
        <v>2025</v>
      </c>
      <c r="E122" s="29" t="n">
        <f aca="false">MAX(0,MIN(2025+1,2024+MAX(0,MIN(1,asof-2024)))-2024)+((1-dly_d1_s)*MAX(0,MIN(2025+1,2024+1+0)-(MAX(2024,asof)+0))+dly_d1_s*MAX(0,MIN(2025+1,2024+1+dly_d1_m/12)-(MAX(2024,asof)+dly_d1_m/12)))</f>
        <v>1</v>
      </c>
      <c r="F122" s="29" t="n">
        <f aca="false">MAX(0,MIN(2025+1,2025+MAX(0,MIN(1,asof-2025)))-2025)+((1-dly_d1_s)*MAX(0,MIN(2025+1,2025+1+0)-(MAX(2025,asof)+0))+dly_d1_s*MAX(0,MIN(2025+1,2025+1+dly_d1_m/12)-(MAX(2025,asof)+dly_d1_m/12)))</f>
        <v>1</v>
      </c>
      <c r="G122" s="29" t="n">
        <f aca="false">MAX(0,MIN(2025+1,2026+MAX(0,MIN(1,asof-2026)))-2026)+((1-dly_d1_s)*MAX(0,MIN(2025+1,2026+1+0)-(MAX(2026,asof)+0))+dly_d1_s*MAX(0,MIN(2025+1,2026+1+dly_d1_m/12)-(MAX(2026,asof)+dly_d1_m/12)))</f>
        <v>0</v>
      </c>
      <c r="H122" s="29" t="n">
        <f aca="false">MAX(0,MIN(2025+1,2027+MAX(0,MIN(1,asof-2027)))-2027)+((1-dly_d1_s)*MAX(0,MIN(2025+1,2027+1+0)-(MAX(2027,asof)+0))+dly_d1_s*MAX(0,MIN(2025+1,2027+1+dly_d1_m/12)-(MAX(2027,asof)+dly_d1_m/12)))</f>
        <v>0</v>
      </c>
      <c r="I122" s="29" t="n">
        <f aca="false">MAX(0,MIN(2025+1,2028+MAX(0,MIN(1,asof-2028)))-2028)+((1-dly_d1_s)*MAX(0,MIN(2025+1,2028+1+0)-(MAX(2028,asof)+0))+dly_d1_s*MAX(0,MIN(2025+1,2028+1+dly_d1_m/12)-(MAX(2028,asof)+dly_d1_m/12)))</f>
        <v>0</v>
      </c>
      <c r="J122" s="29" t="n">
        <f aca="false">MAX(0,MIN(2025+1,2029+MAX(0,MIN(1,asof-2029)))-2029)+((1-dly_d1_s)*MAX(0,MIN(2025+1,2029+1+0)-(MAX(2029,asof)+0))+dly_d1_s*MAX(0,MIN(2025+1,2029+1+dly_d1_m/12)-(MAX(2029,asof)+dly_d1_m/12)))</f>
        <v>0</v>
      </c>
      <c r="K122" s="29" t="n">
        <f aca="false">MAX(0,MIN(2025+1,2030+MAX(0,MIN(1,asof-2030)))-2030)+((1-dly_d1_s)*MAX(0,MIN(2025+1,2030+1+0)-(MAX(2030,asof)+0))+dly_d1_s*MAX(0,MIN(2025+1,2030+1+dly_d1_m/12)-(MAX(2030,asof)+dly_d1_m/12)))</f>
        <v>0</v>
      </c>
      <c r="L122" s="29" t="n">
        <f aca="false">MAX(0,MIN(2025+1,2031+MAX(0,MIN(1,asof-2031)))-2031)+((1-dly_d1_s)*MAX(0,MIN(2025+1,2031+1+0)-(MAX(2031,asof)+0))+dly_d1_s*MAX(0,MIN(2025+1,2031+1+dly_d1_m/12)-(MAX(2031,asof)+dly_d1_m/12)))</f>
        <v>0</v>
      </c>
      <c r="M122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23" customFormat="false" ht="17.15" hidden="false" customHeight="false" outlineLevel="0" collapsed="false">
      <c r="A123" s="0" t="s">
        <v>1303</v>
      </c>
      <c r="B123" s="0" t="n">
        <v>2026</v>
      </c>
      <c r="E123" s="29" t="n">
        <f aca="false">MAX(0,MIN(2026+1,2024+MAX(0,MIN(1,asof-2024)))-2024)+((1-dly_d1_s)*MAX(0,MIN(2026+1,2024+1+0)-(MAX(2024,asof)+0))+dly_d1_s*MAX(0,MIN(2026+1,2024+1+dly_d1_m/12)-(MAX(2024,asof)+dly_d1_m/12)))</f>
        <v>1</v>
      </c>
      <c r="F123" s="29" t="n">
        <f aca="false">MAX(0,MIN(2026+1,2025+MAX(0,MIN(1,asof-2025)))-2025)+((1-dly_d1_s)*MAX(0,MIN(2026+1,2025+1+0)-(MAX(2025,asof)+0))+dly_d1_s*MAX(0,MIN(2026+1,2025+1+dly_d1_m/12)-(MAX(2025,asof)+dly_d1_m/12)))</f>
        <v>1</v>
      </c>
      <c r="G123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23" s="29" t="n">
        <f aca="false">MAX(0,MIN(2026+1,2027+MAX(0,MIN(1,asof-2027)))-2027)+((1-dly_d1_s)*MAX(0,MIN(2026+1,2027+1+0)-(MAX(2027,asof)+0))+dly_d1_s*MAX(0,MIN(2026+1,2027+1+dly_d1_m/12)-(MAX(2027,asof)+dly_d1_m/12)))</f>
        <v>0</v>
      </c>
      <c r="I123" s="29" t="n">
        <f aca="false">MAX(0,MIN(2026+1,2028+MAX(0,MIN(1,asof-2028)))-2028)+((1-dly_d1_s)*MAX(0,MIN(2026+1,2028+1+0)-(MAX(2028,asof)+0))+dly_d1_s*MAX(0,MIN(2026+1,2028+1+dly_d1_m/12)-(MAX(2028,asof)+dly_d1_m/12)))</f>
        <v>0</v>
      </c>
      <c r="J123" s="29" t="n">
        <f aca="false">MAX(0,MIN(2026+1,2029+MAX(0,MIN(1,asof-2029)))-2029)+((1-dly_d1_s)*MAX(0,MIN(2026+1,2029+1+0)-(MAX(2029,asof)+0))+dly_d1_s*MAX(0,MIN(2026+1,2029+1+dly_d1_m/12)-(MAX(2029,asof)+dly_d1_m/12)))</f>
        <v>0</v>
      </c>
      <c r="K123" s="29" t="n">
        <f aca="false">MAX(0,MIN(2026+1,2030+MAX(0,MIN(1,asof-2030)))-2030)+((1-dly_d1_s)*MAX(0,MIN(2026+1,2030+1+0)-(MAX(2030,asof)+0))+dly_d1_s*MAX(0,MIN(2026+1,2030+1+dly_d1_m/12)-(MAX(2030,asof)+dly_d1_m/12)))</f>
        <v>0</v>
      </c>
      <c r="L123" s="29" t="n">
        <f aca="false">MAX(0,MIN(2026+1,2031+MAX(0,MIN(1,asof-2031)))-2031)+((1-dly_d1_s)*MAX(0,MIN(2026+1,2031+1+0)-(MAX(2031,asof)+0))+dly_d1_s*MAX(0,MIN(2026+1,2031+1+dly_d1_m/12)-(MAX(2031,asof)+dly_d1_m/12)))</f>
        <v>0</v>
      </c>
      <c r="M123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24" customFormat="false" ht="17.15" hidden="false" customHeight="false" outlineLevel="0" collapsed="false">
      <c r="A124" s="0" t="s">
        <v>1304</v>
      </c>
      <c r="B124" s="0" t="n">
        <v>2027</v>
      </c>
      <c r="E124" s="29" t="n">
        <f aca="false">MAX(0,MIN(2027+1,2024+MAX(0,MIN(1,asof-2024)))-2024)+((1-dly_d1_s)*MAX(0,MIN(2027+1,2024+1+0)-(MAX(2024,asof)+0))+dly_d1_s*MAX(0,MIN(2027+1,2024+1+dly_d1_m/12)-(MAX(2024,asof)+dly_d1_m/12)))</f>
        <v>1</v>
      </c>
      <c r="F124" s="29" t="n">
        <f aca="false">MAX(0,MIN(2027+1,2025+MAX(0,MIN(1,asof-2025)))-2025)+((1-dly_d1_s)*MAX(0,MIN(2027+1,2025+1+0)-(MAX(2025,asof)+0))+dly_d1_s*MAX(0,MIN(2027+1,2025+1+dly_d1_m/12)-(MAX(2025,asof)+dly_d1_m/12)))</f>
        <v>1</v>
      </c>
      <c r="G124" s="29" t="n">
        <f aca="false">MAX(0,MIN(2027+1,2026+MAX(0,MIN(1,asof-2026)))-2026)+((1-dly_d1_s)*MAX(0,MIN(2027+1,2026+1+0)-(MAX(2026,asof)+0))+dly_d1_s*MAX(0,MIN(2027+1,2026+1+dly_d1_m/12)-(MAX(2026,asof)+dly_d1_m/12)))</f>
        <v>1</v>
      </c>
      <c r="H124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24" s="29" t="n">
        <f aca="false">MAX(0,MIN(2027+1,2028+MAX(0,MIN(1,asof-2028)))-2028)+((1-dly_d1_s)*MAX(0,MIN(2027+1,2028+1+0)-(MAX(2028,asof)+0))+dly_d1_s*MAX(0,MIN(2027+1,2028+1+dly_d1_m/12)-(MAX(2028,asof)+dly_d1_m/12)))</f>
        <v>0</v>
      </c>
      <c r="J124" s="29" t="n">
        <f aca="false">MAX(0,MIN(2027+1,2029+MAX(0,MIN(1,asof-2029)))-2029)+((1-dly_d1_s)*MAX(0,MIN(2027+1,2029+1+0)-(MAX(2029,asof)+0))+dly_d1_s*MAX(0,MIN(2027+1,2029+1+dly_d1_m/12)-(MAX(2029,asof)+dly_d1_m/12)))</f>
        <v>0</v>
      </c>
      <c r="K124" s="29" t="n">
        <f aca="false">MAX(0,MIN(2027+1,2030+MAX(0,MIN(1,asof-2030)))-2030)+((1-dly_d1_s)*MAX(0,MIN(2027+1,2030+1+0)-(MAX(2030,asof)+0))+dly_d1_s*MAX(0,MIN(2027+1,2030+1+dly_d1_m/12)-(MAX(2030,asof)+dly_d1_m/12)))</f>
        <v>0</v>
      </c>
      <c r="L124" s="29" t="n">
        <f aca="false">MAX(0,MIN(2027+1,2031+MAX(0,MIN(1,asof-2031)))-2031)+((1-dly_d1_s)*MAX(0,MIN(2027+1,2031+1+0)-(MAX(2031,asof)+0))+dly_d1_s*MAX(0,MIN(2027+1,2031+1+dly_d1_m/12)-(MAX(2031,asof)+dly_d1_m/12)))</f>
        <v>0</v>
      </c>
      <c r="M124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25" customFormat="false" ht="17.15" hidden="false" customHeight="false" outlineLevel="0" collapsed="false">
      <c r="A125" s="0" t="s">
        <v>1305</v>
      </c>
      <c r="B125" s="0" t="n">
        <v>2028</v>
      </c>
      <c r="E125" s="29" t="n">
        <f aca="false">MAX(0,MIN(2028+1,2024+MAX(0,MIN(1,asof-2024)))-2024)+((1-dly_d1_s)*MAX(0,MIN(2028+1,2024+1+0)-(MAX(2024,asof)+0))+dly_d1_s*MAX(0,MIN(2028+1,2024+1+dly_d1_m/12)-(MAX(2024,asof)+dly_d1_m/12)))</f>
        <v>1</v>
      </c>
      <c r="F125" s="29" t="n">
        <f aca="false">MAX(0,MIN(2028+1,2025+MAX(0,MIN(1,asof-2025)))-2025)+((1-dly_d1_s)*MAX(0,MIN(2028+1,2025+1+0)-(MAX(2025,asof)+0))+dly_d1_s*MAX(0,MIN(2028+1,2025+1+dly_d1_m/12)-(MAX(2025,asof)+dly_d1_m/12)))</f>
        <v>1</v>
      </c>
      <c r="G125" s="29" t="n">
        <f aca="false">MAX(0,MIN(2028+1,2026+MAX(0,MIN(1,asof-2026)))-2026)+((1-dly_d1_s)*MAX(0,MIN(2028+1,2026+1+0)-(MAX(2026,asof)+0))+dly_d1_s*MAX(0,MIN(2028+1,2026+1+dly_d1_m/12)-(MAX(2026,asof)+dly_d1_m/12)))</f>
        <v>1</v>
      </c>
      <c r="H125" s="29" t="n">
        <f aca="false">MAX(0,MIN(2028+1,2027+MAX(0,MIN(1,asof-2027)))-2027)+((1-dly_d1_s)*MAX(0,MIN(2028+1,2027+1+0)-(MAX(2027,asof)+0))+dly_d1_s*MAX(0,MIN(2028+1,2027+1+dly_d1_m/12)-(MAX(2027,asof)+dly_d1_m/12)))</f>
        <v>1</v>
      </c>
      <c r="I125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25" s="29" t="n">
        <f aca="false">MAX(0,MIN(2028+1,2029+MAX(0,MIN(1,asof-2029)))-2029)+((1-dly_d1_s)*MAX(0,MIN(2028+1,2029+1+0)-(MAX(2029,asof)+0))+dly_d1_s*MAX(0,MIN(2028+1,2029+1+dly_d1_m/12)-(MAX(2029,asof)+dly_d1_m/12)))</f>
        <v>0</v>
      </c>
      <c r="K125" s="29" t="n">
        <f aca="false">MAX(0,MIN(2028+1,2030+MAX(0,MIN(1,asof-2030)))-2030)+((1-dly_d1_s)*MAX(0,MIN(2028+1,2030+1+0)-(MAX(2030,asof)+0))+dly_d1_s*MAX(0,MIN(2028+1,2030+1+dly_d1_m/12)-(MAX(2030,asof)+dly_d1_m/12)))</f>
        <v>0</v>
      </c>
      <c r="L125" s="29" t="n">
        <f aca="false">MAX(0,MIN(2028+1,2031+MAX(0,MIN(1,asof-2031)))-2031)+((1-dly_d1_s)*MAX(0,MIN(2028+1,2031+1+0)-(MAX(2031,asof)+0))+dly_d1_s*MAX(0,MIN(2028+1,2031+1+dly_d1_m/12)-(MAX(2031,asof)+dly_d1_m/12)))</f>
        <v>0</v>
      </c>
      <c r="M125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26" customFormat="false" ht="17.15" hidden="false" customHeight="false" outlineLevel="0" collapsed="false">
      <c r="A126" s="0" t="s">
        <v>1306</v>
      </c>
      <c r="B126" s="0" t="n">
        <v>2029</v>
      </c>
      <c r="E126" s="29" t="n">
        <f aca="false">MAX(0,MIN(2029+1,2024+MAX(0,MIN(1,asof-2024)))-2024)+((1-dly_d1_s)*MAX(0,MIN(2029+1,2024+1+0)-(MAX(2024,asof)+0))+dly_d1_s*MAX(0,MIN(2029+1,2024+1+dly_d1_m/12)-(MAX(2024,asof)+dly_d1_m/12)))</f>
        <v>1</v>
      </c>
      <c r="F126" s="29" t="n">
        <f aca="false">MAX(0,MIN(2029+1,2025+MAX(0,MIN(1,asof-2025)))-2025)+((1-dly_d1_s)*MAX(0,MIN(2029+1,2025+1+0)-(MAX(2025,asof)+0))+dly_d1_s*MAX(0,MIN(2029+1,2025+1+dly_d1_m/12)-(MAX(2025,asof)+dly_d1_m/12)))</f>
        <v>1</v>
      </c>
      <c r="G126" s="29" t="n">
        <f aca="false">MAX(0,MIN(2029+1,2026+MAX(0,MIN(1,asof-2026)))-2026)+((1-dly_d1_s)*MAX(0,MIN(2029+1,2026+1+0)-(MAX(2026,asof)+0))+dly_d1_s*MAX(0,MIN(2029+1,2026+1+dly_d1_m/12)-(MAX(2026,asof)+dly_d1_m/12)))</f>
        <v>1</v>
      </c>
      <c r="H126" s="29" t="n">
        <f aca="false">MAX(0,MIN(2029+1,2027+MAX(0,MIN(1,asof-2027)))-2027)+((1-dly_d1_s)*MAX(0,MIN(2029+1,2027+1+0)-(MAX(2027,asof)+0))+dly_d1_s*MAX(0,MIN(2029+1,2027+1+dly_d1_m/12)-(MAX(2027,asof)+dly_d1_m/12)))</f>
        <v>1</v>
      </c>
      <c r="I126" s="29" t="n">
        <f aca="false">MAX(0,MIN(2029+1,2028+MAX(0,MIN(1,asof-2028)))-2028)+((1-dly_d1_s)*MAX(0,MIN(2029+1,2028+1+0)-(MAX(2028,asof)+0))+dly_d1_s*MAX(0,MIN(2029+1,2028+1+dly_d1_m/12)-(MAX(2028,asof)+dly_d1_m/12)))</f>
        <v>1</v>
      </c>
      <c r="J126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26" s="29" t="n">
        <f aca="false">MAX(0,MIN(2029+1,2030+MAX(0,MIN(1,asof-2030)))-2030)+((1-dly_d1_s)*MAX(0,MIN(2029+1,2030+1+0)-(MAX(2030,asof)+0))+dly_d1_s*MAX(0,MIN(2029+1,2030+1+dly_d1_m/12)-(MAX(2030,asof)+dly_d1_m/12)))</f>
        <v>0</v>
      </c>
      <c r="L126" s="29" t="n">
        <f aca="false">MAX(0,MIN(2029+1,2031+MAX(0,MIN(1,asof-2031)))-2031)+((1-dly_d1_s)*MAX(0,MIN(2029+1,2031+1+0)-(MAX(2031,asof)+0))+dly_d1_s*MAX(0,MIN(2029+1,2031+1+dly_d1_m/12)-(MAX(2031,asof)+dly_d1_m/12)))</f>
        <v>0</v>
      </c>
      <c r="M126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27" customFormat="false" ht="17.15" hidden="false" customHeight="false" outlineLevel="0" collapsed="false">
      <c r="A127" s="0" t="s">
        <v>1307</v>
      </c>
      <c r="B127" s="0" t="n">
        <v>2030</v>
      </c>
      <c r="E127" s="29" t="n">
        <f aca="false">MAX(0,MIN(2030+1,2024+MAX(0,MIN(1,asof-2024)))-2024)+((1-dly_d1_s)*MAX(0,MIN(2030+1,2024+1+0)-(MAX(2024,asof)+0))+dly_d1_s*MAX(0,MIN(2030+1,2024+1+dly_d1_m/12)-(MAX(2024,asof)+dly_d1_m/12)))</f>
        <v>1</v>
      </c>
      <c r="F127" s="29" t="n">
        <f aca="false">MAX(0,MIN(2030+1,2025+MAX(0,MIN(1,asof-2025)))-2025)+((1-dly_d1_s)*MAX(0,MIN(2030+1,2025+1+0)-(MAX(2025,asof)+0))+dly_d1_s*MAX(0,MIN(2030+1,2025+1+dly_d1_m/12)-(MAX(2025,asof)+dly_d1_m/12)))</f>
        <v>1</v>
      </c>
      <c r="G127" s="29" t="n">
        <f aca="false">MAX(0,MIN(2030+1,2026+MAX(0,MIN(1,asof-2026)))-2026)+((1-dly_d1_s)*MAX(0,MIN(2030+1,2026+1+0)-(MAX(2026,asof)+0))+dly_d1_s*MAX(0,MIN(2030+1,2026+1+dly_d1_m/12)-(MAX(2026,asof)+dly_d1_m/12)))</f>
        <v>1</v>
      </c>
      <c r="H127" s="29" t="n">
        <f aca="false">MAX(0,MIN(2030+1,2027+MAX(0,MIN(1,asof-2027)))-2027)+((1-dly_d1_s)*MAX(0,MIN(2030+1,2027+1+0)-(MAX(2027,asof)+0))+dly_d1_s*MAX(0,MIN(2030+1,2027+1+dly_d1_m/12)-(MAX(2027,asof)+dly_d1_m/12)))</f>
        <v>1</v>
      </c>
      <c r="I127" s="29" t="n">
        <f aca="false">MAX(0,MIN(2030+1,2028+MAX(0,MIN(1,asof-2028)))-2028)+((1-dly_d1_s)*MAX(0,MIN(2030+1,2028+1+0)-(MAX(2028,asof)+0))+dly_d1_s*MAX(0,MIN(2030+1,2028+1+dly_d1_m/12)-(MAX(2028,asof)+dly_d1_m/12)))</f>
        <v>1</v>
      </c>
      <c r="J127" s="29" t="n">
        <f aca="false">MAX(0,MIN(2030+1,2029+MAX(0,MIN(1,asof-2029)))-2029)+((1-dly_d1_s)*MAX(0,MIN(2030+1,2029+1+0)-(MAX(2029,asof)+0))+dly_d1_s*MAX(0,MIN(2030+1,2029+1+dly_d1_m/12)-(MAX(2029,asof)+dly_d1_m/12)))</f>
        <v>1</v>
      </c>
      <c r="K127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27" s="29" t="n">
        <f aca="false">MAX(0,MIN(2030+1,2031+MAX(0,MIN(1,asof-2031)))-2031)+((1-dly_d1_s)*MAX(0,MIN(2030+1,2031+1+0)-(MAX(2031,asof)+0))+dly_d1_s*MAX(0,MIN(2030+1,2031+1+dly_d1_m/12)-(MAX(2031,asof)+dly_d1_m/12)))</f>
        <v>0</v>
      </c>
      <c r="M127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28" customFormat="false" ht="17.15" hidden="false" customHeight="false" outlineLevel="0" collapsed="false">
      <c r="A128" s="0" t="s">
        <v>1308</v>
      </c>
      <c r="B128" s="0" t="n">
        <v>2031</v>
      </c>
      <c r="E128" s="29" t="n">
        <f aca="false">MAX(0,MIN(2031+1,2024+MAX(0,MIN(1,asof-2024)))-2024)+((1-dly_d1_s)*MAX(0,MIN(2031+1,2024+1+0)-(MAX(2024,asof)+0))+dly_d1_s*MAX(0,MIN(2031+1,2024+1+dly_d1_m/12)-(MAX(2024,asof)+dly_d1_m/12)))</f>
        <v>1</v>
      </c>
      <c r="F128" s="29" t="n">
        <f aca="false">MAX(0,MIN(2031+1,2025+MAX(0,MIN(1,asof-2025)))-2025)+((1-dly_d1_s)*MAX(0,MIN(2031+1,2025+1+0)-(MAX(2025,asof)+0))+dly_d1_s*MAX(0,MIN(2031+1,2025+1+dly_d1_m/12)-(MAX(2025,asof)+dly_d1_m/12)))</f>
        <v>1</v>
      </c>
      <c r="G128" s="29" t="n">
        <f aca="false">MAX(0,MIN(2031+1,2026+MAX(0,MIN(1,asof-2026)))-2026)+((1-dly_d1_s)*MAX(0,MIN(2031+1,2026+1+0)-(MAX(2026,asof)+0))+dly_d1_s*MAX(0,MIN(2031+1,2026+1+dly_d1_m/12)-(MAX(2026,asof)+dly_d1_m/12)))</f>
        <v>1</v>
      </c>
      <c r="H128" s="29" t="n">
        <f aca="false">MAX(0,MIN(2031+1,2027+MAX(0,MIN(1,asof-2027)))-2027)+((1-dly_d1_s)*MAX(0,MIN(2031+1,2027+1+0)-(MAX(2027,asof)+0))+dly_d1_s*MAX(0,MIN(2031+1,2027+1+dly_d1_m/12)-(MAX(2027,asof)+dly_d1_m/12)))</f>
        <v>1</v>
      </c>
      <c r="I128" s="29" t="n">
        <f aca="false">MAX(0,MIN(2031+1,2028+MAX(0,MIN(1,asof-2028)))-2028)+((1-dly_d1_s)*MAX(0,MIN(2031+1,2028+1+0)-(MAX(2028,asof)+0))+dly_d1_s*MAX(0,MIN(2031+1,2028+1+dly_d1_m/12)-(MAX(2028,asof)+dly_d1_m/12)))</f>
        <v>1</v>
      </c>
      <c r="J128" s="29" t="n">
        <f aca="false">MAX(0,MIN(2031+1,2029+MAX(0,MIN(1,asof-2029)))-2029)+((1-dly_d1_s)*MAX(0,MIN(2031+1,2029+1+0)-(MAX(2029,asof)+0))+dly_d1_s*MAX(0,MIN(2031+1,2029+1+dly_d1_m/12)-(MAX(2029,asof)+dly_d1_m/12)))</f>
        <v>1</v>
      </c>
      <c r="K128" s="29" t="n">
        <f aca="false">MAX(0,MIN(2031+1,2030+MAX(0,MIN(1,asof-2030)))-2030)+((1-dly_d1_s)*MAX(0,MIN(2031+1,2030+1+0)-(MAX(2030,asof)+0))+dly_d1_s*MAX(0,MIN(2031+1,2030+1+dly_d1_m/12)-(MAX(2030,asof)+dly_d1_m/12)))</f>
        <v>1</v>
      </c>
      <c r="L128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28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29" customFormat="false" ht="17.15" hidden="false" customHeight="false" outlineLevel="0" collapsed="false">
      <c r="A129" s="0" t="s">
        <v>1309</v>
      </c>
      <c r="B129" s="0" t="n">
        <v>2032</v>
      </c>
      <c r="E129" s="29" t="n">
        <f aca="false">MAX(0,MIN(2032+1,2024+MAX(0,MIN(1,asof-2024)))-2024)+((1-dly_d1_s)*MAX(0,MIN(2032+1,2024+1+0)-(MAX(2024,asof)+0))+dly_d1_s*MAX(0,MIN(2032+1,2024+1+dly_d1_m/12)-(MAX(2024,asof)+dly_d1_m/12)))</f>
        <v>1</v>
      </c>
      <c r="F129" s="29" t="n">
        <f aca="false">MAX(0,MIN(2032+1,2025+MAX(0,MIN(1,asof-2025)))-2025)+((1-dly_d1_s)*MAX(0,MIN(2032+1,2025+1+0)-(MAX(2025,asof)+0))+dly_d1_s*MAX(0,MIN(2032+1,2025+1+dly_d1_m/12)-(MAX(2025,asof)+dly_d1_m/12)))</f>
        <v>1</v>
      </c>
      <c r="G129" s="29" t="n">
        <f aca="false">MAX(0,MIN(2032+1,2026+MAX(0,MIN(1,asof-2026)))-2026)+((1-dly_d1_s)*MAX(0,MIN(2032+1,2026+1+0)-(MAX(2026,asof)+0))+dly_d1_s*MAX(0,MIN(2032+1,2026+1+dly_d1_m/12)-(MAX(2026,asof)+dly_d1_m/12)))</f>
        <v>1</v>
      </c>
      <c r="H129" s="29" t="n">
        <f aca="false">MAX(0,MIN(2032+1,2027+MAX(0,MIN(1,asof-2027)))-2027)+((1-dly_d1_s)*MAX(0,MIN(2032+1,2027+1+0)-(MAX(2027,asof)+0))+dly_d1_s*MAX(0,MIN(2032+1,2027+1+dly_d1_m/12)-(MAX(2027,asof)+dly_d1_m/12)))</f>
        <v>1</v>
      </c>
      <c r="I129" s="29" t="n">
        <f aca="false">MAX(0,MIN(2032+1,2028+MAX(0,MIN(1,asof-2028)))-2028)+((1-dly_d1_s)*MAX(0,MIN(2032+1,2028+1+0)-(MAX(2028,asof)+0))+dly_d1_s*MAX(0,MIN(2032+1,2028+1+dly_d1_m/12)-(MAX(2028,asof)+dly_d1_m/12)))</f>
        <v>1</v>
      </c>
      <c r="J129" s="29" t="n">
        <f aca="false">MAX(0,MIN(2032+1,2029+MAX(0,MIN(1,asof-2029)))-2029)+((1-dly_d1_s)*MAX(0,MIN(2032+1,2029+1+0)-(MAX(2029,asof)+0))+dly_d1_s*MAX(0,MIN(2032+1,2029+1+dly_d1_m/12)-(MAX(2029,asof)+dly_d1_m/12)))</f>
        <v>1</v>
      </c>
      <c r="K129" s="29" t="n">
        <f aca="false">MAX(0,MIN(2032+1,2030+MAX(0,MIN(1,asof-2030)))-2030)+((1-dly_d1_s)*MAX(0,MIN(2032+1,2030+1+0)-(MAX(2030,asof)+0))+dly_d1_s*MAX(0,MIN(2032+1,2030+1+dly_d1_m/12)-(MAX(2030,asof)+dly_d1_m/12)))</f>
        <v>1</v>
      </c>
      <c r="L129" s="29" t="n">
        <f aca="false">MAX(0,MIN(2032+1,2031+MAX(0,MIN(1,asof-2031)))-2031)+((1-dly_d1_s)*MAX(0,MIN(2032+1,2031+1+0)-(MAX(2031,asof)+0))+dly_d1_s*MAX(0,MIN(2032+1,2031+1+dly_d1_m/12)-(MAX(2031,asof)+dly_d1_m/12)))</f>
        <v>1</v>
      </c>
      <c r="M129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31" customFormat="false" ht="17.15" hidden="false" customHeight="false" outlineLevel="0" collapsed="false">
      <c r="A131" s="6" t="s">
        <v>1310</v>
      </c>
      <c r="B131" s="6" t="s">
        <v>1288</v>
      </c>
      <c r="C131" s="6"/>
      <c r="D131" s="6"/>
      <c r="E131" s="7" t="s">
        <v>21</v>
      </c>
      <c r="F131" s="7" t="s">
        <v>22</v>
      </c>
      <c r="G131" s="7" t="s">
        <v>23</v>
      </c>
      <c r="H131" s="7" t="s">
        <v>24</v>
      </c>
      <c r="I131" s="7" t="s">
        <v>25</v>
      </c>
      <c r="J131" s="7" t="s">
        <v>26</v>
      </c>
      <c r="K131" s="7" t="s">
        <v>27</v>
      </c>
      <c r="L131" s="7" t="s">
        <v>28</v>
      </c>
      <c r="M131" s="7" t="s">
        <v>29</v>
      </c>
    </row>
    <row r="132" customFormat="false" ht="17.15" hidden="false" customHeight="false" outlineLevel="0" collapsed="false">
      <c r="A132" s="0" t="s">
        <v>1311</v>
      </c>
      <c r="B132" s="0" t="n">
        <v>2023</v>
      </c>
      <c r="E132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32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32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32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32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32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32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32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32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33" customFormat="false" ht="17.15" hidden="false" customHeight="false" outlineLevel="0" collapsed="false">
      <c r="A133" s="0" t="s">
        <v>1312</v>
      </c>
      <c r="B133" s="0" t="n">
        <v>2024</v>
      </c>
      <c r="E133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33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33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33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33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33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33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33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33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34" customFormat="false" ht="17.15" hidden="false" customHeight="false" outlineLevel="0" collapsed="false">
      <c r="A134" s="0" t="s">
        <v>1313</v>
      </c>
      <c r="B134" s="0" t="n">
        <v>2025</v>
      </c>
      <c r="E134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34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34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34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34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34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34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34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34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35" customFormat="false" ht="17.15" hidden="false" customHeight="false" outlineLevel="0" collapsed="false">
      <c r="A135" s="0" t="s">
        <v>1314</v>
      </c>
      <c r="B135" s="0" t="n">
        <v>2026</v>
      </c>
      <c r="E135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35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35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35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35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35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35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35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35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36" customFormat="false" ht="17.15" hidden="false" customHeight="false" outlineLevel="0" collapsed="false">
      <c r="A136" s="0" t="s">
        <v>1315</v>
      </c>
      <c r="B136" s="0" t="n">
        <v>2027</v>
      </c>
      <c r="E136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36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36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36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36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36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36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36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36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37" customFormat="false" ht="17.15" hidden="false" customHeight="false" outlineLevel="0" collapsed="false">
      <c r="A137" s="0" t="s">
        <v>1316</v>
      </c>
      <c r="B137" s="0" t="n">
        <v>2028</v>
      </c>
      <c r="E137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37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37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37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37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37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37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37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37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38" customFormat="false" ht="17.15" hidden="false" customHeight="false" outlineLevel="0" collapsed="false">
      <c r="A138" s="0" t="s">
        <v>1317</v>
      </c>
      <c r="B138" s="0" t="n">
        <v>2029</v>
      </c>
      <c r="E138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38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38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38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38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38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38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38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38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39" customFormat="false" ht="17.15" hidden="false" customHeight="false" outlineLevel="0" collapsed="false">
      <c r="A139" s="0" t="s">
        <v>1318</v>
      </c>
      <c r="B139" s="0" t="n">
        <v>2030</v>
      </c>
      <c r="E139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39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39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39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39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39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39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39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39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40" customFormat="false" ht="17.15" hidden="false" customHeight="false" outlineLevel="0" collapsed="false">
      <c r="A140" s="0" t="s">
        <v>1319</v>
      </c>
      <c r="B140" s="0" t="n">
        <v>2031</v>
      </c>
      <c r="E140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40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40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40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40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40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40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40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40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41" customFormat="false" ht="17.15" hidden="false" customHeight="false" outlineLevel="0" collapsed="false">
      <c r="A141" s="0" t="s">
        <v>1320</v>
      </c>
      <c r="B141" s="0" t="n">
        <v>2032</v>
      </c>
      <c r="E141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41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41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41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41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41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41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41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41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43" customFormat="false" ht="17.15" hidden="false" customHeight="false" outlineLevel="0" collapsed="false">
      <c r="A143" s="8" t="s">
        <v>1321</v>
      </c>
    </row>
    <row r="144" customFormat="false" ht="15" hidden="false" customHeight="false" outlineLevel="0" collapsed="false">
      <c r="A144" s="6" t="s">
        <v>14</v>
      </c>
      <c r="B144" s="6" t="s">
        <v>1322</v>
      </c>
      <c r="C144" s="6"/>
      <c r="D144" s="7" t="s">
        <v>20</v>
      </c>
      <c r="E144" s="7" t="s">
        <v>21</v>
      </c>
      <c r="F144" s="7" t="s">
        <v>22</v>
      </c>
      <c r="G144" s="7" t="s">
        <v>23</v>
      </c>
      <c r="H144" s="7" t="s">
        <v>24</v>
      </c>
      <c r="I144" s="7" t="s">
        <v>25</v>
      </c>
      <c r="J144" s="7" t="s">
        <v>26</v>
      </c>
      <c r="K144" s="7" t="s">
        <v>27</v>
      </c>
      <c r="L144" s="7" t="s">
        <v>28</v>
      </c>
      <c r="M144" s="7" t="s">
        <v>29</v>
      </c>
    </row>
    <row r="145" customFormat="false" ht="15" hidden="false" customHeight="false" outlineLevel="0" collapsed="false">
      <c r="A145" s="5" t="s">
        <v>1323</v>
      </c>
      <c r="D145" s="24" t="n">
        <f aca="false">SUM($D$103:D103)</f>
        <v>0.630578355681972</v>
      </c>
      <c r="E145" s="24" t="n">
        <f aca="false">SUM($D$103:E103)</f>
        <v>4.58957736166105</v>
      </c>
      <c r="F145" s="24" t="n">
        <f aca="false">SUM($D$103:F103)</f>
        <v>14.6682106949944</v>
      </c>
      <c r="G145" s="24" t="n">
        <f aca="false">SUM($D$103:G103)</f>
        <v>14.6682106949944</v>
      </c>
      <c r="H145" s="24" t="n">
        <f aca="false">SUM($D$103:H103)</f>
        <v>14.6682106949944</v>
      </c>
      <c r="I145" s="24" t="n">
        <f aca="false">SUM($D$103:I103)</f>
        <v>14.6682106949944</v>
      </c>
      <c r="J145" s="24" t="n">
        <f aca="false">SUM($D$103:J103)</f>
        <v>14.6682106949944</v>
      </c>
      <c r="K145" s="24" t="n">
        <f aca="false">SUM($D$103:K103)</f>
        <v>14.6682106949944</v>
      </c>
      <c r="L145" s="24" t="n">
        <f aca="false">SUM($D$103:L103)</f>
        <v>14.6682106949944</v>
      </c>
      <c r="M145" s="24" t="n">
        <f aca="false">SUM($D$103:M103)</f>
        <v>14.6682106949944</v>
      </c>
    </row>
    <row r="146" customFormat="false" ht="15" hidden="false" customHeight="false" outlineLevel="0" collapsed="false">
      <c r="A146" s="5" t="s">
        <v>1324</v>
      </c>
      <c r="D146" s="24" t="n">
        <f aca="false">SUM($D$100:D100)</f>
        <v>0</v>
      </c>
      <c r="E146" s="24" t="n">
        <f aca="false">SUM($D$100:E100)</f>
        <v>0</v>
      </c>
      <c r="F146" s="24" t="n">
        <f aca="false">SUM($D$100:F100)</f>
        <v>0</v>
      </c>
      <c r="G146" s="24" t="n">
        <f aca="false">SUM($D$100:G100)</f>
        <v>3.43476412772586</v>
      </c>
      <c r="H146" s="24" t="n">
        <f aca="false">SUM($D$100:H100)</f>
        <v>3.43476412772586</v>
      </c>
      <c r="I146" s="24" t="n">
        <f aca="false">SUM($D$100:I100)</f>
        <v>3.43476412772586</v>
      </c>
      <c r="J146" s="24" t="n">
        <f aca="false">SUM($D$100:J100)</f>
        <v>3.43476412772586</v>
      </c>
      <c r="K146" s="24" t="n">
        <f aca="false">SUM($D$100:K100)</f>
        <v>3.43476412772586</v>
      </c>
      <c r="L146" s="24" t="n">
        <f aca="false">SUM($D$100:L100)</f>
        <v>3.43476412772586</v>
      </c>
      <c r="M146" s="24" t="n">
        <f aca="false">SUM($D$100:M100)</f>
        <v>3.43476412772586</v>
      </c>
    </row>
    <row r="147" customFormat="false" ht="15" hidden="false" customHeight="false" outlineLevel="0" collapsed="false">
      <c r="A147" s="5" t="s">
        <v>1325</v>
      </c>
      <c r="B147" s="0" t="s">
        <v>1326</v>
      </c>
      <c r="D147" s="24" t="n">
        <f aca="false">SUMPRODUCT($E$101:$M$101,$E$108:$M$108)</f>
        <v>0</v>
      </c>
      <c r="E147" s="24" t="n">
        <f aca="false">SUMPRODUCT($E$101:$M$101,$E$109:$M$109)</f>
        <v>1.61980834349181</v>
      </c>
      <c r="F147" s="24" t="n">
        <f aca="false">SUMPRODUCT($E$101:$M$101,$E$110:$M$110)</f>
        <v>10.032932638339</v>
      </c>
      <c r="G147" s="24" t="n">
        <f aca="false">SUMPRODUCT($E$101:$M$101,$E$111:$M$111)</f>
        <v>17.2355399716723</v>
      </c>
      <c r="H147" s="24" t="n">
        <f aca="false">SUMPRODUCT($E$101:$M$101,$E$112:$M$112)</f>
        <v>20.5045184295128</v>
      </c>
      <c r="I147" s="24" t="n">
        <f aca="false">SUMPRODUCT($E$101:$M$101,$E$113:$M$113)</f>
        <v>24.3232324904218</v>
      </c>
      <c r="J147" s="24" t="n">
        <f aca="false">SUMPRODUCT($E$101:$M$101,$E$114:$M$114)</f>
        <v>28.4732538214193</v>
      </c>
      <c r="K147" s="24" t="n">
        <f aca="false">SUMPRODUCT($E$101:$M$101,$E$115:$M$115)</f>
        <v>32.9993088434672</v>
      </c>
      <c r="L147" s="24" t="n">
        <f aca="false">SUMPRODUCT($E$101:$M$101,$E$116:$M$116)</f>
        <v>35.1531549973133</v>
      </c>
      <c r="M147" s="24" t="n">
        <f aca="false">SUMPRODUCT($E$101:$M$101,$E$117:$M$117)</f>
        <v>37.5223857665441</v>
      </c>
    </row>
    <row r="148" customFormat="false" ht="15" hidden="false" customHeight="false" outlineLevel="0" collapsed="false">
      <c r="A148" s="5" t="s">
        <v>1325</v>
      </c>
      <c r="B148" s="0" t="s">
        <v>1327</v>
      </c>
      <c r="D148" s="24" t="n">
        <f aca="false">SUMPRODUCT($E$101:$M$101,$E$120:$M$120)</f>
        <v>0</v>
      </c>
      <c r="E148" s="24" t="n">
        <f aca="false">SUMPRODUCT($E$101:$M$101,$E$121:$M$121)</f>
        <v>1.61980834349181</v>
      </c>
      <c r="F148" s="24" t="n">
        <f aca="false">SUMPRODUCT($E$101:$M$101,$E$122:$M$122)</f>
        <v>10.032932638339</v>
      </c>
      <c r="G148" s="24" t="n">
        <f aca="false">SUMPRODUCT($E$101:$M$101,$E$123:$M$123)</f>
        <v>16.7943802725057</v>
      </c>
      <c r="H148" s="24" t="n">
        <f aca="false">SUMPRODUCT($E$101:$M$101,$E$124:$M$124)</f>
        <v>19.9324471993907</v>
      </c>
      <c r="I148" s="24" t="n">
        <f aca="false">SUMPRODUCT($E$101:$M$101,$E$125:$M$125)</f>
        <v>23.6549575297627</v>
      </c>
      <c r="J148" s="24" t="n">
        <f aca="false">SUMPRODUCT($E$101:$M$101,$E$126:$M$126)</f>
        <v>27.7470000884947</v>
      </c>
      <c r="K148" s="24" t="n">
        <f aca="false">SUMPRODUCT($E$101:$M$101,$E$127:$M$127)</f>
        <v>32.2072492146088</v>
      </c>
      <c r="L148" s="24" t="n">
        <f aca="false">SUMPRODUCT($E$101:$M$101,$E$128:$M$128)</f>
        <v>34.7762319203902</v>
      </c>
      <c r="M148" s="24" t="n">
        <f aca="false">SUMPRODUCT($E$101:$M$101,$E$129:$M$129)</f>
        <v>37.1077703819287</v>
      </c>
    </row>
    <row r="149" customFormat="false" ht="15" hidden="false" customHeight="false" outlineLevel="0" collapsed="false">
      <c r="A149" s="5" t="s">
        <v>1325</v>
      </c>
      <c r="B149" s="0" t="s">
        <v>1328</v>
      </c>
      <c r="D149" s="24" t="n">
        <f aca="false">SUMPRODUCT($E$101:$M$101,$E$132:$M$132)</f>
        <v>0</v>
      </c>
      <c r="E149" s="24" t="n">
        <f aca="false">SUMPRODUCT($E$101:$M$101,$E$133:$M$133)</f>
        <v>1.61980834349181</v>
      </c>
      <c r="F149" s="24" t="n">
        <f aca="false">SUMPRODUCT($E$101:$M$101,$E$134:$M$134)</f>
        <v>10.032932638339</v>
      </c>
      <c r="G149" s="24" t="n">
        <f aca="false">SUMPRODUCT($E$101:$M$101,$E$135:$M$135)</f>
        <v>16.7943802725057</v>
      </c>
      <c r="H149" s="24" t="n">
        <f aca="false">SUMPRODUCT($E$101:$M$101,$E$136:$M$136)</f>
        <v>18.8536843083033</v>
      </c>
      <c r="I149" s="24" t="n">
        <f aca="false">SUMPRODUCT($E$101:$M$101,$E$137:$M$137)</f>
        <v>22.1659533976139</v>
      </c>
      <c r="J149" s="24" t="n">
        <f aca="false">SUMPRODUCT($E$101:$M$101,$E$138:$M$138)</f>
        <v>27.4796901042311</v>
      </c>
      <c r="K149" s="24" t="n">
        <f aca="false">SUMPRODUCT($E$101:$M$101,$E$139:$M$139)</f>
        <v>32.2072492146088</v>
      </c>
      <c r="L149" s="24" t="n">
        <f aca="false">SUMPRODUCT($E$101:$M$101,$E$140:$M$140)</f>
        <v>34.7762319203902</v>
      </c>
      <c r="M149" s="24" t="n">
        <f aca="false">SUMPRODUCT($E$101:$M$101,$E$141:$M$141)</f>
        <v>37.1077703819287</v>
      </c>
    </row>
    <row r="150" customFormat="false" ht="15" hidden="false" customHeight="false" outlineLevel="0" collapsed="false">
      <c r="A150" s="5" t="s">
        <v>1329</v>
      </c>
      <c r="B150" s="0" t="s">
        <v>1326</v>
      </c>
      <c r="D150" s="24" t="n">
        <f aca="false">SUMPRODUCT($L$5:$L$47,$Q$5:$Q$47,($M$5:$M$47&lt;=2023+1)*1)</f>
        <v>0</v>
      </c>
      <c r="E150" s="24" t="n">
        <f aca="false">SUMPRODUCT($L$5:$L$47,$Q$5:$Q$47,($M$5:$M$47&lt;=2024+1)*1)</f>
        <v>0</v>
      </c>
      <c r="F150" s="24" t="n">
        <f aca="false">SUMPRODUCT($L$5:$L$47,$Q$5:$Q$47,($M$5:$M$47&lt;=2025+1)*1)</f>
        <v>0.636</v>
      </c>
      <c r="G150" s="24" t="n">
        <f aca="false">SUMPRODUCT($L$5:$L$47,$Q$5:$Q$47,($M$5:$M$47&lt;=2026+1)*1)</f>
        <v>2.314</v>
      </c>
      <c r="H150" s="24" t="n">
        <f aca="false">SUMPRODUCT($L$5:$L$47,$Q$5:$Q$47,($M$5:$M$47&lt;=2027+1)*1)</f>
        <v>4.53266666666667</v>
      </c>
      <c r="I150" s="24" t="n">
        <f aca="false">SUMPRODUCT($L$5:$L$47,$Q$5:$Q$47,($M$5:$M$47&lt;=2028+1)*1)</f>
        <v>17.302</v>
      </c>
      <c r="J150" s="24" t="n">
        <f aca="false">SUMPRODUCT($L$5:$L$47,$Q$5:$Q$47,($M$5:$M$47&lt;=2029+1)*1)</f>
        <v>19.087</v>
      </c>
      <c r="K150" s="24" t="n">
        <f aca="false">SUMPRODUCT($L$5:$L$47,$Q$5:$Q$47,($M$5:$M$47&lt;=2030+1)*1)</f>
        <v>22.203</v>
      </c>
      <c r="L150" s="24" t="n">
        <f aca="false">SUMPRODUCT($L$5:$L$47,$Q$5:$Q$47,($M$5:$M$47&lt;=2031+1)*1)</f>
        <v>22.203</v>
      </c>
      <c r="M150" s="24" t="n">
        <f aca="false">SUMPRODUCT($L$5:$L$47,$Q$5:$Q$47,($M$5:$M$47&lt;=2032+1)*1)</f>
        <v>22.203</v>
      </c>
    </row>
    <row r="151" customFormat="false" ht="15" hidden="false" customHeight="false" outlineLevel="0" collapsed="false">
      <c r="A151" s="5" t="s">
        <v>1329</v>
      </c>
      <c r="B151" s="0" t="s">
        <v>1327</v>
      </c>
      <c r="D151" s="24" t="n">
        <f aca="false">SUMPRODUCT($L$5:$L$47,$Q$5:$Q$47,((($J$5:$J$47&gt;0)+($J$5:$J$47&lt;=0)*(1-dly_d1_s))*($N$5:$N$47&lt;=2023+1)+($J$5:$J$47&lt;=0)*dly_d1_s*($O$5:$O$47&lt;=2023+1)))</f>
        <v>0</v>
      </c>
      <c r="E151" s="24" t="n">
        <f aca="false">SUMPRODUCT($L$5:$L$47,$Q$5:$Q$47,((($J$5:$J$47&gt;0)+($J$5:$J$47&lt;=0)*(1-dly_d1_s))*($N$5:$N$47&lt;=2024+1)+($J$5:$J$47&lt;=0)*dly_d1_s*($O$5:$O$47&lt;=2024+1)))</f>
        <v>0</v>
      </c>
      <c r="F151" s="24" t="n">
        <f aca="false">SUMPRODUCT($L$5:$L$47,$Q$5:$Q$47,((($J$5:$J$47&gt;0)+($J$5:$J$47&lt;=0)*(1-dly_d1_s))*($N$5:$N$47&lt;=2025+1)+($J$5:$J$47&lt;=0)*dly_d1_s*($O$5:$O$47&lt;=2025+1)))</f>
        <v>0.636</v>
      </c>
      <c r="G151" s="24" t="n">
        <f aca="false">SUMPRODUCT($L$5:$L$47,$Q$5:$Q$47,((($J$5:$J$47&gt;0)+($J$5:$J$47&lt;=0)*(1-dly_d1_s))*($N$5:$N$47&lt;=2026+1)+($J$5:$J$47&lt;=0)*dly_d1_s*($O$5:$O$47&lt;=2026+1)))</f>
        <v>2.0907</v>
      </c>
      <c r="H151" s="24" t="n">
        <f aca="false">SUMPRODUCT($L$5:$L$47,$Q$5:$Q$47,((($J$5:$J$47&gt;0)+($J$5:$J$47&lt;=0)*(1-dly_d1_s))*($N$5:$N$47&lt;=2027+1)+($J$5:$J$47&lt;=0)*dly_d1_s*($O$5:$O$47&lt;=2027+1)))</f>
        <v>4.16213333333333</v>
      </c>
      <c r="I151" s="24" t="n">
        <f aca="false">SUMPRODUCT($L$5:$L$47,$Q$5:$Q$47,((($J$5:$J$47&gt;0)+($J$5:$J$47&lt;=0)*(1-dly_d1_s))*($N$5:$N$47&lt;=2028+1)+($J$5:$J$47&lt;=0)*dly_d1_s*($O$5:$O$47&lt;=2028+1)))</f>
        <v>13.2563166666667</v>
      </c>
      <c r="J151" s="24" t="n">
        <f aca="false">SUMPRODUCT($L$5:$L$47,$Q$5:$Q$47,((($J$5:$J$47&gt;0)+($J$5:$J$47&lt;=0)*(1-dly_d1_s))*($N$5:$N$47&lt;=2029+1)+($J$5:$J$47&lt;=0)*dly_d1_s*($O$5:$O$47&lt;=2029+1)))</f>
        <v>18.46225</v>
      </c>
      <c r="K151" s="24" t="n">
        <f aca="false">SUMPRODUCT($L$5:$L$47,$Q$5:$Q$47,((($J$5:$J$47&gt;0)+($J$5:$J$47&lt;=0)*(1-dly_d1_s))*($N$5:$N$47&lt;=2030+1)+($J$5:$J$47&lt;=0)*dly_d1_s*($O$5:$O$47&lt;=2030+1)))</f>
        <v>21.1124</v>
      </c>
      <c r="L151" s="24" t="n">
        <f aca="false">SUMPRODUCT($L$5:$L$47,$Q$5:$Q$47,((($J$5:$J$47&gt;0)+($J$5:$J$47&lt;=0)*(1-dly_d1_s))*($N$5:$N$47&lt;=2031+1)+($J$5:$J$47&lt;=0)*dly_d1_s*($O$5:$O$47&lt;=2031+1)))</f>
        <v>22.203</v>
      </c>
      <c r="M151" s="24" t="n">
        <f aca="false">SUMPRODUCT($L$5:$L$47,$Q$5:$Q$47,((($J$5:$J$47&gt;0)+($J$5:$J$47&lt;=0)*(1-dly_d1_s))*($N$5:$N$47&lt;=2032+1)+($J$5:$J$47&lt;=0)*dly_d1_s*($O$5:$O$47&lt;=2032+1)))</f>
        <v>22.203</v>
      </c>
    </row>
    <row r="152" customFormat="false" ht="15" hidden="false" customHeight="false" outlineLevel="0" collapsed="false">
      <c r="A152" s="5" t="s">
        <v>1329</v>
      </c>
      <c r="B152" s="0" t="s">
        <v>1328</v>
      </c>
      <c r="D152" s="24" t="n">
        <f aca="false">SUMPRODUCT($L$5:$L$47,$Q$5:$Q$47,(1-dly_d2_bind*$R$5:$R$47)*((($J$5:$J$47&gt;0)+($J$5:$J$47&lt;=0)*(1-dly_d1_s))*($N$5:$N$47&lt;=2023+1)+($J$5:$J$47&lt;=0)*dly_d1_s*($O$5:$O$47&lt;=2023+1))+dly_d2_bind*$R$5:$R$47*((($J$5:$J$47&gt;0)+($J$5:$J$47&lt;=0)*(1-dly_d1_s))*($N$5:$N$47+dly_d2_m/12&lt;=2023+1)+($J$5:$J$47&lt;=0)*dly_d1_s*($O$5:$O$47+dly_d2_m/12&lt;=2023+1)))</f>
        <v>0</v>
      </c>
      <c r="E152" s="24" t="n">
        <f aca="false">SUMPRODUCT($L$5:$L$47,$Q$5:$Q$47,(1-dly_d2_bind*$R$5:$R$47)*((($J$5:$J$47&gt;0)+($J$5:$J$47&lt;=0)*(1-dly_d1_s))*($N$5:$N$47&lt;=2024+1)+($J$5:$J$47&lt;=0)*dly_d1_s*($O$5:$O$47&lt;=2024+1))+dly_d2_bind*$R$5:$R$47*((($J$5:$J$47&gt;0)+($J$5:$J$47&lt;=0)*(1-dly_d1_s))*($N$5:$N$47+dly_d2_m/12&lt;=2024+1)+($J$5:$J$47&lt;=0)*dly_d1_s*($O$5:$O$47+dly_d2_m/12&lt;=2024+1)))</f>
        <v>0</v>
      </c>
      <c r="F152" s="24" t="n">
        <f aca="false">SUMPRODUCT($L$5:$L$47,$Q$5:$Q$47,(1-dly_d2_bind*$R$5:$R$47)*((($J$5:$J$47&gt;0)+($J$5:$J$47&lt;=0)*(1-dly_d1_s))*($N$5:$N$47&lt;=2025+1)+($J$5:$J$47&lt;=0)*dly_d1_s*($O$5:$O$47&lt;=2025+1))+dly_d2_bind*$R$5:$R$47*((($J$5:$J$47&gt;0)+($J$5:$J$47&lt;=0)*(1-dly_d1_s))*($N$5:$N$47+dly_d2_m/12&lt;=2025+1)+($J$5:$J$47&lt;=0)*dly_d1_s*($O$5:$O$47+dly_d2_m/12&lt;=2025+1)))</f>
        <v>0.636</v>
      </c>
      <c r="G152" s="24" t="n">
        <f aca="false">SUMPRODUCT($L$5:$L$47,$Q$5:$Q$47,(1-dly_d2_bind*$R$5:$R$47)*((($J$5:$J$47&gt;0)+($J$5:$J$47&lt;=0)*(1-dly_d1_s))*($N$5:$N$47&lt;=2026+1)+($J$5:$J$47&lt;=0)*dly_d1_s*($O$5:$O$47&lt;=2026+1))+dly_d2_bind*$R$5:$R$47*((($J$5:$J$47&gt;0)+($J$5:$J$47&lt;=0)*(1-dly_d1_s))*($N$5:$N$47+dly_d2_m/12&lt;=2026+1)+($J$5:$J$47&lt;=0)*dly_d1_s*($O$5:$O$47+dly_d2_m/12&lt;=2026+1)))</f>
        <v>2.0907</v>
      </c>
      <c r="H152" s="24" t="n">
        <f aca="false">SUMPRODUCT($L$5:$L$47,$Q$5:$Q$47,(1-dly_d2_bind*$R$5:$R$47)*((($J$5:$J$47&gt;0)+($J$5:$J$47&lt;=0)*(1-dly_d1_s))*($N$5:$N$47&lt;=2027+1)+($J$5:$J$47&lt;=0)*dly_d1_s*($O$5:$O$47&lt;=2027+1))+dly_d2_bind*$R$5:$R$47*((($J$5:$J$47&gt;0)+($J$5:$J$47&lt;=0)*(1-dly_d1_s))*($N$5:$N$47+dly_d2_m/12&lt;=2027+1)+($J$5:$J$47&lt;=0)*dly_d1_s*($O$5:$O$47+dly_d2_m/12&lt;=2027+1)))</f>
        <v>3.4728</v>
      </c>
      <c r="I152" s="24" t="n">
        <f aca="false">SUMPRODUCT($L$5:$L$47,$Q$5:$Q$47,(1-dly_d2_bind*$R$5:$R$47)*((($J$5:$J$47&gt;0)+($J$5:$J$47&lt;=0)*(1-dly_d1_s))*($N$5:$N$47&lt;=2028+1)+($J$5:$J$47&lt;=0)*dly_d1_s*($O$5:$O$47&lt;=2028+1))+dly_d2_bind*$R$5:$R$47*((($J$5:$J$47&gt;0)+($J$5:$J$47&lt;=0)*(1-dly_d1_s))*($N$5:$N$47+dly_d2_m/12&lt;=2028+1)+($J$5:$J$47&lt;=0)*dly_d1_s*($O$5:$O$47+dly_d2_m/12&lt;=2028+1)))</f>
        <v>10.3383633333333</v>
      </c>
      <c r="J152" s="24" t="n">
        <f aca="false">SUMPRODUCT($L$5:$L$47,$Q$5:$Q$47,(1-dly_d2_bind*$R$5:$R$47)*((($J$5:$J$47&gt;0)+($J$5:$J$47&lt;=0)*(1-dly_d1_s))*($N$5:$N$47&lt;=2029+1)+($J$5:$J$47&lt;=0)*dly_d1_s*($O$5:$O$47&lt;=2029+1))+dly_d2_bind*$R$5:$R$47*((($J$5:$J$47&gt;0)+($J$5:$J$47&lt;=0)*(1-dly_d1_s))*($N$5:$N$47+dly_d2_m/12&lt;=2029+1)+($J$5:$J$47&lt;=0)*dly_d1_s*($O$5:$O$47+dly_d2_m/12&lt;=2029+1)))</f>
        <v>16.8655366666667</v>
      </c>
      <c r="K152" s="24" t="n">
        <f aca="false">SUMPRODUCT($L$5:$L$47,$Q$5:$Q$47,(1-dly_d2_bind*$R$5:$R$47)*((($J$5:$J$47&gt;0)+($J$5:$J$47&lt;=0)*(1-dly_d1_s))*($N$5:$N$47&lt;=2030+1)+($J$5:$J$47&lt;=0)*dly_d1_s*($O$5:$O$47&lt;=2030+1))+dly_d2_bind*$R$5:$R$47*((($J$5:$J$47&gt;0)+($J$5:$J$47&lt;=0)*(1-dly_d1_s))*($N$5:$N$47+dly_d2_m/12&lt;=2030+1)+($J$5:$J$47&lt;=0)*dly_d1_s*($O$5:$O$47+dly_d2_m/12&lt;=2030+1)))</f>
        <v>21.1124</v>
      </c>
      <c r="L152" s="24" t="n">
        <f aca="false">SUMPRODUCT($L$5:$L$47,$Q$5:$Q$47,(1-dly_d2_bind*$R$5:$R$47)*((($J$5:$J$47&gt;0)+($J$5:$J$47&lt;=0)*(1-dly_d1_s))*($N$5:$N$47&lt;=2031+1)+($J$5:$J$47&lt;=0)*dly_d1_s*($O$5:$O$47&lt;=2031+1))+dly_d2_bind*$R$5:$R$47*((($J$5:$J$47&gt;0)+($J$5:$J$47&lt;=0)*(1-dly_d1_s))*($N$5:$N$47+dly_d2_m/12&lt;=2031+1)+($J$5:$J$47&lt;=0)*dly_d1_s*($O$5:$O$47+dly_d2_m/12&lt;=2031+1)))</f>
        <v>22.203</v>
      </c>
      <c r="M152" s="24" t="n">
        <f aca="false">SUMPRODUCT($L$5:$L$47,$Q$5:$Q$47,(1-dly_d2_bind*$R$5:$R$47)*((($J$5:$J$47&gt;0)+($J$5:$J$47&lt;=0)*(1-dly_d1_s))*($N$5:$N$47&lt;=2032+1)+($J$5:$J$47&lt;=0)*dly_d1_s*($O$5:$O$47&lt;=2032+1))+dly_d2_bind*$R$5:$R$47*((($J$5:$J$47&gt;0)+($J$5:$J$47&lt;=0)*(1-dly_d1_s))*($N$5:$N$47+dly_d2_m/12&lt;=2032+1)+($J$5:$J$47&lt;=0)*dly_d1_s*($O$5:$O$47+dly_d2_m/12&lt;=2032+1)))</f>
        <v>22.203</v>
      </c>
    </row>
    <row r="153" customFormat="false" ht="17.15" hidden="false" customHeight="false" outlineLevel="0" collapsed="false">
      <c r="A153" s="21" t="s">
        <v>1330</v>
      </c>
      <c r="B153" s="20" t="s">
        <v>1326</v>
      </c>
      <c r="D153" s="25" t="n">
        <f aca="false">D145+D146+D147+D150</f>
        <v>0.630578355681972</v>
      </c>
      <c r="E153" s="25" t="n">
        <f aca="false">E145+E146+E147+E150</f>
        <v>6.20938570515285</v>
      </c>
      <c r="F153" s="25" t="n">
        <f aca="false">F145+F146+F147+F150</f>
        <v>25.3371433333333</v>
      </c>
      <c r="G153" s="25" t="n">
        <f aca="false">G145+G146+G147+G150</f>
        <v>37.6525147943925</v>
      </c>
      <c r="H153" s="25" t="n">
        <f aca="false">H145+H146+H147+H150</f>
        <v>43.1401599188997</v>
      </c>
      <c r="I153" s="25" t="n">
        <f aca="false">I145+I146+I147+I150</f>
        <v>59.7282073131421</v>
      </c>
      <c r="J153" s="25" t="n">
        <f aca="false">J145+J146+J147+J150</f>
        <v>65.6632286441395</v>
      </c>
      <c r="K153" s="25" t="n">
        <f aca="false">K145+K146+K147+K150</f>
        <v>73.3052836661874</v>
      </c>
      <c r="L153" s="25" t="n">
        <f aca="false">L145+L146+L147+L150</f>
        <v>75.4591298200336</v>
      </c>
      <c r="M153" s="25" t="n">
        <f aca="false">M145+M146+M147+M150</f>
        <v>77.8283605892643</v>
      </c>
    </row>
    <row r="154" customFormat="false" ht="17.15" hidden="false" customHeight="false" outlineLevel="0" collapsed="false">
      <c r="A154" s="21" t="s">
        <v>1330</v>
      </c>
      <c r="B154" s="20" t="s">
        <v>1327</v>
      </c>
      <c r="D154" s="25" t="n">
        <f aca="false">D145+D146+D148+D151</f>
        <v>0.630578355681972</v>
      </c>
      <c r="E154" s="25" t="n">
        <f aca="false">E145+E146+E148+E151</f>
        <v>6.20938570515285</v>
      </c>
      <c r="F154" s="25" t="n">
        <f aca="false">F145+F146+F148+F151</f>
        <v>25.3371433333333</v>
      </c>
      <c r="G154" s="25" t="n">
        <f aca="false">G145+G146+G148+G151</f>
        <v>36.988055095226</v>
      </c>
      <c r="H154" s="25" t="n">
        <f aca="false">H145+H146+H148+H151</f>
        <v>42.1975553554443</v>
      </c>
      <c r="I154" s="25" t="n">
        <f aca="false">I145+I146+I148+I151</f>
        <v>55.0142490191496</v>
      </c>
      <c r="J154" s="25" t="n">
        <f aca="false">J145+J146+J148+J151</f>
        <v>64.3122249112149</v>
      </c>
      <c r="K154" s="25" t="n">
        <f aca="false">K145+K146+K148+K151</f>
        <v>71.422624037329</v>
      </c>
      <c r="L154" s="25" t="n">
        <f aca="false">L145+L146+L148+L151</f>
        <v>75.0822067431105</v>
      </c>
      <c r="M154" s="25" t="n">
        <f aca="false">M145+M146+M148+M151</f>
        <v>77.413745204649</v>
      </c>
    </row>
    <row r="155" customFormat="false" ht="17.15" hidden="false" customHeight="false" outlineLevel="0" collapsed="false">
      <c r="A155" s="21" t="s">
        <v>1330</v>
      </c>
      <c r="B155" s="20" t="s">
        <v>1328</v>
      </c>
      <c r="D155" s="25" t="n">
        <f aca="false">D145+D146+D149+D152</f>
        <v>0.630578355681972</v>
      </c>
      <c r="E155" s="25" t="n">
        <f aca="false">E145+E146+E149+E152</f>
        <v>6.20938570515285</v>
      </c>
      <c r="F155" s="25" t="n">
        <f aca="false">F145+F146+F149+F152</f>
        <v>25.3371433333333</v>
      </c>
      <c r="G155" s="25" t="n">
        <f aca="false">G145+G146+G149+G152</f>
        <v>36.988055095226</v>
      </c>
      <c r="H155" s="25" t="n">
        <f aca="false">H145+H146+H149+H152</f>
        <v>40.4294591310236</v>
      </c>
      <c r="I155" s="25" t="n">
        <f aca="false">I145+I146+I149+I152</f>
        <v>50.6072915536675</v>
      </c>
      <c r="J155" s="25" t="n">
        <f aca="false">J145+J146+J149+J152</f>
        <v>62.448201593618</v>
      </c>
      <c r="K155" s="25" t="n">
        <f aca="false">K145+K146+K149+K152</f>
        <v>71.422624037329</v>
      </c>
      <c r="L155" s="25" t="n">
        <f aca="false">L145+L146+L149+L152</f>
        <v>75.0822067431105</v>
      </c>
      <c r="M155" s="25" t="n">
        <f aca="false">M145+M146+M149+M152</f>
        <v>77.413745204649</v>
      </c>
    </row>
    <row r="156" customFormat="false" ht="17.15" hidden="false" customHeight="false" outlineLevel="0" collapsed="false">
      <c r="A156" s="5" t="s">
        <v>1331</v>
      </c>
      <c r="B156" s="0" t="s">
        <v>1326</v>
      </c>
      <c r="D156" s="24" t="n">
        <f aca="false">0</f>
        <v>0</v>
      </c>
      <c r="E156" s="24" t="n">
        <f aca="false">E153-D153-E103</f>
        <v>1.61980834349181</v>
      </c>
      <c r="F156" s="24" t="n">
        <f aca="false">F153-E153-F103</f>
        <v>9.04912429484715</v>
      </c>
      <c r="G156" s="24" t="n">
        <f aca="false">G153-F153-G103</f>
        <v>12.3153714610592</v>
      </c>
      <c r="H156" s="24" t="n">
        <f aca="false">H153-G153-H103</f>
        <v>5.48764512450717</v>
      </c>
      <c r="I156" s="24" t="n">
        <f aca="false">I153-H153-I103</f>
        <v>16.5880473942424</v>
      </c>
      <c r="J156" s="24" t="n">
        <f aca="false">J153-I153-J103</f>
        <v>5.93502133099746</v>
      </c>
      <c r="K156" s="24" t="n">
        <f aca="false">K153-J153-K103</f>
        <v>7.6420550220479</v>
      </c>
      <c r="L156" s="24" t="n">
        <f aca="false">L153-K153-L103</f>
        <v>2.15384615384615</v>
      </c>
      <c r="M156" s="24" t="n">
        <f aca="false">M153-L153-M103</f>
        <v>2.36923076923078</v>
      </c>
    </row>
    <row r="157" customFormat="false" ht="17.15" hidden="false" customHeight="false" outlineLevel="0" collapsed="false">
      <c r="A157" s="5" t="s">
        <v>1331</v>
      </c>
      <c r="B157" s="0" t="s">
        <v>1327</v>
      </c>
      <c r="D157" s="24" t="n">
        <f aca="false">0</f>
        <v>0</v>
      </c>
      <c r="E157" s="24" t="n">
        <f aca="false">E154-D154-E103</f>
        <v>1.61980834349181</v>
      </c>
      <c r="F157" s="24" t="n">
        <f aca="false">F154-E154-F103</f>
        <v>9.04912429484715</v>
      </c>
      <c r="G157" s="24" t="n">
        <f aca="false">G154-F154-G103</f>
        <v>11.6509117618926</v>
      </c>
      <c r="H157" s="24" t="n">
        <f aca="false">H154-G154-H103</f>
        <v>5.20950026021831</v>
      </c>
      <c r="I157" s="24" t="n">
        <f aca="false">I154-H154-I103</f>
        <v>12.8166936637054</v>
      </c>
      <c r="J157" s="24" t="n">
        <f aca="false">J154-I154-J103</f>
        <v>9.29797589206531</v>
      </c>
      <c r="K157" s="24" t="n">
        <f aca="false">K154-J154-K103</f>
        <v>7.11039912611409</v>
      </c>
      <c r="L157" s="24" t="n">
        <f aca="false">L154-K154-L103</f>
        <v>3.65958270578145</v>
      </c>
      <c r="M157" s="24" t="n">
        <f aca="false">M154-L154-M103</f>
        <v>2.33153846153847</v>
      </c>
    </row>
    <row r="158" customFormat="false" ht="17.15" hidden="false" customHeight="false" outlineLevel="0" collapsed="false">
      <c r="A158" s="5" t="s">
        <v>1331</v>
      </c>
      <c r="B158" s="0" t="s">
        <v>1328</v>
      </c>
      <c r="D158" s="24" t="n">
        <f aca="false">0</f>
        <v>0</v>
      </c>
      <c r="E158" s="24" t="n">
        <f aca="false">E155-D155-E103</f>
        <v>1.61980834349181</v>
      </c>
      <c r="F158" s="24" t="n">
        <f aca="false">F155-E155-F103</f>
        <v>9.04912429484715</v>
      </c>
      <c r="G158" s="24" t="n">
        <f aca="false">G155-F155-G103</f>
        <v>11.6509117618926</v>
      </c>
      <c r="H158" s="24" t="n">
        <f aca="false">H155-G155-H103</f>
        <v>3.4414040357976</v>
      </c>
      <c r="I158" s="24" t="n">
        <f aca="false">I155-H155-I103</f>
        <v>10.1778324226439</v>
      </c>
      <c r="J158" s="24" t="n">
        <f aca="false">J155-I155-J103</f>
        <v>11.8409100399505</v>
      </c>
      <c r="K158" s="24" t="n">
        <f aca="false">K155-J155-K103</f>
        <v>8.97442244371105</v>
      </c>
      <c r="L158" s="24" t="n">
        <f aca="false">L155-K155-L103</f>
        <v>3.65958270578145</v>
      </c>
      <c r="M158" s="24" t="n">
        <f aca="false">M155-L155-M103</f>
        <v>2.33153846153847</v>
      </c>
    </row>
    <row r="159" customFormat="false" ht="17.15" hidden="false" customHeight="false" outlineLevel="0" collapsed="false">
      <c r="A159" s="5" t="s">
        <v>1332</v>
      </c>
      <c r="B159" s="0" t="s">
        <v>1327</v>
      </c>
      <c r="D159" s="24" t="n">
        <f aca="false">D153-D154</f>
        <v>0</v>
      </c>
      <c r="E159" s="24" t="n">
        <f aca="false">E153-E154</f>
        <v>0</v>
      </c>
      <c r="F159" s="24" t="n">
        <f aca="false">F153-F154</f>
        <v>0</v>
      </c>
      <c r="G159" s="24" t="n">
        <f aca="false">G153-G154</f>
        <v>0.66445969916655</v>
      </c>
      <c r="H159" s="24" t="n">
        <f aca="false">H153-H154</f>
        <v>0.942604563455411</v>
      </c>
      <c r="I159" s="24" t="n">
        <f aca="false">I153-I154</f>
        <v>4.71395829399242</v>
      </c>
      <c r="J159" s="24" t="n">
        <f aca="false">J153-J154</f>
        <v>1.35100373292457</v>
      </c>
      <c r="K159" s="24" t="n">
        <f aca="false">K153-K154</f>
        <v>1.88265962885838</v>
      </c>
      <c r="L159" s="24" t="n">
        <f aca="false">L153-L154</f>
        <v>0.376923076923077</v>
      </c>
      <c r="M159" s="24" t="n">
        <f aca="false">M153-M154</f>
        <v>0.414615384615388</v>
      </c>
    </row>
    <row r="160" customFormat="false" ht="17.15" hidden="false" customHeight="false" outlineLevel="0" collapsed="false">
      <c r="A160" s="5" t="s">
        <v>1332</v>
      </c>
      <c r="B160" s="0" t="s">
        <v>1328</v>
      </c>
      <c r="D160" s="24" t="n">
        <f aca="false">D153-D155</f>
        <v>0</v>
      </c>
      <c r="E160" s="24" t="n">
        <f aca="false">E153-E155</f>
        <v>0</v>
      </c>
      <c r="F160" s="24" t="n">
        <f aca="false">F153-F155</f>
        <v>0</v>
      </c>
      <c r="G160" s="24" t="n">
        <f aca="false">G153-G155</f>
        <v>0.66445969916655</v>
      </c>
      <c r="H160" s="24" t="n">
        <f aca="false">H153-H155</f>
        <v>2.71070078787612</v>
      </c>
      <c r="I160" s="24" t="n">
        <f aca="false">I153-I155</f>
        <v>9.12091575947456</v>
      </c>
      <c r="J160" s="24" t="n">
        <f aca="false">J153-J155</f>
        <v>3.21502705052153</v>
      </c>
      <c r="K160" s="24" t="n">
        <f aca="false">K153-K155</f>
        <v>1.88265962885838</v>
      </c>
      <c r="L160" s="24" t="n">
        <f aca="false">L153-L155</f>
        <v>0.376923076923077</v>
      </c>
      <c r="M160" s="24" t="n">
        <f aca="false">M153-M155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1333</v>
      </c>
    </row>
    <row r="2" customFormat="false" ht="17.15" hidden="false" customHeight="false" outlineLevel="0" collapsed="false">
      <c r="A2" s="5" t="s">
        <v>1334</v>
      </c>
    </row>
    <row r="3" customFormat="false" ht="15" hidden="false" customHeight="false" outlineLevel="0" collapsed="false">
      <c r="A3" s="6" t="s">
        <v>14</v>
      </c>
      <c r="B3" s="6" t="s">
        <v>1276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5" t="s">
        <v>1335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1336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1337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1338</v>
      </c>
      <c r="C7" s="0" t="s">
        <v>388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1339</v>
      </c>
      <c r="C8" s="0" t="s">
        <v>388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907</v>
      </c>
      <c r="B10" s="20" t="s">
        <v>504</v>
      </c>
      <c r="N10" s="20" t="s">
        <v>1340</v>
      </c>
    </row>
    <row r="11" customFormat="false" ht="17.15" hidden="false" customHeight="false" outlineLevel="0" collapsed="false">
      <c r="A11" s="5" t="s">
        <v>1341</v>
      </c>
      <c r="B11" s="0" t="s">
        <v>910</v>
      </c>
      <c r="C11" s="0" t="s">
        <v>388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1342</v>
      </c>
      <c r="B12" s="0" t="s">
        <v>1343</v>
      </c>
      <c r="C12" s="0" t="s">
        <v>34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1344</v>
      </c>
      <c r="B13" s="0" t="s">
        <v>920</v>
      </c>
      <c r="C13" s="0" t="s">
        <v>388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1345</v>
      </c>
      <c r="B14" s="0" t="s">
        <v>1346</v>
      </c>
      <c r="C14" s="0" t="s">
        <v>388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1347</v>
      </c>
      <c r="B15" s="0" t="s">
        <v>1348</v>
      </c>
      <c r="C15" s="0" t="s">
        <v>388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1349</v>
      </c>
      <c r="B16" s="0" t="s">
        <v>1350</v>
      </c>
      <c r="C16" s="0" t="s">
        <v>388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1351</v>
      </c>
      <c r="B17" s="0" t="s">
        <v>1352</v>
      </c>
      <c r="C17" s="0" t="s">
        <v>388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1353</v>
      </c>
      <c r="B18" s="0" t="s">
        <v>1354</v>
      </c>
      <c r="C18" s="0" t="s">
        <v>388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1355</v>
      </c>
      <c r="B19" s="0" t="s">
        <v>1356</v>
      </c>
      <c r="C19" s="0" t="s">
        <v>388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1357</v>
      </c>
      <c r="B20" s="0" t="s">
        <v>1358</v>
      </c>
      <c r="C20" s="0" t="s">
        <v>76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1359</v>
      </c>
      <c r="B21" s="0" t="s">
        <v>1360</v>
      </c>
      <c r="C21" s="0" t="s">
        <v>76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0.9</v>
      </c>
      <c r="I21" s="27" t="n">
        <f aca="false">Players!I36</f>
        <v>1.894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1361</v>
      </c>
      <c r="B22" s="0" t="s">
        <v>1362</v>
      </c>
      <c r="C22" s="0" t="s">
        <v>76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1363</v>
      </c>
      <c r="B23" s="0" t="s">
        <v>1364</v>
      </c>
      <c r="C23" s="0" t="s">
        <v>76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1365</v>
      </c>
      <c r="B24" s="0" t="s">
        <v>1366</v>
      </c>
      <c r="C24" s="0" t="s">
        <v>76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1367</v>
      </c>
      <c r="B25" s="0" t="s">
        <v>1368</v>
      </c>
      <c r="C25" s="0" t="s">
        <v>76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1369</v>
      </c>
      <c r="B26" s="0" t="s">
        <v>1370</v>
      </c>
      <c r="C26" s="0" t="s">
        <v>76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1371</v>
      </c>
      <c r="B27" s="0" t="s">
        <v>1372</v>
      </c>
      <c r="C27" s="0" t="s">
        <v>76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943</v>
      </c>
      <c r="B29" s="20" t="s">
        <v>509</v>
      </c>
      <c r="N29" s="20" t="s">
        <v>1373</v>
      </c>
    </row>
    <row r="30" customFormat="false" ht="17.15" hidden="false" customHeight="false" outlineLevel="0" collapsed="false">
      <c r="A30" s="5" t="s">
        <v>1341</v>
      </c>
      <c r="B30" s="0" t="s">
        <v>945</v>
      </c>
      <c r="C30" s="0" t="s">
        <v>388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1342</v>
      </c>
      <c r="B31" s="0" t="s">
        <v>1374</v>
      </c>
      <c r="C31" s="0" t="s">
        <v>34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1344</v>
      </c>
      <c r="B32" s="0" t="s">
        <v>950</v>
      </c>
      <c r="C32" s="0" t="s">
        <v>388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1345</v>
      </c>
      <c r="B33" s="0" t="s">
        <v>1375</v>
      </c>
      <c r="C33" s="0" t="s">
        <v>388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1347</v>
      </c>
      <c r="B34" s="0" t="s">
        <v>1376</v>
      </c>
      <c r="C34" s="0" t="s">
        <v>388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1349</v>
      </c>
      <c r="B35" s="0" t="s">
        <v>1377</v>
      </c>
      <c r="C35" s="0" t="s">
        <v>388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1351</v>
      </c>
      <c r="B36" s="0" t="s">
        <v>1378</v>
      </c>
      <c r="C36" s="0" t="s">
        <v>388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1353</v>
      </c>
      <c r="B37" s="0" t="s">
        <v>1379</v>
      </c>
      <c r="C37" s="0" t="s">
        <v>388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1355</v>
      </c>
      <c r="B38" s="0" t="s">
        <v>1380</v>
      </c>
      <c r="C38" s="0" t="s">
        <v>388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1357</v>
      </c>
      <c r="B39" s="0" t="s">
        <v>1381</v>
      </c>
      <c r="C39" s="0" t="s">
        <v>76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1359</v>
      </c>
      <c r="B40" s="0" t="s">
        <v>1382</v>
      </c>
      <c r="C40" s="0" t="s">
        <v>76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1361</v>
      </c>
      <c r="B41" s="0" t="s">
        <v>1383</v>
      </c>
      <c r="C41" s="0" t="s">
        <v>76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1363</v>
      </c>
      <c r="B42" s="0" t="s">
        <v>1384</v>
      </c>
      <c r="C42" s="0" t="s">
        <v>76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1365</v>
      </c>
      <c r="B43" s="0" t="s">
        <v>1385</v>
      </c>
      <c r="C43" s="0" t="s">
        <v>76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1367</v>
      </c>
      <c r="B44" s="0" t="s">
        <v>1386</v>
      </c>
      <c r="C44" s="0" t="s">
        <v>76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1369</v>
      </c>
      <c r="B45" s="0" t="s">
        <v>1387</v>
      </c>
      <c r="C45" s="0" t="s">
        <v>76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1371</v>
      </c>
      <c r="B46" s="0" t="s">
        <v>1388</v>
      </c>
      <c r="C46" s="0" t="s">
        <v>76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962</v>
      </c>
      <c r="B48" s="20" t="s">
        <v>517</v>
      </c>
      <c r="N48" s="20" t="s">
        <v>1389</v>
      </c>
    </row>
    <row r="49" customFormat="false" ht="17.15" hidden="false" customHeight="false" outlineLevel="0" collapsed="false">
      <c r="A49" s="5" t="s">
        <v>1341</v>
      </c>
      <c r="B49" s="0" t="s">
        <v>964</v>
      </c>
      <c r="C49" s="0" t="s">
        <v>388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1342</v>
      </c>
      <c r="B50" s="0" t="s">
        <v>1390</v>
      </c>
      <c r="C50" s="0" t="s">
        <v>34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1344</v>
      </c>
      <c r="B51" s="0" t="s">
        <v>969</v>
      </c>
      <c r="C51" s="0" t="s">
        <v>388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1345</v>
      </c>
      <c r="B52" s="0" t="s">
        <v>1391</v>
      </c>
      <c r="C52" s="0" t="s">
        <v>388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1347</v>
      </c>
      <c r="B53" s="0" t="s">
        <v>1392</v>
      </c>
      <c r="C53" s="0" t="s">
        <v>388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1349</v>
      </c>
      <c r="B54" s="0" t="s">
        <v>1393</v>
      </c>
      <c r="C54" s="0" t="s">
        <v>388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1351</v>
      </c>
      <c r="B55" s="0" t="s">
        <v>1394</v>
      </c>
      <c r="C55" s="0" t="s">
        <v>388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1353</v>
      </c>
      <c r="B56" s="0" t="s">
        <v>1395</v>
      </c>
      <c r="C56" s="0" t="s">
        <v>388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1355</v>
      </c>
      <c r="B57" s="0" t="s">
        <v>1396</v>
      </c>
      <c r="C57" s="0" t="s">
        <v>388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1357</v>
      </c>
      <c r="B58" s="0" t="s">
        <v>1397</v>
      </c>
      <c r="C58" s="0" t="s">
        <v>76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1359</v>
      </c>
      <c r="B59" s="0" t="s">
        <v>1398</v>
      </c>
      <c r="C59" s="0" t="s">
        <v>76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</v>
      </c>
      <c r="I59" s="27" t="n">
        <f aca="false">Players!I74</f>
        <v>0.888</v>
      </c>
      <c r="J59" s="27" t="n">
        <f aca="false">Players!J74</f>
        <v>0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1361</v>
      </c>
      <c r="B60" s="0" t="s">
        <v>1399</v>
      </c>
      <c r="C60" s="0" t="s">
        <v>76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1363</v>
      </c>
      <c r="B61" s="0" t="s">
        <v>1400</v>
      </c>
      <c r="C61" s="0" t="s">
        <v>76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1365</v>
      </c>
      <c r="B62" s="0" t="s">
        <v>1401</v>
      </c>
      <c r="C62" s="0" t="s">
        <v>76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1367</v>
      </c>
      <c r="B63" s="0" t="s">
        <v>1402</v>
      </c>
      <c r="C63" s="0" t="s">
        <v>76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1369</v>
      </c>
      <c r="B64" s="0" t="s">
        <v>1403</v>
      </c>
      <c r="C64" s="0" t="s">
        <v>76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1371</v>
      </c>
      <c r="B65" s="0" t="s">
        <v>1404</v>
      </c>
      <c r="C65" s="0" t="s">
        <v>76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981</v>
      </c>
      <c r="B67" s="20" t="s">
        <v>524</v>
      </c>
      <c r="N67" s="20" t="s">
        <v>1405</v>
      </c>
    </row>
    <row r="68" customFormat="false" ht="17.15" hidden="false" customHeight="false" outlineLevel="0" collapsed="false">
      <c r="A68" s="5" t="s">
        <v>1341</v>
      </c>
      <c r="B68" s="0" t="s">
        <v>983</v>
      </c>
      <c r="C68" s="0" t="s">
        <v>388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1342</v>
      </c>
      <c r="B69" s="0" t="s">
        <v>1406</v>
      </c>
      <c r="C69" s="0" t="s">
        <v>34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1344</v>
      </c>
      <c r="B70" s="0" t="s">
        <v>988</v>
      </c>
      <c r="C70" s="0" t="s">
        <v>388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1345</v>
      </c>
      <c r="B71" s="0" t="s">
        <v>1407</v>
      </c>
      <c r="C71" s="0" t="s">
        <v>388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1347</v>
      </c>
      <c r="B72" s="0" t="s">
        <v>1408</v>
      </c>
      <c r="C72" s="0" t="s">
        <v>388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1349</v>
      </c>
      <c r="B73" s="0" t="s">
        <v>1409</v>
      </c>
      <c r="C73" s="0" t="s">
        <v>388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1351</v>
      </c>
      <c r="B74" s="0" t="s">
        <v>1410</v>
      </c>
      <c r="C74" s="0" t="s">
        <v>388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1353</v>
      </c>
      <c r="B75" s="0" t="s">
        <v>1411</v>
      </c>
      <c r="C75" s="0" t="s">
        <v>388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1355</v>
      </c>
      <c r="B76" s="0" t="s">
        <v>1412</v>
      </c>
      <c r="C76" s="0" t="s">
        <v>388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1357</v>
      </c>
      <c r="B77" s="0" t="s">
        <v>1413</v>
      </c>
      <c r="C77" s="0" t="s">
        <v>76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1359</v>
      </c>
      <c r="B78" s="0" t="s">
        <v>1414</v>
      </c>
      <c r="C78" s="0" t="s">
        <v>76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2.786</v>
      </c>
      <c r="J78" s="27" t="n">
        <f aca="false">Players!J93</f>
        <v>0.368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1361</v>
      </c>
      <c r="B79" s="0" t="s">
        <v>1415</v>
      </c>
      <c r="C79" s="0" t="s">
        <v>76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0.192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1363</v>
      </c>
      <c r="B80" s="0" t="s">
        <v>1416</v>
      </c>
      <c r="C80" s="0" t="s">
        <v>76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3.344595</v>
      </c>
      <c r="I80" s="24" t="n">
        <f aca="false">IF(2028&gt;=2027,H80+I79,N(Players!I87))</f>
        <v>6.08100702658016</v>
      </c>
      <c r="J80" s="24" t="n">
        <f aca="false">IF(2029&gt;=2027,I80+J79,N(Players!J87))</f>
        <v>9.09275527840958</v>
      </c>
      <c r="K80" s="24" t="n">
        <f aca="false">IF(2030&gt;=2027,J80+K79,N(Players!K87))</f>
        <v>12.4056783554219</v>
      </c>
      <c r="L80" s="24" t="n">
        <f aca="false">IF(2031&gt;=2027,K80+L79,N(Players!L87))</f>
        <v>16.0498937401355</v>
      </c>
      <c r="M80" s="24" t="n">
        <f aca="false">IF(2032&gt;=2027,L80+M79,N(Players!M87))</f>
        <v>20.0585306633205</v>
      </c>
    </row>
    <row r="81" customFormat="false" ht="17.15" hidden="false" customHeight="false" outlineLevel="0" collapsed="false">
      <c r="A81" s="5" t="s">
        <v>1365</v>
      </c>
      <c r="B81" s="0" t="s">
        <v>1417</v>
      </c>
      <c r="C81" s="0" t="s">
        <v>76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1367</v>
      </c>
      <c r="B82" s="0" t="s">
        <v>1418</v>
      </c>
      <c r="C82" s="0" t="s">
        <v>76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1369</v>
      </c>
      <c r="B83" s="0" t="s">
        <v>1419</v>
      </c>
      <c r="C83" s="0" t="s">
        <v>76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1371</v>
      </c>
      <c r="B84" s="0" t="s">
        <v>1420</v>
      </c>
      <c r="C84" s="0" t="s">
        <v>76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1000</v>
      </c>
      <c r="B86" s="20" t="s">
        <v>528</v>
      </c>
      <c r="N86" s="20" t="s">
        <v>1421</v>
      </c>
    </row>
    <row r="87" customFormat="false" ht="17.15" hidden="false" customHeight="false" outlineLevel="0" collapsed="false">
      <c r="A87" s="5" t="s">
        <v>1341</v>
      </c>
      <c r="B87" s="0" t="s">
        <v>1002</v>
      </c>
      <c r="C87" s="0" t="s">
        <v>388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1342</v>
      </c>
      <c r="B88" s="0" t="s">
        <v>1422</v>
      </c>
      <c r="C88" s="0" t="s">
        <v>34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1344</v>
      </c>
      <c r="B89" s="0" t="s">
        <v>1007</v>
      </c>
      <c r="C89" s="0" t="s">
        <v>388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1345</v>
      </c>
      <c r="B90" s="0" t="s">
        <v>1423</v>
      </c>
      <c r="C90" s="0" t="s">
        <v>388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1347</v>
      </c>
      <c r="B91" s="0" t="s">
        <v>1424</v>
      </c>
      <c r="C91" s="0" t="s">
        <v>388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1349</v>
      </c>
      <c r="B92" s="0" t="s">
        <v>1425</v>
      </c>
      <c r="C92" s="0" t="s">
        <v>388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1351</v>
      </c>
      <c r="B93" s="0" t="s">
        <v>1426</v>
      </c>
      <c r="C93" s="0" t="s">
        <v>388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1353</v>
      </c>
      <c r="B94" s="0" t="s">
        <v>1427</v>
      </c>
      <c r="C94" s="0" t="s">
        <v>388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1355</v>
      </c>
      <c r="B95" s="0" t="s">
        <v>1428</v>
      </c>
      <c r="C95" s="0" t="s">
        <v>388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1357</v>
      </c>
      <c r="B96" s="0" t="s">
        <v>1429</v>
      </c>
      <c r="C96" s="0" t="s">
        <v>76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1359</v>
      </c>
      <c r="B97" s="0" t="s">
        <v>1430</v>
      </c>
      <c r="C97" s="0" t="s">
        <v>76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5.58333333333333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1361</v>
      </c>
      <c r="B98" s="0" t="s">
        <v>1431</v>
      </c>
      <c r="C98" s="0" t="s">
        <v>76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1363</v>
      </c>
      <c r="B99" s="0" t="s">
        <v>1432</v>
      </c>
      <c r="C99" s="0" t="s">
        <v>76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1365</v>
      </c>
      <c r="B100" s="0" t="s">
        <v>1433</v>
      </c>
      <c r="C100" s="0" t="s">
        <v>76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1367</v>
      </c>
      <c r="B101" s="0" t="s">
        <v>1434</v>
      </c>
      <c r="C101" s="0" t="s">
        <v>76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1369</v>
      </c>
      <c r="B102" s="0" t="s">
        <v>1435</v>
      </c>
      <c r="C102" s="0" t="s">
        <v>76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1371</v>
      </c>
      <c r="B103" s="0" t="s">
        <v>1436</v>
      </c>
      <c r="C103" s="0" t="s">
        <v>76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1019</v>
      </c>
      <c r="B105" s="20" t="s">
        <v>618</v>
      </c>
      <c r="N105" s="20" t="s">
        <v>1437</v>
      </c>
    </row>
    <row r="106" customFormat="false" ht="17.15" hidden="false" customHeight="false" outlineLevel="0" collapsed="false">
      <c r="A106" s="5" t="s">
        <v>1341</v>
      </c>
      <c r="B106" s="0" t="s">
        <v>1021</v>
      </c>
      <c r="C106" s="0" t="s">
        <v>388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1342</v>
      </c>
      <c r="B107" s="0" t="s">
        <v>1438</v>
      </c>
      <c r="C107" s="0" t="s">
        <v>34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1344</v>
      </c>
      <c r="B108" s="0" t="s">
        <v>1026</v>
      </c>
      <c r="C108" s="0" t="s">
        <v>388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1345</v>
      </c>
      <c r="B109" s="0" t="s">
        <v>1439</v>
      </c>
      <c r="C109" s="0" t="s">
        <v>388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1347</v>
      </c>
      <c r="B110" s="0" t="s">
        <v>1440</v>
      </c>
      <c r="C110" s="0" t="s">
        <v>388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1349</v>
      </c>
      <c r="B111" s="0" t="s">
        <v>1441</v>
      </c>
      <c r="C111" s="0" t="s">
        <v>388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1351</v>
      </c>
      <c r="B112" s="0" t="s">
        <v>1442</v>
      </c>
      <c r="C112" s="0" t="s">
        <v>388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1353</v>
      </c>
      <c r="B113" s="0" t="s">
        <v>1443</v>
      </c>
      <c r="C113" s="0" t="s">
        <v>388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1355</v>
      </c>
      <c r="B114" s="0" t="s">
        <v>1444</v>
      </c>
      <c r="C114" s="0" t="s">
        <v>388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1357</v>
      </c>
      <c r="B115" s="0" t="s">
        <v>1445</v>
      </c>
      <c r="C115" s="0" t="s">
        <v>76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1359</v>
      </c>
      <c r="B116" s="0" t="s">
        <v>1446</v>
      </c>
      <c r="C116" s="0" t="s">
        <v>76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1361</v>
      </c>
      <c r="B117" s="0" t="s">
        <v>1447</v>
      </c>
      <c r="C117" s="0" t="s">
        <v>76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1363</v>
      </c>
      <c r="B118" s="0" t="s">
        <v>1448</v>
      </c>
      <c r="C118" s="0" t="s">
        <v>76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1365</v>
      </c>
      <c r="B119" s="0" t="s">
        <v>1449</v>
      </c>
      <c r="C119" s="0" t="s">
        <v>76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1367</v>
      </c>
      <c r="B120" s="0" t="s">
        <v>1450</v>
      </c>
      <c r="C120" s="0" t="s">
        <v>76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1369</v>
      </c>
      <c r="B121" s="0" t="s">
        <v>1451</v>
      </c>
      <c r="C121" s="0" t="s">
        <v>76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1371</v>
      </c>
      <c r="B122" s="0" t="s">
        <v>1452</v>
      </c>
      <c r="C122" s="0" t="s">
        <v>76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1038</v>
      </c>
      <c r="B124" s="20" t="s">
        <v>647</v>
      </c>
      <c r="N124" s="20" t="s">
        <v>1453</v>
      </c>
    </row>
    <row r="125" customFormat="false" ht="17.15" hidden="false" customHeight="false" outlineLevel="0" collapsed="false">
      <c r="A125" s="5" t="s">
        <v>1341</v>
      </c>
      <c r="B125" s="0" t="s">
        <v>1040</v>
      </c>
      <c r="C125" s="0" t="s">
        <v>388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1342</v>
      </c>
      <c r="B126" s="0" t="s">
        <v>1454</v>
      </c>
      <c r="C126" s="0" t="s">
        <v>34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1344</v>
      </c>
      <c r="B127" s="0" t="s">
        <v>1045</v>
      </c>
      <c r="C127" s="0" t="s">
        <v>388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1345</v>
      </c>
      <c r="B128" s="0" t="s">
        <v>1455</v>
      </c>
      <c r="C128" s="0" t="s">
        <v>388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1347</v>
      </c>
      <c r="B129" s="0" t="s">
        <v>1456</v>
      </c>
      <c r="C129" s="0" t="s">
        <v>388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1349</v>
      </c>
      <c r="B130" s="0" t="s">
        <v>1457</v>
      </c>
      <c r="C130" s="0" t="s">
        <v>388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1351</v>
      </c>
      <c r="B131" s="0" t="s">
        <v>1458</v>
      </c>
      <c r="C131" s="0" t="s">
        <v>388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1353</v>
      </c>
      <c r="B132" s="0" t="s">
        <v>1459</v>
      </c>
      <c r="C132" s="0" t="s">
        <v>388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1355</v>
      </c>
      <c r="B133" s="0" t="s">
        <v>1460</v>
      </c>
      <c r="C133" s="0" t="s">
        <v>388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1357</v>
      </c>
      <c r="B134" s="0" t="s">
        <v>1461</v>
      </c>
      <c r="C134" s="0" t="s">
        <v>76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1359</v>
      </c>
      <c r="B135" s="0" t="s">
        <v>1462</v>
      </c>
      <c r="C135" s="0" t="s">
        <v>76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1361</v>
      </c>
      <c r="B136" s="0" t="s">
        <v>1463</v>
      </c>
      <c r="C136" s="0" t="s">
        <v>76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1363</v>
      </c>
      <c r="B137" s="0" t="s">
        <v>1464</v>
      </c>
      <c r="C137" s="0" t="s">
        <v>76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1365</v>
      </c>
      <c r="B138" s="0" t="s">
        <v>1465</v>
      </c>
      <c r="C138" s="0" t="s">
        <v>76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1367</v>
      </c>
      <c r="B139" s="0" t="s">
        <v>1466</v>
      </c>
      <c r="C139" s="0" t="s">
        <v>76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1369</v>
      </c>
      <c r="B140" s="0" t="s">
        <v>1467</v>
      </c>
      <c r="C140" s="0" t="s">
        <v>76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1371</v>
      </c>
      <c r="B141" s="0" t="s">
        <v>1468</v>
      </c>
      <c r="C141" s="0" t="s">
        <v>76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1469</v>
      </c>
    </row>
    <row r="144" customFormat="false" ht="17.15" hidden="false" customHeight="false" outlineLevel="0" collapsed="false">
      <c r="A144" s="5" t="s">
        <v>1470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17.4657754681966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1471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2.79616666666667</v>
      </c>
      <c r="I145" s="24" t="n">
        <f aca="false">I21+I40+I59+I78+I97+I116+I135</f>
        <v>12.6888333333333</v>
      </c>
      <c r="J145" s="24" t="n">
        <f aca="false">J21+J40+J59+J78+J97+J116+J135</f>
        <v>1.9055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1472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14.6696088015299</v>
      </c>
      <c r="I146" s="24" t="n">
        <f aca="false">IF(AND(2028&gt;=2027,2028&lt;=2029),I144-I145,0)</f>
        <v>8.70924540510739</v>
      </c>
      <c r="J146" s="24" t="n">
        <f aca="false">IF(AND(2029&gt;=2027,2029&lt;=2029),J144-J145,0)</f>
        <v>21.996446773905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1473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15.6144489425264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1474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19.2502642661794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1475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18.2412581684446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1476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16.6902927679486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1477</v>
      </c>
    </row>
    <row r="2" customFormat="false" ht="17.15" hidden="false" customHeight="false" outlineLevel="0" collapsed="false">
      <c r="A2" s="5" t="s">
        <v>1478</v>
      </c>
    </row>
    <row r="3" customFormat="false" ht="15" hidden="false" customHeight="false" outlineLevel="0" collapsed="false">
      <c r="A3" s="6" t="s">
        <v>14</v>
      </c>
      <c r="B3" s="6" t="s">
        <v>1322</v>
      </c>
      <c r="C3" s="6" t="s">
        <v>1479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0" t="s">
        <v>1480</v>
      </c>
      <c r="C4" s="0" t="s">
        <v>1326</v>
      </c>
      <c r="D4" s="24" t="n">
        <f aca="false">Pipeline!D156</f>
        <v>0</v>
      </c>
      <c r="E4" s="24" t="n">
        <f aca="false">Pipeline!E156</f>
        <v>1.61980834349181</v>
      </c>
      <c r="F4" s="24" t="n">
        <f aca="false">Pipeline!F156</f>
        <v>9.04912429484715</v>
      </c>
      <c r="G4" s="24" t="n">
        <f aca="false">Pipeline!G156</f>
        <v>12.3153714610592</v>
      </c>
      <c r="H4" s="24" t="n">
        <f aca="false">Pipeline!H156</f>
        <v>5.48764512450717</v>
      </c>
      <c r="I4" s="24" t="n">
        <f aca="false">Pipeline!I156</f>
        <v>16.5880473942424</v>
      </c>
      <c r="J4" s="24" t="n">
        <f aca="false">Pipeline!J156</f>
        <v>5.93502133099746</v>
      </c>
      <c r="K4" s="24" t="n">
        <f aca="false">Pipeline!K156</f>
        <v>7.6420550220479</v>
      </c>
      <c r="L4" s="24" t="n">
        <f aca="false">Pipeline!L156</f>
        <v>2.15384615384615</v>
      </c>
      <c r="M4" s="24" t="n">
        <f aca="false">Pipeline!M156</f>
        <v>2.36923076923078</v>
      </c>
    </row>
    <row r="5" customFormat="false" ht="17.15" hidden="false" customHeight="false" outlineLevel="0" collapsed="false">
      <c r="A5" s="5" t="s">
        <v>1481</v>
      </c>
      <c r="C5" s="0" t="s">
        <v>1326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14.6696088015299</v>
      </c>
      <c r="I5" s="24" t="n">
        <f aca="false">CapexGW!I146</f>
        <v>8.70924540510739</v>
      </c>
      <c r="J5" s="24" t="n">
        <f aca="false">CapexGW!J146</f>
        <v>21.996446773905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1482</v>
      </c>
      <c r="D6" s="24" t="n">
        <f aca="false">Pipeline!D103</f>
        <v>0.630578355681972</v>
      </c>
      <c r="E6" s="24" t="n">
        <f aca="false">Pipeline!E103</f>
        <v>3.95899900597907</v>
      </c>
      <c r="F6" s="24" t="n">
        <f aca="false">Pipeline!F103</f>
        <v>10.0786333333333</v>
      </c>
      <c r="G6" s="24" t="n">
        <f aca="false">Pipeline!G103</f>
        <v>0</v>
      </c>
      <c r="H6" s="24" t="n">
        <f aca="false">Pipeline!H103</f>
        <v>0</v>
      </c>
      <c r="I6" s="24" t="n">
        <f aca="false">Pipeline!I103</f>
        <v>0</v>
      </c>
      <c r="J6" s="24" t="n">
        <f aca="false">Pipeline!J103</f>
        <v>0</v>
      </c>
      <c r="K6" s="24" t="n">
        <f aca="false">Pipeline!K103</f>
        <v>0</v>
      </c>
      <c r="L6" s="24" t="n">
        <f aca="false">Pipeline!L103</f>
        <v>0</v>
      </c>
      <c r="M6" s="24" t="n">
        <f aca="false">Pipeline!M103</f>
        <v>0</v>
      </c>
    </row>
    <row r="8" customFormat="false" ht="15" hidden="false" customHeight="false" outlineLevel="0" collapsed="false">
      <c r="A8" s="33" t="s">
        <v>1483</v>
      </c>
    </row>
    <row r="9" customFormat="false" ht="17.15" hidden="false" customHeight="false" outlineLevel="0" collapsed="false">
      <c r="A9" s="21" t="s">
        <v>1484</v>
      </c>
    </row>
    <row r="10" customFormat="false" ht="17.15" hidden="false" customHeight="false" outlineLevel="0" collapsed="false">
      <c r="A10" s="5" t="s">
        <v>1485</v>
      </c>
      <c r="B10" s="0" t="s">
        <v>1486</v>
      </c>
      <c r="C10" s="0" t="s">
        <v>1326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9.04912429484715</v>
      </c>
      <c r="G10" s="24" t="n">
        <f aca="false">(G$4+G$5)</f>
        <v>12.3153714610592</v>
      </c>
      <c r="H10" s="24" t="n">
        <f aca="false">(H$4+H$5)</f>
        <v>20.1572539260371</v>
      </c>
      <c r="I10" s="24" t="n">
        <f aca="false">(I$4+I$5)*SIL_In!$I$27</f>
        <v>25.2972927993498</v>
      </c>
      <c r="J10" s="24" t="n">
        <f aca="false">(J$4+J$5)*SIL_In!$J$27</f>
        <v>27.9314681049025</v>
      </c>
      <c r="K10" s="24" t="n">
        <f aca="false">(Pipeline!J153+SUM($E$12:J12))*K11</f>
        <v>28.580591340872</v>
      </c>
      <c r="L10" s="24" t="n">
        <f aca="false">(Pipeline!K153+SUM($E$12:K12))*L11</f>
        <v>24.9494803667107</v>
      </c>
      <c r="M10" s="24" t="n">
        <f aca="false">(Pipeline!L153+SUM($E$12:L12))*M11</f>
        <v>16.4568601332265</v>
      </c>
    </row>
    <row r="11" customFormat="false" ht="17.15" hidden="false" customHeight="false" outlineLevel="0" collapsed="false">
      <c r="A11" s="5" t="s">
        <v>1487</v>
      </c>
      <c r="B11" s="0" t="s">
        <v>1486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IFERROR(J10/(Pipeline!I153+SUM($E$12:I12)),g_lt)</f>
        <v>0.336090190100812</v>
      </c>
      <c r="K11" s="23" t="n">
        <f aca="false">$J$11+(g_lt-$J$11)*(2030-2029)/3</f>
        <v>0.257393460067208</v>
      </c>
      <c r="L11" s="23" t="n">
        <f aca="false">$J$11+(g_lt-$J$11)*(2031-2029)/3</f>
        <v>0.178696730033604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1488</v>
      </c>
      <c r="B12" s="0" t="s">
        <v>1486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14.6696088015299</v>
      </c>
      <c r="I12" s="24" t="n">
        <f aca="false">I10-I$4</f>
        <v>8.70924540510739</v>
      </c>
      <c r="J12" s="24" t="n">
        <f aca="false">J10-J$4</f>
        <v>21.996446773905</v>
      </c>
      <c r="K12" s="24" t="n">
        <f aca="false">K10-K$4</f>
        <v>20.9385363188241</v>
      </c>
      <c r="L12" s="24" t="n">
        <f aca="false">L10-L$4</f>
        <v>22.7956342128645</v>
      </c>
      <c r="M12" s="24" t="n">
        <f aca="false">M10-M$4</f>
        <v>14.0876293639957</v>
      </c>
    </row>
    <row r="13" customFormat="false" ht="17.15" hidden="false" customHeight="false" outlineLevel="0" collapsed="false">
      <c r="A13" s="21" t="s">
        <v>1330</v>
      </c>
      <c r="B13" s="20" t="s">
        <v>1486</v>
      </c>
      <c r="C13" s="20" t="s">
        <v>1326</v>
      </c>
      <c r="D13" s="25" t="n">
        <f aca="false">Pipeline!D153+SUMPRODUCT($E$12:$M$12,Pipeline!$E$108:$M$108)</f>
        <v>0.630578355681972</v>
      </c>
      <c r="E13" s="25" t="n">
        <f aca="false">Pipeline!E153+SUMPRODUCT($E$12:$M$12,Pipeline!$E$109:$M$109)</f>
        <v>6.20938570515285</v>
      </c>
      <c r="F13" s="25" t="n">
        <f aca="false">Pipeline!F153+SUMPRODUCT($E$12:$M$12,Pipeline!$E$110:$M$110)</f>
        <v>25.3371433333333</v>
      </c>
      <c r="G13" s="25" t="n">
        <f aca="false">Pipeline!G153+SUMPRODUCT($E$12:$M$12,Pipeline!$E$111:$M$111)</f>
        <v>37.6525147943925</v>
      </c>
      <c r="H13" s="25" t="n">
        <f aca="false">Pipeline!H153+SUMPRODUCT($E$12:$M$12,Pipeline!$E$112:$M$112)</f>
        <v>57.8097687204296</v>
      </c>
      <c r="I13" s="25" t="n">
        <f aca="false">Pipeline!I153+SUMPRODUCT($E$12:$M$12,Pipeline!$E$113:$M$113)</f>
        <v>83.1070615197793</v>
      </c>
      <c r="J13" s="25" t="n">
        <f aca="false">Pipeline!J153+SUMPRODUCT($E$12:$M$12,Pipeline!$E$114:$M$114)</f>
        <v>111.038529624682</v>
      </c>
      <c r="K13" s="25" t="n">
        <f aca="false">Pipeline!K153+SUMPRODUCT($E$12:$M$12,Pipeline!$E$115:$M$115)</f>
        <v>139.619120965554</v>
      </c>
      <c r="L13" s="25" t="n">
        <f aca="false">Pipeline!L153+SUMPRODUCT($E$12:$M$12,Pipeline!$E$116:$M$116)</f>
        <v>164.568601332265</v>
      </c>
      <c r="M13" s="25" t="n">
        <f aca="false">Pipeline!M153+SUMPRODUCT($E$12:$M$12,Pipeline!$E$117:$M$117)</f>
        <v>181.025461465491</v>
      </c>
    </row>
    <row r="14" customFormat="false" ht="17.15" hidden="false" customHeight="false" outlineLevel="0" collapsed="false">
      <c r="A14" s="21" t="s">
        <v>1330</v>
      </c>
      <c r="B14" s="20" t="s">
        <v>1486</v>
      </c>
      <c r="C14" s="20" t="s">
        <v>1327</v>
      </c>
      <c r="D14" s="25" t="n">
        <f aca="false">Pipeline!D154+SUMPRODUCT($E$12:$M$12,Pipeline!$E$120:$M$120)</f>
        <v>0.630578355681972</v>
      </c>
      <c r="E14" s="25" t="n">
        <f aca="false">Pipeline!E154+SUMPRODUCT($E$12:$M$12,Pipeline!$E$121:$M$121)</f>
        <v>6.20938570515285</v>
      </c>
      <c r="F14" s="25" t="n">
        <f aca="false">Pipeline!F154+SUMPRODUCT($E$12:$M$12,Pipeline!$E$122:$M$122)</f>
        <v>25.3371433333333</v>
      </c>
      <c r="G14" s="25" t="n">
        <f aca="false">Pipeline!G154+SUMPRODUCT($E$12:$M$12,Pipeline!$E$123:$M$123)</f>
        <v>36.988055095226</v>
      </c>
      <c r="H14" s="25" t="n">
        <f aca="false">Pipeline!H154+SUMPRODUCT($E$12:$M$12,Pipeline!$E$124:$M$124)</f>
        <v>54.2999826167064</v>
      </c>
      <c r="I14" s="25" t="n">
        <f aca="false">Pipeline!I154+SUMPRODUCT($E$12:$M$12,Pipeline!$E$125:$M$125)</f>
        <v>76.8689852798931</v>
      </c>
      <c r="J14" s="25" t="n">
        <f aca="false">Pipeline!J154+SUMPRODUCT($E$12:$M$12,Pipeline!$E$126:$M$126)</f>
        <v>105.838147706324</v>
      </c>
      <c r="K14" s="25" t="n">
        <f aca="false">Pipeline!K154+SUMPRODUCT($E$12:$M$12,Pipeline!$E$127:$M$127)</f>
        <v>134.072217480901</v>
      </c>
      <c r="L14" s="25" t="n">
        <f aca="false">Pipeline!L154+SUMPRODUCT($E$12:$M$12,Pipeline!$E$128:$M$128)</f>
        <v>160.20244226809</v>
      </c>
      <c r="M14" s="25" t="n">
        <f aca="false">Pipeline!M154+SUMPRODUCT($E$12:$M$12,Pipeline!$E$129:$M$129)</f>
        <v>178.145510942176</v>
      </c>
    </row>
    <row r="15" customFormat="false" ht="17.15" hidden="false" customHeight="false" outlineLevel="0" collapsed="false">
      <c r="A15" s="21" t="s">
        <v>1330</v>
      </c>
      <c r="B15" s="20" t="s">
        <v>1486</v>
      </c>
      <c r="C15" s="20" t="s">
        <v>1328</v>
      </c>
      <c r="D15" s="25" t="n">
        <f aca="false">Pipeline!D155+SUMPRODUCT($E$12:$M$12,Pipeline!$E$132:$M$132)</f>
        <v>0.630578355681972</v>
      </c>
      <c r="E15" s="25" t="n">
        <f aca="false">Pipeline!E155+SUMPRODUCT($E$12:$M$12,Pipeline!$E$133:$M$133)</f>
        <v>6.20938570515285</v>
      </c>
      <c r="F15" s="25" t="n">
        <f aca="false">Pipeline!F155+SUMPRODUCT($E$12:$M$12,Pipeline!$E$134:$M$134)</f>
        <v>25.3371433333333</v>
      </c>
      <c r="G15" s="25" t="n">
        <f aca="false">Pipeline!G155+SUMPRODUCT($E$12:$M$12,Pipeline!$E$135:$M$135)</f>
        <v>36.988055095226</v>
      </c>
      <c r="H15" s="25" t="n">
        <f aca="false">Pipeline!H155+SUMPRODUCT($E$12:$M$12,Pipeline!$E$136:$M$136)</f>
        <v>47.6909154877809</v>
      </c>
      <c r="I15" s="25" t="n">
        <f aca="false">Pipeline!I155+SUMPRODUCT($E$12:$M$12,Pipeline!$E$137:$M$137)</f>
        <v>68.5611042146184</v>
      </c>
      <c r="J15" s="25" t="n">
        <f aca="false">Pipeline!J155+SUMPRODUCT($E$12:$M$12,Pipeline!$E$138:$M$138)</f>
        <v>103.364477210369</v>
      </c>
      <c r="K15" s="25" t="n">
        <f aca="false">Pipeline!K155+SUMPRODUCT($E$12:$M$12,Pipeline!$E$139:$M$139)</f>
        <v>134.072217480901</v>
      </c>
      <c r="L15" s="25" t="n">
        <f aca="false">Pipeline!L155+SUMPRODUCT($E$12:$M$12,Pipeline!$E$140:$M$140)</f>
        <v>160.20244226809</v>
      </c>
      <c r="M15" s="25" t="n">
        <f aca="false">Pipeline!M155+SUMPRODUCT($E$12:$M$12,Pipeline!$E$141:$M$141)</f>
        <v>178.145510942176</v>
      </c>
    </row>
    <row r="16" customFormat="false" ht="17.15" hidden="false" customHeight="false" outlineLevel="0" collapsed="false">
      <c r="A16" s="5" t="s">
        <v>1222</v>
      </c>
      <c r="B16" s="0" t="s">
        <v>1486</v>
      </c>
      <c r="C16" s="0" t="s">
        <v>1326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31.4948290638629</v>
      </c>
      <c r="H16" s="24" t="n">
        <f aca="false">(G13+H13)/2</f>
        <v>47.7311417574111</v>
      </c>
      <c r="I16" s="24" t="n">
        <f aca="false">(H13+I13)/2</f>
        <v>70.4584151201045</v>
      </c>
      <c r="J16" s="24" t="n">
        <f aca="false">(I13+J13)/2</f>
        <v>97.0727955722306</v>
      </c>
      <c r="K16" s="24" t="n">
        <f aca="false">(J13+K13)/2</f>
        <v>125.328825295118</v>
      </c>
      <c r="L16" s="24" t="n">
        <f aca="false">(K13+L13)/2</f>
        <v>152.093861148909</v>
      </c>
      <c r="M16" s="24" t="n">
        <f aca="false">(L13+M13)/2</f>
        <v>172.797031398878</v>
      </c>
    </row>
    <row r="17" customFormat="false" ht="17.15" hidden="false" customHeight="false" outlineLevel="0" collapsed="false">
      <c r="A17" s="5" t="s">
        <v>1222</v>
      </c>
      <c r="B17" s="0" t="s">
        <v>1486</v>
      </c>
      <c r="C17" s="0" t="s">
        <v>1327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31.1625992142797</v>
      </c>
      <c r="H17" s="24" t="n">
        <f aca="false">(G14+H14)/2</f>
        <v>45.6440188559662</v>
      </c>
      <c r="I17" s="24" t="n">
        <f aca="false">(H14+I14)/2</f>
        <v>65.5844839482998</v>
      </c>
      <c r="J17" s="24" t="n">
        <f aca="false">(I14+J14)/2</f>
        <v>91.3535664931085</v>
      </c>
      <c r="K17" s="24" t="n">
        <f aca="false">(J14+K14)/2</f>
        <v>119.955182593613</v>
      </c>
      <c r="L17" s="24" t="n">
        <f aca="false">(K14+L14)/2</f>
        <v>147.137329874496</v>
      </c>
      <c r="M17" s="24" t="n">
        <f aca="false">(L14+M14)/2</f>
        <v>169.173976605133</v>
      </c>
    </row>
    <row r="18" customFormat="false" ht="17.15" hidden="false" customHeight="false" outlineLevel="0" collapsed="false">
      <c r="A18" s="5" t="s">
        <v>1222</v>
      </c>
      <c r="B18" s="0" t="s">
        <v>1486</v>
      </c>
      <c r="C18" s="0" t="s">
        <v>1328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31.1625992142797</v>
      </c>
      <c r="H18" s="24" t="n">
        <f aca="false">(G15+H15)/2</f>
        <v>42.3394852915034</v>
      </c>
      <c r="I18" s="24" t="n">
        <f aca="false">(H15+I15)/2</f>
        <v>58.1260098511997</v>
      </c>
      <c r="J18" s="24" t="n">
        <f aca="false">(I15+J15)/2</f>
        <v>85.9627907124939</v>
      </c>
      <c r="K18" s="24" t="n">
        <f aca="false">(J15+K15)/2</f>
        <v>118.718347345635</v>
      </c>
      <c r="L18" s="24" t="n">
        <f aca="false">(K15+L15)/2</f>
        <v>147.137329874496</v>
      </c>
      <c r="M18" s="24" t="n">
        <f aca="false">(L15+M15)/2</f>
        <v>169.173976605133</v>
      </c>
    </row>
    <row r="19" customFormat="false" ht="17.15" hidden="false" customHeight="false" outlineLevel="0" collapsed="false">
      <c r="A19" s="5" t="s">
        <v>1331</v>
      </c>
      <c r="B19" s="0" t="s">
        <v>1486</v>
      </c>
      <c r="C19" s="0" t="s">
        <v>1326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9.04912429484715</v>
      </c>
      <c r="G19" s="24" t="n">
        <f aca="false">G13-F13-G$6</f>
        <v>12.3153714610592</v>
      </c>
      <c r="H19" s="24" t="n">
        <f aca="false">H13-G13-H$6</f>
        <v>20.1572539260371</v>
      </c>
      <c r="I19" s="24" t="n">
        <f aca="false">I13-H13-I$6</f>
        <v>25.2972927993498</v>
      </c>
      <c r="J19" s="24" t="n">
        <f aca="false">J13-I13-J$6</f>
        <v>27.9314681049025</v>
      </c>
      <c r="K19" s="24" t="n">
        <f aca="false">K13-J13-K$6</f>
        <v>28.580591340872</v>
      </c>
      <c r="L19" s="24" t="n">
        <f aca="false">L13-K13-L$6</f>
        <v>24.9494803667106</v>
      </c>
      <c r="M19" s="24" t="n">
        <f aca="false">M13-L13-M$6</f>
        <v>16.4568601332265</v>
      </c>
    </row>
    <row r="20" customFormat="false" ht="17.15" hidden="false" customHeight="false" outlineLevel="0" collapsed="false">
      <c r="A20" s="5" t="s">
        <v>1331</v>
      </c>
      <c r="B20" s="0" t="s">
        <v>1486</v>
      </c>
      <c r="C20" s="0" t="s">
        <v>1327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9.04912429484715</v>
      </c>
      <c r="G20" s="24" t="n">
        <f aca="false">G14-F14-G$6</f>
        <v>11.6509117618926</v>
      </c>
      <c r="H20" s="24" t="n">
        <f aca="false">H14-G14-H$6</f>
        <v>17.3119275214805</v>
      </c>
      <c r="I20" s="24" t="n">
        <f aca="false">I14-H14-I$6</f>
        <v>22.5690026631867</v>
      </c>
      <c r="J20" s="24" t="n">
        <f aca="false">J14-I14-J$6</f>
        <v>28.9691624264308</v>
      </c>
      <c r="K20" s="24" t="n">
        <f aca="false">K14-J14-K$6</f>
        <v>28.2340697745774</v>
      </c>
      <c r="L20" s="24" t="n">
        <f aca="false">L14-K14-L$6</f>
        <v>26.1302247871889</v>
      </c>
      <c r="M20" s="24" t="n">
        <f aca="false">M14-L14-M$6</f>
        <v>17.9430686740862</v>
      </c>
    </row>
    <row r="21" customFormat="false" ht="17.15" hidden="false" customHeight="false" outlineLevel="0" collapsed="false">
      <c r="A21" s="5" t="s">
        <v>1331</v>
      </c>
      <c r="B21" s="0" t="s">
        <v>1486</v>
      </c>
      <c r="C21" s="0" t="s">
        <v>1328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9.04912429484715</v>
      </c>
      <c r="G21" s="24" t="n">
        <f aca="false">G15-F15-G$6</f>
        <v>11.6509117618926</v>
      </c>
      <c r="H21" s="24" t="n">
        <f aca="false">H15-G15-H$6</f>
        <v>10.7028603925549</v>
      </c>
      <c r="I21" s="24" t="n">
        <f aca="false">I15-H15-I$6</f>
        <v>20.8701887268376</v>
      </c>
      <c r="J21" s="24" t="n">
        <f aca="false">J15-I15-J$6</f>
        <v>34.803372995751</v>
      </c>
      <c r="K21" s="24" t="n">
        <f aca="false">K15-J15-K$6</f>
        <v>30.7077402705319</v>
      </c>
      <c r="L21" s="24" t="n">
        <f aca="false">L15-K15-L$6</f>
        <v>26.1302247871889</v>
      </c>
      <c r="M21" s="24" t="n">
        <f aca="false">M15-L15-M$6</f>
        <v>17.9430686740862</v>
      </c>
    </row>
    <row r="22" customFormat="false" ht="17.15" hidden="false" customHeight="false" outlineLevel="0" collapsed="false">
      <c r="A22" s="5" t="s">
        <v>1332</v>
      </c>
      <c r="B22" s="0" t="s">
        <v>1486</v>
      </c>
      <c r="C22" s="0" t="s">
        <v>1327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0.66445969916655</v>
      </c>
      <c r="H22" s="24" t="n">
        <f aca="false">H13-H14</f>
        <v>3.50978610372314</v>
      </c>
      <c r="I22" s="24" t="n">
        <f aca="false">I13-I14</f>
        <v>6.23807623988623</v>
      </c>
      <c r="J22" s="24" t="n">
        <f aca="false">J13-J14</f>
        <v>5.20038191835795</v>
      </c>
      <c r="K22" s="24" t="n">
        <f aca="false">K13-K14</f>
        <v>5.5469034846526</v>
      </c>
      <c r="L22" s="24" t="n">
        <f aca="false">L13-L14</f>
        <v>4.36615906417435</v>
      </c>
      <c r="M22" s="24" t="n">
        <f aca="false">M13-M14</f>
        <v>2.87995052331465</v>
      </c>
    </row>
    <row r="23" customFormat="false" ht="17.15" hidden="false" customHeight="false" outlineLevel="0" collapsed="false">
      <c r="A23" s="5" t="s">
        <v>1332</v>
      </c>
      <c r="B23" s="0" t="s">
        <v>1486</v>
      </c>
      <c r="C23" s="0" t="s">
        <v>1328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0.66445969916655</v>
      </c>
      <c r="H23" s="24" t="n">
        <f aca="false">H13-H15</f>
        <v>10.1188532326487</v>
      </c>
      <c r="I23" s="24" t="n">
        <f aca="false">I13-I15</f>
        <v>14.5459573051609</v>
      </c>
      <c r="J23" s="24" t="n">
        <f aca="false">J13-J15</f>
        <v>7.67405241431243</v>
      </c>
      <c r="K23" s="24" t="n">
        <f aca="false">K13-K15</f>
        <v>5.5469034846526</v>
      </c>
      <c r="L23" s="24" t="n">
        <f aca="false">L13-L15</f>
        <v>4.36615906417435</v>
      </c>
      <c r="M23" s="24" t="n">
        <f aca="false">M13-M15</f>
        <v>2.87995052331465</v>
      </c>
    </row>
    <row r="25" customFormat="false" ht="17.15" hidden="false" customHeight="false" outlineLevel="0" collapsed="false">
      <c r="A25" s="21" t="s">
        <v>1489</v>
      </c>
    </row>
    <row r="26" customFormat="false" ht="17.15" hidden="false" customHeight="false" outlineLevel="0" collapsed="false">
      <c r="A26" s="5" t="s">
        <v>1485</v>
      </c>
      <c r="B26" s="0" t="s">
        <v>1490</v>
      </c>
      <c r="C26" s="0" t="s">
        <v>1326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9.04912429484715</v>
      </c>
      <c r="G26" s="24" t="n">
        <f aca="false">(G$4+G$5)</f>
        <v>12.3153714610592</v>
      </c>
      <c r="H26" s="24" t="n">
        <f aca="false">(H$4+H$5)</f>
        <v>20.1572539260371</v>
      </c>
      <c r="I26" s="24" t="n">
        <f aca="false">(I$4+I$5)*SIL_In!$I$28</f>
        <v>20.2378342394798</v>
      </c>
      <c r="J26" s="24" t="n">
        <f aca="false">(J$4+J$5)*SIL_In!$J$28</f>
        <v>23.7417478891671</v>
      </c>
      <c r="K26" s="24" t="n">
        <f aca="false">(Pipeline!J153+SUM($E$28:J28))*K27</f>
        <v>24.0355692421623</v>
      </c>
      <c r="L26" s="24" t="n">
        <f aca="false">(Pipeline!K153+SUM($E$28:K28))*L27</f>
        <v>21.1467959909579</v>
      </c>
      <c r="M26" s="24" t="n">
        <f aca="false">(Pipeline!L153+SUM($E$28:L28))*M27</f>
        <v>14.6971716082197</v>
      </c>
    </row>
    <row r="27" customFormat="false" ht="17.15" hidden="false" customHeight="false" outlineLevel="0" collapsed="false">
      <c r="A27" s="5" t="s">
        <v>1487</v>
      </c>
      <c r="B27" s="0" t="s">
        <v>1490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IFERROR(J26/(Pipeline!I153+SUM($E$28:I28)),g_lt)</f>
        <v>0.304195734254164</v>
      </c>
      <c r="K27" s="23" t="n">
        <f aca="false">$J$27+(g_lt-$J$27)*(2030-2029)/3</f>
        <v>0.236130489502776</v>
      </c>
      <c r="L27" s="23" t="n">
        <f aca="false">$J$27+(g_lt-$J$27)*(2031-2029)/3</f>
        <v>0.168065244751388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1488</v>
      </c>
      <c r="B28" s="0" t="s">
        <v>1490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14.6696088015299</v>
      </c>
      <c r="I28" s="24" t="n">
        <f aca="false">I26-I$4</f>
        <v>3.64978684523744</v>
      </c>
      <c r="J28" s="24" t="n">
        <f aca="false">J26-J$4</f>
        <v>17.8067265581697</v>
      </c>
      <c r="K28" s="24" t="n">
        <f aca="false">K26-K$4</f>
        <v>16.3935142201144</v>
      </c>
      <c r="L28" s="24" t="n">
        <f aca="false">L26-L$4</f>
        <v>18.9929498371117</v>
      </c>
      <c r="M28" s="24" t="n">
        <f aca="false">M26-M$4</f>
        <v>12.3279408389889</v>
      </c>
    </row>
    <row r="29" customFormat="false" ht="17.15" hidden="false" customHeight="false" outlineLevel="0" collapsed="false">
      <c r="A29" s="21" t="s">
        <v>1330</v>
      </c>
      <c r="B29" s="20" t="s">
        <v>1490</v>
      </c>
      <c r="C29" s="20" t="s">
        <v>1326</v>
      </c>
      <c r="D29" s="25" t="n">
        <f aca="false">Pipeline!D153+SUMPRODUCT($E$28:$M$28,Pipeline!$E$108:$M$108)</f>
        <v>0.630578355681972</v>
      </c>
      <c r="E29" s="25" t="n">
        <f aca="false">Pipeline!E153+SUMPRODUCT($E$28:$M$28,Pipeline!$E$109:$M$109)</f>
        <v>6.20938570515285</v>
      </c>
      <c r="F29" s="25" t="n">
        <f aca="false">Pipeline!F153+SUMPRODUCT($E$28:$M$28,Pipeline!$E$110:$M$110)</f>
        <v>25.3371433333333</v>
      </c>
      <c r="G29" s="25" t="n">
        <f aca="false">Pipeline!G153+SUMPRODUCT($E$28:$M$28,Pipeline!$E$111:$M$111)</f>
        <v>37.6525147943925</v>
      </c>
      <c r="H29" s="25" t="n">
        <f aca="false">Pipeline!H153+SUMPRODUCT($E$28:$M$28,Pipeline!$E$112:$M$112)</f>
        <v>57.8097687204296</v>
      </c>
      <c r="I29" s="25" t="n">
        <f aca="false">Pipeline!I153+SUMPRODUCT($E$28:$M$28,Pipeline!$E$113:$M$113)</f>
        <v>78.0476029599094</v>
      </c>
      <c r="J29" s="25" t="n">
        <f aca="false">Pipeline!J153+SUMPRODUCT($E$28:$M$28,Pipeline!$E$114:$M$114)</f>
        <v>101.789350849077</v>
      </c>
      <c r="K29" s="25" t="n">
        <f aca="false">Pipeline!K153+SUMPRODUCT($E$28:$M$28,Pipeline!$E$115:$M$115)</f>
        <v>125.824920091239</v>
      </c>
      <c r="L29" s="25" t="n">
        <f aca="false">Pipeline!L153+SUMPRODUCT($E$28:$M$28,Pipeline!$E$116:$M$116)</f>
        <v>146.971716082197</v>
      </c>
      <c r="M29" s="25" t="n">
        <f aca="false">Pipeline!M153+SUMPRODUCT($E$28:$M$28,Pipeline!$E$117:$M$117)</f>
        <v>161.668887690416</v>
      </c>
    </row>
    <row r="30" customFormat="false" ht="17.15" hidden="false" customHeight="false" outlineLevel="0" collapsed="false">
      <c r="A30" s="21" t="s">
        <v>1330</v>
      </c>
      <c r="B30" s="20" t="s">
        <v>1490</v>
      </c>
      <c r="C30" s="20" t="s">
        <v>1327</v>
      </c>
      <c r="D30" s="25" t="n">
        <f aca="false">Pipeline!D154+SUMPRODUCT($E$28:$M$28,Pipeline!$E$120:$M$120)</f>
        <v>0.630578355681972</v>
      </c>
      <c r="E30" s="25" t="n">
        <f aca="false">Pipeline!E154+SUMPRODUCT($E$28:$M$28,Pipeline!$E$121:$M$121)</f>
        <v>6.20938570515285</v>
      </c>
      <c r="F30" s="25" t="n">
        <f aca="false">Pipeline!F154+SUMPRODUCT($E$28:$M$28,Pipeline!$E$122:$M$122)</f>
        <v>25.3371433333333</v>
      </c>
      <c r="G30" s="25" t="n">
        <f aca="false">Pipeline!G154+SUMPRODUCT($E$28:$M$28,Pipeline!$E$123:$M$123)</f>
        <v>36.988055095226</v>
      </c>
      <c r="H30" s="25" t="n">
        <f aca="false">Pipeline!H154+SUMPRODUCT($E$28:$M$28,Pipeline!$E$124:$M$124)</f>
        <v>54.2999826167064</v>
      </c>
      <c r="I30" s="25" t="n">
        <f aca="false">Pipeline!I154+SUMPRODUCT($E$28:$M$28,Pipeline!$E$125:$M$125)</f>
        <v>72.6949319680004</v>
      </c>
      <c r="J30" s="25" t="n">
        <f aca="false">Pipeline!J154+SUMPRODUCT($E$28:$M$28,Pipeline!$E$126:$M$126)</f>
        <v>97.3221699684723</v>
      </c>
      <c r="K30" s="25" t="n">
        <f aca="false">Pipeline!K154+SUMPRODUCT($E$28:$M$28,Pipeline!$E$127:$M$127)</f>
        <v>121.07339547386</v>
      </c>
      <c r="L30" s="25" t="n">
        <f aca="false">Pipeline!L154+SUMPRODUCT($E$28:$M$28,Pipeline!$E$128:$M$128)</f>
        <v>143.271026783779</v>
      </c>
      <c r="M30" s="25" t="n">
        <f aca="false">Pipeline!M154+SUMPRODUCT($E$28:$M$28,Pipeline!$E$129:$M$129)</f>
        <v>159.096882658978</v>
      </c>
    </row>
    <row r="31" customFormat="false" ht="17.15" hidden="false" customHeight="false" outlineLevel="0" collapsed="false">
      <c r="A31" s="21" t="s">
        <v>1330</v>
      </c>
      <c r="B31" s="20" t="s">
        <v>1490</v>
      </c>
      <c r="C31" s="20" t="s">
        <v>1328</v>
      </c>
      <c r="D31" s="25" t="n">
        <f aca="false">Pipeline!D155+SUMPRODUCT($E$28:$M$28,Pipeline!$E$132:$M$132)</f>
        <v>0.630578355681972</v>
      </c>
      <c r="E31" s="25" t="n">
        <f aca="false">Pipeline!E155+SUMPRODUCT($E$28:$M$28,Pipeline!$E$133:$M$133)</f>
        <v>6.20938570515285</v>
      </c>
      <c r="F31" s="25" t="n">
        <f aca="false">Pipeline!F155+SUMPRODUCT($E$28:$M$28,Pipeline!$E$134:$M$134)</f>
        <v>25.3371433333333</v>
      </c>
      <c r="G31" s="25" t="n">
        <f aca="false">Pipeline!G155+SUMPRODUCT($E$28:$M$28,Pipeline!$E$135:$M$135)</f>
        <v>36.988055095226</v>
      </c>
      <c r="H31" s="25" t="n">
        <f aca="false">Pipeline!H155+SUMPRODUCT($E$28:$M$28,Pipeline!$E$136:$M$136)</f>
        <v>47.6909154877809</v>
      </c>
      <c r="I31" s="25" t="n">
        <f aca="false">Pipeline!I155+SUMPRODUCT($E$28:$M$28,Pipeline!$E$137:$M$137)</f>
        <v>66.0566722274828</v>
      </c>
      <c r="J31" s="25" t="n">
        <f aca="false">Pipeline!J155+SUMPRODUCT($E$28:$M$28,Pipeline!$E$138:$M$138)</f>
        <v>95.2026615717087</v>
      </c>
      <c r="K31" s="25" t="n">
        <f aca="false">Pipeline!K155+SUMPRODUCT($E$28:$M$28,Pipeline!$E$139:$M$139)</f>
        <v>121.07339547386</v>
      </c>
      <c r="L31" s="25" t="n">
        <f aca="false">Pipeline!L155+SUMPRODUCT($E$28:$M$28,Pipeline!$E$140:$M$140)</f>
        <v>143.271026783779</v>
      </c>
      <c r="M31" s="25" t="n">
        <f aca="false">Pipeline!M155+SUMPRODUCT($E$28:$M$28,Pipeline!$E$141:$M$141)</f>
        <v>159.096882658978</v>
      </c>
    </row>
    <row r="32" customFormat="false" ht="17.15" hidden="false" customHeight="false" outlineLevel="0" collapsed="false">
      <c r="A32" s="5" t="s">
        <v>1222</v>
      </c>
      <c r="B32" s="0" t="s">
        <v>1490</v>
      </c>
      <c r="C32" s="0" t="s">
        <v>1326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31.4948290638629</v>
      </c>
      <c r="H32" s="24" t="n">
        <f aca="false">(G29+H29)/2</f>
        <v>47.7311417574111</v>
      </c>
      <c r="I32" s="24" t="n">
        <f aca="false">(H29+I29)/2</f>
        <v>67.9286858401695</v>
      </c>
      <c r="J32" s="24" t="n">
        <f aca="false">(I29+J29)/2</f>
        <v>89.9184769044929</v>
      </c>
      <c r="K32" s="24" t="n">
        <f aca="false">(J29+K29)/2</f>
        <v>113.807135470158</v>
      </c>
      <c r="L32" s="24" t="n">
        <f aca="false">(K29+L29)/2</f>
        <v>136.398318086718</v>
      </c>
      <c r="M32" s="24" t="n">
        <f aca="false">(L29+M29)/2</f>
        <v>154.320301886307</v>
      </c>
    </row>
    <row r="33" customFormat="false" ht="17.15" hidden="false" customHeight="false" outlineLevel="0" collapsed="false">
      <c r="A33" s="5" t="s">
        <v>1222</v>
      </c>
      <c r="B33" s="0" t="s">
        <v>1490</v>
      </c>
      <c r="C33" s="0" t="s">
        <v>1327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31.1625992142797</v>
      </c>
      <c r="H33" s="24" t="n">
        <f aca="false">(G30+H30)/2</f>
        <v>45.6440188559662</v>
      </c>
      <c r="I33" s="24" t="n">
        <f aca="false">(H30+I30)/2</f>
        <v>63.4974572923534</v>
      </c>
      <c r="J33" s="24" t="n">
        <f aca="false">(I30+J30)/2</f>
        <v>85.0085509682363</v>
      </c>
      <c r="K33" s="24" t="n">
        <f aca="false">(J30+K30)/2</f>
        <v>109.197782721166</v>
      </c>
      <c r="L33" s="24" t="n">
        <f aca="false">(K30+L30)/2</f>
        <v>132.17221112882</v>
      </c>
      <c r="M33" s="24" t="n">
        <f aca="false">(L30+M30)/2</f>
        <v>151.183954721378</v>
      </c>
    </row>
    <row r="34" customFormat="false" ht="17.15" hidden="false" customHeight="false" outlineLevel="0" collapsed="false">
      <c r="A34" s="5" t="s">
        <v>1222</v>
      </c>
      <c r="B34" s="0" t="s">
        <v>1490</v>
      </c>
      <c r="C34" s="0" t="s">
        <v>1328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31.1625992142797</v>
      </c>
      <c r="H34" s="24" t="n">
        <f aca="false">(G31+H31)/2</f>
        <v>42.3394852915034</v>
      </c>
      <c r="I34" s="24" t="n">
        <f aca="false">(H31+I31)/2</f>
        <v>56.8737938576318</v>
      </c>
      <c r="J34" s="24" t="n">
        <f aca="false">(I31+J31)/2</f>
        <v>80.6296668995958</v>
      </c>
      <c r="K34" s="24" t="n">
        <f aca="false">(J31+K31)/2</f>
        <v>108.138028522785</v>
      </c>
      <c r="L34" s="24" t="n">
        <f aca="false">(K31+L31)/2</f>
        <v>132.17221112882</v>
      </c>
      <c r="M34" s="24" t="n">
        <f aca="false">(L31+M31)/2</f>
        <v>151.183954721378</v>
      </c>
    </row>
    <row r="35" customFormat="false" ht="17.15" hidden="false" customHeight="false" outlineLevel="0" collapsed="false">
      <c r="A35" s="5" t="s">
        <v>1331</v>
      </c>
      <c r="B35" s="0" t="s">
        <v>1490</v>
      </c>
      <c r="C35" s="0" t="s">
        <v>1326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9.04912429484715</v>
      </c>
      <c r="G35" s="24" t="n">
        <f aca="false">G29-F29-G$6</f>
        <v>12.3153714610592</v>
      </c>
      <c r="H35" s="24" t="n">
        <f aca="false">H29-G29-H$6</f>
        <v>20.1572539260371</v>
      </c>
      <c r="I35" s="24" t="n">
        <f aca="false">I29-H29-I$6</f>
        <v>20.2378342394798</v>
      </c>
      <c r="J35" s="24" t="n">
        <f aca="false">J29-I29-J$6</f>
        <v>23.7417478891671</v>
      </c>
      <c r="K35" s="24" t="n">
        <f aca="false">K29-J29-K$6</f>
        <v>24.0355692421623</v>
      </c>
      <c r="L35" s="24" t="n">
        <f aca="false">L29-K29-L$6</f>
        <v>21.1467959909579</v>
      </c>
      <c r="M35" s="24" t="n">
        <f aca="false">M29-L29-M$6</f>
        <v>14.6971716082197</v>
      </c>
    </row>
    <row r="36" customFormat="false" ht="17.15" hidden="false" customHeight="false" outlineLevel="0" collapsed="false">
      <c r="A36" s="5" t="s">
        <v>1331</v>
      </c>
      <c r="B36" s="0" t="s">
        <v>1490</v>
      </c>
      <c r="C36" s="0" t="s">
        <v>1327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9.04912429484715</v>
      </c>
      <c r="G36" s="24" t="n">
        <f aca="false">G30-F30-G$6</f>
        <v>11.6509117618926</v>
      </c>
      <c r="H36" s="24" t="n">
        <f aca="false">H30-G30-H$6</f>
        <v>17.3119275214805</v>
      </c>
      <c r="I36" s="24" t="n">
        <f aca="false">I30-H30-I$6</f>
        <v>18.394949351294</v>
      </c>
      <c r="J36" s="24" t="n">
        <f aca="false">J30-I30-J$6</f>
        <v>24.6272380004719</v>
      </c>
      <c r="K36" s="24" t="n">
        <f aca="false">K30-J30-K$6</f>
        <v>23.7512255053881</v>
      </c>
      <c r="L36" s="24" t="n">
        <f aca="false">L30-K30-L$6</f>
        <v>22.1976313099187</v>
      </c>
      <c r="M36" s="24" t="n">
        <f aca="false">M30-L30-M$6</f>
        <v>15.8258558751989</v>
      </c>
    </row>
    <row r="37" customFormat="false" ht="17.15" hidden="false" customHeight="false" outlineLevel="0" collapsed="false">
      <c r="A37" s="5" t="s">
        <v>1331</v>
      </c>
      <c r="B37" s="0" t="s">
        <v>1490</v>
      </c>
      <c r="C37" s="0" t="s">
        <v>1328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9.04912429484715</v>
      </c>
      <c r="G37" s="24" t="n">
        <f aca="false">G31-F31-G$6</f>
        <v>11.6509117618926</v>
      </c>
      <c r="H37" s="24" t="n">
        <f aca="false">H31-G31-H$6</f>
        <v>10.7028603925549</v>
      </c>
      <c r="I37" s="24" t="n">
        <f aca="false">I31-H31-I$6</f>
        <v>18.365756739702</v>
      </c>
      <c r="J37" s="24" t="n">
        <f aca="false">J31-I31-J$6</f>
        <v>29.1459893442258</v>
      </c>
      <c r="K37" s="24" t="n">
        <f aca="false">K31-J31-K$6</f>
        <v>25.8707339021517</v>
      </c>
      <c r="L37" s="24" t="n">
        <f aca="false">L31-K31-L$6</f>
        <v>22.1976313099187</v>
      </c>
      <c r="M37" s="24" t="n">
        <f aca="false">M31-L31-M$6</f>
        <v>15.8258558751989</v>
      </c>
    </row>
    <row r="38" customFormat="false" ht="17.15" hidden="false" customHeight="false" outlineLevel="0" collapsed="false">
      <c r="A38" s="5" t="s">
        <v>1332</v>
      </c>
      <c r="B38" s="0" t="s">
        <v>1490</v>
      </c>
      <c r="C38" s="0" t="s">
        <v>1327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0.66445969916655</v>
      </c>
      <c r="H38" s="24" t="n">
        <f aca="false">H29-H30</f>
        <v>3.50978610372314</v>
      </c>
      <c r="I38" s="24" t="n">
        <f aca="false">I29-I30</f>
        <v>5.35267099190898</v>
      </c>
      <c r="J38" s="24" t="n">
        <f aca="false">J29-J30</f>
        <v>4.46718088060425</v>
      </c>
      <c r="K38" s="24" t="n">
        <f aca="false">K29-K30</f>
        <v>4.75152461737838</v>
      </c>
      <c r="L38" s="24" t="n">
        <f aca="false">L29-L30</f>
        <v>3.70068929841764</v>
      </c>
      <c r="M38" s="24" t="n">
        <f aca="false">M29-M30</f>
        <v>2.57200503143844</v>
      </c>
    </row>
    <row r="39" customFormat="false" ht="17.15" hidden="false" customHeight="false" outlineLevel="0" collapsed="false">
      <c r="A39" s="5" t="s">
        <v>1332</v>
      </c>
      <c r="B39" s="0" t="s">
        <v>1490</v>
      </c>
      <c r="C39" s="0" t="s">
        <v>1328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0.66445969916655</v>
      </c>
      <c r="H39" s="24" t="n">
        <f aca="false">H29-H31</f>
        <v>10.1188532326487</v>
      </c>
      <c r="I39" s="24" t="n">
        <f aca="false">I29-I31</f>
        <v>11.9909307324266</v>
      </c>
      <c r="J39" s="24" t="n">
        <f aca="false">J29-J31</f>
        <v>6.58668927736784</v>
      </c>
      <c r="K39" s="24" t="n">
        <f aca="false">K29-K31</f>
        <v>4.75152461737838</v>
      </c>
      <c r="L39" s="24" t="n">
        <f aca="false">L29-L31</f>
        <v>3.70068929841764</v>
      </c>
      <c r="M39" s="24" t="n">
        <f aca="false">M29-M31</f>
        <v>2.57200503143844</v>
      </c>
    </row>
    <row r="41" customFormat="false" ht="17.15" hidden="false" customHeight="false" outlineLevel="0" collapsed="false">
      <c r="A41" s="21" t="s">
        <v>1491</v>
      </c>
    </row>
    <row r="42" customFormat="false" ht="17.15" hidden="false" customHeight="false" outlineLevel="0" collapsed="false">
      <c r="A42" s="5" t="s">
        <v>1485</v>
      </c>
      <c r="B42" s="0" t="s">
        <v>1492</v>
      </c>
      <c r="C42" s="0" t="s">
        <v>1326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9.04912429484715</v>
      </c>
      <c r="G42" s="24" t="n">
        <f aca="false">(G$4+G$5)</f>
        <v>12.3153714610592</v>
      </c>
      <c r="H42" s="24" t="n">
        <f aca="false">(H$4+H$5)</f>
        <v>20.1572539260371</v>
      </c>
      <c r="I42" s="24" t="n">
        <f aca="false">(I$4+I$5)*SIL_In!$I$29</f>
        <v>15.1783756796099</v>
      </c>
      <c r="J42" s="24" t="n">
        <f aca="false">(J$4+J$5)*SIL_In!$J$29</f>
        <v>16.7588808629415</v>
      </c>
      <c r="K42" s="24" t="n">
        <f aca="false">(Pipeline!J153+SUM($E$44:J44))*K43</f>
        <v>16.7295036859268</v>
      </c>
      <c r="L42" s="24" t="n">
        <f aca="false">(Pipeline!K153+SUM($E$44:K44))*L43</f>
        <v>15.2478293784383</v>
      </c>
      <c r="M42" s="24" t="n">
        <f aca="false">(Pipeline!L153+SUM($E$44:L44))*M43</f>
        <v>12.1724358327346</v>
      </c>
    </row>
    <row r="43" customFormat="false" ht="17.15" hidden="false" customHeight="false" outlineLevel="0" collapsed="false">
      <c r="A43" s="5" t="s">
        <v>1487</v>
      </c>
      <c r="B43" s="0" t="s">
        <v>1492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IFERROR(J42/(Pipeline!I153+SUM($E$44:I44)),g_lt)</f>
        <v>0.229611000535759</v>
      </c>
      <c r="K43" s="23" t="n">
        <f aca="false">$J$43+(g_lt-$J$43)*(2030-2029)/3</f>
        <v>0.186407333690506</v>
      </c>
      <c r="L43" s="23" t="n">
        <f aca="false">$J$43+(g_lt-$J$43)*(2031-2029)/3</f>
        <v>0.143203666845253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1488</v>
      </c>
      <c r="B44" s="0" t="s">
        <v>1492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14.6696088015299</v>
      </c>
      <c r="I44" s="24" t="n">
        <f aca="false">I42-I$4</f>
        <v>-1.40967171463251</v>
      </c>
      <c r="J44" s="24" t="n">
        <f aca="false">J42-J$4</f>
        <v>10.823859531944</v>
      </c>
      <c r="K44" s="24" t="n">
        <f aca="false">K42-K$4</f>
        <v>9.08744866387885</v>
      </c>
      <c r="L44" s="24" t="n">
        <f aca="false">L42-L$4</f>
        <v>13.0939832245922</v>
      </c>
      <c r="M44" s="24" t="n">
        <f aca="false">M42-M$4</f>
        <v>9.80320506350382</v>
      </c>
    </row>
    <row r="45" customFormat="false" ht="17.15" hidden="false" customHeight="false" outlineLevel="0" collapsed="false">
      <c r="A45" s="21" t="s">
        <v>1330</v>
      </c>
      <c r="B45" s="20" t="s">
        <v>1492</v>
      </c>
      <c r="C45" s="20" t="s">
        <v>1326</v>
      </c>
      <c r="D45" s="25" t="n">
        <f aca="false">Pipeline!D153+SUMPRODUCT($E$44:$M$44,Pipeline!$E$108:$M$108)</f>
        <v>0.630578355681972</v>
      </c>
      <c r="E45" s="25" t="n">
        <f aca="false">Pipeline!E153+SUMPRODUCT($E$44:$M$44,Pipeline!$E$109:$M$109)</f>
        <v>6.20938570515285</v>
      </c>
      <c r="F45" s="25" t="n">
        <f aca="false">Pipeline!F153+SUMPRODUCT($E$44:$M$44,Pipeline!$E$110:$M$110)</f>
        <v>25.3371433333333</v>
      </c>
      <c r="G45" s="25" t="n">
        <f aca="false">Pipeline!G153+SUMPRODUCT($E$44:$M$44,Pipeline!$E$111:$M$111)</f>
        <v>37.6525147943925</v>
      </c>
      <c r="H45" s="25" t="n">
        <f aca="false">Pipeline!H153+SUMPRODUCT($E$44:$M$44,Pipeline!$E$112:$M$112)</f>
        <v>57.8097687204296</v>
      </c>
      <c r="I45" s="25" t="n">
        <f aca="false">Pipeline!I153+SUMPRODUCT($E$44:$M$44,Pipeline!$E$113:$M$113)</f>
        <v>72.9881444000394</v>
      </c>
      <c r="J45" s="25" t="n">
        <f aca="false">Pipeline!J153+SUMPRODUCT($E$44:$M$44,Pipeline!$E$114:$M$114)</f>
        <v>89.7470252629809</v>
      </c>
      <c r="K45" s="25" t="n">
        <f aca="false">Pipeline!K153+SUMPRODUCT($E$44:$M$44,Pipeline!$E$115:$M$115)</f>
        <v>106.476528948908</v>
      </c>
      <c r="L45" s="25" t="n">
        <f aca="false">Pipeline!L153+SUMPRODUCT($E$44:$M$44,Pipeline!$E$116:$M$116)</f>
        <v>121.724358327346</v>
      </c>
      <c r="M45" s="25" t="n">
        <f aca="false">Pipeline!M153+SUMPRODUCT($E$44:$M$44,Pipeline!$E$117:$M$117)</f>
        <v>133.896794160081</v>
      </c>
    </row>
    <row r="46" customFormat="false" ht="17.15" hidden="false" customHeight="false" outlineLevel="0" collapsed="false">
      <c r="A46" s="21" t="s">
        <v>1330</v>
      </c>
      <c r="B46" s="20" t="s">
        <v>1492</v>
      </c>
      <c r="C46" s="20" t="s">
        <v>1327</v>
      </c>
      <c r="D46" s="25" t="n">
        <f aca="false">Pipeline!D154+SUMPRODUCT($E$44:$M$44,Pipeline!$E$120:$M$120)</f>
        <v>0.630578355681972</v>
      </c>
      <c r="E46" s="25" t="n">
        <f aca="false">Pipeline!E154+SUMPRODUCT($E$44:$M$44,Pipeline!$E$121:$M$121)</f>
        <v>6.20938570515285</v>
      </c>
      <c r="F46" s="25" t="n">
        <f aca="false">Pipeline!F154+SUMPRODUCT($E$44:$M$44,Pipeline!$E$122:$M$122)</f>
        <v>25.3371433333333</v>
      </c>
      <c r="G46" s="25" t="n">
        <f aca="false">Pipeline!G154+SUMPRODUCT($E$44:$M$44,Pipeline!$E$123:$M$123)</f>
        <v>36.988055095226</v>
      </c>
      <c r="H46" s="25" t="n">
        <f aca="false">Pipeline!H154+SUMPRODUCT($E$44:$M$44,Pipeline!$E$124:$M$124)</f>
        <v>54.2999826167064</v>
      </c>
      <c r="I46" s="25" t="n">
        <f aca="false">Pipeline!I154+SUMPRODUCT($E$44:$M$44,Pipeline!$E$125:$M$125)</f>
        <v>68.5208786561077</v>
      </c>
      <c r="J46" s="25" t="n">
        <f aca="false">Pipeline!J154+SUMPRODUCT($E$44:$M$44,Pipeline!$E$126:$M$126)</f>
        <v>86.5018461119662</v>
      </c>
      <c r="K46" s="25" t="n">
        <f aca="false">Pipeline!K154+SUMPRODUCT($E$44:$M$44,Pipeline!$E$127:$M$127)</f>
        <v>103.003565803871</v>
      </c>
      <c r="L46" s="25" t="n">
        <f aca="false">Pipeline!L154+SUMPRODUCT($E$44:$M$44,Pipeline!$E$128:$M$128)</f>
        <v>119.055988186119</v>
      </c>
      <c r="M46" s="25" t="n">
        <f aca="false">Pipeline!M154+SUMPRODUCT($E$44:$M$44,Pipeline!$E$129:$M$129)</f>
        <v>131.766617889352</v>
      </c>
    </row>
    <row r="47" customFormat="false" ht="17.15" hidden="false" customHeight="false" outlineLevel="0" collapsed="false">
      <c r="A47" s="21" t="s">
        <v>1330</v>
      </c>
      <c r="B47" s="20" t="s">
        <v>1492</v>
      </c>
      <c r="C47" s="20" t="s">
        <v>1328</v>
      </c>
      <c r="D47" s="25" t="n">
        <f aca="false">Pipeline!D155+SUMPRODUCT($E$44:$M$44,Pipeline!$E$132:$M$132)</f>
        <v>0.630578355681972</v>
      </c>
      <c r="E47" s="25" t="n">
        <f aca="false">Pipeline!E155+SUMPRODUCT($E$44:$M$44,Pipeline!$E$133:$M$133)</f>
        <v>6.20938570515285</v>
      </c>
      <c r="F47" s="25" t="n">
        <f aca="false">Pipeline!F155+SUMPRODUCT($E$44:$M$44,Pipeline!$E$134:$M$134)</f>
        <v>25.3371433333333</v>
      </c>
      <c r="G47" s="25" t="n">
        <f aca="false">Pipeline!G155+SUMPRODUCT($E$44:$M$44,Pipeline!$E$135:$M$135)</f>
        <v>36.988055095226</v>
      </c>
      <c r="H47" s="25" t="n">
        <f aca="false">Pipeline!H155+SUMPRODUCT($E$44:$M$44,Pipeline!$E$136:$M$136)</f>
        <v>47.6909154877809</v>
      </c>
      <c r="I47" s="25" t="n">
        <f aca="false">Pipeline!I155+SUMPRODUCT($E$44:$M$44,Pipeline!$E$137:$M$137)</f>
        <v>63.5522402403472</v>
      </c>
      <c r="J47" s="25" t="n">
        <f aca="false">Pipeline!J155+SUMPRODUCT($E$44:$M$44,Pipeline!$E$138:$M$138)</f>
        <v>84.7364998143935</v>
      </c>
      <c r="K47" s="25" t="n">
        <f aca="false">Pipeline!K155+SUMPRODUCT($E$44:$M$44,Pipeline!$E$139:$M$139)</f>
        <v>103.003565803871</v>
      </c>
      <c r="L47" s="25" t="n">
        <f aca="false">Pipeline!L155+SUMPRODUCT($E$44:$M$44,Pipeline!$E$140:$M$140)</f>
        <v>119.055988186119</v>
      </c>
      <c r="M47" s="25" t="n">
        <f aca="false">Pipeline!M155+SUMPRODUCT($E$44:$M$44,Pipeline!$E$141:$M$141)</f>
        <v>131.766617889352</v>
      </c>
    </row>
    <row r="48" customFormat="false" ht="17.15" hidden="false" customHeight="false" outlineLevel="0" collapsed="false">
      <c r="A48" s="5" t="s">
        <v>1222</v>
      </c>
      <c r="B48" s="0" t="s">
        <v>1492</v>
      </c>
      <c r="C48" s="0" t="s">
        <v>1326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31.4948290638629</v>
      </c>
      <c r="H48" s="24" t="n">
        <f aca="false">(G45+H45)/2</f>
        <v>47.7311417574111</v>
      </c>
      <c r="I48" s="24" t="n">
        <f aca="false">(H45+I45)/2</f>
        <v>65.3989565602345</v>
      </c>
      <c r="J48" s="24" t="n">
        <f aca="false">(I45+J45)/2</f>
        <v>81.3675848315102</v>
      </c>
      <c r="K48" s="24" t="n">
        <f aca="false">(J45+K45)/2</f>
        <v>98.1117771059443</v>
      </c>
      <c r="L48" s="24" t="n">
        <f aca="false">(K45+L45)/2</f>
        <v>114.100443638127</v>
      </c>
      <c r="M48" s="24" t="n">
        <f aca="false">(L45+M45)/2</f>
        <v>127.810576243713</v>
      </c>
    </row>
    <row r="49" customFormat="false" ht="17.15" hidden="false" customHeight="false" outlineLevel="0" collapsed="false">
      <c r="A49" s="5" t="s">
        <v>1222</v>
      </c>
      <c r="B49" s="0" t="s">
        <v>1492</v>
      </c>
      <c r="C49" s="0" t="s">
        <v>1327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31.1625992142797</v>
      </c>
      <c r="H49" s="24" t="n">
        <f aca="false">(G46+H46)/2</f>
        <v>45.6440188559662</v>
      </c>
      <c r="I49" s="24" t="n">
        <f aca="false">(H46+I46)/2</f>
        <v>61.4104306364071</v>
      </c>
      <c r="J49" s="24" t="n">
        <f aca="false">(I46+J46)/2</f>
        <v>77.5113623840369</v>
      </c>
      <c r="K49" s="24" t="n">
        <f aca="false">(J46+K46)/2</f>
        <v>94.7527059579183</v>
      </c>
      <c r="L49" s="24" t="n">
        <f aca="false">(K46+L46)/2</f>
        <v>111.029776994995</v>
      </c>
      <c r="M49" s="24" t="n">
        <f aca="false">(L46+M46)/2</f>
        <v>125.411303037736</v>
      </c>
    </row>
    <row r="50" customFormat="false" ht="17.15" hidden="false" customHeight="false" outlineLevel="0" collapsed="false">
      <c r="A50" s="5" t="s">
        <v>1222</v>
      </c>
      <c r="B50" s="0" t="s">
        <v>1492</v>
      </c>
      <c r="C50" s="0" t="s">
        <v>1328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31.1625992142797</v>
      </c>
      <c r="H50" s="24" t="n">
        <f aca="false">(G47+H47)/2</f>
        <v>42.3394852915034</v>
      </c>
      <c r="I50" s="24" t="n">
        <f aca="false">(H47+I47)/2</f>
        <v>55.621577864064</v>
      </c>
      <c r="J50" s="24" t="n">
        <f aca="false">(I47+J47)/2</f>
        <v>74.1443700273703</v>
      </c>
      <c r="K50" s="24" t="n">
        <f aca="false">(J47+K47)/2</f>
        <v>93.870032809132</v>
      </c>
      <c r="L50" s="24" t="n">
        <f aca="false">(K47+L47)/2</f>
        <v>111.029776994995</v>
      </c>
      <c r="M50" s="24" t="n">
        <f aca="false">(L47+M47)/2</f>
        <v>125.411303037736</v>
      </c>
    </row>
    <row r="51" customFormat="false" ht="17.15" hidden="false" customHeight="false" outlineLevel="0" collapsed="false">
      <c r="A51" s="5" t="s">
        <v>1331</v>
      </c>
      <c r="B51" s="0" t="s">
        <v>1492</v>
      </c>
      <c r="C51" s="0" t="s">
        <v>1326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9.04912429484715</v>
      </c>
      <c r="G51" s="24" t="n">
        <f aca="false">G45-F45-G$6</f>
        <v>12.3153714610592</v>
      </c>
      <c r="H51" s="24" t="n">
        <f aca="false">H45-G45-H$6</f>
        <v>20.1572539260371</v>
      </c>
      <c r="I51" s="24" t="n">
        <f aca="false">I45-H45-I$6</f>
        <v>15.1783756796099</v>
      </c>
      <c r="J51" s="24" t="n">
        <f aca="false">J45-I45-J$6</f>
        <v>16.7588808629415</v>
      </c>
      <c r="K51" s="24" t="n">
        <f aca="false">K45-J45-K$6</f>
        <v>16.7295036859268</v>
      </c>
      <c r="L51" s="24" t="n">
        <f aca="false">L45-K45-L$6</f>
        <v>15.2478293784383</v>
      </c>
      <c r="M51" s="24" t="n">
        <f aca="false">M45-L45-M$6</f>
        <v>12.1724358327346</v>
      </c>
    </row>
    <row r="52" customFormat="false" ht="17.15" hidden="false" customHeight="false" outlineLevel="0" collapsed="false">
      <c r="A52" s="5" t="s">
        <v>1331</v>
      </c>
      <c r="B52" s="0" t="s">
        <v>1492</v>
      </c>
      <c r="C52" s="0" t="s">
        <v>1327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9.04912429484715</v>
      </c>
      <c r="G52" s="24" t="n">
        <f aca="false">G46-F46-G$6</f>
        <v>11.6509117618926</v>
      </c>
      <c r="H52" s="24" t="n">
        <f aca="false">H46-G46-H$6</f>
        <v>17.3119275214805</v>
      </c>
      <c r="I52" s="24" t="n">
        <f aca="false">I46-H46-I$6</f>
        <v>14.2208960394013</v>
      </c>
      <c r="J52" s="24" t="n">
        <f aca="false">J46-I46-J$6</f>
        <v>17.9809674558585</v>
      </c>
      <c r="K52" s="24" t="n">
        <f aca="false">K46-J46-K$6</f>
        <v>16.5017196919043</v>
      </c>
      <c r="L52" s="24" t="n">
        <f aca="false">L46-K46-L$6</f>
        <v>16.0524223822488</v>
      </c>
      <c r="M52" s="24" t="n">
        <f aca="false">M46-L46-M$6</f>
        <v>12.7106297032328</v>
      </c>
    </row>
    <row r="53" customFormat="false" ht="17.15" hidden="false" customHeight="false" outlineLevel="0" collapsed="false">
      <c r="A53" s="5" t="s">
        <v>1331</v>
      </c>
      <c r="B53" s="0" t="s">
        <v>1492</v>
      </c>
      <c r="C53" s="0" t="s">
        <v>1328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9.04912429484715</v>
      </c>
      <c r="G53" s="24" t="n">
        <f aca="false">G47-F47-G$6</f>
        <v>11.6509117618926</v>
      </c>
      <c r="H53" s="24" t="n">
        <f aca="false">H47-G47-H$6</f>
        <v>10.7028603925549</v>
      </c>
      <c r="I53" s="24" t="n">
        <f aca="false">I47-H47-I$6</f>
        <v>15.8613247525663</v>
      </c>
      <c r="J53" s="24" t="n">
        <f aca="false">J47-I47-J$6</f>
        <v>21.1842595740463</v>
      </c>
      <c r="K53" s="24" t="n">
        <f aca="false">K47-J47-K$6</f>
        <v>18.267065989477</v>
      </c>
      <c r="L53" s="24" t="n">
        <f aca="false">L47-K47-L$6</f>
        <v>16.0524223822488</v>
      </c>
      <c r="M53" s="24" t="n">
        <f aca="false">M47-L47-M$6</f>
        <v>12.7106297032328</v>
      </c>
    </row>
    <row r="54" customFormat="false" ht="17.15" hidden="false" customHeight="false" outlineLevel="0" collapsed="false">
      <c r="A54" s="5" t="s">
        <v>1332</v>
      </c>
      <c r="B54" s="0" t="s">
        <v>1492</v>
      </c>
      <c r="C54" s="0" t="s">
        <v>1327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0.66445969916655</v>
      </c>
      <c r="H54" s="24" t="n">
        <f aca="false">H45-H46</f>
        <v>3.50978610372314</v>
      </c>
      <c r="I54" s="24" t="n">
        <f aca="false">I45-I46</f>
        <v>4.46726574393173</v>
      </c>
      <c r="J54" s="24" t="n">
        <f aca="false">J45-J46</f>
        <v>3.24517915101477</v>
      </c>
      <c r="K54" s="24" t="n">
        <f aca="false">K45-K46</f>
        <v>3.47296314503718</v>
      </c>
      <c r="L54" s="24" t="n">
        <f aca="false">L45-L46</f>
        <v>2.6683701412267</v>
      </c>
      <c r="M54" s="24" t="n">
        <f aca="false">M45-M46</f>
        <v>2.13017627072855</v>
      </c>
    </row>
    <row r="55" customFormat="false" ht="17.15" hidden="false" customHeight="false" outlineLevel="0" collapsed="false">
      <c r="A55" s="5" t="s">
        <v>1332</v>
      </c>
      <c r="B55" s="0" t="s">
        <v>1492</v>
      </c>
      <c r="C55" s="0" t="s">
        <v>1328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0.66445969916655</v>
      </c>
      <c r="H55" s="24" t="n">
        <f aca="false">H45-H47</f>
        <v>10.1188532326487</v>
      </c>
      <c r="I55" s="24" t="n">
        <f aca="false">I45-I47</f>
        <v>9.43590415969224</v>
      </c>
      <c r="J55" s="24" t="n">
        <f aca="false">J45-J47</f>
        <v>5.01052544858746</v>
      </c>
      <c r="K55" s="24" t="n">
        <f aca="false">K45-K47</f>
        <v>3.47296314503718</v>
      </c>
      <c r="L55" s="24" t="n">
        <f aca="false">L45-L47</f>
        <v>2.6683701412267</v>
      </c>
      <c r="M55" s="24" t="n">
        <f aca="false">M45-M47</f>
        <v>2.13017627072855</v>
      </c>
    </row>
    <row r="57" customFormat="false" ht="19.4" hidden="false" customHeight="false" outlineLevel="0" collapsed="false">
      <c r="A57" s="34" t="s">
        <v>1493</v>
      </c>
    </row>
    <row r="58" customFormat="false" ht="17.15" hidden="false" customHeight="false" outlineLevel="0" collapsed="false">
      <c r="A58" s="21" t="s">
        <v>1494</v>
      </c>
    </row>
    <row r="59" customFormat="false" ht="17.15" hidden="false" customHeight="false" outlineLevel="0" collapsed="false">
      <c r="A59" s="5" t="s">
        <v>1485</v>
      </c>
      <c r="B59" s="0" t="s">
        <v>1486</v>
      </c>
      <c r="C59" s="0" t="s">
        <v>1326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9.04912429484715</v>
      </c>
      <c r="G59" s="24" t="n">
        <f aca="false">G$4</f>
        <v>12.3153714610592</v>
      </c>
      <c r="H59" s="24" t="n">
        <f aca="false">H$4</f>
        <v>5.48764512450717</v>
      </c>
      <c r="I59" s="24" t="n">
        <f aca="false">I$4*SIL_In!$I$27</f>
        <v>16.5880473942424</v>
      </c>
      <c r="J59" s="24" t="n">
        <f aca="false">J$4*SIL_In!$J$27</f>
        <v>5.93502133099746</v>
      </c>
      <c r="K59" s="24" t="n">
        <f aca="false">(Pipeline!J153+SUM($E$61:J61))*K60</f>
        <v>6.53861925191925</v>
      </c>
      <c r="L59" s="24" t="n">
        <f aca="false">(Pipeline!K153+SUM($E$61:K61))*L60</f>
        <v>7.20495364687336</v>
      </c>
      <c r="M59" s="24" t="n">
        <f aca="false">(Pipeline!L153+SUM($E$61:L61))*M60</f>
        <v>7.94068015429321</v>
      </c>
    </row>
    <row r="60" customFormat="false" ht="17.15" hidden="false" customHeight="false" outlineLevel="0" collapsed="false">
      <c r="A60" s="5" t="s">
        <v>1487</v>
      </c>
      <c r="B60" s="0" t="s">
        <v>1486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IFERROR(J59/(Pipeline!I153+SUM($E$61:I61)),g_lt)</f>
        <v>0.0993671432306921</v>
      </c>
      <c r="K60" s="23" t="n">
        <f aca="false">$J$60+(g_lt-$J$60)*(2030-2029)/3</f>
        <v>0.0995780954871281</v>
      </c>
      <c r="L60" s="23" t="n">
        <f aca="false">$J$60+(g_lt-$J$60)*(2031-2029)/3</f>
        <v>0.099789047743564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1488</v>
      </c>
      <c r="B61" s="0" t="s">
        <v>1486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-1.10343577012865</v>
      </c>
      <c r="L61" s="24" t="n">
        <f aca="false">L59-L$4</f>
        <v>5.05110749302721</v>
      </c>
      <c r="M61" s="24" t="n">
        <f aca="false">M59-M$4</f>
        <v>5.57144938506243</v>
      </c>
    </row>
    <row r="62" customFormat="false" ht="17.15" hidden="false" customHeight="false" outlineLevel="0" collapsed="false">
      <c r="A62" s="21" t="s">
        <v>1330</v>
      </c>
      <c r="B62" s="20" t="s">
        <v>1486</v>
      </c>
      <c r="C62" s="20" t="s">
        <v>1326</v>
      </c>
      <c r="D62" s="25" t="n">
        <f aca="false">Pipeline!D153+SUMPRODUCT($E$61:$M$61,Pipeline!$E$108:$M$108)</f>
        <v>0.630578355681972</v>
      </c>
      <c r="E62" s="25" t="n">
        <f aca="false">Pipeline!E153+SUMPRODUCT($E$61:$M$61,Pipeline!$E$109:$M$109)</f>
        <v>6.20938570515285</v>
      </c>
      <c r="F62" s="25" t="n">
        <f aca="false">Pipeline!F153+SUMPRODUCT($E$61:$M$61,Pipeline!$E$110:$M$110)</f>
        <v>25.3371433333333</v>
      </c>
      <c r="G62" s="25" t="n">
        <f aca="false">Pipeline!G153+SUMPRODUCT($E$61:$M$61,Pipeline!$E$111:$M$111)</f>
        <v>37.6525147943925</v>
      </c>
      <c r="H62" s="25" t="n">
        <f aca="false">Pipeline!H153+SUMPRODUCT($E$61:$M$61,Pipeline!$E$112:$M$112)</f>
        <v>43.1401599188997</v>
      </c>
      <c r="I62" s="25" t="n">
        <f aca="false">Pipeline!I153+SUMPRODUCT($E$61:$M$61,Pipeline!$E$113:$M$113)</f>
        <v>59.7282073131421</v>
      </c>
      <c r="J62" s="25" t="n">
        <f aca="false">Pipeline!J153+SUMPRODUCT($E$61:$M$61,Pipeline!$E$114:$M$114)</f>
        <v>65.6632286441395</v>
      </c>
      <c r="K62" s="25" t="n">
        <f aca="false">Pipeline!K153+SUMPRODUCT($E$61:$M$61,Pipeline!$E$115:$M$115)</f>
        <v>72.2018478960588</v>
      </c>
      <c r="L62" s="25" t="n">
        <f aca="false">Pipeline!L153+SUMPRODUCT($E$61:$M$61,Pipeline!$E$116:$M$116)</f>
        <v>79.4068015429321</v>
      </c>
      <c r="M62" s="25" t="n">
        <f aca="false">Pipeline!M153+SUMPRODUCT($E$61:$M$61,Pipeline!$E$117:$M$117)</f>
        <v>87.3474816972253</v>
      </c>
    </row>
    <row r="63" customFormat="false" ht="17.15" hidden="false" customHeight="false" outlineLevel="0" collapsed="false">
      <c r="A63" s="21" t="s">
        <v>1330</v>
      </c>
      <c r="B63" s="20" t="s">
        <v>1486</v>
      </c>
      <c r="C63" s="20" t="s">
        <v>1327</v>
      </c>
      <c r="D63" s="25" t="n">
        <f aca="false">Pipeline!D154+SUMPRODUCT($E$61:$M$61,Pipeline!$E$120:$M$120)</f>
        <v>0.630578355681972</v>
      </c>
      <c r="E63" s="25" t="n">
        <f aca="false">Pipeline!E154+SUMPRODUCT($E$61:$M$61,Pipeline!$E$121:$M$121)</f>
        <v>6.20938570515285</v>
      </c>
      <c r="F63" s="25" t="n">
        <f aca="false">Pipeline!F154+SUMPRODUCT($E$61:$M$61,Pipeline!$E$122:$M$122)</f>
        <v>25.3371433333333</v>
      </c>
      <c r="G63" s="25" t="n">
        <f aca="false">Pipeline!G154+SUMPRODUCT($E$61:$M$61,Pipeline!$E$123:$M$123)</f>
        <v>36.988055095226</v>
      </c>
      <c r="H63" s="25" t="n">
        <f aca="false">Pipeline!H154+SUMPRODUCT($E$61:$M$61,Pipeline!$E$124:$M$124)</f>
        <v>42.1975553554443</v>
      </c>
      <c r="I63" s="25" t="n">
        <f aca="false">Pipeline!I154+SUMPRODUCT($E$61:$M$61,Pipeline!$E$125:$M$125)</f>
        <v>55.0142490191496</v>
      </c>
      <c r="J63" s="25" t="n">
        <f aca="false">Pipeline!J154+SUMPRODUCT($E$61:$M$61,Pipeline!$E$126:$M$126)</f>
        <v>64.3122249112149</v>
      </c>
      <c r="K63" s="25" t="n">
        <f aca="false">Pipeline!K154+SUMPRODUCT($E$61:$M$61,Pipeline!$E$127:$M$127)</f>
        <v>70.5122895269729</v>
      </c>
      <c r="L63" s="25" t="n">
        <f aca="false">Pipeline!L154+SUMPRODUCT($E$61:$M$61,Pipeline!$E$128:$M$128)</f>
        <v>78.1459346547293</v>
      </c>
      <c r="M63" s="25" t="n">
        <f aca="false">Pipeline!M154+SUMPRODUCT($E$61:$M$61,Pipeline!$E$129:$M$129)</f>
        <v>85.957862670224</v>
      </c>
    </row>
    <row r="64" customFormat="false" ht="17.15" hidden="false" customHeight="false" outlineLevel="0" collapsed="false">
      <c r="A64" s="21" t="s">
        <v>1330</v>
      </c>
      <c r="B64" s="20" t="s">
        <v>1486</v>
      </c>
      <c r="C64" s="20" t="s">
        <v>1328</v>
      </c>
      <c r="D64" s="25" t="n">
        <f aca="false">Pipeline!D155+SUMPRODUCT($E$61:$M$61,Pipeline!$E$132:$M$132)</f>
        <v>0.630578355681972</v>
      </c>
      <c r="E64" s="25" t="n">
        <f aca="false">Pipeline!E155+SUMPRODUCT($E$61:$M$61,Pipeline!$E$133:$M$133)</f>
        <v>6.20938570515285</v>
      </c>
      <c r="F64" s="25" t="n">
        <f aca="false">Pipeline!F155+SUMPRODUCT($E$61:$M$61,Pipeline!$E$134:$M$134)</f>
        <v>25.3371433333333</v>
      </c>
      <c r="G64" s="25" t="n">
        <f aca="false">Pipeline!G155+SUMPRODUCT($E$61:$M$61,Pipeline!$E$135:$M$135)</f>
        <v>36.988055095226</v>
      </c>
      <c r="H64" s="25" t="n">
        <f aca="false">Pipeline!H155+SUMPRODUCT($E$61:$M$61,Pipeline!$E$136:$M$136)</f>
        <v>40.4294591310236</v>
      </c>
      <c r="I64" s="25" t="n">
        <f aca="false">Pipeline!I155+SUMPRODUCT($E$61:$M$61,Pipeline!$E$137:$M$137)</f>
        <v>50.6072915536675</v>
      </c>
      <c r="J64" s="25" t="n">
        <f aca="false">Pipeline!J155+SUMPRODUCT($E$61:$M$61,Pipeline!$E$138:$M$138)</f>
        <v>62.448201593618</v>
      </c>
      <c r="K64" s="25" t="n">
        <f aca="false">Pipeline!K155+SUMPRODUCT($E$61:$M$61,Pipeline!$E$139:$M$139)</f>
        <v>70.5122895269729</v>
      </c>
      <c r="L64" s="25" t="n">
        <f aca="false">Pipeline!L155+SUMPRODUCT($E$61:$M$61,Pipeline!$E$140:$M$140)</f>
        <v>78.1459346547293</v>
      </c>
      <c r="M64" s="25" t="n">
        <f aca="false">Pipeline!M155+SUMPRODUCT($E$61:$M$61,Pipeline!$E$141:$M$141)</f>
        <v>85.957862670224</v>
      </c>
    </row>
    <row r="65" customFormat="false" ht="17.15" hidden="false" customHeight="false" outlineLevel="0" collapsed="false">
      <c r="A65" s="5" t="s">
        <v>1222</v>
      </c>
      <c r="B65" s="0" t="s">
        <v>1486</v>
      </c>
      <c r="C65" s="0" t="s">
        <v>1326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31.4948290638629</v>
      </c>
      <c r="H65" s="24" t="n">
        <f aca="false">(G62+H62)/2</f>
        <v>40.3963373566461</v>
      </c>
      <c r="I65" s="24" t="n">
        <f aca="false">(H62+I62)/2</f>
        <v>51.4341836160209</v>
      </c>
      <c r="J65" s="24" t="n">
        <f aca="false">(I62+J62)/2</f>
        <v>62.6957179786408</v>
      </c>
      <c r="K65" s="24" t="n">
        <f aca="false">(J62+K62)/2</f>
        <v>68.9325382700991</v>
      </c>
      <c r="L65" s="24" t="n">
        <f aca="false">(K62+L62)/2</f>
        <v>75.8043247194954</v>
      </c>
      <c r="M65" s="24" t="n">
        <f aca="false">(L62+M62)/2</f>
        <v>83.3771416200787</v>
      </c>
    </row>
    <row r="66" customFormat="false" ht="17.15" hidden="false" customHeight="false" outlineLevel="0" collapsed="false">
      <c r="A66" s="5" t="s">
        <v>1222</v>
      </c>
      <c r="B66" s="0" t="s">
        <v>1486</v>
      </c>
      <c r="C66" s="0" t="s">
        <v>1327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31.1625992142797</v>
      </c>
      <c r="H66" s="24" t="n">
        <f aca="false">(G63+H63)/2</f>
        <v>39.5928052253351</v>
      </c>
      <c r="I66" s="24" t="n">
        <f aca="false">(H63+I63)/2</f>
        <v>48.605902187297</v>
      </c>
      <c r="J66" s="24" t="n">
        <f aca="false">(I63+J63)/2</f>
        <v>59.6632369651823</v>
      </c>
      <c r="K66" s="24" t="n">
        <f aca="false">(J63+K63)/2</f>
        <v>67.4122572190939</v>
      </c>
      <c r="L66" s="24" t="n">
        <f aca="false">(K63+L63)/2</f>
        <v>74.3291120908511</v>
      </c>
      <c r="M66" s="24" t="n">
        <f aca="false">(L63+M63)/2</f>
        <v>82.0518986624767</v>
      </c>
    </row>
    <row r="67" customFormat="false" ht="17.15" hidden="false" customHeight="false" outlineLevel="0" collapsed="false">
      <c r="A67" s="5" t="s">
        <v>1222</v>
      </c>
      <c r="B67" s="0" t="s">
        <v>1486</v>
      </c>
      <c r="C67" s="0" t="s">
        <v>1328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31.1625992142797</v>
      </c>
      <c r="H67" s="24" t="n">
        <f aca="false">(G64+H64)/2</f>
        <v>38.7087571131248</v>
      </c>
      <c r="I67" s="24" t="n">
        <f aca="false">(H64+I64)/2</f>
        <v>45.5183753423455</v>
      </c>
      <c r="J67" s="24" t="n">
        <f aca="false">(I64+J64)/2</f>
        <v>56.5277465736427</v>
      </c>
      <c r="K67" s="24" t="n">
        <f aca="false">(J64+K64)/2</f>
        <v>66.4802455602954</v>
      </c>
      <c r="L67" s="24" t="n">
        <f aca="false">(K64+L64)/2</f>
        <v>74.3291120908511</v>
      </c>
      <c r="M67" s="24" t="n">
        <f aca="false">(L64+M64)/2</f>
        <v>82.0518986624767</v>
      </c>
    </row>
    <row r="68" customFormat="false" ht="17.15" hidden="false" customHeight="false" outlineLevel="0" collapsed="false">
      <c r="A68" s="5" t="s">
        <v>1331</v>
      </c>
      <c r="B68" s="0" t="s">
        <v>1486</v>
      </c>
      <c r="C68" s="0" t="s">
        <v>1326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9.04912429484715</v>
      </c>
      <c r="G68" s="24" t="n">
        <f aca="false">G62-F62-G$6</f>
        <v>12.3153714610592</v>
      </c>
      <c r="H68" s="24" t="n">
        <f aca="false">H62-G62-H$6</f>
        <v>5.48764512450717</v>
      </c>
      <c r="I68" s="24" t="n">
        <f aca="false">I62-H62-I$6</f>
        <v>16.5880473942424</v>
      </c>
      <c r="J68" s="24" t="n">
        <f aca="false">J62-I62-J$6</f>
        <v>5.93502133099746</v>
      </c>
      <c r="K68" s="24" t="n">
        <f aca="false">K62-J62-K$6</f>
        <v>6.53861925191924</v>
      </c>
      <c r="L68" s="24" t="n">
        <f aca="false">L62-K62-L$6</f>
        <v>7.20495364687336</v>
      </c>
      <c r="M68" s="24" t="n">
        <f aca="false">M62-L62-M$6</f>
        <v>7.9406801542932</v>
      </c>
    </row>
    <row r="69" customFormat="false" ht="17.15" hidden="false" customHeight="false" outlineLevel="0" collapsed="false">
      <c r="A69" s="5" t="s">
        <v>1331</v>
      </c>
      <c r="B69" s="0" t="s">
        <v>1486</v>
      </c>
      <c r="C69" s="0" t="s">
        <v>1327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9.04912429484715</v>
      </c>
      <c r="G69" s="24" t="n">
        <f aca="false">G63-F63-G$6</f>
        <v>11.6509117618926</v>
      </c>
      <c r="H69" s="24" t="n">
        <f aca="false">H63-G63-H$6</f>
        <v>5.20950026021831</v>
      </c>
      <c r="I69" s="24" t="n">
        <f aca="false">I63-H63-I$6</f>
        <v>12.8166936637054</v>
      </c>
      <c r="J69" s="24" t="n">
        <f aca="false">J63-I63-J$6</f>
        <v>9.29797589206531</v>
      </c>
      <c r="K69" s="24" t="n">
        <f aca="false">K63-J63-K$6</f>
        <v>6.20006461575795</v>
      </c>
      <c r="L69" s="24" t="n">
        <f aca="false">L63-K63-L$6</f>
        <v>7.63364512775638</v>
      </c>
      <c r="M69" s="24" t="n">
        <f aca="false">M63-L63-M$6</f>
        <v>7.81192801549474</v>
      </c>
    </row>
    <row r="70" customFormat="false" ht="17.15" hidden="false" customHeight="false" outlineLevel="0" collapsed="false">
      <c r="A70" s="5" t="s">
        <v>1331</v>
      </c>
      <c r="B70" s="0" t="s">
        <v>1486</v>
      </c>
      <c r="C70" s="0" t="s">
        <v>1328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9.04912429484715</v>
      </c>
      <c r="G70" s="24" t="n">
        <f aca="false">G64-F64-G$6</f>
        <v>11.6509117618926</v>
      </c>
      <c r="H70" s="24" t="n">
        <f aca="false">H64-G64-H$6</f>
        <v>3.4414040357976</v>
      </c>
      <c r="I70" s="24" t="n">
        <f aca="false">I64-H64-I$6</f>
        <v>10.1778324226439</v>
      </c>
      <c r="J70" s="24" t="n">
        <f aca="false">J64-I64-J$6</f>
        <v>11.8409100399505</v>
      </c>
      <c r="K70" s="24" t="n">
        <f aca="false">K64-J64-K$6</f>
        <v>8.06408793335491</v>
      </c>
      <c r="L70" s="24" t="n">
        <f aca="false">L64-K64-L$6</f>
        <v>7.63364512775638</v>
      </c>
      <c r="M70" s="24" t="n">
        <f aca="false">M64-L64-M$6</f>
        <v>7.81192801549474</v>
      </c>
    </row>
    <row r="71" customFormat="false" ht="17.15" hidden="false" customHeight="false" outlineLevel="0" collapsed="false">
      <c r="A71" s="5" t="s">
        <v>1332</v>
      </c>
      <c r="B71" s="0" t="s">
        <v>1486</v>
      </c>
      <c r="C71" s="0" t="s">
        <v>1327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0.66445969916655</v>
      </c>
      <c r="H71" s="24" t="n">
        <f aca="false">H62-H63</f>
        <v>0.942604563455411</v>
      </c>
      <c r="I71" s="24" t="n">
        <f aca="false">I62-I63</f>
        <v>4.71395829399242</v>
      </c>
      <c r="J71" s="24" t="n">
        <f aca="false">J62-J63</f>
        <v>1.35100373292457</v>
      </c>
      <c r="K71" s="24" t="n">
        <f aca="false">K62-K63</f>
        <v>1.68955836908586</v>
      </c>
      <c r="L71" s="24" t="n">
        <f aca="false">L62-L63</f>
        <v>1.26086688820284</v>
      </c>
      <c r="M71" s="24" t="n">
        <f aca="false">M62-M63</f>
        <v>1.3896190270013</v>
      </c>
    </row>
    <row r="72" customFormat="false" ht="17.15" hidden="false" customHeight="false" outlineLevel="0" collapsed="false">
      <c r="A72" s="5" t="s">
        <v>1332</v>
      </c>
      <c r="B72" s="0" t="s">
        <v>1486</v>
      </c>
      <c r="C72" s="0" t="s">
        <v>1328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0.66445969916655</v>
      </c>
      <c r="H72" s="24" t="n">
        <f aca="false">H62-H64</f>
        <v>2.71070078787612</v>
      </c>
      <c r="I72" s="24" t="n">
        <f aca="false">I62-I64</f>
        <v>9.12091575947456</v>
      </c>
      <c r="J72" s="24" t="n">
        <f aca="false">J62-J64</f>
        <v>3.21502705052153</v>
      </c>
      <c r="K72" s="24" t="n">
        <f aca="false">K62-K64</f>
        <v>1.68955836908586</v>
      </c>
      <c r="L72" s="24" t="n">
        <f aca="false">L62-L64</f>
        <v>1.26086688820284</v>
      </c>
      <c r="M72" s="24" t="n">
        <f aca="false">M62-M64</f>
        <v>1.3896190270013</v>
      </c>
    </row>
    <row r="74" customFormat="false" ht="17.15" hidden="false" customHeight="false" outlineLevel="0" collapsed="false">
      <c r="A74" s="21" t="s">
        <v>1495</v>
      </c>
    </row>
    <row r="75" customFormat="false" ht="17.15" hidden="false" customHeight="false" outlineLevel="0" collapsed="false">
      <c r="A75" s="5" t="s">
        <v>1485</v>
      </c>
      <c r="B75" s="0" t="s">
        <v>1490</v>
      </c>
      <c r="C75" s="0" t="s">
        <v>1326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9.04912429484715</v>
      </c>
      <c r="G75" s="24" t="n">
        <f aca="false">G$4</f>
        <v>12.3153714610592</v>
      </c>
      <c r="H75" s="24" t="n">
        <f aca="false">H$4</f>
        <v>5.48764512450717</v>
      </c>
      <c r="I75" s="24" t="n">
        <f aca="false">I$4*SIL_In!$I$28</f>
        <v>13.2704379153939</v>
      </c>
      <c r="J75" s="24" t="n">
        <f aca="false">J$4*SIL_In!$J$28</f>
        <v>5.04476813134784</v>
      </c>
      <c r="K75" s="24" t="n">
        <f aca="false">(Pipeline!J153+SUM($E$77:J77))*K76</f>
        <v>5.71245814313154</v>
      </c>
      <c r="L75" s="24" t="n">
        <f aca="false">(Pipeline!K153+SUM($E$77:K77))*L76</f>
        <v>6.48011522219174</v>
      </c>
      <c r="M75" s="24" t="n">
        <f aca="false">(Pipeline!L153+SUM($E$77:L77))*M76</f>
        <v>7.36479393309647</v>
      </c>
    </row>
    <row r="76" customFormat="false" ht="17.15" hidden="false" customHeight="false" outlineLevel="0" collapsed="false">
      <c r="A76" s="5" t="s">
        <v>1487</v>
      </c>
      <c r="B76" s="0" t="s">
        <v>1490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IFERROR(J75/(Pipeline!I153+SUM($E$77:I77)),g_lt)</f>
        <v>0.0894294392370538</v>
      </c>
      <c r="K76" s="23" t="n">
        <f aca="false">$J$76+(g_lt-$J$76)*(2030-2029)/3</f>
        <v>0.0929529594913692</v>
      </c>
      <c r="L76" s="23" t="n">
        <f aca="false">$J$76+(g_lt-$J$76)*(2031-2029)/3</f>
        <v>0.0964764797456846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1488</v>
      </c>
      <c r="B77" s="0" t="s">
        <v>1490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-3.31760947884847</v>
      </c>
      <c r="J77" s="24" t="n">
        <f aca="false">J75-J$4</f>
        <v>-0.890253199649619</v>
      </c>
      <c r="K77" s="24" t="n">
        <f aca="false">K75-K$4</f>
        <v>-1.92959687891636</v>
      </c>
      <c r="L77" s="24" t="n">
        <f aca="false">L75-L$4</f>
        <v>4.3262690683456</v>
      </c>
      <c r="M77" s="24" t="n">
        <f aca="false">M75-M$4</f>
        <v>4.99556316386569</v>
      </c>
    </row>
    <row r="78" customFormat="false" ht="17.15" hidden="false" customHeight="false" outlineLevel="0" collapsed="false">
      <c r="A78" s="21" t="s">
        <v>1330</v>
      </c>
      <c r="B78" s="20" t="s">
        <v>1490</v>
      </c>
      <c r="C78" s="20" t="s">
        <v>1326</v>
      </c>
      <c r="D78" s="25" t="n">
        <f aca="false">Pipeline!D153+SUMPRODUCT($E$77:$M$77,Pipeline!$E$108:$M$108)</f>
        <v>0.630578355681972</v>
      </c>
      <c r="E78" s="25" t="n">
        <f aca="false">Pipeline!E153+SUMPRODUCT($E$77:$M$77,Pipeline!$E$109:$M$109)</f>
        <v>6.20938570515285</v>
      </c>
      <c r="F78" s="25" t="n">
        <f aca="false">Pipeline!F153+SUMPRODUCT($E$77:$M$77,Pipeline!$E$110:$M$110)</f>
        <v>25.3371433333333</v>
      </c>
      <c r="G78" s="25" t="n">
        <f aca="false">Pipeline!G153+SUMPRODUCT($E$77:$M$77,Pipeline!$E$111:$M$111)</f>
        <v>37.6525147943925</v>
      </c>
      <c r="H78" s="25" t="n">
        <f aca="false">Pipeline!H153+SUMPRODUCT($E$77:$M$77,Pipeline!$E$112:$M$112)</f>
        <v>43.1401599188997</v>
      </c>
      <c r="I78" s="25" t="n">
        <f aca="false">Pipeline!I153+SUMPRODUCT($E$77:$M$77,Pipeline!$E$113:$M$113)</f>
        <v>56.4105978342936</v>
      </c>
      <c r="J78" s="25" t="n">
        <f aca="false">Pipeline!J153+SUMPRODUCT($E$77:$M$77,Pipeline!$E$114:$M$114)</f>
        <v>61.4553659656414</v>
      </c>
      <c r="K78" s="25" t="n">
        <f aca="false">Pipeline!K153+SUMPRODUCT($E$77:$M$77,Pipeline!$E$115:$M$115)</f>
        <v>67.167824108773</v>
      </c>
      <c r="L78" s="25" t="n">
        <f aca="false">Pipeline!L153+SUMPRODUCT($E$77:$M$77,Pipeline!$E$116:$M$116)</f>
        <v>73.6479393309647</v>
      </c>
      <c r="M78" s="25" t="n">
        <f aca="false">Pipeline!M153+SUMPRODUCT($E$77:$M$77,Pipeline!$E$117:$M$117)</f>
        <v>81.0127332640612</v>
      </c>
    </row>
    <row r="79" customFormat="false" ht="17.15" hidden="false" customHeight="false" outlineLevel="0" collapsed="false">
      <c r="A79" s="21" t="s">
        <v>1330</v>
      </c>
      <c r="B79" s="20" t="s">
        <v>1490</v>
      </c>
      <c r="C79" s="20" t="s">
        <v>1327</v>
      </c>
      <c r="D79" s="25" t="n">
        <f aca="false">Pipeline!D154+SUMPRODUCT($E$77:$M$77,Pipeline!$E$120:$M$120)</f>
        <v>0.630578355681972</v>
      </c>
      <c r="E79" s="25" t="n">
        <f aca="false">Pipeline!E154+SUMPRODUCT($E$77:$M$77,Pipeline!$E$121:$M$121)</f>
        <v>6.20938570515285</v>
      </c>
      <c r="F79" s="25" t="n">
        <f aca="false">Pipeline!F154+SUMPRODUCT($E$77:$M$77,Pipeline!$E$122:$M$122)</f>
        <v>25.3371433333333</v>
      </c>
      <c r="G79" s="25" t="n">
        <f aca="false">Pipeline!G154+SUMPRODUCT($E$77:$M$77,Pipeline!$E$123:$M$123)</f>
        <v>36.988055095226</v>
      </c>
      <c r="H79" s="25" t="n">
        <f aca="false">Pipeline!H154+SUMPRODUCT($E$77:$M$77,Pipeline!$E$124:$M$124)</f>
        <v>42.1975553554443</v>
      </c>
      <c r="I79" s="25" t="n">
        <f aca="false">Pipeline!I154+SUMPRODUCT($E$77:$M$77,Pipeline!$E$125:$M$125)</f>
        <v>52.2772211990996</v>
      </c>
      <c r="J79" s="25" t="n">
        <f aca="false">Pipeline!J154+SUMPRODUCT($E$77:$M$77,Pipeline!$E$126:$M$126)</f>
        <v>60.2601565426555</v>
      </c>
      <c r="K79" s="25" t="n">
        <f aca="false">Pipeline!K154+SUMPRODUCT($E$77:$M$77,Pipeline!$E$127:$M$127)</f>
        <v>65.6228439337249</v>
      </c>
      <c r="L79" s="25" t="n">
        <f aca="false">Pipeline!L154+SUMPRODUCT($E$77:$M$77,Pipeline!$E$128:$M$128)</f>
        <v>72.5139191670811</v>
      </c>
      <c r="M79" s="25" t="n">
        <f aca="false">Pipeline!M154+SUMPRODUCT($E$77:$M$77,Pipeline!$E$129:$M$129)</f>
        <v>79.7238943257693</v>
      </c>
    </row>
    <row r="80" customFormat="false" ht="17.15" hidden="false" customHeight="false" outlineLevel="0" collapsed="false">
      <c r="A80" s="21" t="s">
        <v>1330</v>
      </c>
      <c r="B80" s="20" t="s">
        <v>1490</v>
      </c>
      <c r="C80" s="20" t="s">
        <v>1328</v>
      </c>
      <c r="D80" s="25" t="n">
        <f aca="false">Pipeline!D155+SUMPRODUCT($E$77:$M$77,Pipeline!$E$132:$M$132)</f>
        <v>0.630578355681972</v>
      </c>
      <c r="E80" s="25" t="n">
        <f aca="false">Pipeline!E155+SUMPRODUCT($E$77:$M$77,Pipeline!$E$133:$M$133)</f>
        <v>6.20938570515285</v>
      </c>
      <c r="F80" s="25" t="n">
        <f aca="false">Pipeline!F155+SUMPRODUCT($E$77:$M$77,Pipeline!$E$134:$M$134)</f>
        <v>25.3371433333333</v>
      </c>
      <c r="G80" s="25" t="n">
        <f aca="false">Pipeline!G155+SUMPRODUCT($E$77:$M$77,Pipeline!$E$135:$M$135)</f>
        <v>36.988055095226</v>
      </c>
      <c r="H80" s="25" t="n">
        <f aca="false">Pipeline!H155+SUMPRODUCT($E$77:$M$77,Pipeline!$E$136:$M$136)</f>
        <v>40.4294591310236</v>
      </c>
      <c r="I80" s="25" t="n">
        <f aca="false">Pipeline!I155+SUMPRODUCT($E$77:$M$77,Pipeline!$E$137:$M$137)</f>
        <v>48.9650748616375</v>
      </c>
      <c r="J80" s="25" t="n">
        <f aca="false">Pipeline!J155+SUMPRODUCT($E$77:$M$77,Pipeline!$E$138:$M$138)</f>
        <v>58.628365888578</v>
      </c>
      <c r="K80" s="25" t="n">
        <f aca="false">Pipeline!K155+SUMPRODUCT($E$77:$M$77,Pipeline!$E$139:$M$139)</f>
        <v>65.6228439337249</v>
      </c>
      <c r="L80" s="25" t="n">
        <f aca="false">Pipeline!L155+SUMPRODUCT($E$77:$M$77,Pipeline!$E$140:$M$140)</f>
        <v>72.5139191670811</v>
      </c>
      <c r="M80" s="25" t="n">
        <f aca="false">Pipeline!M155+SUMPRODUCT($E$77:$M$77,Pipeline!$E$141:$M$141)</f>
        <v>79.7238943257693</v>
      </c>
    </row>
    <row r="81" customFormat="false" ht="17.15" hidden="false" customHeight="false" outlineLevel="0" collapsed="false">
      <c r="A81" s="5" t="s">
        <v>1222</v>
      </c>
      <c r="B81" s="0" t="s">
        <v>1490</v>
      </c>
      <c r="C81" s="0" t="s">
        <v>1326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31.4948290638629</v>
      </c>
      <c r="H81" s="24" t="n">
        <f aca="false">(G78+H78)/2</f>
        <v>40.3963373566461</v>
      </c>
      <c r="I81" s="24" t="n">
        <f aca="false">(H78+I78)/2</f>
        <v>49.7753788765966</v>
      </c>
      <c r="J81" s="24" t="n">
        <f aca="false">(I78+J78)/2</f>
        <v>58.9329818999675</v>
      </c>
      <c r="K81" s="24" t="n">
        <f aca="false">(J78+K78)/2</f>
        <v>64.3115950372072</v>
      </c>
      <c r="L81" s="24" t="n">
        <f aca="false">(K78+L78)/2</f>
        <v>70.4078817198688</v>
      </c>
      <c r="M81" s="24" t="n">
        <f aca="false">(L78+M78)/2</f>
        <v>77.3303362975129</v>
      </c>
    </row>
    <row r="82" customFormat="false" ht="17.15" hidden="false" customHeight="false" outlineLevel="0" collapsed="false">
      <c r="A82" s="5" t="s">
        <v>1222</v>
      </c>
      <c r="B82" s="0" t="s">
        <v>1490</v>
      </c>
      <c r="C82" s="0" t="s">
        <v>1327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31.1625992142797</v>
      </c>
      <c r="H82" s="24" t="n">
        <f aca="false">(G79+H79)/2</f>
        <v>39.5928052253351</v>
      </c>
      <c r="I82" s="24" t="n">
        <f aca="false">(H79+I79)/2</f>
        <v>47.237388277272</v>
      </c>
      <c r="J82" s="24" t="n">
        <f aca="false">(I79+J79)/2</f>
        <v>56.2686888708776</v>
      </c>
      <c r="K82" s="24" t="n">
        <f aca="false">(J79+K79)/2</f>
        <v>62.9415002381902</v>
      </c>
      <c r="L82" s="24" t="n">
        <f aca="false">(K79+L79)/2</f>
        <v>69.0683815504031</v>
      </c>
      <c r="M82" s="24" t="n">
        <f aca="false">(L79+M79)/2</f>
        <v>76.1189067464252</v>
      </c>
    </row>
    <row r="83" customFormat="false" ht="17.15" hidden="false" customHeight="false" outlineLevel="0" collapsed="false">
      <c r="A83" s="5" t="s">
        <v>1222</v>
      </c>
      <c r="B83" s="0" t="s">
        <v>1490</v>
      </c>
      <c r="C83" s="0" t="s">
        <v>1328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31.1625992142797</v>
      </c>
      <c r="H83" s="24" t="n">
        <f aca="false">(G80+H80)/2</f>
        <v>38.7087571131248</v>
      </c>
      <c r="I83" s="24" t="n">
        <f aca="false">(H80+I80)/2</f>
        <v>44.6972669963305</v>
      </c>
      <c r="J83" s="24" t="n">
        <f aca="false">(I80+J80)/2</f>
        <v>53.7967203751077</v>
      </c>
      <c r="K83" s="24" t="n">
        <f aca="false">(J80+K80)/2</f>
        <v>62.1256049111515</v>
      </c>
      <c r="L83" s="24" t="n">
        <f aca="false">(K80+L80)/2</f>
        <v>69.0683815504031</v>
      </c>
      <c r="M83" s="24" t="n">
        <f aca="false">(L80+M80)/2</f>
        <v>76.1189067464252</v>
      </c>
    </row>
    <row r="84" customFormat="false" ht="17.15" hidden="false" customHeight="false" outlineLevel="0" collapsed="false">
      <c r="A84" s="5" t="s">
        <v>1331</v>
      </c>
      <c r="B84" s="0" t="s">
        <v>1490</v>
      </c>
      <c r="C84" s="0" t="s">
        <v>1326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9.04912429484715</v>
      </c>
      <c r="G84" s="24" t="n">
        <f aca="false">G78-F78-G$6</f>
        <v>12.3153714610592</v>
      </c>
      <c r="H84" s="24" t="n">
        <f aca="false">H78-G78-H$6</f>
        <v>5.48764512450717</v>
      </c>
      <c r="I84" s="24" t="n">
        <f aca="false">I78-H78-I$6</f>
        <v>13.2704379153939</v>
      </c>
      <c r="J84" s="24" t="n">
        <f aca="false">J78-I78-J$6</f>
        <v>5.04476813134784</v>
      </c>
      <c r="K84" s="24" t="n">
        <f aca="false">K78-J78-K$6</f>
        <v>5.71245814313154</v>
      </c>
      <c r="L84" s="24" t="n">
        <f aca="false">L78-K78-L$6</f>
        <v>6.48011522219174</v>
      </c>
      <c r="M84" s="24" t="n">
        <f aca="false">M78-L78-M$6</f>
        <v>7.36479393309647</v>
      </c>
    </row>
    <row r="85" customFormat="false" ht="17.15" hidden="false" customHeight="false" outlineLevel="0" collapsed="false">
      <c r="A85" s="5" t="s">
        <v>1331</v>
      </c>
      <c r="B85" s="0" t="s">
        <v>1490</v>
      </c>
      <c r="C85" s="0" t="s">
        <v>1327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9.04912429484715</v>
      </c>
      <c r="G85" s="24" t="n">
        <f aca="false">G79-F79-G$6</f>
        <v>11.6509117618926</v>
      </c>
      <c r="H85" s="24" t="n">
        <f aca="false">H79-G79-H$6</f>
        <v>5.20950026021831</v>
      </c>
      <c r="I85" s="24" t="n">
        <f aca="false">I79-H79-I$6</f>
        <v>10.0796658436554</v>
      </c>
      <c r="J85" s="24" t="n">
        <f aca="false">J79-I79-J$6</f>
        <v>7.98293534355589</v>
      </c>
      <c r="K85" s="24" t="n">
        <f aca="false">K79-J79-K$6</f>
        <v>5.3626873910694</v>
      </c>
      <c r="L85" s="24" t="n">
        <f aca="false">L79-K79-L$6</f>
        <v>6.8910752333562</v>
      </c>
      <c r="M85" s="24" t="n">
        <f aca="false">M79-L79-M$6</f>
        <v>7.20997515868814</v>
      </c>
    </row>
    <row r="86" customFormat="false" ht="17.15" hidden="false" customHeight="false" outlineLevel="0" collapsed="false">
      <c r="A86" s="5" t="s">
        <v>1331</v>
      </c>
      <c r="B86" s="0" t="s">
        <v>1490</v>
      </c>
      <c r="C86" s="0" t="s">
        <v>1328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9.04912429484715</v>
      </c>
      <c r="G86" s="24" t="n">
        <f aca="false">G80-F80-G$6</f>
        <v>11.6509117618926</v>
      </c>
      <c r="H86" s="24" t="n">
        <f aca="false">H80-G80-H$6</f>
        <v>3.4414040357976</v>
      </c>
      <c r="I86" s="24" t="n">
        <f aca="false">I80-H80-I$6</f>
        <v>8.53561573061393</v>
      </c>
      <c r="J86" s="24" t="n">
        <f aca="false">J80-I80-J$6</f>
        <v>9.66329102694046</v>
      </c>
      <c r="K86" s="24" t="n">
        <f aca="false">K80-J80-K$6</f>
        <v>6.99447804514697</v>
      </c>
      <c r="L86" s="24" t="n">
        <f aca="false">L80-K80-L$6</f>
        <v>6.8910752333562</v>
      </c>
      <c r="M86" s="24" t="n">
        <f aca="false">M80-L80-M$6</f>
        <v>7.20997515868814</v>
      </c>
    </row>
    <row r="87" customFormat="false" ht="17.15" hidden="false" customHeight="false" outlineLevel="0" collapsed="false">
      <c r="A87" s="5" t="s">
        <v>1332</v>
      </c>
      <c r="B87" s="0" t="s">
        <v>1490</v>
      </c>
      <c r="C87" s="0" t="s">
        <v>1327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0.66445969916655</v>
      </c>
      <c r="H87" s="24" t="n">
        <f aca="false">H78-H79</f>
        <v>0.942604563455411</v>
      </c>
      <c r="I87" s="24" t="n">
        <f aca="false">I78-I79</f>
        <v>4.13337663519394</v>
      </c>
      <c r="J87" s="24" t="n">
        <f aca="false">J78-J79</f>
        <v>1.19520942298588</v>
      </c>
      <c r="K87" s="24" t="n">
        <f aca="false">K78-K79</f>
        <v>1.54498017504802</v>
      </c>
      <c r="L87" s="24" t="n">
        <f aca="false">L78-L79</f>
        <v>1.13402016388356</v>
      </c>
      <c r="M87" s="24" t="n">
        <f aca="false">M78-M79</f>
        <v>1.28883893829189</v>
      </c>
    </row>
    <row r="88" customFormat="false" ht="17.15" hidden="false" customHeight="false" outlineLevel="0" collapsed="false">
      <c r="A88" s="5" t="s">
        <v>1332</v>
      </c>
      <c r="B88" s="0" t="s">
        <v>1490</v>
      </c>
      <c r="C88" s="0" t="s">
        <v>1328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0.66445969916655</v>
      </c>
      <c r="H88" s="24" t="n">
        <f aca="false">H78-H80</f>
        <v>2.71070078787612</v>
      </c>
      <c r="I88" s="24" t="n">
        <f aca="false">I78-I80</f>
        <v>7.44552297265608</v>
      </c>
      <c r="J88" s="24" t="n">
        <f aca="false">J78-J80</f>
        <v>2.82700007706345</v>
      </c>
      <c r="K88" s="24" t="n">
        <f aca="false">K78-K80</f>
        <v>1.54498017504802</v>
      </c>
      <c r="L88" s="24" t="n">
        <f aca="false">L78-L80</f>
        <v>1.13402016388356</v>
      </c>
      <c r="M88" s="24" t="n">
        <f aca="false">M78-M80</f>
        <v>1.28883893829189</v>
      </c>
    </row>
    <row r="90" customFormat="false" ht="17.15" hidden="false" customHeight="false" outlineLevel="0" collapsed="false">
      <c r="A90" s="21" t="s">
        <v>1496</v>
      </c>
    </row>
    <row r="91" customFormat="false" ht="17.15" hidden="false" customHeight="false" outlineLevel="0" collapsed="false">
      <c r="A91" s="5" t="s">
        <v>1485</v>
      </c>
      <c r="B91" s="0" t="s">
        <v>1492</v>
      </c>
      <c r="C91" s="0" t="s">
        <v>1326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9.04912429484715</v>
      </c>
      <c r="G91" s="24" t="n">
        <f aca="false">G$4</f>
        <v>12.3153714610592</v>
      </c>
      <c r="H91" s="24" t="n">
        <f aca="false">H$4</f>
        <v>5.48764512450717</v>
      </c>
      <c r="I91" s="24" t="n">
        <f aca="false">I$4*SIL_In!$I$29</f>
        <v>9.95282843654542</v>
      </c>
      <c r="J91" s="24" t="n">
        <f aca="false">J$4*SIL_In!$J$29</f>
        <v>3.56101279859847</v>
      </c>
      <c r="K91" s="24" t="n">
        <f aca="false">(Pipeline!J153+SUM($E$93:J93))*K92</f>
        <v>4.42170294404857</v>
      </c>
      <c r="L91" s="24" t="n">
        <f aca="false">(Pipeline!K153+SUM($E$93:K93))*L92</f>
        <v>5.43718809895686</v>
      </c>
      <c r="M91" s="24" t="n">
        <f aca="false">(Pipeline!L153+SUM($E$93:L93))*M92</f>
        <v>6.6512892197049</v>
      </c>
    </row>
    <row r="92" customFormat="false" ht="17.15" hidden="false" customHeight="false" outlineLevel="0" collapsed="false">
      <c r="A92" s="5" t="s">
        <v>1487</v>
      </c>
      <c r="B92" s="0" t="s">
        <v>1492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IFERROR(J91/(Pipeline!I153+SUM($E$93:I93)),g_lt)</f>
        <v>0.0670712444128842</v>
      </c>
      <c r="K92" s="23" t="n">
        <f aca="false">$J$92+(g_lt-$J$92)*(2030-2029)/3</f>
        <v>0.0780474962752562</v>
      </c>
      <c r="L92" s="23" t="n">
        <f aca="false">$J$92+(g_lt-$J$92)*(2031-2029)/3</f>
        <v>0.0890237481376281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1488</v>
      </c>
      <c r="B93" s="0" t="s">
        <v>1492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-6.63521895769694</v>
      </c>
      <c r="J93" s="24" t="n">
        <f aca="false">J91-J$4</f>
        <v>-2.37400853239898</v>
      </c>
      <c r="K93" s="24" t="n">
        <f aca="false">K91-K$4</f>
        <v>-3.22035207799932</v>
      </c>
      <c r="L93" s="24" t="n">
        <f aca="false">L91-L$4</f>
        <v>3.28334194511071</v>
      </c>
      <c r="M93" s="24" t="n">
        <f aca="false">M91-M$4</f>
        <v>4.28205845047412</v>
      </c>
    </row>
    <row r="94" customFormat="false" ht="17.15" hidden="false" customHeight="false" outlineLevel="0" collapsed="false">
      <c r="A94" s="21" t="s">
        <v>1330</v>
      </c>
      <c r="B94" s="20" t="s">
        <v>1492</v>
      </c>
      <c r="C94" s="20" t="s">
        <v>1326</v>
      </c>
      <c r="D94" s="25" t="n">
        <f aca="false">Pipeline!D153+SUMPRODUCT($E$93:$M$93,Pipeline!$E$108:$M$108)</f>
        <v>0.630578355681972</v>
      </c>
      <c r="E94" s="25" t="n">
        <f aca="false">Pipeline!E153+SUMPRODUCT($E$93:$M$93,Pipeline!$E$109:$M$109)</f>
        <v>6.20938570515285</v>
      </c>
      <c r="F94" s="25" t="n">
        <f aca="false">Pipeline!F153+SUMPRODUCT($E$93:$M$93,Pipeline!$E$110:$M$110)</f>
        <v>25.3371433333333</v>
      </c>
      <c r="G94" s="25" t="n">
        <f aca="false">Pipeline!G153+SUMPRODUCT($E$93:$M$93,Pipeline!$E$111:$M$111)</f>
        <v>37.6525147943925</v>
      </c>
      <c r="H94" s="25" t="n">
        <f aca="false">Pipeline!H153+SUMPRODUCT($E$93:$M$93,Pipeline!$E$112:$M$112)</f>
        <v>43.1401599188997</v>
      </c>
      <c r="I94" s="25" t="n">
        <f aca="false">Pipeline!I153+SUMPRODUCT($E$93:$M$93,Pipeline!$E$113:$M$113)</f>
        <v>53.0929883554451</v>
      </c>
      <c r="J94" s="25" t="n">
        <f aca="false">Pipeline!J153+SUMPRODUCT($E$93:$M$93,Pipeline!$E$114:$M$114)</f>
        <v>56.6540011540436</v>
      </c>
      <c r="K94" s="25" t="n">
        <f aca="false">Pipeline!K153+SUMPRODUCT($E$93:$M$93,Pipeline!$E$115:$M$115)</f>
        <v>61.0757040980922</v>
      </c>
      <c r="L94" s="25" t="n">
        <f aca="false">Pipeline!L153+SUMPRODUCT($E$93:$M$93,Pipeline!$E$116:$M$116)</f>
        <v>66.512892197049</v>
      </c>
      <c r="M94" s="25" t="n">
        <f aca="false">Pipeline!M153+SUMPRODUCT($E$93:$M$93,Pipeline!$E$117:$M$117)</f>
        <v>73.1641814167539</v>
      </c>
    </row>
    <row r="95" customFormat="false" ht="17.15" hidden="false" customHeight="false" outlineLevel="0" collapsed="false">
      <c r="A95" s="21" t="s">
        <v>1330</v>
      </c>
      <c r="B95" s="20" t="s">
        <v>1492</v>
      </c>
      <c r="C95" s="20" t="s">
        <v>1327</v>
      </c>
      <c r="D95" s="25" t="n">
        <f aca="false">Pipeline!D154+SUMPRODUCT($E$93:$M$93,Pipeline!$E$120:$M$120)</f>
        <v>0.630578355681972</v>
      </c>
      <c r="E95" s="25" t="n">
        <f aca="false">Pipeline!E154+SUMPRODUCT($E$93:$M$93,Pipeline!$E$121:$M$121)</f>
        <v>6.20938570515285</v>
      </c>
      <c r="F95" s="25" t="n">
        <f aca="false">Pipeline!F154+SUMPRODUCT($E$93:$M$93,Pipeline!$E$122:$M$122)</f>
        <v>25.3371433333333</v>
      </c>
      <c r="G95" s="25" t="n">
        <f aca="false">Pipeline!G154+SUMPRODUCT($E$93:$M$93,Pipeline!$E$123:$M$123)</f>
        <v>36.988055095226</v>
      </c>
      <c r="H95" s="25" t="n">
        <f aca="false">Pipeline!H154+SUMPRODUCT($E$93:$M$93,Pipeline!$E$124:$M$124)</f>
        <v>42.1975553554443</v>
      </c>
      <c r="I95" s="25" t="n">
        <f aca="false">Pipeline!I154+SUMPRODUCT($E$93:$M$93,Pipeline!$E$125:$M$125)</f>
        <v>49.5401933790497</v>
      </c>
      <c r="J95" s="25" t="n">
        <f aca="false">Pipeline!J154+SUMPRODUCT($E$93:$M$93,Pipeline!$E$126:$M$126)</f>
        <v>55.7184489142888</v>
      </c>
      <c r="K95" s="25" t="n">
        <f aca="false">Pipeline!K154+SUMPRODUCT($E$93:$M$93,Pipeline!$E$127:$M$127)</f>
        <v>59.7566060828837</v>
      </c>
      <c r="L95" s="25" t="n">
        <f aca="false">Pipeline!L154+SUMPRODUCT($E$93:$M$93,Pipeline!$E$128:$M$128)</f>
        <v>65.5613842797316</v>
      </c>
      <c r="M95" s="25" t="n">
        <f aca="false">Pipeline!M154+SUMPRODUCT($E$93:$M$93,Pipeline!$E$129:$M$129)</f>
        <v>72.0002058033056</v>
      </c>
    </row>
    <row r="96" customFormat="false" ht="17.15" hidden="false" customHeight="false" outlineLevel="0" collapsed="false">
      <c r="A96" s="21" t="s">
        <v>1330</v>
      </c>
      <c r="B96" s="20" t="s">
        <v>1492</v>
      </c>
      <c r="C96" s="20" t="s">
        <v>1328</v>
      </c>
      <c r="D96" s="25" t="n">
        <f aca="false">Pipeline!D155+SUMPRODUCT($E$93:$M$93,Pipeline!$E$132:$M$132)</f>
        <v>0.630578355681972</v>
      </c>
      <c r="E96" s="25" t="n">
        <f aca="false">Pipeline!E155+SUMPRODUCT($E$93:$M$93,Pipeline!$E$133:$M$133)</f>
        <v>6.20938570515285</v>
      </c>
      <c r="F96" s="25" t="n">
        <f aca="false">Pipeline!F155+SUMPRODUCT($E$93:$M$93,Pipeline!$E$134:$M$134)</f>
        <v>25.3371433333333</v>
      </c>
      <c r="G96" s="25" t="n">
        <f aca="false">Pipeline!G155+SUMPRODUCT($E$93:$M$93,Pipeline!$E$135:$M$135)</f>
        <v>36.988055095226</v>
      </c>
      <c r="H96" s="25" t="n">
        <f aca="false">Pipeline!H155+SUMPRODUCT($E$93:$M$93,Pipeline!$E$136:$M$136)</f>
        <v>40.4294591310236</v>
      </c>
      <c r="I96" s="25" t="n">
        <f aca="false">Pipeline!I155+SUMPRODUCT($E$93:$M$93,Pipeline!$E$137:$M$137)</f>
        <v>47.3228581696075</v>
      </c>
      <c r="J96" s="25" t="n">
        <f aca="false">Pipeline!J155+SUMPRODUCT($E$93:$M$93,Pipeline!$E$138:$M$138)</f>
        <v>54.3188909237307</v>
      </c>
      <c r="K96" s="25" t="n">
        <f aca="false">Pipeline!K155+SUMPRODUCT($E$93:$M$93,Pipeline!$E$139:$M$139)</f>
        <v>59.7566060828837</v>
      </c>
      <c r="L96" s="25" t="n">
        <f aca="false">Pipeline!L155+SUMPRODUCT($E$93:$M$93,Pipeline!$E$140:$M$140)</f>
        <v>65.5613842797316</v>
      </c>
      <c r="M96" s="25" t="n">
        <f aca="false">Pipeline!M155+SUMPRODUCT($E$93:$M$93,Pipeline!$E$141:$M$141)</f>
        <v>72.0002058033056</v>
      </c>
    </row>
    <row r="97" customFormat="false" ht="17.15" hidden="false" customHeight="false" outlineLevel="0" collapsed="false">
      <c r="A97" s="5" t="s">
        <v>1222</v>
      </c>
      <c r="B97" s="0" t="s">
        <v>1492</v>
      </c>
      <c r="C97" s="0" t="s">
        <v>1326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31.4948290638629</v>
      </c>
      <c r="H97" s="24" t="n">
        <f aca="false">(G94+H94)/2</f>
        <v>40.3963373566461</v>
      </c>
      <c r="I97" s="24" t="n">
        <f aca="false">(H94+I94)/2</f>
        <v>48.1165741371724</v>
      </c>
      <c r="J97" s="24" t="n">
        <f aca="false">(I94+J94)/2</f>
        <v>54.8734947547443</v>
      </c>
      <c r="K97" s="24" t="n">
        <f aca="false">(J94+K94)/2</f>
        <v>58.8648526260679</v>
      </c>
      <c r="L97" s="24" t="n">
        <f aca="false">(K94+L94)/2</f>
        <v>63.7942981475706</v>
      </c>
      <c r="M97" s="24" t="n">
        <f aca="false">(L94+M94)/2</f>
        <v>69.8385368069015</v>
      </c>
    </row>
    <row r="98" customFormat="false" ht="17.15" hidden="false" customHeight="false" outlineLevel="0" collapsed="false">
      <c r="A98" s="5" t="s">
        <v>1222</v>
      </c>
      <c r="B98" s="0" t="s">
        <v>1492</v>
      </c>
      <c r="C98" s="0" t="s">
        <v>1327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31.1625992142797</v>
      </c>
      <c r="H98" s="24" t="n">
        <f aca="false">(G95+H95)/2</f>
        <v>39.5928052253351</v>
      </c>
      <c r="I98" s="24" t="n">
        <f aca="false">(H95+I95)/2</f>
        <v>45.868874367247</v>
      </c>
      <c r="J98" s="24" t="n">
        <f aca="false">(I95+J95)/2</f>
        <v>52.6293211466692</v>
      </c>
      <c r="K98" s="24" t="n">
        <f aca="false">(J95+K95)/2</f>
        <v>57.7375274985862</v>
      </c>
      <c r="L98" s="24" t="n">
        <f aca="false">(K95+L95)/2</f>
        <v>62.6589951813076</v>
      </c>
      <c r="M98" s="24" t="n">
        <f aca="false">(L95+M95)/2</f>
        <v>68.7807950415186</v>
      </c>
    </row>
    <row r="99" customFormat="false" ht="17.15" hidden="false" customHeight="false" outlineLevel="0" collapsed="false">
      <c r="A99" s="5" t="s">
        <v>1222</v>
      </c>
      <c r="B99" s="0" t="s">
        <v>1492</v>
      </c>
      <c r="C99" s="0" t="s">
        <v>1328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31.1625992142797</v>
      </c>
      <c r="H99" s="24" t="n">
        <f aca="false">(G96+H96)/2</f>
        <v>38.7087571131248</v>
      </c>
      <c r="I99" s="24" t="n">
        <f aca="false">(H96+I96)/2</f>
        <v>43.8761586503155</v>
      </c>
      <c r="J99" s="24" t="n">
        <f aca="false">(I96+J96)/2</f>
        <v>50.8208745466691</v>
      </c>
      <c r="K99" s="24" t="n">
        <f aca="false">(J96+K96)/2</f>
        <v>57.0377485033072</v>
      </c>
      <c r="L99" s="24" t="n">
        <f aca="false">(K96+L96)/2</f>
        <v>62.6589951813076</v>
      </c>
      <c r="M99" s="24" t="n">
        <f aca="false">(L96+M96)/2</f>
        <v>68.7807950415186</v>
      </c>
    </row>
    <row r="100" customFormat="false" ht="17.15" hidden="false" customHeight="false" outlineLevel="0" collapsed="false">
      <c r="A100" s="5" t="s">
        <v>1331</v>
      </c>
      <c r="B100" s="0" t="s">
        <v>1492</v>
      </c>
      <c r="C100" s="0" t="s">
        <v>1326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9.04912429484715</v>
      </c>
      <c r="G100" s="24" t="n">
        <f aca="false">G94-F94-G$6</f>
        <v>12.3153714610592</v>
      </c>
      <c r="H100" s="24" t="n">
        <f aca="false">H94-G94-H$6</f>
        <v>5.48764512450717</v>
      </c>
      <c r="I100" s="24" t="n">
        <f aca="false">I94-H94-I$6</f>
        <v>9.95282843654542</v>
      </c>
      <c r="J100" s="24" t="n">
        <f aca="false">J94-I94-J$6</f>
        <v>3.56101279859848</v>
      </c>
      <c r="K100" s="24" t="n">
        <f aca="false">K94-J94-K$6</f>
        <v>4.42170294404857</v>
      </c>
      <c r="L100" s="24" t="n">
        <f aca="false">L94-K94-L$6</f>
        <v>5.43718809895686</v>
      </c>
      <c r="M100" s="24" t="n">
        <f aca="false">M94-L94-M$6</f>
        <v>6.65128921970489</v>
      </c>
    </row>
    <row r="101" customFormat="false" ht="17.15" hidden="false" customHeight="false" outlineLevel="0" collapsed="false">
      <c r="A101" s="5" t="s">
        <v>1331</v>
      </c>
      <c r="B101" s="0" t="s">
        <v>1492</v>
      </c>
      <c r="C101" s="0" t="s">
        <v>1327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9.04912429484715</v>
      </c>
      <c r="G101" s="24" t="n">
        <f aca="false">G95-F95-G$6</f>
        <v>11.6509117618926</v>
      </c>
      <c r="H101" s="24" t="n">
        <f aca="false">H95-G95-H$6</f>
        <v>5.20950026021831</v>
      </c>
      <c r="I101" s="24" t="n">
        <f aca="false">I95-H95-I$6</f>
        <v>7.34263802360537</v>
      </c>
      <c r="J101" s="24" t="n">
        <f aca="false">J95-I95-J$6</f>
        <v>6.17825553523918</v>
      </c>
      <c r="K101" s="24" t="n">
        <f aca="false">K95-J95-K$6</f>
        <v>4.03815716859483</v>
      </c>
      <c r="L101" s="24" t="n">
        <f aca="false">L95-K95-L$6</f>
        <v>5.80477819684789</v>
      </c>
      <c r="M101" s="24" t="n">
        <f aca="false">M95-L95-M$6</f>
        <v>6.43882152357399</v>
      </c>
    </row>
    <row r="102" customFormat="false" ht="17.15" hidden="false" customHeight="false" outlineLevel="0" collapsed="false">
      <c r="A102" s="5" t="s">
        <v>1331</v>
      </c>
      <c r="B102" s="0" t="s">
        <v>1492</v>
      </c>
      <c r="C102" s="0" t="s">
        <v>1328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9.04912429484715</v>
      </c>
      <c r="G102" s="24" t="n">
        <f aca="false">G96-F96-G$6</f>
        <v>11.6509117618926</v>
      </c>
      <c r="H102" s="24" t="n">
        <f aca="false">H96-G96-H$6</f>
        <v>3.4414040357976</v>
      </c>
      <c r="I102" s="24" t="n">
        <f aca="false">I96-H96-I$6</f>
        <v>6.89339903858394</v>
      </c>
      <c r="J102" s="24" t="n">
        <f aca="false">J96-I96-J$6</f>
        <v>6.99603275412316</v>
      </c>
      <c r="K102" s="24" t="n">
        <f aca="false">K96-J96-K$6</f>
        <v>5.437715159153</v>
      </c>
      <c r="L102" s="24" t="n">
        <f aca="false">L96-K96-L$6</f>
        <v>5.80477819684789</v>
      </c>
      <c r="M102" s="24" t="n">
        <f aca="false">M96-L96-M$6</f>
        <v>6.43882152357399</v>
      </c>
    </row>
    <row r="103" customFormat="false" ht="17.15" hidden="false" customHeight="false" outlineLevel="0" collapsed="false">
      <c r="A103" s="5" t="s">
        <v>1332</v>
      </c>
      <c r="B103" s="0" t="s">
        <v>1492</v>
      </c>
      <c r="C103" s="0" t="s">
        <v>1327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0.66445969916655</v>
      </c>
      <c r="H103" s="24" t="n">
        <f aca="false">H94-H95</f>
        <v>0.942604563455411</v>
      </c>
      <c r="I103" s="24" t="n">
        <f aca="false">I94-I95</f>
        <v>3.55279497639545</v>
      </c>
      <c r="J103" s="24" t="n">
        <f aca="false">J94-J95</f>
        <v>0.935552239754749</v>
      </c>
      <c r="K103" s="24" t="n">
        <f aca="false">K94-K95</f>
        <v>1.31909801520849</v>
      </c>
      <c r="L103" s="24" t="n">
        <f aca="false">L94-L95</f>
        <v>0.951507917317457</v>
      </c>
      <c r="M103" s="24" t="n">
        <f aca="false">M94-M95</f>
        <v>1.16397561344836</v>
      </c>
    </row>
    <row r="104" customFormat="false" ht="17.15" hidden="false" customHeight="false" outlineLevel="0" collapsed="false">
      <c r="A104" s="5" t="s">
        <v>1332</v>
      </c>
      <c r="B104" s="0" t="s">
        <v>1492</v>
      </c>
      <c r="C104" s="0" t="s">
        <v>1328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0.66445969916655</v>
      </c>
      <c r="H104" s="24" t="n">
        <f aca="false">H94-H96</f>
        <v>2.71070078787612</v>
      </c>
      <c r="I104" s="24" t="n">
        <f aca="false">I94-I96</f>
        <v>5.7701301858376</v>
      </c>
      <c r="J104" s="24" t="n">
        <f aca="false">J94-J96</f>
        <v>2.33511023031292</v>
      </c>
      <c r="K104" s="24" t="n">
        <f aca="false">K94-K96</f>
        <v>1.31909801520849</v>
      </c>
      <c r="L104" s="24" t="n">
        <f aca="false">L94-L96</f>
        <v>0.951507917317457</v>
      </c>
      <c r="M104" s="24" t="n">
        <f aca="false">M94-M96</f>
        <v>1.16397561344836</v>
      </c>
    </row>
    <row r="106" customFormat="false" ht="17.15" hidden="false" customHeight="false" outlineLevel="0" collapsed="false">
      <c r="A106" s="21" t="s">
        <v>1497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0.272241702398698</v>
      </c>
      <c r="I106" s="29" t="n">
        <f aca="false">IF(2028&lt;=2026,1,IF(I19&lt;=0,1,MIN(1,MAX(0,I68)/I19)))</f>
        <v>0.65572421230262</v>
      </c>
      <c r="J106" s="29" t="n">
        <f aca="false">IF(2029&lt;=2026,1,IF(J19&lt;=0,1,MIN(1,MAX(0,J68)/J19)))</f>
        <v>0.212485119246408</v>
      </c>
      <c r="K106" s="29" t="n">
        <f aca="false">IF(2030&lt;=2026,1,IF(K19&lt;=0,1,MIN(1,MAX(0,K68)/K19)))</f>
        <v>0.228778305316889</v>
      </c>
      <c r="L106" s="29" t="n">
        <f aca="false">IF(2031&lt;=2026,1,IF(L19&lt;=0,1,MIN(1,MAX(0,L68)/L19)))</f>
        <v>0.288781711722009</v>
      </c>
      <c r="M106" s="29" t="n">
        <f aca="false">IF(2032&lt;=2026,1,IF(M19&lt;=0,1,MIN(1,MAX(0,M68)/M19)))</f>
        <v>0.482514895916319</v>
      </c>
    </row>
    <row r="108" customFormat="false" ht="17.15" hidden="false" customHeight="false" outlineLevel="0" collapsed="false">
      <c r="A108" s="21" t="s">
        <v>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1499</v>
      </c>
    </row>
    <row r="2" customFormat="false" ht="17.15" hidden="false" customHeight="false" outlineLevel="0" collapsed="false">
      <c r="A2" s="5" t="s">
        <v>1500</v>
      </c>
    </row>
    <row r="3" customFormat="false" ht="15" hidden="false" customHeight="false" outlineLevel="0" collapsed="false">
      <c r="A3" s="6" t="s">
        <v>14</v>
      </c>
      <c r="B3" s="6" t="s">
        <v>1501</v>
      </c>
      <c r="C3" s="6" t="s">
        <v>15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8" t="s">
        <v>1502</v>
      </c>
      <c r="B4" s="20" t="s">
        <v>1503</v>
      </c>
      <c r="D4" s="24" t="n">
        <f aca="false">Pipeline!D153</f>
        <v>0.630578355681972</v>
      </c>
      <c r="E4" s="24" t="n">
        <f aca="false">Pipeline!E153</f>
        <v>6.20938570515285</v>
      </c>
      <c r="F4" s="24" t="n">
        <f aca="false">Pipeline!F153</f>
        <v>25.3371433333333</v>
      </c>
      <c r="G4" s="24" t="n">
        <f aca="false">Pipeline!G153</f>
        <v>37.6525147943925</v>
      </c>
      <c r="H4" s="24" t="n">
        <f aca="false">Pipeline!H153</f>
        <v>43.1401599188997</v>
      </c>
      <c r="I4" s="24" t="n">
        <f aca="false">Pipeline!I153</f>
        <v>59.7282073131421</v>
      </c>
      <c r="J4" s="24" t="n">
        <f aca="false">Pipeline!J153</f>
        <v>65.6632286441395</v>
      </c>
      <c r="K4" s="24" t="n">
        <f aca="false">Pipeline!K153</f>
        <v>73.3052836661874</v>
      </c>
      <c r="L4" s="24" t="n">
        <f aca="false">Pipeline!L153</f>
        <v>75.4591298200336</v>
      </c>
      <c r="M4" s="24" t="n">
        <f aca="false">Pipeline!M153</f>
        <v>77.8283605892643</v>
      </c>
    </row>
    <row r="5" customFormat="false" ht="17.15" hidden="false" customHeight="false" outlineLevel="0" collapsed="false">
      <c r="A5" s="5" t="s">
        <v>1504</v>
      </c>
      <c r="B5" s="0" t="s">
        <v>1505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34.3858481277259</v>
      </c>
      <c r="H5" s="24" t="n">
        <f aca="false">Players!H308</f>
        <v>43.1401599188997</v>
      </c>
      <c r="I5" s="24" t="n">
        <f aca="false">Players!I308</f>
        <v>59.7282073131421</v>
      </c>
      <c r="J5" s="24" t="n">
        <f aca="false">Players!J308</f>
        <v>65.6632286441395</v>
      </c>
      <c r="K5" s="24" t="n">
        <f aca="false">Players!K308</f>
        <v>73.3052836661874</v>
      </c>
      <c r="L5" s="24" t="n">
        <f aca="false">Players!L308</f>
        <v>75.4591298200336</v>
      </c>
      <c r="M5" s="24" t="n">
        <f aca="false">Players!M308</f>
        <v>77.8283605892643</v>
      </c>
    </row>
    <row r="6" customFormat="false" ht="17.15" hidden="false" customHeight="false" outlineLevel="0" collapsed="false">
      <c r="A6" s="5" t="s">
        <v>1506</v>
      </c>
      <c r="B6" s="0" t="s">
        <v>1507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41.0191814610592</v>
      </c>
      <c r="H6" s="24" t="n">
        <f aca="false">Players!H309</f>
        <v>43.1401599188997</v>
      </c>
      <c r="I6" s="24" t="n">
        <f aca="false">Players!I309</f>
        <v>59.7282073131421</v>
      </c>
      <c r="J6" s="24" t="n">
        <f aca="false">Players!J309</f>
        <v>65.6632286441395</v>
      </c>
      <c r="K6" s="24" t="n">
        <f aca="false">Players!K309</f>
        <v>73.3052836661874</v>
      </c>
      <c r="L6" s="24" t="n">
        <f aca="false">Players!L309</f>
        <v>75.4591298200336</v>
      </c>
      <c r="M6" s="24" t="n">
        <f aca="false">Players!M309</f>
        <v>77.8283605892643</v>
      </c>
    </row>
    <row r="7" customFormat="false" ht="17.15" hidden="false" customHeight="false" outlineLevel="0" collapsed="false">
      <c r="A7" s="8" t="s">
        <v>1508</v>
      </c>
      <c r="B7" s="20" t="s">
        <v>1509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25.9858481277259</v>
      </c>
      <c r="H7" s="24" t="n">
        <f aca="false">H4-N(Players!H277)</f>
        <v>29.4839887943925</v>
      </c>
      <c r="I7" s="24" t="n">
        <f aca="false">I4-N(Players!I277)</f>
        <v>43.7908221277259</v>
      </c>
      <c r="J7" s="24" t="n">
        <f aca="false">J4-N(Players!J277)</f>
        <v>47.1133221277259</v>
      </c>
      <c r="K7" s="24" t="n">
        <f aca="false">K4-N(Players!K277)</f>
        <v>51.7668221277259</v>
      </c>
      <c r="L7" s="24" t="n">
        <f aca="false">L4-N(Players!L277)</f>
        <v>51.7668221277259</v>
      </c>
      <c r="M7" s="24" t="n">
        <f aca="false">M4-N(Players!M277)</f>
        <v>51.7668221277259</v>
      </c>
    </row>
    <row r="8" customFormat="false" ht="17.15" hidden="false" customHeight="false" outlineLevel="0" collapsed="false">
      <c r="A8" s="5" t="s">
        <v>1510</v>
      </c>
      <c r="B8" s="0" t="s">
        <v>1511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24.3858481277259</v>
      </c>
      <c r="H8" s="24" t="n">
        <f aca="false">H5-N(Players!H279)</f>
        <v>29.4839887943925</v>
      </c>
      <c r="I8" s="24" t="n">
        <f aca="false">I5-N(Players!I279)</f>
        <v>43.7908221277259</v>
      </c>
      <c r="J8" s="24" t="n">
        <f aca="false">J5-N(Players!J279)</f>
        <v>47.1133221277259</v>
      </c>
      <c r="K8" s="24" t="n">
        <f aca="false">K5-N(Players!K279)</f>
        <v>51.7668221277259</v>
      </c>
      <c r="L8" s="24" t="n">
        <f aca="false">L5-N(Players!L279)</f>
        <v>51.7668221277259</v>
      </c>
      <c r="M8" s="24" t="n">
        <f aca="false">M5-N(Players!M279)</f>
        <v>51.7668221277259</v>
      </c>
    </row>
    <row r="9" customFormat="false" ht="17.15" hidden="false" customHeight="false" outlineLevel="0" collapsed="false">
      <c r="A9" s="5" t="s">
        <v>1512</v>
      </c>
      <c r="B9" s="0" t="s">
        <v>1513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27.6858481277259</v>
      </c>
      <c r="H9" s="24" t="n">
        <f aca="false">H6-N(Players!H280)</f>
        <v>29.4839887943925</v>
      </c>
      <c r="I9" s="24" t="n">
        <f aca="false">I6-N(Players!I280)</f>
        <v>43.7908221277259</v>
      </c>
      <c r="J9" s="24" t="n">
        <f aca="false">J6-N(Players!J280)</f>
        <v>47.1133221277259</v>
      </c>
      <c r="K9" s="24" t="n">
        <f aca="false">K6-N(Players!K280)</f>
        <v>51.7668221277259</v>
      </c>
      <c r="L9" s="24" t="n">
        <f aca="false">L6-N(Players!L280)</f>
        <v>51.7668221277259</v>
      </c>
      <c r="M9" s="24" t="n">
        <f aca="false">M6-N(Players!M280)</f>
        <v>51.7668221277259</v>
      </c>
    </row>
    <row r="10" customFormat="false" ht="17.15" hidden="false" customHeight="false" outlineLevel="0" collapsed="false">
      <c r="A10" s="5" t="s">
        <v>1514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1515</v>
      </c>
      <c r="B12" s="20" t="s">
        <v>473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1516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1517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1518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1519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1520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1521</v>
      </c>
    </row>
    <row r="18" customFormat="false" ht="17.15" hidden="false" customHeight="false" outlineLevel="0" collapsed="false">
      <c r="A18" s="5" t="s">
        <v>1522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1523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1524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1521</v>
      </c>
    </row>
    <row r="22" customFormat="false" ht="17.15" hidden="false" customHeight="false" outlineLevel="0" collapsed="false">
      <c r="A22" s="8" t="s">
        <v>1525</v>
      </c>
      <c r="B22" s="20" t="s">
        <v>476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1516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1517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1518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1519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1520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1521</v>
      </c>
    </row>
    <row r="28" customFormat="false" ht="17.15" hidden="false" customHeight="false" outlineLevel="0" collapsed="false">
      <c r="A28" s="5" t="s">
        <v>1522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1523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1524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1526</v>
      </c>
    </row>
    <row r="2" customFormat="false" ht="17.15" hidden="false" customHeight="false" outlineLevel="0" collapsed="false">
      <c r="A2" s="0" t="s">
        <v>1527</v>
      </c>
    </row>
    <row r="3" customFormat="false" ht="15" hidden="false" customHeight="false" outlineLevel="0" collapsed="false">
      <c r="A3" s="6" t="s">
        <v>14</v>
      </c>
      <c r="B3" s="6" t="s">
        <v>1276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1528</v>
      </c>
    </row>
    <row r="4" customFormat="false" ht="17.15" hidden="false" customHeight="false" outlineLevel="0" collapsed="false">
      <c r="A4" s="21" t="s">
        <v>1529</v>
      </c>
    </row>
    <row r="5" customFormat="false" ht="17.15" hidden="false" customHeight="false" outlineLevel="0" collapsed="false">
      <c r="A5" s="0" t="s">
        <v>1530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1531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1532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1533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1534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907</v>
      </c>
      <c r="B11" s="20" t="s">
        <v>504</v>
      </c>
      <c r="N11" s="5" t="s">
        <v>1535</v>
      </c>
    </row>
    <row r="12" customFormat="false" ht="17.15" hidden="false" customHeight="false" outlineLevel="0" collapsed="false">
      <c r="A12" s="5" t="s">
        <v>1536</v>
      </c>
      <c r="C12" s="0" t="s">
        <v>388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29.7018080736044</v>
      </c>
      <c r="I12" s="32" t="n">
        <f aca="false">Players!I36*((1-Players!I38)*I$8+Players!I38*TK_NonNV_Hold_Maia*TK_CapexIT_VR200)</f>
        <v>66.7739251267345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1537</v>
      </c>
      <c r="C13" s="0" t="s">
        <v>388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9.84590973264765</v>
      </c>
      <c r="I13" s="32" t="n">
        <f aca="false">Players!I36*((1-Players!I38)*I$9+Players!I38*TK_NonNV_Hold_Maia*TK_CapexFacility_VR200)</f>
        <v>20.7619303748241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1538</v>
      </c>
      <c r="C14" s="0" t="s">
        <v>388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9.22524581621997</v>
      </c>
      <c r="G14" s="32" t="n">
        <f aca="false">G13*$D$5+H13*$D$6+I13*$D$7</f>
        <v>15.3039200537359</v>
      </c>
      <c r="H14" s="32" t="n">
        <f aca="false">H13*$D$5+I13*$D$6+J13*$D$7</f>
        <v>10.3809651874121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1539</v>
      </c>
      <c r="C15" s="0" t="s">
        <v>388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61.0913493926295</v>
      </c>
      <c r="G15" s="32" t="n">
        <f aca="false">G12+G14</f>
        <v>38.37952606154</v>
      </c>
      <c r="H15" s="32" t="n">
        <f aca="false">H12+H14</f>
        <v>40.0827732610164</v>
      </c>
      <c r="I15" s="32" t="n">
        <f aca="false">I12+I14</f>
        <v>66.7739251267345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1540</v>
      </c>
      <c r="C16" s="0" t="s">
        <v>388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38.6547248457152</v>
      </c>
      <c r="G16" s="32" t="n">
        <f aca="false">G15*fye_msft/12+F15*(12-fye_msft)/12+N(In!K140)</f>
        <v>49.7354377270847</v>
      </c>
      <c r="H16" s="32" t="n">
        <f aca="false">H15*fye_msft/12+G15*(12-fye_msft)/12+N(In!L140)</f>
        <v>39.2311496612782</v>
      </c>
      <c r="I16" s="32" t="n">
        <f aca="false">I15*fye_msft/12+H15*(12-fye_msft)/12+N(In!M140)</f>
        <v>53.4283491938755</v>
      </c>
      <c r="J16" s="32" t="n">
        <f aca="false">J15*fye_msft/12+I15*(12-fye_msft)/12+N(In!N140)</f>
        <v>33.3869625633673</v>
      </c>
      <c r="K16" s="32" t="n">
        <f aca="false">K15*fye_msft/12+J15*(12-fye_msft)/12+N(In!O140)</f>
        <v>0</v>
      </c>
      <c r="L16" s="32" t="n">
        <f aca="false">L15*fye_msft/12+K15*(12-fye_msft)/12+N(In!P140)</f>
        <v>0</v>
      </c>
      <c r="M16" s="32" t="n">
        <f aca="false">M15*fye_msft/12+L15*(12-fye_msft)/12+N(In!Q140)</f>
        <v>0</v>
      </c>
    </row>
    <row r="17" customFormat="false" ht="17.15" hidden="false" customHeight="false" outlineLevel="0" collapsed="false">
      <c r="A17" s="5" t="s">
        <v>1541</v>
      </c>
      <c r="C17" s="0" t="s">
        <v>388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1542</v>
      </c>
      <c r="C18" s="0" t="s">
        <v>35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0.598824570428268</v>
      </c>
      <c r="G18" s="29" t="n">
        <f aca="false">IF(OR(G17="",N(G17)=0),"",G16/G17)</f>
        <v>0.428946059674033</v>
      </c>
      <c r="H18" s="29" t="n">
        <f aca="false">IF(OR(H17="",N(H17)=0),"",H16/H17)</f>
        <v>0.203452574905372</v>
      </c>
      <c r="I18" s="29" t="n">
        <f aca="false">IF(OR(I17="",N(I17)=0),"",I16/I17)</f>
        <v>0.2464555032999</v>
      </c>
      <c r="J18" s="29" t="n">
        <f aca="false">IF(OR(J17="",N(J17)=0),"",J16/J17)</f>
        <v>0.132924170047606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1543</v>
      </c>
      <c r="C19" s="0" t="s">
        <v>34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943</v>
      </c>
      <c r="B21" s="20" t="s">
        <v>509</v>
      </c>
      <c r="N21" s="20" t="s">
        <v>1544</v>
      </c>
    </row>
    <row r="22" customFormat="false" ht="17.15" hidden="false" customHeight="false" outlineLevel="0" collapsed="false">
      <c r="A22" s="5" t="s">
        <v>1536</v>
      </c>
      <c r="C22" s="0" t="s">
        <v>388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0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1537</v>
      </c>
      <c r="C23" s="0" t="s">
        <v>388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0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1538</v>
      </c>
      <c r="C24" s="0" t="s">
        <v>388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6.33919955241433</v>
      </c>
      <c r="G24" s="32" t="n">
        <f aca="false">G23*$D$5+H23*$D$6+I23*$D$7</f>
        <v>0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1539</v>
      </c>
      <c r="C25" s="0" t="s">
        <v>388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69.5578403179177</v>
      </c>
      <c r="G25" s="32" t="n">
        <f aca="false">G22+G24</f>
        <v>36.2790811922887</v>
      </c>
      <c r="H25" s="32" t="n">
        <f aca="false">H22+H24</f>
        <v>0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1540</v>
      </c>
      <c r="C26" s="0" t="s">
        <v>388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69.5578403179177</v>
      </c>
      <c r="G26" s="32" t="n">
        <f aca="false">G25*fye_googl/12+F25*(12-fye_googl)/12+N(In!K141)</f>
        <v>36.2790811922887</v>
      </c>
      <c r="H26" s="32" t="n">
        <f aca="false">H25*fye_googl/12+G25*(12-fye_googl)/12+N(In!L141)</f>
        <v>0</v>
      </c>
      <c r="I26" s="32" t="n">
        <f aca="false">I25*fye_googl/12+H25*(12-fye_googl)/12+N(In!M141)</f>
        <v>0</v>
      </c>
      <c r="J26" s="32" t="n">
        <f aca="false">J25*fye_googl/12+I25*(12-fye_googl)/12+N(In!N141)</f>
        <v>0</v>
      </c>
      <c r="K26" s="32" t="n">
        <f aca="false">K25*fye_googl/12+J25*(12-fye_googl)/12+N(In!O141)</f>
        <v>0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1541</v>
      </c>
      <c r="C27" s="0" t="s">
        <v>388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1542</v>
      </c>
      <c r="C28" s="0" t="s">
        <v>35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0.760635562871583</v>
      </c>
      <c r="G28" s="29" t="n">
        <f aca="false">IF(OR(G27="",N(G27)=0),"",G26/G27)</f>
        <v>0.181395405961443</v>
      </c>
      <c r="H28" s="29" t="n">
        <f aca="false">IF(OR(H27="",N(H27)=0),"",H26/H27)</f>
        <v>0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1543</v>
      </c>
      <c r="C29" s="0" t="s">
        <v>34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962</v>
      </c>
      <c r="B31" s="20" t="s">
        <v>517</v>
      </c>
      <c r="N31" s="5" t="s">
        <v>1545</v>
      </c>
    </row>
    <row r="32" customFormat="false" ht="17.15" hidden="false" customHeight="false" outlineLevel="0" collapsed="false">
      <c r="A32" s="5" t="s">
        <v>1536</v>
      </c>
      <c r="C32" s="0" t="s">
        <v>388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0</v>
      </c>
      <c r="I32" s="32" t="n">
        <f aca="false">Players!I74*((1-Players!I76)*I$8+Players!I76*TK_NonNV_Hold_Trn*TK_CapexIT_VR200)</f>
        <v>25.7531605769657</v>
      </c>
      <c r="J32" s="32" t="n">
        <f aca="false">Players!J74*((1-Players!J76)*J$8+Players!J76*TK_NonNV_Hold_Trn*TK_CapexIT_VR200)</f>
        <v>0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1537</v>
      </c>
      <c r="C33" s="0" t="s">
        <v>388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</v>
      </c>
      <c r="I33" s="32" t="n">
        <f aca="false">Players!I74*((1-Players!I76)*I$9+Players!I76*TK_NonNV_Hold_Trn*TK_CapexFacility_VR200)</f>
        <v>8.311084152</v>
      </c>
      <c r="J33" s="32" t="n">
        <f aca="false">Players!J74*((1-Players!J76)*J$9+Players!J76*TK_NonNV_Hold_Trn*TK_CapexFacility_VR200)</f>
        <v>0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1538</v>
      </c>
      <c r="C34" s="0" t="s">
        <v>388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2.4661831915</v>
      </c>
      <c r="G34" s="32" t="n">
        <f aca="false">G33*$D$5+H33*$D$6+I33*$D$7</f>
        <v>4.155542076</v>
      </c>
      <c r="H34" s="32" t="n">
        <f aca="false">H33*$D$5+I33*$D$6+J33*$D$7</f>
        <v>4.155542076</v>
      </c>
      <c r="I34" s="32" t="n">
        <f aca="false">I33*$D$5+J33*$D$6+K33*$D$7</f>
        <v>0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1539</v>
      </c>
      <c r="C35" s="0" t="s">
        <v>388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35.7422949309968</v>
      </c>
      <c r="G35" s="32" t="n">
        <f aca="false">G32+G34</f>
        <v>18.0621090758304</v>
      </c>
      <c r="H35" s="32" t="n">
        <f aca="false">H32+H34</f>
        <v>4.155542076</v>
      </c>
      <c r="I35" s="32" t="n">
        <f aca="false">I32+I34</f>
        <v>25.7531605769657</v>
      </c>
      <c r="J35" s="32" t="n">
        <f aca="false">J32+J34</f>
        <v>0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1540</v>
      </c>
      <c r="C36" s="0" t="s">
        <v>388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35.7422949309968</v>
      </c>
      <c r="G36" s="32" t="n">
        <f aca="false">G35*fye_amzn/12+F35*(12-fye_amzn)/12+N(In!K142)</f>
        <v>18.0621090758304</v>
      </c>
      <c r="H36" s="32" t="n">
        <f aca="false">H35*fye_amzn/12+G35*(12-fye_amzn)/12+N(In!L142)</f>
        <v>4.155542076</v>
      </c>
      <c r="I36" s="32" t="n">
        <f aca="false">I35*fye_amzn/12+H35*(12-fye_amzn)/12+N(In!M142)</f>
        <v>25.7531605769658</v>
      </c>
      <c r="J36" s="32" t="n">
        <f aca="false">J35*fye_amzn/12+I35*(12-fye_amzn)/12+N(In!N142)</f>
        <v>0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1541</v>
      </c>
      <c r="C37" s="0" t="s">
        <v>388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1542</v>
      </c>
      <c r="C38" s="0" t="s">
        <v>35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0.278540328327593</v>
      </c>
      <c r="G38" s="29" t="n">
        <f aca="false">IF(OR(G37="",N(G37)=0),"",G36/G37)</f>
        <v>0.0821004957992291</v>
      </c>
      <c r="H38" s="29" t="n">
        <f aca="false">IF(OR(H37="",N(H37)=0),"",H36/H37)</f>
        <v>0.0151076010804797</v>
      </c>
      <c r="I38" s="29" t="n">
        <f aca="false">IF(OR(I37="",N(I37)=0),"",I36/I37)</f>
        <v>0.0879166501447997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1543</v>
      </c>
      <c r="C39" s="0" t="s">
        <v>34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981</v>
      </c>
      <c r="B41" s="20" t="s">
        <v>524</v>
      </c>
      <c r="N41" s="20" t="s">
        <v>1546</v>
      </c>
    </row>
    <row r="42" customFormat="false" ht="17.15" hidden="false" customHeight="false" outlineLevel="0" collapsed="false">
      <c r="A42" s="5" t="s">
        <v>1536</v>
      </c>
      <c r="C42" s="0" t="s">
        <v>388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108.103580946479</v>
      </c>
      <c r="J42" s="32" t="n">
        <f aca="false">Players!J93*((1-Players!J95)*J$8+Players!J95*TK_NonNV_Hold_AMD*TK_CapexIT_VR200)</f>
        <v>14.2704338894025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1537</v>
      </c>
      <c r="C43" s="0" t="s">
        <v>388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33.8710305191542</v>
      </c>
      <c r="J43" s="32" t="n">
        <f aca="false">Players!J93*((1-Players!J95)*J$9+Players!J95*TK_NonNV_Hold_AMD*TK_CapexFacility_VR200)</f>
        <v>4.4721964109197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1538</v>
      </c>
      <c r="C44" s="0" t="s">
        <v>388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18.1020083710218</v>
      </c>
      <c r="H44" s="32" t="n">
        <f aca="false">H43*$D$5+I43*$D$6+J43*$D$7</f>
        <v>19.1716134650369</v>
      </c>
      <c r="I44" s="32" t="n">
        <f aca="false">I43*$D$5+J43*$D$6+K43*$D$7</f>
        <v>2.23609820545985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1539</v>
      </c>
      <c r="C45" s="0" t="s">
        <v>388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40.4538832277054</v>
      </c>
      <c r="H45" s="32" t="n">
        <f aca="false">H42+H44</f>
        <v>26.197800650501</v>
      </c>
      <c r="I45" s="32" t="n">
        <f aca="false">I42+I44</f>
        <v>110.339679151939</v>
      </c>
      <c r="J45" s="32" t="n">
        <f aca="false">J42+J44</f>
        <v>14.2704338894025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1540</v>
      </c>
      <c r="C46" s="0" t="s">
        <v>388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46.6544539294415</v>
      </c>
      <c r="G46" s="32" t="n">
        <f aca="false">G45*fye_meta/12+F45*(12-fye_meta)/12+N(In!K143)</f>
        <v>40.4538832277054</v>
      </c>
      <c r="H46" s="32" t="n">
        <f aca="false">H45*fye_meta/12+G45*(12-fye_meta)/12+N(In!L143)</f>
        <v>26.197800650501</v>
      </c>
      <c r="I46" s="32" t="n">
        <f aca="false">I45*fye_meta/12+H45*(12-fye_meta)/12+N(In!M143)</f>
        <v>110.339679151939</v>
      </c>
      <c r="J46" s="32" t="n">
        <f aca="false">J45*fye_meta/12+I45*(12-fye_meta)/12+N(In!N143)</f>
        <v>14.2704338894025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1541</v>
      </c>
      <c r="C47" s="0" t="s">
        <v>388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1542</v>
      </c>
      <c r="C48" s="0" t="s">
        <v>35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0.288956308769324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1543</v>
      </c>
      <c r="C49" s="0" t="s">
        <v>34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1000</v>
      </c>
      <c r="B51" s="20" t="s">
        <v>528</v>
      </c>
      <c r="N51" s="20" t="s">
        <v>1547</v>
      </c>
    </row>
    <row r="52" customFormat="false" ht="17.15" hidden="false" customHeight="false" outlineLevel="0" collapsed="false">
      <c r="A52" s="5" t="s">
        <v>1536</v>
      </c>
      <c r="C52" s="0" t="s">
        <v>388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216.646922810902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1537</v>
      </c>
      <c r="C53" s="0" t="s">
        <v>388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67.8798469963906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1538</v>
      </c>
      <c r="C54" s="0" t="s">
        <v>388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34.9525043241022</v>
      </c>
      <c r="H54" s="32" t="n">
        <f aca="false">H53*$D$5+I53*$D$6+J53*$D$7</f>
        <v>33.9399234981953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1539</v>
      </c>
      <c r="C55" s="0" t="s">
        <v>388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86.0751437799663</v>
      </c>
      <c r="H55" s="32" t="n">
        <f aca="false">H52+H54</f>
        <v>40.0390443189106</v>
      </c>
      <c r="I55" s="32" t="n">
        <f aca="false">I52+I54</f>
        <v>216.646922810902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1540</v>
      </c>
      <c r="C56" s="0" t="s">
        <v>388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22.1045688004616</v>
      </c>
      <c r="G56" s="32" t="n">
        <f aca="false">G55*fye_orcl/12+F55*(12-fye_orcl)/12+N(In!K144)</f>
        <v>55.0250059520518</v>
      </c>
      <c r="H56" s="32" t="n">
        <f aca="false">H55*fye_orcl/12+G55*(12-fye_orcl)/12+N(In!L144)</f>
        <v>66.8934356711931</v>
      </c>
      <c r="I56" s="32" t="n">
        <f aca="false">I55*fye_orcl/12+H55*(12-fye_orcl)/12+N(In!M144)</f>
        <v>113.62566035724</v>
      </c>
      <c r="J56" s="32" t="n">
        <f aca="false">J55*fye_orcl/12+I55*(12-fye_orcl)/12+N(In!N144)</f>
        <v>126.377371639693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1541</v>
      </c>
      <c r="C57" s="0" t="s">
        <v>388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1542</v>
      </c>
      <c r="C58" s="0" t="s">
        <v>35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1.04193112422633</v>
      </c>
      <c r="G58" s="29" t="n">
        <f aca="false">IF(OR(G57="",N(G57)=0),"",G56/G57)</f>
        <v>0.988538274114795</v>
      </c>
      <c r="H58" s="29" t="n">
        <f aca="false">IF(OR(H57="",N(H57)=0),"",H56/H57)</f>
        <v>0.723172277526412</v>
      </c>
      <c r="I58" s="29" t="n">
        <f aca="false">IF(OR(I57="",N(I57)=0),"",I56/I57)</f>
        <v>1.1254299672871</v>
      </c>
      <c r="J58" s="29" t="n">
        <f aca="false">IF(OR(J57="",N(J57)=0),"",J56/J57)</f>
        <v>1.4894561055027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1543</v>
      </c>
      <c r="C59" s="0" t="s">
        <v>34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1019</v>
      </c>
      <c r="B61" s="20" t="s">
        <v>618</v>
      </c>
      <c r="N61" s="5" t="s">
        <v>1548</v>
      </c>
    </row>
    <row r="62" customFormat="false" ht="17.15" hidden="false" customHeight="false" outlineLevel="0" collapsed="false">
      <c r="A62" s="5" t="s">
        <v>1536</v>
      </c>
      <c r="C62" s="0" t="s">
        <v>388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1537</v>
      </c>
      <c r="C63" s="0" t="s">
        <v>388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1538</v>
      </c>
      <c r="C64" s="0" t="s">
        <v>388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1539</v>
      </c>
      <c r="C65" s="0" t="s">
        <v>388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1540</v>
      </c>
      <c r="C66" s="0" t="s">
        <v>388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1541</v>
      </c>
      <c r="C67" s="0" t="s">
        <v>388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1542</v>
      </c>
      <c r="C68" s="0" t="s">
        <v>35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1543</v>
      </c>
      <c r="C69" s="0" t="s">
        <v>34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1038</v>
      </c>
      <c r="B71" s="20" t="s">
        <v>647</v>
      </c>
      <c r="N71" s="5" t="s">
        <v>1549</v>
      </c>
    </row>
    <row r="72" customFormat="false" ht="17.15" hidden="false" customHeight="false" outlineLevel="0" collapsed="false">
      <c r="A72" s="5" t="s">
        <v>1536</v>
      </c>
      <c r="C72" s="0" t="s">
        <v>388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0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1537</v>
      </c>
      <c r="C73" s="0" t="s">
        <v>388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1538</v>
      </c>
      <c r="C74" s="0" t="s">
        <v>388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4.62455</v>
      </c>
      <c r="G74" s="32" t="n">
        <f aca="false">G73*$D$5+H73*$D$6+I73*$D$7</f>
        <v>0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1539</v>
      </c>
      <c r="C75" s="0" t="s">
        <v>388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4.62455</v>
      </c>
      <c r="G75" s="32" t="n">
        <f aca="false">G72+G74</f>
        <v>24.3922434768</v>
      </c>
      <c r="H75" s="32" t="n">
        <f aca="false">H72+H74</f>
        <v>0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1540</v>
      </c>
      <c r="C76" s="0" t="s">
        <v>388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4.62455</v>
      </c>
      <c r="G76" s="32" t="n">
        <f aca="false">G75*fye_nbis/12+F75*(12-fye_nbis)/12+N(In!K146)</f>
        <v>24.3922434768</v>
      </c>
      <c r="H76" s="32" t="n">
        <f aca="false">H75*fye_nbis/12+G75*(12-fye_nbis)/12+N(In!L146)</f>
        <v>0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1541</v>
      </c>
      <c r="C77" s="0" t="s">
        <v>388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1542</v>
      </c>
      <c r="C78" s="0" t="s">
        <v>35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1.13737088047221</v>
      </c>
      <c r="G78" s="29" t="n">
        <f aca="false">IF(OR(G77="",N(G77)=0),"",G76/G77)</f>
        <v>1.08409971008</v>
      </c>
      <c r="H78" s="29" t="n">
        <f aca="false">IF(OR(H77="",N(H77)=0),"",H76/H77)</f>
        <v>0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1543</v>
      </c>
      <c r="C79" s="0" t="s">
        <v>34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證據不足（帶內）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1057</v>
      </c>
      <c r="B81" s="20" t="s">
        <v>1058</v>
      </c>
      <c r="N81" s="5" t="s">
        <v>1550</v>
      </c>
    </row>
    <row r="82" customFormat="false" ht="17.15" hidden="false" customHeight="false" outlineLevel="0" collapsed="false">
      <c r="A82" s="5" t="s">
        <v>1536</v>
      </c>
      <c r="C82" s="0" t="s">
        <v>388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1537</v>
      </c>
      <c r="C83" s="0" t="s">
        <v>388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1538</v>
      </c>
      <c r="C84" s="0" t="s">
        <v>388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1539</v>
      </c>
      <c r="C85" s="0" t="s">
        <v>388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1540</v>
      </c>
      <c r="C86" s="0" t="s">
        <v>388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1541</v>
      </c>
      <c r="C87" s="0" t="s">
        <v>388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1542</v>
      </c>
      <c r="C88" s="0" t="s">
        <v>35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1543</v>
      </c>
      <c r="C89" s="0" t="s">
        <v>34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1077</v>
      </c>
      <c r="B91" s="20" t="s">
        <v>533</v>
      </c>
      <c r="N91" s="20" t="s">
        <v>1551</v>
      </c>
    </row>
    <row r="92" customFormat="false" ht="17.15" hidden="false" customHeight="false" outlineLevel="0" collapsed="false">
      <c r="A92" s="5" t="s">
        <v>1536</v>
      </c>
      <c r="C92" s="0" t="s">
        <v>388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0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1537</v>
      </c>
      <c r="C93" s="0" t="s">
        <v>388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0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1538</v>
      </c>
      <c r="C94" s="0" t="s">
        <v>388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9.060317</v>
      </c>
      <c r="G94" s="32" t="n">
        <f aca="false">G93*$D$5+H93*$D$6+I93*$D$7</f>
        <v>0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1539</v>
      </c>
      <c r="C95" s="0" t="s">
        <v>388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9.060317</v>
      </c>
      <c r="G95" s="32" t="n">
        <f aca="false">G92+G94</f>
        <v>47.788748795232</v>
      </c>
      <c r="H95" s="32" t="n">
        <f aca="false">H92+H94</f>
        <v>0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1540</v>
      </c>
      <c r="C96" s="0" t="s">
        <v>388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9.060317</v>
      </c>
      <c r="G96" s="32" t="n">
        <f aca="false">G95*12/12+F95*(12-12)/12+N(In!K148)</f>
        <v>47.788748795232</v>
      </c>
      <c r="H96" s="32" t="n">
        <f aca="false">H95*12/12+G95*(12-12)/12+N(In!L148)</f>
        <v>0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1541</v>
      </c>
      <c r="C97" s="0" t="s">
        <v>388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1542</v>
      </c>
      <c r="C98" s="0" t="s">
        <v>35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1543</v>
      </c>
      <c r="C99" s="0" t="s">
        <v>34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1096</v>
      </c>
      <c r="B101" s="20" t="s">
        <v>529</v>
      </c>
      <c r="N101" s="5" t="s">
        <v>1552</v>
      </c>
    </row>
    <row r="102" customFormat="false" ht="17.15" hidden="false" customHeight="false" outlineLevel="0" collapsed="false">
      <c r="A102" s="5" t="s">
        <v>1536</v>
      </c>
      <c r="C102" s="0" t="s">
        <v>388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0</v>
      </c>
      <c r="I102" s="32" t="n">
        <f aca="false">Players!I207*((1-Players!I209)*I$8+Players!I209*TK_NonNV_Hold_OAI*TK_CapexIT_VR200)</f>
        <v>54.2650489866134</v>
      </c>
      <c r="J102" s="32" t="n">
        <f aca="false">Players!J207*((1-Players!J209)*J$8+Players!J209*TK_NonNV_Hold_OAI*TK_CapexIT_VR200)</f>
        <v>54.2240927018791</v>
      </c>
      <c r="K102" s="32" t="n">
        <f aca="false">Players!K207*((1-Players!K209)*K$8+Players!K209*TK_NonNV_Hold_OAI*TK_CapexIT_VR200)</f>
        <v>54.1858258756957</v>
      </c>
      <c r="L102" s="32" t="n">
        <f aca="false">Players!L207*((1-Players!L209)*L$8+Players!L209*TK_NonNV_Hold_OAI*TK_CapexIT_VR200)</f>
        <v>0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1537</v>
      </c>
      <c r="C103" s="0" t="s">
        <v>388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0</v>
      </c>
      <c r="I103" s="32" t="n">
        <f aca="false">Players!I207*((1-Players!I209)*I$9+Players!I209*TK_NonNV_Hold_OAI*TK_CapexFacility_VR200)</f>
        <v>16.9852663846095</v>
      </c>
      <c r="J103" s="32" t="n">
        <f aca="false">Players!J207*((1-Players!J209)*J$9+Players!J209*TK_NonNV_Hold_OAI*TK_CapexFacility_VR200)</f>
        <v>16.9760522980913</v>
      </c>
      <c r="K103" s="32" t="n">
        <f aca="false">Players!K207*((1-Players!K209)*K$9+Players!K209*TK_NonNV_Hold_OAI*TK_CapexFacility_VR200)</f>
        <v>16.9640720212402</v>
      </c>
      <c r="L103" s="32" t="n">
        <f aca="false">Players!L207*((1-Players!L209)*L$9+Players!L209*TK_NonNV_Hold_OAI*TK_CapexFacility_VR200)</f>
        <v>0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1538</v>
      </c>
      <c r="C104" s="0" t="s">
        <v>388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0</v>
      </c>
      <c r="G104" s="32" t="n">
        <f aca="false">G103*$D$5+H103*$D$6+I103*$D$7</f>
        <v>8.49263319230473</v>
      </c>
      <c r="H104" s="32" t="n">
        <f aca="false">H103*$D$5+I103*$D$6+J103*$D$7</f>
        <v>16.9806593413504</v>
      </c>
      <c r="I104" s="32" t="n">
        <f aca="false">I103*$D$5+J103*$D$6+K103*$D$7</f>
        <v>16.9700621596658</v>
      </c>
      <c r="J104" s="32" t="n">
        <f aca="false">J103*$D$5+K103*$D$6+L103*$D$7</f>
        <v>8.48203601062009</v>
      </c>
      <c r="K104" s="32" t="n">
        <f aca="false">K103*$D$5+L103*$D$6+M103*$D$7</f>
        <v>0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1539</v>
      </c>
      <c r="C105" s="0" t="s">
        <v>388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0</v>
      </c>
      <c r="G105" s="32" t="n">
        <f aca="false">G102+G104</f>
        <v>8.49263319230473</v>
      </c>
      <c r="H105" s="32" t="n">
        <f aca="false">H102+H104</f>
        <v>16.9806593413504</v>
      </c>
      <c r="I105" s="32" t="n">
        <f aca="false">I102+I104</f>
        <v>71.2351111462792</v>
      </c>
      <c r="J105" s="32" t="n">
        <f aca="false">J102+J104</f>
        <v>62.7061287124992</v>
      </c>
      <c r="K105" s="32" t="n">
        <f aca="false">K102+K104</f>
        <v>54.1858258756957</v>
      </c>
      <c r="L105" s="32" t="n">
        <f aca="false">L102+L104</f>
        <v>0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1540</v>
      </c>
      <c r="C106" s="0" t="s">
        <v>388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0</v>
      </c>
      <c r="G106" s="32" t="n">
        <f aca="false">G105*12/12+F105*(12-12)/12+N(In!K149)</f>
        <v>8.49263319230473</v>
      </c>
      <c r="H106" s="32" t="n">
        <f aca="false">H105*12/12+G105*(12-12)/12+N(In!L149)</f>
        <v>16.9806593413504</v>
      </c>
      <c r="I106" s="32" t="n">
        <f aca="false">I105*12/12+H105*(12-12)/12+N(In!M149)</f>
        <v>71.2351111462792</v>
      </c>
      <c r="J106" s="32" t="n">
        <f aca="false">J105*12/12+I105*(12-12)/12+N(In!N149)</f>
        <v>62.7061287124992</v>
      </c>
      <c r="K106" s="32" t="n">
        <f aca="false">K105*12/12+J105*(12-12)/12+N(In!O149)</f>
        <v>54.1858258756957</v>
      </c>
      <c r="L106" s="32" t="n">
        <f aca="false">L105*12/12+K105*(12-12)/12+N(In!P149)</f>
        <v>0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1541</v>
      </c>
      <c r="C107" s="0" t="s">
        <v>388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1542</v>
      </c>
      <c r="C108" s="0" t="s">
        <v>35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1543</v>
      </c>
      <c r="C109" s="0" t="s">
        <v>34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1115</v>
      </c>
      <c r="B111" s="20" t="s">
        <v>513</v>
      </c>
      <c r="N111" s="5" t="s">
        <v>1552</v>
      </c>
    </row>
    <row r="112" customFormat="false" ht="17.15" hidden="false" customHeight="false" outlineLevel="0" collapsed="false">
      <c r="A112" s="5" t="s">
        <v>1536</v>
      </c>
      <c r="C112" s="0" t="s">
        <v>388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1537</v>
      </c>
      <c r="C113" s="0" t="s">
        <v>388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1538</v>
      </c>
      <c r="C114" s="0" t="s">
        <v>388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1539</v>
      </c>
      <c r="C115" s="0" t="s">
        <v>388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1540</v>
      </c>
      <c r="C116" s="0" t="s">
        <v>388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1541</v>
      </c>
      <c r="C117" s="0" t="s">
        <v>388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1542</v>
      </c>
      <c r="C118" s="0" t="s">
        <v>35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1543</v>
      </c>
      <c r="C119" s="0" t="s">
        <v>34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1134</v>
      </c>
      <c r="B121" s="20" t="s">
        <v>543</v>
      </c>
      <c r="N121" s="5" t="s">
        <v>1552</v>
      </c>
    </row>
    <row r="122" customFormat="false" ht="17.15" hidden="false" customHeight="false" outlineLevel="0" collapsed="false">
      <c r="A122" s="5" t="s">
        <v>1536</v>
      </c>
      <c r="C122" s="0" t="s">
        <v>388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25.6163074470045</v>
      </c>
      <c r="I122" s="32" t="n">
        <f aca="false">Players!I245*((1-Players!I247)*I$8+Players!I247*TK_NonNV_Hold_AMD*TK_CapexIT_VR200)</f>
        <v>7.79928922119248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1537</v>
      </c>
      <c r="C123" s="0" t="s">
        <v>388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8.50567893761778</v>
      </c>
      <c r="I123" s="32" t="n">
        <f aca="false">Players!I245*((1-Players!I247)*I$9+Players!I247*TK_NonNV_Hold_AMD*TK_CapexFacility_VR200)</f>
        <v>2.44367449187006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1538</v>
      </c>
      <c r="C124" s="0" t="s">
        <v>388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9.1397521757439</v>
      </c>
      <c r="G124" s="32" t="n">
        <f aca="false">G123*$D$5+H123*$D$6+I123*$D$7</f>
        <v>5.47467671474392</v>
      </c>
      <c r="H124" s="32" t="n">
        <f aca="false">H123*$D$5+I123*$D$6+J123*$D$7</f>
        <v>1.22183724593503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1539</v>
      </c>
      <c r="C125" s="0" t="s">
        <v>388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17.3669196917181</v>
      </c>
      <c r="G125" s="32" t="n">
        <f aca="false">G122+G124</f>
        <v>31.9265996220617</v>
      </c>
      <c r="H125" s="32" t="n">
        <f aca="false">H122+H124</f>
        <v>26.8381446929395</v>
      </c>
      <c r="I125" s="32" t="n">
        <f aca="false">I122+I124</f>
        <v>7.79928922119248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1540</v>
      </c>
      <c r="C126" s="0" t="s">
        <v>388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17.3669196917181</v>
      </c>
      <c r="G126" s="32" t="n">
        <f aca="false">G125*12/12+F125*(12-12)/12+N(In!K151)</f>
        <v>31.9265996220617</v>
      </c>
      <c r="H126" s="32" t="n">
        <f aca="false">H125*12/12+G125*(12-12)/12+N(In!L151)</f>
        <v>26.8381446929395</v>
      </c>
      <c r="I126" s="32" t="n">
        <f aca="false">I125*12/12+H125*(12-12)/12+N(In!M151)</f>
        <v>7.79928922119248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1541</v>
      </c>
      <c r="C127" s="0" t="s">
        <v>388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1542</v>
      </c>
      <c r="C128" s="0" t="s">
        <v>35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1543</v>
      </c>
      <c r="C129" s="0" t="s">
        <v>34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1153</v>
      </c>
      <c r="B131" s="20" t="s">
        <v>640</v>
      </c>
      <c r="N131" s="5" t="s">
        <v>1552</v>
      </c>
    </row>
    <row r="132" customFormat="false" ht="17.15" hidden="false" customHeight="false" outlineLevel="0" collapsed="false">
      <c r="A132" s="5" t="s">
        <v>1536</v>
      </c>
      <c r="C132" s="0" t="s">
        <v>388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6.61298072682946</v>
      </c>
      <c r="H132" s="32" t="n">
        <f aca="false">Players!H264*((1-Players!H266)*H$8+Players!H266*TK_NonNV_Hold_AMD*TK_CapexIT_VR200)</f>
        <v>0</v>
      </c>
      <c r="I132" s="32" t="n">
        <f aca="false">Players!I264*((1-Players!I266)*I$8+Players!I266*TK_NonNV_Hold_AMD*TK_CapexIT_VR200)</f>
        <v>0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65.9232000325659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1537</v>
      </c>
      <c r="C133" s="0" t="s">
        <v>388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2.4434563534675</v>
      </c>
      <c r="H133" s="32" t="n">
        <f aca="false">Players!H264*((1-Players!H266)*H$9+Players!H266*TK_NonNV_Hold_AMD*TK_CapexFacility_VR200)</f>
        <v>0</v>
      </c>
      <c r="I133" s="32" t="n">
        <f aca="false">Players!I264*((1-Players!I266)*I$9+Players!I266*TK_NonNV_Hold_AMD*TK_CapexFacility_VR200)</f>
        <v>0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20.6596029852269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1538</v>
      </c>
      <c r="C134" s="0" t="s">
        <v>388</v>
      </c>
      <c r="D134" s="32" t="n">
        <f aca="false">D133*$D$5+E133*$D$6+F133*$D$7</f>
        <v>0</v>
      </c>
      <c r="E134" s="32" t="n">
        <f aca="false">E133*$D$5+F133*$D$6+G133*$D$7</f>
        <v>1.22172817673375</v>
      </c>
      <c r="F134" s="32" t="n">
        <f aca="false">F133*$D$5+G133*$D$6+H133*$D$7</f>
        <v>1.22172817673375</v>
      </c>
      <c r="G134" s="32" t="n">
        <f aca="false">G133*$D$5+H133*$D$6+I133*$D$7</f>
        <v>0</v>
      </c>
      <c r="H134" s="32" t="n">
        <f aca="false">H133*$D$5+I133*$D$6+J133*$D$7</f>
        <v>0</v>
      </c>
      <c r="I134" s="32" t="n">
        <f aca="false">I133*$D$5+J133*$D$6+K133*$D$7</f>
        <v>10.3298014926134</v>
      </c>
      <c r="J134" s="32" t="n">
        <f aca="false">J133*$D$5+K133*$D$6+L133*$D$7</f>
        <v>10.3298014926134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1539</v>
      </c>
      <c r="C135" s="0" t="s">
        <v>388</v>
      </c>
      <c r="D135" s="32" t="n">
        <f aca="false">D132+D134</f>
        <v>0</v>
      </c>
      <c r="E135" s="32" t="n">
        <f aca="false">E132+E134</f>
        <v>1.22172817673375</v>
      </c>
      <c r="F135" s="32" t="n">
        <f aca="false">F132+F134</f>
        <v>1.22172817673375</v>
      </c>
      <c r="G135" s="32" t="n">
        <f aca="false">G132+G134</f>
        <v>6.61298072682946</v>
      </c>
      <c r="H135" s="32" t="n">
        <f aca="false">H132+H134</f>
        <v>0</v>
      </c>
      <c r="I135" s="32" t="n">
        <f aca="false">I132+I134</f>
        <v>10.3298014926134</v>
      </c>
      <c r="J135" s="32" t="n">
        <f aca="false">J132+J134</f>
        <v>10.3298014926134</v>
      </c>
      <c r="K135" s="32" t="n">
        <f aca="false">K132+K134</f>
        <v>65.9232000325659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1540</v>
      </c>
      <c r="C136" s="0" t="s">
        <v>388</v>
      </c>
      <c r="D136" s="32" t="n">
        <f aca="false">D135*12/12+N(In!H152)</f>
        <v>0</v>
      </c>
      <c r="E136" s="32" t="n">
        <f aca="false">E135*12/12+D135*(12-12)/12+N(In!I152)</f>
        <v>1.22172817673375</v>
      </c>
      <c r="F136" s="32" t="n">
        <f aca="false">F135*12/12+E135*(12-12)/12+N(In!J152)</f>
        <v>1.22172817673375</v>
      </c>
      <c r="G136" s="32" t="n">
        <f aca="false">G135*12/12+F135*(12-12)/12+N(In!K152)</f>
        <v>6.61298072682946</v>
      </c>
      <c r="H136" s="32" t="n">
        <f aca="false">H135*12/12+G135*(12-12)/12+N(In!L152)</f>
        <v>0</v>
      </c>
      <c r="I136" s="32" t="n">
        <f aca="false">I135*12/12+H135*(12-12)/12+N(In!M152)</f>
        <v>10.3298014926134</v>
      </c>
      <c r="J136" s="32" t="n">
        <f aca="false">J135*12/12+I135*(12-12)/12+N(In!N152)</f>
        <v>10.3298014926134</v>
      </c>
      <c r="K136" s="32" t="n">
        <f aca="false">K135*12/12+J135*(12-12)/12+N(In!O152)</f>
        <v>65.9232000325659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1541</v>
      </c>
      <c r="C137" s="0" t="s">
        <v>388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1542</v>
      </c>
      <c r="C138" s="0" t="s">
        <v>35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1543</v>
      </c>
      <c r="C139" s="0" t="s">
        <v>34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1172</v>
      </c>
      <c r="B141" s="20" t="s">
        <v>550</v>
      </c>
      <c r="N141" s="5" t="s">
        <v>1552</v>
      </c>
    </row>
    <row r="142" customFormat="false" ht="17.15" hidden="false" customHeight="false" outlineLevel="0" collapsed="false">
      <c r="A142" s="5" t="s">
        <v>1536</v>
      </c>
      <c r="C142" s="0" t="s">
        <v>388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1537</v>
      </c>
      <c r="C143" s="0" t="s">
        <v>388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1538</v>
      </c>
      <c r="C144" s="0" t="s">
        <v>388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1539</v>
      </c>
      <c r="C145" s="0" t="s">
        <v>388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1540</v>
      </c>
      <c r="C146" s="0" t="s">
        <v>388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1541</v>
      </c>
      <c r="C147" s="0" t="s">
        <v>388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1542</v>
      </c>
      <c r="C148" s="0" t="s">
        <v>35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1543</v>
      </c>
      <c r="C149" s="0" t="s">
        <v>34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1191</v>
      </c>
      <c r="B151" s="20" t="s">
        <v>1192</v>
      </c>
      <c r="N151" s="5" t="s">
        <v>1552</v>
      </c>
    </row>
    <row r="152" customFormat="false" ht="17.15" hidden="false" customHeight="false" outlineLevel="0" collapsed="false">
      <c r="A152" s="5" t="s">
        <v>1536</v>
      </c>
      <c r="C152" s="0" t="s">
        <v>388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1537</v>
      </c>
      <c r="C153" s="0" t="s">
        <v>388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1538</v>
      </c>
      <c r="C154" s="0" t="s">
        <v>388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1539</v>
      </c>
      <c r="C155" s="0" t="s">
        <v>388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1540</v>
      </c>
      <c r="C156" s="0" t="s">
        <v>388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1541</v>
      </c>
      <c r="C157" s="0" t="s">
        <v>388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1542</v>
      </c>
      <c r="C158" s="0" t="s">
        <v>35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1543</v>
      </c>
      <c r="C159" s="0" t="s">
        <v>34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1553</v>
      </c>
    </row>
    <row r="163" customFormat="false" ht="17.15" hidden="false" customHeight="false" outlineLevel="0" collapsed="false">
      <c r="A163" s="6" t="s">
        <v>1276</v>
      </c>
      <c r="B163" s="6" t="s">
        <v>13</v>
      </c>
      <c r="C163" s="6" t="s">
        <v>1554</v>
      </c>
      <c r="D163" s="6" t="s">
        <v>1555</v>
      </c>
      <c r="E163" s="6" t="s">
        <v>1556</v>
      </c>
      <c r="F163" s="6" t="s">
        <v>1557</v>
      </c>
      <c r="G163" s="6" t="s">
        <v>1558</v>
      </c>
      <c r="H163" s="6" t="s">
        <v>1559</v>
      </c>
      <c r="I163" s="6" t="s">
        <v>1560</v>
      </c>
      <c r="J163" s="6" t="s">
        <v>1561</v>
      </c>
      <c r="K163" s="6" t="s">
        <v>1562</v>
      </c>
      <c r="L163" s="6" t="s">
        <v>19</v>
      </c>
    </row>
    <row r="164" customFormat="false" ht="17.15" hidden="false" customHeight="false" outlineLevel="0" collapsed="false">
      <c r="A164" s="0" t="s">
        <v>1245</v>
      </c>
      <c r="B164" s="0" t="s">
        <v>504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1563</v>
      </c>
    </row>
    <row r="165" customFormat="false" ht="17.15" hidden="false" customHeight="false" outlineLevel="0" collapsed="false">
      <c r="A165" s="0" t="s">
        <v>1245</v>
      </c>
      <c r="B165" s="0" t="s">
        <v>504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1563</v>
      </c>
    </row>
    <row r="166" customFormat="false" ht="17.15" hidden="false" customHeight="false" outlineLevel="0" collapsed="false">
      <c r="A166" s="0" t="s">
        <v>1245</v>
      </c>
      <c r="B166" s="0" t="s">
        <v>504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1563</v>
      </c>
    </row>
    <row r="167" customFormat="false" ht="17.15" hidden="false" customHeight="false" outlineLevel="0" collapsed="false">
      <c r="A167" s="0" t="s">
        <v>1246</v>
      </c>
      <c r="B167" s="0" t="s">
        <v>509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1563</v>
      </c>
    </row>
    <row r="168" customFormat="false" ht="17.15" hidden="false" customHeight="false" outlineLevel="0" collapsed="false">
      <c r="A168" s="0" t="s">
        <v>1246</v>
      </c>
      <c r="B168" s="0" t="s">
        <v>509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1563</v>
      </c>
    </row>
    <row r="169" customFormat="false" ht="17.15" hidden="false" customHeight="false" outlineLevel="0" collapsed="false">
      <c r="A169" s="0" t="s">
        <v>1246</v>
      </c>
      <c r="B169" s="0" t="s">
        <v>509</v>
      </c>
      <c r="C169" s="0" t="n">
        <v>2026</v>
      </c>
      <c r="D169" s="19" t="str">
        <f aca="false">Funding!D10</f>
        <v>2026H1</v>
      </c>
      <c r="E169" s="36" t="n">
        <f aca="false">Funding!W10</f>
        <v>80.598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1563</v>
      </c>
    </row>
    <row r="170" customFormat="false" ht="17.15" hidden="false" customHeight="false" outlineLevel="0" collapsed="false">
      <c r="A170" s="0" t="s">
        <v>1247</v>
      </c>
      <c r="B170" s="0" t="s">
        <v>517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1563</v>
      </c>
    </row>
    <row r="171" customFormat="false" ht="17.15" hidden="false" customHeight="false" outlineLevel="0" collapsed="false">
      <c r="A171" s="0" t="s">
        <v>1247</v>
      </c>
      <c r="B171" s="0" t="s">
        <v>517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1563</v>
      </c>
    </row>
    <row r="172" customFormat="false" ht="17.15" hidden="false" customHeight="false" outlineLevel="0" collapsed="false">
      <c r="A172" s="0" t="s">
        <v>1247</v>
      </c>
      <c r="B172" s="0" t="s">
        <v>517</v>
      </c>
      <c r="C172" s="0" t="n">
        <v>2026</v>
      </c>
      <c r="D172" s="19" t="str">
        <f aca="false">Funding!D13</f>
        <v>2026H1</v>
      </c>
      <c r="E172" s="36" t="n">
        <f aca="false">Funding!W13</f>
        <v>98.438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139.252</v>
      </c>
      <c r="J172" s="30" t="n">
        <f aca="false">IF(In!K126="","",In!K126)</f>
        <v>220</v>
      </c>
      <c r="K172" s="29" t="str">
        <f aca="false">IF(OR(I172="",J172="",LEFT(D172,2)="20"),"",I172/J172)</f>
        <v/>
      </c>
      <c r="L172" s="5" t="s">
        <v>1563</v>
      </c>
    </row>
    <row r="173" customFormat="false" ht="17.15" hidden="false" customHeight="false" outlineLevel="0" collapsed="false">
      <c r="A173" s="0" t="s">
        <v>981</v>
      </c>
      <c r="B173" s="0" t="s">
        <v>524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1563</v>
      </c>
    </row>
    <row r="174" customFormat="false" ht="17.15" hidden="false" customHeight="false" outlineLevel="0" collapsed="false">
      <c r="A174" s="0" t="s">
        <v>981</v>
      </c>
      <c r="B174" s="0" t="s">
        <v>524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1563</v>
      </c>
    </row>
    <row r="175" customFormat="false" ht="17.15" hidden="false" customHeight="false" outlineLevel="0" collapsed="false">
      <c r="A175" s="0" t="s">
        <v>981</v>
      </c>
      <c r="B175" s="0" t="s">
        <v>524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1563</v>
      </c>
    </row>
    <row r="176" customFormat="false" ht="17.15" hidden="false" customHeight="false" outlineLevel="0" collapsed="false">
      <c r="A176" s="0" t="s">
        <v>1248</v>
      </c>
      <c r="B176" s="0" t="s">
        <v>528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1563</v>
      </c>
    </row>
    <row r="177" customFormat="false" ht="17.15" hidden="false" customHeight="false" outlineLevel="0" collapsed="false">
      <c r="A177" s="0" t="s">
        <v>1248</v>
      </c>
      <c r="B177" s="0" t="s">
        <v>528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1563</v>
      </c>
    </row>
    <row r="178" customFormat="false" ht="17.15" hidden="false" customHeight="false" outlineLevel="0" collapsed="false">
      <c r="A178" s="0" t="s">
        <v>1248</v>
      </c>
      <c r="B178" s="0" t="s">
        <v>528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1563</v>
      </c>
    </row>
    <row r="179" customFormat="false" ht="17.15" hidden="false" customHeight="false" outlineLevel="0" collapsed="false">
      <c r="A179" s="0" t="s">
        <v>1019</v>
      </c>
      <c r="B179" s="0" t="s">
        <v>618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1563</v>
      </c>
    </row>
    <row r="180" customFormat="false" ht="17.15" hidden="false" customHeight="false" outlineLevel="0" collapsed="false">
      <c r="A180" s="0" t="s">
        <v>1019</v>
      </c>
      <c r="B180" s="0" t="s">
        <v>618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1563</v>
      </c>
    </row>
    <row r="181" customFormat="false" ht="17.15" hidden="false" customHeight="false" outlineLevel="0" collapsed="false">
      <c r="A181" s="0" t="s">
        <v>1019</v>
      </c>
      <c r="B181" s="0" t="s">
        <v>618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1563</v>
      </c>
    </row>
    <row r="182" customFormat="false" ht="17.15" hidden="false" customHeight="false" outlineLevel="0" collapsed="false">
      <c r="A182" s="0" t="s">
        <v>1038</v>
      </c>
      <c r="B182" s="0" t="s">
        <v>647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1563</v>
      </c>
    </row>
    <row r="183" customFormat="false" ht="17.15" hidden="false" customHeight="false" outlineLevel="0" collapsed="false">
      <c r="A183" s="0" t="s">
        <v>1038</v>
      </c>
      <c r="B183" s="0" t="s">
        <v>647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1564</v>
      </c>
    </row>
    <row r="3" customFormat="false" ht="15" hidden="false" customHeight="false" outlineLevel="0" collapsed="false">
      <c r="A3" s="6" t="s">
        <v>14</v>
      </c>
      <c r="B3" s="6" t="s">
        <v>1322</v>
      </c>
      <c r="C3" s="6" t="s">
        <v>1479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0" t="s">
        <v>1565</v>
      </c>
      <c r="B4" s="0" t="s">
        <v>1486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1566</v>
      </c>
    </row>
    <row r="5" customFormat="false" ht="17.15" hidden="false" customHeight="false" outlineLevel="0" collapsed="false">
      <c r="A5" s="5" t="s">
        <v>1567</v>
      </c>
      <c r="B5" s="0" t="s">
        <v>1486</v>
      </c>
      <c r="C5" s="0" t="s">
        <v>1326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9.04912429484715</v>
      </c>
      <c r="G5" s="29" t="n">
        <f aca="false">Deploy!G19</f>
        <v>12.3153714610592</v>
      </c>
      <c r="H5" s="29" t="n">
        <f aca="false">Deploy!H19</f>
        <v>20.1572539260371</v>
      </c>
      <c r="I5" s="29" t="n">
        <f aca="false">Deploy!I19</f>
        <v>25.2972927993498</v>
      </c>
      <c r="J5" s="29" t="n">
        <f aca="false">Deploy!J19</f>
        <v>27.9314681049025</v>
      </c>
      <c r="K5" s="29" t="n">
        <f aca="false">Deploy!K19</f>
        <v>28.580591340872</v>
      </c>
      <c r="L5" s="29" t="n">
        <f aca="false">Deploy!L19</f>
        <v>24.9494803667106</v>
      </c>
      <c r="M5" s="29" t="n">
        <f aca="false">Deploy!M19</f>
        <v>16.4568601332265</v>
      </c>
    </row>
    <row r="6" customFormat="false" ht="17.15" hidden="false" customHeight="false" outlineLevel="0" collapsed="false">
      <c r="A6" s="5" t="s">
        <v>1567</v>
      </c>
      <c r="B6" s="0" t="s">
        <v>1486</v>
      </c>
      <c r="C6" s="0" t="s">
        <v>1327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9.04912429484715</v>
      </c>
      <c r="G6" s="29" t="n">
        <f aca="false">Deploy!G20</f>
        <v>11.6509117618926</v>
      </c>
      <c r="H6" s="29" t="n">
        <f aca="false">Deploy!H20</f>
        <v>17.3119275214805</v>
      </c>
      <c r="I6" s="29" t="n">
        <f aca="false">Deploy!I20</f>
        <v>22.5690026631867</v>
      </c>
      <c r="J6" s="29" t="n">
        <f aca="false">Deploy!J20</f>
        <v>28.9691624264308</v>
      </c>
      <c r="K6" s="29" t="n">
        <f aca="false">Deploy!K20</f>
        <v>28.2340697745774</v>
      </c>
      <c r="L6" s="29" t="n">
        <f aca="false">Deploy!L20</f>
        <v>26.1302247871889</v>
      </c>
      <c r="M6" s="29" t="n">
        <f aca="false">Deploy!M20</f>
        <v>17.9430686740862</v>
      </c>
    </row>
    <row r="7" customFormat="false" ht="17.15" hidden="false" customHeight="false" outlineLevel="0" collapsed="false">
      <c r="A7" s="5" t="s">
        <v>1568</v>
      </c>
      <c r="B7" s="0" t="s">
        <v>1486</v>
      </c>
      <c r="G7" s="29" t="n">
        <f aca="false">IF(N(G4)=0,"",G5/G4)</f>
        <v>0.526308315955666</v>
      </c>
      <c r="H7" s="29" t="n">
        <f aca="false">IF(N(H4)=0,"",H5/H4)</f>
        <v>0.484005264903958</v>
      </c>
      <c r="I7" s="29" t="n">
        <f aca="false">IF(N(I4)=0,"",I5/I4)</f>
        <v>0.479186743823602</v>
      </c>
      <c r="J7" s="29" t="n">
        <f aca="false">IF(N(J4)=0,"",J5/J4)</f>
        <v>0.464451649075288</v>
      </c>
    </row>
    <row r="8" customFormat="false" ht="17.15" hidden="false" customHeight="false" outlineLevel="0" collapsed="false">
      <c r="A8" s="5" t="s">
        <v>1569</v>
      </c>
      <c r="B8" s="0" t="s">
        <v>1486</v>
      </c>
      <c r="C8" s="0" t="s">
        <v>1326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9.04912429484715</v>
      </c>
      <c r="G8" s="29" t="n">
        <f aca="false">Deploy!G68</f>
        <v>12.3153714610592</v>
      </c>
      <c r="H8" s="29" t="n">
        <f aca="false">Deploy!H68</f>
        <v>5.48764512450717</v>
      </c>
      <c r="I8" s="29" t="n">
        <f aca="false">Deploy!I68</f>
        <v>16.5880473942424</v>
      </c>
      <c r="J8" s="29" t="n">
        <f aca="false">Deploy!J68</f>
        <v>5.93502133099746</v>
      </c>
      <c r="K8" s="29" t="n">
        <f aca="false">Deploy!K68</f>
        <v>6.53861925191924</v>
      </c>
      <c r="L8" s="29" t="n">
        <f aca="false">Deploy!L68</f>
        <v>7.20495364687336</v>
      </c>
      <c r="M8" s="29" t="n">
        <f aca="false">Deploy!M68</f>
        <v>7.9406801542932</v>
      </c>
    </row>
    <row r="9" customFormat="false" ht="17.15" hidden="false" customHeight="false" outlineLevel="0" collapsed="false">
      <c r="A9" s="5" t="s">
        <v>1569</v>
      </c>
      <c r="B9" s="0" t="s">
        <v>1486</v>
      </c>
      <c r="C9" s="0" t="s">
        <v>1327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9.04912429484715</v>
      </c>
      <c r="G9" s="29" t="n">
        <f aca="false">Deploy!G69</f>
        <v>11.6509117618926</v>
      </c>
      <c r="H9" s="29" t="n">
        <f aca="false">Deploy!H69</f>
        <v>5.20950026021831</v>
      </c>
      <c r="I9" s="29" t="n">
        <f aca="false">Deploy!I69</f>
        <v>12.8166936637054</v>
      </c>
      <c r="J9" s="29" t="n">
        <f aca="false">Deploy!J69</f>
        <v>9.29797589206531</v>
      </c>
      <c r="K9" s="29" t="n">
        <f aca="false">Deploy!K69</f>
        <v>6.20006461575795</v>
      </c>
      <c r="L9" s="29" t="n">
        <f aca="false">Deploy!L69</f>
        <v>7.63364512775638</v>
      </c>
      <c r="M9" s="29" t="n">
        <f aca="false">Deploy!M69</f>
        <v>7.81192801549474</v>
      </c>
    </row>
    <row r="10" customFormat="false" ht="17.15" hidden="false" customHeight="false" outlineLevel="0" collapsed="false">
      <c r="A10" s="5" t="s">
        <v>1570</v>
      </c>
      <c r="B10" s="0" t="s">
        <v>1486</v>
      </c>
      <c r="G10" s="29" t="n">
        <f aca="false">IF(N(G4)=0,"",G8/G4)</f>
        <v>0.526308315955666</v>
      </c>
      <c r="H10" s="29" t="n">
        <f aca="false">IF(N(H4)=0,"",H8/H4)</f>
        <v>0.131766417287386</v>
      </c>
      <c r="I10" s="29" t="n">
        <f aca="false">IF(N(I4)=0,"",I8/I4)</f>
        <v>0.314214350139589</v>
      </c>
      <c r="J10" s="29" t="n">
        <f aca="false">IF(N(J4)=0,"",J8/J4)</f>
        <v>0.0986890640379537</v>
      </c>
    </row>
    <row r="12" customFormat="false" ht="17.15" hidden="false" customHeight="false" outlineLevel="0" collapsed="false">
      <c r="A12" s="0" t="s">
        <v>1565</v>
      </c>
      <c r="B12" s="0" t="s">
        <v>1490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1566</v>
      </c>
    </row>
    <row r="13" customFormat="false" ht="17.15" hidden="false" customHeight="false" outlineLevel="0" collapsed="false">
      <c r="A13" s="5" t="s">
        <v>1567</v>
      </c>
      <c r="B13" s="0" t="s">
        <v>1490</v>
      </c>
      <c r="C13" s="0" t="s">
        <v>1326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9.04912429484715</v>
      </c>
      <c r="G13" s="29" t="n">
        <f aca="false">Deploy!G35</f>
        <v>12.3153714610592</v>
      </c>
      <c r="H13" s="29" t="n">
        <f aca="false">Deploy!H35</f>
        <v>20.1572539260371</v>
      </c>
      <c r="I13" s="29" t="n">
        <f aca="false">Deploy!I35</f>
        <v>20.2378342394798</v>
      </c>
      <c r="J13" s="29" t="n">
        <f aca="false">Deploy!J35</f>
        <v>23.7417478891671</v>
      </c>
      <c r="K13" s="29" t="n">
        <f aca="false">Deploy!K35</f>
        <v>24.0355692421623</v>
      </c>
      <c r="L13" s="29" t="n">
        <f aca="false">Deploy!L35</f>
        <v>21.1467959909579</v>
      </c>
      <c r="M13" s="29" t="n">
        <f aca="false">Deploy!M35</f>
        <v>14.6971716082197</v>
      </c>
    </row>
    <row r="14" customFormat="false" ht="17.15" hidden="false" customHeight="false" outlineLevel="0" collapsed="false">
      <c r="A14" s="5" t="s">
        <v>1567</v>
      </c>
      <c r="B14" s="0" t="s">
        <v>1490</v>
      </c>
      <c r="C14" s="0" t="s">
        <v>1327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9.04912429484715</v>
      </c>
      <c r="G14" s="29" t="n">
        <f aca="false">Deploy!G36</f>
        <v>11.6509117618926</v>
      </c>
      <c r="H14" s="29" t="n">
        <f aca="false">Deploy!H36</f>
        <v>17.3119275214805</v>
      </c>
      <c r="I14" s="29" t="n">
        <f aca="false">Deploy!I36</f>
        <v>18.394949351294</v>
      </c>
      <c r="J14" s="29" t="n">
        <f aca="false">Deploy!J36</f>
        <v>24.6272380004719</v>
      </c>
      <c r="K14" s="29" t="n">
        <f aca="false">Deploy!K36</f>
        <v>23.7512255053881</v>
      </c>
      <c r="L14" s="29" t="n">
        <f aca="false">Deploy!L36</f>
        <v>22.1976313099187</v>
      </c>
      <c r="M14" s="29" t="n">
        <f aca="false">Deploy!M36</f>
        <v>15.8258558751989</v>
      </c>
    </row>
    <row r="15" customFormat="false" ht="17.15" hidden="false" customHeight="false" outlineLevel="0" collapsed="false">
      <c r="A15" s="5" t="s">
        <v>1568</v>
      </c>
      <c r="B15" s="0" t="s">
        <v>1490</v>
      </c>
      <c r="G15" s="29" t="n">
        <f aca="false">IF(N(G12)=0,"",G13/G12)</f>
        <v>0.526308315955666</v>
      </c>
      <c r="H15" s="29" t="n">
        <f aca="false">IF(N(H12)=0,"",H13/H12)</f>
        <v>0.484005264903958</v>
      </c>
      <c r="I15" s="29" t="n">
        <f aca="false">IF(N(I12)=0,"",I13/I12)</f>
        <v>0.479186743823602</v>
      </c>
      <c r="J15" s="29" t="n">
        <f aca="false">IF(N(J12)=0,"",J13/J12)</f>
        <v>0.464451649075288</v>
      </c>
    </row>
    <row r="16" customFormat="false" ht="17.15" hidden="false" customHeight="false" outlineLevel="0" collapsed="false">
      <c r="A16" s="5" t="s">
        <v>1569</v>
      </c>
      <c r="B16" s="0" t="s">
        <v>1490</v>
      </c>
      <c r="C16" s="0" t="s">
        <v>1326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9.04912429484715</v>
      </c>
      <c r="G16" s="29" t="n">
        <f aca="false">Deploy!G84</f>
        <v>12.3153714610592</v>
      </c>
      <c r="H16" s="29" t="n">
        <f aca="false">Deploy!H84</f>
        <v>5.48764512450717</v>
      </c>
      <c r="I16" s="29" t="n">
        <f aca="false">Deploy!I84</f>
        <v>13.2704379153939</v>
      </c>
      <c r="J16" s="29" t="n">
        <f aca="false">Deploy!J84</f>
        <v>5.04476813134784</v>
      </c>
      <c r="K16" s="29" t="n">
        <f aca="false">Deploy!K84</f>
        <v>5.71245814313154</v>
      </c>
      <c r="L16" s="29" t="n">
        <f aca="false">Deploy!L84</f>
        <v>6.48011522219174</v>
      </c>
      <c r="M16" s="29" t="n">
        <f aca="false">Deploy!M84</f>
        <v>7.36479393309647</v>
      </c>
    </row>
    <row r="17" customFormat="false" ht="17.15" hidden="false" customHeight="false" outlineLevel="0" collapsed="false">
      <c r="A17" s="5" t="s">
        <v>1569</v>
      </c>
      <c r="B17" s="0" t="s">
        <v>1490</v>
      </c>
      <c r="C17" s="0" t="s">
        <v>1327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9.04912429484715</v>
      </c>
      <c r="G17" s="29" t="n">
        <f aca="false">Deploy!G85</f>
        <v>11.6509117618926</v>
      </c>
      <c r="H17" s="29" t="n">
        <f aca="false">Deploy!H85</f>
        <v>5.20950026021831</v>
      </c>
      <c r="I17" s="29" t="n">
        <f aca="false">Deploy!I85</f>
        <v>10.0796658436554</v>
      </c>
      <c r="J17" s="29" t="n">
        <f aca="false">Deploy!J85</f>
        <v>7.98293534355589</v>
      </c>
      <c r="K17" s="29" t="n">
        <f aca="false">Deploy!K85</f>
        <v>5.3626873910694</v>
      </c>
      <c r="L17" s="29" t="n">
        <f aca="false">Deploy!L85</f>
        <v>6.8910752333562</v>
      </c>
      <c r="M17" s="29" t="n">
        <f aca="false">Deploy!M85</f>
        <v>7.20997515868814</v>
      </c>
    </row>
    <row r="18" customFormat="false" ht="17.15" hidden="false" customHeight="false" outlineLevel="0" collapsed="false">
      <c r="A18" s="5" t="s">
        <v>1570</v>
      </c>
      <c r="B18" s="0" t="s">
        <v>1490</v>
      </c>
      <c r="G18" s="29" t="n">
        <f aca="false">IF(N(G12)=0,"",G16/G12)</f>
        <v>0.526308315955666</v>
      </c>
      <c r="H18" s="29" t="n">
        <f aca="false">IF(N(H12)=0,"",H16/H12)</f>
        <v>0.131766417287386</v>
      </c>
      <c r="I18" s="29" t="n">
        <f aca="false">IF(N(I12)=0,"",I16/I12)</f>
        <v>0.314214350139589</v>
      </c>
      <c r="J18" s="29" t="n">
        <f aca="false">IF(N(J12)=0,"",J16/J12)</f>
        <v>0.0986890640379536</v>
      </c>
    </row>
    <row r="20" customFormat="false" ht="17.15" hidden="false" customHeight="false" outlineLevel="0" collapsed="false">
      <c r="A20" s="0" t="s">
        <v>1565</v>
      </c>
      <c r="B20" s="0" t="s">
        <v>1492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1566</v>
      </c>
    </row>
    <row r="21" customFormat="false" ht="17.15" hidden="false" customHeight="false" outlineLevel="0" collapsed="false">
      <c r="A21" s="5" t="s">
        <v>1567</v>
      </c>
      <c r="B21" s="0" t="s">
        <v>1492</v>
      </c>
      <c r="C21" s="0" t="s">
        <v>1326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9.04912429484715</v>
      </c>
      <c r="G21" s="29" t="n">
        <f aca="false">Deploy!G51</f>
        <v>12.3153714610592</v>
      </c>
      <c r="H21" s="29" t="n">
        <f aca="false">Deploy!H51</f>
        <v>20.1572539260371</v>
      </c>
      <c r="I21" s="29" t="n">
        <f aca="false">Deploy!I51</f>
        <v>15.1783756796099</v>
      </c>
      <c r="J21" s="29" t="n">
        <f aca="false">Deploy!J51</f>
        <v>16.7588808629415</v>
      </c>
      <c r="K21" s="29" t="n">
        <f aca="false">Deploy!K51</f>
        <v>16.7295036859268</v>
      </c>
      <c r="L21" s="29" t="n">
        <f aca="false">Deploy!L51</f>
        <v>15.2478293784383</v>
      </c>
      <c r="M21" s="29" t="n">
        <f aca="false">Deploy!M51</f>
        <v>12.1724358327346</v>
      </c>
    </row>
    <row r="22" customFormat="false" ht="17.15" hidden="false" customHeight="false" outlineLevel="0" collapsed="false">
      <c r="A22" s="5" t="s">
        <v>1567</v>
      </c>
      <c r="B22" s="0" t="s">
        <v>1492</v>
      </c>
      <c r="C22" s="0" t="s">
        <v>1327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9.04912429484715</v>
      </c>
      <c r="G22" s="29" t="n">
        <f aca="false">Deploy!G52</f>
        <v>11.6509117618926</v>
      </c>
      <c r="H22" s="29" t="n">
        <f aca="false">Deploy!H52</f>
        <v>17.3119275214805</v>
      </c>
      <c r="I22" s="29" t="n">
        <f aca="false">Deploy!I52</f>
        <v>14.2208960394013</v>
      </c>
      <c r="J22" s="29" t="n">
        <f aca="false">Deploy!J52</f>
        <v>17.9809674558585</v>
      </c>
      <c r="K22" s="29" t="n">
        <f aca="false">Deploy!K52</f>
        <v>16.5017196919043</v>
      </c>
      <c r="L22" s="29" t="n">
        <f aca="false">Deploy!L52</f>
        <v>16.0524223822488</v>
      </c>
      <c r="M22" s="29" t="n">
        <f aca="false">Deploy!M52</f>
        <v>12.7106297032328</v>
      </c>
    </row>
    <row r="23" customFormat="false" ht="17.15" hidden="false" customHeight="false" outlineLevel="0" collapsed="false">
      <c r="A23" s="5" t="s">
        <v>1568</v>
      </c>
      <c r="B23" s="0" t="s">
        <v>1492</v>
      </c>
      <c r="G23" s="29" t="n">
        <f aca="false">IF(N(G20)=0,"",G21/G20)</f>
        <v>0.526308315955666</v>
      </c>
      <c r="H23" s="29" t="n">
        <f aca="false">IF(N(H20)=0,"",H21/H20)</f>
        <v>0.484005264903958</v>
      </c>
      <c r="I23" s="29" t="n">
        <f aca="false">IF(N(I20)=0,"",I21/I20)</f>
        <v>0.479186743823602</v>
      </c>
      <c r="J23" s="29" t="n">
        <f aca="false">IF(N(J20)=0,"",J21/J20)</f>
        <v>0.464451649075288</v>
      </c>
    </row>
    <row r="24" customFormat="false" ht="17.15" hidden="false" customHeight="false" outlineLevel="0" collapsed="false">
      <c r="A24" s="5" t="s">
        <v>1569</v>
      </c>
      <c r="B24" s="0" t="s">
        <v>1492</v>
      </c>
      <c r="C24" s="0" t="s">
        <v>1326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9.04912429484715</v>
      </c>
      <c r="G24" s="29" t="n">
        <f aca="false">Deploy!G100</f>
        <v>12.3153714610592</v>
      </c>
      <c r="H24" s="29" t="n">
        <f aca="false">Deploy!H100</f>
        <v>5.48764512450717</v>
      </c>
      <c r="I24" s="29" t="n">
        <f aca="false">Deploy!I100</f>
        <v>9.95282843654542</v>
      </c>
      <c r="J24" s="29" t="n">
        <f aca="false">Deploy!J100</f>
        <v>3.56101279859848</v>
      </c>
      <c r="K24" s="29" t="n">
        <f aca="false">Deploy!K100</f>
        <v>4.42170294404857</v>
      </c>
      <c r="L24" s="29" t="n">
        <f aca="false">Deploy!L100</f>
        <v>5.43718809895686</v>
      </c>
      <c r="M24" s="29" t="n">
        <f aca="false">Deploy!M100</f>
        <v>6.65128921970489</v>
      </c>
    </row>
    <row r="25" customFormat="false" ht="17.15" hidden="false" customHeight="false" outlineLevel="0" collapsed="false">
      <c r="A25" s="5" t="s">
        <v>1569</v>
      </c>
      <c r="B25" s="0" t="s">
        <v>1492</v>
      </c>
      <c r="C25" s="0" t="s">
        <v>1327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9.04912429484715</v>
      </c>
      <c r="G25" s="29" t="n">
        <f aca="false">Deploy!G101</f>
        <v>11.6509117618926</v>
      </c>
      <c r="H25" s="29" t="n">
        <f aca="false">Deploy!H101</f>
        <v>5.20950026021831</v>
      </c>
      <c r="I25" s="29" t="n">
        <f aca="false">Deploy!I101</f>
        <v>7.34263802360537</v>
      </c>
      <c r="J25" s="29" t="n">
        <f aca="false">Deploy!J101</f>
        <v>6.17825553523918</v>
      </c>
      <c r="K25" s="29" t="n">
        <f aca="false">Deploy!K101</f>
        <v>4.03815716859483</v>
      </c>
      <c r="L25" s="29" t="n">
        <f aca="false">Deploy!L101</f>
        <v>5.80477819684789</v>
      </c>
      <c r="M25" s="29" t="n">
        <f aca="false">Deploy!M101</f>
        <v>6.43882152357399</v>
      </c>
    </row>
    <row r="26" customFormat="false" ht="17.15" hidden="false" customHeight="false" outlineLevel="0" collapsed="false">
      <c r="A26" s="5" t="s">
        <v>1570</v>
      </c>
      <c r="B26" s="0" t="s">
        <v>1492</v>
      </c>
      <c r="G26" s="29" t="n">
        <f aca="false">IF(N(G20)=0,"",G24/G20)</f>
        <v>0.526308315955666</v>
      </c>
      <c r="H26" s="29" t="n">
        <f aca="false">IF(N(H20)=0,"",H24/H20)</f>
        <v>0.131766417287386</v>
      </c>
      <c r="I26" s="29" t="n">
        <f aca="false">IF(N(I20)=0,"",I24/I20)</f>
        <v>0.314214350139589</v>
      </c>
      <c r="J26" s="29" t="n">
        <f aca="false">IF(N(J20)=0,"",J24/J20)</f>
        <v>0.0986890640379537</v>
      </c>
    </row>
    <row r="28" customFormat="false" ht="17.15" hidden="false" customHeight="false" outlineLevel="0" collapsed="false">
      <c r="A28" s="21" t="s">
        <v>1571</v>
      </c>
    </row>
    <row r="29" customFormat="false" ht="17.15" hidden="false" customHeight="false" outlineLevel="0" collapsed="false">
      <c r="A29" s="5" t="s">
        <v>1572</v>
      </c>
      <c r="B29" s="0" t="s">
        <v>1486</v>
      </c>
      <c r="C29" s="0" t="s">
        <v>1326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37.6525147943925</v>
      </c>
      <c r="H29" s="29" t="n">
        <f aca="false">Deploy!H13</f>
        <v>57.8097687204296</v>
      </c>
      <c r="I29" s="29" t="n">
        <f aca="false">Deploy!I13</f>
        <v>83.1070615197793</v>
      </c>
      <c r="J29" s="29" t="n">
        <f aca="false">Deploy!J13</f>
        <v>111.038529624682</v>
      </c>
      <c r="K29" s="29" t="n">
        <f aca="false">Deploy!K13</f>
        <v>139.619120965554</v>
      </c>
      <c r="L29" s="29" t="n">
        <f aca="false">Deploy!L13</f>
        <v>164.568601332265</v>
      </c>
      <c r="M29" s="29" t="n">
        <f aca="false">Deploy!M13</f>
        <v>181.025461465491</v>
      </c>
    </row>
    <row r="30" customFormat="false" ht="17.15" hidden="false" customHeight="false" outlineLevel="0" collapsed="false">
      <c r="A30" s="5" t="s">
        <v>1573</v>
      </c>
      <c r="B30" s="0" t="s">
        <v>1486</v>
      </c>
      <c r="C30" s="0" t="s">
        <v>1326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37.6525147943925</v>
      </c>
      <c r="H30" s="29" t="n">
        <f aca="false">H29+MAX(0,tgt_xai_27-N(Players!H182))</f>
        <v>65.8097687204296</v>
      </c>
      <c r="I30" s="29" t="n">
        <f aca="false">I29+MAX(0,tgt_xai_27-N(Players!H182))</f>
        <v>91.1070615197793</v>
      </c>
      <c r="J30" s="29" t="n">
        <f aca="false">J29+MAX(0,tgt_xai_27-N(Players!H182))</f>
        <v>119.038529624682</v>
      </c>
      <c r="K30" s="29" t="n">
        <f aca="false">K29+MAX(0,tgt_xai_27-N(Players!H182))</f>
        <v>147.619120965554</v>
      </c>
      <c r="L30" s="29" t="n">
        <f aca="false">L29+MAX(0,tgt_xai_27-N(Players!H182))</f>
        <v>172.568601332265</v>
      </c>
      <c r="M30" s="29" t="n">
        <f aca="false">M29+MAX(0,tgt_xai_27-N(Players!H182))</f>
        <v>189.025461465491</v>
      </c>
      <c r="N30" s="20" t="s">
        <v>1574</v>
      </c>
    </row>
    <row r="31" customFormat="false" ht="17.15" hidden="false" customHeight="false" outlineLevel="0" collapsed="false">
      <c r="A31" s="5" t="s">
        <v>1575</v>
      </c>
      <c r="B31" s="0" t="s">
        <v>1486</v>
      </c>
      <c r="C31" s="0" t="s">
        <v>1326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37.6525147943925</v>
      </c>
      <c r="H31" s="29" t="n">
        <f aca="false">H29+(CapexGW!H147-CapexGW!H144)</f>
        <v>55.9584421947594</v>
      </c>
      <c r="I31" s="29" t="n">
        <f aca="false">I29+(CapexGW!H147-CapexGW!H144)+(CapexGW!I147-CapexGW!I144)</f>
        <v>78.7383139660573</v>
      </c>
      <c r="J31" s="29" t="n">
        <f aca="false">J29+(CapexGW!H147-CapexGW!H144)+(CapexGW!I147-CapexGW!I144)+(CapexGW!J147-CapexGW!J144)</f>
        <v>103.857788332853</v>
      </c>
      <c r="K31" s="29" t="n">
        <f aca="false">K29+(CapexGW!H147-CapexGW!H144)+(CapexGW!I147-CapexGW!I144)+(CapexGW!J147-CapexGW!J144)</f>
        <v>132.438379673725</v>
      </c>
      <c r="L31" s="29" t="n">
        <f aca="false">L29+(CapexGW!H147-CapexGW!H144)+(CapexGW!I147-CapexGW!I144)+(CapexGW!J147-CapexGW!J144)</f>
        <v>157.387860040436</v>
      </c>
      <c r="M31" s="29" t="n">
        <f aca="false">M29+(CapexGW!H147-CapexGW!H144)+(CapexGW!I147-CapexGW!I144)+(CapexGW!J147-CapexGW!J144)</f>
        <v>173.844720173663</v>
      </c>
      <c r="N31" s="20" t="s">
        <v>1576</v>
      </c>
    </row>
    <row r="32" customFormat="false" ht="17.15" hidden="false" customHeight="false" outlineLevel="0" collapsed="false">
      <c r="A32" s="5" t="s">
        <v>1577</v>
      </c>
      <c r="B32" s="0" t="s">
        <v>1486</v>
      </c>
      <c r="C32" s="0" t="s">
        <v>1326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37.6525147943925</v>
      </c>
      <c r="H32" s="29" t="n">
        <f aca="false">H29+(CapexGW!H148-CapexGW!H144)</f>
        <v>59.5942575184125</v>
      </c>
      <c r="I32" s="29" t="n">
        <f aca="false">I29+(CapexGW!H148-CapexGW!H144)+(CapexGW!I148-CapexGW!I144)</f>
        <v>87.3354972546483</v>
      </c>
      <c r="J32" s="29" t="n">
        <f aca="false">J29+(CapexGW!H148-CapexGW!H144)+(CapexGW!I148-CapexGW!I144)+(CapexGW!J148-CapexGW!J144)</f>
        <v>117.997392791673</v>
      </c>
      <c r="K32" s="29" t="n">
        <f aca="false">K29+(CapexGW!H148-CapexGW!H144)+(CapexGW!I148-CapexGW!I144)+(CapexGW!J148-CapexGW!J144)</f>
        <v>146.577984132545</v>
      </c>
      <c r="L32" s="29" t="n">
        <f aca="false">L29+(CapexGW!H148-CapexGW!H144)+(CapexGW!I148-CapexGW!I144)+(CapexGW!J148-CapexGW!J144)</f>
        <v>171.527464499256</v>
      </c>
      <c r="M32" s="29" t="n">
        <f aca="false">M29+(CapexGW!H148-CapexGW!H144)+(CapexGW!I148-CapexGW!I144)+(CapexGW!J148-CapexGW!J144)</f>
        <v>187.984324632483</v>
      </c>
      <c r="N32" s="20" t="s">
        <v>1576</v>
      </c>
    </row>
    <row r="33" customFormat="false" ht="17.15" hidden="false" customHeight="false" outlineLevel="0" collapsed="false">
      <c r="A33" s="5" t="s">
        <v>1578</v>
      </c>
      <c r="B33" s="0" t="s">
        <v>1486</v>
      </c>
      <c r="C33" s="0" t="s">
        <v>1326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37.6525147943925</v>
      </c>
      <c r="H33" s="29" t="n">
        <f aca="false">H29+(CapexGW!H149-CapexGW!H144)</f>
        <v>58.5852514206776</v>
      </c>
      <c r="I33" s="29" t="n">
        <f aca="false">I29+(CapexGW!H149-CapexGW!H144)+(CapexGW!I149-CapexGW!I144)</f>
        <v>84.4713919256298</v>
      </c>
      <c r="J33" s="29" t="n">
        <f aca="false">J29+(CapexGW!H149-CapexGW!H144)+(CapexGW!I149-CapexGW!I144)+(CapexGW!J149-CapexGW!J144)</f>
        <v>112.65261402028</v>
      </c>
      <c r="K33" s="29" t="n">
        <f aca="false">K29+(CapexGW!H149-CapexGW!H144)+(CapexGW!I149-CapexGW!I144)+(CapexGW!J149-CapexGW!J144)</f>
        <v>141.233205361152</v>
      </c>
      <c r="L33" s="29" t="n">
        <f aca="false">L29+(CapexGW!H149-CapexGW!H144)+(CapexGW!I149-CapexGW!I144)+(CapexGW!J149-CapexGW!J144)</f>
        <v>166.182685727862</v>
      </c>
      <c r="M33" s="29" t="n">
        <f aca="false">M29+(CapexGW!H149-CapexGW!H144)+(CapexGW!I149-CapexGW!I144)+(CapexGW!J149-CapexGW!J144)</f>
        <v>182.639545861089</v>
      </c>
      <c r="N33" s="20" t="s">
        <v>1576</v>
      </c>
    </row>
    <row r="34" customFormat="false" ht="17.15" hidden="false" customHeight="false" outlineLevel="0" collapsed="false">
      <c r="A34" s="5" t="s">
        <v>1579</v>
      </c>
      <c r="B34" s="0" t="s">
        <v>1486</v>
      </c>
      <c r="C34" s="0" t="s">
        <v>1326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37.6525147943925</v>
      </c>
      <c r="H34" s="29" t="n">
        <f aca="false">H29+(CapexGW!H150-CapexGW!H144)</f>
        <v>57.0342860201816</v>
      </c>
      <c r="I34" s="29" t="n">
        <f aca="false">I29+(CapexGW!H150-CapexGW!H144)+(CapexGW!I150-CapexGW!I144)</f>
        <v>81.7427311139289</v>
      </c>
      <c r="J34" s="29" t="n">
        <f aca="false">J29+(CapexGW!H150-CapexGW!H144)+(CapexGW!I150-CapexGW!I144)+(CapexGW!J150-CapexGW!J144)</f>
        <v>109.424445229084</v>
      </c>
      <c r="K34" s="29" t="n">
        <f aca="false">K29+(CapexGW!H150-CapexGW!H144)+(CapexGW!I150-CapexGW!I144)+(CapexGW!J150-CapexGW!J144)</f>
        <v>138.005036569956</v>
      </c>
      <c r="L34" s="29" t="n">
        <f aca="false">L29+(CapexGW!H150-CapexGW!H144)+(CapexGW!I150-CapexGW!I144)+(CapexGW!J150-CapexGW!J144)</f>
        <v>162.954516936667</v>
      </c>
      <c r="M34" s="29" t="n">
        <f aca="false">M29+(CapexGW!H150-CapexGW!H144)+(CapexGW!I150-CapexGW!I144)+(CapexGW!J150-CapexGW!J144)</f>
        <v>179.411377069893</v>
      </c>
      <c r="N34" s="20" t="s">
        <v>1576</v>
      </c>
    </row>
    <row r="36" customFormat="false" ht="17.15" hidden="false" customHeight="false" outlineLevel="0" collapsed="false">
      <c r="A36" s="5" t="s">
        <v>1580</v>
      </c>
    </row>
    <row r="37" customFormat="false" ht="17.15" hidden="false" customHeight="false" outlineLevel="0" collapsed="false">
      <c r="A37" s="0" t="s">
        <v>1581</v>
      </c>
    </row>
    <row r="38" customFormat="false" ht="17.15" hidden="false" customHeight="false" outlineLevel="0" collapsed="false">
      <c r="A38" s="0" t="s">
        <v>1582</v>
      </c>
    </row>
    <row r="39" customFormat="false" ht="17.15" hidden="false" customHeight="false" outlineLevel="0" collapsed="false">
      <c r="A39" s="0" t="s">
        <v>1583</v>
      </c>
    </row>
    <row r="40" customFormat="false" ht="17.15" hidden="false" customHeight="false" outlineLevel="0" collapsed="false">
      <c r="A40" s="0" t="s">
        <v>1584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1585</v>
      </c>
    </row>
    <row r="2" customFormat="false" ht="17.15" hidden="false" customHeight="false" outlineLevel="0" collapsed="false">
      <c r="A2" s="5" t="s">
        <v>1586</v>
      </c>
    </row>
    <row r="3" customFormat="false" ht="17.15" hidden="false" customHeight="false" outlineLevel="0" collapsed="false">
      <c r="A3" s="5" t="s">
        <v>1587</v>
      </c>
    </row>
    <row r="4" customFormat="false" ht="17.15" hidden="false" customHeight="false" outlineLevel="0" collapsed="false">
      <c r="A4" s="6" t="s">
        <v>1276</v>
      </c>
      <c r="B4" s="6" t="s">
        <v>13</v>
      </c>
      <c r="C4" s="6" t="s">
        <v>1554</v>
      </c>
      <c r="D4" s="6" t="s">
        <v>1555</v>
      </c>
      <c r="E4" s="6" t="s">
        <v>1588</v>
      </c>
      <c r="F4" s="6" t="s">
        <v>1589</v>
      </c>
      <c r="G4" s="6" t="s">
        <v>1590</v>
      </c>
      <c r="H4" s="6" t="s">
        <v>1591</v>
      </c>
      <c r="I4" s="6" t="s">
        <v>1592</v>
      </c>
      <c r="J4" s="6" t="s">
        <v>1593</v>
      </c>
      <c r="K4" s="6" t="s">
        <v>1594</v>
      </c>
      <c r="L4" s="7" t="s">
        <v>1595</v>
      </c>
      <c r="M4" s="6" t="s">
        <v>1596</v>
      </c>
      <c r="N4" s="6" t="s">
        <v>1597</v>
      </c>
      <c r="O4" s="6" t="s">
        <v>1598</v>
      </c>
      <c r="P4" s="6" t="s">
        <v>1599</v>
      </c>
      <c r="Q4" s="6" t="s">
        <v>1600</v>
      </c>
      <c r="R4" s="6" t="s">
        <v>1601</v>
      </c>
      <c r="S4" s="6" t="s">
        <v>1602</v>
      </c>
      <c r="T4" s="6" t="s">
        <v>1603</v>
      </c>
      <c r="U4" s="6" t="s">
        <v>1604</v>
      </c>
      <c r="V4" s="6" t="s">
        <v>1605</v>
      </c>
      <c r="W4" s="6" t="s">
        <v>1606</v>
      </c>
      <c r="X4" s="6" t="s">
        <v>1607</v>
      </c>
      <c r="Y4" s="6" t="s">
        <v>1608</v>
      </c>
      <c r="Z4" s="6" t="s">
        <v>1609</v>
      </c>
      <c r="AA4" s="6" t="s">
        <v>1610</v>
      </c>
      <c r="AB4" s="6" t="s">
        <v>1611</v>
      </c>
      <c r="AC4" s="6" t="s">
        <v>1612</v>
      </c>
      <c r="AD4" s="6" t="s">
        <v>1613</v>
      </c>
      <c r="AE4" s="6" t="s">
        <v>1614</v>
      </c>
      <c r="AF4" s="6" t="s">
        <v>1615</v>
      </c>
      <c r="AG4" s="6" t="s">
        <v>1616</v>
      </c>
      <c r="AH4" s="6" t="s">
        <v>1617</v>
      </c>
      <c r="AI4" s="6" t="s">
        <v>1618</v>
      </c>
      <c r="AJ4" s="6" t="s">
        <v>1619</v>
      </c>
      <c r="AK4" s="6" t="s">
        <v>1620</v>
      </c>
      <c r="AL4" s="6" t="s">
        <v>1621</v>
      </c>
      <c r="AM4" s="6" t="s">
        <v>1622</v>
      </c>
      <c r="AN4" s="6" t="s">
        <v>1623</v>
      </c>
      <c r="AO4" s="6" t="s">
        <v>1624</v>
      </c>
      <c r="AP4" s="6" t="s">
        <v>1625</v>
      </c>
      <c r="AQ4" s="6" t="s">
        <v>1626</v>
      </c>
    </row>
    <row r="5" customFormat="false" ht="15" hidden="false" customHeight="false" outlineLevel="0" collapsed="false">
      <c r="A5" s="0" t="s">
        <v>1627</v>
      </c>
      <c r="B5" s="0" t="s">
        <v>504</v>
      </c>
      <c r="C5" s="0" t="n">
        <v>2024</v>
      </c>
      <c r="D5" s="0" t="s">
        <v>1628</v>
      </c>
      <c r="E5" s="32" t="str">
        <f aca="false">IF((COUNTIFS(FundRaw!$C$4:$C$233,"msft",FundRaw!$E$4:$E$233,"2024",FundRaw!$F$4:$F$233,"ocf",FundRaw!$O$4:$O$233,1))=0,"",SUMIFS(FundRaw!$G$4:$G$233,FundRaw!$C$4:$C$233,"msft",FundRaw!$E$4:$E$233,"2024",FundRaw!$F$4:$F$233,"ocf",FundRaw!$O$4:$O$233,1))</f>
        <v/>
      </c>
      <c r="F5" s="32" t="str">
        <f aca="false">IF((COUNTIFS(FundRaw!$C$4:$C$233,"msft",FundRaw!$E$4:$E$233,"2024",FundRaw!$F$4:$F$233,"capex_cash",FundRaw!$O$4:$O$233,1))=0,"",SUMIFS(FundRaw!$G$4:$G$233,FundRaw!$C$4:$C$233,"msft",FundRaw!$E$4:$E$233,"2024",FundRaw!$F$4:$F$233,"capex_cash",FundRaw!$O$4:$O$233,1))</f>
        <v/>
      </c>
      <c r="G5" s="32" t="str">
        <f aca="false">IF((COUNTIFS(FundRaw!$C$4:$C$233,"msft",FundRaw!$E$4:$E$233,"2024",FundRaw!$F$4:$F$233,"fin_lease_new",FundRaw!$O$4:$O$233,1))=0,"",SUMIFS(FundRaw!$G$4:$G$233,FundRaw!$C$4:$C$233,"msft",FundRaw!$E$4:$E$233,"2024",FundRaw!$F$4:$F$233,"fin_lease_new",FundRaw!$O$4:$O$233,1))</f>
        <v/>
      </c>
      <c r="H5" s="32" t="str">
        <f aca="false">IF((COUNTIFS(FundRaw!$C$4:$C$233,"msft",FundRaw!$E$4:$E$233,"2024",FundRaw!$F$4:$F$233,"capex_incl_fl",FundRaw!$O$4:$O$233,1))=0,"",SUMIFS(FundRaw!$G$4:$G$233,FundRaw!$C$4:$C$233,"msft",FundRaw!$E$4:$E$233,"2024",FundRaw!$F$4:$F$233,"capex_incl_fl",FundRaw!$O$4:$O$233,1))</f>
        <v/>
      </c>
      <c r="I5" s="32" t="str">
        <f aca="false">IF((COUNTIFS(FundRaw!$C$4:$C$233,"msft",FundRaw!$E$4:$E$233,"2024",FundRaw!$F$4:$F$233,"fcf",FundRaw!$O$4:$O$233,1))=0,"",SUMIFS(FundRaw!$G$4:$G$233,FundRaw!$C$4:$C$233,"msft",FundRaw!$E$4:$E$233,"2024",FundRaw!$F$4:$F$233,"fcf",FundRaw!$O$4:$O$233,1))</f>
        <v/>
      </c>
      <c r="J5" s="32" t="n">
        <f aca="false">IF((COUNTIFS(FundRaw!$C$4:$C$233,"msft",FundRaw!$E$4:$E$233,"2024",FundRaw!$F$4:$F$233,"bond_issue",FundRaw!$O$4:$O$233,1))=0,"",SUMIFS(FundRaw!$G$4:$G$233,FundRaw!$C$4:$C$233,"msft",FundRaw!$E$4:$E$233,"2024",FundRaw!$F$4:$F$233,"bond_issue",FundRaw!$O$4:$O$233,1))</f>
        <v>24.395</v>
      </c>
      <c r="K5" s="32" t="str">
        <f aca="false">IF((COUNTIFS(FundRaw!$C$4:$C$233,"msft",FundRaw!$E$4:$E$233,"2024",FundRaw!$F$4:$F$233,"term_loan",FundRaw!$O$4:$O$233,1))=0,"",SUMIFS(FundRaw!$G$4:$G$233,FundRaw!$C$4:$C$233,"msft",FundRaw!$E$4:$E$233,"2024",FundRaw!$F$4:$F$233,"term_loan",FundRaw!$O$4:$O$233,1))</f>
        <v/>
      </c>
      <c r="L5" s="32" t="str">
        <f aca="false">IF((COUNTIFS(FundRaw!$C$4:$C$233,"msft",FundRaw!$E$4:$E$233,"2024",FundRaw!$F$4:$F$233,"gpu_debt",FundRaw!$O$4:$O$233,1))=0,"",SUMIFS(FundRaw!$G$4:$G$233,FundRaw!$C$4:$C$233,"msft",FundRaw!$E$4:$E$233,"2024",FundRaw!$F$4:$F$233,"gpu_debt",FundRaw!$O$4:$O$233,1))</f>
        <v/>
      </c>
      <c r="M5" s="32" t="str">
        <f aca="false">IF((COUNTIFS(FundRaw!$C$4:$C$233,"msft",FundRaw!$E$4:$E$233,"2024",FundRaw!$F$4:$F$233,"private_credit",FundRaw!$O$4:$O$233,1))=0,"",SUMIFS(FundRaw!$G$4:$G$233,FundRaw!$C$4:$C$233,"msft",FundRaw!$E$4:$E$233,"2024",FundRaw!$F$4:$F$233,"private_credit",FundRaw!$O$4:$O$233,1))</f>
        <v/>
      </c>
      <c r="N5" s="32" t="str">
        <f aca="false">IF((COUNTIFS(FundRaw!$C$4:$C$233,"msft",FundRaw!$E$4:$E$233,"2024",FundRaw!$F$4:$F$233,"net_debt_change",FundRaw!$O$4:$O$233,1))=0,"",SUMIFS(FundRaw!$G$4:$G$233,FundRaw!$C$4:$C$233,"msft",FundRaw!$E$4:$E$233,"2024",FundRaw!$F$4:$F$233,"net_debt_change",FundRaw!$O$4:$O$233,1))</f>
        <v/>
      </c>
      <c r="O5" s="32" t="str">
        <f aca="false">IF((COUNTIFS(FundRaw!$C$4:$C$233,"msft",FundRaw!$E$4:$E$233,"2024",FundRaw!$F$4:$F$233,"lease_not_commenced",FundRaw!$O$4:$O$233,1))=0,"",SUMIFS(FundRaw!$G$4:$G$233,FundRaw!$C$4:$C$233,"msft",FundRaw!$E$4:$E$233,"2024",FundRaw!$F$4:$F$233,"lease_not_commenced",FundRaw!$O$4:$O$233,1))</f>
        <v/>
      </c>
      <c r="P5" s="32" t="str">
        <f aca="false">IF((COUNTIFS(FundRaw!$C$4:$C$233,"msft",FundRaw!$E$4:$E$233,"2024",FundRaw!$F$4:$F$233,"jv_offbalance",FundRaw!$O$4:$O$233,1))=0,"",SUMIFS(FundRaw!$G$4:$G$233,FundRaw!$C$4:$C$233,"msft",FundRaw!$E$4:$E$233,"2024",FundRaw!$F$4:$F$233,"jv_offbalance",FundRaw!$O$4:$O$233,1))</f>
        <v/>
      </c>
      <c r="Q5" s="32" t="str">
        <f aca="false">IF((COUNTIFS(FundRaw!$C$4:$C$233,"msft",FundRaw!$E$4:$E$233,"2024",FundRaw!$F$4:$F$233,"jv_exposure",FundRaw!$O$4:$O$233,1))=0,"",SUMIFS(FundRaw!$G$4:$G$233,FundRaw!$C$4:$C$233,"msft",FundRaw!$E$4:$E$233,"2024",FundRaw!$F$4:$F$233,"jv_exposure",FundRaw!$O$4:$O$233,1))</f>
        <v/>
      </c>
      <c r="R5" s="32" t="str">
        <f aca="false">IF((COUNTIFS(FundRaw!$C$4:$C$233,"msft",FundRaw!$E$4:$E$233,"2024",FundRaw!$F$4:$F$233,"equity_round",FundRaw!$O$4:$O$233,1))=0,"",SUMIFS(FundRaw!$G$4:$G$233,FundRaw!$C$4:$C$233,"msft",FundRaw!$E$4:$E$233,"2024",FundRaw!$F$4:$F$233,"equity_round",FundRaw!$O$4:$O$233,1))</f>
        <v/>
      </c>
      <c r="S5" s="32" t="str">
        <f aca="false">IF((COUNTIFS(FundRaw!$C$4:$C$233,"msft",FundRaw!$E$4:$E$233,"2024",FundRaw!$F$4:$F$233,"vendor_financing",FundRaw!$O$4:$O$233,1))=0,"",SUMIFS(FundRaw!$G$4:$G$233,FundRaw!$C$4:$C$233,"msft",FundRaw!$E$4:$E$233,"2024",FundRaw!$F$4:$F$233,"vendor_financing",FundRaw!$O$4:$O$233,1))</f>
        <v/>
      </c>
      <c r="T5" s="32" t="n">
        <f aca="false">IF((COUNTIFS(FundRaw!$C$4:$C$233,"msft",FundRaw!$E$4:$E$233,"2024",FundRaw!$F$4:$F$233,"buyback_div",FundRaw!$O$4:$O$233,1))=0,"",SUMIFS(FundRaw!$G$4:$G$233,FundRaw!$C$4:$C$233,"msft",FundRaw!$E$4:$E$233,"2024",FundRaw!$F$4:$F$233,"buyback_div",FundRaw!$O$4:$O$233,1))</f>
        <v>39.025</v>
      </c>
      <c r="U5" s="32" t="str">
        <f aca="false">IF((COUNTIFS(FundRaw!$C$4:$C$233,"msft",FundRaw!$E$4:$E$233,"2024",FundRaw!$F$4:$F$233,"gpu_debt_talks",FundRaw!$O$4:$O$233,1))=0,"",SUMIFS(FundRaw!$G$4:$G$233,FundRaw!$C$4:$C$233,"msft",FundRaw!$E$4:$E$233,"2024",FundRaw!$F$4:$F$233,"gpu_debt_talks",FundRaw!$O$4:$O$233,1))</f>
        <v/>
      </c>
      <c r="V5" s="32" t="str">
        <f aca="false">IF((COUNTIFS(FundRaw!$C$4:$C$233,"msft",FundRaw!$E$4:$E$233,"2024",FundRaw!$F$4:$F$233,"bridge_refi",FundRaw!$O$4:$O$233,1))=0,"",SUMIFS(FundRaw!$G$4:$G$233,FundRaw!$C$4:$C$233,"msft",FundRaw!$E$4:$E$233,"2024",FundRaw!$F$4:$F$233,"bridge_refi",FundRaw!$O$4:$O$233,1))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  <c r="AL5" s="32" t="n">
        <f aca="false">N(J5)+N(K5)+N(L5)+N(M5)+IF(AND(H5&lt;&gt;"",F5&lt;&gt;""),MAX(0,H5-F5),N(G5))+N(P5)+N(R5)</f>
        <v>24.395</v>
      </c>
      <c r="AM5" s="37" t="str">
        <f aca="false">IF(OR(W5="",N(W5)=0),"",AL5/W5)</f>
        <v/>
      </c>
      <c r="AN5" s="37" t="str">
        <f aca="false">IF(OR(W5="",N(W5)=0,E5=""),"",E5/W5)</f>
        <v/>
      </c>
      <c r="AO5" s="22" t="str">
        <f aca="false">IF(OR(W5="",N(W5)=0),"",(N(J5)+N(K5)+N(L5)+N(M5))/W5)</f>
        <v/>
      </c>
      <c r="AP5" s="22" t="str">
        <f aca="false">IF(OR(W5="",N(W5)=0),"",N(R5)/W5)</f>
        <v/>
      </c>
      <c r="AQ5" s="22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1627</v>
      </c>
      <c r="B6" s="0" t="s">
        <v>504</v>
      </c>
      <c r="C6" s="0" t="n">
        <v>2025</v>
      </c>
      <c r="D6" s="0" t="s">
        <v>1629</v>
      </c>
      <c r="E6" s="32" t="n">
        <f aca="false">IF((COUNTIFS(FundRaw!$C$4:$C$233,"msft",FundRaw!$E$4:$E$233,"2025",FundRaw!$F$4:$F$233,"ocf",FundRaw!$O$4:$O$233,1))=0,"",SUMIFS(FundRaw!$G$4:$G$233,FundRaw!$C$4:$C$233,"msft",FundRaw!$E$4:$E$233,"2025",FundRaw!$F$4:$F$233,"ocf",FundRaw!$O$4:$O$233,1))</f>
        <v>136.162</v>
      </c>
      <c r="F6" s="32" t="n">
        <f aca="false">IF((COUNTIFS(FundRaw!$C$4:$C$233,"msft",FundRaw!$E$4:$E$233,"2025",FundRaw!$F$4:$F$233,"capex_cash",FundRaw!$O$4:$O$233,1))=0,"",SUMIFS(FundRaw!$G$4:$G$233,FundRaw!$C$4:$C$233,"msft",FundRaw!$E$4:$E$233,"2025",FundRaw!$F$4:$F$233,"capex_cash",FundRaw!$O$4:$O$233,1))</f>
        <v>64.551</v>
      </c>
      <c r="G6" s="32" t="n">
        <f aca="false">IF((COUNTIFS(FundRaw!$C$4:$C$233,"msft",FundRaw!$E$4:$E$233,"2025",FundRaw!$F$4:$F$233,"fin_lease_new",FundRaw!$O$4:$O$233,1))=0,"",SUMIFS(FundRaw!$G$4:$G$233,FundRaw!$C$4:$C$233,"msft",FundRaw!$E$4:$E$233,"2025",FundRaw!$F$4:$F$233,"fin_lease_new",FundRaw!$O$4:$O$233,1))</f>
        <v>20.511</v>
      </c>
      <c r="H6" s="32" t="n">
        <f aca="false">IF((COUNTIFS(FundRaw!$C$4:$C$233,"msft",FundRaw!$E$4:$E$233,"2025",FundRaw!$F$4:$F$233,"capex_incl_fl",FundRaw!$O$4:$O$233,1))=0,"",SUMIFS(FundRaw!$G$4:$G$233,FundRaw!$C$4:$C$233,"msft",FundRaw!$E$4:$E$233,"2025",FundRaw!$F$4:$F$233,"capex_incl_fl",FundRaw!$O$4:$O$233,1))</f>
        <v>85.062</v>
      </c>
      <c r="I6" s="32" t="str">
        <f aca="false">IF((COUNTIFS(FundRaw!$C$4:$C$233,"msft",FundRaw!$E$4:$E$233,"2025",FundRaw!$F$4:$F$233,"fcf",FundRaw!$O$4:$O$233,1))=0,"",SUMIFS(FundRaw!$G$4:$G$233,FundRaw!$C$4:$C$233,"msft",FundRaw!$E$4:$E$233,"2025",FundRaw!$F$4:$F$233,"fcf",FundRaw!$O$4:$O$233,1))</f>
        <v/>
      </c>
      <c r="J6" s="32" t="n">
        <f aca="false">IF((COUNTIFS(FundRaw!$C$4:$C$233,"msft",FundRaw!$E$4:$E$233,"2025",FundRaw!$F$4:$F$233,"bond_issue",FundRaw!$O$4:$O$233,1))=0,"",SUMIFS(FundRaw!$G$4:$G$233,FundRaw!$C$4:$C$233,"msft",FundRaw!$E$4:$E$233,"2025",FundRaw!$F$4:$F$233,"bond_issue",FundRaw!$O$4:$O$233,1))</f>
        <v>0</v>
      </c>
      <c r="K6" s="32" t="str">
        <f aca="false">IF((COUNTIFS(FundRaw!$C$4:$C$233,"msft",FundRaw!$E$4:$E$233,"2025",FundRaw!$F$4:$F$233,"term_loan",FundRaw!$O$4:$O$233,1))=0,"",SUMIFS(FundRaw!$G$4:$G$233,FundRaw!$C$4:$C$233,"msft",FundRaw!$E$4:$E$233,"2025",FundRaw!$F$4:$F$233,"term_loan",FundRaw!$O$4:$O$233,1))</f>
        <v/>
      </c>
      <c r="L6" s="32" t="str">
        <f aca="false">IF((COUNTIFS(FundRaw!$C$4:$C$233,"msft",FundRaw!$E$4:$E$233,"2025",FundRaw!$F$4:$F$233,"gpu_debt",FundRaw!$O$4:$O$233,1))=0,"",SUMIFS(FundRaw!$G$4:$G$233,FundRaw!$C$4:$C$233,"msft",FundRaw!$E$4:$E$233,"2025",FundRaw!$F$4:$F$233,"gpu_debt",FundRaw!$O$4:$O$233,1))</f>
        <v/>
      </c>
      <c r="M6" s="32" t="str">
        <f aca="false">IF((COUNTIFS(FundRaw!$C$4:$C$233,"msft",FundRaw!$E$4:$E$233,"2025",FundRaw!$F$4:$F$233,"private_credit",FundRaw!$O$4:$O$233,1))=0,"",SUMIFS(FundRaw!$G$4:$G$233,FundRaw!$C$4:$C$233,"msft",FundRaw!$E$4:$E$233,"2025",FundRaw!$F$4:$F$233,"private_credit",FundRaw!$O$4:$O$233,1))</f>
        <v/>
      </c>
      <c r="N6" s="32" t="str">
        <f aca="false">IF((COUNTIFS(FundRaw!$C$4:$C$233,"msft",FundRaw!$E$4:$E$233,"2025",FundRaw!$F$4:$F$233,"net_debt_change",FundRaw!$O$4:$O$233,1))=0,"",SUMIFS(FundRaw!$G$4:$G$233,FundRaw!$C$4:$C$233,"msft",FundRaw!$E$4:$E$233,"2025",FundRaw!$F$4:$F$233,"net_debt_change",FundRaw!$O$4:$O$233,1))</f>
        <v/>
      </c>
      <c r="O6" s="32" t="n">
        <f aca="false">IF((COUNTIFS(FundRaw!$C$4:$C$233,"msft",FundRaw!$E$4:$E$233,"2025",FundRaw!$F$4:$F$233,"lease_not_commenced",FundRaw!$O$4:$O$233,1))=0,"",SUMIFS(FundRaw!$G$4:$G$233,FundRaw!$C$4:$C$233,"msft",FundRaw!$E$4:$E$233,"2025",FundRaw!$F$4:$F$233,"lease_not_commenced",FundRaw!$O$4:$O$233,1))</f>
        <v>92.7</v>
      </c>
      <c r="P6" s="32" t="str">
        <f aca="false">IF((COUNTIFS(FundRaw!$C$4:$C$233,"msft",FundRaw!$E$4:$E$233,"2025",FundRaw!$F$4:$F$233,"jv_offbalance",FundRaw!$O$4:$O$233,1))=0,"",SUMIFS(FundRaw!$G$4:$G$233,FundRaw!$C$4:$C$233,"msft",FundRaw!$E$4:$E$233,"2025",FundRaw!$F$4:$F$233,"jv_offbalance",FundRaw!$O$4:$O$233,1))</f>
        <v/>
      </c>
      <c r="Q6" s="32" t="str">
        <f aca="false">IF((COUNTIFS(FundRaw!$C$4:$C$233,"msft",FundRaw!$E$4:$E$233,"2025",FundRaw!$F$4:$F$233,"jv_exposure",FundRaw!$O$4:$O$233,1))=0,"",SUMIFS(FundRaw!$G$4:$G$233,FundRaw!$C$4:$C$233,"msft",FundRaw!$E$4:$E$233,"2025",FundRaw!$F$4:$F$233,"jv_exposure",FundRaw!$O$4:$O$233,1))</f>
        <v/>
      </c>
      <c r="R6" s="32" t="str">
        <f aca="false">IF((COUNTIFS(FundRaw!$C$4:$C$233,"msft",FundRaw!$E$4:$E$233,"2025",FundRaw!$F$4:$F$233,"equity_round",FundRaw!$O$4:$O$233,1))=0,"",SUMIFS(FundRaw!$G$4:$G$233,FundRaw!$C$4:$C$233,"msft",FundRaw!$E$4:$E$233,"2025",FundRaw!$F$4:$F$233,"equity_round",FundRaw!$O$4:$O$233,1))</f>
        <v/>
      </c>
      <c r="S6" s="32" t="str">
        <f aca="false">IF((COUNTIFS(FundRaw!$C$4:$C$233,"msft",FundRaw!$E$4:$E$233,"2025",FundRaw!$F$4:$F$233,"vendor_financing",FundRaw!$O$4:$O$233,1))=0,"",SUMIFS(FundRaw!$G$4:$G$233,FundRaw!$C$4:$C$233,"msft",FundRaw!$E$4:$E$233,"2025",FundRaw!$F$4:$F$233,"vendor_financing",FundRaw!$O$4:$O$233,1))</f>
        <v/>
      </c>
      <c r="T6" s="32" t="n">
        <f aca="false">IF((COUNTIFS(FundRaw!$C$4:$C$233,"msft",FundRaw!$E$4:$E$233,"2025",FundRaw!$F$4:$F$233,"buyback_div",FundRaw!$O$4:$O$233,1))=0,"",SUMIFS(FundRaw!$G$4:$G$233,FundRaw!$C$4:$C$233,"msft",FundRaw!$E$4:$E$233,"2025",FundRaw!$F$4:$F$233,"buyback_div",FundRaw!$O$4:$O$233,1))</f>
        <v>42.502</v>
      </c>
      <c r="U6" s="32" t="str">
        <f aca="false">IF((COUNTIFS(FundRaw!$C$4:$C$233,"msft",FundRaw!$E$4:$E$233,"2025",FundRaw!$F$4:$F$233,"gpu_debt_talks",FundRaw!$O$4:$O$233,1))=0,"",SUMIFS(FundRaw!$G$4:$G$233,FundRaw!$C$4:$C$233,"msft",FundRaw!$E$4:$E$233,"2025",FundRaw!$F$4:$F$233,"gpu_debt_talks",FundRaw!$O$4:$O$233,1))</f>
        <v/>
      </c>
      <c r="V6" s="32" t="str">
        <f aca="false">IF((COUNTIFS(FundRaw!$C$4:$C$233,"msft",FundRaw!$E$4:$E$233,"2025",FundRaw!$F$4:$F$233,"bridge_refi",FundRaw!$O$4:$O$233,1))=0,"",SUMIFS(FundRaw!$G$4:$G$233,FundRaw!$C$4:$C$233,"msft",FundRaw!$E$4:$E$233,"2025",FundRaw!$F$4:$F$233,"bridge_refi",FundRaw!$O$4:$O$233,1))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  <c r="AL6" s="32" t="n">
        <f aca="false">N(J6)+N(K6)+N(L6)+N(M6)+IF(AND(H6&lt;&gt;"",F6&lt;&gt;""),MAX(0,H6-F6),N(G6))+N(P6)+N(R6)</f>
        <v>20.511</v>
      </c>
      <c r="AM6" s="37" t="n">
        <f aca="false">IF(OR(W6="",N(W6)=0),"",AL6/W6)</f>
        <v>0.241129999294632</v>
      </c>
      <c r="AN6" s="37" t="n">
        <f aca="false">IF(OR(W6="",N(W6)=0,E6=""),"",E6/W6)</f>
        <v>1.60073828501564</v>
      </c>
      <c r="AO6" s="22" t="n">
        <f aca="false">IF(OR(W6="",N(W6)=0),"",(N(J6)+N(K6)+N(L6)+N(M6))/W6)</f>
        <v>0</v>
      </c>
      <c r="AP6" s="22" t="n">
        <f aca="false">IF(OR(W6="",N(W6)=0),"",N(R6)/W6)</f>
        <v>0</v>
      </c>
      <c r="AQ6" s="22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1627</v>
      </c>
      <c r="B7" s="0" t="s">
        <v>504</v>
      </c>
      <c r="C7" s="0" t="n">
        <v>2026</v>
      </c>
      <c r="D7" s="0" t="s">
        <v>1630</v>
      </c>
      <c r="E7" s="32" t="n">
        <f aca="false">IF((COUNTIFS(FundRaw!$C$4:$C$233,"msft",FundRaw!$E$4:$E$233,"2026",FundRaw!$F$4:$F$233,"ocf",FundRaw!$O$4:$O$233,1))=0,"",SUMIFS(FundRaw!$G$4:$G$233,FundRaw!$C$4:$C$233,"msft",FundRaw!$E$4:$E$233,"2026",FundRaw!$F$4:$F$233,"ocf",FundRaw!$O$4:$O$233,1))</f>
        <v>182.935</v>
      </c>
      <c r="F7" s="32" t="n">
        <f aca="false">IF((COUNTIFS(FundRaw!$C$4:$C$233,"msft",FundRaw!$E$4:$E$233,"2026",FundRaw!$F$4:$F$233,"capex_cash",FundRaw!$O$4:$O$233,1))=0,"",SUMIFS(FundRaw!$G$4:$G$233,FundRaw!$C$4:$C$233,"msft",FundRaw!$E$4:$E$233,"2026",FundRaw!$F$4:$F$233,"capex_cash",FundRaw!$O$4:$O$233,1))</f>
        <v>115.948</v>
      </c>
      <c r="G7" s="32" t="str">
        <f aca="false">IF((COUNTIFS(FundRaw!$C$4:$C$233,"msft",FundRaw!$E$4:$E$233,"2026",FundRaw!$F$4:$F$233,"fin_lease_new",FundRaw!$O$4:$O$233,1))=0,"",SUMIFS(FundRaw!$G$4:$G$233,FundRaw!$C$4:$C$233,"msft",FundRaw!$E$4:$E$233,"2026",FundRaw!$F$4:$F$233,"fin_lease_new",FundRaw!$O$4:$O$233,1))</f>
        <v/>
      </c>
      <c r="H7" s="32" t="n">
        <f aca="false">IF((COUNTIFS(FundRaw!$C$4:$C$233,"msft",FundRaw!$E$4:$E$233,"2026",FundRaw!$F$4:$F$233,"capex_incl_fl",FundRaw!$O$4:$O$233,1))=0,"",SUMIFS(FundRaw!$G$4:$G$233,FundRaw!$C$4:$C$233,"msft",FundRaw!$E$4:$E$233,"2026",FundRaw!$F$4:$F$233,"capex_incl_fl",FundRaw!$O$4:$O$233,1))</f>
        <v>140.556</v>
      </c>
      <c r="I7" s="32" t="str">
        <f aca="false">IF((COUNTIFS(FundRaw!$C$4:$C$233,"msft",FundRaw!$E$4:$E$233,"2026",FundRaw!$F$4:$F$233,"fcf",FundRaw!$O$4:$O$233,1))=0,"",SUMIFS(FundRaw!$G$4:$G$233,FundRaw!$C$4:$C$233,"msft",FundRaw!$E$4:$E$233,"2026",FundRaw!$F$4:$F$233,"fcf",FundRaw!$O$4:$O$233,1))</f>
        <v/>
      </c>
      <c r="J7" s="32" t="n">
        <f aca="false">IF((COUNTIFS(FundRaw!$C$4:$C$233,"msft",FundRaw!$E$4:$E$233,"2026",FundRaw!$F$4:$F$233,"bond_issue",FundRaw!$O$4:$O$233,1))=0,"",SUMIFS(FundRaw!$G$4:$G$233,FundRaw!$C$4:$C$233,"msft",FundRaw!$E$4:$E$233,"2026",FundRaw!$F$4:$F$233,"bond_issue",FundRaw!$O$4:$O$233,1))</f>
        <v>0</v>
      </c>
      <c r="K7" s="32" t="str">
        <f aca="false">IF((COUNTIFS(FundRaw!$C$4:$C$233,"msft",FundRaw!$E$4:$E$233,"2026",FundRaw!$F$4:$F$233,"term_loan",FundRaw!$O$4:$O$233,1))=0,"",SUMIFS(FundRaw!$G$4:$G$233,FundRaw!$C$4:$C$233,"msft",FundRaw!$E$4:$E$233,"2026",FundRaw!$F$4:$F$233,"term_loan",FundRaw!$O$4:$O$233,1))</f>
        <v/>
      </c>
      <c r="L7" s="32" t="str">
        <f aca="false">IF((COUNTIFS(FundRaw!$C$4:$C$233,"msft",FundRaw!$E$4:$E$233,"2026",FundRaw!$F$4:$F$233,"gpu_debt",FundRaw!$O$4:$O$233,1))=0,"",SUMIFS(FundRaw!$G$4:$G$233,FundRaw!$C$4:$C$233,"msft",FundRaw!$E$4:$E$233,"2026",FundRaw!$F$4:$F$233,"gpu_debt",FundRaw!$O$4:$O$233,1))</f>
        <v/>
      </c>
      <c r="M7" s="32" t="str">
        <f aca="false">IF((COUNTIFS(FundRaw!$C$4:$C$233,"msft",FundRaw!$E$4:$E$233,"2026",FundRaw!$F$4:$F$233,"private_credit",FundRaw!$O$4:$O$233,1))=0,"",SUMIFS(FundRaw!$G$4:$G$233,FundRaw!$C$4:$C$233,"msft",FundRaw!$E$4:$E$233,"2026",FundRaw!$F$4:$F$233,"private_credit",FundRaw!$O$4:$O$233,1))</f>
        <v/>
      </c>
      <c r="N7" s="32" t="str">
        <f aca="false">IF((COUNTIFS(FundRaw!$C$4:$C$233,"msft",FundRaw!$E$4:$E$233,"2026",FundRaw!$F$4:$F$233,"net_debt_change",FundRaw!$O$4:$O$233,1))=0,"",SUMIFS(FundRaw!$G$4:$G$233,FundRaw!$C$4:$C$233,"msft",FundRaw!$E$4:$E$233,"2026",FundRaw!$F$4:$F$233,"net_debt_change",FundRaw!$O$4:$O$233,1))</f>
        <v/>
      </c>
      <c r="O7" s="32" t="n">
        <f aca="false">IF((COUNTIFS(FundRaw!$C$4:$C$233,"msft",FundRaw!$E$4:$E$233,"2026",FundRaw!$F$4:$F$233,"lease_not_commenced",FundRaw!$O$4:$O$233,1))=0,"",SUMIFS(FundRaw!$G$4:$G$233,FundRaw!$C$4:$C$233,"msft",FundRaw!$E$4:$E$233,"2026",FundRaw!$F$4:$F$233,"lease_not_commenced",FundRaw!$O$4:$O$233,1))</f>
        <v>329.1</v>
      </c>
      <c r="P7" s="32" t="str">
        <f aca="false">IF((COUNTIFS(FundRaw!$C$4:$C$233,"msft",FundRaw!$E$4:$E$233,"2026",FundRaw!$F$4:$F$233,"jv_offbalance",FundRaw!$O$4:$O$233,1))=0,"",SUMIFS(FundRaw!$G$4:$G$233,FundRaw!$C$4:$C$233,"msft",FundRaw!$E$4:$E$233,"2026",FundRaw!$F$4:$F$233,"jv_offbalance",FundRaw!$O$4:$O$233,1))</f>
        <v/>
      </c>
      <c r="Q7" s="32" t="str">
        <f aca="false">IF((COUNTIFS(FundRaw!$C$4:$C$233,"msft",FundRaw!$E$4:$E$233,"2026",FundRaw!$F$4:$F$233,"jv_exposure",FundRaw!$O$4:$O$233,1))=0,"",SUMIFS(FundRaw!$G$4:$G$233,FundRaw!$C$4:$C$233,"msft",FundRaw!$E$4:$E$233,"2026",FundRaw!$F$4:$F$233,"jv_exposure",FundRaw!$O$4:$O$233,1))</f>
        <v/>
      </c>
      <c r="R7" s="32" t="str">
        <f aca="false">IF((COUNTIFS(FundRaw!$C$4:$C$233,"msft",FundRaw!$E$4:$E$233,"2026",FundRaw!$F$4:$F$233,"equity_round",FundRaw!$O$4:$O$233,1))=0,"",SUMIFS(FundRaw!$G$4:$G$233,FundRaw!$C$4:$C$233,"msft",FundRaw!$E$4:$E$233,"2026",FundRaw!$F$4:$F$233,"equity_round",FundRaw!$O$4:$O$233,1))</f>
        <v/>
      </c>
      <c r="S7" s="32" t="n">
        <f aca="false">IF((COUNTIFS(FundRaw!$C$4:$C$233,"msft",FundRaw!$E$4:$E$233,"2026",FundRaw!$F$4:$F$233,"vendor_financing",FundRaw!$O$4:$O$233,1))=0,"",SUMIFS(FundRaw!$G$4:$G$233,FundRaw!$C$4:$C$233,"msft",FundRaw!$E$4:$E$233,"2026",FundRaw!$F$4:$F$233,"vendor_financing",FundRaw!$O$4:$O$233,1))</f>
        <v>60</v>
      </c>
      <c r="T7" s="32" t="n">
        <f aca="false">IF((COUNTIFS(FundRaw!$C$4:$C$233,"msft",FundRaw!$E$4:$E$233,"2026",FundRaw!$F$4:$F$233,"buyback_div",FundRaw!$O$4:$O$233,1))=0,"",SUMIFS(FundRaw!$G$4:$G$233,FundRaw!$C$4:$C$233,"msft",FundRaw!$E$4:$E$233,"2026",FundRaw!$F$4:$F$233,"buyback_div",FundRaw!$O$4:$O$233,1))</f>
        <v>48.716</v>
      </c>
      <c r="U7" s="32" t="str">
        <f aca="false">IF((COUNTIFS(FundRaw!$C$4:$C$233,"msft",FundRaw!$E$4:$E$233,"2026",FundRaw!$F$4:$F$233,"gpu_debt_talks",FundRaw!$O$4:$O$233,1))=0,"",SUMIFS(FundRaw!$G$4:$G$233,FundRaw!$C$4:$C$233,"msft",FundRaw!$E$4:$E$233,"2026",FundRaw!$F$4:$F$233,"gpu_debt_talks",FundRaw!$O$4:$O$233,1))</f>
        <v/>
      </c>
      <c r="V7" s="32" t="str">
        <f aca="false">IF((COUNTIFS(FundRaw!$C$4:$C$233,"msft",FundRaw!$E$4:$E$233,"2026",FundRaw!$F$4:$F$233,"bridge_refi",FundRaw!$O$4:$O$233,1))=0,"",SUMIFS(FundRaw!$G$4:$G$233,FundRaw!$C$4:$C$233,"msft",FundRaw!$E$4:$E$233,"2026",FundRaw!$F$4:$F$233,"bridge_refi",FundRaw!$O$4:$O$233,1))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  <c r="AL7" s="32" t="n">
        <f aca="false">N(J7)+N(K7)+N(L7)+N(M7)+IF(AND(H7&lt;&gt;"",F7&lt;&gt;""),MAX(0,H7-F7),N(G7))+N(P7)+N(R7)</f>
        <v>24.608</v>
      </c>
      <c r="AM7" s="37" t="n">
        <f aca="false">IF(OR(W7="",N(W7)=0),"",AL7/W7)</f>
        <v>0.175076126241498</v>
      </c>
      <c r="AN7" s="37" t="n">
        <f aca="false">IF(OR(W7="",N(W7)=0,E7=""),"",E7/W7)</f>
        <v>1.30150971854634</v>
      </c>
      <c r="AO7" s="22" t="n">
        <f aca="false">IF(OR(W7="",N(W7)=0),"",(N(J7)+N(K7)+N(L7)+N(M7))/W7)</f>
        <v>0</v>
      </c>
      <c r="AP7" s="22" t="n">
        <f aca="false">IF(OR(W7="",N(W7)=0),"",N(R7)/W7)</f>
        <v>0</v>
      </c>
      <c r="AQ7" s="22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1631</v>
      </c>
      <c r="B8" s="0" t="s">
        <v>509</v>
      </c>
      <c r="C8" s="0" t="n">
        <v>2024</v>
      </c>
      <c r="D8" s="0" t="s">
        <v>1632</v>
      </c>
      <c r="E8" s="32" t="str">
        <f aca="false">IF((COUNTIFS(FundRaw!$C$4:$C$233,"googl",FundRaw!$E$4:$E$233,"2024",FundRaw!$F$4:$F$233,"ocf",FundRaw!$O$4:$O$233,1))=0,"",SUMIFS(FundRaw!$G$4:$G$233,FundRaw!$C$4:$C$233,"googl",FundRaw!$E$4:$E$233,"2024",FundRaw!$F$4:$F$233,"ocf",FundRaw!$O$4:$O$233,1))</f>
        <v/>
      </c>
      <c r="F8" s="32" t="str">
        <f aca="false">IF((COUNTIFS(FundRaw!$C$4:$C$233,"googl",FundRaw!$E$4:$E$233,"2024",FundRaw!$F$4:$F$233,"capex_cash",FundRaw!$O$4:$O$233,1))=0,"",SUMIFS(FundRaw!$G$4:$G$233,FundRaw!$C$4:$C$233,"googl",FundRaw!$E$4:$E$233,"2024",FundRaw!$F$4:$F$233,"capex_cash",FundRaw!$O$4:$O$233,1))</f>
        <v/>
      </c>
      <c r="G8" s="32" t="str">
        <f aca="false">IF((COUNTIFS(FundRaw!$C$4:$C$233,"googl",FundRaw!$E$4:$E$233,"2024",FundRaw!$F$4:$F$233,"fin_lease_new",FundRaw!$O$4:$O$233,1))=0,"",SUMIFS(FundRaw!$G$4:$G$233,FundRaw!$C$4:$C$233,"googl",FundRaw!$E$4:$E$233,"2024",FundRaw!$F$4:$F$233,"fin_lease_new",FundRaw!$O$4:$O$233,1))</f>
        <v/>
      </c>
      <c r="H8" s="32" t="str">
        <f aca="false">IF((COUNTIFS(FundRaw!$C$4:$C$233,"googl",FundRaw!$E$4:$E$233,"2024",FundRaw!$F$4:$F$233,"capex_incl_fl",FundRaw!$O$4:$O$233,1))=0,"",SUMIFS(FundRaw!$G$4:$G$233,FundRaw!$C$4:$C$233,"googl",FundRaw!$E$4:$E$233,"2024",FundRaw!$F$4:$F$233,"capex_incl_fl",FundRaw!$O$4:$O$233,1))</f>
        <v/>
      </c>
      <c r="I8" s="32" t="str">
        <f aca="false">IF((COUNTIFS(FundRaw!$C$4:$C$233,"googl",FundRaw!$E$4:$E$233,"2024",FundRaw!$F$4:$F$233,"fcf",FundRaw!$O$4:$O$233,1))=0,"",SUMIFS(FundRaw!$G$4:$G$233,FundRaw!$C$4:$C$233,"googl",FundRaw!$E$4:$E$233,"2024",FundRaw!$F$4:$F$233,"fcf",FundRaw!$O$4:$O$233,1))</f>
        <v/>
      </c>
      <c r="J8" s="32" t="str">
        <f aca="false">IF((COUNTIFS(FundRaw!$C$4:$C$233,"googl",FundRaw!$E$4:$E$233,"2024",FundRaw!$F$4:$F$233,"bond_issue",FundRaw!$O$4:$O$233,1))=0,"",SUMIFS(FundRaw!$G$4:$G$233,FundRaw!$C$4:$C$233,"googl",FundRaw!$E$4:$E$233,"2024",FundRaw!$F$4:$F$233,"bond_issue",FundRaw!$O$4:$O$233,1))</f>
        <v/>
      </c>
      <c r="K8" s="32" t="str">
        <f aca="false">IF((COUNTIFS(FundRaw!$C$4:$C$233,"googl",FundRaw!$E$4:$E$233,"2024",FundRaw!$F$4:$F$233,"term_loan",FundRaw!$O$4:$O$233,1))=0,"",SUMIFS(FundRaw!$G$4:$G$233,FundRaw!$C$4:$C$233,"googl",FundRaw!$E$4:$E$233,"2024",FundRaw!$F$4:$F$233,"term_loan",FundRaw!$O$4:$O$233,1))</f>
        <v/>
      </c>
      <c r="L8" s="32" t="str">
        <f aca="false">IF((COUNTIFS(FundRaw!$C$4:$C$233,"googl",FundRaw!$E$4:$E$233,"2024",FundRaw!$F$4:$F$233,"gpu_debt",FundRaw!$O$4:$O$233,1))=0,"",SUMIFS(FundRaw!$G$4:$G$233,FundRaw!$C$4:$C$233,"googl",FundRaw!$E$4:$E$233,"2024",FundRaw!$F$4:$F$233,"gpu_debt",FundRaw!$O$4:$O$233,1))</f>
        <v/>
      </c>
      <c r="M8" s="32" t="str">
        <f aca="false">IF((COUNTIFS(FundRaw!$C$4:$C$233,"googl",FundRaw!$E$4:$E$233,"2024",FundRaw!$F$4:$F$233,"private_credit",FundRaw!$O$4:$O$233,1))=0,"",SUMIFS(FundRaw!$G$4:$G$233,FundRaw!$C$4:$C$233,"googl",FundRaw!$E$4:$E$233,"2024",FundRaw!$F$4:$F$233,"private_credit",FundRaw!$O$4:$O$233,1))</f>
        <v/>
      </c>
      <c r="N8" s="32" t="str">
        <f aca="false">IF((COUNTIFS(FundRaw!$C$4:$C$233,"googl",FundRaw!$E$4:$E$233,"2024",FundRaw!$F$4:$F$233,"net_debt_change",FundRaw!$O$4:$O$233,1))=0,"",SUMIFS(FundRaw!$G$4:$G$233,FundRaw!$C$4:$C$233,"googl",FundRaw!$E$4:$E$233,"2024",FundRaw!$F$4:$F$233,"net_debt_change",FundRaw!$O$4:$O$233,1))</f>
        <v/>
      </c>
      <c r="O8" s="32" t="str">
        <f aca="false">IF((COUNTIFS(FundRaw!$C$4:$C$233,"googl",FundRaw!$E$4:$E$233,"2024",FundRaw!$F$4:$F$233,"lease_not_commenced",FundRaw!$O$4:$O$233,1))=0,"",SUMIFS(FundRaw!$G$4:$G$233,FundRaw!$C$4:$C$233,"googl",FundRaw!$E$4:$E$233,"2024",FundRaw!$F$4:$F$233,"lease_not_commenced",FundRaw!$O$4:$O$233,1))</f>
        <v/>
      </c>
      <c r="P8" s="32" t="str">
        <f aca="false">IF((COUNTIFS(FundRaw!$C$4:$C$233,"googl",FundRaw!$E$4:$E$233,"2024",FundRaw!$F$4:$F$233,"jv_offbalance",FundRaw!$O$4:$O$233,1))=0,"",SUMIFS(FundRaw!$G$4:$G$233,FundRaw!$C$4:$C$233,"googl",FundRaw!$E$4:$E$233,"2024",FundRaw!$F$4:$F$233,"jv_offbalance",FundRaw!$O$4:$O$233,1))</f>
        <v/>
      </c>
      <c r="Q8" s="32" t="str">
        <f aca="false">IF((COUNTIFS(FundRaw!$C$4:$C$233,"googl",FundRaw!$E$4:$E$233,"2024",FundRaw!$F$4:$F$233,"jv_exposure",FundRaw!$O$4:$O$233,1))=0,"",SUMIFS(FundRaw!$G$4:$G$233,FundRaw!$C$4:$C$233,"googl",FundRaw!$E$4:$E$233,"2024",FundRaw!$F$4:$F$233,"jv_exposure",FundRaw!$O$4:$O$233,1))</f>
        <v/>
      </c>
      <c r="R8" s="32" t="str">
        <f aca="false">IF((COUNTIFS(FundRaw!$C$4:$C$233,"googl",FundRaw!$E$4:$E$233,"2024",FundRaw!$F$4:$F$233,"equity_round",FundRaw!$O$4:$O$233,1))=0,"",SUMIFS(FundRaw!$G$4:$G$233,FundRaw!$C$4:$C$233,"googl",FundRaw!$E$4:$E$233,"2024",FundRaw!$F$4:$F$233,"equity_round",FundRaw!$O$4:$O$233,1))</f>
        <v/>
      </c>
      <c r="S8" s="32" t="str">
        <f aca="false">IF((COUNTIFS(FundRaw!$C$4:$C$233,"googl",FundRaw!$E$4:$E$233,"2024",FundRaw!$F$4:$F$233,"vendor_financing",FundRaw!$O$4:$O$233,1))=0,"",SUMIFS(FundRaw!$G$4:$G$233,FundRaw!$C$4:$C$233,"googl",FundRaw!$E$4:$E$233,"2024",FundRaw!$F$4:$F$233,"vendor_financing",FundRaw!$O$4:$O$233,1))</f>
        <v/>
      </c>
      <c r="T8" s="32" t="str">
        <f aca="false">IF((COUNTIFS(FundRaw!$C$4:$C$233,"googl",FundRaw!$E$4:$E$233,"2024",FundRaw!$F$4:$F$233,"buyback_div",FundRaw!$O$4:$O$233,1))=0,"",SUMIFS(FundRaw!$G$4:$G$233,FundRaw!$C$4:$C$233,"googl",FundRaw!$E$4:$E$233,"2024",FundRaw!$F$4:$F$233,"buyback_div",FundRaw!$O$4:$O$233,1))</f>
        <v/>
      </c>
      <c r="U8" s="32" t="str">
        <f aca="false">IF((COUNTIFS(FundRaw!$C$4:$C$233,"googl",FundRaw!$E$4:$E$233,"2024",FundRaw!$F$4:$F$233,"gpu_debt_talks",FundRaw!$O$4:$O$233,1))=0,"",SUMIFS(FundRaw!$G$4:$G$233,FundRaw!$C$4:$C$233,"googl",FundRaw!$E$4:$E$233,"2024",FundRaw!$F$4:$F$233,"gpu_debt_talks",FundRaw!$O$4:$O$233,1))</f>
        <v/>
      </c>
      <c r="V8" s="32" t="str">
        <f aca="false">IF((COUNTIFS(FundRaw!$C$4:$C$233,"googl",FundRaw!$E$4:$E$233,"2024",FundRaw!$F$4:$F$233,"bridge_refi",FundRaw!$O$4:$O$233,1))=0,"",SUMIFS(FundRaw!$G$4:$G$233,FundRaw!$C$4:$C$233,"googl",FundRaw!$E$4:$E$233,"2024",FundRaw!$F$4:$F$233,"bridge_refi",FundRaw!$O$4:$O$233,1))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  <c r="AL8" s="32" t="n">
        <f aca="false">N(J8)+N(K8)+N(L8)+N(M8)+IF(AND(H8&lt;&gt;"",F8&lt;&gt;""),MAX(0,H8-F8),N(G8))+N(P8)+N(R8)</f>
        <v>0</v>
      </c>
      <c r="AM8" s="37" t="str">
        <f aca="false">IF(OR(W8="",N(W8)=0),"",AL8/W8)</f>
        <v/>
      </c>
      <c r="AN8" s="37" t="str">
        <f aca="false">IF(OR(W8="",N(W8)=0,E8=""),"",E8/W8)</f>
        <v/>
      </c>
      <c r="AO8" s="22" t="str">
        <f aca="false">IF(OR(W8="",N(W8)=0),"",(N(J8)+N(K8)+N(L8)+N(M8))/W8)</f>
        <v/>
      </c>
      <c r="AP8" s="22" t="str">
        <f aca="false">IF(OR(W8="",N(W8)=0),"",N(R8)/W8)</f>
        <v/>
      </c>
      <c r="AQ8" s="22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1631</v>
      </c>
      <c r="B9" s="0" t="s">
        <v>509</v>
      </c>
      <c r="C9" s="0" t="n">
        <v>2025</v>
      </c>
      <c r="D9" s="0" t="s">
        <v>1633</v>
      </c>
      <c r="E9" s="32" t="n">
        <f aca="false">IF((COUNTIFS(FundRaw!$C$4:$C$233,"googl",FundRaw!$E$4:$E$233,"2025",FundRaw!$F$4:$F$233,"ocf",FundRaw!$O$4:$O$233,1))=0,"",SUMIFS(FundRaw!$G$4:$G$233,FundRaw!$C$4:$C$233,"googl",FundRaw!$E$4:$E$233,"2025",FundRaw!$F$4:$F$233,"ocf",FundRaw!$O$4:$O$233,1))</f>
        <v>164.713</v>
      </c>
      <c r="F9" s="32" t="n">
        <f aca="false">IF((COUNTIFS(FundRaw!$C$4:$C$233,"googl",FundRaw!$E$4:$E$233,"2025",FundRaw!$F$4:$F$233,"capex_cash",FundRaw!$O$4:$O$233,1))=0,"",SUMIFS(FundRaw!$G$4:$G$233,FundRaw!$C$4:$C$233,"googl",FundRaw!$E$4:$E$233,"2025",FundRaw!$F$4:$F$233,"capex_cash",FundRaw!$O$4:$O$233,1))</f>
        <v>91.447</v>
      </c>
      <c r="G9" s="32" t="str">
        <f aca="false">IF((COUNTIFS(FundRaw!$C$4:$C$233,"googl",FundRaw!$E$4:$E$233,"2025",FundRaw!$F$4:$F$233,"fin_lease_new",FundRaw!$O$4:$O$233,1))=0,"",SUMIFS(FundRaw!$G$4:$G$233,FundRaw!$C$4:$C$233,"googl",FundRaw!$E$4:$E$233,"2025",FundRaw!$F$4:$F$233,"fin_lease_new",FundRaw!$O$4:$O$233,1))</f>
        <v/>
      </c>
      <c r="H9" s="32" t="str">
        <f aca="false">IF((COUNTIFS(FundRaw!$C$4:$C$233,"googl",FundRaw!$E$4:$E$233,"2025",FundRaw!$F$4:$F$233,"capex_incl_fl",FundRaw!$O$4:$O$233,1))=0,"",SUMIFS(FundRaw!$G$4:$G$233,FundRaw!$C$4:$C$233,"googl",FundRaw!$E$4:$E$233,"2025",FundRaw!$F$4:$F$233,"capex_incl_fl",FundRaw!$O$4:$O$233,1))</f>
        <v/>
      </c>
      <c r="I9" s="32" t="n">
        <f aca="false">IF((COUNTIFS(FundRaw!$C$4:$C$233,"googl",FundRaw!$E$4:$E$233,"2025",FundRaw!$F$4:$F$233,"fcf",FundRaw!$O$4:$O$233,1))=0,"",SUMIFS(FundRaw!$G$4:$G$233,FundRaw!$C$4:$C$233,"googl",FundRaw!$E$4:$E$233,"2025",FundRaw!$F$4:$F$233,"fcf",FundRaw!$O$4:$O$233,1))</f>
        <v>73.266</v>
      </c>
      <c r="J9" s="32" t="n">
        <f aca="false">IF((COUNTIFS(FundRaw!$C$4:$C$233,"googl",FundRaw!$E$4:$E$233,"2025",FundRaw!$F$4:$F$233,"bond_issue",FundRaw!$O$4:$O$233,1))=0,"",SUMIFS(FundRaw!$G$4:$G$233,FundRaw!$C$4:$C$233,"googl",FundRaw!$E$4:$E$233,"2025",FundRaw!$F$4:$F$233,"bond_issue",FundRaw!$O$4:$O$233,1))</f>
        <v>64.564</v>
      </c>
      <c r="K9" s="32" t="str">
        <f aca="false">IF((COUNTIFS(FundRaw!$C$4:$C$233,"googl",FundRaw!$E$4:$E$233,"2025",FundRaw!$F$4:$F$233,"term_loan",FundRaw!$O$4:$O$233,1))=0,"",SUMIFS(FundRaw!$G$4:$G$233,FundRaw!$C$4:$C$233,"googl",FundRaw!$E$4:$E$233,"2025",FundRaw!$F$4:$F$233,"term_loan",FundRaw!$O$4:$O$233,1))</f>
        <v/>
      </c>
      <c r="L9" s="32" t="str">
        <f aca="false">IF((COUNTIFS(FundRaw!$C$4:$C$233,"googl",FundRaw!$E$4:$E$233,"2025",FundRaw!$F$4:$F$233,"gpu_debt",FundRaw!$O$4:$O$233,1))=0,"",SUMIFS(FundRaw!$G$4:$G$233,FundRaw!$C$4:$C$233,"googl",FundRaw!$E$4:$E$233,"2025",FundRaw!$F$4:$F$233,"gpu_debt",FundRaw!$O$4:$O$233,1))</f>
        <v/>
      </c>
      <c r="M9" s="32" t="str">
        <f aca="false">IF((COUNTIFS(FundRaw!$C$4:$C$233,"googl",FundRaw!$E$4:$E$233,"2025",FundRaw!$F$4:$F$233,"private_credit",FundRaw!$O$4:$O$233,1))=0,"",SUMIFS(FundRaw!$G$4:$G$233,FundRaw!$C$4:$C$233,"googl",FundRaw!$E$4:$E$233,"2025",FundRaw!$F$4:$F$233,"private_credit",FundRaw!$O$4:$O$233,1))</f>
        <v/>
      </c>
      <c r="N9" s="32" t="str">
        <f aca="false">IF((COUNTIFS(FundRaw!$C$4:$C$233,"googl",FundRaw!$E$4:$E$233,"2025",FundRaw!$F$4:$F$233,"net_debt_change",FundRaw!$O$4:$O$233,1))=0,"",SUMIFS(FundRaw!$G$4:$G$233,FundRaw!$C$4:$C$233,"googl",FundRaw!$E$4:$E$233,"2025",FundRaw!$F$4:$F$233,"net_debt_change",FundRaw!$O$4:$O$233,1))</f>
        <v/>
      </c>
      <c r="O9" s="32" t="str">
        <f aca="false">IF((COUNTIFS(FundRaw!$C$4:$C$233,"googl",FundRaw!$E$4:$E$233,"2025",FundRaw!$F$4:$F$233,"lease_not_commenced",FundRaw!$O$4:$O$233,1))=0,"",SUMIFS(FundRaw!$G$4:$G$233,FundRaw!$C$4:$C$233,"googl",FundRaw!$E$4:$E$233,"2025",FundRaw!$F$4:$F$233,"lease_not_commenced",FundRaw!$O$4:$O$233,1))</f>
        <v/>
      </c>
      <c r="P9" s="32" t="str">
        <f aca="false">IF((COUNTIFS(FundRaw!$C$4:$C$233,"googl",FundRaw!$E$4:$E$233,"2025",FundRaw!$F$4:$F$233,"jv_offbalance",FundRaw!$O$4:$O$233,1))=0,"",SUMIFS(FundRaw!$G$4:$G$233,FundRaw!$C$4:$C$233,"googl",FundRaw!$E$4:$E$233,"2025",FundRaw!$F$4:$F$233,"jv_offbalance",FundRaw!$O$4:$O$233,1))</f>
        <v/>
      </c>
      <c r="Q9" s="32" t="str">
        <f aca="false">IF((COUNTIFS(FundRaw!$C$4:$C$233,"googl",FundRaw!$E$4:$E$233,"2025",FundRaw!$F$4:$F$233,"jv_exposure",FundRaw!$O$4:$O$233,1))=0,"",SUMIFS(FundRaw!$G$4:$G$233,FundRaw!$C$4:$C$233,"googl",FundRaw!$E$4:$E$233,"2025",FundRaw!$F$4:$F$233,"jv_exposure",FundRaw!$O$4:$O$233,1))</f>
        <v/>
      </c>
      <c r="R9" s="32" t="str">
        <f aca="false">IF((COUNTIFS(FundRaw!$C$4:$C$233,"googl",FundRaw!$E$4:$E$233,"2025",FundRaw!$F$4:$F$233,"equity_round",FundRaw!$O$4:$O$233,1))=0,"",SUMIFS(FundRaw!$G$4:$G$233,FundRaw!$C$4:$C$233,"googl",FundRaw!$E$4:$E$233,"2025",FundRaw!$F$4:$F$233,"equity_round",FundRaw!$O$4:$O$233,1))</f>
        <v/>
      </c>
      <c r="S9" s="32" t="str">
        <f aca="false">IF((COUNTIFS(FundRaw!$C$4:$C$233,"googl",FundRaw!$E$4:$E$233,"2025",FundRaw!$F$4:$F$233,"vendor_financing",FundRaw!$O$4:$O$233,1))=0,"",SUMIFS(FundRaw!$G$4:$G$233,FundRaw!$C$4:$C$233,"googl",FundRaw!$E$4:$E$233,"2025",FundRaw!$F$4:$F$233,"vendor_financing",FundRaw!$O$4:$O$233,1))</f>
        <v/>
      </c>
      <c r="T9" s="32" t="n">
        <f aca="false">IF((COUNTIFS(FundRaw!$C$4:$C$233,"googl",FundRaw!$E$4:$E$233,"2025",FundRaw!$F$4:$F$233,"buyback_div",FundRaw!$O$4:$O$233,1))=0,"",SUMIFS(FundRaw!$G$4:$G$233,FundRaw!$C$4:$C$233,"googl",FundRaw!$E$4:$E$233,"2025",FundRaw!$F$4:$F$233,"buyback_div",FundRaw!$O$4:$O$233,1))</f>
        <v>55.758</v>
      </c>
      <c r="U9" s="32" t="str">
        <f aca="false">IF((COUNTIFS(FundRaw!$C$4:$C$233,"googl",FundRaw!$E$4:$E$233,"2025",FundRaw!$F$4:$F$233,"gpu_debt_talks",FundRaw!$O$4:$O$233,1))=0,"",SUMIFS(FundRaw!$G$4:$G$233,FundRaw!$C$4:$C$233,"googl",FundRaw!$E$4:$E$233,"2025",FundRaw!$F$4:$F$233,"gpu_debt_talks",FundRaw!$O$4:$O$233,1))</f>
        <v/>
      </c>
      <c r="V9" s="32" t="str">
        <f aca="false">IF((COUNTIFS(FundRaw!$C$4:$C$233,"googl",FundRaw!$E$4:$E$233,"2025",FundRaw!$F$4:$F$233,"bridge_refi",FundRaw!$O$4:$O$233,1))=0,"",SUMIFS(FundRaw!$G$4:$G$233,FundRaw!$C$4:$C$233,"googl",FundRaw!$E$4:$E$233,"2025",FundRaw!$F$4:$F$233,"bridge_refi",FundRaw!$O$4:$O$233,1))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  <c r="AL9" s="32" t="n">
        <f aca="false">N(J9)+N(K9)+N(L9)+N(M9)+IF(AND(H9&lt;&gt;"",F9&lt;&gt;""),MAX(0,H9-F9),N(G9))+N(P9)+N(R9)</f>
        <v>64.564</v>
      </c>
      <c r="AM9" s="37" t="n">
        <f aca="false">IF(OR(W9="",N(W9)=0),"",AL9/W9)</f>
        <v>0.706026441545376</v>
      </c>
      <c r="AN9" s="37" t="n">
        <f aca="false">IF(OR(W9="",N(W9)=0,E9=""),"",E9/W9)</f>
        <v>1.80118538607062</v>
      </c>
      <c r="AO9" s="22" t="n">
        <f aca="false">IF(OR(W9="",N(W9)=0),"",(N(J9)+N(K9)+N(L9)+N(M9))/W9)</f>
        <v>0.706026441545376</v>
      </c>
      <c r="AP9" s="22" t="n">
        <f aca="false">IF(OR(W9="",N(W9)=0),"",N(R9)/W9)</f>
        <v>0</v>
      </c>
      <c r="AQ9" s="22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1631</v>
      </c>
      <c r="B10" s="0" t="s">
        <v>509</v>
      </c>
      <c r="C10" s="0" t="n">
        <v>2026</v>
      </c>
      <c r="D10" s="0" t="s">
        <v>1634</v>
      </c>
      <c r="E10" s="32" t="n">
        <f aca="false">IF((COUNTIFS(FundRaw!$C$4:$C$233,"googl",FundRaw!$E$4:$E$233,"2026",FundRaw!$F$4:$F$233,"ocf",FundRaw!$O$4:$O$233,1))=0,"",SUMIFS(FundRaw!$G$4:$G$233,FundRaw!$C$4:$C$233,"googl",FundRaw!$E$4:$E$233,"2026",FundRaw!$F$4:$F$233,"ocf",FundRaw!$O$4:$O$233,1))</f>
        <v>84.859</v>
      </c>
      <c r="F10" s="32" t="n">
        <f aca="false">IF((COUNTIFS(FundRaw!$C$4:$C$233,"googl",FundRaw!$E$4:$E$233,"2026",FundRaw!$F$4:$F$233,"capex_cash",FundRaw!$O$4:$O$233,1))=0,"",SUMIFS(FundRaw!$G$4:$G$233,FundRaw!$C$4:$C$233,"googl",FundRaw!$E$4:$E$233,"2026",FundRaw!$F$4:$F$233,"capex_cash",FundRaw!$O$4:$O$233,1))</f>
        <v>80.598</v>
      </c>
      <c r="G10" s="32" t="str">
        <f aca="false">IF((COUNTIFS(FundRaw!$C$4:$C$233,"googl",FundRaw!$E$4:$E$233,"2026",FundRaw!$F$4:$F$233,"fin_lease_new",FundRaw!$O$4:$O$233,1))=0,"",SUMIFS(FundRaw!$G$4:$G$233,FundRaw!$C$4:$C$233,"googl",FundRaw!$E$4:$E$233,"2026",FundRaw!$F$4:$F$233,"fin_lease_new",FundRaw!$O$4:$O$233,1))</f>
        <v/>
      </c>
      <c r="H10" s="32" t="str">
        <f aca="false">IF((COUNTIFS(FundRaw!$C$4:$C$233,"googl",FundRaw!$E$4:$E$233,"2026",FundRaw!$F$4:$F$233,"capex_incl_fl",FundRaw!$O$4:$O$233,1))=0,"",SUMIFS(FundRaw!$G$4:$G$233,FundRaw!$C$4:$C$233,"googl",FundRaw!$E$4:$E$233,"2026",FundRaw!$F$4:$F$233,"capex_incl_fl",FundRaw!$O$4:$O$233,1))</f>
        <v/>
      </c>
      <c r="I10" s="32" t="n">
        <f aca="false">IF((COUNTIFS(FundRaw!$C$4:$C$233,"googl",FundRaw!$E$4:$E$233,"2026",FundRaw!$F$4:$F$233,"fcf",FundRaw!$O$4:$O$233,1))=0,"",SUMIFS(FundRaw!$G$4:$G$233,FundRaw!$C$4:$C$233,"googl",FundRaw!$E$4:$E$233,"2026",FundRaw!$F$4:$F$233,"fcf",FundRaw!$O$4:$O$233,1))</f>
        <v>4.261</v>
      </c>
      <c r="J10" s="32" t="str">
        <f aca="false">IF((COUNTIFS(FundRaw!$C$4:$C$233,"googl",FundRaw!$E$4:$E$233,"2026",FundRaw!$F$4:$F$233,"bond_issue",FundRaw!$O$4:$O$233,1))=0,"",SUMIFS(FundRaw!$G$4:$G$233,FundRaw!$C$4:$C$233,"googl",FundRaw!$E$4:$E$233,"2026",FundRaw!$F$4:$F$233,"bond_issue",FundRaw!$O$4:$O$233,1))</f>
        <v/>
      </c>
      <c r="K10" s="32" t="str">
        <f aca="false">IF((COUNTIFS(FundRaw!$C$4:$C$233,"googl",FundRaw!$E$4:$E$233,"2026",FundRaw!$F$4:$F$233,"term_loan",FundRaw!$O$4:$O$233,1))=0,"",SUMIFS(FundRaw!$G$4:$G$233,FundRaw!$C$4:$C$233,"googl",FundRaw!$E$4:$E$233,"2026",FundRaw!$F$4:$F$233,"term_loan",FundRaw!$O$4:$O$233,1))</f>
        <v/>
      </c>
      <c r="L10" s="32" t="str">
        <f aca="false">IF((COUNTIFS(FundRaw!$C$4:$C$233,"googl",FundRaw!$E$4:$E$233,"2026",FundRaw!$F$4:$F$233,"gpu_debt",FundRaw!$O$4:$O$233,1))=0,"",SUMIFS(FundRaw!$G$4:$G$233,FundRaw!$C$4:$C$233,"googl",FundRaw!$E$4:$E$233,"2026",FundRaw!$F$4:$F$233,"gpu_debt",FundRaw!$O$4:$O$233,1))</f>
        <v/>
      </c>
      <c r="M10" s="32" t="str">
        <f aca="false">IF((COUNTIFS(FundRaw!$C$4:$C$233,"googl",FundRaw!$E$4:$E$233,"2026",FundRaw!$F$4:$F$233,"private_credit",FundRaw!$O$4:$O$233,1))=0,"",SUMIFS(FundRaw!$G$4:$G$233,FundRaw!$C$4:$C$233,"googl",FundRaw!$E$4:$E$233,"2026",FundRaw!$F$4:$F$233,"private_credit",FundRaw!$O$4:$O$233,1))</f>
        <v/>
      </c>
      <c r="N10" s="32" t="str">
        <f aca="false">IF((COUNTIFS(FundRaw!$C$4:$C$233,"googl",FundRaw!$E$4:$E$233,"2026",FundRaw!$F$4:$F$233,"net_debt_change",FundRaw!$O$4:$O$233,1))=0,"",SUMIFS(FundRaw!$G$4:$G$233,FundRaw!$C$4:$C$233,"googl",FundRaw!$E$4:$E$233,"2026",FundRaw!$F$4:$F$233,"net_debt_change",FundRaw!$O$4:$O$233,1))</f>
        <v/>
      </c>
      <c r="O10" s="32" t="n">
        <f aca="false">IF((COUNTIFS(FundRaw!$C$4:$C$233,"googl",FundRaw!$E$4:$E$233,"2026",FundRaw!$F$4:$F$233,"lease_not_commenced",FundRaw!$O$4:$O$233,1))=0,"",SUMIFS(FundRaw!$G$4:$G$233,FundRaw!$C$4:$C$233,"googl",FundRaw!$E$4:$E$233,"2026",FundRaw!$F$4:$F$233,"lease_not_commenced",FundRaw!$O$4:$O$233,1))</f>
        <v>85.2</v>
      </c>
      <c r="P10" s="32" t="str">
        <f aca="false">IF((COUNTIFS(FundRaw!$C$4:$C$233,"googl",FundRaw!$E$4:$E$233,"2026",FundRaw!$F$4:$F$233,"jv_offbalance",FundRaw!$O$4:$O$233,1))=0,"",SUMIFS(FundRaw!$G$4:$G$233,FundRaw!$C$4:$C$233,"googl",FundRaw!$E$4:$E$233,"2026",FundRaw!$F$4:$F$233,"jv_offbalance",FundRaw!$O$4:$O$233,1))</f>
        <v/>
      </c>
      <c r="Q10" s="32" t="str">
        <f aca="false">IF((COUNTIFS(FundRaw!$C$4:$C$233,"googl",FundRaw!$E$4:$E$233,"2026",FundRaw!$F$4:$F$233,"jv_exposure",FundRaw!$O$4:$O$233,1))=0,"",SUMIFS(FundRaw!$G$4:$G$233,FundRaw!$C$4:$C$233,"googl",FundRaw!$E$4:$E$233,"2026",FundRaw!$F$4:$F$233,"jv_exposure",FundRaw!$O$4:$O$233,1))</f>
        <v/>
      </c>
      <c r="R10" s="32" t="n">
        <f aca="false">IF((COUNTIFS(FundRaw!$C$4:$C$233,"googl",FundRaw!$E$4:$E$233,"2026",FundRaw!$F$4:$F$233,"equity_round",FundRaw!$O$4:$O$233,1))=0,"",SUMIFS(FundRaw!$G$4:$G$233,FundRaw!$C$4:$C$233,"googl",FundRaw!$E$4:$E$233,"2026",FundRaw!$F$4:$F$233,"equity_round",FundRaw!$O$4:$O$233,1))</f>
        <v>84.75</v>
      </c>
      <c r="S10" s="32" t="n">
        <f aca="false">IF((COUNTIFS(FundRaw!$C$4:$C$233,"googl",FundRaw!$E$4:$E$233,"2026",FundRaw!$F$4:$F$233,"vendor_financing",FundRaw!$O$4:$O$233,1))=0,"",SUMIFS(FundRaw!$G$4:$G$233,FundRaw!$C$4:$C$233,"googl",FundRaw!$E$4:$E$233,"2026",FundRaw!$F$4:$F$233,"vendor_financing",FundRaw!$O$4:$O$233,1))</f>
        <v>40</v>
      </c>
      <c r="T10" s="32" t="n">
        <f aca="false">IF((COUNTIFS(FundRaw!$C$4:$C$233,"googl",FundRaw!$E$4:$E$233,"2026",FundRaw!$F$4:$F$233,"buyback_div",FundRaw!$O$4:$O$233,1))=0,"",SUMIFS(FundRaw!$G$4:$G$233,FundRaw!$C$4:$C$233,"googl",FundRaw!$E$4:$E$233,"2026",FundRaw!$F$4:$F$233,"buyback_div",FundRaw!$O$4:$O$233,1))</f>
        <v>5.231</v>
      </c>
      <c r="U10" s="32" t="str">
        <f aca="false">IF((COUNTIFS(FundRaw!$C$4:$C$233,"googl",FundRaw!$E$4:$E$233,"2026",FundRaw!$F$4:$F$233,"gpu_debt_talks",FundRaw!$O$4:$O$233,1))=0,"",SUMIFS(FundRaw!$G$4:$G$233,FundRaw!$C$4:$C$233,"googl",FundRaw!$E$4:$E$233,"2026",FundRaw!$F$4:$F$233,"gpu_debt_talks",FundRaw!$O$4:$O$233,1))</f>
        <v/>
      </c>
      <c r="V10" s="32" t="str">
        <f aca="false">IF((COUNTIFS(FundRaw!$C$4:$C$233,"googl",FundRaw!$E$4:$E$233,"2026",FundRaw!$F$4:$F$233,"bridge_refi",FundRaw!$O$4:$O$233,1))=0,"",SUMIFS(FundRaw!$G$4:$G$233,FundRaw!$C$4:$C$233,"googl",FundRaw!$E$4:$E$233,"2026",FundRaw!$F$4:$F$233,"bridge_refi",FundRaw!$O$4:$O$233,1))</f>
        <v/>
      </c>
      <c r="W10" s="32" t="n">
        <f aca="false">IF(H10&lt;&gt;"",H10,IF(F10&lt;&gt;"",F10+N(G10),""))</f>
        <v>80.598</v>
      </c>
      <c r="X10" s="32" t="n">
        <f aca="false">IF(OR(W10="",E10=""),"",MAX(0,MIN(N(E10),W10-N(Y10))))</f>
        <v>80.598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0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1</v>
      </c>
      <c r="AD10" s="37" t="n">
        <f aca="false">IF(OR(W10="",N(W10)=0,Y10=""),"",Y10/W10)</f>
        <v>0</v>
      </c>
      <c r="AE10" s="37" t="n">
        <f aca="false">IF(OR(W10="",N(W10)=0,Z10=""),"",Z10/W10)</f>
        <v>0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84.75</v>
      </c>
      <c r="AI10" s="22" t="n">
        <f aca="false">IF(N(AH10)=0,"",(N(J10)+N(K10)+N(L10)+N(M10))/AH10)</f>
        <v>0</v>
      </c>
      <c r="AJ10" s="22" t="n">
        <f aca="false">IF(N(AH10)=0,"",(N(R10))/AH10)</f>
        <v>1</v>
      </c>
      <c r="AK10" s="22" t="n">
        <f aca="false">IF(N(AH10)=0,"",(N(G10))/AH10)</f>
        <v>0</v>
      </c>
      <c r="AL10" s="32" t="n">
        <f aca="false">N(J10)+N(K10)+N(L10)+N(M10)+IF(AND(H10&lt;&gt;"",F10&lt;&gt;""),MAX(0,H10-F10),N(G10))+N(P10)+N(R10)</f>
        <v>84.75</v>
      </c>
      <c r="AM10" s="37" t="n">
        <f aca="false">IF(OR(W10="",N(W10)=0),"",AL10/W10)</f>
        <v>1.05151492592868</v>
      </c>
      <c r="AN10" s="37" t="n">
        <f aca="false">IF(OR(W10="",N(W10)=0,E10=""),"",E10/W10)</f>
        <v>1.05286731680687</v>
      </c>
      <c r="AO10" s="22" t="n">
        <f aca="false">IF(OR(W10="",N(W10)=0),"",(N(J10)+N(K10)+N(L10)+N(M10))/W10)</f>
        <v>0</v>
      </c>
      <c r="AP10" s="22" t="n">
        <f aca="false">IF(OR(W10="",N(W10)=0),"",N(R10)/W10)</f>
        <v>1.05151492592868</v>
      </c>
      <c r="AQ10" s="22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1635</v>
      </c>
      <c r="B11" s="0" t="s">
        <v>517</v>
      </c>
      <c r="C11" s="0" t="n">
        <v>2024</v>
      </c>
      <c r="D11" s="0" t="s">
        <v>1632</v>
      </c>
      <c r="E11" s="32" t="str">
        <f aca="false">IF((COUNTIFS(FundRaw!$C$4:$C$233,"amzn",FundRaw!$E$4:$E$233,"2024",FundRaw!$F$4:$F$233,"ocf",FundRaw!$O$4:$O$233,1))=0,"",SUMIFS(FundRaw!$G$4:$G$233,FundRaw!$C$4:$C$233,"amzn",FundRaw!$E$4:$E$233,"2024",FundRaw!$F$4:$F$233,"ocf",FundRaw!$O$4:$O$233,1))</f>
        <v/>
      </c>
      <c r="F11" s="32" t="str">
        <f aca="false">IF((COUNTIFS(FundRaw!$C$4:$C$233,"amzn",FundRaw!$E$4:$E$233,"2024",FundRaw!$F$4:$F$233,"capex_cash",FundRaw!$O$4:$O$233,1))=0,"",SUMIFS(FundRaw!$G$4:$G$233,FundRaw!$C$4:$C$233,"amzn",FundRaw!$E$4:$E$233,"2024",FundRaw!$F$4:$F$233,"capex_cash",FundRaw!$O$4:$O$233,1))</f>
        <v/>
      </c>
      <c r="G11" s="32" t="str">
        <f aca="false">IF((COUNTIFS(FundRaw!$C$4:$C$233,"amzn",FundRaw!$E$4:$E$233,"2024",FundRaw!$F$4:$F$233,"fin_lease_new",FundRaw!$O$4:$O$233,1))=0,"",SUMIFS(FundRaw!$G$4:$G$233,FundRaw!$C$4:$C$233,"amzn",FundRaw!$E$4:$E$233,"2024",FundRaw!$F$4:$F$233,"fin_lease_new",FundRaw!$O$4:$O$233,1))</f>
        <v/>
      </c>
      <c r="H11" s="32" t="str">
        <f aca="false">IF((COUNTIFS(FundRaw!$C$4:$C$233,"amzn",FundRaw!$E$4:$E$233,"2024",FundRaw!$F$4:$F$233,"capex_incl_fl",FundRaw!$O$4:$O$233,1))=0,"",SUMIFS(FundRaw!$G$4:$G$233,FundRaw!$C$4:$C$233,"amzn",FundRaw!$E$4:$E$233,"2024",FundRaw!$F$4:$F$233,"capex_incl_fl",FundRaw!$O$4:$O$233,1))</f>
        <v/>
      </c>
      <c r="I11" s="32" t="str">
        <f aca="false">IF((COUNTIFS(FundRaw!$C$4:$C$233,"amzn",FundRaw!$E$4:$E$233,"2024",FundRaw!$F$4:$F$233,"fcf",FundRaw!$O$4:$O$233,1))=0,"",SUMIFS(FundRaw!$G$4:$G$233,FundRaw!$C$4:$C$233,"amzn",FundRaw!$E$4:$E$233,"2024",FundRaw!$F$4:$F$233,"fcf",FundRaw!$O$4:$O$233,1))</f>
        <v/>
      </c>
      <c r="J11" s="32" t="str">
        <f aca="false">IF((COUNTIFS(FundRaw!$C$4:$C$233,"amzn",FundRaw!$E$4:$E$233,"2024",FundRaw!$F$4:$F$233,"bond_issue",FundRaw!$O$4:$O$233,1))=0,"",SUMIFS(FundRaw!$G$4:$G$233,FundRaw!$C$4:$C$233,"amzn",FundRaw!$E$4:$E$233,"2024",FundRaw!$F$4:$F$233,"bond_issue",FundRaw!$O$4:$O$233,1))</f>
        <v/>
      </c>
      <c r="K11" s="32" t="str">
        <f aca="false">IF((COUNTIFS(FundRaw!$C$4:$C$233,"amzn",FundRaw!$E$4:$E$233,"2024",FundRaw!$F$4:$F$233,"term_loan",FundRaw!$O$4:$O$233,1))=0,"",SUMIFS(FundRaw!$G$4:$G$233,FundRaw!$C$4:$C$233,"amzn",FundRaw!$E$4:$E$233,"2024",FundRaw!$F$4:$F$233,"term_loan",FundRaw!$O$4:$O$233,1))</f>
        <v/>
      </c>
      <c r="L11" s="32" t="str">
        <f aca="false">IF((COUNTIFS(FundRaw!$C$4:$C$233,"amzn",FundRaw!$E$4:$E$233,"2024",FundRaw!$F$4:$F$233,"gpu_debt",FundRaw!$O$4:$O$233,1))=0,"",SUMIFS(FundRaw!$G$4:$G$233,FundRaw!$C$4:$C$233,"amzn",FundRaw!$E$4:$E$233,"2024",FundRaw!$F$4:$F$233,"gpu_debt",FundRaw!$O$4:$O$233,1))</f>
        <v/>
      </c>
      <c r="M11" s="32" t="str">
        <f aca="false">IF((COUNTIFS(FundRaw!$C$4:$C$233,"amzn",FundRaw!$E$4:$E$233,"2024",FundRaw!$F$4:$F$233,"private_credit",FundRaw!$O$4:$O$233,1))=0,"",SUMIFS(FundRaw!$G$4:$G$233,FundRaw!$C$4:$C$233,"amzn",FundRaw!$E$4:$E$233,"2024",FundRaw!$F$4:$F$233,"private_credit",FundRaw!$O$4:$O$233,1))</f>
        <v/>
      </c>
      <c r="N11" s="32" t="str">
        <f aca="false">IF((COUNTIFS(FundRaw!$C$4:$C$233,"amzn",FundRaw!$E$4:$E$233,"2024",FundRaw!$F$4:$F$233,"net_debt_change",FundRaw!$O$4:$O$233,1))=0,"",SUMIFS(FundRaw!$G$4:$G$233,FundRaw!$C$4:$C$233,"amzn",FundRaw!$E$4:$E$233,"2024",FundRaw!$F$4:$F$233,"net_debt_change",FundRaw!$O$4:$O$233,1))</f>
        <v/>
      </c>
      <c r="O11" s="32" t="str">
        <f aca="false">IF((COUNTIFS(FundRaw!$C$4:$C$233,"amzn",FundRaw!$E$4:$E$233,"2024",FundRaw!$F$4:$F$233,"lease_not_commenced",FundRaw!$O$4:$O$233,1))=0,"",SUMIFS(FundRaw!$G$4:$G$233,FundRaw!$C$4:$C$233,"amzn",FundRaw!$E$4:$E$233,"2024",FundRaw!$F$4:$F$233,"lease_not_commenced",FundRaw!$O$4:$O$233,1))</f>
        <v/>
      </c>
      <c r="P11" s="32" t="str">
        <f aca="false">IF((COUNTIFS(FundRaw!$C$4:$C$233,"amzn",FundRaw!$E$4:$E$233,"2024",FundRaw!$F$4:$F$233,"jv_offbalance",FundRaw!$O$4:$O$233,1))=0,"",SUMIFS(FundRaw!$G$4:$G$233,FundRaw!$C$4:$C$233,"amzn",FundRaw!$E$4:$E$233,"2024",FundRaw!$F$4:$F$233,"jv_offbalance",FundRaw!$O$4:$O$233,1))</f>
        <v/>
      </c>
      <c r="Q11" s="32" t="str">
        <f aca="false">IF((COUNTIFS(FundRaw!$C$4:$C$233,"amzn",FundRaw!$E$4:$E$233,"2024",FundRaw!$F$4:$F$233,"jv_exposure",FundRaw!$O$4:$O$233,1))=0,"",SUMIFS(FundRaw!$G$4:$G$233,FundRaw!$C$4:$C$233,"amzn",FundRaw!$E$4:$E$233,"2024",FundRaw!$F$4:$F$233,"jv_exposure",FundRaw!$O$4:$O$233,1))</f>
        <v/>
      </c>
      <c r="R11" s="32" t="str">
        <f aca="false">IF((COUNTIFS(FundRaw!$C$4:$C$233,"amzn",FundRaw!$E$4:$E$233,"2024",FundRaw!$F$4:$F$233,"equity_round",FundRaw!$O$4:$O$233,1))=0,"",SUMIFS(FundRaw!$G$4:$G$233,FundRaw!$C$4:$C$233,"amzn",FundRaw!$E$4:$E$233,"2024",FundRaw!$F$4:$F$233,"equity_round",FundRaw!$O$4:$O$233,1))</f>
        <v/>
      </c>
      <c r="S11" s="32" t="str">
        <f aca="false">IF((COUNTIFS(FundRaw!$C$4:$C$233,"amzn",FundRaw!$E$4:$E$233,"2024",FundRaw!$F$4:$F$233,"vendor_financing",FundRaw!$O$4:$O$233,1))=0,"",SUMIFS(FundRaw!$G$4:$G$233,FundRaw!$C$4:$C$233,"amzn",FundRaw!$E$4:$E$233,"2024",FundRaw!$F$4:$F$233,"vendor_financing",FundRaw!$O$4:$O$233,1))</f>
        <v/>
      </c>
      <c r="T11" s="32" t="str">
        <f aca="false">IF((COUNTIFS(FundRaw!$C$4:$C$233,"amzn",FundRaw!$E$4:$E$233,"2024",FundRaw!$F$4:$F$233,"buyback_div",FundRaw!$O$4:$O$233,1))=0,"",SUMIFS(FundRaw!$G$4:$G$233,FundRaw!$C$4:$C$233,"amzn",FundRaw!$E$4:$E$233,"2024",FundRaw!$F$4:$F$233,"buyback_div",FundRaw!$O$4:$O$233,1))</f>
        <v/>
      </c>
      <c r="U11" s="32" t="str">
        <f aca="false">IF((COUNTIFS(FundRaw!$C$4:$C$233,"amzn",FundRaw!$E$4:$E$233,"2024",FundRaw!$F$4:$F$233,"gpu_debt_talks",FundRaw!$O$4:$O$233,1))=0,"",SUMIFS(FundRaw!$G$4:$G$233,FundRaw!$C$4:$C$233,"amzn",FundRaw!$E$4:$E$233,"2024",FundRaw!$F$4:$F$233,"gpu_debt_talks",FundRaw!$O$4:$O$233,1))</f>
        <v/>
      </c>
      <c r="V11" s="32" t="str">
        <f aca="false">IF((COUNTIFS(FundRaw!$C$4:$C$233,"amzn",FundRaw!$E$4:$E$233,"2024",FundRaw!$F$4:$F$233,"bridge_refi",FundRaw!$O$4:$O$233,1))=0,"",SUMIFS(FundRaw!$G$4:$G$233,FundRaw!$C$4:$C$233,"amzn",FundRaw!$E$4:$E$233,"2024",FundRaw!$F$4:$F$233,"bridge_refi",FundRaw!$O$4:$O$233,1))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  <c r="AL11" s="32" t="n">
        <f aca="false">N(J11)+N(K11)+N(L11)+N(M11)+IF(AND(H11&lt;&gt;"",F11&lt;&gt;""),MAX(0,H11-F11),N(G11))+N(P11)+N(R11)</f>
        <v>0</v>
      </c>
      <c r="AM11" s="37" t="str">
        <f aca="false">IF(OR(W11="",N(W11)=0),"",AL11/W11)</f>
        <v/>
      </c>
      <c r="AN11" s="37" t="str">
        <f aca="false">IF(OR(W11="",N(W11)=0,E11=""),"",E11/W11)</f>
        <v/>
      </c>
      <c r="AO11" s="22" t="str">
        <f aca="false">IF(OR(W11="",N(W11)=0),"",(N(J11)+N(K11)+N(L11)+N(M11))/W11)</f>
        <v/>
      </c>
      <c r="AP11" s="22" t="str">
        <f aca="false">IF(OR(W11="",N(W11)=0),"",N(R11)/W11)</f>
        <v/>
      </c>
      <c r="AQ11" s="22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1635</v>
      </c>
      <c r="B12" s="0" t="s">
        <v>517</v>
      </c>
      <c r="C12" s="0" t="n">
        <v>2025</v>
      </c>
      <c r="D12" s="0" t="s">
        <v>1633</v>
      </c>
      <c r="E12" s="32" t="n">
        <f aca="false">IF((COUNTIFS(FundRaw!$C$4:$C$233,"amzn",FundRaw!$E$4:$E$233,"2025",FundRaw!$F$4:$F$233,"ocf",FundRaw!$O$4:$O$233,1))=0,"",SUMIFS(FundRaw!$G$4:$G$233,FundRaw!$C$4:$C$233,"amzn",FundRaw!$E$4:$E$233,"2025",FundRaw!$F$4:$F$233,"ocf",FundRaw!$O$4:$O$233,1))</f>
        <v>139.514</v>
      </c>
      <c r="F12" s="32" t="n">
        <f aca="false">IF((COUNTIFS(FundRaw!$C$4:$C$233,"amzn",FundRaw!$E$4:$E$233,"2025",FundRaw!$F$4:$F$233,"capex_cash",FundRaw!$O$4:$O$233,1))=0,"",SUMIFS(FundRaw!$G$4:$G$233,FundRaw!$C$4:$C$233,"amzn",FundRaw!$E$4:$E$233,"2025",FundRaw!$F$4:$F$233,"capex_cash",FundRaw!$O$4:$O$233,1))</f>
        <v>128.32</v>
      </c>
      <c r="G12" s="32" t="str">
        <f aca="false">IF((COUNTIFS(FundRaw!$C$4:$C$233,"amzn",FundRaw!$E$4:$E$233,"2025",FundRaw!$F$4:$F$233,"fin_lease_new",FundRaw!$O$4:$O$233,1))=0,"",SUMIFS(FundRaw!$G$4:$G$233,FundRaw!$C$4:$C$233,"amzn",FundRaw!$E$4:$E$233,"2025",FundRaw!$F$4:$F$233,"fin_lease_new",FundRaw!$O$4:$O$233,1))</f>
        <v/>
      </c>
      <c r="H12" s="32" t="n">
        <f aca="false">IF((COUNTIFS(FundRaw!$C$4:$C$233,"amzn",FundRaw!$E$4:$E$233,"2025",FundRaw!$F$4:$F$233,"capex_incl_fl",FundRaw!$O$4:$O$233,1))=0,"",SUMIFS(FundRaw!$G$4:$G$233,FundRaw!$C$4:$C$233,"amzn",FundRaw!$E$4:$E$233,"2025",FundRaw!$F$4:$F$233,"capex_incl_fl",FundRaw!$O$4:$O$233,1))</f>
        <v>131.231</v>
      </c>
      <c r="I12" s="32" t="n">
        <f aca="false">IF((COUNTIFS(FundRaw!$C$4:$C$233,"amzn",FundRaw!$E$4:$E$233,"2025",FundRaw!$F$4:$F$233,"fcf",FundRaw!$O$4:$O$233,1))=0,"",SUMIFS(FundRaw!$G$4:$G$233,FundRaw!$C$4:$C$233,"amzn",FundRaw!$E$4:$E$233,"2025",FundRaw!$F$4:$F$233,"fcf",FundRaw!$O$4:$O$233,1))</f>
        <v>11.194</v>
      </c>
      <c r="J12" s="32" t="n">
        <f aca="false">IF((COUNTIFS(FundRaw!$C$4:$C$233,"amzn",FundRaw!$E$4:$E$233,"2025",FundRaw!$F$4:$F$233,"bond_issue",FundRaw!$O$4:$O$233,1))=0,"",SUMIFS(FundRaw!$G$4:$G$233,FundRaw!$C$4:$C$233,"amzn",FundRaw!$E$4:$E$233,"2025",FundRaw!$F$4:$F$233,"bond_issue",FundRaw!$O$4:$O$233,1))</f>
        <v>15</v>
      </c>
      <c r="K12" s="32" t="str">
        <f aca="false">IF((COUNTIFS(FundRaw!$C$4:$C$233,"amzn",FundRaw!$E$4:$E$233,"2025",FundRaw!$F$4:$F$233,"term_loan",FundRaw!$O$4:$O$233,1))=0,"",SUMIFS(FundRaw!$G$4:$G$233,FundRaw!$C$4:$C$233,"amzn",FundRaw!$E$4:$E$233,"2025",FundRaw!$F$4:$F$233,"term_loan",FundRaw!$O$4:$O$233,1))</f>
        <v/>
      </c>
      <c r="L12" s="32" t="str">
        <f aca="false">IF((COUNTIFS(FundRaw!$C$4:$C$233,"amzn",FundRaw!$E$4:$E$233,"2025",FundRaw!$F$4:$F$233,"gpu_debt",FundRaw!$O$4:$O$233,1))=0,"",SUMIFS(FundRaw!$G$4:$G$233,FundRaw!$C$4:$C$233,"amzn",FundRaw!$E$4:$E$233,"2025",FundRaw!$F$4:$F$233,"gpu_debt",FundRaw!$O$4:$O$233,1))</f>
        <v/>
      </c>
      <c r="M12" s="32" t="str">
        <f aca="false">IF((COUNTIFS(FundRaw!$C$4:$C$233,"amzn",FundRaw!$E$4:$E$233,"2025",FundRaw!$F$4:$F$233,"private_credit",FundRaw!$O$4:$O$233,1))=0,"",SUMIFS(FundRaw!$G$4:$G$233,FundRaw!$C$4:$C$233,"amzn",FundRaw!$E$4:$E$233,"2025",FundRaw!$F$4:$F$233,"private_credit",FundRaw!$O$4:$O$233,1))</f>
        <v/>
      </c>
      <c r="N12" s="32" t="str">
        <f aca="false">IF((COUNTIFS(FundRaw!$C$4:$C$233,"amzn",FundRaw!$E$4:$E$233,"2025",FundRaw!$F$4:$F$233,"net_debt_change",FundRaw!$O$4:$O$233,1))=0,"",SUMIFS(FundRaw!$G$4:$G$233,FundRaw!$C$4:$C$233,"amzn",FundRaw!$E$4:$E$233,"2025",FundRaw!$F$4:$F$233,"net_debt_change",FundRaw!$O$4:$O$233,1))</f>
        <v/>
      </c>
      <c r="O12" s="32" t="n">
        <f aca="false">IF((COUNTIFS(FundRaw!$C$4:$C$233,"amzn",FundRaw!$E$4:$E$233,"2025",FundRaw!$F$4:$F$233,"lease_not_commenced",FundRaw!$O$4:$O$233,1))=0,"",SUMIFS(FundRaw!$G$4:$G$233,FundRaw!$C$4:$C$233,"amzn",FundRaw!$E$4:$E$233,"2025",FundRaw!$F$4:$F$233,"lease_not_commenced",FundRaw!$O$4:$O$233,1))</f>
        <v>96.4</v>
      </c>
      <c r="P12" s="32" t="str">
        <f aca="false">IF((COUNTIFS(FundRaw!$C$4:$C$233,"amzn",FundRaw!$E$4:$E$233,"2025",FundRaw!$F$4:$F$233,"jv_offbalance",FundRaw!$O$4:$O$233,1))=0,"",SUMIFS(FundRaw!$G$4:$G$233,FundRaw!$C$4:$C$233,"amzn",FundRaw!$E$4:$E$233,"2025",FundRaw!$F$4:$F$233,"jv_offbalance",FundRaw!$O$4:$O$233,1))</f>
        <v/>
      </c>
      <c r="Q12" s="32" t="str">
        <f aca="false">IF((COUNTIFS(FundRaw!$C$4:$C$233,"amzn",FundRaw!$E$4:$E$233,"2025",FundRaw!$F$4:$F$233,"jv_exposure",FundRaw!$O$4:$O$233,1))=0,"",SUMIFS(FundRaw!$G$4:$G$233,FundRaw!$C$4:$C$233,"amzn",FundRaw!$E$4:$E$233,"2025",FundRaw!$F$4:$F$233,"jv_exposure",FundRaw!$O$4:$O$233,1))</f>
        <v/>
      </c>
      <c r="R12" s="32" t="str">
        <f aca="false">IF((COUNTIFS(FundRaw!$C$4:$C$233,"amzn",FundRaw!$E$4:$E$233,"2025",FundRaw!$F$4:$F$233,"equity_round",FundRaw!$O$4:$O$233,1))=0,"",SUMIFS(FundRaw!$G$4:$G$233,FundRaw!$C$4:$C$233,"amzn",FundRaw!$E$4:$E$233,"2025",FundRaw!$F$4:$F$233,"equity_round",FundRaw!$O$4:$O$233,1))</f>
        <v/>
      </c>
      <c r="S12" s="32" t="str">
        <f aca="false">IF((COUNTIFS(FundRaw!$C$4:$C$233,"amzn",FundRaw!$E$4:$E$233,"2025",FundRaw!$F$4:$F$233,"vendor_financing",FundRaw!$O$4:$O$233,1))=0,"",SUMIFS(FundRaw!$G$4:$G$233,FundRaw!$C$4:$C$233,"amzn",FundRaw!$E$4:$E$233,"2025",FundRaw!$F$4:$F$233,"vendor_financing",FundRaw!$O$4:$O$233,1))</f>
        <v/>
      </c>
      <c r="T12" s="32" t="n">
        <f aca="false">IF((COUNTIFS(FundRaw!$C$4:$C$233,"amzn",FundRaw!$E$4:$E$233,"2025",FundRaw!$F$4:$F$233,"buyback_div",FundRaw!$O$4:$O$233,1))=0,"",SUMIFS(FundRaw!$G$4:$G$233,FundRaw!$C$4:$C$233,"amzn",FundRaw!$E$4:$E$233,"2025",FundRaw!$F$4:$F$233,"buyback_div",FundRaw!$O$4:$O$233,1))</f>
        <v>0</v>
      </c>
      <c r="U12" s="32" t="str">
        <f aca="false">IF((COUNTIFS(FundRaw!$C$4:$C$233,"amzn",FundRaw!$E$4:$E$233,"2025",FundRaw!$F$4:$F$233,"gpu_debt_talks",FundRaw!$O$4:$O$233,1))=0,"",SUMIFS(FundRaw!$G$4:$G$233,FundRaw!$C$4:$C$233,"amzn",FundRaw!$E$4:$E$233,"2025",FundRaw!$F$4:$F$233,"gpu_debt_talks",FundRaw!$O$4:$O$233,1))</f>
        <v/>
      </c>
      <c r="V12" s="32" t="str">
        <f aca="false">IF((COUNTIFS(FundRaw!$C$4:$C$233,"amzn",FundRaw!$E$4:$E$233,"2025",FundRaw!$F$4:$F$233,"bridge_refi",FundRaw!$O$4:$O$233,1))=0,"",SUMIFS(FundRaw!$G$4:$G$233,FundRaw!$C$4:$C$233,"amzn",FundRaw!$E$4:$E$233,"2025",FundRaw!$F$4:$F$233,"bridge_refi",FundRaw!$O$4:$O$233,1))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  <c r="AL12" s="32" t="n">
        <f aca="false">N(J12)+N(K12)+N(L12)+N(M12)+IF(AND(H12&lt;&gt;"",F12&lt;&gt;""),MAX(0,H12-F12),N(G12))+N(P12)+N(R12)</f>
        <v>17.911</v>
      </c>
      <c r="AM12" s="37" t="n">
        <f aca="false">IF(OR(W12="",N(W12)=0),"",AL12/W12)</f>
        <v>0.136484519663799</v>
      </c>
      <c r="AN12" s="37" t="n">
        <f aca="false">IF(OR(W12="",N(W12)=0,E12=""),"",E12/W12)</f>
        <v>1.06311770846827</v>
      </c>
      <c r="AO12" s="22" t="n">
        <f aca="false">IF(OR(W12="",N(W12)=0),"",(N(J12)+N(K12)+N(L12)+N(M12))/W12)</f>
        <v>0.114302260898721</v>
      </c>
      <c r="AP12" s="22" t="n">
        <f aca="false">IF(OR(W12="",N(W12)=0),"",N(R12)/W12)</f>
        <v>0</v>
      </c>
      <c r="AQ12" s="22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1635</v>
      </c>
      <c r="B13" s="0" t="s">
        <v>517</v>
      </c>
      <c r="C13" s="0" t="n">
        <v>2026</v>
      </c>
      <c r="D13" s="0" t="s">
        <v>1634</v>
      </c>
      <c r="E13" s="32" t="n">
        <f aca="false">IF((COUNTIFS(FundRaw!$C$4:$C$233,"amzn",FundRaw!$E$4:$E$233,"2026",FundRaw!$F$4:$F$233,"ocf",FundRaw!$O$4:$O$233,1))=0,"",SUMIFS(FundRaw!$G$4:$G$233,FundRaw!$C$4:$C$233,"amzn",FundRaw!$E$4:$E$233,"2026",FundRaw!$F$4:$F$233,"ocf",FundRaw!$O$4:$O$233,1))</f>
        <v>71.419</v>
      </c>
      <c r="F13" s="32" t="n">
        <f aca="false">IF((COUNTIFS(FundRaw!$C$4:$C$233,"amzn",FundRaw!$E$4:$E$233,"2026",FundRaw!$F$4:$F$233,"capex_cash",FundRaw!$O$4:$O$233,1))=0,"",SUMIFS(FundRaw!$G$4:$G$233,FundRaw!$C$4:$C$233,"amzn",FundRaw!$E$4:$E$233,"2026",FundRaw!$F$4:$F$233,"capex_cash",FundRaw!$O$4:$O$233,1))</f>
        <v>96.31</v>
      </c>
      <c r="G13" s="32" t="n">
        <f aca="false">IF((COUNTIFS(FundRaw!$C$4:$C$233,"amzn",FundRaw!$E$4:$E$233,"2026",FundRaw!$F$4:$F$233,"fin_lease_new",FundRaw!$O$4:$O$233,1))=0,"",SUMIFS(FundRaw!$G$4:$G$233,FundRaw!$C$4:$C$233,"amzn",FundRaw!$E$4:$E$233,"2026",FundRaw!$F$4:$F$233,"fin_lease_new",FundRaw!$O$4:$O$233,1))</f>
        <v>2.128</v>
      </c>
      <c r="H13" s="32" t="str">
        <f aca="false">IF((COUNTIFS(FundRaw!$C$4:$C$233,"amzn",FundRaw!$E$4:$E$233,"2026",FundRaw!$F$4:$F$233,"capex_incl_fl",FundRaw!$O$4:$O$233,1))=0,"",SUMIFS(FundRaw!$G$4:$G$233,FundRaw!$C$4:$C$233,"amzn",FundRaw!$E$4:$E$233,"2026",FundRaw!$F$4:$F$233,"capex_incl_fl",FundRaw!$O$4:$O$233,1))</f>
        <v/>
      </c>
      <c r="I13" s="32" t="n">
        <f aca="false">IF((COUNTIFS(FundRaw!$C$4:$C$233,"amzn",FundRaw!$E$4:$E$233,"2026",FundRaw!$F$4:$F$233,"fcf",FundRaw!$O$4:$O$233,1))=0,"",SUMIFS(FundRaw!$G$4:$G$233,FundRaw!$C$4:$C$233,"amzn",FundRaw!$E$4:$E$233,"2026",FundRaw!$F$4:$F$233,"fcf",FundRaw!$O$4:$O$233,1))</f>
        <v>-24.891</v>
      </c>
      <c r="J13" s="32" t="n">
        <f aca="false">IF((COUNTIFS(FundRaw!$C$4:$C$233,"amzn",FundRaw!$E$4:$E$233,"2026",FundRaw!$F$4:$F$233,"bond_issue",FundRaw!$O$4:$O$233,1))=0,"",SUMIFS(FundRaw!$G$4:$G$233,FundRaw!$C$4:$C$233,"amzn",FundRaw!$E$4:$E$233,"2026",FundRaw!$F$4:$F$233,"bond_issue",FundRaw!$O$4:$O$233,1))</f>
        <v>53.8</v>
      </c>
      <c r="K13" s="32" t="str">
        <f aca="false">IF((COUNTIFS(FundRaw!$C$4:$C$233,"amzn",FundRaw!$E$4:$E$233,"2026",FundRaw!$F$4:$F$233,"term_loan",FundRaw!$O$4:$O$233,1))=0,"",SUMIFS(FundRaw!$G$4:$G$233,FundRaw!$C$4:$C$233,"amzn",FundRaw!$E$4:$E$233,"2026",FundRaw!$F$4:$F$233,"term_loan",FundRaw!$O$4:$O$233,1))</f>
        <v/>
      </c>
      <c r="L13" s="32" t="str">
        <f aca="false">IF((COUNTIFS(FundRaw!$C$4:$C$233,"amzn",FundRaw!$E$4:$E$233,"2026",FundRaw!$F$4:$F$233,"gpu_debt",FundRaw!$O$4:$O$233,1))=0,"",SUMIFS(FundRaw!$G$4:$G$233,FundRaw!$C$4:$C$233,"amzn",FundRaw!$E$4:$E$233,"2026",FundRaw!$F$4:$F$233,"gpu_debt",FundRaw!$O$4:$O$233,1))</f>
        <v/>
      </c>
      <c r="M13" s="32" t="str">
        <f aca="false">IF((COUNTIFS(FundRaw!$C$4:$C$233,"amzn",FundRaw!$E$4:$E$233,"2026",FundRaw!$F$4:$F$233,"private_credit",FundRaw!$O$4:$O$233,1))=0,"",SUMIFS(FundRaw!$G$4:$G$233,FundRaw!$C$4:$C$233,"amzn",FundRaw!$E$4:$E$233,"2026",FundRaw!$F$4:$F$233,"private_credit",FundRaw!$O$4:$O$233,1))</f>
        <v/>
      </c>
      <c r="N13" s="32" t="str">
        <f aca="false">IF((COUNTIFS(FundRaw!$C$4:$C$233,"amzn",FundRaw!$E$4:$E$233,"2026",FundRaw!$F$4:$F$233,"net_debt_change",FundRaw!$O$4:$O$233,1))=0,"",SUMIFS(FundRaw!$G$4:$G$233,FundRaw!$C$4:$C$233,"amzn",FundRaw!$E$4:$E$233,"2026",FundRaw!$F$4:$F$233,"net_debt_change",FundRaw!$O$4:$O$233,1))</f>
        <v/>
      </c>
      <c r="O13" s="32" t="n">
        <f aca="false">IF((COUNTIFS(FundRaw!$C$4:$C$233,"amzn",FundRaw!$E$4:$E$233,"2026",FundRaw!$F$4:$F$233,"lease_not_commenced",FundRaw!$O$4:$O$233,1))=0,"",SUMIFS(FundRaw!$G$4:$G$233,FundRaw!$C$4:$C$233,"amzn",FundRaw!$E$4:$E$233,"2026",FundRaw!$F$4:$F$233,"lease_not_commenced",FundRaw!$O$4:$O$233,1))</f>
        <v>137.214</v>
      </c>
      <c r="P13" s="32" t="str">
        <f aca="false">IF((COUNTIFS(FundRaw!$C$4:$C$233,"amzn",FundRaw!$E$4:$E$233,"2026",FundRaw!$F$4:$F$233,"jv_offbalance",FundRaw!$O$4:$O$233,1))=0,"",SUMIFS(FundRaw!$G$4:$G$233,FundRaw!$C$4:$C$233,"amzn",FundRaw!$E$4:$E$233,"2026",FundRaw!$F$4:$F$233,"jv_offbalance",FundRaw!$O$4:$O$233,1))</f>
        <v/>
      </c>
      <c r="Q13" s="32" t="str">
        <f aca="false">IF((COUNTIFS(FundRaw!$C$4:$C$233,"amzn",FundRaw!$E$4:$E$233,"2026",FundRaw!$F$4:$F$233,"jv_exposure",FundRaw!$O$4:$O$233,1))=0,"",SUMIFS(FundRaw!$G$4:$G$233,FundRaw!$C$4:$C$233,"amzn",FundRaw!$E$4:$E$233,"2026",FundRaw!$F$4:$F$233,"jv_exposure",FundRaw!$O$4:$O$233,1))</f>
        <v/>
      </c>
      <c r="R13" s="32" t="str">
        <f aca="false">IF((COUNTIFS(FundRaw!$C$4:$C$233,"amzn",FundRaw!$E$4:$E$233,"2026",FundRaw!$F$4:$F$233,"equity_round",FundRaw!$O$4:$O$233,1))=0,"",SUMIFS(FundRaw!$G$4:$G$233,FundRaw!$C$4:$C$233,"amzn",FundRaw!$E$4:$E$233,"2026",FundRaw!$F$4:$F$233,"equity_round",FundRaw!$O$4:$O$233,1))</f>
        <v/>
      </c>
      <c r="S13" s="32" t="n">
        <f aca="false">IF((COUNTIFS(FundRaw!$C$4:$C$233,"amzn",FundRaw!$E$4:$E$233,"2026",FundRaw!$F$4:$F$233,"vendor_financing",FundRaw!$O$4:$O$233,1))=0,"",SUMIFS(FundRaw!$G$4:$G$233,FundRaw!$C$4:$C$233,"amzn",FundRaw!$E$4:$E$233,"2026",FundRaw!$F$4:$F$233,"vendor_financing",FundRaw!$O$4:$O$233,1))</f>
        <v>18</v>
      </c>
      <c r="T13" s="32" t="str">
        <f aca="false">IF((COUNTIFS(FundRaw!$C$4:$C$233,"amzn",FundRaw!$E$4:$E$233,"2026",FundRaw!$F$4:$F$233,"buyback_div",FundRaw!$O$4:$O$233,1))=0,"",SUMIFS(FundRaw!$G$4:$G$233,FundRaw!$C$4:$C$233,"amzn",FundRaw!$E$4:$E$233,"2026",FundRaw!$F$4:$F$233,"buyback_div",FundRaw!$O$4:$O$233,1))</f>
        <v/>
      </c>
      <c r="U13" s="32" t="str">
        <f aca="false">IF((COUNTIFS(FundRaw!$C$4:$C$233,"amzn",FundRaw!$E$4:$E$233,"2026",FundRaw!$F$4:$F$233,"gpu_debt_talks",FundRaw!$O$4:$O$233,1))=0,"",SUMIFS(FundRaw!$G$4:$G$233,FundRaw!$C$4:$C$233,"amzn",FundRaw!$E$4:$E$233,"2026",FundRaw!$F$4:$F$233,"gpu_debt_talks",FundRaw!$O$4:$O$233,1))</f>
        <v/>
      </c>
      <c r="V13" s="32" t="str">
        <f aca="false">IF((COUNTIFS(FundRaw!$C$4:$C$233,"amzn",FundRaw!$E$4:$E$233,"2026",FundRaw!$F$4:$F$233,"bridge_refi",FundRaw!$O$4:$O$233,1))=0,"",SUMIFS(FundRaw!$G$4:$G$233,FundRaw!$C$4:$C$233,"amzn",FundRaw!$E$4:$E$233,"2026",FundRaw!$F$4:$F$233,"bridge_refi",FundRaw!$O$4:$O$233,1))</f>
        <v/>
      </c>
      <c r="W13" s="32" t="n">
        <f aca="false">IF(H13&lt;&gt;"",H13,IF(F13&lt;&gt;"",F13+N(G13),""))</f>
        <v>98.438</v>
      </c>
      <c r="X13" s="32" t="n">
        <f aca="false">IF(OR(W13="",E13=""),"",MAX(0,MIN(N(E13),W13-N(Y13))))</f>
        <v>71.419</v>
      </c>
      <c r="Y13" s="32" t="n">
        <f aca="false">IF(W13="","",IF(AND(H13&lt;&gt;"",F13&lt;&gt;""),MAX(0,H13-F13),N(G13)))</f>
        <v>2.128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24.891</v>
      </c>
      <c r="AB13" s="32" t="n">
        <f aca="false">IF(W13="","",W13-N(X13)-N(Y13)-N(Z13)-N(AA13))</f>
        <v>0</v>
      </c>
      <c r="AC13" s="37" t="n">
        <f aca="false">IF(OR(W13="",N(W13)=0,X13=""),"",X13/W13)</f>
        <v>0.725522664011865</v>
      </c>
      <c r="AD13" s="37" t="n">
        <f aca="false">IF(OR(W13="",N(W13)=0,Y13=""),"",Y13/W13)</f>
        <v>0.02161766797375</v>
      </c>
      <c r="AE13" s="37" t="n">
        <f aca="false">IF(OR(W13="",N(W13)=0,Z13=""),"",Z13/W13)</f>
        <v>0</v>
      </c>
      <c r="AF13" s="37" t="n">
        <f aca="false">IF(OR(W13="",N(W13)=0,AA13=""),"",AA13/W13)</f>
        <v>0.252859668014385</v>
      </c>
      <c r="AG13" s="37" t="n">
        <f aca="false">IF(OR(W13="",N(W13)=0,AB13=""),"",AB13/W13)</f>
        <v>0</v>
      </c>
      <c r="AH13" s="32" t="n">
        <f aca="false">N(J13)+N(K13)+N(L13)+N(M13)+N(R13)+N(G13)</f>
        <v>55.928</v>
      </c>
      <c r="AI13" s="22" t="n">
        <f aca="false">IF(N(AH13)=0,"",(N(J13)+N(K13)+N(L13)+N(M13))/AH13)</f>
        <v>0.961951079959949</v>
      </c>
      <c r="AJ13" s="22" t="n">
        <f aca="false">IF(N(AH13)=0,"",(N(R13))/AH13)</f>
        <v>0</v>
      </c>
      <c r="AK13" s="22" t="n">
        <f aca="false">IF(N(AH13)=0,"",(N(G13))/AH13)</f>
        <v>0.0380489200400515</v>
      </c>
      <c r="AL13" s="32" t="n">
        <f aca="false">N(J13)+N(K13)+N(L13)+N(M13)+IF(AND(H13&lt;&gt;"",F13&lt;&gt;""),MAX(0,H13-F13),N(G13))+N(P13)+N(R13)</f>
        <v>55.928</v>
      </c>
      <c r="AM13" s="37" t="n">
        <f aca="false">IF(OR(W13="",N(W13)=0),"",AL13/W13)</f>
        <v>0.568154574452955</v>
      </c>
      <c r="AN13" s="37" t="n">
        <f aca="false">IF(OR(W13="",N(W13)=0,E13=""),"",E13/W13)</f>
        <v>0.725522664011865</v>
      </c>
      <c r="AO13" s="22" t="n">
        <f aca="false">IF(OR(W13="",N(W13)=0),"",(N(J13)+N(K13)+N(L13)+N(M13))/W13)</f>
        <v>0.546536906479205</v>
      </c>
      <c r="AP13" s="22" t="n">
        <f aca="false">IF(OR(W13="",N(W13)=0),"",N(R13)/W13)</f>
        <v>0</v>
      </c>
      <c r="AQ13" s="22" t="n">
        <f aca="false">IF(OR(W13="",N(W13)=0),"",(IF(AND(H13&lt;&gt;"",F13&lt;&gt;""),MAX(0,H13-F13),N(G13))+N(P13))/W13)</f>
        <v>0.02161766797375</v>
      </c>
    </row>
    <row r="14" customFormat="false" ht="15" hidden="false" customHeight="false" outlineLevel="0" collapsed="false">
      <c r="A14" s="0" t="s">
        <v>981</v>
      </c>
      <c r="B14" s="0" t="s">
        <v>524</v>
      </c>
      <c r="C14" s="0" t="n">
        <v>2024</v>
      </c>
      <c r="D14" s="0" t="s">
        <v>1632</v>
      </c>
      <c r="E14" s="32" t="str">
        <f aca="false">IF((COUNTIFS(FundRaw!$C$4:$C$233,"meta",FundRaw!$E$4:$E$233,"2024",FundRaw!$F$4:$F$233,"ocf",FundRaw!$O$4:$O$233,1))=0,"",SUMIFS(FundRaw!$G$4:$G$233,FundRaw!$C$4:$C$233,"meta",FundRaw!$E$4:$E$233,"2024",FundRaw!$F$4:$F$233,"ocf",FundRaw!$O$4:$O$233,1))</f>
        <v/>
      </c>
      <c r="F14" s="32" t="str">
        <f aca="false">IF((COUNTIFS(FundRaw!$C$4:$C$233,"meta",FundRaw!$E$4:$E$233,"2024",FundRaw!$F$4:$F$233,"capex_cash",FundRaw!$O$4:$O$233,1))=0,"",SUMIFS(FundRaw!$G$4:$G$233,FundRaw!$C$4:$C$233,"meta",FundRaw!$E$4:$E$233,"2024",FundRaw!$F$4:$F$233,"capex_cash",FundRaw!$O$4:$O$233,1))</f>
        <v/>
      </c>
      <c r="G14" s="32" t="str">
        <f aca="false">IF((COUNTIFS(FundRaw!$C$4:$C$233,"meta",FundRaw!$E$4:$E$233,"2024",FundRaw!$F$4:$F$233,"fin_lease_new",FundRaw!$O$4:$O$233,1))=0,"",SUMIFS(FundRaw!$G$4:$G$233,FundRaw!$C$4:$C$233,"meta",FundRaw!$E$4:$E$233,"2024",FundRaw!$F$4:$F$233,"fin_lease_new",FundRaw!$O$4:$O$233,1))</f>
        <v/>
      </c>
      <c r="H14" s="32" t="str">
        <f aca="false">IF((COUNTIFS(FundRaw!$C$4:$C$233,"meta",FundRaw!$E$4:$E$233,"2024",FundRaw!$F$4:$F$233,"capex_incl_fl",FundRaw!$O$4:$O$233,1))=0,"",SUMIFS(FundRaw!$G$4:$G$233,FundRaw!$C$4:$C$233,"meta",FundRaw!$E$4:$E$233,"2024",FundRaw!$F$4:$F$233,"capex_incl_fl",FundRaw!$O$4:$O$233,1))</f>
        <v/>
      </c>
      <c r="I14" s="32" t="str">
        <f aca="false">IF((COUNTIFS(FundRaw!$C$4:$C$233,"meta",FundRaw!$E$4:$E$233,"2024",FundRaw!$F$4:$F$233,"fcf",FundRaw!$O$4:$O$233,1))=0,"",SUMIFS(FundRaw!$G$4:$G$233,FundRaw!$C$4:$C$233,"meta",FundRaw!$E$4:$E$233,"2024",FundRaw!$F$4:$F$233,"fcf",FundRaw!$O$4:$O$233,1))</f>
        <v/>
      </c>
      <c r="J14" s="32" t="str">
        <f aca="false">IF((COUNTIFS(FundRaw!$C$4:$C$233,"meta",FundRaw!$E$4:$E$233,"2024",FundRaw!$F$4:$F$233,"bond_issue",FundRaw!$O$4:$O$233,1))=0,"",SUMIFS(FundRaw!$G$4:$G$233,FundRaw!$C$4:$C$233,"meta",FundRaw!$E$4:$E$233,"2024",FundRaw!$F$4:$F$233,"bond_issue",FundRaw!$O$4:$O$233,1))</f>
        <v/>
      </c>
      <c r="K14" s="32" t="str">
        <f aca="false">IF((COUNTIFS(FundRaw!$C$4:$C$233,"meta",FundRaw!$E$4:$E$233,"2024",FundRaw!$F$4:$F$233,"term_loan",FundRaw!$O$4:$O$233,1))=0,"",SUMIFS(FundRaw!$G$4:$G$233,FundRaw!$C$4:$C$233,"meta",FundRaw!$E$4:$E$233,"2024",FundRaw!$F$4:$F$233,"term_loan",FundRaw!$O$4:$O$233,1))</f>
        <v/>
      </c>
      <c r="L14" s="32" t="str">
        <f aca="false">IF((COUNTIFS(FundRaw!$C$4:$C$233,"meta",FundRaw!$E$4:$E$233,"2024",FundRaw!$F$4:$F$233,"gpu_debt",FundRaw!$O$4:$O$233,1))=0,"",SUMIFS(FundRaw!$G$4:$G$233,FundRaw!$C$4:$C$233,"meta",FundRaw!$E$4:$E$233,"2024",FundRaw!$F$4:$F$233,"gpu_debt",FundRaw!$O$4:$O$233,1))</f>
        <v/>
      </c>
      <c r="M14" s="32" t="str">
        <f aca="false">IF((COUNTIFS(FundRaw!$C$4:$C$233,"meta",FundRaw!$E$4:$E$233,"2024",FundRaw!$F$4:$F$233,"private_credit",FundRaw!$O$4:$O$233,1))=0,"",SUMIFS(FundRaw!$G$4:$G$233,FundRaw!$C$4:$C$233,"meta",FundRaw!$E$4:$E$233,"2024",FundRaw!$F$4:$F$233,"private_credit",FundRaw!$O$4:$O$233,1))</f>
        <v/>
      </c>
      <c r="N14" s="32" t="str">
        <f aca="false">IF((COUNTIFS(FundRaw!$C$4:$C$233,"meta",FundRaw!$E$4:$E$233,"2024",FundRaw!$F$4:$F$233,"net_debt_change",FundRaw!$O$4:$O$233,1))=0,"",SUMIFS(FundRaw!$G$4:$G$233,FundRaw!$C$4:$C$233,"meta",FundRaw!$E$4:$E$233,"2024",FundRaw!$F$4:$F$233,"net_debt_change",FundRaw!$O$4:$O$233,1))</f>
        <v/>
      </c>
      <c r="O14" s="32" t="str">
        <f aca="false">IF((COUNTIFS(FundRaw!$C$4:$C$233,"meta",FundRaw!$E$4:$E$233,"2024",FundRaw!$F$4:$F$233,"lease_not_commenced",FundRaw!$O$4:$O$233,1))=0,"",SUMIFS(FundRaw!$G$4:$G$233,FundRaw!$C$4:$C$233,"meta",FundRaw!$E$4:$E$233,"2024",FundRaw!$F$4:$F$233,"lease_not_commenced",FundRaw!$O$4:$O$233,1))</f>
        <v/>
      </c>
      <c r="P14" s="32" t="str">
        <f aca="false">IF((COUNTIFS(FundRaw!$C$4:$C$233,"meta",FundRaw!$E$4:$E$233,"2024",FundRaw!$F$4:$F$233,"jv_offbalance",FundRaw!$O$4:$O$233,1))=0,"",SUMIFS(FundRaw!$G$4:$G$233,FundRaw!$C$4:$C$233,"meta",FundRaw!$E$4:$E$233,"2024",FundRaw!$F$4:$F$233,"jv_offbalance",FundRaw!$O$4:$O$233,1))</f>
        <v/>
      </c>
      <c r="Q14" s="32" t="str">
        <f aca="false">IF((COUNTIFS(FundRaw!$C$4:$C$233,"meta",FundRaw!$E$4:$E$233,"2024",FundRaw!$F$4:$F$233,"jv_exposure",FundRaw!$O$4:$O$233,1))=0,"",SUMIFS(FundRaw!$G$4:$G$233,FundRaw!$C$4:$C$233,"meta",FundRaw!$E$4:$E$233,"2024",FundRaw!$F$4:$F$233,"jv_exposure",FundRaw!$O$4:$O$233,1))</f>
        <v/>
      </c>
      <c r="R14" s="32" t="str">
        <f aca="false">IF((COUNTIFS(FundRaw!$C$4:$C$233,"meta",FundRaw!$E$4:$E$233,"2024",FundRaw!$F$4:$F$233,"equity_round",FundRaw!$O$4:$O$233,1))=0,"",SUMIFS(FundRaw!$G$4:$G$233,FundRaw!$C$4:$C$233,"meta",FundRaw!$E$4:$E$233,"2024",FundRaw!$F$4:$F$233,"equity_round",FundRaw!$O$4:$O$233,1))</f>
        <v/>
      </c>
      <c r="S14" s="32" t="str">
        <f aca="false">IF((COUNTIFS(FundRaw!$C$4:$C$233,"meta",FundRaw!$E$4:$E$233,"2024",FundRaw!$F$4:$F$233,"vendor_financing",FundRaw!$O$4:$O$233,1))=0,"",SUMIFS(FundRaw!$G$4:$G$233,FundRaw!$C$4:$C$233,"meta",FundRaw!$E$4:$E$233,"2024",FundRaw!$F$4:$F$233,"vendor_financing",FundRaw!$O$4:$O$233,1))</f>
        <v/>
      </c>
      <c r="T14" s="32" t="str">
        <f aca="false">IF((COUNTIFS(FundRaw!$C$4:$C$233,"meta",FundRaw!$E$4:$E$233,"2024",FundRaw!$F$4:$F$233,"buyback_div",FundRaw!$O$4:$O$233,1))=0,"",SUMIFS(FundRaw!$G$4:$G$233,FundRaw!$C$4:$C$233,"meta",FundRaw!$E$4:$E$233,"2024",FundRaw!$F$4:$F$233,"buyback_div",FundRaw!$O$4:$O$233,1))</f>
        <v/>
      </c>
      <c r="U14" s="32" t="str">
        <f aca="false">IF((COUNTIFS(FundRaw!$C$4:$C$233,"meta",FundRaw!$E$4:$E$233,"2024",FundRaw!$F$4:$F$233,"gpu_debt_talks",FundRaw!$O$4:$O$233,1))=0,"",SUMIFS(FundRaw!$G$4:$G$233,FundRaw!$C$4:$C$233,"meta",FundRaw!$E$4:$E$233,"2024",FundRaw!$F$4:$F$233,"gpu_debt_talks",FundRaw!$O$4:$O$233,1))</f>
        <v/>
      </c>
      <c r="V14" s="32" t="str">
        <f aca="false">IF((COUNTIFS(FundRaw!$C$4:$C$233,"meta",FundRaw!$E$4:$E$233,"2024",FundRaw!$F$4:$F$233,"bridge_refi",FundRaw!$O$4:$O$233,1))=0,"",SUMIFS(FundRaw!$G$4:$G$233,FundRaw!$C$4:$C$233,"meta",FundRaw!$E$4:$E$233,"2024",FundRaw!$F$4:$F$233,"bridge_refi",FundRaw!$O$4:$O$233,1))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  <c r="AL14" s="32" t="n">
        <f aca="false">N(J14)+N(K14)+N(L14)+N(M14)+IF(AND(H14&lt;&gt;"",F14&lt;&gt;""),MAX(0,H14-F14),N(G14))+N(P14)+N(R14)</f>
        <v>0</v>
      </c>
      <c r="AM14" s="37" t="str">
        <f aca="false">IF(OR(W14="",N(W14)=0),"",AL14/W14)</f>
        <v/>
      </c>
      <c r="AN14" s="37" t="str">
        <f aca="false">IF(OR(W14="",N(W14)=0,E14=""),"",E14/W14)</f>
        <v/>
      </c>
      <c r="AO14" s="22" t="str">
        <f aca="false">IF(OR(W14="",N(W14)=0),"",(N(J14)+N(K14)+N(L14)+N(M14))/W14)</f>
        <v/>
      </c>
      <c r="AP14" s="22" t="str">
        <f aca="false">IF(OR(W14="",N(W14)=0),"",N(R14)/W14)</f>
        <v/>
      </c>
      <c r="AQ14" s="22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981</v>
      </c>
      <c r="B15" s="0" t="s">
        <v>524</v>
      </c>
      <c r="C15" s="0" t="n">
        <v>2025</v>
      </c>
      <c r="D15" s="0" t="s">
        <v>1633</v>
      </c>
      <c r="E15" s="32" t="n">
        <f aca="false">IF((COUNTIFS(FundRaw!$C$4:$C$233,"meta",FundRaw!$E$4:$E$233,"2025",FundRaw!$F$4:$F$233,"ocf",FundRaw!$O$4:$O$233,1))=0,"",SUMIFS(FundRaw!$G$4:$G$233,FundRaw!$C$4:$C$233,"meta",FundRaw!$E$4:$E$233,"2025",FundRaw!$F$4:$F$233,"ocf",FundRaw!$O$4:$O$233,1))</f>
        <v>115.8</v>
      </c>
      <c r="F15" s="32" t="str">
        <f aca="false">IF((COUNTIFS(FundRaw!$C$4:$C$233,"meta",FundRaw!$E$4:$E$233,"2025",FundRaw!$F$4:$F$233,"capex_cash",FundRaw!$O$4:$O$233,1))=0,"",SUMIFS(FundRaw!$G$4:$G$233,FundRaw!$C$4:$C$233,"meta",FundRaw!$E$4:$E$233,"2025",FundRaw!$F$4:$F$233,"capex_cash",FundRaw!$O$4:$O$233,1))</f>
        <v/>
      </c>
      <c r="G15" s="32" t="str">
        <f aca="false">IF((COUNTIFS(FundRaw!$C$4:$C$233,"meta",FundRaw!$E$4:$E$233,"2025",FundRaw!$F$4:$F$233,"fin_lease_new",FundRaw!$O$4:$O$233,1))=0,"",SUMIFS(FundRaw!$G$4:$G$233,FundRaw!$C$4:$C$233,"meta",FundRaw!$E$4:$E$233,"2025",FundRaw!$F$4:$F$233,"fin_lease_new",FundRaw!$O$4:$O$233,1))</f>
        <v/>
      </c>
      <c r="H15" s="32" t="n">
        <f aca="false">IF((COUNTIFS(FundRaw!$C$4:$C$233,"meta",FundRaw!$E$4:$E$233,"2025",FundRaw!$F$4:$F$233,"capex_incl_fl",FundRaw!$O$4:$O$233,1))=0,"",SUMIFS(FundRaw!$G$4:$G$233,FundRaw!$C$4:$C$233,"meta",FundRaw!$E$4:$E$233,"2025",FundRaw!$F$4:$F$233,"capex_incl_fl",FundRaw!$O$4:$O$233,1))</f>
        <v>72.215</v>
      </c>
      <c r="I15" s="32" t="n">
        <f aca="false">IF((COUNTIFS(FundRaw!$C$4:$C$233,"meta",FundRaw!$E$4:$E$233,"2025",FundRaw!$F$4:$F$233,"fcf",FundRaw!$O$4:$O$233,1))=0,"",SUMIFS(FundRaw!$G$4:$G$233,FundRaw!$C$4:$C$233,"meta",FundRaw!$E$4:$E$233,"2025",FundRaw!$F$4:$F$233,"fcf",FundRaw!$O$4:$O$233,1))</f>
        <v>43.585</v>
      </c>
      <c r="J15" s="32" t="n">
        <f aca="false">IF((COUNTIFS(FundRaw!$C$4:$C$233,"meta",FundRaw!$E$4:$E$233,"2025",FundRaw!$F$4:$F$233,"bond_issue",FundRaw!$O$4:$O$233,1))=0,"",SUMIFS(FundRaw!$G$4:$G$233,FundRaw!$C$4:$C$233,"meta",FundRaw!$E$4:$E$233,"2025",FundRaw!$F$4:$F$233,"bond_issue",FundRaw!$O$4:$O$233,1))</f>
        <v>30</v>
      </c>
      <c r="K15" s="32" t="str">
        <f aca="false">IF((COUNTIFS(FundRaw!$C$4:$C$233,"meta",FundRaw!$E$4:$E$233,"2025",FundRaw!$F$4:$F$233,"term_loan",FundRaw!$O$4:$O$233,1))=0,"",SUMIFS(FundRaw!$G$4:$G$233,FundRaw!$C$4:$C$233,"meta",FundRaw!$E$4:$E$233,"2025",FundRaw!$F$4:$F$233,"term_loan",FundRaw!$O$4:$O$233,1))</f>
        <v/>
      </c>
      <c r="L15" s="32" t="str">
        <f aca="false">IF((COUNTIFS(FundRaw!$C$4:$C$233,"meta",FundRaw!$E$4:$E$233,"2025",FundRaw!$F$4:$F$233,"gpu_debt",FundRaw!$O$4:$O$233,1))=0,"",SUMIFS(FundRaw!$G$4:$G$233,FundRaw!$C$4:$C$233,"meta",FundRaw!$E$4:$E$233,"2025",FundRaw!$F$4:$F$233,"gpu_debt",FundRaw!$O$4:$O$233,1))</f>
        <v/>
      </c>
      <c r="M15" s="32" t="str">
        <f aca="false">IF((COUNTIFS(FundRaw!$C$4:$C$233,"meta",FundRaw!$E$4:$E$233,"2025",FundRaw!$F$4:$F$233,"private_credit",FundRaw!$O$4:$O$233,1))=0,"",SUMIFS(FundRaw!$G$4:$G$233,FundRaw!$C$4:$C$233,"meta",FundRaw!$E$4:$E$233,"2025",FundRaw!$F$4:$F$233,"private_credit",FundRaw!$O$4:$O$233,1))</f>
        <v/>
      </c>
      <c r="N15" s="32" t="str">
        <f aca="false">IF((COUNTIFS(FundRaw!$C$4:$C$233,"meta",FundRaw!$E$4:$E$233,"2025",FundRaw!$F$4:$F$233,"net_debt_change",FundRaw!$O$4:$O$233,1))=0,"",SUMIFS(FundRaw!$G$4:$G$233,FundRaw!$C$4:$C$233,"meta",FundRaw!$E$4:$E$233,"2025",FundRaw!$F$4:$F$233,"net_debt_change",FundRaw!$O$4:$O$233,1))</f>
        <v/>
      </c>
      <c r="O15" s="32" t="str">
        <f aca="false">IF((COUNTIFS(FundRaw!$C$4:$C$233,"meta",FundRaw!$E$4:$E$233,"2025",FundRaw!$F$4:$F$233,"lease_not_commenced",FundRaw!$O$4:$O$233,1))=0,"",SUMIFS(FundRaw!$G$4:$G$233,FundRaw!$C$4:$C$233,"meta",FundRaw!$E$4:$E$233,"2025",FundRaw!$F$4:$F$233,"lease_not_commenced",FundRaw!$O$4:$O$233,1))</f>
        <v/>
      </c>
      <c r="P15" s="32" t="n">
        <f aca="false">IF((COUNTIFS(FundRaw!$C$4:$C$233,"meta",FundRaw!$E$4:$E$233,"2025",FundRaw!$F$4:$F$233,"jv_offbalance",FundRaw!$O$4:$O$233,1))=0,"",SUMIFS(FundRaw!$G$4:$G$233,FundRaw!$C$4:$C$233,"meta",FundRaw!$E$4:$E$233,"2025",FundRaw!$F$4:$F$233,"jv_offbalance",FundRaw!$O$4:$O$233,1))</f>
        <v>27.3</v>
      </c>
      <c r="Q15" s="32" t="str">
        <f aca="false">IF((COUNTIFS(FundRaw!$C$4:$C$233,"meta",FundRaw!$E$4:$E$233,"2025",FundRaw!$F$4:$F$233,"jv_exposure",FundRaw!$O$4:$O$233,1))=0,"",SUMIFS(FundRaw!$G$4:$G$233,FundRaw!$C$4:$C$233,"meta",FundRaw!$E$4:$E$233,"2025",FundRaw!$F$4:$F$233,"jv_exposure",FundRaw!$O$4:$O$233,1))</f>
        <v/>
      </c>
      <c r="R15" s="32" t="str">
        <f aca="false">IF((COUNTIFS(FundRaw!$C$4:$C$233,"meta",FundRaw!$E$4:$E$233,"2025",FundRaw!$F$4:$F$233,"equity_round",FundRaw!$O$4:$O$233,1))=0,"",SUMIFS(FundRaw!$G$4:$G$233,FundRaw!$C$4:$C$233,"meta",FundRaw!$E$4:$E$233,"2025",FundRaw!$F$4:$F$233,"equity_round",FundRaw!$O$4:$O$233,1))</f>
        <v/>
      </c>
      <c r="S15" s="32" t="str">
        <f aca="false">IF((COUNTIFS(FundRaw!$C$4:$C$233,"meta",FundRaw!$E$4:$E$233,"2025",FundRaw!$F$4:$F$233,"vendor_financing",FundRaw!$O$4:$O$233,1))=0,"",SUMIFS(FundRaw!$G$4:$G$233,FundRaw!$C$4:$C$233,"meta",FundRaw!$E$4:$E$233,"2025",FundRaw!$F$4:$F$233,"vendor_financing",FundRaw!$O$4:$O$233,1))</f>
        <v/>
      </c>
      <c r="T15" s="32" t="n">
        <f aca="false">IF((COUNTIFS(FundRaw!$C$4:$C$233,"meta",FundRaw!$E$4:$E$233,"2025",FundRaw!$F$4:$F$233,"buyback_div",FundRaw!$O$4:$O$233,1))=0,"",SUMIFS(FundRaw!$G$4:$G$233,FundRaw!$C$4:$C$233,"meta",FundRaw!$E$4:$E$233,"2025",FundRaw!$F$4:$F$233,"buyback_div",FundRaw!$O$4:$O$233,1))</f>
        <v>31.572</v>
      </c>
      <c r="U15" s="32" t="str">
        <f aca="false">IF((COUNTIFS(FundRaw!$C$4:$C$233,"meta",FundRaw!$E$4:$E$233,"2025",FundRaw!$F$4:$F$233,"gpu_debt_talks",FundRaw!$O$4:$O$233,1))=0,"",SUMIFS(FundRaw!$G$4:$G$233,FundRaw!$C$4:$C$233,"meta",FundRaw!$E$4:$E$233,"2025",FundRaw!$F$4:$F$233,"gpu_debt_talks",FundRaw!$O$4:$O$233,1))</f>
        <v/>
      </c>
      <c r="V15" s="32" t="str">
        <f aca="false">IF((COUNTIFS(FundRaw!$C$4:$C$233,"meta",FundRaw!$E$4:$E$233,"2025",FundRaw!$F$4:$F$233,"bridge_refi",FundRaw!$O$4:$O$233,1))=0,"",SUMIFS(FundRaw!$G$4:$G$233,FundRaw!$C$4:$C$233,"meta",FundRaw!$E$4:$E$233,"2025",FundRaw!$F$4:$F$233,"bridge_refi",FundRaw!$O$4:$O$233,1))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  <c r="AL15" s="32" t="n">
        <f aca="false">N(J15)+N(K15)+N(L15)+N(M15)+IF(AND(H15&lt;&gt;"",F15&lt;&gt;""),MAX(0,H15-F15),N(G15))+N(P15)+N(R15)</f>
        <v>57.3</v>
      </c>
      <c r="AM15" s="37" t="n">
        <f aca="false">IF(OR(W15="",N(W15)=0),"",AL15/W15)</f>
        <v>0.793463961780793</v>
      </c>
      <c r="AN15" s="37" t="n">
        <f aca="false">IF(OR(W15="",N(W15)=0,E15=""),"",E15/W15)</f>
        <v>1.6035449698816</v>
      </c>
      <c r="AO15" s="22" t="n">
        <f aca="false">IF(OR(W15="",N(W15)=0),"",(N(J15)+N(K15)+N(L15)+N(M15))/W15)</f>
        <v>0.415426158000415</v>
      </c>
      <c r="AP15" s="22" t="n">
        <f aca="false">IF(OR(W15="",N(W15)=0),"",N(R15)/W15)</f>
        <v>0</v>
      </c>
      <c r="AQ15" s="22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981</v>
      </c>
      <c r="B16" s="0" t="s">
        <v>524</v>
      </c>
      <c r="C16" s="0" t="n">
        <v>2026</v>
      </c>
      <c r="D16" s="0" t="s">
        <v>1636</v>
      </c>
      <c r="E16" s="32" t="n">
        <f aca="false">IF((COUNTIFS(FundRaw!$C$4:$C$233,"meta",FundRaw!$E$4:$E$233,"2026",FundRaw!$F$4:$F$233,"ocf",FundRaw!$O$4:$O$233,1))=0,"",SUMIFS(FundRaw!$G$4:$G$233,FundRaw!$C$4:$C$233,"meta",FundRaw!$E$4:$E$233,"2026",FundRaw!$F$4:$F$233,"ocf",FundRaw!$O$4:$O$233,1))</f>
        <v>96.873</v>
      </c>
      <c r="F16" s="32" t="n">
        <f aca="false">IF((COUNTIFS(FundRaw!$C$4:$C$233,"meta",FundRaw!$E$4:$E$233,"2026",FundRaw!$F$4:$F$233,"capex_cash",FundRaw!$O$4:$O$233,1))=0,"",SUMIFS(FundRaw!$G$4:$G$233,FundRaw!$C$4:$C$233,"meta",FundRaw!$E$4:$E$233,"2026",FundRaw!$F$4:$F$233,"capex_cash",FundRaw!$O$4:$O$233,1))</f>
        <v>83.055</v>
      </c>
      <c r="G16" s="32" t="str">
        <f aca="false">IF((COUNTIFS(FundRaw!$C$4:$C$233,"meta",FundRaw!$E$4:$E$233,"2026",FundRaw!$F$4:$F$233,"fin_lease_new",FundRaw!$O$4:$O$233,1))=0,"",SUMIFS(FundRaw!$G$4:$G$233,FundRaw!$C$4:$C$233,"meta",FundRaw!$E$4:$E$233,"2026",FundRaw!$F$4:$F$233,"fin_lease_new",FundRaw!$O$4:$O$233,1))</f>
        <v/>
      </c>
      <c r="H16" s="32" t="n">
        <f aca="false">IF((COUNTIFS(FundRaw!$C$4:$C$233,"meta",FundRaw!$E$4:$E$233,"2026",FundRaw!$F$4:$F$233,"capex_incl_fl",FundRaw!$O$4:$O$233,1))=0,"",SUMIFS(FundRaw!$G$4:$G$233,FundRaw!$C$4:$C$233,"meta",FundRaw!$E$4:$E$233,"2026",FundRaw!$F$4:$F$233,"capex_incl_fl",FundRaw!$O$4:$O$233,1))</f>
        <v>85.824</v>
      </c>
      <c r="I16" s="32" t="n">
        <f aca="false">IF((COUNTIFS(FundRaw!$C$4:$C$233,"meta",FundRaw!$E$4:$E$233,"2026",FundRaw!$F$4:$F$233,"fcf",FundRaw!$O$4:$O$233,1))=0,"",SUMIFS(FundRaw!$G$4:$G$233,FundRaw!$C$4:$C$233,"meta",FundRaw!$E$4:$E$233,"2026",FundRaw!$F$4:$F$233,"fcf",FundRaw!$O$4:$O$233,1))</f>
        <v>11.049</v>
      </c>
      <c r="J16" s="32" t="n">
        <f aca="false">IF((COUNTIFS(FundRaw!$C$4:$C$233,"meta",FundRaw!$E$4:$E$233,"2026",FundRaw!$F$4:$F$233,"bond_issue",FundRaw!$O$4:$O$233,1))=0,"",SUMIFS(FundRaw!$G$4:$G$233,FundRaw!$C$4:$C$233,"meta",FundRaw!$E$4:$E$233,"2026",FundRaw!$F$4:$F$233,"bond_issue",FundRaw!$O$4:$O$233,1))</f>
        <v>25</v>
      </c>
      <c r="K16" s="32" t="str">
        <f aca="false">IF((COUNTIFS(FundRaw!$C$4:$C$233,"meta",FundRaw!$E$4:$E$233,"2026",FundRaw!$F$4:$F$233,"term_loan",FundRaw!$O$4:$O$233,1))=0,"",SUMIFS(FundRaw!$G$4:$G$233,FundRaw!$C$4:$C$233,"meta",FundRaw!$E$4:$E$233,"2026",FundRaw!$F$4:$F$233,"term_loan",FundRaw!$O$4:$O$233,1))</f>
        <v/>
      </c>
      <c r="L16" s="32" t="str">
        <f aca="false">IF((COUNTIFS(FundRaw!$C$4:$C$233,"meta",FundRaw!$E$4:$E$233,"2026",FundRaw!$F$4:$F$233,"gpu_debt",FundRaw!$O$4:$O$233,1))=0,"",SUMIFS(FundRaw!$G$4:$G$233,FundRaw!$C$4:$C$233,"meta",FundRaw!$E$4:$E$233,"2026",FundRaw!$F$4:$F$233,"gpu_debt",FundRaw!$O$4:$O$233,1))</f>
        <v/>
      </c>
      <c r="M16" s="32" t="str">
        <f aca="false">IF((COUNTIFS(FundRaw!$C$4:$C$233,"meta",FundRaw!$E$4:$E$233,"2026",FundRaw!$F$4:$F$233,"private_credit",FundRaw!$O$4:$O$233,1))=0,"",SUMIFS(FundRaw!$G$4:$G$233,FundRaw!$C$4:$C$233,"meta",FundRaw!$E$4:$E$233,"2026",FundRaw!$F$4:$F$233,"private_credit",FundRaw!$O$4:$O$233,1))</f>
        <v/>
      </c>
      <c r="N16" s="32" t="n">
        <f aca="false">IF((COUNTIFS(FundRaw!$C$4:$C$233,"meta",FundRaw!$E$4:$E$233,"2026",FundRaw!$F$4:$F$233,"net_debt_change",FundRaw!$O$4:$O$233,1))=0,"",SUMIFS(FundRaw!$G$4:$G$233,FundRaw!$C$4:$C$233,"meta",FundRaw!$E$4:$E$233,"2026",FundRaw!$F$4:$F$233,"net_debt_change",FundRaw!$O$4:$O$233,1))</f>
        <v>22.178</v>
      </c>
      <c r="O16" s="32" t="n">
        <f aca="false">IF((COUNTIFS(FundRaw!$C$4:$C$233,"meta",FundRaw!$E$4:$E$233,"2026",FundRaw!$F$4:$F$233,"lease_not_commenced",FundRaw!$O$4:$O$233,1))=0,"",SUMIFS(FundRaw!$G$4:$G$233,FundRaw!$C$4:$C$233,"meta",FundRaw!$E$4:$E$233,"2026",FundRaw!$F$4:$F$233,"lease_not_commenced",FundRaw!$O$4:$O$233,1))</f>
        <v>355.73</v>
      </c>
      <c r="P16" s="32" t="n">
        <f aca="false">IF((COUNTIFS(FundRaw!$C$4:$C$233,"meta",FundRaw!$E$4:$E$233,"2026",FundRaw!$F$4:$F$233,"jv_offbalance",FundRaw!$O$4:$O$233,1))=0,"",SUMIFS(FundRaw!$G$4:$G$233,FundRaw!$C$4:$C$233,"meta",FundRaw!$E$4:$E$233,"2026",FundRaw!$F$4:$F$233,"jv_offbalance",FundRaw!$O$4:$O$233,1))</f>
        <v>14</v>
      </c>
      <c r="Q16" s="32" t="n">
        <f aca="false">IF((COUNTIFS(FundRaw!$C$4:$C$233,"meta",FundRaw!$E$4:$E$233,"2026",FundRaw!$F$4:$F$233,"jv_exposure",FundRaw!$O$4:$O$233,1))=0,"",SUMIFS(FundRaw!$G$4:$G$233,FundRaw!$C$4:$C$233,"meta",FundRaw!$E$4:$E$233,"2026",FundRaw!$F$4:$F$233,"jv_exposure",FundRaw!$O$4:$O$233,1))</f>
        <v>68.404</v>
      </c>
      <c r="R16" s="32" t="str">
        <f aca="false">IF((COUNTIFS(FundRaw!$C$4:$C$233,"meta",FundRaw!$E$4:$E$233,"2026",FundRaw!$F$4:$F$233,"equity_round",FundRaw!$O$4:$O$233,1))=0,"",SUMIFS(FundRaw!$G$4:$G$233,FundRaw!$C$4:$C$233,"meta",FundRaw!$E$4:$E$233,"2026",FundRaw!$F$4:$F$233,"equity_round",FundRaw!$O$4:$O$233,1))</f>
        <v/>
      </c>
      <c r="S16" s="32" t="str">
        <f aca="false">IF((COUNTIFS(FundRaw!$C$4:$C$233,"meta",FundRaw!$E$4:$E$233,"2026",FundRaw!$F$4:$F$233,"vendor_financing",FundRaw!$O$4:$O$233,1))=0,"",SUMIFS(FundRaw!$G$4:$G$233,FundRaw!$C$4:$C$233,"meta",FundRaw!$E$4:$E$233,"2026",FundRaw!$F$4:$F$233,"vendor_financing",FundRaw!$O$4:$O$233,1))</f>
        <v/>
      </c>
      <c r="T16" s="32" t="n">
        <f aca="false">IF((COUNTIFS(FundRaw!$C$4:$C$233,"meta",FundRaw!$E$4:$E$233,"2026",FundRaw!$F$4:$F$233,"buyback_div",FundRaw!$O$4:$O$233,1))=0,"",SUMIFS(FundRaw!$G$4:$G$233,FundRaw!$C$4:$C$233,"meta",FundRaw!$E$4:$E$233,"2026",FundRaw!$F$4:$F$233,"buyback_div",FundRaw!$O$4:$O$233,1))</f>
        <v>4.06</v>
      </c>
      <c r="U16" s="32" t="str">
        <f aca="false">IF((COUNTIFS(FundRaw!$C$4:$C$233,"meta",FundRaw!$E$4:$E$233,"2026",FundRaw!$F$4:$F$233,"gpu_debt_talks",FundRaw!$O$4:$O$233,1))=0,"",SUMIFS(FundRaw!$G$4:$G$233,FundRaw!$C$4:$C$233,"meta",FundRaw!$E$4:$E$233,"2026",FundRaw!$F$4:$F$233,"gpu_debt_talks",FundRaw!$O$4:$O$233,1))</f>
        <v/>
      </c>
      <c r="V16" s="32" t="str">
        <f aca="false">IF((COUNTIFS(FundRaw!$C$4:$C$233,"meta",FundRaw!$E$4:$E$233,"2026",FundRaw!$F$4:$F$233,"bridge_refi",FundRaw!$O$4:$O$233,1))=0,"",SUMIFS(FundRaw!$G$4:$G$233,FundRaw!$C$4:$C$233,"meta",FundRaw!$E$4:$E$233,"2026",FundRaw!$F$4:$F$233,"bridge_refi",FundRaw!$O$4:$O$233,1))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  <c r="AL16" s="32" t="n">
        <f aca="false">N(J16)+N(K16)+N(L16)+N(M16)+IF(AND(H16&lt;&gt;"",F16&lt;&gt;""),MAX(0,H16-F16),N(G16))+N(P16)+N(R16)</f>
        <v>41.769</v>
      </c>
      <c r="AM16" s="37" t="n">
        <f aca="false">IF(OR(W16="",N(W16)=0),"",AL16/W16)</f>
        <v>0.486682046979866</v>
      </c>
      <c r="AN16" s="37" t="n">
        <f aca="false">IF(OR(W16="",N(W16)=0,E16=""),"",E16/W16)</f>
        <v>1.12874021252796</v>
      </c>
      <c r="AO16" s="22" t="n">
        <f aca="false">IF(OR(W16="",N(W16)=0),"",(N(J16)+N(K16)+N(L16)+N(M16))/W16)</f>
        <v>0.291293810589113</v>
      </c>
      <c r="AP16" s="22" t="n">
        <f aca="false">IF(OR(W16="",N(W16)=0),"",N(R16)/W16)</f>
        <v>0</v>
      </c>
      <c r="AQ16" s="22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1637</v>
      </c>
      <c r="B17" s="0" t="s">
        <v>528</v>
      </c>
      <c r="C17" s="0" t="n">
        <v>2024</v>
      </c>
      <c r="D17" s="0" t="s">
        <v>1628</v>
      </c>
      <c r="E17" s="32" t="str">
        <f aca="false">IF((COUNTIFS(FundRaw!$C$4:$C$233,"orcl",FundRaw!$E$4:$E$233,"2024",FundRaw!$F$4:$F$233,"ocf",FundRaw!$O$4:$O$233,1))=0,"",SUMIFS(FundRaw!$G$4:$G$233,FundRaw!$C$4:$C$233,"orcl",FundRaw!$E$4:$E$233,"2024",FundRaw!$F$4:$F$233,"ocf",FundRaw!$O$4:$O$233,1))</f>
        <v/>
      </c>
      <c r="F17" s="32" t="str">
        <f aca="false">IF((COUNTIFS(FundRaw!$C$4:$C$233,"orcl",FundRaw!$E$4:$E$233,"2024",FundRaw!$F$4:$F$233,"capex_cash",FundRaw!$O$4:$O$233,1))=0,"",SUMIFS(FundRaw!$G$4:$G$233,FundRaw!$C$4:$C$233,"orcl",FundRaw!$E$4:$E$233,"2024",FundRaw!$F$4:$F$233,"capex_cash",FundRaw!$O$4:$O$233,1))</f>
        <v/>
      </c>
      <c r="G17" s="32" t="str">
        <f aca="false">IF((COUNTIFS(FundRaw!$C$4:$C$233,"orcl",FundRaw!$E$4:$E$233,"2024",FundRaw!$F$4:$F$233,"fin_lease_new",FundRaw!$O$4:$O$233,1))=0,"",SUMIFS(FundRaw!$G$4:$G$233,FundRaw!$C$4:$C$233,"orcl",FundRaw!$E$4:$E$233,"2024",FundRaw!$F$4:$F$233,"fin_lease_new",FundRaw!$O$4:$O$233,1))</f>
        <v/>
      </c>
      <c r="H17" s="32" t="str">
        <f aca="false">IF((COUNTIFS(FundRaw!$C$4:$C$233,"orcl",FundRaw!$E$4:$E$233,"2024",FundRaw!$F$4:$F$233,"capex_incl_fl",FundRaw!$O$4:$O$233,1))=0,"",SUMIFS(FundRaw!$G$4:$G$233,FundRaw!$C$4:$C$233,"orcl",FundRaw!$E$4:$E$233,"2024",FundRaw!$F$4:$F$233,"capex_incl_fl",FundRaw!$O$4:$O$233,1))</f>
        <v/>
      </c>
      <c r="I17" s="32" t="str">
        <f aca="false">IF((COUNTIFS(FundRaw!$C$4:$C$233,"orcl",FundRaw!$E$4:$E$233,"2024",FundRaw!$F$4:$F$233,"fcf",FundRaw!$O$4:$O$233,1))=0,"",SUMIFS(FundRaw!$G$4:$G$233,FundRaw!$C$4:$C$233,"orcl",FundRaw!$E$4:$E$233,"2024",FundRaw!$F$4:$F$233,"fcf",FundRaw!$O$4:$O$233,1))</f>
        <v/>
      </c>
      <c r="J17" s="32" t="str">
        <f aca="false">IF((COUNTIFS(FundRaw!$C$4:$C$233,"orcl",FundRaw!$E$4:$E$233,"2024",FundRaw!$F$4:$F$233,"bond_issue",FundRaw!$O$4:$O$233,1))=0,"",SUMIFS(FundRaw!$G$4:$G$233,FundRaw!$C$4:$C$233,"orcl",FundRaw!$E$4:$E$233,"2024",FundRaw!$F$4:$F$233,"bond_issue",FundRaw!$O$4:$O$233,1))</f>
        <v/>
      </c>
      <c r="K17" s="32" t="str">
        <f aca="false">IF((COUNTIFS(FundRaw!$C$4:$C$233,"orcl",FundRaw!$E$4:$E$233,"2024",FundRaw!$F$4:$F$233,"term_loan",FundRaw!$O$4:$O$233,1))=0,"",SUMIFS(FundRaw!$G$4:$G$233,FundRaw!$C$4:$C$233,"orcl",FundRaw!$E$4:$E$233,"2024",FundRaw!$F$4:$F$233,"term_loan",FundRaw!$O$4:$O$233,1))</f>
        <v/>
      </c>
      <c r="L17" s="32" t="str">
        <f aca="false">IF((COUNTIFS(FundRaw!$C$4:$C$233,"orcl",FundRaw!$E$4:$E$233,"2024",FundRaw!$F$4:$F$233,"gpu_debt",FundRaw!$O$4:$O$233,1))=0,"",SUMIFS(FundRaw!$G$4:$G$233,FundRaw!$C$4:$C$233,"orcl",FundRaw!$E$4:$E$233,"2024",FundRaw!$F$4:$F$233,"gpu_debt",FundRaw!$O$4:$O$233,1))</f>
        <v/>
      </c>
      <c r="M17" s="32" t="str">
        <f aca="false">IF((COUNTIFS(FundRaw!$C$4:$C$233,"orcl",FundRaw!$E$4:$E$233,"2024",FundRaw!$F$4:$F$233,"private_credit",FundRaw!$O$4:$O$233,1))=0,"",SUMIFS(FundRaw!$G$4:$G$233,FundRaw!$C$4:$C$233,"orcl",FundRaw!$E$4:$E$233,"2024",FundRaw!$F$4:$F$233,"private_credit",FundRaw!$O$4:$O$233,1))</f>
        <v/>
      </c>
      <c r="N17" s="32" t="str">
        <f aca="false">IF((COUNTIFS(FundRaw!$C$4:$C$233,"orcl",FundRaw!$E$4:$E$233,"2024",FundRaw!$F$4:$F$233,"net_debt_change",FundRaw!$O$4:$O$233,1))=0,"",SUMIFS(FundRaw!$G$4:$G$233,FundRaw!$C$4:$C$233,"orcl",FundRaw!$E$4:$E$233,"2024",FundRaw!$F$4:$F$233,"net_debt_change",FundRaw!$O$4:$O$233,1))</f>
        <v/>
      </c>
      <c r="O17" s="32" t="str">
        <f aca="false">IF((COUNTIFS(FundRaw!$C$4:$C$233,"orcl",FundRaw!$E$4:$E$233,"2024",FundRaw!$F$4:$F$233,"lease_not_commenced",FundRaw!$O$4:$O$233,1))=0,"",SUMIFS(FundRaw!$G$4:$G$233,FundRaw!$C$4:$C$233,"orcl",FundRaw!$E$4:$E$233,"2024",FundRaw!$F$4:$F$233,"lease_not_commenced",FundRaw!$O$4:$O$233,1))</f>
        <v/>
      </c>
      <c r="P17" s="32" t="str">
        <f aca="false">IF((COUNTIFS(FundRaw!$C$4:$C$233,"orcl",FundRaw!$E$4:$E$233,"2024",FundRaw!$F$4:$F$233,"jv_offbalance",FundRaw!$O$4:$O$233,1))=0,"",SUMIFS(FundRaw!$G$4:$G$233,FundRaw!$C$4:$C$233,"orcl",FundRaw!$E$4:$E$233,"2024",FundRaw!$F$4:$F$233,"jv_offbalance",FundRaw!$O$4:$O$233,1))</f>
        <v/>
      </c>
      <c r="Q17" s="32" t="str">
        <f aca="false">IF((COUNTIFS(FundRaw!$C$4:$C$233,"orcl",FundRaw!$E$4:$E$233,"2024",FundRaw!$F$4:$F$233,"jv_exposure",FundRaw!$O$4:$O$233,1))=0,"",SUMIFS(FundRaw!$G$4:$G$233,FundRaw!$C$4:$C$233,"orcl",FundRaw!$E$4:$E$233,"2024",FundRaw!$F$4:$F$233,"jv_exposure",FundRaw!$O$4:$O$233,1))</f>
        <v/>
      </c>
      <c r="R17" s="32" t="str">
        <f aca="false">IF((COUNTIFS(FundRaw!$C$4:$C$233,"orcl",FundRaw!$E$4:$E$233,"2024",FundRaw!$F$4:$F$233,"equity_round",FundRaw!$O$4:$O$233,1))=0,"",SUMIFS(FundRaw!$G$4:$G$233,FundRaw!$C$4:$C$233,"orcl",FundRaw!$E$4:$E$233,"2024",FundRaw!$F$4:$F$233,"equity_round",FundRaw!$O$4:$O$233,1))</f>
        <v/>
      </c>
      <c r="S17" s="32" t="str">
        <f aca="false">IF((COUNTIFS(FundRaw!$C$4:$C$233,"orcl",FundRaw!$E$4:$E$233,"2024",FundRaw!$F$4:$F$233,"vendor_financing",FundRaw!$O$4:$O$233,1))=0,"",SUMIFS(FundRaw!$G$4:$G$233,FundRaw!$C$4:$C$233,"orcl",FundRaw!$E$4:$E$233,"2024",FundRaw!$F$4:$F$233,"vendor_financing",FundRaw!$O$4:$O$233,1))</f>
        <v/>
      </c>
      <c r="T17" s="32" t="str">
        <f aca="false">IF((COUNTIFS(FundRaw!$C$4:$C$233,"orcl",FundRaw!$E$4:$E$233,"2024",FundRaw!$F$4:$F$233,"buyback_div",FundRaw!$O$4:$O$233,1))=0,"",SUMIFS(FundRaw!$G$4:$G$233,FundRaw!$C$4:$C$233,"orcl",FundRaw!$E$4:$E$233,"2024",FundRaw!$F$4:$F$233,"buyback_div",FundRaw!$O$4:$O$233,1))</f>
        <v/>
      </c>
      <c r="U17" s="32" t="str">
        <f aca="false">IF((COUNTIFS(FundRaw!$C$4:$C$233,"orcl",FundRaw!$E$4:$E$233,"2024",FundRaw!$F$4:$F$233,"gpu_debt_talks",FundRaw!$O$4:$O$233,1))=0,"",SUMIFS(FundRaw!$G$4:$G$233,FundRaw!$C$4:$C$233,"orcl",FundRaw!$E$4:$E$233,"2024",FundRaw!$F$4:$F$233,"gpu_debt_talks",FundRaw!$O$4:$O$233,1))</f>
        <v/>
      </c>
      <c r="V17" s="32" t="str">
        <f aca="false">IF((COUNTIFS(FundRaw!$C$4:$C$233,"orcl",FundRaw!$E$4:$E$233,"2024",FundRaw!$F$4:$F$233,"bridge_refi",FundRaw!$O$4:$O$233,1))=0,"",SUMIFS(FundRaw!$G$4:$G$233,FundRaw!$C$4:$C$233,"orcl",FundRaw!$E$4:$E$233,"2024",FundRaw!$F$4:$F$233,"bridge_refi",FundRaw!$O$4:$O$233,1))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  <c r="AL17" s="32" t="n">
        <f aca="false">N(J17)+N(K17)+N(L17)+N(M17)+IF(AND(H17&lt;&gt;"",F17&lt;&gt;""),MAX(0,H17-F17),N(G17))+N(P17)+N(R17)</f>
        <v>0</v>
      </c>
      <c r="AM17" s="37" t="str">
        <f aca="false">IF(OR(W17="",N(W17)=0),"",AL17/W17)</f>
        <v/>
      </c>
      <c r="AN17" s="37" t="str">
        <f aca="false">IF(OR(W17="",N(W17)=0,E17=""),"",E17/W17)</f>
        <v/>
      </c>
      <c r="AO17" s="22" t="str">
        <f aca="false">IF(OR(W17="",N(W17)=0),"",(N(J17)+N(K17)+N(L17)+N(M17))/W17)</f>
        <v/>
      </c>
      <c r="AP17" s="22" t="str">
        <f aca="false">IF(OR(W17="",N(W17)=0),"",N(R17)/W17)</f>
        <v/>
      </c>
      <c r="AQ17" s="22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1637</v>
      </c>
      <c r="B18" s="0" t="s">
        <v>528</v>
      </c>
      <c r="C18" s="0" t="n">
        <v>2025</v>
      </c>
      <c r="D18" s="0" t="s">
        <v>1629</v>
      </c>
      <c r="E18" s="32" t="str">
        <f aca="false">IF((COUNTIFS(FundRaw!$C$4:$C$233,"orcl",FundRaw!$E$4:$E$233,"2025",FundRaw!$F$4:$F$233,"ocf",FundRaw!$O$4:$O$233,1))=0,"",SUMIFS(FundRaw!$G$4:$G$233,FundRaw!$C$4:$C$233,"orcl",FundRaw!$E$4:$E$233,"2025",FundRaw!$F$4:$F$233,"ocf",FundRaw!$O$4:$O$233,1))</f>
        <v/>
      </c>
      <c r="F18" s="32" t="str">
        <f aca="false">IF((COUNTIFS(FundRaw!$C$4:$C$233,"orcl",FundRaw!$E$4:$E$233,"2025",FundRaw!$F$4:$F$233,"capex_cash",FundRaw!$O$4:$O$233,1))=0,"",SUMIFS(FundRaw!$G$4:$G$233,FundRaw!$C$4:$C$233,"orcl",FundRaw!$E$4:$E$233,"2025",FundRaw!$F$4:$F$233,"capex_cash",FundRaw!$O$4:$O$233,1))</f>
        <v/>
      </c>
      <c r="G18" s="32" t="str">
        <f aca="false">IF((COUNTIFS(FundRaw!$C$4:$C$233,"orcl",FundRaw!$E$4:$E$233,"2025",FundRaw!$F$4:$F$233,"fin_lease_new",FundRaw!$O$4:$O$233,1))=0,"",SUMIFS(FundRaw!$G$4:$G$233,FundRaw!$C$4:$C$233,"orcl",FundRaw!$E$4:$E$233,"2025",FundRaw!$F$4:$F$233,"fin_lease_new",FundRaw!$O$4:$O$233,1))</f>
        <v/>
      </c>
      <c r="H18" s="32" t="str">
        <f aca="false">IF((COUNTIFS(FundRaw!$C$4:$C$233,"orcl",FundRaw!$E$4:$E$233,"2025",FundRaw!$F$4:$F$233,"capex_incl_fl",FundRaw!$O$4:$O$233,1))=0,"",SUMIFS(FundRaw!$G$4:$G$233,FundRaw!$C$4:$C$233,"orcl",FundRaw!$E$4:$E$233,"2025",FundRaw!$F$4:$F$233,"capex_incl_fl",FundRaw!$O$4:$O$233,1))</f>
        <v/>
      </c>
      <c r="I18" s="32" t="str">
        <f aca="false">IF((COUNTIFS(FundRaw!$C$4:$C$233,"orcl",FundRaw!$E$4:$E$233,"2025",FundRaw!$F$4:$F$233,"fcf",FundRaw!$O$4:$O$233,1))=0,"",SUMIFS(FundRaw!$G$4:$G$233,FundRaw!$C$4:$C$233,"orcl",FundRaw!$E$4:$E$233,"2025",FundRaw!$F$4:$F$233,"fcf",FundRaw!$O$4:$O$233,1))</f>
        <v/>
      </c>
      <c r="J18" s="32" t="str">
        <f aca="false">IF((COUNTIFS(FundRaw!$C$4:$C$233,"orcl",FundRaw!$E$4:$E$233,"2025",FundRaw!$F$4:$F$233,"bond_issue",FundRaw!$O$4:$O$233,1))=0,"",SUMIFS(FundRaw!$G$4:$G$233,FundRaw!$C$4:$C$233,"orcl",FundRaw!$E$4:$E$233,"2025",FundRaw!$F$4:$F$233,"bond_issue",FundRaw!$O$4:$O$233,1))</f>
        <v/>
      </c>
      <c r="K18" s="32" t="str">
        <f aca="false">IF((COUNTIFS(FundRaw!$C$4:$C$233,"orcl",FundRaw!$E$4:$E$233,"2025",FundRaw!$F$4:$F$233,"term_loan",FundRaw!$O$4:$O$233,1))=0,"",SUMIFS(FundRaw!$G$4:$G$233,FundRaw!$C$4:$C$233,"orcl",FundRaw!$E$4:$E$233,"2025",FundRaw!$F$4:$F$233,"term_loan",FundRaw!$O$4:$O$233,1))</f>
        <v/>
      </c>
      <c r="L18" s="32" t="str">
        <f aca="false">IF((COUNTIFS(FundRaw!$C$4:$C$233,"orcl",FundRaw!$E$4:$E$233,"2025",FundRaw!$F$4:$F$233,"gpu_debt",FundRaw!$O$4:$O$233,1))=0,"",SUMIFS(FundRaw!$G$4:$G$233,FundRaw!$C$4:$C$233,"orcl",FundRaw!$E$4:$E$233,"2025",FundRaw!$F$4:$F$233,"gpu_debt",FundRaw!$O$4:$O$233,1))</f>
        <v/>
      </c>
      <c r="M18" s="32" t="str">
        <f aca="false">IF((COUNTIFS(FundRaw!$C$4:$C$233,"orcl",FundRaw!$E$4:$E$233,"2025",FundRaw!$F$4:$F$233,"private_credit",FundRaw!$O$4:$O$233,1))=0,"",SUMIFS(FundRaw!$G$4:$G$233,FundRaw!$C$4:$C$233,"orcl",FundRaw!$E$4:$E$233,"2025",FundRaw!$F$4:$F$233,"private_credit",FundRaw!$O$4:$O$233,1))</f>
        <v/>
      </c>
      <c r="N18" s="32" t="str">
        <f aca="false">IF((COUNTIFS(FundRaw!$C$4:$C$233,"orcl",FundRaw!$E$4:$E$233,"2025",FundRaw!$F$4:$F$233,"net_debt_change",FundRaw!$O$4:$O$233,1))=0,"",SUMIFS(FundRaw!$G$4:$G$233,FundRaw!$C$4:$C$233,"orcl",FundRaw!$E$4:$E$233,"2025",FundRaw!$F$4:$F$233,"net_debt_change",FundRaw!$O$4:$O$233,1))</f>
        <v/>
      </c>
      <c r="O18" s="32" t="str">
        <f aca="false">IF((COUNTIFS(FundRaw!$C$4:$C$233,"orcl",FundRaw!$E$4:$E$233,"2025",FundRaw!$F$4:$F$233,"lease_not_commenced",FundRaw!$O$4:$O$233,1))=0,"",SUMIFS(FundRaw!$G$4:$G$233,FundRaw!$C$4:$C$233,"orcl",FundRaw!$E$4:$E$233,"2025",FundRaw!$F$4:$F$233,"lease_not_commenced",FundRaw!$O$4:$O$233,1))</f>
        <v/>
      </c>
      <c r="P18" s="32" t="n">
        <f aca="false">IF((COUNTIFS(FundRaw!$C$4:$C$233,"orcl",FundRaw!$E$4:$E$233,"2025",FundRaw!$F$4:$F$233,"jv_offbalance",FundRaw!$O$4:$O$233,1))=0,"",SUMIFS(FundRaw!$G$4:$G$233,FundRaw!$C$4:$C$233,"orcl",FundRaw!$E$4:$E$233,"2025",FundRaw!$F$4:$F$233,"jv_offbalance",FundRaw!$O$4:$O$233,1))</f>
        <v>15</v>
      </c>
      <c r="Q18" s="32" t="str">
        <f aca="false">IF((COUNTIFS(FundRaw!$C$4:$C$233,"orcl",FundRaw!$E$4:$E$233,"2025",FundRaw!$F$4:$F$233,"jv_exposure",FundRaw!$O$4:$O$233,1))=0,"",SUMIFS(FundRaw!$G$4:$G$233,FundRaw!$C$4:$C$233,"orcl",FundRaw!$E$4:$E$233,"2025",FundRaw!$F$4:$F$233,"jv_exposure",FundRaw!$O$4:$O$233,1))</f>
        <v/>
      </c>
      <c r="R18" s="32" t="str">
        <f aca="false">IF((COUNTIFS(FundRaw!$C$4:$C$233,"orcl",FundRaw!$E$4:$E$233,"2025",FundRaw!$F$4:$F$233,"equity_round",FundRaw!$O$4:$O$233,1))=0,"",SUMIFS(FundRaw!$G$4:$G$233,FundRaw!$C$4:$C$233,"orcl",FundRaw!$E$4:$E$233,"2025",FundRaw!$F$4:$F$233,"equity_round",FundRaw!$O$4:$O$233,1))</f>
        <v/>
      </c>
      <c r="S18" s="32" t="str">
        <f aca="false">IF((COUNTIFS(FundRaw!$C$4:$C$233,"orcl",FundRaw!$E$4:$E$233,"2025",FundRaw!$F$4:$F$233,"vendor_financing",FundRaw!$O$4:$O$233,1))=0,"",SUMIFS(FundRaw!$G$4:$G$233,FundRaw!$C$4:$C$233,"orcl",FundRaw!$E$4:$E$233,"2025",FundRaw!$F$4:$F$233,"vendor_financing",FundRaw!$O$4:$O$233,1))</f>
        <v/>
      </c>
      <c r="T18" s="32" t="str">
        <f aca="false">IF((COUNTIFS(FundRaw!$C$4:$C$233,"orcl",FundRaw!$E$4:$E$233,"2025",FundRaw!$F$4:$F$233,"buyback_div",FundRaw!$O$4:$O$233,1))=0,"",SUMIFS(FundRaw!$G$4:$G$233,FundRaw!$C$4:$C$233,"orcl",FundRaw!$E$4:$E$233,"2025",FundRaw!$F$4:$F$233,"buyback_div",FundRaw!$O$4:$O$233,1))</f>
        <v/>
      </c>
      <c r="U18" s="32" t="str">
        <f aca="false">IF((COUNTIFS(FundRaw!$C$4:$C$233,"orcl",FundRaw!$E$4:$E$233,"2025",FundRaw!$F$4:$F$233,"gpu_debt_talks",FundRaw!$O$4:$O$233,1))=0,"",SUMIFS(FundRaw!$G$4:$G$233,FundRaw!$C$4:$C$233,"orcl",FundRaw!$E$4:$E$233,"2025",FundRaw!$F$4:$F$233,"gpu_debt_talks",FundRaw!$O$4:$O$233,1))</f>
        <v/>
      </c>
      <c r="V18" s="32" t="str">
        <f aca="false">IF((COUNTIFS(FundRaw!$C$4:$C$233,"orcl",FundRaw!$E$4:$E$233,"2025",FundRaw!$F$4:$F$233,"bridge_refi",FundRaw!$O$4:$O$233,1))=0,"",SUMIFS(FundRaw!$G$4:$G$233,FundRaw!$C$4:$C$233,"orcl",FundRaw!$E$4:$E$233,"2025",FundRaw!$F$4:$F$233,"bridge_refi",FundRaw!$O$4:$O$233,1))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  <c r="AL18" s="32" t="n">
        <f aca="false">N(J18)+N(K18)+N(L18)+N(M18)+IF(AND(H18&lt;&gt;"",F18&lt;&gt;""),MAX(0,H18-F18),N(G18))+N(P18)+N(R18)</f>
        <v>15</v>
      </c>
      <c r="AM18" s="37" t="str">
        <f aca="false">IF(OR(W18="",N(W18)=0),"",AL18/W18)</f>
        <v/>
      </c>
      <c r="AN18" s="37" t="str">
        <f aca="false">IF(OR(W18="",N(W18)=0,E18=""),"",E18/W18)</f>
        <v/>
      </c>
      <c r="AO18" s="22" t="str">
        <f aca="false">IF(OR(W18="",N(W18)=0),"",(N(J18)+N(K18)+N(L18)+N(M18))/W18)</f>
        <v/>
      </c>
      <c r="AP18" s="22" t="str">
        <f aca="false">IF(OR(W18="",N(W18)=0),"",N(R18)/W18)</f>
        <v/>
      </c>
      <c r="AQ18" s="22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1637</v>
      </c>
      <c r="B19" s="0" t="s">
        <v>528</v>
      </c>
      <c r="C19" s="0" t="n">
        <v>2026</v>
      </c>
      <c r="D19" s="0" t="s">
        <v>1630</v>
      </c>
      <c r="E19" s="32" t="n">
        <f aca="false">IF((COUNTIFS(FundRaw!$C$4:$C$233,"orcl",FundRaw!$E$4:$E$233,"2026",FundRaw!$F$4:$F$233,"ocf",FundRaw!$O$4:$O$233,1))=0,"",SUMIFS(FundRaw!$G$4:$G$233,FundRaw!$C$4:$C$233,"orcl",FundRaw!$E$4:$E$233,"2026",FundRaw!$F$4:$F$233,"ocf",FundRaw!$O$4:$O$233,1))</f>
        <v>31.977</v>
      </c>
      <c r="F19" s="32" t="n">
        <f aca="false">IF((COUNTIFS(FundRaw!$C$4:$C$233,"orcl",FundRaw!$E$4:$E$233,"2026",FundRaw!$F$4:$F$233,"capex_cash",FundRaw!$O$4:$O$233,1))=0,"",SUMIFS(FundRaw!$G$4:$G$233,FundRaw!$C$4:$C$233,"orcl",FundRaw!$E$4:$E$233,"2026",FundRaw!$F$4:$F$233,"capex_cash",FundRaw!$O$4:$O$233,1))</f>
        <v>55.663</v>
      </c>
      <c r="G19" s="32" t="str">
        <f aca="false">IF((COUNTIFS(FundRaw!$C$4:$C$233,"orcl",FundRaw!$E$4:$E$233,"2026",FundRaw!$F$4:$F$233,"fin_lease_new",FundRaw!$O$4:$O$233,1))=0,"",SUMIFS(FundRaw!$G$4:$G$233,FundRaw!$C$4:$C$233,"orcl",FundRaw!$E$4:$E$233,"2026",FundRaw!$F$4:$F$233,"fin_lease_new",FundRaw!$O$4:$O$233,1))</f>
        <v/>
      </c>
      <c r="H19" s="32" t="str">
        <f aca="false">IF((COUNTIFS(FundRaw!$C$4:$C$233,"orcl",FundRaw!$E$4:$E$233,"2026",FundRaw!$F$4:$F$233,"capex_incl_fl",FundRaw!$O$4:$O$233,1))=0,"",SUMIFS(FundRaw!$G$4:$G$233,FundRaw!$C$4:$C$233,"orcl",FundRaw!$E$4:$E$233,"2026",FundRaw!$F$4:$F$233,"capex_incl_fl",FundRaw!$O$4:$O$233,1))</f>
        <v/>
      </c>
      <c r="I19" s="32" t="n">
        <f aca="false">IF((COUNTIFS(FundRaw!$C$4:$C$233,"orcl",FundRaw!$E$4:$E$233,"2026",FundRaw!$F$4:$F$233,"fcf",FundRaw!$O$4:$O$233,1))=0,"",SUMIFS(FundRaw!$G$4:$G$233,FundRaw!$C$4:$C$233,"orcl",FundRaw!$E$4:$E$233,"2026",FundRaw!$F$4:$F$233,"fcf",FundRaw!$O$4:$O$233,1))</f>
        <v>-23.686</v>
      </c>
      <c r="J19" s="32" t="n">
        <f aca="false">IF((COUNTIFS(FundRaw!$C$4:$C$233,"orcl",FundRaw!$E$4:$E$233,"2026",FundRaw!$F$4:$F$233,"bond_issue",FundRaw!$O$4:$O$233,1))=0,"",SUMIFS(FundRaw!$G$4:$G$233,FundRaw!$C$4:$C$233,"orcl",FundRaw!$E$4:$E$233,"2026",FundRaw!$F$4:$F$233,"bond_issue",FundRaw!$O$4:$O$233,1))</f>
        <v>43</v>
      </c>
      <c r="K19" s="32" t="str">
        <f aca="false">IF((COUNTIFS(FundRaw!$C$4:$C$233,"orcl",FundRaw!$E$4:$E$233,"2026",FundRaw!$F$4:$F$233,"term_loan",FundRaw!$O$4:$O$233,1))=0,"",SUMIFS(FundRaw!$G$4:$G$233,FundRaw!$C$4:$C$233,"orcl",FundRaw!$E$4:$E$233,"2026",FundRaw!$F$4:$F$233,"term_loan",FundRaw!$O$4:$O$233,1))</f>
        <v/>
      </c>
      <c r="L19" s="32" t="str">
        <f aca="false">IF((COUNTIFS(FundRaw!$C$4:$C$233,"orcl",FundRaw!$E$4:$E$233,"2026",FundRaw!$F$4:$F$233,"gpu_debt",FundRaw!$O$4:$O$233,1))=0,"",SUMIFS(FundRaw!$G$4:$G$233,FundRaw!$C$4:$C$233,"orcl",FundRaw!$E$4:$E$233,"2026",FundRaw!$F$4:$F$233,"gpu_debt",FundRaw!$O$4:$O$233,1))</f>
        <v/>
      </c>
      <c r="M19" s="32" t="str">
        <f aca="false">IF((COUNTIFS(FundRaw!$C$4:$C$233,"orcl",FundRaw!$E$4:$E$233,"2026",FundRaw!$F$4:$F$233,"private_credit",FundRaw!$O$4:$O$233,1))=0,"",SUMIFS(FundRaw!$G$4:$G$233,FundRaw!$C$4:$C$233,"orcl",FundRaw!$E$4:$E$233,"2026",FundRaw!$F$4:$F$233,"private_credit",FundRaw!$O$4:$O$233,1))</f>
        <v/>
      </c>
      <c r="N19" s="32" t="str">
        <f aca="false">IF((COUNTIFS(FundRaw!$C$4:$C$233,"orcl",FundRaw!$E$4:$E$233,"2026",FundRaw!$F$4:$F$233,"net_debt_change",FundRaw!$O$4:$O$233,1))=0,"",SUMIFS(FundRaw!$G$4:$G$233,FundRaw!$C$4:$C$233,"orcl",FundRaw!$E$4:$E$233,"2026",FundRaw!$F$4:$F$233,"net_debt_change",FundRaw!$O$4:$O$233,1))</f>
        <v/>
      </c>
      <c r="O19" s="32" t="n">
        <f aca="false">IF((COUNTIFS(FundRaw!$C$4:$C$233,"orcl",FundRaw!$E$4:$E$233,"2026",FundRaw!$F$4:$F$233,"lease_not_commenced",FundRaw!$O$4:$O$233,1))=0,"",SUMIFS(FundRaw!$G$4:$G$233,FundRaw!$C$4:$C$233,"orcl",FundRaw!$E$4:$E$233,"2026",FundRaw!$F$4:$F$233,"lease_not_commenced",FundRaw!$O$4:$O$233,1))</f>
        <v>260</v>
      </c>
      <c r="P19" s="32" t="n">
        <f aca="false">IF((COUNTIFS(FundRaw!$C$4:$C$233,"orcl",FundRaw!$E$4:$E$233,"2026",FundRaw!$F$4:$F$233,"jv_offbalance",FundRaw!$O$4:$O$233,1))=0,"",SUMIFS(FundRaw!$G$4:$G$233,FundRaw!$C$4:$C$233,"orcl",FundRaw!$E$4:$E$233,"2026",FundRaw!$F$4:$F$233,"jv_offbalance",FundRaw!$O$4:$O$233,1))</f>
        <v>56</v>
      </c>
      <c r="Q19" s="32" t="str">
        <f aca="false">IF((COUNTIFS(FundRaw!$C$4:$C$233,"orcl",FundRaw!$E$4:$E$233,"2026",FundRaw!$F$4:$F$233,"jv_exposure",FundRaw!$O$4:$O$233,1))=0,"",SUMIFS(FundRaw!$G$4:$G$233,FundRaw!$C$4:$C$233,"orcl",FundRaw!$E$4:$E$233,"2026",FundRaw!$F$4:$F$233,"jv_exposure",FundRaw!$O$4:$O$233,1))</f>
        <v/>
      </c>
      <c r="R19" s="32" t="n">
        <f aca="false">IF((COUNTIFS(FundRaw!$C$4:$C$233,"orcl",FundRaw!$E$4:$E$233,"2026",FundRaw!$F$4:$F$233,"equity_round",FundRaw!$O$4:$O$233,1))=0,"",SUMIFS(FundRaw!$G$4:$G$233,FundRaw!$C$4:$C$233,"orcl",FundRaw!$E$4:$E$233,"2026",FundRaw!$F$4:$F$233,"equity_round",FundRaw!$O$4:$O$233,1))</f>
        <v>5</v>
      </c>
      <c r="S19" s="32" t="str">
        <f aca="false">IF((COUNTIFS(FundRaw!$C$4:$C$233,"orcl",FundRaw!$E$4:$E$233,"2026",FundRaw!$F$4:$F$233,"vendor_financing",FundRaw!$O$4:$O$233,1))=0,"",SUMIFS(FundRaw!$G$4:$G$233,FundRaw!$C$4:$C$233,"orcl",FundRaw!$E$4:$E$233,"2026",FundRaw!$F$4:$F$233,"vendor_financing",FundRaw!$O$4:$O$233,1))</f>
        <v/>
      </c>
      <c r="T19" s="32" t="str">
        <f aca="false">IF((COUNTIFS(FundRaw!$C$4:$C$233,"orcl",FundRaw!$E$4:$E$233,"2026",FundRaw!$F$4:$F$233,"buyback_div",FundRaw!$O$4:$O$233,1))=0,"",SUMIFS(FundRaw!$G$4:$G$233,FundRaw!$C$4:$C$233,"orcl",FundRaw!$E$4:$E$233,"2026",FundRaw!$F$4:$F$233,"buyback_div",FundRaw!$O$4:$O$233,1))</f>
        <v/>
      </c>
      <c r="U19" s="32" t="str">
        <f aca="false">IF((COUNTIFS(FundRaw!$C$4:$C$233,"orcl",FundRaw!$E$4:$E$233,"2026",FundRaw!$F$4:$F$233,"gpu_debt_talks",FundRaw!$O$4:$O$233,1))=0,"",SUMIFS(FundRaw!$G$4:$G$233,FundRaw!$C$4:$C$233,"orcl",FundRaw!$E$4:$E$233,"2026",FundRaw!$F$4:$F$233,"gpu_debt_talks",FundRaw!$O$4:$O$233,1))</f>
        <v/>
      </c>
      <c r="V19" s="32" t="str">
        <f aca="false">IF((COUNTIFS(FundRaw!$C$4:$C$233,"orcl",FundRaw!$E$4:$E$233,"2026",FundRaw!$F$4:$F$233,"bridge_refi",FundRaw!$O$4:$O$233,1))=0,"",SUMIFS(FundRaw!$G$4:$G$233,FundRaw!$C$4:$C$233,"orcl",FundRaw!$E$4:$E$233,"2026",FundRaw!$F$4:$F$233,"bridge_refi",FundRaw!$O$4:$O$233,1))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  <c r="AL19" s="32" t="n">
        <f aca="false">N(J19)+N(K19)+N(L19)+N(M19)+IF(AND(H19&lt;&gt;"",F19&lt;&gt;""),MAX(0,H19-F19),N(G19))+N(P19)+N(R19)</f>
        <v>104</v>
      </c>
      <c r="AM19" s="37" t="n">
        <f aca="false">IF(OR(W19="",N(W19)=0),"",AL19/W19)</f>
        <v>1.86838654043081</v>
      </c>
      <c r="AN19" s="37" t="n">
        <f aca="false">IF(OR(W19="",N(W19)=0,E19=""),"",E19/W19)</f>
        <v>0.574474965416884</v>
      </c>
      <c r="AO19" s="22" t="n">
        <f aca="false">IF(OR(W19="",N(W19)=0),"",(N(J19)+N(K19)+N(L19)+N(M19))/W19)</f>
        <v>0.772505973447353</v>
      </c>
      <c r="AP19" s="22" t="n">
        <f aca="false">IF(OR(W19="",N(W19)=0),"",N(R19)/W19)</f>
        <v>0.0898262759822503</v>
      </c>
      <c r="AQ19" s="22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1019</v>
      </c>
      <c r="B20" s="0" t="s">
        <v>618</v>
      </c>
      <c r="C20" s="0" t="n">
        <v>2024</v>
      </c>
      <c r="D20" s="0" t="s">
        <v>1632</v>
      </c>
      <c r="E20" s="32" t="n">
        <f aca="false">IF((COUNTIFS(FundRaw!$C$4:$C$233,"crwv",FundRaw!$E$4:$E$233,"2024",FundRaw!$F$4:$F$233,"ocf",FundRaw!$O$4:$O$233,1))=0,"",SUMIFS(FundRaw!$G$4:$G$233,FundRaw!$C$4:$C$233,"crwv",FundRaw!$E$4:$E$233,"2024",FundRaw!$F$4:$F$233,"ocf",FundRaw!$O$4:$O$233,1))</f>
        <v>2.749</v>
      </c>
      <c r="F20" s="32" t="n">
        <f aca="false">IF((COUNTIFS(FundRaw!$C$4:$C$233,"crwv",FundRaw!$E$4:$E$233,"2024",FundRaw!$F$4:$F$233,"capex_cash",FundRaw!$O$4:$O$233,1))=0,"",SUMIFS(FundRaw!$G$4:$G$233,FundRaw!$C$4:$C$233,"crwv",FundRaw!$E$4:$E$233,"2024",FundRaw!$F$4:$F$233,"capex_cash",FundRaw!$O$4:$O$233,1))</f>
        <v>8.702</v>
      </c>
      <c r="G20" s="32" t="str">
        <f aca="false">IF((COUNTIFS(FundRaw!$C$4:$C$233,"crwv",FundRaw!$E$4:$E$233,"2024",FundRaw!$F$4:$F$233,"fin_lease_new",FundRaw!$O$4:$O$233,1))=0,"",SUMIFS(FundRaw!$G$4:$G$233,FundRaw!$C$4:$C$233,"crwv",FundRaw!$E$4:$E$233,"2024",FundRaw!$F$4:$F$233,"fin_lease_new",FundRaw!$O$4:$O$233,1))</f>
        <v/>
      </c>
      <c r="H20" s="32" t="str">
        <f aca="false">IF((COUNTIFS(FundRaw!$C$4:$C$233,"crwv",FundRaw!$E$4:$E$233,"2024",FundRaw!$F$4:$F$233,"capex_incl_fl",FundRaw!$O$4:$O$233,1))=0,"",SUMIFS(FundRaw!$G$4:$G$233,FundRaw!$C$4:$C$233,"crwv",FundRaw!$E$4:$E$233,"2024",FundRaw!$F$4:$F$233,"capex_incl_fl",FundRaw!$O$4:$O$233,1))</f>
        <v/>
      </c>
      <c r="I20" s="32" t="str">
        <f aca="false">IF((COUNTIFS(FundRaw!$C$4:$C$233,"crwv",FundRaw!$E$4:$E$233,"2024",FundRaw!$F$4:$F$233,"fcf",FundRaw!$O$4:$O$233,1))=0,"",SUMIFS(FundRaw!$G$4:$G$233,FundRaw!$C$4:$C$233,"crwv",FundRaw!$E$4:$E$233,"2024",FundRaw!$F$4:$F$233,"fcf",FundRaw!$O$4:$O$233,1))</f>
        <v/>
      </c>
      <c r="J20" s="32" t="str">
        <f aca="false">IF((COUNTIFS(FundRaw!$C$4:$C$233,"crwv",FundRaw!$E$4:$E$233,"2024",FundRaw!$F$4:$F$233,"bond_issue",FundRaw!$O$4:$O$233,1))=0,"",SUMIFS(FundRaw!$G$4:$G$233,FundRaw!$C$4:$C$233,"crwv",FundRaw!$E$4:$E$233,"2024",FundRaw!$F$4:$F$233,"bond_issue",FundRaw!$O$4:$O$233,1))</f>
        <v/>
      </c>
      <c r="K20" s="32" t="str">
        <f aca="false">IF((COUNTIFS(FundRaw!$C$4:$C$233,"crwv",FundRaw!$E$4:$E$233,"2024",FundRaw!$F$4:$F$233,"term_loan",FundRaw!$O$4:$O$233,1))=0,"",SUMIFS(FundRaw!$G$4:$G$233,FundRaw!$C$4:$C$233,"crwv",FundRaw!$E$4:$E$233,"2024",FundRaw!$F$4:$F$233,"term_loan",FundRaw!$O$4:$O$233,1))</f>
        <v/>
      </c>
      <c r="L20" s="32" t="n">
        <f aca="false">IF((COUNTIFS(FundRaw!$C$4:$C$233,"crwv",FundRaw!$E$4:$E$233,"2024",FundRaw!$F$4:$F$233,"gpu_debt",FundRaw!$O$4:$O$233,1))=0,"",SUMIFS(FundRaw!$G$4:$G$233,FundRaw!$C$4:$C$233,"crwv",FundRaw!$E$4:$E$233,"2024",FundRaw!$F$4:$F$233,"gpu_debt",FundRaw!$O$4:$O$233,1))</f>
        <v>7.018</v>
      </c>
      <c r="M20" s="32" t="str">
        <f aca="false">IF((COUNTIFS(FundRaw!$C$4:$C$233,"crwv",FundRaw!$E$4:$E$233,"2024",FundRaw!$F$4:$F$233,"private_credit",FundRaw!$O$4:$O$233,1))=0,"",SUMIFS(FundRaw!$G$4:$G$233,FundRaw!$C$4:$C$233,"crwv",FundRaw!$E$4:$E$233,"2024",FundRaw!$F$4:$F$233,"private_credit",FundRaw!$O$4:$O$233,1))</f>
        <v/>
      </c>
      <c r="N20" s="32" t="str">
        <f aca="false">IF((COUNTIFS(FundRaw!$C$4:$C$233,"crwv",FundRaw!$E$4:$E$233,"2024",FundRaw!$F$4:$F$233,"net_debt_change",FundRaw!$O$4:$O$233,1))=0,"",SUMIFS(FundRaw!$G$4:$G$233,FundRaw!$C$4:$C$233,"crwv",FundRaw!$E$4:$E$233,"2024",FundRaw!$F$4:$F$233,"net_debt_change",FundRaw!$O$4:$O$233,1))</f>
        <v/>
      </c>
      <c r="O20" s="32" t="str">
        <f aca="false">IF((COUNTIFS(FundRaw!$C$4:$C$233,"crwv",FundRaw!$E$4:$E$233,"2024",FundRaw!$F$4:$F$233,"lease_not_commenced",FundRaw!$O$4:$O$233,1))=0,"",SUMIFS(FundRaw!$G$4:$G$233,FundRaw!$C$4:$C$233,"crwv",FundRaw!$E$4:$E$233,"2024",FundRaw!$F$4:$F$233,"lease_not_commenced",FundRaw!$O$4:$O$233,1))</f>
        <v/>
      </c>
      <c r="P20" s="32" t="str">
        <f aca="false">IF((COUNTIFS(FundRaw!$C$4:$C$233,"crwv",FundRaw!$E$4:$E$233,"2024",FundRaw!$F$4:$F$233,"jv_offbalance",FundRaw!$O$4:$O$233,1))=0,"",SUMIFS(FundRaw!$G$4:$G$233,FundRaw!$C$4:$C$233,"crwv",FundRaw!$E$4:$E$233,"2024",FundRaw!$F$4:$F$233,"jv_offbalance",FundRaw!$O$4:$O$233,1))</f>
        <v/>
      </c>
      <c r="Q20" s="32" t="str">
        <f aca="false">IF((COUNTIFS(FundRaw!$C$4:$C$233,"crwv",FundRaw!$E$4:$E$233,"2024",FundRaw!$F$4:$F$233,"jv_exposure",FundRaw!$O$4:$O$233,1))=0,"",SUMIFS(FundRaw!$G$4:$G$233,FundRaw!$C$4:$C$233,"crwv",FundRaw!$E$4:$E$233,"2024",FundRaw!$F$4:$F$233,"jv_exposure",FundRaw!$O$4:$O$233,1))</f>
        <v/>
      </c>
      <c r="R20" s="32" t="str">
        <f aca="false">IF((COUNTIFS(FundRaw!$C$4:$C$233,"crwv",FundRaw!$E$4:$E$233,"2024",FundRaw!$F$4:$F$233,"equity_round",FundRaw!$O$4:$O$233,1))=0,"",SUMIFS(FundRaw!$G$4:$G$233,FundRaw!$C$4:$C$233,"crwv",FundRaw!$E$4:$E$233,"2024",FundRaw!$F$4:$F$233,"equity_round",FundRaw!$O$4:$O$233,1))</f>
        <v/>
      </c>
      <c r="S20" s="32" t="str">
        <f aca="false">IF((COUNTIFS(FundRaw!$C$4:$C$233,"crwv",FundRaw!$E$4:$E$233,"2024",FundRaw!$F$4:$F$233,"vendor_financing",FundRaw!$O$4:$O$233,1))=0,"",SUMIFS(FundRaw!$G$4:$G$233,FundRaw!$C$4:$C$233,"crwv",FundRaw!$E$4:$E$233,"2024",FundRaw!$F$4:$F$233,"vendor_financing",FundRaw!$O$4:$O$233,1))</f>
        <v/>
      </c>
      <c r="T20" s="32" t="str">
        <f aca="false">IF((COUNTIFS(FundRaw!$C$4:$C$233,"crwv",FundRaw!$E$4:$E$233,"2024",FundRaw!$F$4:$F$233,"buyback_div",FundRaw!$O$4:$O$233,1))=0,"",SUMIFS(FundRaw!$G$4:$G$233,FundRaw!$C$4:$C$233,"crwv",FundRaw!$E$4:$E$233,"2024",FundRaw!$F$4:$F$233,"buyback_div",FundRaw!$O$4:$O$233,1))</f>
        <v/>
      </c>
      <c r="U20" s="32" t="str">
        <f aca="false">IF((COUNTIFS(FundRaw!$C$4:$C$233,"crwv",FundRaw!$E$4:$E$233,"2024",FundRaw!$F$4:$F$233,"gpu_debt_talks",FundRaw!$O$4:$O$233,1))=0,"",SUMIFS(FundRaw!$G$4:$G$233,FundRaw!$C$4:$C$233,"crwv",FundRaw!$E$4:$E$233,"2024",FundRaw!$F$4:$F$233,"gpu_debt_talks",FundRaw!$O$4:$O$233,1))</f>
        <v/>
      </c>
      <c r="V20" s="32" t="str">
        <f aca="false">IF((COUNTIFS(FundRaw!$C$4:$C$233,"crwv",FundRaw!$E$4:$E$233,"2024",FundRaw!$F$4:$F$233,"bridge_refi",FundRaw!$O$4:$O$233,1))=0,"",SUMIFS(FundRaw!$G$4:$G$233,FundRaw!$C$4:$C$233,"crwv",FundRaw!$E$4:$E$233,"2024",FundRaw!$F$4:$F$233,"bridge_refi",FundRaw!$O$4:$O$233,1))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  <c r="AL20" s="32" t="n">
        <f aca="false">N(J20)+N(K20)+N(L20)+N(M20)+IF(AND(H20&lt;&gt;"",F20&lt;&gt;""),MAX(0,H20-F20),N(G20))+N(P20)+N(R20)</f>
        <v>7.018</v>
      </c>
      <c r="AM20" s="37" t="n">
        <f aca="false">IF(OR(W20="",N(W20)=0),"",AL20/W20)</f>
        <v>0.806481268673868</v>
      </c>
      <c r="AN20" s="37" t="n">
        <f aca="false">IF(OR(W20="",N(W20)=0,E20=""),"",E20/W20)</f>
        <v>0.315904389795449</v>
      </c>
      <c r="AO20" s="22" t="n">
        <f aca="false">IF(OR(W20="",N(W20)=0),"",(N(J20)+N(K20)+N(L20)+N(M20))/W20)</f>
        <v>0.806481268673868</v>
      </c>
      <c r="AP20" s="22" t="n">
        <f aca="false">IF(OR(W20="",N(W20)=0),"",N(R20)/W20)</f>
        <v>0</v>
      </c>
      <c r="AQ20" s="22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1019</v>
      </c>
      <c r="B21" s="0" t="s">
        <v>618</v>
      </c>
      <c r="C21" s="0" t="n">
        <v>2025</v>
      </c>
      <c r="D21" s="0" t="s">
        <v>1633</v>
      </c>
      <c r="E21" s="32" t="n">
        <f aca="false">IF((COUNTIFS(FundRaw!$C$4:$C$233,"crwv",FundRaw!$E$4:$E$233,"2025",FundRaw!$F$4:$F$233,"ocf",FundRaw!$O$4:$O$233,1))=0,"",SUMIFS(FundRaw!$G$4:$G$233,FundRaw!$C$4:$C$233,"crwv",FundRaw!$E$4:$E$233,"2025",FundRaw!$F$4:$F$233,"ocf",FundRaw!$O$4:$O$233,1))</f>
        <v>3.058</v>
      </c>
      <c r="F21" s="32" t="n">
        <f aca="false">IF((COUNTIFS(FundRaw!$C$4:$C$233,"crwv",FundRaw!$E$4:$E$233,"2025",FundRaw!$F$4:$F$233,"capex_cash",FundRaw!$O$4:$O$233,1))=0,"",SUMIFS(FundRaw!$G$4:$G$233,FundRaw!$C$4:$C$233,"crwv",FundRaw!$E$4:$E$233,"2025",FundRaw!$F$4:$F$233,"capex_cash",FundRaw!$O$4:$O$233,1))</f>
        <v>10.309</v>
      </c>
      <c r="G21" s="32" t="str">
        <f aca="false">IF((COUNTIFS(FundRaw!$C$4:$C$233,"crwv",FundRaw!$E$4:$E$233,"2025",FundRaw!$F$4:$F$233,"fin_lease_new",FundRaw!$O$4:$O$233,1))=0,"",SUMIFS(FundRaw!$G$4:$G$233,FundRaw!$C$4:$C$233,"crwv",FundRaw!$E$4:$E$233,"2025",FundRaw!$F$4:$F$233,"fin_lease_new",FundRaw!$O$4:$O$233,1))</f>
        <v/>
      </c>
      <c r="H21" s="32" t="str">
        <f aca="false">IF((COUNTIFS(FundRaw!$C$4:$C$233,"crwv",FundRaw!$E$4:$E$233,"2025",FundRaw!$F$4:$F$233,"capex_incl_fl",FundRaw!$O$4:$O$233,1))=0,"",SUMIFS(FundRaw!$G$4:$G$233,FundRaw!$C$4:$C$233,"crwv",FundRaw!$E$4:$E$233,"2025",FundRaw!$F$4:$F$233,"capex_incl_fl",FundRaw!$O$4:$O$233,1))</f>
        <v/>
      </c>
      <c r="I21" s="32" t="str">
        <f aca="false">IF((COUNTIFS(FundRaw!$C$4:$C$233,"crwv",FundRaw!$E$4:$E$233,"2025",FundRaw!$F$4:$F$233,"fcf",FundRaw!$O$4:$O$233,1))=0,"",SUMIFS(FundRaw!$G$4:$G$233,FundRaw!$C$4:$C$233,"crwv",FundRaw!$E$4:$E$233,"2025",FundRaw!$F$4:$F$233,"fcf",FundRaw!$O$4:$O$233,1))</f>
        <v/>
      </c>
      <c r="J21" s="32" t="str">
        <f aca="false">IF((COUNTIFS(FundRaw!$C$4:$C$233,"crwv",FundRaw!$E$4:$E$233,"2025",FundRaw!$F$4:$F$233,"bond_issue",FundRaw!$O$4:$O$233,1))=0,"",SUMIFS(FundRaw!$G$4:$G$233,FundRaw!$C$4:$C$233,"crwv",FundRaw!$E$4:$E$233,"2025",FundRaw!$F$4:$F$233,"bond_issue",FundRaw!$O$4:$O$233,1))</f>
        <v/>
      </c>
      <c r="K21" s="32" t="str">
        <f aca="false">IF((COUNTIFS(FundRaw!$C$4:$C$233,"crwv",FundRaw!$E$4:$E$233,"2025",FundRaw!$F$4:$F$233,"term_loan",FundRaw!$O$4:$O$233,1))=0,"",SUMIFS(FundRaw!$G$4:$G$233,FundRaw!$C$4:$C$233,"crwv",FundRaw!$E$4:$E$233,"2025",FundRaw!$F$4:$F$233,"term_loan",FundRaw!$O$4:$O$233,1))</f>
        <v/>
      </c>
      <c r="L21" s="32" t="n">
        <f aca="false">IF((COUNTIFS(FundRaw!$C$4:$C$233,"crwv",FundRaw!$E$4:$E$233,"2025",FundRaw!$F$4:$F$233,"gpu_debt",FundRaw!$O$4:$O$233,1))=0,"",SUMIFS(FundRaw!$G$4:$G$233,FundRaw!$C$4:$C$233,"crwv",FundRaw!$E$4:$E$233,"2025",FundRaw!$F$4:$F$233,"gpu_debt",FundRaw!$O$4:$O$233,1))</f>
        <v>11.829</v>
      </c>
      <c r="M21" s="32" t="str">
        <f aca="false">IF((COUNTIFS(FundRaw!$C$4:$C$233,"crwv",FundRaw!$E$4:$E$233,"2025",FundRaw!$F$4:$F$233,"private_credit",FundRaw!$O$4:$O$233,1))=0,"",SUMIFS(FundRaw!$G$4:$G$233,FundRaw!$C$4:$C$233,"crwv",FundRaw!$E$4:$E$233,"2025",FundRaw!$F$4:$F$233,"private_credit",FundRaw!$O$4:$O$233,1))</f>
        <v/>
      </c>
      <c r="N21" s="32" t="n">
        <f aca="false">IF((COUNTIFS(FundRaw!$C$4:$C$233,"crwv",FundRaw!$E$4:$E$233,"2025",FundRaw!$F$4:$F$233,"net_debt_change",FundRaw!$O$4:$O$233,1))=0,"",SUMIFS(FundRaw!$G$4:$G$233,FundRaw!$C$4:$C$233,"crwv",FundRaw!$E$4:$E$233,"2025",FundRaw!$F$4:$F$233,"net_debt_change",FundRaw!$O$4:$O$233,1))</f>
        <v>13.447</v>
      </c>
      <c r="O21" s="32" t="str">
        <f aca="false">IF((COUNTIFS(FundRaw!$C$4:$C$233,"crwv",FundRaw!$E$4:$E$233,"2025",FundRaw!$F$4:$F$233,"lease_not_commenced",FundRaw!$O$4:$O$233,1))=0,"",SUMIFS(FundRaw!$G$4:$G$233,FundRaw!$C$4:$C$233,"crwv",FundRaw!$E$4:$E$233,"2025",FundRaw!$F$4:$F$233,"lease_not_commenced",FundRaw!$O$4:$O$233,1))</f>
        <v/>
      </c>
      <c r="P21" s="32" t="str">
        <f aca="false">IF((COUNTIFS(FundRaw!$C$4:$C$233,"crwv",FundRaw!$E$4:$E$233,"2025",FundRaw!$F$4:$F$233,"jv_offbalance",FundRaw!$O$4:$O$233,1))=0,"",SUMIFS(FundRaw!$G$4:$G$233,FundRaw!$C$4:$C$233,"crwv",FundRaw!$E$4:$E$233,"2025",FundRaw!$F$4:$F$233,"jv_offbalance",FundRaw!$O$4:$O$233,1))</f>
        <v/>
      </c>
      <c r="Q21" s="32" t="str">
        <f aca="false">IF((COUNTIFS(FundRaw!$C$4:$C$233,"crwv",FundRaw!$E$4:$E$233,"2025",FundRaw!$F$4:$F$233,"jv_exposure",FundRaw!$O$4:$O$233,1))=0,"",SUMIFS(FundRaw!$G$4:$G$233,FundRaw!$C$4:$C$233,"crwv",FundRaw!$E$4:$E$233,"2025",FundRaw!$F$4:$F$233,"jv_exposure",FundRaw!$O$4:$O$233,1))</f>
        <v/>
      </c>
      <c r="R21" s="32" t="n">
        <f aca="false">IF((COUNTIFS(FundRaw!$C$4:$C$233,"crwv",FundRaw!$E$4:$E$233,"2025",FundRaw!$F$4:$F$233,"equity_round",FundRaw!$O$4:$O$233,1))=0,"",SUMIFS(FundRaw!$G$4:$G$233,FundRaw!$C$4:$C$233,"crwv",FundRaw!$E$4:$E$233,"2025",FundRaw!$F$4:$F$233,"equity_round",FundRaw!$O$4:$O$233,1))</f>
        <v>1.491</v>
      </c>
      <c r="S21" s="32" t="str">
        <f aca="false">IF((COUNTIFS(FundRaw!$C$4:$C$233,"crwv",FundRaw!$E$4:$E$233,"2025",FundRaw!$F$4:$F$233,"vendor_financing",FundRaw!$O$4:$O$233,1))=0,"",SUMIFS(FundRaw!$G$4:$G$233,FundRaw!$C$4:$C$233,"crwv",FundRaw!$E$4:$E$233,"2025",FundRaw!$F$4:$F$233,"vendor_financing",FundRaw!$O$4:$O$233,1))</f>
        <v/>
      </c>
      <c r="T21" s="32" t="str">
        <f aca="false">IF((COUNTIFS(FundRaw!$C$4:$C$233,"crwv",FundRaw!$E$4:$E$233,"2025",FundRaw!$F$4:$F$233,"buyback_div",FundRaw!$O$4:$O$233,1))=0,"",SUMIFS(FundRaw!$G$4:$G$233,FundRaw!$C$4:$C$233,"crwv",FundRaw!$E$4:$E$233,"2025",FundRaw!$F$4:$F$233,"buyback_div",FundRaw!$O$4:$O$233,1))</f>
        <v/>
      </c>
      <c r="U21" s="32" t="str">
        <f aca="false">IF((COUNTIFS(FundRaw!$C$4:$C$233,"crwv",FundRaw!$E$4:$E$233,"2025",FundRaw!$F$4:$F$233,"gpu_debt_talks",FundRaw!$O$4:$O$233,1))=0,"",SUMIFS(FundRaw!$G$4:$G$233,FundRaw!$C$4:$C$233,"crwv",FundRaw!$E$4:$E$233,"2025",FundRaw!$F$4:$F$233,"gpu_debt_talks",FundRaw!$O$4:$O$233,1))</f>
        <v/>
      </c>
      <c r="V21" s="32" t="str">
        <f aca="false">IF((COUNTIFS(FundRaw!$C$4:$C$233,"crwv",FundRaw!$E$4:$E$233,"2025",FundRaw!$F$4:$F$233,"bridge_refi",FundRaw!$O$4:$O$233,1))=0,"",SUMIFS(FundRaw!$G$4:$G$233,FundRaw!$C$4:$C$233,"crwv",FundRaw!$E$4:$E$233,"2025",FundRaw!$F$4:$F$233,"bridge_refi",FundRaw!$O$4:$O$233,1))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  <c r="AL21" s="32" t="n">
        <f aca="false">N(J21)+N(K21)+N(L21)+N(M21)+IF(AND(H21&lt;&gt;"",F21&lt;&gt;""),MAX(0,H21-F21),N(G21))+N(P21)+N(R21)</f>
        <v>13.32</v>
      </c>
      <c r="AM21" s="37" t="n">
        <f aca="false">IF(OR(W21="",N(W21)=0),"",AL21/W21)</f>
        <v>1.29207488602192</v>
      </c>
      <c r="AN21" s="37" t="n">
        <f aca="false">IF(OR(W21="",N(W21)=0,E21=""),"",E21/W21)</f>
        <v>0.296634009118246</v>
      </c>
      <c r="AO21" s="22" t="n">
        <f aca="false">IF(OR(W21="",N(W21)=0),"",(N(J21)+N(K21)+N(L21)+N(M21))/W21)</f>
        <v>1.14744398098749</v>
      </c>
      <c r="AP21" s="22" t="n">
        <f aca="false">IF(OR(W21="",N(W21)=0),"",N(R21)/W21)</f>
        <v>0.144630905034436</v>
      </c>
      <c r="AQ21" s="22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1019</v>
      </c>
      <c r="B22" s="0" t="s">
        <v>618</v>
      </c>
      <c r="C22" s="0" t="n">
        <v>2026</v>
      </c>
      <c r="D22" s="0" t="s">
        <v>1634</v>
      </c>
      <c r="E22" s="32" t="n">
        <f aca="false">IF((COUNTIFS(FundRaw!$C$4:$C$233,"crwv",FundRaw!$E$4:$E$233,"2026",FundRaw!$F$4:$F$233,"ocf",FundRaw!$O$4:$O$233,1))=0,"",SUMIFS(FundRaw!$G$4:$G$233,FundRaw!$C$4:$C$233,"crwv",FundRaw!$E$4:$E$233,"2026",FundRaw!$F$4:$F$233,"ocf",FundRaw!$O$4:$O$233,1))</f>
        <v>3.663</v>
      </c>
      <c r="F22" s="32" t="n">
        <f aca="false">IF((COUNTIFS(FundRaw!$C$4:$C$233,"crwv",FundRaw!$E$4:$E$233,"2026",FundRaw!$F$4:$F$233,"capex_cash",FundRaw!$O$4:$O$233,1))=0,"",SUMIFS(FundRaw!$G$4:$G$233,FundRaw!$C$4:$C$233,"crwv",FundRaw!$E$4:$E$233,"2026",FundRaw!$F$4:$F$233,"capex_cash",FundRaw!$O$4:$O$233,1))</f>
        <v>14.117</v>
      </c>
      <c r="G22" s="32" t="str">
        <f aca="false">IF((COUNTIFS(FundRaw!$C$4:$C$233,"crwv",FundRaw!$E$4:$E$233,"2026",FundRaw!$F$4:$F$233,"fin_lease_new",FundRaw!$O$4:$O$233,1))=0,"",SUMIFS(FundRaw!$G$4:$G$233,FundRaw!$C$4:$C$233,"crwv",FundRaw!$E$4:$E$233,"2026",FundRaw!$F$4:$F$233,"fin_lease_new",FundRaw!$O$4:$O$233,1))</f>
        <v/>
      </c>
      <c r="H22" s="32" t="str">
        <f aca="false">IF((COUNTIFS(FundRaw!$C$4:$C$233,"crwv",FundRaw!$E$4:$E$233,"2026",FundRaw!$F$4:$F$233,"capex_incl_fl",FundRaw!$O$4:$O$233,1))=0,"",SUMIFS(FundRaw!$G$4:$G$233,FundRaw!$C$4:$C$233,"crwv",FundRaw!$E$4:$E$233,"2026",FundRaw!$F$4:$F$233,"capex_incl_fl",FundRaw!$O$4:$O$233,1))</f>
        <v/>
      </c>
      <c r="I22" s="32" t="str">
        <f aca="false">IF((COUNTIFS(FundRaw!$C$4:$C$233,"crwv",FundRaw!$E$4:$E$233,"2026",FundRaw!$F$4:$F$233,"fcf",FundRaw!$O$4:$O$233,1))=0,"",SUMIFS(FundRaw!$G$4:$G$233,FundRaw!$C$4:$C$233,"crwv",FundRaw!$E$4:$E$233,"2026",FundRaw!$F$4:$F$233,"fcf",FundRaw!$O$4:$O$233,1))</f>
        <v/>
      </c>
      <c r="J22" s="32" t="str">
        <f aca="false">IF((COUNTIFS(FundRaw!$C$4:$C$233,"crwv",FundRaw!$E$4:$E$233,"2026",FundRaw!$F$4:$F$233,"bond_issue",FundRaw!$O$4:$O$233,1))=0,"",SUMIFS(FundRaw!$G$4:$G$233,FundRaw!$C$4:$C$233,"crwv",FundRaw!$E$4:$E$233,"2026",FundRaw!$F$4:$F$233,"bond_issue",FundRaw!$O$4:$O$233,1))</f>
        <v/>
      </c>
      <c r="K22" s="32" t="str">
        <f aca="false">IF((COUNTIFS(FundRaw!$C$4:$C$233,"crwv",FundRaw!$E$4:$E$233,"2026",FundRaw!$F$4:$F$233,"term_loan",FundRaw!$O$4:$O$233,1))=0,"",SUMIFS(FundRaw!$G$4:$G$233,FundRaw!$C$4:$C$233,"crwv",FundRaw!$E$4:$E$233,"2026",FundRaw!$F$4:$F$233,"term_loan",FundRaw!$O$4:$O$233,1))</f>
        <v/>
      </c>
      <c r="L22" s="32" t="n">
        <f aca="false">IF((COUNTIFS(FundRaw!$C$4:$C$233,"crwv",FundRaw!$E$4:$E$233,"2026",FundRaw!$F$4:$F$233,"gpu_debt",FundRaw!$O$4:$O$233,1))=0,"",SUMIFS(FundRaw!$G$4:$G$233,FundRaw!$C$4:$C$233,"crwv",FundRaw!$E$4:$E$233,"2026",FundRaw!$F$4:$F$233,"gpu_debt",FundRaw!$O$4:$O$233,1))</f>
        <v>16.747</v>
      </c>
      <c r="M22" s="32" t="str">
        <f aca="false">IF((COUNTIFS(FundRaw!$C$4:$C$233,"crwv",FundRaw!$E$4:$E$233,"2026",FundRaw!$F$4:$F$233,"private_credit",FundRaw!$O$4:$O$233,1))=0,"",SUMIFS(FundRaw!$G$4:$G$233,FundRaw!$C$4:$C$233,"crwv",FundRaw!$E$4:$E$233,"2026",FundRaw!$F$4:$F$233,"private_credit",FundRaw!$O$4:$O$233,1))</f>
        <v/>
      </c>
      <c r="N22" s="32" t="str">
        <f aca="false">IF((COUNTIFS(FundRaw!$C$4:$C$233,"crwv",FundRaw!$E$4:$E$233,"2026",FundRaw!$F$4:$F$233,"net_debt_change",FundRaw!$O$4:$O$233,1))=0,"",SUMIFS(FundRaw!$G$4:$G$233,FundRaw!$C$4:$C$233,"crwv",FundRaw!$E$4:$E$233,"2026",FundRaw!$F$4:$F$233,"net_debt_change",FundRaw!$O$4:$O$233,1))</f>
        <v/>
      </c>
      <c r="O22" s="32" t="str">
        <f aca="false">IF((COUNTIFS(FundRaw!$C$4:$C$233,"crwv",FundRaw!$E$4:$E$233,"2026",FundRaw!$F$4:$F$233,"lease_not_commenced",FundRaw!$O$4:$O$233,1))=0,"",SUMIFS(FundRaw!$G$4:$G$233,FundRaw!$C$4:$C$233,"crwv",FundRaw!$E$4:$E$233,"2026",FundRaw!$F$4:$F$233,"lease_not_commenced",FundRaw!$O$4:$O$233,1))</f>
        <v/>
      </c>
      <c r="P22" s="32" t="str">
        <f aca="false">IF((COUNTIFS(FundRaw!$C$4:$C$233,"crwv",FundRaw!$E$4:$E$233,"2026",FundRaw!$F$4:$F$233,"jv_offbalance",FundRaw!$O$4:$O$233,1))=0,"",SUMIFS(FundRaw!$G$4:$G$233,FundRaw!$C$4:$C$233,"crwv",FundRaw!$E$4:$E$233,"2026",FundRaw!$F$4:$F$233,"jv_offbalance",FundRaw!$O$4:$O$233,1))</f>
        <v/>
      </c>
      <c r="Q22" s="32" t="str">
        <f aca="false">IF((COUNTIFS(FundRaw!$C$4:$C$233,"crwv",FundRaw!$E$4:$E$233,"2026",FundRaw!$F$4:$F$233,"jv_exposure",FundRaw!$O$4:$O$233,1))=0,"",SUMIFS(FundRaw!$G$4:$G$233,FundRaw!$C$4:$C$233,"crwv",FundRaw!$E$4:$E$233,"2026",FundRaw!$F$4:$F$233,"jv_exposure",FundRaw!$O$4:$O$233,1))</f>
        <v/>
      </c>
      <c r="R22" s="32" t="n">
        <f aca="false">IF((COUNTIFS(FundRaw!$C$4:$C$233,"crwv",FundRaw!$E$4:$E$233,"2026",FundRaw!$F$4:$F$233,"equity_round",FundRaw!$O$4:$O$233,1))=0,"",SUMIFS(FundRaw!$G$4:$G$233,FundRaw!$C$4:$C$233,"crwv",FundRaw!$E$4:$E$233,"2026",FundRaw!$F$4:$F$233,"equity_round",FundRaw!$O$4:$O$233,1))</f>
        <v>2.982</v>
      </c>
      <c r="S22" s="32" t="str">
        <f aca="false">IF((COUNTIFS(FundRaw!$C$4:$C$233,"crwv",FundRaw!$E$4:$E$233,"2026",FundRaw!$F$4:$F$233,"vendor_financing",FundRaw!$O$4:$O$233,1))=0,"",SUMIFS(FundRaw!$G$4:$G$233,FundRaw!$C$4:$C$233,"crwv",FundRaw!$E$4:$E$233,"2026",FundRaw!$F$4:$F$233,"vendor_financing",FundRaw!$O$4:$O$233,1))</f>
        <v/>
      </c>
      <c r="T22" s="32" t="str">
        <f aca="false">IF((COUNTIFS(FundRaw!$C$4:$C$233,"crwv",FundRaw!$E$4:$E$233,"2026",FundRaw!$F$4:$F$233,"buyback_div",FundRaw!$O$4:$O$233,1))=0,"",SUMIFS(FundRaw!$G$4:$G$233,FundRaw!$C$4:$C$233,"crwv",FundRaw!$E$4:$E$233,"2026",FundRaw!$F$4:$F$233,"buyback_div",FundRaw!$O$4:$O$233,1))</f>
        <v/>
      </c>
      <c r="U22" s="32" t="str">
        <f aca="false">IF((COUNTIFS(FundRaw!$C$4:$C$233,"crwv",FundRaw!$E$4:$E$233,"2026",FundRaw!$F$4:$F$233,"gpu_debt_talks",FundRaw!$O$4:$O$233,1))=0,"",SUMIFS(FundRaw!$G$4:$G$233,FundRaw!$C$4:$C$233,"crwv",FundRaw!$E$4:$E$233,"2026",FundRaw!$F$4:$F$233,"gpu_debt_talks",FundRaw!$O$4:$O$233,1))</f>
        <v/>
      </c>
      <c r="V22" s="32" t="str">
        <f aca="false">IF((COUNTIFS(FundRaw!$C$4:$C$233,"crwv",FundRaw!$E$4:$E$233,"2026",FundRaw!$F$4:$F$233,"bridge_refi",FundRaw!$O$4:$O$233,1))=0,"",SUMIFS(FundRaw!$G$4:$G$233,FundRaw!$C$4:$C$233,"crwv",FundRaw!$E$4:$E$233,"2026",FundRaw!$F$4:$F$233,"bridge_refi",FundRaw!$O$4:$O$233,1))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  <c r="AL22" s="32" t="n">
        <f aca="false">N(J22)+N(K22)+N(L22)+N(M22)+IF(AND(H22&lt;&gt;"",F22&lt;&gt;""),MAX(0,H22-F22),N(G22))+N(P22)+N(R22)</f>
        <v>19.729</v>
      </c>
      <c r="AM22" s="37" t="n">
        <f aca="false">IF(OR(W22="",N(W22)=0),"",AL22/W22)</f>
        <v>1.39753488701565</v>
      </c>
      <c r="AN22" s="37" t="n">
        <f aca="false">IF(OR(W22="",N(W22)=0,E22=""),"",E22/W22)</f>
        <v>0.259474392576326</v>
      </c>
      <c r="AO22" s="22" t="n">
        <f aca="false">IF(OR(W22="",N(W22)=0),"",(N(J22)+N(K22)+N(L22)+N(M22))/W22)</f>
        <v>1.18630020542608</v>
      </c>
      <c r="AP22" s="22" t="n">
        <f aca="false">IF(OR(W22="",N(W22)=0),"",N(R22)/W22)</f>
        <v>0.211234681589573</v>
      </c>
      <c r="AQ22" s="22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1038</v>
      </c>
      <c r="B23" s="0" t="s">
        <v>647</v>
      </c>
      <c r="C23" s="0" t="n">
        <v>2025</v>
      </c>
      <c r="D23" s="0" t="s">
        <v>1633</v>
      </c>
      <c r="E23" s="32" t="str">
        <f aca="false">IF((COUNTIFS(FundRaw!$C$4:$C$233,"nbis",FundRaw!$E$4:$E$233,"2025",FundRaw!$F$4:$F$233,"ocf",FundRaw!$O$4:$O$233,1))=0,"",SUMIFS(FundRaw!$G$4:$G$233,FundRaw!$C$4:$C$233,"nbis",FundRaw!$E$4:$E$233,"2025",FundRaw!$F$4:$F$233,"ocf",FundRaw!$O$4:$O$233,1))</f>
        <v/>
      </c>
      <c r="F23" s="32" t="n">
        <f aca="false">IF((COUNTIFS(FundRaw!$C$4:$C$233,"nbis",FundRaw!$E$4:$E$233,"2025",FundRaw!$F$4:$F$233,"capex_cash",FundRaw!$O$4:$O$233,1))=0,"",SUMIFS(FundRaw!$G$4:$G$233,FundRaw!$C$4:$C$233,"nbis",FundRaw!$E$4:$E$233,"2025",FundRaw!$F$4:$F$233,"capex_cash",FundRaw!$O$4:$O$233,1))</f>
        <v>4.1</v>
      </c>
      <c r="G23" s="32" t="str">
        <f aca="false">IF((COUNTIFS(FundRaw!$C$4:$C$233,"nbis",FundRaw!$E$4:$E$233,"2025",FundRaw!$F$4:$F$233,"fin_lease_new",FundRaw!$O$4:$O$233,1))=0,"",SUMIFS(FundRaw!$G$4:$G$233,FundRaw!$C$4:$C$233,"nbis",FundRaw!$E$4:$E$233,"2025",FundRaw!$F$4:$F$233,"fin_lease_new",FundRaw!$O$4:$O$233,1))</f>
        <v/>
      </c>
      <c r="H23" s="32" t="str">
        <f aca="false">IF((COUNTIFS(FundRaw!$C$4:$C$233,"nbis",FundRaw!$E$4:$E$233,"2025",FundRaw!$F$4:$F$233,"capex_incl_fl",FundRaw!$O$4:$O$233,1))=0,"",SUMIFS(FundRaw!$G$4:$G$233,FundRaw!$C$4:$C$233,"nbis",FundRaw!$E$4:$E$233,"2025",FundRaw!$F$4:$F$233,"capex_incl_fl",FundRaw!$O$4:$O$233,1))</f>
        <v/>
      </c>
      <c r="I23" s="32" t="str">
        <f aca="false">IF((COUNTIFS(FundRaw!$C$4:$C$233,"nbis",FundRaw!$E$4:$E$233,"2025",FundRaw!$F$4:$F$233,"fcf",FundRaw!$O$4:$O$233,1))=0,"",SUMIFS(FundRaw!$G$4:$G$233,FundRaw!$C$4:$C$233,"nbis",FundRaw!$E$4:$E$233,"2025",FundRaw!$F$4:$F$233,"fcf",FundRaw!$O$4:$O$233,1))</f>
        <v/>
      </c>
      <c r="J23" s="32" t="str">
        <f aca="false">IF((COUNTIFS(FundRaw!$C$4:$C$233,"nbis",FundRaw!$E$4:$E$233,"2025",FundRaw!$F$4:$F$233,"bond_issue",FundRaw!$O$4:$O$233,1))=0,"",SUMIFS(FundRaw!$G$4:$G$233,FundRaw!$C$4:$C$233,"nbis",FundRaw!$E$4:$E$233,"2025",FundRaw!$F$4:$F$233,"bond_issue",FundRaw!$O$4:$O$233,1))</f>
        <v/>
      </c>
      <c r="K23" s="32" t="str">
        <f aca="false">IF((COUNTIFS(FundRaw!$C$4:$C$233,"nbis",FundRaw!$E$4:$E$233,"2025",FundRaw!$F$4:$F$233,"term_loan",FundRaw!$O$4:$O$233,1))=0,"",SUMIFS(FundRaw!$G$4:$G$233,FundRaw!$C$4:$C$233,"nbis",FundRaw!$E$4:$E$233,"2025",FundRaw!$F$4:$F$233,"term_loan",FundRaw!$O$4:$O$233,1))</f>
        <v/>
      </c>
      <c r="L23" s="32" t="str">
        <f aca="false">IF((COUNTIFS(FundRaw!$C$4:$C$233,"nbis",FundRaw!$E$4:$E$233,"2025",FundRaw!$F$4:$F$233,"gpu_debt",FundRaw!$O$4:$O$233,1))=0,"",SUMIFS(FundRaw!$G$4:$G$233,FundRaw!$C$4:$C$233,"nbis",FundRaw!$E$4:$E$233,"2025",FundRaw!$F$4:$F$233,"gpu_debt",FundRaw!$O$4:$O$233,1))</f>
        <v/>
      </c>
      <c r="M23" s="32" t="str">
        <f aca="false">IF((COUNTIFS(FundRaw!$C$4:$C$233,"nbis",FundRaw!$E$4:$E$233,"2025",FundRaw!$F$4:$F$233,"private_credit",FundRaw!$O$4:$O$233,1))=0,"",SUMIFS(FundRaw!$G$4:$G$233,FundRaw!$C$4:$C$233,"nbis",FundRaw!$E$4:$E$233,"2025",FundRaw!$F$4:$F$233,"private_credit",FundRaw!$O$4:$O$233,1))</f>
        <v/>
      </c>
      <c r="N23" s="32" t="str">
        <f aca="false">IF((COUNTIFS(FundRaw!$C$4:$C$233,"nbis",FundRaw!$E$4:$E$233,"2025",FundRaw!$F$4:$F$233,"net_debt_change",FundRaw!$O$4:$O$233,1))=0,"",SUMIFS(FundRaw!$G$4:$G$233,FundRaw!$C$4:$C$233,"nbis",FundRaw!$E$4:$E$233,"2025",FundRaw!$F$4:$F$233,"net_debt_change",FundRaw!$O$4:$O$233,1))</f>
        <v/>
      </c>
      <c r="O23" s="32" t="str">
        <f aca="false">IF((COUNTIFS(FundRaw!$C$4:$C$233,"nbis",FundRaw!$E$4:$E$233,"2025",FundRaw!$F$4:$F$233,"lease_not_commenced",FundRaw!$O$4:$O$233,1))=0,"",SUMIFS(FundRaw!$G$4:$G$233,FundRaw!$C$4:$C$233,"nbis",FundRaw!$E$4:$E$233,"2025",FundRaw!$F$4:$F$233,"lease_not_commenced",FundRaw!$O$4:$O$233,1))</f>
        <v/>
      </c>
      <c r="P23" s="32" t="str">
        <f aca="false">IF((COUNTIFS(FundRaw!$C$4:$C$233,"nbis",FundRaw!$E$4:$E$233,"2025",FundRaw!$F$4:$F$233,"jv_offbalance",FundRaw!$O$4:$O$233,1))=0,"",SUMIFS(FundRaw!$G$4:$G$233,FundRaw!$C$4:$C$233,"nbis",FundRaw!$E$4:$E$233,"2025",FundRaw!$F$4:$F$233,"jv_offbalance",FundRaw!$O$4:$O$233,1))</f>
        <v/>
      </c>
      <c r="Q23" s="32" t="str">
        <f aca="false">IF((COUNTIFS(FundRaw!$C$4:$C$233,"nbis",FundRaw!$E$4:$E$233,"2025",FundRaw!$F$4:$F$233,"jv_exposure",FundRaw!$O$4:$O$233,1))=0,"",SUMIFS(FundRaw!$G$4:$G$233,FundRaw!$C$4:$C$233,"nbis",FundRaw!$E$4:$E$233,"2025",FundRaw!$F$4:$F$233,"jv_exposure",FundRaw!$O$4:$O$233,1))</f>
        <v/>
      </c>
      <c r="R23" s="32" t="str">
        <f aca="false">IF((COUNTIFS(FundRaw!$C$4:$C$233,"nbis",FundRaw!$E$4:$E$233,"2025",FundRaw!$F$4:$F$233,"equity_round",FundRaw!$O$4:$O$233,1))=0,"",SUMIFS(FundRaw!$G$4:$G$233,FundRaw!$C$4:$C$233,"nbis",FundRaw!$E$4:$E$233,"2025",FundRaw!$F$4:$F$233,"equity_round",FundRaw!$O$4:$O$233,1))</f>
        <v/>
      </c>
      <c r="S23" s="32" t="str">
        <f aca="false">IF((COUNTIFS(FundRaw!$C$4:$C$233,"nbis",FundRaw!$E$4:$E$233,"2025",FundRaw!$F$4:$F$233,"vendor_financing",FundRaw!$O$4:$O$233,1))=0,"",SUMIFS(FundRaw!$G$4:$G$233,FundRaw!$C$4:$C$233,"nbis",FundRaw!$E$4:$E$233,"2025",FundRaw!$F$4:$F$233,"vendor_financing",FundRaw!$O$4:$O$233,1))</f>
        <v/>
      </c>
      <c r="T23" s="32" t="str">
        <f aca="false">IF((COUNTIFS(FundRaw!$C$4:$C$233,"nbis",FundRaw!$E$4:$E$233,"2025",FundRaw!$F$4:$F$233,"buyback_div",FundRaw!$O$4:$O$233,1))=0,"",SUMIFS(FundRaw!$G$4:$G$233,FundRaw!$C$4:$C$233,"nbis",FundRaw!$E$4:$E$233,"2025",FundRaw!$F$4:$F$233,"buyback_div",FundRaw!$O$4:$O$233,1))</f>
        <v/>
      </c>
      <c r="U23" s="32" t="str">
        <f aca="false">IF((COUNTIFS(FundRaw!$C$4:$C$233,"nbis",FundRaw!$E$4:$E$233,"2025",FundRaw!$F$4:$F$233,"gpu_debt_talks",FundRaw!$O$4:$O$233,1))=0,"",SUMIFS(FundRaw!$G$4:$G$233,FundRaw!$C$4:$C$233,"nbis",FundRaw!$E$4:$E$233,"2025",FundRaw!$F$4:$F$233,"gpu_debt_talks",FundRaw!$O$4:$O$233,1))</f>
        <v/>
      </c>
      <c r="V23" s="32" t="str">
        <f aca="false">IF((COUNTIFS(FundRaw!$C$4:$C$233,"nbis",FundRaw!$E$4:$E$233,"2025",FundRaw!$F$4:$F$233,"bridge_refi",FundRaw!$O$4:$O$233,1))=0,"",SUMIFS(FundRaw!$G$4:$G$233,FundRaw!$C$4:$C$233,"nbis",FundRaw!$E$4:$E$233,"2025",FundRaw!$F$4:$F$233,"bridge_refi",FundRaw!$O$4:$O$233,1))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  <c r="AL23" s="32" t="n">
        <f aca="false">N(J23)+N(K23)+N(L23)+N(M23)+IF(AND(H23&lt;&gt;"",F23&lt;&gt;""),MAX(0,H23-F23),N(G23))+N(P23)+N(R23)</f>
        <v>0</v>
      </c>
      <c r="AM23" s="37" t="n">
        <f aca="false">IF(OR(W23="",N(W23)=0),"",AL23/W23)</f>
        <v>0</v>
      </c>
      <c r="AN23" s="37" t="str">
        <f aca="false">IF(OR(W23="",N(W23)=0,E23=""),"",E23/W23)</f>
        <v/>
      </c>
      <c r="AO23" s="22" t="n">
        <f aca="false">IF(OR(W23="",N(W23)=0),"",(N(J23)+N(K23)+N(L23)+N(M23))/W23)</f>
        <v>0</v>
      </c>
      <c r="AP23" s="22" t="n">
        <f aca="false">IF(OR(W23="",N(W23)=0),"",N(R23)/W23)</f>
        <v>0</v>
      </c>
      <c r="AQ23" s="22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1038</v>
      </c>
      <c r="B24" s="0" t="s">
        <v>647</v>
      </c>
      <c r="C24" s="0" t="n">
        <v>2026</v>
      </c>
      <c r="D24" s="0" t="s">
        <v>1634</v>
      </c>
      <c r="E24" s="32" t="str">
        <f aca="false">IF((COUNTIFS(FundRaw!$C$4:$C$233,"nbis",FundRaw!$E$4:$E$233,"2026",FundRaw!$F$4:$F$233,"ocf",FundRaw!$O$4:$O$233,1))=0,"",SUMIFS(FundRaw!$G$4:$G$233,FundRaw!$C$4:$C$233,"nbis",FundRaw!$E$4:$E$233,"2026",FundRaw!$F$4:$F$233,"ocf",FundRaw!$O$4:$O$233,1))</f>
        <v/>
      </c>
      <c r="F24" s="32" t="n">
        <f aca="false">IF((COUNTIFS(FundRaw!$C$4:$C$233,"nbis",FundRaw!$E$4:$E$233,"2026",FundRaw!$F$4:$F$233,"capex_cash",FundRaw!$O$4:$O$233,1))=0,"",SUMIFS(FundRaw!$G$4:$G$233,FundRaw!$C$4:$C$233,"nbis",FundRaw!$E$4:$E$233,"2026",FundRaw!$F$4:$F$233,"capex_cash",FundRaw!$O$4:$O$233,1))</f>
        <v>8.13</v>
      </c>
      <c r="G24" s="32" t="str">
        <f aca="false">IF((COUNTIFS(FundRaw!$C$4:$C$233,"nbis",FundRaw!$E$4:$E$233,"2026",FundRaw!$F$4:$F$233,"fin_lease_new",FundRaw!$O$4:$O$233,1))=0,"",SUMIFS(FundRaw!$G$4:$G$233,FundRaw!$C$4:$C$233,"nbis",FundRaw!$E$4:$E$233,"2026",FundRaw!$F$4:$F$233,"fin_lease_new",FundRaw!$O$4:$O$233,1))</f>
        <v/>
      </c>
      <c r="H24" s="32" t="str">
        <f aca="false">IF((COUNTIFS(FundRaw!$C$4:$C$233,"nbis",FundRaw!$E$4:$E$233,"2026",FundRaw!$F$4:$F$233,"capex_incl_fl",FundRaw!$O$4:$O$233,1))=0,"",SUMIFS(FundRaw!$G$4:$G$233,FundRaw!$C$4:$C$233,"nbis",FundRaw!$E$4:$E$233,"2026",FundRaw!$F$4:$F$233,"capex_incl_fl",FundRaw!$O$4:$O$233,1))</f>
        <v/>
      </c>
      <c r="I24" s="32" t="n">
        <f aca="false">IF((COUNTIFS(FundRaw!$C$4:$C$233,"nbis",FundRaw!$E$4:$E$233,"2026",FundRaw!$F$4:$F$233,"fcf",FundRaw!$O$4:$O$233,1))=0,"",SUMIFS(FundRaw!$G$4:$G$233,FundRaw!$C$4:$C$233,"nbis",FundRaw!$E$4:$E$233,"2026",FundRaw!$F$4:$F$233,"fcf",FundRaw!$O$4:$O$233,1))</f>
        <v>-3.626</v>
      </c>
      <c r="J24" s="32" t="n">
        <f aca="false">IF((COUNTIFS(FundRaw!$C$4:$C$233,"nbis",FundRaw!$E$4:$E$233,"2026",FundRaw!$F$4:$F$233,"bond_issue",FundRaw!$O$4:$O$233,1))=0,"",SUMIFS(FundRaw!$G$4:$G$233,FundRaw!$C$4:$C$233,"nbis",FundRaw!$E$4:$E$233,"2026",FundRaw!$F$4:$F$233,"bond_issue",FundRaw!$O$4:$O$233,1))</f>
        <v>4.338</v>
      </c>
      <c r="K24" s="32" t="str">
        <f aca="false">IF((COUNTIFS(FundRaw!$C$4:$C$233,"nbis",FundRaw!$E$4:$E$233,"2026",FundRaw!$F$4:$F$233,"term_loan",FundRaw!$O$4:$O$233,1))=0,"",SUMIFS(FundRaw!$G$4:$G$233,FundRaw!$C$4:$C$233,"nbis",FundRaw!$E$4:$E$233,"2026",FundRaw!$F$4:$F$233,"term_loan",FundRaw!$O$4:$O$233,1))</f>
        <v/>
      </c>
      <c r="L24" s="32" t="str">
        <f aca="false">IF((COUNTIFS(FundRaw!$C$4:$C$233,"nbis",FundRaw!$E$4:$E$233,"2026",FundRaw!$F$4:$F$233,"gpu_debt",FundRaw!$O$4:$O$233,1))=0,"",SUMIFS(FundRaw!$G$4:$G$233,FundRaw!$C$4:$C$233,"nbis",FundRaw!$E$4:$E$233,"2026",FundRaw!$F$4:$F$233,"gpu_debt",FundRaw!$O$4:$O$233,1))</f>
        <v/>
      </c>
      <c r="M24" s="32" t="str">
        <f aca="false">IF((COUNTIFS(FundRaw!$C$4:$C$233,"nbis",FundRaw!$E$4:$E$233,"2026",FundRaw!$F$4:$F$233,"private_credit",FundRaw!$O$4:$O$233,1))=0,"",SUMIFS(FundRaw!$G$4:$G$233,FundRaw!$C$4:$C$233,"nbis",FundRaw!$E$4:$E$233,"2026",FundRaw!$F$4:$F$233,"private_credit",FundRaw!$O$4:$O$233,1))</f>
        <v/>
      </c>
      <c r="N24" s="32" t="str">
        <f aca="false">IF((COUNTIFS(FundRaw!$C$4:$C$233,"nbis",FundRaw!$E$4:$E$233,"2026",FundRaw!$F$4:$F$233,"net_debt_change",FundRaw!$O$4:$O$233,1))=0,"",SUMIFS(FundRaw!$G$4:$G$233,FundRaw!$C$4:$C$233,"nbis",FundRaw!$E$4:$E$233,"2026",FundRaw!$F$4:$F$233,"net_debt_change",FundRaw!$O$4:$O$233,1))</f>
        <v/>
      </c>
      <c r="O24" s="32" t="n">
        <f aca="false">IF((COUNTIFS(FundRaw!$C$4:$C$233,"nbis",FundRaw!$E$4:$E$233,"2026",FundRaw!$F$4:$F$233,"lease_not_commenced",FundRaw!$O$4:$O$233,1))=0,"",SUMIFS(FundRaw!$G$4:$G$233,FundRaw!$C$4:$C$233,"nbis",FundRaw!$E$4:$E$233,"2026",FundRaw!$F$4:$F$233,"lease_not_commenced",FundRaw!$O$4:$O$233,1))</f>
        <v>12.054</v>
      </c>
      <c r="P24" s="32" t="str">
        <f aca="false">IF((COUNTIFS(FundRaw!$C$4:$C$233,"nbis",FundRaw!$E$4:$E$233,"2026",FundRaw!$F$4:$F$233,"jv_offbalance",FundRaw!$O$4:$O$233,1))=0,"",SUMIFS(FundRaw!$G$4:$G$233,FundRaw!$C$4:$C$233,"nbis",FundRaw!$E$4:$E$233,"2026",FundRaw!$F$4:$F$233,"jv_offbalance",FundRaw!$O$4:$O$233,1))</f>
        <v/>
      </c>
      <c r="Q24" s="32" t="str">
        <f aca="false">IF((COUNTIFS(FundRaw!$C$4:$C$233,"nbis",FundRaw!$E$4:$E$233,"2026",FundRaw!$F$4:$F$233,"jv_exposure",FundRaw!$O$4:$O$233,1))=0,"",SUMIFS(FundRaw!$G$4:$G$233,FundRaw!$C$4:$C$233,"nbis",FundRaw!$E$4:$E$233,"2026",FundRaw!$F$4:$F$233,"jv_exposure",FundRaw!$O$4:$O$233,1))</f>
        <v/>
      </c>
      <c r="R24" s="32" t="n">
        <f aca="false">IF((COUNTIFS(FundRaw!$C$4:$C$233,"nbis",FundRaw!$E$4:$E$233,"2026",FundRaw!$F$4:$F$233,"equity_round",FundRaw!$O$4:$O$233,1))=0,"",SUMIFS(FundRaw!$G$4:$G$233,FundRaw!$C$4:$C$233,"nbis",FundRaw!$E$4:$E$233,"2026",FundRaw!$F$4:$F$233,"equity_round",FundRaw!$O$4:$O$233,1))</f>
        <v>4.811</v>
      </c>
      <c r="S24" s="32" t="str">
        <f aca="false">IF((COUNTIFS(FundRaw!$C$4:$C$233,"nbis",FundRaw!$E$4:$E$233,"2026",FundRaw!$F$4:$F$233,"vendor_financing",FundRaw!$O$4:$O$233,1))=0,"",SUMIFS(FundRaw!$G$4:$G$233,FundRaw!$C$4:$C$233,"nbis",FundRaw!$E$4:$E$233,"2026",FundRaw!$F$4:$F$233,"vendor_financing",FundRaw!$O$4:$O$233,1))</f>
        <v/>
      </c>
      <c r="T24" s="32" t="str">
        <f aca="false">IF((COUNTIFS(FundRaw!$C$4:$C$233,"nbis",FundRaw!$E$4:$E$233,"2026",FundRaw!$F$4:$F$233,"buyback_div",FundRaw!$O$4:$O$233,1))=0,"",SUMIFS(FundRaw!$G$4:$G$233,FundRaw!$C$4:$C$233,"nbis",FundRaw!$E$4:$E$233,"2026",FundRaw!$F$4:$F$233,"buyback_div",FundRaw!$O$4:$O$233,1))</f>
        <v/>
      </c>
      <c r="U24" s="32" t="str">
        <f aca="false">IF((COUNTIFS(FundRaw!$C$4:$C$233,"nbis",FundRaw!$E$4:$E$233,"2026",FundRaw!$F$4:$F$233,"gpu_debt_talks",FundRaw!$O$4:$O$233,1))=0,"",SUMIFS(FundRaw!$G$4:$G$233,FundRaw!$C$4:$C$233,"nbis",FundRaw!$E$4:$E$233,"2026",FundRaw!$F$4:$F$233,"gpu_debt_talks",FundRaw!$O$4:$O$233,1))</f>
        <v/>
      </c>
      <c r="V24" s="32" t="str">
        <f aca="false">IF((COUNTIFS(FundRaw!$C$4:$C$233,"nbis",FundRaw!$E$4:$E$233,"2026",FundRaw!$F$4:$F$233,"bridge_refi",FundRaw!$O$4:$O$233,1))=0,"",SUMIFS(FundRaw!$G$4:$G$233,FundRaw!$C$4:$C$233,"nbis",FundRaw!$E$4:$E$233,"2026",FundRaw!$F$4:$F$233,"bridge_refi",FundRaw!$O$4:$O$233,1))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  <c r="AL24" s="32" t="n">
        <f aca="false">N(J24)+N(K24)+N(L24)+N(M24)+IF(AND(H24&lt;&gt;"",F24&lt;&gt;""),MAX(0,H24-F24),N(G24))+N(P24)+N(R24)</f>
        <v>9.149</v>
      </c>
      <c r="AM24" s="37" t="n">
        <f aca="false">IF(OR(W24="",N(W24)=0),"",AL24/W24)</f>
        <v>1.12533825338253</v>
      </c>
      <c r="AN24" s="37" t="str">
        <f aca="false">IF(OR(W24="",N(W24)=0,E24=""),"",E24/W24)</f>
        <v/>
      </c>
      <c r="AO24" s="22" t="n">
        <f aca="false">IF(OR(W24="",N(W24)=0),"",(N(J24)+N(K24)+N(L24)+N(M24))/W24)</f>
        <v>0.533579335793358</v>
      </c>
      <c r="AP24" s="22" t="n">
        <f aca="false">IF(OR(W24="",N(W24)=0),"",N(R24)/W24)</f>
        <v>0.591758917589176</v>
      </c>
      <c r="AQ24" s="22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1638</v>
      </c>
      <c r="B25" s="0" t="s">
        <v>533</v>
      </c>
      <c r="C25" s="0" t="n">
        <v>2025</v>
      </c>
      <c r="D25" s="0" t="s">
        <v>1633</v>
      </c>
      <c r="E25" s="32" t="n">
        <f aca="false">IF((COUNTIFS(FundRaw!$C$4:$C$233,"xai",FundRaw!$E$4:$E$233,"2025",FundRaw!$F$4:$F$233,"ocf",FundRaw!$O$4:$O$233,1))=0,"",SUMIFS(FundRaw!$G$4:$G$233,FundRaw!$C$4:$C$233,"xai",FundRaw!$E$4:$E$233,"2025",FundRaw!$F$4:$F$233,"ocf",FundRaw!$O$4:$O$233,1))</f>
        <v>6.8</v>
      </c>
      <c r="F25" s="32" t="n">
        <f aca="false">IF((COUNTIFS(FundRaw!$C$4:$C$233,"xai",FundRaw!$E$4:$E$233,"2025",FundRaw!$F$4:$F$233,"capex_cash",FundRaw!$O$4:$O$233,1))=0,"",SUMIFS(FundRaw!$G$4:$G$233,FundRaw!$C$4:$C$233,"xai",FundRaw!$E$4:$E$233,"2025",FundRaw!$F$4:$F$233,"capex_cash",FundRaw!$O$4:$O$233,1))</f>
        <v>20.7</v>
      </c>
      <c r="G25" s="32" t="str">
        <f aca="false">IF((COUNTIFS(FundRaw!$C$4:$C$233,"xai",FundRaw!$E$4:$E$233,"2025",FundRaw!$F$4:$F$233,"fin_lease_new",FundRaw!$O$4:$O$233,1))=0,"",SUMIFS(FundRaw!$G$4:$G$233,FundRaw!$C$4:$C$233,"xai",FundRaw!$E$4:$E$233,"2025",FundRaw!$F$4:$F$233,"fin_lease_new",FundRaw!$O$4:$O$233,1))</f>
        <v/>
      </c>
      <c r="H25" s="32" t="str">
        <f aca="false">IF((COUNTIFS(FundRaw!$C$4:$C$233,"xai",FundRaw!$E$4:$E$233,"2025",FundRaw!$F$4:$F$233,"capex_incl_fl",FundRaw!$O$4:$O$233,1))=0,"",SUMIFS(FundRaw!$G$4:$G$233,FundRaw!$C$4:$C$233,"xai",FundRaw!$E$4:$E$233,"2025",FundRaw!$F$4:$F$233,"capex_incl_fl",FundRaw!$O$4:$O$233,1))</f>
        <v/>
      </c>
      <c r="I25" s="32" t="n">
        <f aca="false">IF((COUNTIFS(FundRaw!$C$4:$C$233,"xai",FundRaw!$E$4:$E$233,"2025",FundRaw!$F$4:$F$233,"fcf",FundRaw!$O$4:$O$233,1))=0,"",SUMIFS(FundRaw!$G$4:$G$233,FundRaw!$C$4:$C$233,"xai",FundRaw!$E$4:$E$233,"2025",FundRaw!$F$4:$F$233,"fcf",FundRaw!$O$4:$O$233,1))</f>
        <v>-13.9</v>
      </c>
      <c r="J25" s="32" t="str">
        <f aca="false">IF((COUNTIFS(FundRaw!$C$4:$C$233,"xai",FundRaw!$E$4:$E$233,"2025",FundRaw!$F$4:$F$233,"bond_issue",FundRaw!$O$4:$O$233,1))=0,"",SUMIFS(FundRaw!$G$4:$G$233,FundRaw!$C$4:$C$233,"xai",FundRaw!$E$4:$E$233,"2025",FundRaw!$F$4:$F$233,"bond_issue",FundRaw!$O$4:$O$233,1))</f>
        <v/>
      </c>
      <c r="K25" s="32" t="str">
        <f aca="false">IF((COUNTIFS(FundRaw!$C$4:$C$233,"xai",FundRaw!$E$4:$E$233,"2025",FundRaw!$F$4:$F$233,"term_loan",FundRaw!$O$4:$O$233,1))=0,"",SUMIFS(FundRaw!$G$4:$G$233,FundRaw!$C$4:$C$233,"xai",FundRaw!$E$4:$E$233,"2025",FundRaw!$F$4:$F$233,"term_loan",FundRaw!$O$4:$O$233,1))</f>
        <v/>
      </c>
      <c r="L25" s="32" t="n">
        <f aca="false">IF((COUNTIFS(FundRaw!$C$4:$C$233,"xai",FundRaw!$E$4:$E$233,"2025",FundRaw!$F$4:$F$233,"gpu_debt",FundRaw!$O$4:$O$233,1))=0,"",SUMIFS(FundRaw!$G$4:$G$233,FundRaw!$C$4:$C$233,"xai",FundRaw!$E$4:$E$233,"2025",FundRaw!$F$4:$F$233,"gpu_debt",FundRaw!$O$4:$O$233,1))</f>
        <v>16</v>
      </c>
      <c r="M25" s="32" t="str">
        <f aca="false">IF((COUNTIFS(FundRaw!$C$4:$C$233,"xai",FundRaw!$E$4:$E$233,"2025",FundRaw!$F$4:$F$233,"private_credit",FundRaw!$O$4:$O$233,1))=0,"",SUMIFS(FundRaw!$G$4:$G$233,FundRaw!$C$4:$C$233,"xai",FundRaw!$E$4:$E$233,"2025",FundRaw!$F$4:$F$233,"private_credit",FundRaw!$O$4:$O$233,1))</f>
        <v/>
      </c>
      <c r="N25" s="32" t="str">
        <f aca="false">IF((COUNTIFS(FundRaw!$C$4:$C$233,"xai",FundRaw!$E$4:$E$233,"2025",FundRaw!$F$4:$F$233,"net_debt_change",FundRaw!$O$4:$O$233,1))=0,"",SUMIFS(FundRaw!$G$4:$G$233,FundRaw!$C$4:$C$233,"xai",FundRaw!$E$4:$E$233,"2025",FundRaw!$F$4:$F$233,"net_debt_change",FundRaw!$O$4:$O$233,1))</f>
        <v/>
      </c>
      <c r="O25" s="32" t="str">
        <f aca="false">IF((COUNTIFS(FundRaw!$C$4:$C$233,"xai",FundRaw!$E$4:$E$233,"2025",FundRaw!$F$4:$F$233,"lease_not_commenced",FundRaw!$O$4:$O$233,1))=0,"",SUMIFS(FundRaw!$G$4:$G$233,FundRaw!$C$4:$C$233,"xai",FundRaw!$E$4:$E$233,"2025",FundRaw!$F$4:$F$233,"lease_not_commenced",FundRaw!$O$4:$O$233,1))</f>
        <v/>
      </c>
      <c r="P25" s="32" t="str">
        <f aca="false">IF((COUNTIFS(FundRaw!$C$4:$C$233,"xai",FundRaw!$E$4:$E$233,"2025",FundRaw!$F$4:$F$233,"jv_offbalance",FundRaw!$O$4:$O$233,1))=0,"",SUMIFS(FundRaw!$G$4:$G$233,FundRaw!$C$4:$C$233,"xai",FundRaw!$E$4:$E$233,"2025",FundRaw!$F$4:$F$233,"jv_offbalance",FundRaw!$O$4:$O$233,1))</f>
        <v/>
      </c>
      <c r="Q25" s="32" t="str">
        <f aca="false">IF((COUNTIFS(FundRaw!$C$4:$C$233,"xai",FundRaw!$E$4:$E$233,"2025",FundRaw!$F$4:$F$233,"jv_exposure",FundRaw!$O$4:$O$233,1))=0,"",SUMIFS(FundRaw!$G$4:$G$233,FundRaw!$C$4:$C$233,"xai",FundRaw!$E$4:$E$233,"2025",FundRaw!$F$4:$F$233,"jv_exposure",FundRaw!$O$4:$O$233,1))</f>
        <v/>
      </c>
      <c r="R25" s="32" t="str">
        <f aca="false">IF((COUNTIFS(FundRaw!$C$4:$C$233,"xai",FundRaw!$E$4:$E$233,"2025",FundRaw!$F$4:$F$233,"equity_round",FundRaw!$O$4:$O$233,1))=0,"",SUMIFS(FundRaw!$G$4:$G$233,FundRaw!$C$4:$C$233,"xai",FundRaw!$E$4:$E$233,"2025",FundRaw!$F$4:$F$233,"equity_round",FundRaw!$O$4:$O$233,1))</f>
        <v/>
      </c>
      <c r="S25" s="32" t="str">
        <f aca="false">IF((COUNTIFS(FundRaw!$C$4:$C$233,"xai",FundRaw!$E$4:$E$233,"2025",FundRaw!$F$4:$F$233,"vendor_financing",FundRaw!$O$4:$O$233,1))=0,"",SUMIFS(FundRaw!$G$4:$G$233,FundRaw!$C$4:$C$233,"xai",FundRaw!$E$4:$E$233,"2025",FundRaw!$F$4:$F$233,"vendor_financing",FundRaw!$O$4:$O$233,1))</f>
        <v/>
      </c>
      <c r="T25" s="32" t="str">
        <f aca="false">IF((COUNTIFS(FundRaw!$C$4:$C$233,"xai",FundRaw!$E$4:$E$233,"2025",FundRaw!$F$4:$F$233,"buyback_div",FundRaw!$O$4:$O$233,1))=0,"",SUMIFS(FundRaw!$G$4:$G$233,FundRaw!$C$4:$C$233,"xai",FundRaw!$E$4:$E$233,"2025",FundRaw!$F$4:$F$233,"buyback_div",FundRaw!$O$4:$O$233,1))</f>
        <v/>
      </c>
      <c r="U25" s="32" t="str">
        <f aca="false">IF((COUNTIFS(FundRaw!$C$4:$C$233,"xai",FundRaw!$E$4:$E$233,"2025",FundRaw!$F$4:$F$233,"gpu_debt_talks",FundRaw!$O$4:$O$233,1))=0,"",SUMIFS(FundRaw!$G$4:$G$233,FundRaw!$C$4:$C$233,"xai",FundRaw!$E$4:$E$233,"2025",FundRaw!$F$4:$F$233,"gpu_debt_talks",FundRaw!$O$4:$O$233,1))</f>
        <v/>
      </c>
      <c r="V25" s="32" t="str">
        <f aca="false">IF((COUNTIFS(FundRaw!$C$4:$C$233,"xai",FundRaw!$E$4:$E$233,"2025",FundRaw!$F$4:$F$233,"bridge_refi",FundRaw!$O$4:$O$233,1))=0,"",SUMIFS(FundRaw!$G$4:$G$233,FundRaw!$C$4:$C$233,"xai",FundRaw!$E$4:$E$233,"2025",FundRaw!$F$4:$F$233,"bridge_refi",FundRaw!$O$4:$O$233,1))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13.9</v>
      </c>
      <c r="AB25" s="32" t="n">
        <f aca="false">IF(W25="","",W25-N(X25)-N(Y25)-N(Z25)-N(AA25))</f>
        <v>0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0.671497584541063</v>
      </c>
      <c r="AG25" s="37" t="n">
        <f aca="false">IF(OR(W25="",N(W25)=0,AB25=""),"",AB25/W25)</f>
        <v>0</v>
      </c>
      <c r="AH25" s="32" t="n">
        <f aca="false">N(J25)+N(K25)+N(L25)+N(M25)+N(R25)+N(G25)</f>
        <v>16</v>
      </c>
      <c r="AI25" s="22" t="n">
        <f aca="false">IF(N(AH25)=0,"",(N(J25)+N(K25)+N(L25)+N(M25))/AH25)</f>
        <v>1</v>
      </c>
      <c r="AJ25" s="22" t="n">
        <f aca="false">IF(N(AH25)=0,"",(N(R25))/AH25)</f>
        <v>0</v>
      </c>
      <c r="AK25" s="22" t="n">
        <f aca="false">IF(N(AH25)=0,"",(N(G25))/AH25)</f>
        <v>0</v>
      </c>
      <c r="AL25" s="32" t="n">
        <f aca="false">N(J25)+N(K25)+N(L25)+N(M25)+IF(AND(H25&lt;&gt;"",F25&lt;&gt;""),MAX(0,H25-F25),N(G25))+N(P25)+N(R25)</f>
        <v>16</v>
      </c>
      <c r="AM25" s="37" t="n">
        <f aca="false">IF(OR(W25="",N(W25)=0),"",AL25/W25)</f>
        <v>0.772946859903382</v>
      </c>
      <c r="AN25" s="37" t="n">
        <f aca="false">IF(OR(W25="",N(W25)=0,E25=""),"",E25/W25)</f>
        <v>0.328502415458937</v>
      </c>
      <c r="AO25" s="22" t="n">
        <f aca="false">IF(OR(W25="",N(W25)=0),"",(N(J25)+N(K25)+N(L25)+N(M25))/W25)</f>
        <v>0.772946859903382</v>
      </c>
      <c r="AP25" s="22" t="n">
        <f aca="false">IF(OR(W25="",N(W25)=0),"",N(R25)/W25)</f>
        <v>0</v>
      </c>
      <c r="AQ25" s="22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1638</v>
      </c>
      <c r="B26" s="0" t="s">
        <v>533</v>
      </c>
      <c r="C26" s="0" t="n">
        <v>2026</v>
      </c>
      <c r="D26" s="0" t="s">
        <v>1634</v>
      </c>
      <c r="E26" s="32" t="n">
        <f aca="false">IF((COUNTIFS(FundRaw!$C$4:$C$233,"xai",FundRaw!$E$4:$E$233,"2026",FundRaw!$F$4:$F$233,"ocf",FundRaw!$O$4:$O$233,1))=0,"",SUMIFS(FundRaw!$G$4:$G$233,FundRaw!$C$4:$C$233,"xai",FundRaw!$E$4:$E$233,"2026",FundRaw!$F$4:$F$233,"ocf",FundRaw!$O$4:$O$233,1))</f>
        <v>3.47</v>
      </c>
      <c r="F26" s="32" t="n">
        <f aca="false">IF((COUNTIFS(FundRaw!$C$4:$C$233,"xai",FundRaw!$E$4:$E$233,"2026",FundRaw!$F$4:$F$233,"capex_cash",FundRaw!$O$4:$O$233,1))=0,"",SUMIFS(FundRaw!$G$4:$G$233,FundRaw!$C$4:$C$233,"xai",FundRaw!$E$4:$E$233,"2026",FundRaw!$F$4:$F$233,"capex_cash",FundRaw!$O$4:$O$233,1))</f>
        <v>28.5</v>
      </c>
      <c r="G26" s="32" t="str">
        <f aca="false">IF((COUNTIFS(FundRaw!$C$4:$C$233,"xai",FundRaw!$E$4:$E$233,"2026",FundRaw!$F$4:$F$233,"fin_lease_new",FundRaw!$O$4:$O$233,1))=0,"",SUMIFS(FundRaw!$G$4:$G$233,FundRaw!$C$4:$C$233,"xai",FundRaw!$E$4:$E$233,"2026",FundRaw!$F$4:$F$233,"fin_lease_new",FundRaw!$O$4:$O$233,1))</f>
        <v/>
      </c>
      <c r="H26" s="32" t="str">
        <f aca="false">IF((COUNTIFS(FundRaw!$C$4:$C$233,"xai",FundRaw!$E$4:$E$233,"2026",FundRaw!$F$4:$F$233,"capex_incl_fl",FundRaw!$O$4:$O$233,1))=0,"",SUMIFS(FundRaw!$G$4:$G$233,FundRaw!$C$4:$C$233,"xai",FundRaw!$E$4:$E$233,"2026",FundRaw!$F$4:$F$233,"capex_incl_fl",FundRaw!$O$4:$O$233,1))</f>
        <v/>
      </c>
      <c r="I26" s="32" t="str">
        <f aca="false">IF((COUNTIFS(FundRaw!$C$4:$C$233,"xai",FundRaw!$E$4:$E$233,"2026",FundRaw!$F$4:$F$233,"fcf",FundRaw!$O$4:$O$233,1))=0,"",SUMIFS(FundRaw!$G$4:$G$233,FundRaw!$C$4:$C$233,"xai",FundRaw!$E$4:$E$233,"2026",FundRaw!$F$4:$F$233,"fcf",FundRaw!$O$4:$O$233,1))</f>
        <v/>
      </c>
      <c r="J26" s="32" t="n">
        <f aca="false">IF((COUNTIFS(FundRaw!$C$4:$C$233,"xai",FundRaw!$E$4:$E$233,"2026",FundRaw!$F$4:$F$233,"bond_issue",FundRaw!$O$4:$O$233,1))=0,"",SUMIFS(FundRaw!$G$4:$G$233,FundRaw!$C$4:$C$233,"xai",FundRaw!$E$4:$E$233,"2026",FundRaw!$F$4:$F$233,"bond_issue",FundRaw!$O$4:$O$233,1))</f>
        <v>25</v>
      </c>
      <c r="K26" s="32" t="str">
        <f aca="false">IF((COUNTIFS(FundRaw!$C$4:$C$233,"xai",FundRaw!$E$4:$E$233,"2026",FundRaw!$F$4:$F$233,"term_loan",FundRaw!$O$4:$O$233,1))=0,"",SUMIFS(FundRaw!$G$4:$G$233,FundRaw!$C$4:$C$233,"xai",FundRaw!$E$4:$E$233,"2026",FundRaw!$F$4:$F$233,"term_loan",FundRaw!$O$4:$O$233,1))</f>
        <v/>
      </c>
      <c r="L26" s="32" t="str">
        <f aca="false">IF((COUNTIFS(FundRaw!$C$4:$C$233,"xai",FundRaw!$E$4:$E$233,"2026",FundRaw!$F$4:$F$233,"gpu_debt",FundRaw!$O$4:$O$233,1))=0,"",SUMIFS(FundRaw!$G$4:$G$233,FundRaw!$C$4:$C$233,"xai",FundRaw!$E$4:$E$233,"2026",FundRaw!$F$4:$F$233,"gpu_debt",FundRaw!$O$4:$O$233,1))</f>
        <v/>
      </c>
      <c r="M26" s="32" t="str">
        <f aca="false">IF((COUNTIFS(FundRaw!$C$4:$C$233,"xai",FundRaw!$E$4:$E$233,"2026",FundRaw!$F$4:$F$233,"private_credit",FundRaw!$O$4:$O$233,1))=0,"",SUMIFS(FundRaw!$G$4:$G$233,FundRaw!$C$4:$C$233,"xai",FundRaw!$E$4:$E$233,"2026",FundRaw!$F$4:$F$233,"private_credit",FundRaw!$O$4:$O$233,1))</f>
        <v/>
      </c>
      <c r="N26" s="32" t="str">
        <f aca="false">IF((COUNTIFS(FundRaw!$C$4:$C$233,"xai",FundRaw!$E$4:$E$233,"2026",FundRaw!$F$4:$F$233,"net_debt_change",FundRaw!$O$4:$O$233,1))=0,"",SUMIFS(FundRaw!$G$4:$G$233,FundRaw!$C$4:$C$233,"xai",FundRaw!$E$4:$E$233,"2026",FundRaw!$F$4:$F$233,"net_debt_change",FundRaw!$O$4:$O$233,1))</f>
        <v/>
      </c>
      <c r="O26" s="32" t="str">
        <f aca="false">IF((COUNTIFS(FundRaw!$C$4:$C$233,"xai",FundRaw!$E$4:$E$233,"2026",FundRaw!$F$4:$F$233,"lease_not_commenced",FundRaw!$O$4:$O$233,1))=0,"",SUMIFS(FundRaw!$G$4:$G$233,FundRaw!$C$4:$C$233,"xai",FundRaw!$E$4:$E$233,"2026",FundRaw!$F$4:$F$233,"lease_not_commenced",FundRaw!$O$4:$O$233,1))</f>
        <v/>
      </c>
      <c r="P26" s="32" t="str">
        <f aca="false">IF((COUNTIFS(FundRaw!$C$4:$C$233,"xai",FundRaw!$E$4:$E$233,"2026",FundRaw!$F$4:$F$233,"jv_offbalance",FundRaw!$O$4:$O$233,1))=0,"",SUMIFS(FundRaw!$G$4:$G$233,FundRaw!$C$4:$C$233,"xai",FundRaw!$E$4:$E$233,"2026",FundRaw!$F$4:$F$233,"jv_offbalance",FundRaw!$O$4:$O$233,1))</f>
        <v/>
      </c>
      <c r="Q26" s="32" t="str">
        <f aca="false">IF((COUNTIFS(FundRaw!$C$4:$C$233,"xai",FundRaw!$E$4:$E$233,"2026",FundRaw!$F$4:$F$233,"jv_exposure",FundRaw!$O$4:$O$233,1))=0,"",SUMIFS(FundRaw!$G$4:$G$233,FundRaw!$C$4:$C$233,"xai",FundRaw!$E$4:$E$233,"2026",FundRaw!$F$4:$F$233,"jv_exposure",FundRaw!$O$4:$O$233,1))</f>
        <v/>
      </c>
      <c r="R26" s="32" t="n">
        <f aca="false">IF((COUNTIFS(FundRaw!$C$4:$C$233,"xai",FundRaw!$E$4:$E$233,"2026",FundRaw!$F$4:$F$233,"equity_round",FundRaw!$O$4:$O$233,1))=0,"",SUMIFS(FundRaw!$G$4:$G$233,FundRaw!$C$4:$C$233,"xai",FundRaw!$E$4:$E$233,"2026",FundRaw!$F$4:$F$233,"equity_round",FundRaw!$O$4:$O$233,1))</f>
        <v>75</v>
      </c>
      <c r="S26" s="32" t="str">
        <f aca="false">IF((COUNTIFS(FundRaw!$C$4:$C$233,"xai",FundRaw!$E$4:$E$233,"2026",FundRaw!$F$4:$F$233,"vendor_financing",FundRaw!$O$4:$O$233,1))=0,"",SUMIFS(FundRaw!$G$4:$G$233,FundRaw!$C$4:$C$233,"xai",FundRaw!$E$4:$E$233,"2026",FundRaw!$F$4:$F$233,"vendor_financing",FundRaw!$O$4:$O$233,1))</f>
        <v/>
      </c>
      <c r="T26" s="32" t="str">
        <f aca="false">IF((COUNTIFS(FundRaw!$C$4:$C$233,"xai",FundRaw!$E$4:$E$233,"2026",FundRaw!$F$4:$F$233,"buyback_div",FundRaw!$O$4:$O$233,1))=0,"",SUMIFS(FundRaw!$G$4:$G$233,FundRaw!$C$4:$C$233,"xai",FundRaw!$E$4:$E$233,"2026",FundRaw!$F$4:$F$233,"buyback_div",FundRaw!$O$4:$O$233,1))</f>
        <v/>
      </c>
      <c r="U26" s="32" t="str">
        <f aca="false">IF((COUNTIFS(FundRaw!$C$4:$C$233,"xai",FundRaw!$E$4:$E$233,"2026",FundRaw!$F$4:$F$233,"gpu_debt_talks",FundRaw!$O$4:$O$233,1))=0,"",SUMIFS(FundRaw!$G$4:$G$233,FundRaw!$C$4:$C$233,"xai",FundRaw!$E$4:$E$233,"2026",FundRaw!$F$4:$F$233,"gpu_debt_talks",FundRaw!$O$4:$O$233,1))</f>
        <v/>
      </c>
      <c r="V26" s="32" t="n">
        <f aca="false">IF((COUNTIFS(FundRaw!$C$4:$C$233,"xai",FundRaw!$E$4:$E$233,"2026",FundRaw!$F$4:$F$233,"bridge_refi",FundRaw!$O$4:$O$233,1))=0,"",SUMIFS(FundRaw!$G$4:$G$233,FundRaw!$C$4:$C$233,"xai",FundRaw!$E$4:$E$233,"2026",FundRaw!$F$4:$F$233,"bridge_refi",FundRaw!$O$4:$O$233,1))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  <c r="AL26" s="32" t="n">
        <f aca="false">N(J26)+N(K26)+N(L26)+N(M26)+IF(AND(H26&lt;&gt;"",F26&lt;&gt;""),MAX(0,H26-F26),N(G26))+N(P26)+N(R26)</f>
        <v>100</v>
      </c>
      <c r="AM26" s="37" t="n">
        <f aca="false">IF(OR(W26="",N(W26)=0),"",AL26/W26)</f>
        <v>3.50877192982456</v>
      </c>
      <c r="AN26" s="37" t="n">
        <f aca="false">IF(OR(W26="",N(W26)=0,E26=""),"",E26/W26)</f>
        <v>0.121754385964912</v>
      </c>
      <c r="AO26" s="22" t="n">
        <f aca="false">IF(OR(W26="",N(W26)=0),"",(N(J26)+N(K26)+N(L26)+N(M26))/W26)</f>
        <v>0.87719298245614</v>
      </c>
      <c r="AP26" s="22" t="n">
        <f aca="false">IF(OR(W26="",N(W26)=0),"",N(R26)/W26)</f>
        <v>2.63157894736842</v>
      </c>
      <c r="AQ26" s="22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1235</v>
      </c>
      <c r="B27" s="0" t="s">
        <v>529</v>
      </c>
      <c r="C27" s="0" t="n">
        <v>2025</v>
      </c>
      <c r="D27" s="0" t="s">
        <v>1633</v>
      </c>
      <c r="E27" s="32" t="str">
        <f aca="false">IF((COUNTIFS(FundRaw!$C$4:$C$233,"oai",FundRaw!$E$4:$E$233,"2025",FundRaw!$F$4:$F$233,"ocf",FundRaw!$O$4:$O$233,1))=0,"",SUMIFS(FundRaw!$G$4:$G$233,FundRaw!$C$4:$C$233,"oai",FundRaw!$E$4:$E$233,"2025",FundRaw!$F$4:$F$233,"ocf",FundRaw!$O$4:$O$233,1))</f>
        <v/>
      </c>
      <c r="F27" s="32" t="str">
        <f aca="false">IF((COUNTIFS(FundRaw!$C$4:$C$233,"oai",FundRaw!$E$4:$E$233,"2025",FundRaw!$F$4:$F$233,"capex_cash",FundRaw!$O$4:$O$233,1))=0,"",SUMIFS(FundRaw!$G$4:$G$233,FundRaw!$C$4:$C$233,"oai",FundRaw!$E$4:$E$233,"2025",FundRaw!$F$4:$F$233,"capex_cash",FundRaw!$O$4:$O$233,1))</f>
        <v/>
      </c>
      <c r="G27" s="32" t="str">
        <f aca="false">IF((COUNTIFS(FundRaw!$C$4:$C$233,"oai",FundRaw!$E$4:$E$233,"2025",FundRaw!$F$4:$F$233,"fin_lease_new",FundRaw!$O$4:$O$233,1))=0,"",SUMIFS(FundRaw!$G$4:$G$233,FundRaw!$C$4:$C$233,"oai",FundRaw!$E$4:$E$233,"2025",FundRaw!$F$4:$F$233,"fin_lease_new",FundRaw!$O$4:$O$233,1))</f>
        <v/>
      </c>
      <c r="H27" s="32" t="str">
        <f aca="false">IF((COUNTIFS(FundRaw!$C$4:$C$233,"oai",FundRaw!$E$4:$E$233,"2025",FundRaw!$F$4:$F$233,"capex_incl_fl",FundRaw!$O$4:$O$233,1))=0,"",SUMIFS(FundRaw!$G$4:$G$233,FundRaw!$C$4:$C$233,"oai",FundRaw!$E$4:$E$233,"2025",FundRaw!$F$4:$F$233,"capex_incl_fl",FundRaw!$O$4:$O$233,1))</f>
        <v/>
      </c>
      <c r="I27" s="32" t="n">
        <f aca="false">IF((COUNTIFS(FundRaw!$C$4:$C$233,"oai",FundRaw!$E$4:$E$233,"2025",FundRaw!$F$4:$F$233,"fcf",FundRaw!$O$4:$O$233,1))=0,"",SUMIFS(FundRaw!$G$4:$G$233,FundRaw!$C$4:$C$233,"oai",FundRaw!$E$4:$E$233,"2025",FundRaw!$F$4:$F$233,"fcf",FundRaw!$O$4:$O$233,1))</f>
        <v>-8</v>
      </c>
      <c r="J27" s="32" t="str">
        <f aca="false">IF((COUNTIFS(FundRaw!$C$4:$C$233,"oai",FundRaw!$E$4:$E$233,"2025",FundRaw!$F$4:$F$233,"bond_issue",FundRaw!$O$4:$O$233,1))=0,"",SUMIFS(FundRaw!$G$4:$G$233,FundRaw!$C$4:$C$233,"oai",FundRaw!$E$4:$E$233,"2025",FundRaw!$F$4:$F$233,"bond_issue",FundRaw!$O$4:$O$233,1))</f>
        <v/>
      </c>
      <c r="K27" s="32" t="str">
        <f aca="false">IF((COUNTIFS(FundRaw!$C$4:$C$233,"oai",FundRaw!$E$4:$E$233,"2025",FundRaw!$F$4:$F$233,"term_loan",FundRaw!$O$4:$O$233,1))=0,"",SUMIFS(FundRaw!$G$4:$G$233,FundRaw!$C$4:$C$233,"oai",FundRaw!$E$4:$E$233,"2025",FundRaw!$F$4:$F$233,"term_loan",FundRaw!$O$4:$O$233,1))</f>
        <v/>
      </c>
      <c r="L27" s="32" t="str">
        <f aca="false">IF((COUNTIFS(FundRaw!$C$4:$C$233,"oai",FundRaw!$E$4:$E$233,"2025",FundRaw!$F$4:$F$233,"gpu_debt",FundRaw!$O$4:$O$233,1))=0,"",SUMIFS(FundRaw!$G$4:$G$233,FundRaw!$C$4:$C$233,"oai",FundRaw!$E$4:$E$233,"2025",FundRaw!$F$4:$F$233,"gpu_debt",FundRaw!$O$4:$O$233,1))</f>
        <v/>
      </c>
      <c r="M27" s="32" t="str">
        <f aca="false">IF((COUNTIFS(FundRaw!$C$4:$C$233,"oai",FundRaw!$E$4:$E$233,"2025",FundRaw!$F$4:$F$233,"private_credit",FundRaw!$O$4:$O$233,1))=0,"",SUMIFS(FundRaw!$G$4:$G$233,FundRaw!$C$4:$C$233,"oai",FundRaw!$E$4:$E$233,"2025",FundRaw!$F$4:$F$233,"private_credit",FundRaw!$O$4:$O$233,1))</f>
        <v/>
      </c>
      <c r="N27" s="32" t="str">
        <f aca="false">IF((COUNTIFS(FundRaw!$C$4:$C$233,"oai",FundRaw!$E$4:$E$233,"2025",FundRaw!$F$4:$F$233,"net_debt_change",FundRaw!$O$4:$O$233,1))=0,"",SUMIFS(FundRaw!$G$4:$G$233,FundRaw!$C$4:$C$233,"oai",FundRaw!$E$4:$E$233,"2025",FundRaw!$F$4:$F$233,"net_debt_change",FundRaw!$O$4:$O$233,1))</f>
        <v/>
      </c>
      <c r="O27" s="32" t="str">
        <f aca="false">IF((COUNTIFS(FundRaw!$C$4:$C$233,"oai",FundRaw!$E$4:$E$233,"2025",FundRaw!$F$4:$F$233,"lease_not_commenced",FundRaw!$O$4:$O$233,1))=0,"",SUMIFS(FundRaw!$G$4:$G$233,FundRaw!$C$4:$C$233,"oai",FundRaw!$E$4:$E$233,"2025",FundRaw!$F$4:$F$233,"lease_not_commenced",FundRaw!$O$4:$O$233,1))</f>
        <v/>
      </c>
      <c r="P27" s="32" t="str">
        <f aca="false">IF((COUNTIFS(FundRaw!$C$4:$C$233,"oai",FundRaw!$E$4:$E$233,"2025",FundRaw!$F$4:$F$233,"jv_offbalance",FundRaw!$O$4:$O$233,1))=0,"",SUMIFS(FundRaw!$G$4:$G$233,FundRaw!$C$4:$C$233,"oai",FundRaw!$E$4:$E$233,"2025",FundRaw!$F$4:$F$233,"jv_offbalance",FundRaw!$O$4:$O$233,1))</f>
        <v/>
      </c>
      <c r="Q27" s="32" t="str">
        <f aca="false">IF((COUNTIFS(FundRaw!$C$4:$C$233,"oai",FundRaw!$E$4:$E$233,"2025",FundRaw!$F$4:$F$233,"jv_exposure",FundRaw!$O$4:$O$233,1))=0,"",SUMIFS(FundRaw!$G$4:$G$233,FundRaw!$C$4:$C$233,"oai",FundRaw!$E$4:$E$233,"2025",FundRaw!$F$4:$F$233,"jv_exposure",FundRaw!$O$4:$O$233,1))</f>
        <v/>
      </c>
      <c r="R27" s="32" t="str">
        <f aca="false">IF((COUNTIFS(FundRaw!$C$4:$C$233,"oai",FundRaw!$E$4:$E$233,"2025",FundRaw!$F$4:$F$233,"equity_round",FundRaw!$O$4:$O$233,1))=0,"",SUMIFS(FundRaw!$G$4:$G$233,FundRaw!$C$4:$C$233,"oai",FundRaw!$E$4:$E$233,"2025",FundRaw!$F$4:$F$233,"equity_round",FundRaw!$O$4:$O$233,1))</f>
        <v/>
      </c>
      <c r="S27" s="32" t="str">
        <f aca="false">IF((COUNTIFS(FundRaw!$C$4:$C$233,"oai",FundRaw!$E$4:$E$233,"2025",FundRaw!$F$4:$F$233,"vendor_financing",FundRaw!$O$4:$O$233,1))=0,"",SUMIFS(FundRaw!$G$4:$G$233,FundRaw!$C$4:$C$233,"oai",FundRaw!$E$4:$E$233,"2025",FundRaw!$F$4:$F$233,"vendor_financing",FundRaw!$O$4:$O$233,1))</f>
        <v/>
      </c>
      <c r="T27" s="32" t="str">
        <f aca="false">IF((COUNTIFS(FundRaw!$C$4:$C$233,"oai",FundRaw!$E$4:$E$233,"2025",FundRaw!$F$4:$F$233,"buyback_div",FundRaw!$O$4:$O$233,1))=0,"",SUMIFS(FundRaw!$G$4:$G$233,FundRaw!$C$4:$C$233,"oai",FundRaw!$E$4:$E$233,"2025",FundRaw!$F$4:$F$233,"buyback_div",FundRaw!$O$4:$O$233,1))</f>
        <v/>
      </c>
      <c r="U27" s="32" t="str">
        <f aca="false">IF((COUNTIFS(FundRaw!$C$4:$C$233,"oai",FundRaw!$E$4:$E$233,"2025",FundRaw!$F$4:$F$233,"gpu_debt_talks",FundRaw!$O$4:$O$233,1))=0,"",SUMIFS(FundRaw!$G$4:$G$233,FundRaw!$C$4:$C$233,"oai",FundRaw!$E$4:$E$233,"2025",FundRaw!$F$4:$F$233,"gpu_debt_talks",FundRaw!$O$4:$O$233,1))</f>
        <v/>
      </c>
      <c r="V27" s="32" t="str">
        <f aca="false">IF((COUNTIFS(FundRaw!$C$4:$C$233,"oai",FundRaw!$E$4:$E$233,"2025",FundRaw!$F$4:$F$233,"bridge_refi",FundRaw!$O$4:$O$233,1))=0,"",SUMIFS(FundRaw!$G$4:$G$233,FundRaw!$C$4:$C$233,"oai",FundRaw!$E$4:$E$233,"2025",FundRaw!$F$4:$F$233,"bridge_refi",FundRaw!$O$4:$O$233,1))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  <c r="AL27" s="32" t="n">
        <f aca="false">N(J27)+N(K27)+N(L27)+N(M27)+IF(AND(H27&lt;&gt;"",F27&lt;&gt;""),MAX(0,H27-F27),N(G27))+N(P27)+N(R27)</f>
        <v>0</v>
      </c>
      <c r="AM27" s="37" t="str">
        <f aca="false">IF(OR(W27="",N(W27)=0),"",AL27/W27)</f>
        <v/>
      </c>
      <c r="AN27" s="37" t="str">
        <f aca="false">IF(OR(W27="",N(W27)=0,E27=""),"",E27/W27)</f>
        <v/>
      </c>
      <c r="AO27" s="22" t="str">
        <f aca="false">IF(OR(W27="",N(W27)=0),"",(N(J27)+N(K27)+N(L27)+N(M27))/W27)</f>
        <v/>
      </c>
      <c r="AP27" s="22" t="str">
        <f aca="false">IF(OR(W27="",N(W27)=0),"",N(R27)/W27)</f>
        <v/>
      </c>
      <c r="AQ27" s="22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1235</v>
      </c>
      <c r="B28" s="0" t="s">
        <v>529</v>
      </c>
      <c r="C28" s="0" t="n">
        <v>2026</v>
      </c>
      <c r="D28" s="0" t="s">
        <v>1639</v>
      </c>
      <c r="E28" s="32" t="str">
        <f aca="false">IF((COUNTIFS(FundRaw!$C$4:$C$233,"oai",FundRaw!$E$4:$E$233,"2026",FundRaw!$F$4:$F$233,"ocf",FundRaw!$O$4:$O$233,1))=0,"",SUMIFS(FundRaw!$G$4:$G$233,FundRaw!$C$4:$C$233,"oai",FundRaw!$E$4:$E$233,"2026",FundRaw!$F$4:$F$233,"ocf",FundRaw!$O$4:$O$233,1))</f>
        <v/>
      </c>
      <c r="F28" s="32" t="str">
        <f aca="false">IF((COUNTIFS(FundRaw!$C$4:$C$233,"oai",FundRaw!$E$4:$E$233,"2026",FundRaw!$F$4:$F$233,"capex_cash",FundRaw!$O$4:$O$233,1))=0,"",SUMIFS(FundRaw!$G$4:$G$233,FundRaw!$C$4:$C$233,"oai",FundRaw!$E$4:$E$233,"2026",FundRaw!$F$4:$F$233,"capex_cash",FundRaw!$O$4:$O$233,1))</f>
        <v/>
      </c>
      <c r="G28" s="32" t="str">
        <f aca="false">IF((COUNTIFS(FundRaw!$C$4:$C$233,"oai",FundRaw!$E$4:$E$233,"2026",FundRaw!$F$4:$F$233,"fin_lease_new",FundRaw!$O$4:$O$233,1))=0,"",SUMIFS(FundRaw!$G$4:$G$233,FundRaw!$C$4:$C$233,"oai",FundRaw!$E$4:$E$233,"2026",FundRaw!$F$4:$F$233,"fin_lease_new",FundRaw!$O$4:$O$233,1))</f>
        <v/>
      </c>
      <c r="H28" s="32" t="str">
        <f aca="false">IF((COUNTIFS(FundRaw!$C$4:$C$233,"oai",FundRaw!$E$4:$E$233,"2026",FundRaw!$F$4:$F$233,"capex_incl_fl",FundRaw!$O$4:$O$233,1))=0,"",SUMIFS(FundRaw!$G$4:$G$233,FundRaw!$C$4:$C$233,"oai",FundRaw!$E$4:$E$233,"2026",FundRaw!$F$4:$F$233,"capex_incl_fl",FundRaw!$O$4:$O$233,1))</f>
        <v/>
      </c>
      <c r="I28" s="32" t="str">
        <f aca="false">IF((COUNTIFS(FundRaw!$C$4:$C$233,"oai",FundRaw!$E$4:$E$233,"2026",FundRaw!$F$4:$F$233,"fcf",FundRaw!$O$4:$O$233,1))=0,"",SUMIFS(FundRaw!$G$4:$G$233,FundRaw!$C$4:$C$233,"oai",FundRaw!$E$4:$E$233,"2026",FundRaw!$F$4:$F$233,"fcf",FundRaw!$O$4:$O$233,1))</f>
        <v/>
      </c>
      <c r="J28" s="32" t="str">
        <f aca="false">IF((COUNTIFS(FundRaw!$C$4:$C$233,"oai",FundRaw!$E$4:$E$233,"2026",FundRaw!$F$4:$F$233,"bond_issue",FundRaw!$O$4:$O$233,1))=0,"",SUMIFS(FundRaw!$G$4:$G$233,FundRaw!$C$4:$C$233,"oai",FundRaw!$E$4:$E$233,"2026",FundRaw!$F$4:$F$233,"bond_issue",FundRaw!$O$4:$O$233,1))</f>
        <v/>
      </c>
      <c r="K28" s="32" t="str">
        <f aca="false">IF((COUNTIFS(FundRaw!$C$4:$C$233,"oai",FundRaw!$E$4:$E$233,"2026",FundRaw!$F$4:$F$233,"term_loan",FundRaw!$O$4:$O$233,1))=0,"",SUMIFS(FundRaw!$G$4:$G$233,FundRaw!$C$4:$C$233,"oai",FundRaw!$E$4:$E$233,"2026",FundRaw!$F$4:$F$233,"term_loan",FundRaw!$O$4:$O$233,1))</f>
        <v/>
      </c>
      <c r="L28" s="32" t="str">
        <f aca="false">IF((COUNTIFS(FundRaw!$C$4:$C$233,"oai",FundRaw!$E$4:$E$233,"2026",FundRaw!$F$4:$F$233,"gpu_debt",FundRaw!$O$4:$O$233,1))=0,"",SUMIFS(FundRaw!$G$4:$G$233,FundRaw!$C$4:$C$233,"oai",FundRaw!$E$4:$E$233,"2026",FundRaw!$F$4:$F$233,"gpu_debt",FundRaw!$O$4:$O$233,1))</f>
        <v/>
      </c>
      <c r="M28" s="32" t="str">
        <f aca="false">IF((COUNTIFS(FundRaw!$C$4:$C$233,"oai",FundRaw!$E$4:$E$233,"2026",FundRaw!$F$4:$F$233,"private_credit",FundRaw!$O$4:$O$233,1))=0,"",SUMIFS(FundRaw!$G$4:$G$233,FundRaw!$C$4:$C$233,"oai",FundRaw!$E$4:$E$233,"2026",FundRaw!$F$4:$F$233,"private_credit",FundRaw!$O$4:$O$233,1))</f>
        <v/>
      </c>
      <c r="N28" s="32" t="str">
        <f aca="false">IF((COUNTIFS(FundRaw!$C$4:$C$233,"oai",FundRaw!$E$4:$E$233,"2026",FundRaw!$F$4:$F$233,"net_debt_change",FundRaw!$O$4:$O$233,1))=0,"",SUMIFS(FundRaw!$G$4:$G$233,FundRaw!$C$4:$C$233,"oai",FundRaw!$E$4:$E$233,"2026",FundRaw!$F$4:$F$233,"net_debt_change",FundRaw!$O$4:$O$233,1))</f>
        <v/>
      </c>
      <c r="O28" s="32" t="str">
        <f aca="false">IF((COUNTIFS(FundRaw!$C$4:$C$233,"oai",FundRaw!$E$4:$E$233,"2026",FundRaw!$F$4:$F$233,"lease_not_commenced",FundRaw!$O$4:$O$233,1))=0,"",SUMIFS(FundRaw!$G$4:$G$233,FundRaw!$C$4:$C$233,"oai",FundRaw!$E$4:$E$233,"2026",FundRaw!$F$4:$F$233,"lease_not_commenced",FundRaw!$O$4:$O$233,1))</f>
        <v/>
      </c>
      <c r="P28" s="32" t="n">
        <f aca="false">IF((COUNTIFS(FundRaw!$C$4:$C$233,"oai",FundRaw!$E$4:$E$233,"2026",FundRaw!$F$4:$F$233,"jv_offbalance",FundRaw!$O$4:$O$233,1))=0,"",SUMIFS(FundRaw!$G$4:$G$233,FundRaw!$C$4:$C$233,"oai",FundRaw!$E$4:$E$233,"2026",FundRaw!$F$4:$F$233,"jv_offbalance",FundRaw!$O$4:$O$233,1))</f>
        <v>105</v>
      </c>
      <c r="Q28" s="32" t="str">
        <f aca="false">IF((COUNTIFS(FundRaw!$C$4:$C$233,"oai",FundRaw!$E$4:$E$233,"2026",FundRaw!$F$4:$F$233,"jv_exposure",FundRaw!$O$4:$O$233,1))=0,"",SUMIFS(FundRaw!$G$4:$G$233,FundRaw!$C$4:$C$233,"oai",FundRaw!$E$4:$E$233,"2026",FundRaw!$F$4:$F$233,"jv_exposure",FundRaw!$O$4:$O$233,1))</f>
        <v/>
      </c>
      <c r="R28" s="32" t="n">
        <f aca="false">IF((COUNTIFS(FundRaw!$C$4:$C$233,"oai",FundRaw!$E$4:$E$233,"2026",FundRaw!$F$4:$F$233,"equity_round",FundRaw!$O$4:$O$233,1))=0,"",SUMIFS(FundRaw!$G$4:$G$233,FundRaw!$C$4:$C$233,"oai",FundRaw!$E$4:$E$233,"2026",FundRaw!$F$4:$F$233,"equity_round",FundRaw!$O$4:$O$233,1))</f>
        <v>122</v>
      </c>
      <c r="S28" s="32" t="n">
        <f aca="false">IF((COUNTIFS(FundRaw!$C$4:$C$233,"oai",FundRaw!$E$4:$E$233,"2026",FundRaw!$F$4:$F$233,"vendor_financing",FundRaw!$O$4:$O$233,1))=0,"",SUMIFS(FundRaw!$G$4:$G$233,FundRaw!$C$4:$C$233,"oai",FundRaw!$E$4:$E$233,"2026",FundRaw!$F$4:$F$233,"vendor_financing",FundRaw!$O$4:$O$233,1))</f>
        <v>40</v>
      </c>
      <c r="T28" s="32" t="str">
        <f aca="false">IF((COUNTIFS(FundRaw!$C$4:$C$233,"oai",FundRaw!$E$4:$E$233,"2026",FundRaw!$F$4:$F$233,"buyback_div",FundRaw!$O$4:$O$233,1))=0,"",SUMIFS(FundRaw!$G$4:$G$233,FundRaw!$C$4:$C$233,"oai",FundRaw!$E$4:$E$233,"2026",FundRaw!$F$4:$F$233,"buyback_div",FundRaw!$O$4:$O$233,1))</f>
        <v/>
      </c>
      <c r="U28" s="32" t="str">
        <f aca="false">IF((COUNTIFS(FundRaw!$C$4:$C$233,"oai",FundRaw!$E$4:$E$233,"2026",FundRaw!$F$4:$F$233,"gpu_debt_talks",FundRaw!$O$4:$O$233,1))=0,"",SUMIFS(FundRaw!$G$4:$G$233,FundRaw!$C$4:$C$233,"oai",FundRaw!$E$4:$E$233,"2026",FundRaw!$F$4:$F$233,"gpu_debt_talks",FundRaw!$O$4:$O$233,1))</f>
        <v/>
      </c>
      <c r="V28" s="32" t="str">
        <f aca="false">IF((COUNTIFS(FundRaw!$C$4:$C$233,"oai",FundRaw!$E$4:$E$233,"2026",FundRaw!$F$4:$F$233,"bridge_refi",FundRaw!$O$4:$O$233,1))=0,"",SUMIFS(FundRaw!$G$4:$G$233,FundRaw!$C$4:$C$233,"oai",FundRaw!$E$4:$E$233,"2026",FundRaw!$F$4:$F$233,"bridge_refi",FundRaw!$O$4:$O$233,1))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  <c r="AL28" s="32" t="n">
        <f aca="false">N(J28)+N(K28)+N(L28)+N(M28)+IF(AND(H28&lt;&gt;"",F28&lt;&gt;""),MAX(0,H28-F28),N(G28))+N(P28)+N(R28)</f>
        <v>227</v>
      </c>
      <c r="AM28" s="37" t="str">
        <f aca="false">IF(OR(W28="",N(W28)=0),"",AL28/W28)</f>
        <v/>
      </c>
      <c r="AN28" s="37" t="str">
        <f aca="false">IF(OR(W28="",N(W28)=0,E28=""),"",E28/W28)</f>
        <v/>
      </c>
      <c r="AO28" s="22" t="str">
        <f aca="false">IF(OR(W28="",N(W28)=0),"",(N(J28)+N(K28)+N(L28)+N(M28))/W28)</f>
        <v/>
      </c>
      <c r="AP28" s="22" t="str">
        <f aca="false">IF(OR(W28="",N(W28)=0),"",N(R28)/W28)</f>
        <v/>
      </c>
      <c r="AQ28" s="22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1236</v>
      </c>
      <c r="B29" s="0" t="s">
        <v>513</v>
      </c>
      <c r="C29" s="0" t="n">
        <v>2025</v>
      </c>
      <c r="D29" s="0" t="s">
        <v>1633</v>
      </c>
      <c r="E29" s="32" t="str">
        <f aca="false">IF((COUNTIFS(FundRaw!$C$4:$C$233,"ant",FundRaw!$E$4:$E$233,"2025",FundRaw!$F$4:$F$233,"ocf",FundRaw!$O$4:$O$233,1))=0,"",SUMIFS(FundRaw!$G$4:$G$233,FundRaw!$C$4:$C$233,"ant",FundRaw!$E$4:$E$233,"2025",FundRaw!$F$4:$F$233,"ocf",FundRaw!$O$4:$O$233,1))</f>
        <v/>
      </c>
      <c r="F29" s="32" t="str">
        <f aca="false">IF((COUNTIFS(FundRaw!$C$4:$C$233,"ant",FundRaw!$E$4:$E$233,"2025",FundRaw!$F$4:$F$233,"capex_cash",FundRaw!$O$4:$O$233,1))=0,"",SUMIFS(FundRaw!$G$4:$G$233,FundRaw!$C$4:$C$233,"ant",FundRaw!$E$4:$E$233,"2025",FundRaw!$F$4:$F$233,"capex_cash",FundRaw!$O$4:$O$233,1))</f>
        <v/>
      </c>
      <c r="G29" s="32" t="str">
        <f aca="false">IF((COUNTIFS(FundRaw!$C$4:$C$233,"ant",FundRaw!$E$4:$E$233,"2025",FundRaw!$F$4:$F$233,"fin_lease_new",FundRaw!$O$4:$O$233,1))=0,"",SUMIFS(FundRaw!$G$4:$G$233,FundRaw!$C$4:$C$233,"ant",FundRaw!$E$4:$E$233,"2025",FundRaw!$F$4:$F$233,"fin_lease_new",FundRaw!$O$4:$O$233,1))</f>
        <v/>
      </c>
      <c r="H29" s="32" t="str">
        <f aca="false">IF((COUNTIFS(FundRaw!$C$4:$C$233,"ant",FundRaw!$E$4:$E$233,"2025",FundRaw!$F$4:$F$233,"capex_incl_fl",FundRaw!$O$4:$O$233,1))=0,"",SUMIFS(FundRaw!$G$4:$G$233,FundRaw!$C$4:$C$233,"ant",FundRaw!$E$4:$E$233,"2025",FundRaw!$F$4:$F$233,"capex_incl_fl",FundRaw!$O$4:$O$233,1))</f>
        <v/>
      </c>
      <c r="I29" s="32" t="str">
        <f aca="false">IF((COUNTIFS(FundRaw!$C$4:$C$233,"ant",FundRaw!$E$4:$E$233,"2025",FundRaw!$F$4:$F$233,"fcf",FundRaw!$O$4:$O$233,1))=0,"",SUMIFS(FundRaw!$G$4:$G$233,FundRaw!$C$4:$C$233,"ant",FundRaw!$E$4:$E$233,"2025",FundRaw!$F$4:$F$233,"fcf",FundRaw!$O$4:$O$233,1))</f>
        <v/>
      </c>
      <c r="J29" s="32" t="str">
        <f aca="false">IF((COUNTIFS(FundRaw!$C$4:$C$233,"ant",FundRaw!$E$4:$E$233,"2025",FundRaw!$F$4:$F$233,"bond_issue",FundRaw!$O$4:$O$233,1))=0,"",SUMIFS(FundRaw!$G$4:$G$233,FundRaw!$C$4:$C$233,"ant",FundRaw!$E$4:$E$233,"2025",FundRaw!$F$4:$F$233,"bond_issue",FundRaw!$O$4:$O$233,1))</f>
        <v/>
      </c>
      <c r="K29" s="32" t="str">
        <f aca="false">IF((COUNTIFS(FundRaw!$C$4:$C$233,"ant",FundRaw!$E$4:$E$233,"2025",FundRaw!$F$4:$F$233,"term_loan",FundRaw!$O$4:$O$233,1))=0,"",SUMIFS(FundRaw!$G$4:$G$233,FundRaw!$C$4:$C$233,"ant",FundRaw!$E$4:$E$233,"2025",FundRaw!$F$4:$F$233,"term_loan",FundRaw!$O$4:$O$233,1))</f>
        <v/>
      </c>
      <c r="L29" s="32" t="str">
        <f aca="false">IF((COUNTIFS(FundRaw!$C$4:$C$233,"ant",FundRaw!$E$4:$E$233,"2025",FundRaw!$F$4:$F$233,"gpu_debt",FundRaw!$O$4:$O$233,1))=0,"",SUMIFS(FundRaw!$G$4:$G$233,FundRaw!$C$4:$C$233,"ant",FundRaw!$E$4:$E$233,"2025",FundRaw!$F$4:$F$233,"gpu_debt",FundRaw!$O$4:$O$233,1))</f>
        <v/>
      </c>
      <c r="M29" s="32" t="str">
        <f aca="false">IF((COUNTIFS(FundRaw!$C$4:$C$233,"ant",FundRaw!$E$4:$E$233,"2025",FundRaw!$F$4:$F$233,"private_credit",FundRaw!$O$4:$O$233,1))=0,"",SUMIFS(FundRaw!$G$4:$G$233,FundRaw!$C$4:$C$233,"ant",FundRaw!$E$4:$E$233,"2025",FundRaw!$F$4:$F$233,"private_credit",FundRaw!$O$4:$O$233,1))</f>
        <v/>
      </c>
      <c r="N29" s="32" t="str">
        <f aca="false">IF((COUNTIFS(FundRaw!$C$4:$C$233,"ant",FundRaw!$E$4:$E$233,"2025",FundRaw!$F$4:$F$233,"net_debt_change",FundRaw!$O$4:$O$233,1))=0,"",SUMIFS(FundRaw!$G$4:$G$233,FundRaw!$C$4:$C$233,"ant",FundRaw!$E$4:$E$233,"2025",FundRaw!$F$4:$F$233,"net_debt_change",FundRaw!$O$4:$O$233,1))</f>
        <v/>
      </c>
      <c r="O29" s="32" t="str">
        <f aca="false">IF((COUNTIFS(FundRaw!$C$4:$C$233,"ant",FundRaw!$E$4:$E$233,"2025",FundRaw!$F$4:$F$233,"lease_not_commenced",FundRaw!$O$4:$O$233,1))=0,"",SUMIFS(FundRaw!$G$4:$G$233,FundRaw!$C$4:$C$233,"ant",FundRaw!$E$4:$E$233,"2025",FundRaw!$F$4:$F$233,"lease_not_commenced",FundRaw!$O$4:$O$233,1))</f>
        <v/>
      </c>
      <c r="P29" s="32" t="str">
        <f aca="false">IF((COUNTIFS(FundRaw!$C$4:$C$233,"ant",FundRaw!$E$4:$E$233,"2025",FundRaw!$F$4:$F$233,"jv_offbalance",FundRaw!$O$4:$O$233,1))=0,"",SUMIFS(FundRaw!$G$4:$G$233,FundRaw!$C$4:$C$233,"ant",FundRaw!$E$4:$E$233,"2025",FundRaw!$F$4:$F$233,"jv_offbalance",FundRaw!$O$4:$O$233,1))</f>
        <v/>
      </c>
      <c r="Q29" s="32" t="str">
        <f aca="false">IF((COUNTIFS(FundRaw!$C$4:$C$233,"ant",FundRaw!$E$4:$E$233,"2025",FundRaw!$F$4:$F$233,"jv_exposure",FundRaw!$O$4:$O$233,1))=0,"",SUMIFS(FundRaw!$G$4:$G$233,FundRaw!$C$4:$C$233,"ant",FundRaw!$E$4:$E$233,"2025",FundRaw!$F$4:$F$233,"jv_exposure",FundRaw!$O$4:$O$233,1))</f>
        <v/>
      </c>
      <c r="R29" s="32" t="str">
        <f aca="false">IF((COUNTIFS(FundRaw!$C$4:$C$233,"ant",FundRaw!$E$4:$E$233,"2025",FundRaw!$F$4:$F$233,"equity_round",FundRaw!$O$4:$O$233,1))=0,"",SUMIFS(FundRaw!$G$4:$G$233,FundRaw!$C$4:$C$233,"ant",FundRaw!$E$4:$E$233,"2025",FundRaw!$F$4:$F$233,"equity_round",FundRaw!$O$4:$O$233,1))</f>
        <v/>
      </c>
      <c r="S29" s="32" t="str">
        <f aca="false">IF((COUNTIFS(FundRaw!$C$4:$C$233,"ant",FundRaw!$E$4:$E$233,"2025",FundRaw!$F$4:$F$233,"vendor_financing",FundRaw!$O$4:$O$233,1))=0,"",SUMIFS(FundRaw!$G$4:$G$233,FundRaw!$C$4:$C$233,"ant",FundRaw!$E$4:$E$233,"2025",FundRaw!$F$4:$F$233,"vendor_financing",FundRaw!$O$4:$O$233,1))</f>
        <v/>
      </c>
      <c r="T29" s="32" t="str">
        <f aca="false">IF((COUNTIFS(FundRaw!$C$4:$C$233,"ant",FundRaw!$E$4:$E$233,"2025",FundRaw!$F$4:$F$233,"buyback_div",FundRaw!$O$4:$O$233,1))=0,"",SUMIFS(FundRaw!$G$4:$G$233,FundRaw!$C$4:$C$233,"ant",FundRaw!$E$4:$E$233,"2025",FundRaw!$F$4:$F$233,"buyback_div",FundRaw!$O$4:$O$233,1))</f>
        <v/>
      </c>
      <c r="U29" s="32" t="str">
        <f aca="false">IF((COUNTIFS(FundRaw!$C$4:$C$233,"ant",FundRaw!$E$4:$E$233,"2025",FundRaw!$F$4:$F$233,"gpu_debt_talks",FundRaw!$O$4:$O$233,1))=0,"",SUMIFS(FundRaw!$G$4:$G$233,FundRaw!$C$4:$C$233,"ant",FundRaw!$E$4:$E$233,"2025",FundRaw!$F$4:$F$233,"gpu_debt_talks",FundRaw!$O$4:$O$233,1))</f>
        <v/>
      </c>
      <c r="V29" s="32" t="str">
        <f aca="false">IF((COUNTIFS(FundRaw!$C$4:$C$233,"ant",FundRaw!$E$4:$E$233,"2025",FundRaw!$F$4:$F$233,"bridge_refi",FundRaw!$O$4:$O$233,1))=0,"",SUMIFS(FundRaw!$G$4:$G$233,FundRaw!$C$4:$C$233,"ant",FundRaw!$E$4:$E$233,"2025",FundRaw!$F$4:$F$233,"bridge_refi",FundRaw!$O$4:$O$233,1))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  <c r="AL29" s="32" t="n">
        <f aca="false">N(J29)+N(K29)+N(L29)+N(M29)+IF(AND(H29&lt;&gt;"",F29&lt;&gt;""),MAX(0,H29-F29),N(G29))+N(P29)+N(R29)</f>
        <v>0</v>
      </c>
      <c r="AM29" s="37" t="str">
        <f aca="false">IF(OR(W29="",N(W29)=0),"",AL29/W29)</f>
        <v/>
      </c>
      <c r="AN29" s="37" t="str">
        <f aca="false">IF(OR(W29="",N(W29)=0,E29=""),"",E29/W29)</f>
        <v/>
      </c>
      <c r="AO29" s="22" t="str">
        <f aca="false">IF(OR(W29="",N(W29)=0),"",(N(J29)+N(K29)+N(L29)+N(M29))/W29)</f>
        <v/>
      </c>
      <c r="AP29" s="22" t="str">
        <f aca="false">IF(OR(W29="",N(W29)=0),"",N(R29)/W29)</f>
        <v/>
      </c>
      <c r="AQ29" s="22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1236</v>
      </c>
      <c r="B30" s="0" t="s">
        <v>513</v>
      </c>
      <c r="C30" s="0" t="n">
        <v>2026</v>
      </c>
      <c r="D30" s="0" t="s">
        <v>1639</v>
      </c>
      <c r="E30" s="32" t="str">
        <f aca="false">IF((COUNTIFS(FundRaw!$C$4:$C$233,"ant",FundRaw!$E$4:$E$233,"2026",FundRaw!$F$4:$F$233,"ocf",FundRaw!$O$4:$O$233,1))=0,"",SUMIFS(FundRaw!$G$4:$G$233,FundRaw!$C$4:$C$233,"ant",FundRaw!$E$4:$E$233,"2026",FundRaw!$F$4:$F$233,"ocf",FundRaw!$O$4:$O$233,1))</f>
        <v/>
      </c>
      <c r="F30" s="32" t="str">
        <f aca="false">IF((COUNTIFS(FundRaw!$C$4:$C$233,"ant",FundRaw!$E$4:$E$233,"2026",FundRaw!$F$4:$F$233,"capex_cash",FundRaw!$O$4:$O$233,1))=0,"",SUMIFS(FundRaw!$G$4:$G$233,FundRaw!$C$4:$C$233,"ant",FundRaw!$E$4:$E$233,"2026",FundRaw!$F$4:$F$233,"capex_cash",FundRaw!$O$4:$O$233,1))</f>
        <v/>
      </c>
      <c r="G30" s="32" t="str">
        <f aca="false">IF((COUNTIFS(FundRaw!$C$4:$C$233,"ant",FundRaw!$E$4:$E$233,"2026",FundRaw!$F$4:$F$233,"fin_lease_new",FundRaw!$O$4:$O$233,1))=0,"",SUMIFS(FundRaw!$G$4:$G$233,FundRaw!$C$4:$C$233,"ant",FundRaw!$E$4:$E$233,"2026",FundRaw!$F$4:$F$233,"fin_lease_new",FundRaw!$O$4:$O$233,1))</f>
        <v/>
      </c>
      <c r="H30" s="32" t="str">
        <f aca="false">IF((COUNTIFS(FundRaw!$C$4:$C$233,"ant",FundRaw!$E$4:$E$233,"2026",FundRaw!$F$4:$F$233,"capex_incl_fl",FundRaw!$O$4:$O$233,1))=0,"",SUMIFS(FundRaw!$G$4:$G$233,FundRaw!$C$4:$C$233,"ant",FundRaw!$E$4:$E$233,"2026",FundRaw!$F$4:$F$233,"capex_incl_fl",FundRaw!$O$4:$O$233,1))</f>
        <v/>
      </c>
      <c r="I30" s="32" t="str">
        <f aca="false">IF((COUNTIFS(FundRaw!$C$4:$C$233,"ant",FundRaw!$E$4:$E$233,"2026",FundRaw!$F$4:$F$233,"fcf",FundRaw!$O$4:$O$233,1))=0,"",SUMIFS(FundRaw!$G$4:$G$233,FundRaw!$C$4:$C$233,"ant",FundRaw!$E$4:$E$233,"2026",FundRaw!$F$4:$F$233,"fcf",FundRaw!$O$4:$O$233,1))</f>
        <v/>
      </c>
      <c r="J30" s="32" t="str">
        <f aca="false">IF((COUNTIFS(FundRaw!$C$4:$C$233,"ant",FundRaw!$E$4:$E$233,"2026",FundRaw!$F$4:$F$233,"bond_issue",FundRaw!$O$4:$O$233,1))=0,"",SUMIFS(FundRaw!$G$4:$G$233,FundRaw!$C$4:$C$233,"ant",FundRaw!$E$4:$E$233,"2026",FundRaw!$F$4:$F$233,"bond_issue",FundRaw!$O$4:$O$233,1))</f>
        <v/>
      </c>
      <c r="K30" s="32" t="str">
        <f aca="false">IF((COUNTIFS(FundRaw!$C$4:$C$233,"ant",FundRaw!$E$4:$E$233,"2026",FundRaw!$F$4:$F$233,"term_loan",FundRaw!$O$4:$O$233,1))=0,"",SUMIFS(FundRaw!$G$4:$G$233,FundRaw!$C$4:$C$233,"ant",FundRaw!$E$4:$E$233,"2026",FundRaw!$F$4:$F$233,"term_loan",FundRaw!$O$4:$O$233,1))</f>
        <v/>
      </c>
      <c r="L30" s="32" t="n">
        <f aca="false">IF((COUNTIFS(FundRaw!$C$4:$C$233,"ant",FundRaw!$E$4:$E$233,"2026",FundRaw!$F$4:$F$233,"gpu_debt",FundRaw!$O$4:$O$233,1))=0,"",SUMIFS(FundRaw!$G$4:$G$233,FundRaw!$C$4:$C$233,"ant",FundRaw!$E$4:$E$233,"2026",FundRaw!$F$4:$F$233,"gpu_debt",FundRaw!$O$4:$O$233,1))</f>
        <v>35</v>
      </c>
      <c r="M30" s="32" t="str">
        <f aca="false">IF((COUNTIFS(FundRaw!$C$4:$C$233,"ant",FundRaw!$E$4:$E$233,"2026",FundRaw!$F$4:$F$233,"private_credit",FundRaw!$O$4:$O$233,1))=0,"",SUMIFS(FundRaw!$G$4:$G$233,FundRaw!$C$4:$C$233,"ant",FundRaw!$E$4:$E$233,"2026",FundRaw!$F$4:$F$233,"private_credit",FundRaw!$O$4:$O$233,1))</f>
        <v/>
      </c>
      <c r="N30" s="32" t="str">
        <f aca="false">IF((COUNTIFS(FundRaw!$C$4:$C$233,"ant",FundRaw!$E$4:$E$233,"2026",FundRaw!$F$4:$F$233,"net_debt_change",FundRaw!$O$4:$O$233,1))=0,"",SUMIFS(FundRaw!$G$4:$G$233,FundRaw!$C$4:$C$233,"ant",FundRaw!$E$4:$E$233,"2026",FundRaw!$F$4:$F$233,"net_debt_change",FundRaw!$O$4:$O$233,1))</f>
        <v/>
      </c>
      <c r="O30" s="32" t="str">
        <f aca="false">IF((COUNTIFS(FundRaw!$C$4:$C$233,"ant",FundRaw!$E$4:$E$233,"2026",FundRaw!$F$4:$F$233,"lease_not_commenced",FundRaw!$O$4:$O$233,1))=0,"",SUMIFS(FundRaw!$G$4:$G$233,FundRaw!$C$4:$C$233,"ant",FundRaw!$E$4:$E$233,"2026",FundRaw!$F$4:$F$233,"lease_not_commenced",FundRaw!$O$4:$O$233,1))</f>
        <v/>
      </c>
      <c r="P30" s="32" t="str">
        <f aca="false">IF((COUNTIFS(FundRaw!$C$4:$C$233,"ant",FundRaw!$E$4:$E$233,"2026",FundRaw!$F$4:$F$233,"jv_offbalance",FundRaw!$O$4:$O$233,1))=0,"",SUMIFS(FundRaw!$G$4:$G$233,FundRaw!$C$4:$C$233,"ant",FundRaw!$E$4:$E$233,"2026",FundRaw!$F$4:$F$233,"jv_offbalance",FundRaw!$O$4:$O$233,1))</f>
        <v/>
      </c>
      <c r="Q30" s="32" t="str">
        <f aca="false">IF((COUNTIFS(FundRaw!$C$4:$C$233,"ant",FundRaw!$E$4:$E$233,"2026",FundRaw!$F$4:$F$233,"jv_exposure",FundRaw!$O$4:$O$233,1))=0,"",SUMIFS(FundRaw!$G$4:$G$233,FundRaw!$C$4:$C$233,"ant",FundRaw!$E$4:$E$233,"2026",FundRaw!$F$4:$F$233,"jv_exposure",FundRaw!$O$4:$O$233,1))</f>
        <v/>
      </c>
      <c r="R30" s="32" t="n">
        <f aca="false">IF((COUNTIFS(FundRaw!$C$4:$C$233,"ant",FundRaw!$E$4:$E$233,"2026",FundRaw!$F$4:$F$233,"equity_round",FundRaw!$O$4:$O$233,1))=0,"",SUMIFS(FundRaw!$G$4:$G$233,FundRaw!$C$4:$C$233,"ant",FundRaw!$E$4:$E$233,"2026",FundRaw!$F$4:$F$233,"equity_round",FundRaw!$O$4:$O$233,1))</f>
        <v>95</v>
      </c>
      <c r="S30" s="32" t="n">
        <f aca="false">IF((COUNTIFS(FundRaw!$C$4:$C$233,"ant",FundRaw!$E$4:$E$233,"2026",FundRaw!$F$4:$F$233,"vendor_financing",FundRaw!$O$4:$O$233,1))=0,"",SUMIFS(FundRaw!$G$4:$G$233,FundRaw!$C$4:$C$233,"ant",FundRaw!$E$4:$E$233,"2026",FundRaw!$F$4:$F$233,"vendor_financing",FundRaw!$O$4:$O$233,1))</f>
        <v>57</v>
      </c>
      <c r="T30" s="32" t="str">
        <f aca="false">IF((COUNTIFS(FundRaw!$C$4:$C$233,"ant",FundRaw!$E$4:$E$233,"2026",FundRaw!$F$4:$F$233,"buyback_div",FundRaw!$O$4:$O$233,1))=0,"",SUMIFS(FundRaw!$G$4:$G$233,FundRaw!$C$4:$C$233,"ant",FundRaw!$E$4:$E$233,"2026",FundRaw!$F$4:$F$233,"buyback_div",FundRaw!$O$4:$O$233,1))</f>
        <v/>
      </c>
      <c r="U30" s="32" t="n">
        <f aca="false">IF((COUNTIFS(FundRaw!$C$4:$C$233,"ant",FundRaw!$E$4:$E$233,"2026",FundRaw!$F$4:$F$233,"gpu_debt_talks",FundRaw!$O$4:$O$233,1))=0,"",SUMIFS(FundRaw!$G$4:$G$233,FundRaw!$C$4:$C$233,"ant",FundRaw!$E$4:$E$233,"2026",FundRaw!$F$4:$F$233,"gpu_debt_talks",FundRaw!$O$4:$O$233,1))</f>
        <v>36</v>
      </c>
      <c r="V30" s="32" t="str">
        <f aca="false">IF((COUNTIFS(FundRaw!$C$4:$C$233,"ant",FundRaw!$E$4:$E$233,"2026",FundRaw!$F$4:$F$233,"bridge_refi",FundRaw!$O$4:$O$233,1))=0,"",SUMIFS(FundRaw!$G$4:$G$233,FundRaw!$C$4:$C$233,"ant",FundRaw!$E$4:$E$233,"2026",FundRaw!$F$4:$F$233,"bridge_refi",FundRaw!$O$4:$O$233,1))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  <c r="AL30" s="32" t="n">
        <f aca="false">N(J30)+N(K30)+N(L30)+N(M30)+IF(AND(H30&lt;&gt;"",F30&lt;&gt;""),MAX(0,H30-F30),N(G30))+N(P30)+N(R30)</f>
        <v>130</v>
      </c>
      <c r="AM30" s="37" t="str">
        <f aca="false">IF(OR(W30="",N(W30)=0),"",AL30/W30)</f>
        <v/>
      </c>
      <c r="AN30" s="37" t="str">
        <f aca="false">IF(OR(W30="",N(W30)=0,E30=""),"",E30/W30)</f>
        <v/>
      </c>
      <c r="AO30" s="22" t="str">
        <f aca="false">IF(OR(W30="",N(W30)=0),"",(N(J30)+N(K30)+N(L30)+N(M30))/W30)</f>
        <v/>
      </c>
      <c r="AP30" s="22" t="str">
        <f aca="false">IF(OR(W30="",N(W30)=0),"",N(R30)/W30)</f>
        <v/>
      </c>
      <c r="AQ30" s="22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1" t="s">
        <v>1640</v>
      </c>
    </row>
    <row r="33" customFormat="false" ht="17.15" hidden="false" customHeight="false" outlineLevel="0" collapsed="false">
      <c r="A33" s="6" t="s">
        <v>1276</v>
      </c>
      <c r="B33" s="6" t="s">
        <v>1554</v>
      </c>
      <c r="C33" s="6" t="s">
        <v>14</v>
      </c>
      <c r="D33" s="6" t="s">
        <v>1641</v>
      </c>
      <c r="E33" s="6" t="s">
        <v>19</v>
      </c>
      <c r="F33" s="7" t="s">
        <v>1642</v>
      </c>
      <c r="G33" s="7" t="s">
        <v>1643</v>
      </c>
    </row>
    <row r="34" customFormat="false" ht="17.15" hidden="false" customHeight="false" outlineLevel="0" collapsed="false">
      <c r="A34" s="0" t="s">
        <v>1627</v>
      </c>
      <c r="B34" s="0" t="s">
        <v>1644</v>
      </c>
      <c r="C34" s="0" t="s">
        <v>1645</v>
      </c>
      <c r="D34" s="0" t="n">
        <v>175</v>
      </c>
      <c r="E34" s="5" t="s">
        <v>1646</v>
      </c>
      <c r="F34" s="0" t="s">
        <v>1647</v>
      </c>
      <c r="G34" s="5" t="s">
        <v>1648</v>
      </c>
    </row>
    <row r="35" customFormat="false" ht="17.15" hidden="false" customHeight="false" outlineLevel="0" collapsed="false">
      <c r="A35" s="0" t="s">
        <v>1627</v>
      </c>
      <c r="B35" s="0" t="s">
        <v>1649</v>
      </c>
      <c r="C35" s="0" t="s">
        <v>1645</v>
      </c>
      <c r="D35" s="0" t="n">
        <v>50</v>
      </c>
      <c r="E35" s="0" t="s">
        <v>1650</v>
      </c>
      <c r="F35" s="0" t="s">
        <v>1651</v>
      </c>
      <c r="G35" s="5" t="s">
        <v>1648</v>
      </c>
    </row>
    <row r="36" customFormat="false" ht="17.15" hidden="false" customHeight="false" outlineLevel="0" collapsed="false">
      <c r="A36" s="0" t="s">
        <v>1631</v>
      </c>
      <c r="B36" s="0" t="s">
        <v>1652</v>
      </c>
      <c r="C36" s="0" t="s">
        <v>1653</v>
      </c>
      <c r="D36" s="0" t="n">
        <v>25</v>
      </c>
      <c r="E36" s="0" t="s">
        <v>1654</v>
      </c>
      <c r="F36" s="0" t="s">
        <v>1655</v>
      </c>
      <c r="G36" s="5" t="s">
        <v>1656</v>
      </c>
    </row>
    <row r="37" customFormat="false" ht="17.15" hidden="false" customHeight="false" outlineLevel="0" collapsed="false">
      <c r="A37" s="0" t="s">
        <v>1631</v>
      </c>
      <c r="B37" s="0" t="s">
        <v>1644</v>
      </c>
      <c r="C37" s="0" t="s">
        <v>1657</v>
      </c>
      <c r="D37" s="0" t="n">
        <v>200</v>
      </c>
      <c r="E37" s="5" t="s">
        <v>1658</v>
      </c>
      <c r="F37" s="0" t="s">
        <v>1659</v>
      </c>
      <c r="G37" s="5" t="s">
        <v>1656</v>
      </c>
    </row>
    <row r="38" customFormat="false" ht="17.15" hidden="false" customHeight="false" outlineLevel="0" collapsed="false">
      <c r="A38" s="0" t="s">
        <v>1631</v>
      </c>
      <c r="B38" s="0" t="s">
        <v>1660</v>
      </c>
      <c r="C38" s="0" t="s">
        <v>1661</v>
      </c>
      <c r="D38" s="0" t="n">
        <v>44</v>
      </c>
      <c r="E38" s="0" t="s">
        <v>1662</v>
      </c>
      <c r="F38" s="0" t="s">
        <v>1663</v>
      </c>
      <c r="G38" s="5" t="s">
        <v>1648</v>
      </c>
    </row>
    <row r="39" customFormat="false" ht="17.15" hidden="false" customHeight="false" outlineLevel="0" collapsed="false">
      <c r="A39" s="0" t="s">
        <v>1635</v>
      </c>
      <c r="B39" s="0" t="s">
        <v>1664</v>
      </c>
      <c r="C39" s="0" t="s">
        <v>1653</v>
      </c>
      <c r="D39" s="0" t="n">
        <v>25</v>
      </c>
      <c r="E39" s="0" t="s">
        <v>1665</v>
      </c>
      <c r="F39" s="0" t="s">
        <v>1666</v>
      </c>
      <c r="G39" s="5" t="s">
        <v>1648</v>
      </c>
    </row>
    <row r="40" customFormat="false" ht="17.15" hidden="false" customHeight="false" outlineLevel="0" collapsed="false">
      <c r="A40" s="0" t="s">
        <v>1635</v>
      </c>
      <c r="B40" s="0" t="s">
        <v>1644</v>
      </c>
      <c r="C40" s="0" t="s">
        <v>1657</v>
      </c>
      <c r="D40" s="0" t="n">
        <v>220</v>
      </c>
      <c r="E40" s="5" t="s">
        <v>1667</v>
      </c>
      <c r="F40" s="0" t="s">
        <v>1668</v>
      </c>
      <c r="G40" s="5" t="s">
        <v>1656</v>
      </c>
    </row>
    <row r="41" customFormat="false" ht="17.15" hidden="false" customHeight="false" outlineLevel="0" collapsed="false">
      <c r="A41" s="0" t="s">
        <v>1635</v>
      </c>
      <c r="B41" s="0" t="s">
        <v>1669</v>
      </c>
      <c r="C41" s="0" t="s">
        <v>1670</v>
      </c>
      <c r="D41" s="0" t="n">
        <v>50</v>
      </c>
      <c r="E41" s="5" t="s">
        <v>1671</v>
      </c>
      <c r="F41" s="0" t="s">
        <v>1672</v>
      </c>
      <c r="G41" s="5" t="s">
        <v>1648</v>
      </c>
    </row>
    <row r="42" customFormat="false" ht="17.15" hidden="false" customHeight="false" outlineLevel="0" collapsed="false">
      <c r="A42" s="0" t="s">
        <v>981</v>
      </c>
      <c r="B42" s="0" t="s">
        <v>1644</v>
      </c>
      <c r="C42" s="0" t="s">
        <v>1645</v>
      </c>
      <c r="D42" s="0" t="n">
        <v>140</v>
      </c>
      <c r="E42" s="5" t="s">
        <v>1673</v>
      </c>
      <c r="F42" s="0" t="s">
        <v>1674</v>
      </c>
      <c r="G42" s="5" t="s">
        <v>1648</v>
      </c>
    </row>
    <row r="43" customFormat="false" ht="17.15" hidden="false" customHeight="false" outlineLevel="0" collapsed="false">
      <c r="A43" s="0" t="s">
        <v>981</v>
      </c>
      <c r="B43" s="0" t="s">
        <v>1675</v>
      </c>
      <c r="C43" s="0" t="s">
        <v>1676</v>
      </c>
      <c r="D43" s="0" t="n">
        <v>25</v>
      </c>
      <c r="E43" s="0" t="s">
        <v>1677</v>
      </c>
      <c r="F43" s="0" t="s">
        <v>1678</v>
      </c>
      <c r="G43" s="5" t="s">
        <v>1648</v>
      </c>
    </row>
    <row r="44" customFormat="false" ht="17.15" hidden="false" customHeight="false" outlineLevel="0" collapsed="false">
      <c r="A44" s="0" t="s">
        <v>981</v>
      </c>
      <c r="B44" s="0" t="s">
        <v>1675</v>
      </c>
      <c r="C44" s="0" t="s">
        <v>1676</v>
      </c>
      <c r="D44" s="0" t="n">
        <v>12.5</v>
      </c>
      <c r="E44" s="0" t="s">
        <v>1679</v>
      </c>
      <c r="F44" s="0" t="s">
        <v>1680</v>
      </c>
      <c r="G44" s="5" t="s">
        <v>1648</v>
      </c>
    </row>
    <row r="45" customFormat="false" ht="17.15" hidden="false" customHeight="false" outlineLevel="0" collapsed="false">
      <c r="A45" s="0" t="s">
        <v>1637</v>
      </c>
      <c r="B45" s="0" t="s">
        <v>1649</v>
      </c>
      <c r="C45" s="0" t="s">
        <v>1681</v>
      </c>
      <c r="D45" s="0" t="n">
        <v>23.103</v>
      </c>
      <c r="E45" s="5" t="s">
        <v>1682</v>
      </c>
      <c r="F45" s="0" t="s">
        <v>1683</v>
      </c>
      <c r="G45" s="5" t="s">
        <v>1648</v>
      </c>
    </row>
    <row r="46" customFormat="false" ht="17.15" hidden="false" customHeight="false" outlineLevel="0" collapsed="false">
      <c r="A46" s="0" t="s">
        <v>1637</v>
      </c>
      <c r="B46" s="0" t="s">
        <v>1649</v>
      </c>
      <c r="C46" s="0" t="s">
        <v>1657</v>
      </c>
      <c r="D46" s="0" t="n">
        <v>28.499</v>
      </c>
      <c r="E46" s="5" t="s">
        <v>1684</v>
      </c>
      <c r="F46" s="0" t="s">
        <v>1685</v>
      </c>
      <c r="G46" s="5" t="s">
        <v>1648</v>
      </c>
    </row>
    <row r="47" customFormat="false" ht="17.15" hidden="false" customHeight="false" outlineLevel="0" collapsed="false">
      <c r="A47" s="0" t="s">
        <v>1637</v>
      </c>
      <c r="B47" s="0" t="s">
        <v>1649</v>
      </c>
      <c r="C47" s="0" t="s">
        <v>1686</v>
      </c>
      <c r="D47" s="0" t="n">
        <v>-5.396</v>
      </c>
      <c r="E47" s="5" t="s">
        <v>1687</v>
      </c>
      <c r="F47" s="0" t="s">
        <v>1688</v>
      </c>
      <c r="G47" s="5" t="s">
        <v>1648</v>
      </c>
    </row>
    <row r="48" customFormat="false" ht="17.15" hidden="false" customHeight="false" outlineLevel="0" collapsed="false">
      <c r="A48" s="0" t="s">
        <v>1637</v>
      </c>
      <c r="B48" s="0" t="s">
        <v>1689</v>
      </c>
      <c r="C48" s="0" t="s">
        <v>1657</v>
      </c>
      <c r="D48" s="0" t="n">
        <v>92.5</v>
      </c>
      <c r="E48" s="5" t="s">
        <v>1690</v>
      </c>
      <c r="F48" s="0" t="s">
        <v>1691</v>
      </c>
      <c r="G48" s="5" t="s">
        <v>1656</v>
      </c>
    </row>
    <row r="49" customFormat="false" ht="17.15" hidden="false" customHeight="false" outlineLevel="0" collapsed="false">
      <c r="A49" s="0" t="s">
        <v>1637</v>
      </c>
      <c r="B49" s="0" t="s">
        <v>1649</v>
      </c>
      <c r="C49" s="0" t="s">
        <v>1676</v>
      </c>
      <c r="D49" s="0" t="n">
        <v>20</v>
      </c>
      <c r="E49" s="0" t="s">
        <v>1692</v>
      </c>
      <c r="F49" s="0" t="s">
        <v>1693</v>
      </c>
      <c r="G49" s="5" t="s">
        <v>1648</v>
      </c>
    </row>
    <row r="50" customFormat="false" ht="17.15" hidden="false" customHeight="false" outlineLevel="0" collapsed="false">
      <c r="A50" s="0" t="s">
        <v>1637</v>
      </c>
      <c r="B50" s="0" t="s">
        <v>137</v>
      </c>
      <c r="C50" s="0" t="s">
        <v>1694</v>
      </c>
      <c r="D50" s="0" t="n">
        <v>88.26</v>
      </c>
      <c r="E50" s="5" t="s">
        <v>1695</v>
      </c>
      <c r="F50" s="0" t="s">
        <v>1696</v>
      </c>
      <c r="G50" s="5" t="s">
        <v>1648</v>
      </c>
    </row>
    <row r="51" customFormat="false" ht="17.15" hidden="false" customHeight="false" outlineLevel="0" collapsed="false">
      <c r="A51" s="0" t="s">
        <v>1637</v>
      </c>
      <c r="B51" s="0" t="s">
        <v>137</v>
      </c>
      <c r="C51" s="0" t="s">
        <v>1697</v>
      </c>
      <c r="D51" s="0" t="n">
        <v>288</v>
      </c>
      <c r="E51" s="5" t="s">
        <v>1698</v>
      </c>
      <c r="F51" s="0" t="s">
        <v>1699</v>
      </c>
      <c r="G51" s="5" t="s">
        <v>1648</v>
      </c>
    </row>
    <row r="52" customFormat="false" ht="17.15" hidden="false" customHeight="false" outlineLevel="0" collapsed="false">
      <c r="A52" s="0" t="s">
        <v>1637</v>
      </c>
      <c r="B52" s="0" t="s">
        <v>137</v>
      </c>
      <c r="C52" s="0" t="s">
        <v>1700</v>
      </c>
      <c r="D52" s="0" t="n">
        <v>34.621</v>
      </c>
      <c r="E52" s="5" t="s">
        <v>1701</v>
      </c>
      <c r="F52" s="0" t="s">
        <v>1702</v>
      </c>
      <c r="G52" s="5" t="s">
        <v>1648</v>
      </c>
    </row>
    <row r="53" customFormat="false" ht="17.15" hidden="false" customHeight="false" outlineLevel="0" collapsed="false">
      <c r="A53" s="0" t="s">
        <v>1637</v>
      </c>
      <c r="B53" s="0" t="s">
        <v>1649</v>
      </c>
      <c r="C53" s="0" t="s">
        <v>1670</v>
      </c>
      <c r="D53" s="0" t="n">
        <v>11.363</v>
      </c>
      <c r="E53" s="5" t="s">
        <v>1703</v>
      </c>
      <c r="F53" s="0" t="s">
        <v>1704</v>
      </c>
      <c r="G53" s="5" t="s">
        <v>1648</v>
      </c>
    </row>
    <row r="54" customFormat="false" ht="17.15" hidden="false" customHeight="false" outlineLevel="0" collapsed="false">
      <c r="A54" s="0" t="s">
        <v>1637</v>
      </c>
      <c r="B54" s="0" t="s">
        <v>1689</v>
      </c>
      <c r="C54" s="0" t="s">
        <v>1686</v>
      </c>
      <c r="D54" s="0" t="n">
        <v>-42</v>
      </c>
      <c r="E54" s="0" t="s">
        <v>1705</v>
      </c>
      <c r="F54" s="0" t="s">
        <v>1706</v>
      </c>
      <c r="G54" s="5" t="s">
        <v>1648</v>
      </c>
    </row>
    <row r="55" customFormat="false" ht="17.15" hidden="false" customHeight="false" outlineLevel="0" collapsed="false">
      <c r="A55" s="0" t="s">
        <v>1019</v>
      </c>
      <c r="B55" s="0" t="s">
        <v>1644</v>
      </c>
      <c r="C55" s="0" t="s">
        <v>1645</v>
      </c>
      <c r="D55" s="0" t="n">
        <v>37</v>
      </c>
      <c r="E55" s="5" t="s">
        <v>1707</v>
      </c>
      <c r="F55" s="0" t="s">
        <v>1708</v>
      </c>
      <c r="G55" s="5" t="s">
        <v>1648</v>
      </c>
    </row>
    <row r="56" customFormat="false" ht="17.15" hidden="false" customHeight="false" outlineLevel="0" collapsed="false">
      <c r="A56" s="0" t="s">
        <v>1019</v>
      </c>
      <c r="B56" s="0" t="s">
        <v>1709</v>
      </c>
      <c r="C56" s="0" t="s">
        <v>1670</v>
      </c>
      <c r="D56" s="0" t="n">
        <v>6.3</v>
      </c>
      <c r="E56" s="0" t="s">
        <v>1710</v>
      </c>
      <c r="F56" s="0" t="s">
        <v>1711</v>
      </c>
      <c r="G56" s="5" t="s">
        <v>1648</v>
      </c>
    </row>
    <row r="57" customFormat="false" ht="17.15" hidden="false" customHeight="false" outlineLevel="0" collapsed="false">
      <c r="A57" s="0" t="s">
        <v>1038</v>
      </c>
      <c r="B57" s="0" t="s">
        <v>1660</v>
      </c>
      <c r="C57" s="0" t="s">
        <v>1653</v>
      </c>
      <c r="D57" s="0" t="n">
        <v>5.75</v>
      </c>
      <c r="E57" s="5" t="s">
        <v>1712</v>
      </c>
      <c r="F57" s="0" t="s">
        <v>1713</v>
      </c>
      <c r="G57" s="0" t="s">
        <v>1714</v>
      </c>
    </row>
    <row r="58" customFormat="false" ht="17.15" hidden="false" customHeight="false" outlineLevel="0" collapsed="false">
      <c r="A58" s="0" t="s">
        <v>1038</v>
      </c>
      <c r="B58" s="0" t="s">
        <v>1715</v>
      </c>
      <c r="C58" s="0" t="s">
        <v>1716</v>
      </c>
      <c r="D58" s="0" t="n">
        <v>0.775</v>
      </c>
      <c r="E58" s="5" t="s">
        <v>1717</v>
      </c>
      <c r="F58" s="0" t="s">
        <v>1718</v>
      </c>
      <c r="G58" s="5" t="s">
        <v>1719</v>
      </c>
    </row>
    <row r="59" customFormat="false" ht="17.15" hidden="false" customHeight="false" outlineLevel="0" collapsed="false">
      <c r="A59" s="0" t="s">
        <v>1038</v>
      </c>
      <c r="B59" s="0" t="s">
        <v>1644</v>
      </c>
      <c r="C59" s="0" t="s">
        <v>1657</v>
      </c>
      <c r="D59" s="0" t="n">
        <v>22.5</v>
      </c>
      <c r="E59" s="5" t="s">
        <v>1720</v>
      </c>
      <c r="F59" s="0" t="s">
        <v>1721</v>
      </c>
      <c r="G59" s="5" t="s">
        <v>1656</v>
      </c>
    </row>
    <row r="60" customFormat="false" ht="17.15" hidden="false" customHeight="false" outlineLevel="0" collapsed="false">
      <c r="A60" s="0" t="s">
        <v>1235</v>
      </c>
      <c r="B60" s="0" t="s">
        <v>1644</v>
      </c>
      <c r="C60" s="0" t="s">
        <v>1686</v>
      </c>
      <c r="D60" s="0" t="n">
        <v>-25</v>
      </c>
      <c r="E60" s="5" t="s">
        <v>1722</v>
      </c>
      <c r="F60" s="0" t="s">
        <v>1723</v>
      </c>
      <c r="G60" s="5" t="s">
        <v>1648</v>
      </c>
    </row>
    <row r="62" customFormat="false" ht="17.15" hidden="false" customHeight="false" outlineLevel="0" collapsed="false">
      <c r="A62" s="21" t="s">
        <v>1724</v>
      </c>
    </row>
    <row r="64" customFormat="false" ht="17.15" hidden="false" customHeight="false" outlineLevel="0" collapsed="false">
      <c r="A64" s="21" t="s">
        <v>1725</v>
      </c>
    </row>
    <row r="65" customFormat="false" ht="17.15" hidden="false" customHeight="false" outlineLevel="0" collapsed="false">
      <c r="A65" s="7" t="s">
        <v>1726</v>
      </c>
      <c r="B65" s="6" t="s">
        <v>1727</v>
      </c>
      <c r="C65" s="6" t="s">
        <v>1728</v>
      </c>
      <c r="D65" s="6" t="s">
        <v>1729</v>
      </c>
      <c r="E65" s="6" t="s">
        <v>1730</v>
      </c>
      <c r="F65" s="6" t="s">
        <v>1731</v>
      </c>
    </row>
    <row r="66" customFormat="false" ht="124.6" hidden="false" customHeight="false" outlineLevel="0" collapsed="false">
      <c r="A66" s="0" t="n">
        <v>1</v>
      </c>
      <c r="B66" s="3" t="s">
        <v>1732</v>
      </c>
      <c r="C66" s="3" t="s">
        <v>1235</v>
      </c>
      <c r="D66" s="2" t="s">
        <v>1733</v>
      </c>
      <c r="E66" s="3" t="s">
        <v>1734</v>
      </c>
      <c r="F66" s="3" t="s">
        <v>1735</v>
      </c>
    </row>
    <row r="67" customFormat="false" ht="151.45" hidden="false" customHeight="false" outlineLevel="0" collapsed="false">
      <c r="A67" s="0" t="n">
        <v>2</v>
      </c>
      <c r="B67" s="3" t="s">
        <v>1732</v>
      </c>
      <c r="C67" s="2" t="s">
        <v>1736</v>
      </c>
      <c r="D67" s="2" t="s">
        <v>1737</v>
      </c>
      <c r="E67" s="2" t="s">
        <v>1738</v>
      </c>
      <c r="F67" s="3" t="s">
        <v>1739</v>
      </c>
    </row>
    <row r="68" customFormat="false" ht="79.85" hidden="false" customHeight="false" outlineLevel="0" collapsed="false">
      <c r="A68" s="0" t="n">
        <v>3</v>
      </c>
      <c r="B68" s="3" t="s">
        <v>1732</v>
      </c>
      <c r="C68" s="3" t="s">
        <v>1237</v>
      </c>
      <c r="D68" s="2" t="s">
        <v>1740</v>
      </c>
      <c r="E68" s="3" t="s">
        <v>1741</v>
      </c>
      <c r="F68" s="3" t="s">
        <v>1742</v>
      </c>
    </row>
    <row r="69" customFormat="false" ht="75.35" hidden="false" customHeight="false" outlineLevel="0" collapsed="false">
      <c r="A69" s="0" t="n">
        <v>4</v>
      </c>
      <c r="B69" s="3" t="s">
        <v>1732</v>
      </c>
      <c r="C69" s="3" t="s">
        <v>1236</v>
      </c>
      <c r="D69" s="2" t="s">
        <v>1743</v>
      </c>
      <c r="E69" s="3" t="s">
        <v>1744</v>
      </c>
      <c r="F69" s="3" t="s">
        <v>1745</v>
      </c>
    </row>
    <row r="70" customFormat="false" ht="64.15" hidden="false" customHeight="false" outlineLevel="0" collapsed="false">
      <c r="A70" s="0" t="n">
        <v>5</v>
      </c>
      <c r="B70" s="3" t="s">
        <v>1746</v>
      </c>
      <c r="C70" s="3" t="s">
        <v>1235</v>
      </c>
      <c r="D70" s="2" t="s">
        <v>1747</v>
      </c>
      <c r="E70" s="3" t="s">
        <v>1748</v>
      </c>
      <c r="F70" s="3" t="s">
        <v>1749</v>
      </c>
    </row>
    <row r="71" customFormat="false" ht="48.5" hidden="false" customHeight="false" outlineLevel="0" collapsed="false">
      <c r="A71" s="0" t="n">
        <v>6</v>
      </c>
      <c r="B71" s="3" t="s">
        <v>1746</v>
      </c>
      <c r="C71" s="3" t="s">
        <v>1236</v>
      </c>
      <c r="D71" s="2" t="s">
        <v>1750</v>
      </c>
      <c r="E71" s="2" t="s">
        <v>1751</v>
      </c>
      <c r="F71" s="3" t="s">
        <v>1752</v>
      </c>
    </row>
    <row r="72" customFormat="false" ht="77.6" hidden="false" customHeight="false" outlineLevel="0" collapsed="false">
      <c r="A72" s="0" t="n">
        <v>7</v>
      </c>
      <c r="B72" s="3" t="s">
        <v>1627</v>
      </c>
      <c r="C72" s="3" t="s">
        <v>1235</v>
      </c>
      <c r="D72" s="2" t="s">
        <v>1753</v>
      </c>
      <c r="E72" s="3" t="s">
        <v>1754</v>
      </c>
      <c r="F72" s="3" t="s">
        <v>1755</v>
      </c>
    </row>
    <row r="73" customFormat="false" ht="44" hidden="false" customHeight="false" outlineLevel="0" collapsed="false">
      <c r="A73" s="0" t="n">
        <v>8</v>
      </c>
      <c r="B73" s="3" t="s">
        <v>1627</v>
      </c>
      <c r="C73" s="3" t="s">
        <v>1236</v>
      </c>
      <c r="D73" s="2" t="s">
        <v>1756</v>
      </c>
      <c r="E73" s="3" t="s">
        <v>1757</v>
      </c>
      <c r="F73" s="3" t="s">
        <v>1745</v>
      </c>
    </row>
    <row r="74" customFormat="false" ht="108.95" hidden="false" customHeight="false" outlineLevel="0" collapsed="false">
      <c r="A74" s="0" t="n">
        <v>9</v>
      </c>
      <c r="B74" s="3" t="s">
        <v>1627</v>
      </c>
      <c r="C74" s="3" t="s">
        <v>1758</v>
      </c>
      <c r="D74" s="2" t="s">
        <v>1759</v>
      </c>
      <c r="E74" s="2" t="s">
        <v>1760</v>
      </c>
      <c r="F74" s="3" t="s">
        <v>1761</v>
      </c>
    </row>
    <row r="75" customFormat="false" ht="91" hidden="false" customHeight="false" outlineLevel="0" collapsed="false">
      <c r="A75" s="0" t="n">
        <v>10</v>
      </c>
      <c r="B75" s="3" t="s">
        <v>1635</v>
      </c>
      <c r="C75" s="3" t="s">
        <v>1235</v>
      </c>
      <c r="D75" s="3" t="s">
        <v>1762</v>
      </c>
      <c r="E75" s="3" t="s">
        <v>1763</v>
      </c>
      <c r="F75" s="3" t="s">
        <v>1764</v>
      </c>
    </row>
    <row r="76" customFormat="false" ht="61.9" hidden="false" customHeight="false" outlineLevel="0" collapsed="false">
      <c r="A76" s="0" t="n">
        <v>11</v>
      </c>
      <c r="B76" s="3" t="s">
        <v>1635</v>
      </c>
      <c r="C76" s="3" t="s">
        <v>1236</v>
      </c>
      <c r="D76" s="2" t="s">
        <v>1765</v>
      </c>
      <c r="E76" s="3" t="s">
        <v>1766</v>
      </c>
      <c r="F76" s="3" t="s">
        <v>1767</v>
      </c>
    </row>
    <row r="77" customFormat="false" ht="211.9" hidden="false" customHeight="false" outlineLevel="0" collapsed="false">
      <c r="A77" s="0" t="n">
        <v>12</v>
      </c>
      <c r="B77" s="3" t="s">
        <v>1768</v>
      </c>
      <c r="C77" s="3" t="s">
        <v>1236</v>
      </c>
      <c r="D77" s="2" t="s">
        <v>1769</v>
      </c>
      <c r="E77" s="3" t="s">
        <v>1770</v>
      </c>
      <c r="F77" s="3" t="s">
        <v>1771</v>
      </c>
    </row>
    <row r="78" customFormat="false" ht="79.85" hidden="false" customHeight="false" outlineLevel="0" collapsed="false">
      <c r="A78" s="0" t="n">
        <v>13</v>
      </c>
      <c r="B78" s="3" t="s">
        <v>1772</v>
      </c>
      <c r="C78" s="3" t="s">
        <v>1236</v>
      </c>
      <c r="D78" s="2" t="s">
        <v>1773</v>
      </c>
      <c r="E78" s="3" t="s">
        <v>1774</v>
      </c>
      <c r="F78" s="3" t="s">
        <v>1775</v>
      </c>
    </row>
    <row r="79" customFormat="false" ht="106.7" hidden="false" customHeight="false" outlineLevel="0" collapsed="false">
      <c r="A79" s="0" t="n">
        <v>14</v>
      </c>
      <c r="B79" s="3" t="s">
        <v>1776</v>
      </c>
      <c r="C79" s="3" t="s">
        <v>1235</v>
      </c>
      <c r="D79" s="2" t="s">
        <v>1777</v>
      </c>
      <c r="E79" s="3" t="s">
        <v>1778</v>
      </c>
      <c r="F79" s="3" t="s">
        <v>1779</v>
      </c>
    </row>
    <row r="80" customFormat="false" ht="111.15" hidden="false" customHeight="false" outlineLevel="0" collapsed="false">
      <c r="A80" s="0" t="n">
        <v>15</v>
      </c>
      <c r="B80" s="3" t="s">
        <v>1637</v>
      </c>
      <c r="C80" s="3" t="s">
        <v>1235</v>
      </c>
      <c r="D80" s="2" t="s">
        <v>1780</v>
      </c>
      <c r="E80" s="3" t="s">
        <v>1781</v>
      </c>
      <c r="F80" s="3" t="s">
        <v>1782</v>
      </c>
    </row>
    <row r="81" customFormat="false" ht="93.25" hidden="false" customHeight="false" outlineLevel="0" collapsed="false">
      <c r="A81" s="0" t="n">
        <v>16</v>
      </c>
      <c r="B81" s="3" t="s">
        <v>1783</v>
      </c>
      <c r="C81" s="3" t="s">
        <v>1236</v>
      </c>
      <c r="D81" s="3" t="s">
        <v>34</v>
      </c>
      <c r="E81" s="3" t="s">
        <v>1784</v>
      </c>
      <c r="F81" s="3" t="s">
        <v>1785</v>
      </c>
    </row>
    <row r="82" customFormat="false" ht="64.15" hidden="false" customHeight="false" outlineLevel="0" collapsed="false">
      <c r="A82" s="0" t="n">
        <v>17</v>
      </c>
      <c r="B82" s="3" t="s">
        <v>1786</v>
      </c>
      <c r="C82" s="3" t="s">
        <v>981</v>
      </c>
      <c r="D82" s="2" t="s">
        <v>1787</v>
      </c>
      <c r="E82" s="3" t="s">
        <v>1788</v>
      </c>
      <c r="F82" s="3" t="s">
        <v>1789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1790</v>
      </c>
    </row>
    <row r="3" customFormat="false" ht="17.15" hidden="false" customHeight="false" outlineLevel="0" collapsed="false">
      <c r="A3" s="7" t="s">
        <v>1642</v>
      </c>
      <c r="B3" s="6" t="s">
        <v>1276</v>
      </c>
      <c r="C3" s="6" t="s">
        <v>13</v>
      </c>
      <c r="D3" s="6" t="s">
        <v>1554</v>
      </c>
      <c r="E3" s="6" t="s">
        <v>1791</v>
      </c>
      <c r="F3" s="6" t="s">
        <v>14</v>
      </c>
      <c r="G3" s="6" t="s">
        <v>1641</v>
      </c>
      <c r="H3" s="6" t="s">
        <v>16</v>
      </c>
      <c r="I3" s="6" t="s">
        <v>19</v>
      </c>
      <c r="J3" s="6" t="s">
        <v>17</v>
      </c>
      <c r="K3" s="6" t="s">
        <v>1792</v>
      </c>
      <c r="L3" s="6" t="s">
        <v>1793</v>
      </c>
      <c r="M3" s="7" t="s">
        <v>1643</v>
      </c>
      <c r="N3" s="7" t="s">
        <v>1794</v>
      </c>
      <c r="O3" s="6" t="s">
        <v>1795</v>
      </c>
    </row>
    <row r="4" customFormat="false" ht="17.15" hidden="false" customHeight="false" outlineLevel="0" collapsed="false">
      <c r="A4" s="17" t="s">
        <v>1796</v>
      </c>
      <c r="B4" s="17" t="s">
        <v>1627</v>
      </c>
      <c r="C4" s="17" t="s">
        <v>504</v>
      </c>
      <c r="D4" s="17" t="s">
        <v>1628</v>
      </c>
      <c r="E4" s="17" t="s">
        <v>21</v>
      </c>
      <c r="F4" s="17" t="s">
        <v>1681</v>
      </c>
      <c r="G4" s="17" t="n">
        <v>118.548</v>
      </c>
      <c r="H4" s="17" t="s">
        <v>1797</v>
      </c>
      <c r="I4" s="18" t="s">
        <v>1798</v>
      </c>
      <c r="J4" s="17" t="s">
        <v>1799</v>
      </c>
      <c r="K4" s="17" t="s">
        <v>1800</v>
      </c>
      <c r="L4" s="17" t="s">
        <v>1801</v>
      </c>
      <c r="M4" s="18" t="s">
        <v>1802</v>
      </c>
      <c r="N4" s="17"/>
      <c r="O4" s="17" t="n">
        <v>0</v>
      </c>
    </row>
    <row r="5" customFormat="false" ht="17.15" hidden="false" customHeight="false" outlineLevel="0" collapsed="false">
      <c r="A5" s="17" t="s">
        <v>1803</v>
      </c>
      <c r="B5" s="17" t="s">
        <v>1627</v>
      </c>
      <c r="C5" s="17" t="s">
        <v>504</v>
      </c>
      <c r="D5" s="17" t="s">
        <v>1628</v>
      </c>
      <c r="E5" s="17" t="s">
        <v>21</v>
      </c>
      <c r="F5" s="17" t="s">
        <v>1657</v>
      </c>
      <c r="G5" s="17" t="n">
        <v>44.477</v>
      </c>
      <c r="H5" s="17" t="s">
        <v>1797</v>
      </c>
      <c r="I5" s="17" t="s">
        <v>1804</v>
      </c>
      <c r="J5" s="17" t="s">
        <v>1799</v>
      </c>
      <c r="K5" s="17" t="s">
        <v>1800</v>
      </c>
      <c r="L5" s="17" t="s">
        <v>1801</v>
      </c>
      <c r="M5" s="18" t="s">
        <v>1802</v>
      </c>
      <c r="N5" s="17"/>
      <c r="O5" s="17" t="n">
        <v>0</v>
      </c>
    </row>
    <row r="6" customFormat="false" ht="17.15" hidden="false" customHeight="false" outlineLevel="0" collapsed="false">
      <c r="A6" s="17" t="s">
        <v>1805</v>
      </c>
      <c r="B6" s="17" t="s">
        <v>1627</v>
      </c>
      <c r="C6" s="17" t="s">
        <v>504</v>
      </c>
      <c r="D6" s="17" t="s">
        <v>1628</v>
      </c>
      <c r="E6" s="17" t="s">
        <v>21</v>
      </c>
      <c r="F6" s="17" t="s">
        <v>1806</v>
      </c>
      <c r="G6" s="17" t="n">
        <v>11.633</v>
      </c>
      <c r="H6" s="17" t="s">
        <v>1797</v>
      </c>
      <c r="I6" s="18" t="s">
        <v>1807</v>
      </c>
      <c r="J6" s="17" t="s">
        <v>1799</v>
      </c>
      <c r="K6" s="17" t="s">
        <v>1800</v>
      </c>
      <c r="L6" s="17" t="s">
        <v>1801</v>
      </c>
      <c r="M6" s="18" t="s">
        <v>1802</v>
      </c>
      <c r="N6" s="17"/>
      <c r="O6" s="17" t="n">
        <v>0</v>
      </c>
    </row>
    <row r="7" customFormat="false" ht="17.15" hidden="false" customHeight="false" outlineLevel="0" collapsed="false">
      <c r="A7" s="17" t="s">
        <v>1808</v>
      </c>
      <c r="B7" s="17" t="s">
        <v>1627</v>
      </c>
      <c r="C7" s="17" t="s">
        <v>504</v>
      </c>
      <c r="D7" s="17" t="s">
        <v>1628</v>
      </c>
      <c r="E7" s="17" t="s">
        <v>21</v>
      </c>
      <c r="F7" s="17" t="s">
        <v>1645</v>
      </c>
      <c r="G7" s="17" t="n">
        <v>56.11</v>
      </c>
      <c r="H7" s="17" t="s">
        <v>1797</v>
      </c>
      <c r="I7" s="18" t="s">
        <v>1809</v>
      </c>
      <c r="J7" s="17" t="s">
        <v>1810</v>
      </c>
      <c r="K7" s="17" t="s">
        <v>1800</v>
      </c>
      <c r="L7" s="17" t="s">
        <v>1801</v>
      </c>
      <c r="M7" s="18" t="s">
        <v>1802</v>
      </c>
      <c r="N7" s="17"/>
      <c r="O7" s="17" t="n">
        <v>0</v>
      </c>
    </row>
    <row r="8" customFormat="false" ht="17.15" hidden="false" customHeight="false" outlineLevel="0" collapsed="false">
      <c r="A8" s="17" t="s">
        <v>1811</v>
      </c>
      <c r="B8" s="17" t="s">
        <v>1627</v>
      </c>
      <c r="C8" s="17" t="s">
        <v>504</v>
      </c>
      <c r="D8" s="17" t="s">
        <v>1628</v>
      </c>
      <c r="E8" s="17" t="s">
        <v>21</v>
      </c>
      <c r="F8" s="17" t="s">
        <v>1686</v>
      </c>
      <c r="G8" s="17" t="n">
        <v>74.071</v>
      </c>
      <c r="H8" s="17" t="s">
        <v>1797</v>
      </c>
      <c r="I8" s="18" t="s">
        <v>1812</v>
      </c>
      <c r="J8" s="17" t="s">
        <v>1810</v>
      </c>
      <c r="K8" s="17" t="s">
        <v>1800</v>
      </c>
      <c r="L8" s="17" t="s">
        <v>1801</v>
      </c>
      <c r="M8" s="18" t="s">
        <v>1802</v>
      </c>
      <c r="N8" s="17"/>
      <c r="O8" s="17" t="n">
        <v>0</v>
      </c>
    </row>
    <row r="9" customFormat="false" ht="17.15" hidden="false" customHeight="false" outlineLevel="0" collapsed="false">
      <c r="A9" s="0" t="s">
        <v>1813</v>
      </c>
      <c r="B9" s="0" t="s">
        <v>1627</v>
      </c>
      <c r="C9" s="0" t="s">
        <v>504</v>
      </c>
      <c r="D9" s="0" t="s">
        <v>1628</v>
      </c>
      <c r="E9" s="0" t="s">
        <v>21</v>
      </c>
      <c r="F9" s="0" t="s">
        <v>1814</v>
      </c>
      <c r="G9" s="9" t="n">
        <v>39.025</v>
      </c>
      <c r="H9" s="20" t="s">
        <v>1797</v>
      </c>
      <c r="I9" s="5" t="s">
        <v>1815</v>
      </c>
      <c r="J9" s="20" t="s">
        <v>1799</v>
      </c>
      <c r="K9" s="20" t="s">
        <v>1816</v>
      </c>
      <c r="L9" s="20" t="s">
        <v>1801</v>
      </c>
      <c r="M9" s="5" t="s">
        <v>1648</v>
      </c>
      <c r="O9" s="0" t="n">
        <v>1</v>
      </c>
    </row>
    <row r="10" customFormat="false" ht="17.15" hidden="false" customHeight="false" outlineLevel="0" collapsed="false">
      <c r="A10" s="0" t="s">
        <v>1817</v>
      </c>
      <c r="B10" s="0" t="s">
        <v>1627</v>
      </c>
      <c r="C10" s="0" t="s">
        <v>504</v>
      </c>
      <c r="D10" s="0" t="s">
        <v>1629</v>
      </c>
      <c r="E10" s="0" t="s">
        <v>22</v>
      </c>
      <c r="F10" s="0" t="s">
        <v>1681</v>
      </c>
      <c r="G10" s="9" t="n">
        <v>136.162</v>
      </c>
      <c r="H10" s="20" t="s">
        <v>1797</v>
      </c>
      <c r="I10" s="5" t="s">
        <v>1818</v>
      </c>
      <c r="J10" s="20" t="s">
        <v>1799</v>
      </c>
      <c r="K10" s="20" t="s">
        <v>1816</v>
      </c>
      <c r="L10" s="20" t="s">
        <v>1801</v>
      </c>
      <c r="M10" s="5" t="s">
        <v>1648</v>
      </c>
      <c r="O10" s="0" t="n">
        <v>1</v>
      </c>
    </row>
    <row r="11" customFormat="false" ht="17.15" hidden="false" customHeight="false" outlineLevel="0" collapsed="false">
      <c r="A11" s="0" t="s">
        <v>1819</v>
      </c>
      <c r="B11" s="0" t="s">
        <v>1627</v>
      </c>
      <c r="C11" s="0" t="s">
        <v>504</v>
      </c>
      <c r="D11" s="0" t="s">
        <v>1629</v>
      </c>
      <c r="E11" s="0" t="s">
        <v>22</v>
      </c>
      <c r="F11" s="0" t="s">
        <v>1657</v>
      </c>
      <c r="G11" s="9" t="n">
        <v>64.551</v>
      </c>
      <c r="H11" s="20" t="s">
        <v>1797</v>
      </c>
      <c r="I11" s="20" t="s">
        <v>1820</v>
      </c>
      <c r="J11" s="20" t="s">
        <v>1799</v>
      </c>
      <c r="K11" s="20" t="s">
        <v>1816</v>
      </c>
      <c r="L11" s="20" t="s">
        <v>1801</v>
      </c>
      <c r="M11" s="5" t="s">
        <v>1648</v>
      </c>
      <c r="O11" s="0" t="n">
        <v>1</v>
      </c>
    </row>
    <row r="12" customFormat="false" ht="17.15" hidden="false" customHeight="false" outlineLevel="0" collapsed="false">
      <c r="A12" s="0" t="s">
        <v>1821</v>
      </c>
      <c r="B12" s="0" t="s">
        <v>1627</v>
      </c>
      <c r="C12" s="0" t="s">
        <v>504</v>
      </c>
      <c r="D12" s="0" t="s">
        <v>1629</v>
      </c>
      <c r="E12" s="0" t="s">
        <v>22</v>
      </c>
      <c r="F12" s="0" t="s">
        <v>1806</v>
      </c>
      <c r="G12" s="9" t="n">
        <v>20.511</v>
      </c>
      <c r="H12" s="20" t="s">
        <v>1797</v>
      </c>
      <c r="I12" s="5" t="s">
        <v>1822</v>
      </c>
      <c r="J12" s="20" t="s">
        <v>1799</v>
      </c>
      <c r="K12" s="20" t="s">
        <v>1816</v>
      </c>
      <c r="L12" s="20" t="s">
        <v>1801</v>
      </c>
      <c r="M12" s="20" t="s">
        <v>1714</v>
      </c>
      <c r="O12" s="0" t="n">
        <v>1</v>
      </c>
    </row>
    <row r="13" customFormat="false" ht="17.15" hidden="false" customHeight="false" outlineLevel="0" collapsed="false">
      <c r="A13" s="0" t="s">
        <v>1823</v>
      </c>
      <c r="B13" s="0" t="s">
        <v>1627</v>
      </c>
      <c r="C13" s="0" t="s">
        <v>504</v>
      </c>
      <c r="D13" s="0" t="s">
        <v>1629</v>
      </c>
      <c r="E13" s="0" t="s">
        <v>22</v>
      </c>
      <c r="F13" s="0" t="s">
        <v>1645</v>
      </c>
      <c r="G13" s="9" t="n">
        <v>85.062</v>
      </c>
      <c r="H13" s="20" t="s">
        <v>1797</v>
      </c>
      <c r="I13" s="5" t="s">
        <v>1824</v>
      </c>
      <c r="J13" s="20" t="s">
        <v>1810</v>
      </c>
      <c r="K13" s="20" t="s">
        <v>1816</v>
      </c>
      <c r="L13" s="20" t="s">
        <v>1801</v>
      </c>
      <c r="M13" s="20" t="s">
        <v>1714</v>
      </c>
      <c r="O13" s="0" t="n">
        <v>1</v>
      </c>
    </row>
    <row r="14" customFormat="false" ht="17.15" hidden="false" customHeight="false" outlineLevel="0" collapsed="false">
      <c r="A14" s="17" t="s">
        <v>1825</v>
      </c>
      <c r="B14" s="17" t="s">
        <v>1627</v>
      </c>
      <c r="C14" s="17" t="s">
        <v>504</v>
      </c>
      <c r="D14" s="17" t="s">
        <v>1629</v>
      </c>
      <c r="E14" s="17" t="s">
        <v>22</v>
      </c>
      <c r="F14" s="17" t="s">
        <v>1686</v>
      </c>
      <c r="G14" s="17" t="n">
        <v>71.611</v>
      </c>
      <c r="H14" s="17" t="s">
        <v>1797</v>
      </c>
      <c r="I14" s="18" t="s">
        <v>1812</v>
      </c>
      <c r="J14" s="17" t="s">
        <v>1810</v>
      </c>
      <c r="K14" s="17" t="s">
        <v>1800</v>
      </c>
      <c r="L14" s="17" t="s">
        <v>1801</v>
      </c>
      <c r="M14" s="18" t="s">
        <v>1802</v>
      </c>
      <c r="N14" s="17"/>
      <c r="O14" s="17" t="n">
        <v>0</v>
      </c>
    </row>
    <row r="15" customFormat="false" ht="17.15" hidden="false" customHeight="false" outlineLevel="0" collapsed="false">
      <c r="A15" s="0" t="s">
        <v>1826</v>
      </c>
      <c r="B15" s="0" t="s">
        <v>1627</v>
      </c>
      <c r="C15" s="0" t="s">
        <v>504</v>
      </c>
      <c r="D15" s="0" t="s">
        <v>1629</v>
      </c>
      <c r="E15" s="0" t="s">
        <v>22</v>
      </c>
      <c r="F15" s="0" t="s">
        <v>1814</v>
      </c>
      <c r="G15" s="9" t="n">
        <v>42.502</v>
      </c>
      <c r="H15" s="20" t="s">
        <v>1797</v>
      </c>
      <c r="I15" s="5" t="s">
        <v>1827</v>
      </c>
      <c r="J15" s="20" t="s">
        <v>1799</v>
      </c>
      <c r="K15" s="20" t="s">
        <v>1816</v>
      </c>
      <c r="L15" s="20" t="s">
        <v>1801</v>
      </c>
      <c r="M15" s="5" t="s">
        <v>1648</v>
      </c>
      <c r="O15" s="0" t="n">
        <v>1</v>
      </c>
    </row>
    <row r="16" customFormat="false" ht="17.15" hidden="false" customHeight="false" outlineLevel="0" collapsed="false">
      <c r="A16" s="0" t="s">
        <v>1828</v>
      </c>
      <c r="B16" s="0" t="s">
        <v>1627</v>
      </c>
      <c r="C16" s="0" t="s">
        <v>504</v>
      </c>
      <c r="D16" s="0" t="s">
        <v>1630</v>
      </c>
      <c r="E16" s="0" t="s">
        <v>23</v>
      </c>
      <c r="F16" s="0" t="s">
        <v>1681</v>
      </c>
      <c r="G16" s="9" t="n">
        <v>182.935</v>
      </c>
      <c r="H16" s="20" t="s">
        <v>1797</v>
      </c>
      <c r="I16" s="5" t="s">
        <v>1818</v>
      </c>
      <c r="J16" s="20" t="s">
        <v>1799</v>
      </c>
      <c r="K16" s="20" t="s">
        <v>1816</v>
      </c>
      <c r="L16" s="20" t="s">
        <v>1801</v>
      </c>
      <c r="M16" s="5" t="s">
        <v>1648</v>
      </c>
      <c r="O16" s="0" t="n">
        <v>1</v>
      </c>
    </row>
    <row r="17" customFormat="false" ht="17.15" hidden="false" customHeight="false" outlineLevel="0" collapsed="false">
      <c r="A17" s="0" t="s">
        <v>1829</v>
      </c>
      <c r="B17" s="0" t="s">
        <v>1627</v>
      </c>
      <c r="C17" s="0" t="s">
        <v>504</v>
      </c>
      <c r="D17" s="0" t="s">
        <v>1630</v>
      </c>
      <c r="E17" s="0" t="s">
        <v>23</v>
      </c>
      <c r="F17" s="0" t="s">
        <v>1657</v>
      </c>
      <c r="G17" s="9" t="n">
        <v>115.948</v>
      </c>
      <c r="H17" s="20" t="s">
        <v>1797</v>
      </c>
      <c r="I17" s="20" t="s">
        <v>1820</v>
      </c>
      <c r="J17" s="20" t="s">
        <v>1799</v>
      </c>
      <c r="K17" s="20" t="s">
        <v>1816</v>
      </c>
      <c r="L17" s="20" t="s">
        <v>1801</v>
      </c>
      <c r="M17" s="5" t="s">
        <v>1648</v>
      </c>
      <c r="O17" s="0" t="n">
        <v>1</v>
      </c>
    </row>
    <row r="18" customFormat="false" ht="17.15" hidden="false" customHeight="false" outlineLevel="0" collapsed="false">
      <c r="A18" s="17" t="s">
        <v>1830</v>
      </c>
      <c r="B18" s="17" t="s">
        <v>1627</v>
      </c>
      <c r="C18" s="17" t="s">
        <v>504</v>
      </c>
      <c r="D18" s="17" t="s">
        <v>1630</v>
      </c>
      <c r="E18" s="17" t="s">
        <v>23</v>
      </c>
      <c r="F18" s="17" t="s">
        <v>1806</v>
      </c>
      <c r="G18" s="17" t="n">
        <v>24.608</v>
      </c>
      <c r="H18" s="17" t="s">
        <v>1797</v>
      </c>
      <c r="I18" s="18" t="s">
        <v>1807</v>
      </c>
      <c r="J18" s="17" t="s">
        <v>1799</v>
      </c>
      <c r="K18" s="17" t="s">
        <v>1800</v>
      </c>
      <c r="L18" s="17" t="s">
        <v>1801</v>
      </c>
      <c r="M18" s="18" t="s">
        <v>1831</v>
      </c>
      <c r="N18" s="17"/>
      <c r="O18" s="17" t="n">
        <v>0</v>
      </c>
    </row>
    <row r="19" customFormat="false" ht="17.15" hidden="false" customHeight="false" outlineLevel="0" collapsed="false">
      <c r="A19" s="0" t="s">
        <v>1832</v>
      </c>
      <c r="B19" s="0" t="s">
        <v>1627</v>
      </c>
      <c r="C19" s="0" t="s">
        <v>504</v>
      </c>
      <c r="D19" s="0" t="s">
        <v>1630</v>
      </c>
      <c r="E19" s="0" t="s">
        <v>23</v>
      </c>
      <c r="F19" s="0" t="s">
        <v>1645</v>
      </c>
      <c r="G19" s="9" t="n">
        <v>140.556</v>
      </c>
      <c r="H19" s="20" t="s">
        <v>1797</v>
      </c>
      <c r="I19" s="5" t="s">
        <v>1824</v>
      </c>
      <c r="J19" s="20" t="s">
        <v>1810</v>
      </c>
      <c r="K19" s="20" t="s">
        <v>1816</v>
      </c>
      <c r="L19" s="20" t="s">
        <v>1801</v>
      </c>
      <c r="M19" s="20" t="s">
        <v>1714</v>
      </c>
      <c r="O19" s="0" t="n">
        <v>1</v>
      </c>
    </row>
    <row r="20" customFormat="false" ht="17.15" hidden="false" customHeight="false" outlineLevel="0" collapsed="false">
      <c r="A20" s="17" t="s">
        <v>1833</v>
      </c>
      <c r="B20" s="17" t="s">
        <v>1627</v>
      </c>
      <c r="C20" s="17" t="s">
        <v>504</v>
      </c>
      <c r="D20" s="17" t="s">
        <v>1630</v>
      </c>
      <c r="E20" s="17" t="s">
        <v>23</v>
      </c>
      <c r="F20" s="17" t="s">
        <v>1686</v>
      </c>
      <c r="G20" s="17" t="n">
        <v>66.987</v>
      </c>
      <c r="H20" s="17" t="s">
        <v>1797</v>
      </c>
      <c r="I20" s="18" t="s">
        <v>1812</v>
      </c>
      <c r="J20" s="17" t="s">
        <v>1810</v>
      </c>
      <c r="K20" s="17" t="s">
        <v>1800</v>
      </c>
      <c r="L20" s="17" t="s">
        <v>1801</v>
      </c>
      <c r="M20" s="18" t="s">
        <v>1802</v>
      </c>
      <c r="N20" s="17"/>
      <c r="O20" s="17" t="n">
        <v>0</v>
      </c>
    </row>
    <row r="21" customFormat="false" ht="17.15" hidden="false" customHeight="false" outlineLevel="0" collapsed="false">
      <c r="A21" s="0" t="s">
        <v>1834</v>
      </c>
      <c r="B21" s="0" t="s">
        <v>1627</v>
      </c>
      <c r="C21" s="0" t="s">
        <v>504</v>
      </c>
      <c r="D21" s="0" t="s">
        <v>1630</v>
      </c>
      <c r="E21" s="0" t="s">
        <v>23</v>
      </c>
      <c r="F21" s="0" t="s">
        <v>1814</v>
      </c>
      <c r="G21" s="9" t="n">
        <v>48.716</v>
      </c>
      <c r="H21" s="20" t="s">
        <v>1797</v>
      </c>
      <c r="I21" s="5" t="s">
        <v>1835</v>
      </c>
      <c r="J21" s="20" t="s">
        <v>1799</v>
      </c>
      <c r="K21" s="20" t="s">
        <v>1816</v>
      </c>
      <c r="L21" s="20" t="s">
        <v>1801</v>
      </c>
      <c r="M21" s="5" t="s">
        <v>1648</v>
      </c>
      <c r="O21" s="0" t="n">
        <v>1</v>
      </c>
    </row>
    <row r="22" customFormat="false" ht="17.15" hidden="false" customHeight="false" outlineLevel="0" collapsed="false">
      <c r="A22" s="0" t="s">
        <v>1836</v>
      </c>
      <c r="B22" s="0" t="s">
        <v>1627</v>
      </c>
      <c r="C22" s="0" t="s">
        <v>504</v>
      </c>
      <c r="D22" s="0" t="s">
        <v>1628</v>
      </c>
      <c r="E22" s="0" t="s">
        <v>21</v>
      </c>
      <c r="F22" s="0" t="s">
        <v>1653</v>
      </c>
      <c r="G22" s="9" t="n">
        <v>24.395</v>
      </c>
      <c r="H22" s="20" t="s">
        <v>1797</v>
      </c>
      <c r="I22" s="5" t="s">
        <v>1837</v>
      </c>
      <c r="J22" s="20" t="s">
        <v>1799</v>
      </c>
      <c r="K22" s="20" t="s">
        <v>1816</v>
      </c>
      <c r="L22" s="20" t="s">
        <v>1801</v>
      </c>
      <c r="M22" s="5" t="s">
        <v>1648</v>
      </c>
      <c r="O22" s="0" t="n">
        <v>1</v>
      </c>
    </row>
    <row r="23" customFormat="false" ht="17.15" hidden="false" customHeight="false" outlineLevel="0" collapsed="false">
      <c r="A23" s="0" t="s">
        <v>1838</v>
      </c>
      <c r="B23" s="0" t="s">
        <v>1627</v>
      </c>
      <c r="C23" s="0" t="s">
        <v>504</v>
      </c>
      <c r="D23" s="0" t="s">
        <v>1629</v>
      </c>
      <c r="E23" s="0" t="s">
        <v>22</v>
      </c>
      <c r="F23" s="0" t="s">
        <v>1653</v>
      </c>
      <c r="G23" s="9" t="n">
        <v>0</v>
      </c>
      <c r="H23" s="20" t="s">
        <v>1797</v>
      </c>
      <c r="I23" s="5" t="s">
        <v>1837</v>
      </c>
      <c r="J23" s="20" t="s">
        <v>1799</v>
      </c>
      <c r="K23" s="20" t="s">
        <v>1816</v>
      </c>
      <c r="L23" s="20" t="s">
        <v>1801</v>
      </c>
      <c r="M23" s="5" t="s">
        <v>1648</v>
      </c>
      <c r="O23" s="0" t="n">
        <v>1</v>
      </c>
    </row>
    <row r="24" customFormat="false" ht="17.15" hidden="false" customHeight="false" outlineLevel="0" collapsed="false">
      <c r="A24" s="0" t="s">
        <v>1839</v>
      </c>
      <c r="B24" s="0" t="s">
        <v>1627</v>
      </c>
      <c r="C24" s="0" t="s">
        <v>504</v>
      </c>
      <c r="D24" s="0" t="s">
        <v>1630</v>
      </c>
      <c r="E24" s="0" t="s">
        <v>23</v>
      </c>
      <c r="F24" s="0" t="s">
        <v>1653</v>
      </c>
      <c r="G24" s="9" t="n">
        <v>0</v>
      </c>
      <c r="H24" s="20" t="s">
        <v>1797</v>
      </c>
      <c r="I24" s="5" t="s">
        <v>1837</v>
      </c>
      <c r="J24" s="20" t="s">
        <v>1799</v>
      </c>
      <c r="K24" s="20" t="s">
        <v>1816</v>
      </c>
      <c r="L24" s="20" t="s">
        <v>1801</v>
      </c>
      <c r="M24" s="5" t="s">
        <v>1648</v>
      </c>
      <c r="O24" s="0" t="n">
        <v>1</v>
      </c>
    </row>
    <row r="25" customFormat="false" ht="17.15" hidden="false" customHeight="false" outlineLevel="0" collapsed="false">
      <c r="A25" s="17" t="s">
        <v>1840</v>
      </c>
      <c r="B25" s="17" t="s">
        <v>1627</v>
      </c>
      <c r="C25" s="17" t="s">
        <v>504</v>
      </c>
      <c r="D25" s="17" t="s">
        <v>1630</v>
      </c>
      <c r="E25" s="17" t="s">
        <v>23</v>
      </c>
      <c r="F25" s="17" t="s">
        <v>1841</v>
      </c>
      <c r="G25" s="17" t="n">
        <v>-2.857</v>
      </c>
      <c r="H25" s="17" t="s">
        <v>1797</v>
      </c>
      <c r="I25" s="18" t="s">
        <v>1842</v>
      </c>
      <c r="J25" s="17" t="s">
        <v>1810</v>
      </c>
      <c r="K25" s="17" t="s">
        <v>1800</v>
      </c>
      <c r="L25" s="17" t="s">
        <v>1801</v>
      </c>
      <c r="M25" s="18" t="s">
        <v>1802</v>
      </c>
      <c r="N25" s="17"/>
      <c r="O25" s="17" t="n">
        <v>0</v>
      </c>
    </row>
    <row r="26" customFormat="false" ht="17.15" hidden="false" customHeight="false" outlineLevel="0" collapsed="false">
      <c r="A26" s="17" t="s">
        <v>1843</v>
      </c>
      <c r="B26" s="17" t="s">
        <v>1627</v>
      </c>
      <c r="C26" s="17" t="s">
        <v>504</v>
      </c>
      <c r="D26" s="17" t="s">
        <v>1628</v>
      </c>
      <c r="E26" s="17" t="s">
        <v>21</v>
      </c>
      <c r="F26" s="17" t="s">
        <v>1700</v>
      </c>
      <c r="G26" s="17" t="n">
        <v>6.703</v>
      </c>
      <c r="H26" s="17" t="s">
        <v>1797</v>
      </c>
      <c r="I26" s="18" t="s">
        <v>1844</v>
      </c>
      <c r="J26" s="17" t="s">
        <v>1799</v>
      </c>
      <c r="K26" s="17" t="s">
        <v>1800</v>
      </c>
      <c r="L26" s="17" t="s">
        <v>1801</v>
      </c>
      <c r="M26" s="18" t="s">
        <v>1802</v>
      </c>
      <c r="N26" s="17"/>
      <c r="O26" s="17" t="n">
        <v>0</v>
      </c>
    </row>
    <row r="27" customFormat="false" ht="17.15" hidden="false" customHeight="false" outlineLevel="0" collapsed="false">
      <c r="A27" s="17" t="s">
        <v>1845</v>
      </c>
      <c r="B27" s="17" t="s">
        <v>1627</v>
      </c>
      <c r="C27" s="17" t="s">
        <v>504</v>
      </c>
      <c r="D27" s="17" t="s">
        <v>1629</v>
      </c>
      <c r="E27" s="17" t="s">
        <v>22</v>
      </c>
      <c r="F27" s="17" t="s">
        <v>1700</v>
      </c>
      <c r="G27" s="17" t="n">
        <v>7.826</v>
      </c>
      <c r="H27" s="17" t="s">
        <v>1797</v>
      </c>
      <c r="I27" s="18" t="s">
        <v>1844</v>
      </c>
      <c r="J27" s="17" t="s">
        <v>1799</v>
      </c>
      <c r="K27" s="17" t="s">
        <v>1800</v>
      </c>
      <c r="L27" s="17" t="s">
        <v>1801</v>
      </c>
      <c r="M27" s="18" t="s">
        <v>1802</v>
      </c>
      <c r="N27" s="17"/>
      <c r="O27" s="17" t="n">
        <v>0</v>
      </c>
    </row>
    <row r="28" customFormat="false" ht="17.15" hidden="false" customHeight="false" outlineLevel="0" collapsed="false">
      <c r="A28" s="17" t="s">
        <v>1846</v>
      </c>
      <c r="B28" s="17" t="s">
        <v>1627</v>
      </c>
      <c r="C28" s="17" t="s">
        <v>504</v>
      </c>
      <c r="D28" s="17" t="s">
        <v>1630</v>
      </c>
      <c r="E28" s="17" t="s">
        <v>23</v>
      </c>
      <c r="F28" s="17" t="s">
        <v>1700</v>
      </c>
      <c r="G28" s="17" t="n">
        <v>4.555</v>
      </c>
      <c r="H28" s="17" t="s">
        <v>1797</v>
      </c>
      <c r="I28" s="18" t="s">
        <v>1844</v>
      </c>
      <c r="J28" s="17" t="s">
        <v>1799</v>
      </c>
      <c r="K28" s="17" t="s">
        <v>1800</v>
      </c>
      <c r="L28" s="17" t="s">
        <v>1801</v>
      </c>
      <c r="M28" s="18" t="s">
        <v>1802</v>
      </c>
      <c r="N28" s="17"/>
      <c r="O28" s="17" t="n">
        <v>0</v>
      </c>
    </row>
    <row r="29" customFormat="false" ht="17.15" hidden="false" customHeight="false" outlineLevel="0" collapsed="false">
      <c r="A29" s="0" t="s">
        <v>1847</v>
      </c>
      <c r="B29" s="0" t="s">
        <v>1627</v>
      </c>
      <c r="C29" s="0" t="s">
        <v>504</v>
      </c>
      <c r="D29" s="0" t="s">
        <v>118</v>
      </c>
      <c r="E29" s="0" t="s">
        <v>23</v>
      </c>
      <c r="F29" s="0" t="s">
        <v>1697</v>
      </c>
      <c r="G29" s="9" t="n">
        <v>329.1</v>
      </c>
      <c r="H29" s="20" t="s">
        <v>1797</v>
      </c>
      <c r="I29" s="5" t="s">
        <v>1848</v>
      </c>
      <c r="J29" s="20" t="s">
        <v>1799</v>
      </c>
      <c r="K29" s="20" t="s">
        <v>1816</v>
      </c>
      <c r="L29" s="20" t="s">
        <v>1801</v>
      </c>
      <c r="M29" s="5" t="s">
        <v>1648</v>
      </c>
      <c r="O29" s="0" t="n">
        <v>1</v>
      </c>
    </row>
    <row r="30" customFormat="false" ht="17.15" hidden="false" customHeight="false" outlineLevel="0" collapsed="false">
      <c r="A30" s="17" t="s">
        <v>1849</v>
      </c>
      <c r="B30" s="17" t="s">
        <v>1627</v>
      </c>
      <c r="C30" s="17" t="s">
        <v>504</v>
      </c>
      <c r="D30" s="17" t="s">
        <v>118</v>
      </c>
      <c r="E30" s="17" t="s">
        <v>23</v>
      </c>
      <c r="F30" s="17" t="s">
        <v>1850</v>
      </c>
      <c r="G30" s="17" t="n">
        <v>194.06</v>
      </c>
      <c r="H30" s="17" t="s">
        <v>1797</v>
      </c>
      <c r="I30" s="18" t="s">
        <v>1851</v>
      </c>
      <c r="J30" s="17" t="s">
        <v>1799</v>
      </c>
      <c r="K30" s="17" t="s">
        <v>1800</v>
      </c>
      <c r="L30" s="17" t="s">
        <v>1801</v>
      </c>
      <c r="M30" s="18" t="s">
        <v>1802</v>
      </c>
      <c r="N30" s="17"/>
      <c r="O30" s="17" t="n">
        <v>0</v>
      </c>
    </row>
    <row r="31" customFormat="false" ht="17.15" hidden="false" customHeight="false" outlineLevel="0" collapsed="false">
      <c r="A31" s="0" t="s">
        <v>1647</v>
      </c>
      <c r="B31" s="0" t="s">
        <v>1627</v>
      </c>
      <c r="C31" s="0" t="s">
        <v>504</v>
      </c>
      <c r="D31" s="0" t="s">
        <v>1644</v>
      </c>
      <c r="E31" s="0" t="s">
        <v>1852</v>
      </c>
      <c r="F31" s="0" t="s">
        <v>1645</v>
      </c>
      <c r="G31" s="9" t="n">
        <v>175</v>
      </c>
      <c r="H31" s="20" t="s">
        <v>1797</v>
      </c>
      <c r="I31" s="5" t="s">
        <v>1646</v>
      </c>
      <c r="J31" s="20" t="s">
        <v>1853</v>
      </c>
      <c r="K31" s="20" t="s">
        <v>1854</v>
      </c>
      <c r="L31" s="20" t="s">
        <v>1855</v>
      </c>
      <c r="M31" s="5" t="s">
        <v>1648</v>
      </c>
      <c r="O31" s="0" t="n">
        <v>1</v>
      </c>
    </row>
    <row r="32" customFormat="false" ht="17.15" hidden="false" customHeight="false" outlineLevel="0" collapsed="false">
      <c r="A32" s="0" t="s">
        <v>1651</v>
      </c>
      <c r="B32" s="0" t="s">
        <v>1627</v>
      </c>
      <c r="C32" s="0" t="s">
        <v>504</v>
      </c>
      <c r="D32" s="0" t="s">
        <v>1649</v>
      </c>
      <c r="E32" s="0" t="s">
        <v>1856</v>
      </c>
      <c r="F32" s="0" t="s">
        <v>1645</v>
      </c>
      <c r="G32" s="9" t="n">
        <v>50</v>
      </c>
      <c r="H32" s="20" t="s">
        <v>1797</v>
      </c>
      <c r="I32" s="20" t="s">
        <v>1650</v>
      </c>
      <c r="J32" s="20" t="s">
        <v>1853</v>
      </c>
      <c r="K32" s="20" t="s">
        <v>1854</v>
      </c>
      <c r="L32" s="20" t="s">
        <v>1857</v>
      </c>
      <c r="M32" s="5" t="s">
        <v>1648</v>
      </c>
      <c r="O32" s="0" t="n">
        <v>1</v>
      </c>
    </row>
    <row r="33" customFormat="false" ht="17.15" hidden="false" customHeight="false" outlineLevel="0" collapsed="false">
      <c r="A33" s="0" t="s">
        <v>1858</v>
      </c>
      <c r="B33" s="0" t="s">
        <v>1627</v>
      </c>
      <c r="C33" s="0" t="s">
        <v>504</v>
      </c>
      <c r="D33" s="0" t="s">
        <v>1859</v>
      </c>
      <c r="E33" s="0" t="s">
        <v>23</v>
      </c>
      <c r="F33" s="0" t="s">
        <v>1670</v>
      </c>
      <c r="G33" s="9" t="n">
        <v>60</v>
      </c>
      <c r="H33" s="20" t="s">
        <v>1797</v>
      </c>
      <c r="I33" s="20" t="s">
        <v>1860</v>
      </c>
      <c r="J33" s="20" t="s">
        <v>1853</v>
      </c>
      <c r="K33" s="20" t="s">
        <v>1861</v>
      </c>
      <c r="L33" s="20" t="s">
        <v>1862</v>
      </c>
      <c r="M33" s="5" t="s">
        <v>1648</v>
      </c>
      <c r="O33" s="0" t="n">
        <v>1</v>
      </c>
    </row>
    <row r="34" customFormat="false" ht="17.15" hidden="false" customHeight="false" outlineLevel="0" collapsed="false">
      <c r="A34" s="17" t="s">
        <v>1863</v>
      </c>
      <c r="B34" s="17" t="s">
        <v>1627</v>
      </c>
      <c r="C34" s="17" t="s">
        <v>504</v>
      </c>
      <c r="D34" s="17" t="s">
        <v>118</v>
      </c>
      <c r="E34" s="17" t="s">
        <v>23</v>
      </c>
      <c r="F34" s="17" t="s">
        <v>1670</v>
      </c>
      <c r="G34" s="17" t="n">
        <v>11.9</v>
      </c>
      <c r="H34" s="17" t="s">
        <v>1797</v>
      </c>
      <c r="I34" s="18" t="s">
        <v>1864</v>
      </c>
      <c r="J34" s="17" t="s">
        <v>1799</v>
      </c>
      <c r="K34" s="17" t="s">
        <v>1800</v>
      </c>
      <c r="L34" s="17" t="s">
        <v>1801</v>
      </c>
      <c r="M34" s="18" t="s">
        <v>1802</v>
      </c>
      <c r="N34" s="17"/>
      <c r="O34" s="17" t="n">
        <v>0</v>
      </c>
    </row>
    <row r="35" customFormat="false" ht="17.15" hidden="false" customHeight="false" outlineLevel="0" collapsed="false">
      <c r="A35" s="17" t="s">
        <v>1865</v>
      </c>
      <c r="B35" s="17" t="s">
        <v>1627</v>
      </c>
      <c r="C35" s="17" t="s">
        <v>504</v>
      </c>
      <c r="D35" s="17" t="s">
        <v>1866</v>
      </c>
      <c r="E35" s="17" t="s">
        <v>23</v>
      </c>
      <c r="F35" s="17" t="s">
        <v>1670</v>
      </c>
      <c r="G35" s="17" t="n">
        <v>250</v>
      </c>
      <c r="H35" s="17" t="s">
        <v>1797</v>
      </c>
      <c r="I35" s="17" t="s">
        <v>1867</v>
      </c>
      <c r="J35" s="17" t="s">
        <v>1853</v>
      </c>
      <c r="K35" s="17" t="s">
        <v>1868</v>
      </c>
      <c r="L35" s="17" t="s">
        <v>1869</v>
      </c>
      <c r="M35" s="18" t="s">
        <v>1802</v>
      </c>
      <c r="N35" s="17"/>
      <c r="O35" s="17" t="n">
        <v>0</v>
      </c>
    </row>
    <row r="36" customFormat="false" ht="17.15" hidden="false" customHeight="false" outlineLevel="0" collapsed="false">
      <c r="A36" s="17" t="s">
        <v>1870</v>
      </c>
      <c r="B36" s="17" t="s">
        <v>1631</v>
      </c>
      <c r="C36" s="17" t="s">
        <v>509</v>
      </c>
      <c r="D36" s="17" t="s">
        <v>1632</v>
      </c>
      <c r="E36" s="17" t="s">
        <v>21</v>
      </c>
      <c r="F36" s="17" t="s">
        <v>1681</v>
      </c>
      <c r="G36" s="17" t="n">
        <v>125.299</v>
      </c>
      <c r="H36" s="17" t="s">
        <v>1797</v>
      </c>
      <c r="I36" s="18" t="s">
        <v>1871</v>
      </c>
      <c r="J36" s="17" t="s">
        <v>1799</v>
      </c>
      <c r="K36" s="17" t="s">
        <v>1872</v>
      </c>
      <c r="L36" s="17" t="s">
        <v>1873</v>
      </c>
      <c r="M36" s="18" t="s">
        <v>1802</v>
      </c>
      <c r="N36" s="17"/>
      <c r="O36" s="17" t="n">
        <v>0</v>
      </c>
    </row>
    <row r="37" customFormat="false" ht="17.15" hidden="false" customHeight="false" outlineLevel="0" collapsed="false">
      <c r="A37" s="17" t="s">
        <v>1874</v>
      </c>
      <c r="B37" s="17" t="s">
        <v>1631</v>
      </c>
      <c r="C37" s="17" t="s">
        <v>509</v>
      </c>
      <c r="D37" s="17" t="s">
        <v>1632</v>
      </c>
      <c r="E37" s="17" t="s">
        <v>21</v>
      </c>
      <c r="F37" s="17" t="s">
        <v>1657</v>
      </c>
      <c r="G37" s="17" t="n">
        <v>52.535</v>
      </c>
      <c r="H37" s="17" t="s">
        <v>1797</v>
      </c>
      <c r="I37" s="17" t="s">
        <v>1875</v>
      </c>
      <c r="J37" s="17" t="s">
        <v>1799</v>
      </c>
      <c r="K37" s="17" t="s">
        <v>1872</v>
      </c>
      <c r="L37" s="17" t="s">
        <v>1873</v>
      </c>
      <c r="M37" s="18" t="s">
        <v>1802</v>
      </c>
      <c r="N37" s="17"/>
      <c r="O37" s="17" t="n">
        <v>0</v>
      </c>
    </row>
    <row r="38" customFormat="false" ht="17.15" hidden="false" customHeight="false" outlineLevel="0" collapsed="false">
      <c r="A38" s="17" t="s">
        <v>1876</v>
      </c>
      <c r="B38" s="17" t="s">
        <v>1631</v>
      </c>
      <c r="C38" s="17" t="s">
        <v>509</v>
      </c>
      <c r="D38" s="17" t="s">
        <v>1632</v>
      </c>
      <c r="E38" s="17" t="s">
        <v>21</v>
      </c>
      <c r="F38" s="17" t="s">
        <v>1686</v>
      </c>
      <c r="G38" s="17" t="n">
        <v>72.764</v>
      </c>
      <c r="H38" s="17" t="s">
        <v>1797</v>
      </c>
      <c r="I38" s="17" t="s">
        <v>1877</v>
      </c>
      <c r="J38" s="17" t="s">
        <v>1810</v>
      </c>
      <c r="K38" s="17" t="s">
        <v>1872</v>
      </c>
      <c r="L38" s="17" t="s">
        <v>1873</v>
      </c>
      <c r="M38" s="18" t="s">
        <v>1802</v>
      </c>
      <c r="N38" s="17"/>
      <c r="O38" s="17" t="n">
        <v>0</v>
      </c>
    </row>
    <row r="39" customFormat="false" ht="17.15" hidden="false" customHeight="false" outlineLevel="0" collapsed="false">
      <c r="A39" s="17" t="s">
        <v>1878</v>
      </c>
      <c r="B39" s="17" t="s">
        <v>1631</v>
      </c>
      <c r="C39" s="17" t="s">
        <v>509</v>
      </c>
      <c r="D39" s="17" t="s">
        <v>1632</v>
      </c>
      <c r="E39" s="17" t="s">
        <v>21</v>
      </c>
      <c r="F39" s="17" t="s">
        <v>1814</v>
      </c>
      <c r="G39" s="17" t="n">
        <v>69.585</v>
      </c>
      <c r="H39" s="17" t="s">
        <v>1797</v>
      </c>
      <c r="I39" s="18" t="s">
        <v>1879</v>
      </c>
      <c r="J39" s="17" t="s">
        <v>1799</v>
      </c>
      <c r="K39" s="17" t="s">
        <v>1872</v>
      </c>
      <c r="L39" s="17" t="s">
        <v>1873</v>
      </c>
      <c r="M39" s="18" t="s">
        <v>1802</v>
      </c>
      <c r="N39" s="17"/>
      <c r="O39" s="17" t="n">
        <v>0</v>
      </c>
    </row>
    <row r="40" customFormat="false" ht="17.15" hidden="false" customHeight="false" outlineLevel="0" collapsed="false">
      <c r="A40" s="17" t="s">
        <v>1880</v>
      </c>
      <c r="B40" s="17" t="s">
        <v>1631</v>
      </c>
      <c r="C40" s="17" t="s">
        <v>509</v>
      </c>
      <c r="D40" s="17" t="s">
        <v>1632</v>
      </c>
      <c r="E40" s="17" t="s">
        <v>21</v>
      </c>
      <c r="F40" s="17" t="s">
        <v>1653</v>
      </c>
      <c r="G40" s="17" t="n">
        <v>13.589</v>
      </c>
      <c r="H40" s="17" t="s">
        <v>1797</v>
      </c>
      <c r="I40" s="18" t="s">
        <v>1881</v>
      </c>
      <c r="J40" s="17" t="s">
        <v>1799</v>
      </c>
      <c r="K40" s="17" t="s">
        <v>1872</v>
      </c>
      <c r="L40" s="17" t="s">
        <v>1873</v>
      </c>
      <c r="M40" s="18" t="s">
        <v>1802</v>
      </c>
      <c r="N40" s="17"/>
      <c r="O40" s="17" t="n">
        <v>0</v>
      </c>
    </row>
    <row r="41" customFormat="false" ht="17.15" hidden="false" customHeight="false" outlineLevel="0" collapsed="false">
      <c r="A41" s="0" t="s">
        <v>1882</v>
      </c>
      <c r="B41" s="0" t="s">
        <v>1631</v>
      </c>
      <c r="C41" s="0" t="s">
        <v>509</v>
      </c>
      <c r="D41" s="0" t="s">
        <v>1633</v>
      </c>
      <c r="E41" s="0" t="s">
        <v>22</v>
      </c>
      <c r="F41" s="0" t="s">
        <v>1681</v>
      </c>
      <c r="G41" s="9" t="n">
        <v>164.713</v>
      </c>
      <c r="H41" s="20" t="s">
        <v>1797</v>
      </c>
      <c r="I41" s="5" t="s">
        <v>1871</v>
      </c>
      <c r="J41" s="20" t="s">
        <v>1799</v>
      </c>
      <c r="K41" s="20" t="s">
        <v>1883</v>
      </c>
      <c r="L41" s="20" t="s">
        <v>1873</v>
      </c>
      <c r="M41" s="20" t="s">
        <v>1714</v>
      </c>
      <c r="O41" s="0" t="n">
        <v>1</v>
      </c>
    </row>
    <row r="42" customFormat="false" ht="17.15" hidden="false" customHeight="false" outlineLevel="0" collapsed="false">
      <c r="A42" s="0" t="s">
        <v>1884</v>
      </c>
      <c r="B42" s="0" t="s">
        <v>1631</v>
      </c>
      <c r="C42" s="0" t="s">
        <v>509</v>
      </c>
      <c r="D42" s="0" t="s">
        <v>1633</v>
      </c>
      <c r="E42" s="0" t="s">
        <v>22</v>
      </c>
      <c r="F42" s="0" t="s">
        <v>1657</v>
      </c>
      <c r="G42" s="9" t="n">
        <v>91.447</v>
      </c>
      <c r="H42" s="20" t="s">
        <v>1797</v>
      </c>
      <c r="I42" s="20" t="s">
        <v>1885</v>
      </c>
      <c r="J42" s="20" t="s">
        <v>1799</v>
      </c>
      <c r="K42" s="20" t="s">
        <v>1883</v>
      </c>
      <c r="L42" s="20" t="s">
        <v>1873</v>
      </c>
      <c r="M42" s="20" t="s">
        <v>1714</v>
      </c>
      <c r="O42" s="0" t="n">
        <v>1</v>
      </c>
    </row>
    <row r="43" customFormat="false" ht="17.15" hidden="false" customHeight="false" outlineLevel="0" collapsed="false">
      <c r="A43" s="0" t="s">
        <v>1886</v>
      </c>
      <c r="B43" s="0" t="s">
        <v>1631</v>
      </c>
      <c r="C43" s="0" t="s">
        <v>509</v>
      </c>
      <c r="D43" s="0" t="s">
        <v>1633</v>
      </c>
      <c r="E43" s="0" t="s">
        <v>22</v>
      </c>
      <c r="F43" s="0" t="s">
        <v>1686</v>
      </c>
      <c r="G43" s="9" t="n">
        <v>73.266</v>
      </c>
      <c r="H43" s="20" t="s">
        <v>1797</v>
      </c>
      <c r="I43" s="20" t="s">
        <v>1887</v>
      </c>
      <c r="J43" s="20" t="s">
        <v>1810</v>
      </c>
      <c r="K43" s="20" t="s">
        <v>1883</v>
      </c>
      <c r="L43" s="20" t="s">
        <v>1873</v>
      </c>
      <c r="M43" s="20" t="s">
        <v>1714</v>
      </c>
      <c r="O43" s="0" t="n">
        <v>1</v>
      </c>
    </row>
    <row r="44" customFormat="false" ht="17.15" hidden="false" customHeight="false" outlineLevel="0" collapsed="false">
      <c r="A44" s="0" t="s">
        <v>1888</v>
      </c>
      <c r="B44" s="0" t="s">
        <v>1631</v>
      </c>
      <c r="C44" s="0" t="s">
        <v>509</v>
      </c>
      <c r="D44" s="0" t="s">
        <v>1633</v>
      </c>
      <c r="E44" s="0" t="s">
        <v>22</v>
      </c>
      <c r="F44" s="0" t="s">
        <v>1814</v>
      </c>
      <c r="G44" s="9" t="n">
        <v>55.758</v>
      </c>
      <c r="H44" s="20" t="s">
        <v>1797</v>
      </c>
      <c r="I44" s="5" t="s">
        <v>1889</v>
      </c>
      <c r="J44" s="20" t="s">
        <v>1799</v>
      </c>
      <c r="K44" s="20" t="s">
        <v>1883</v>
      </c>
      <c r="L44" s="20" t="s">
        <v>1873</v>
      </c>
      <c r="M44" s="20" t="s">
        <v>1714</v>
      </c>
      <c r="O44" s="0" t="n">
        <v>1</v>
      </c>
    </row>
    <row r="45" customFormat="false" ht="17.15" hidden="false" customHeight="false" outlineLevel="0" collapsed="false">
      <c r="A45" s="0" t="s">
        <v>1890</v>
      </c>
      <c r="B45" s="0" t="s">
        <v>1631</v>
      </c>
      <c r="C45" s="0" t="s">
        <v>509</v>
      </c>
      <c r="D45" s="0" t="s">
        <v>1633</v>
      </c>
      <c r="E45" s="0" t="s">
        <v>22</v>
      </c>
      <c r="F45" s="0" t="s">
        <v>1653</v>
      </c>
      <c r="G45" s="9" t="n">
        <v>64.564</v>
      </c>
      <c r="H45" s="20" t="s">
        <v>1797</v>
      </c>
      <c r="I45" s="5" t="s">
        <v>1891</v>
      </c>
      <c r="J45" s="20" t="s">
        <v>1799</v>
      </c>
      <c r="K45" s="20" t="s">
        <v>1883</v>
      </c>
      <c r="L45" s="20" t="s">
        <v>1873</v>
      </c>
      <c r="M45" s="20" t="s">
        <v>1714</v>
      </c>
      <c r="O45" s="0" t="n">
        <v>1</v>
      </c>
    </row>
    <row r="46" customFormat="false" ht="17.15" hidden="false" customHeight="false" outlineLevel="0" collapsed="false">
      <c r="A46" s="0" t="s">
        <v>1892</v>
      </c>
      <c r="B46" s="0" t="s">
        <v>1631</v>
      </c>
      <c r="C46" s="0" t="s">
        <v>509</v>
      </c>
      <c r="D46" s="0" t="s">
        <v>1634</v>
      </c>
      <c r="E46" s="0" t="s">
        <v>23</v>
      </c>
      <c r="F46" s="0" t="s">
        <v>1681</v>
      </c>
      <c r="G46" s="9" t="n">
        <v>84.859</v>
      </c>
      <c r="H46" s="20" t="s">
        <v>1797</v>
      </c>
      <c r="I46" s="20" t="s">
        <v>1893</v>
      </c>
      <c r="J46" s="20" t="s">
        <v>1853</v>
      </c>
      <c r="K46" s="20" t="s">
        <v>1894</v>
      </c>
      <c r="L46" s="20" t="s">
        <v>1895</v>
      </c>
      <c r="M46" s="5" t="s">
        <v>1648</v>
      </c>
      <c r="O46" s="0" t="n">
        <v>1</v>
      </c>
    </row>
    <row r="47" customFormat="false" ht="17.15" hidden="false" customHeight="false" outlineLevel="0" collapsed="false">
      <c r="A47" s="0" t="s">
        <v>1896</v>
      </c>
      <c r="B47" s="0" t="s">
        <v>1631</v>
      </c>
      <c r="C47" s="0" t="s">
        <v>509</v>
      </c>
      <c r="D47" s="0" t="s">
        <v>1634</v>
      </c>
      <c r="E47" s="0" t="s">
        <v>23</v>
      </c>
      <c r="F47" s="0" t="s">
        <v>1657</v>
      </c>
      <c r="G47" s="9" t="n">
        <v>80.598</v>
      </c>
      <c r="H47" s="20" t="s">
        <v>1797</v>
      </c>
      <c r="I47" s="20" t="s">
        <v>1897</v>
      </c>
      <c r="J47" s="20" t="s">
        <v>1853</v>
      </c>
      <c r="K47" s="20" t="s">
        <v>1894</v>
      </c>
      <c r="L47" s="20" t="s">
        <v>1895</v>
      </c>
      <c r="M47" s="5" t="s">
        <v>1648</v>
      </c>
      <c r="O47" s="0" t="n">
        <v>1</v>
      </c>
    </row>
    <row r="48" customFormat="false" ht="17.15" hidden="false" customHeight="false" outlineLevel="0" collapsed="false">
      <c r="A48" s="0" t="s">
        <v>1898</v>
      </c>
      <c r="B48" s="0" t="s">
        <v>1631</v>
      </c>
      <c r="C48" s="0" t="s">
        <v>509</v>
      </c>
      <c r="D48" s="0" t="s">
        <v>1634</v>
      </c>
      <c r="E48" s="0" t="s">
        <v>23</v>
      </c>
      <c r="F48" s="0" t="s">
        <v>1686</v>
      </c>
      <c r="G48" s="9" t="n">
        <v>4.261</v>
      </c>
      <c r="H48" s="20" t="s">
        <v>1797</v>
      </c>
      <c r="I48" s="20" t="s">
        <v>1899</v>
      </c>
      <c r="J48" s="20" t="s">
        <v>1810</v>
      </c>
      <c r="K48" s="20" t="s">
        <v>1894</v>
      </c>
      <c r="L48" s="20" t="s">
        <v>1895</v>
      </c>
      <c r="M48" s="5" t="s">
        <v>1648</v>
      </c>
      <c r="O48" s="0" t="n">
        <v>1</v>
      </c>
    </row>
    <row r="49" customFormat="false" ht="17.15" hidden="false" customHeight="false" outlineLevel="0" collapsed="false">
      <c r="A49" s="0" t="s">
        <v>1900</v>
      </c>
      <c r="B49" s="0" t="s">
        <v>1631</v>
      </c>
      <c r="C49" s="0" t="s">
        <v>509</v>
      </c>
      <c r="D49" s="0" t="s">
        <v>1634</v>
      </c>
      <c r="E49" s="0" t="s">
        <v>23</v>
      </c>
      <c r="F49" s="0" t="s">
        <v>1814</v>
      </c>
      <c r="G49" s="9" t="n">
        <v>5.231</v>
      </c>
      <c r="H49" s="20" t="s">
        <v>1797</v>
      </c>
      <c r="I49" s="5" t="s">
        <v>1901</v>
      </c>
      <c r="J49" s="20" t="s">
        <v>1853</v>
      </c>
      <c r="K49" s="20" t="s">
        <v>1894</v>
      </c>
      <c r="L49" s="20" t="s">
        <v>1895</v>
      </c>
      <c r="M49" s="5" t="s">
        <v>1648</v>
      </c>
      <c r="O49" s="0" t="n">
        <v>1</v>
      </c>
    </row>
    <row r="50" customFormat="false" ht="17.15" hidden="false" customHeight="false" outlineLevel="0" collapsed="false">
      <c r="A50" s="17" t="s">
        <v>1902</v>
      </c>
      <c r="B50" s="17" t="s">
        <v>1631</v>
      </c>
      <c r="C50" s="17" t="s">
        <v>509</v>
      </c>
      <c r="D50" s="17" t="s">
        <v>1634</v>
      </c>
      <c r="E50" s="17" t="s">
        <v>23</v>
      </c>
      <c r="F50" s="17" t="s">
        <v>1653</v>
      </c>
      <c r="G50" s="17" t="n">
        <v>51.8</v>
      </c>
      <c r="H50" s="17" t="s">
        <v>1797</v>
      </c>
      <c r="I50" s="17" t="s">
        <v>1903</v>
      </c>
      <c r="J50" s="17" t="s">
        <v>1853</v>
      </c>
      <c r="K50" s="17" t="s">
        <v>1904</v>
      </c>
      <c r="L50" s="17" t="s">
        <v>1905</v>
      </c>
      <c r="M50" s="18" t="s">
        <v>1802</v>
      </c>
      <c r="N50" s="17"/>
      <c r="O50" s="17" t="n">
        <v>0</v>
      </c>
    </row>
    <row r="51" customFormat="false" ht="17.15" hidden="false" customHeight="false" outlineLevel="0" collapsed="false">
      <c r="A51" s="0" t="s">
        <v>1655</v>
      </c>
      <c r="B51" s="0" t="s">
        <v>1631</v>
      </c>
      <c r="C51" s="0" t="s">
        <v>509</v>
      </c>
      <c r="D51" s="0" t="s">
        <v>1652</v>
      </c>
      <c r="E51" s="0" t="s">
        <v>1856</v>
      </c>
      <c r="F51" s="0" t="s">
        <v>1653</v>
      </c>
      <c r="G51" s="9" t="n">
        <v>25</v>
      </c>
      <c r="H51" s="20" t="s">
        <v>1797</v>
      </c>
      <c r="I51" s="20" t="s">
        <v>1654</v>
      </c>
      <c r="J51" s="20" t="s">
        <v>1799</v>
      </c>
      <c r="K51" s="20" t="s">
        <v>1906</v>
      </c>
      <c r="L51" s="20" t="s">
        <v>1907</v>
      </c>
      <c r="M51" s="5" t="s">
        <v>1656</v>
      </c>
      <c r="N51" s="20" t="s">
        <v>1908</v>
      </c>
      <c r="O51" s="0" t="n">
        <v>1</v>
      </c>
    </row>
    <row r="52" customFormat="false" ht="17.15" hidden="false" customHeight="false" outlineLevel="0" collapsed="false">
      <c r="A52" s="17" t="s">
        <v>1909</v>
      </c>
      <c r="B52" s="17" t="s">
        <v>1631</v>
      </c>
      <c r="C52" s="17" t="s">
        <v>509</v>
      </c>
      <c r="D52" s="17" t="s">
        <v>118</v>
      </c>
      <c r="E52" s="17" t="s">
        <v>23</v>
      </c>
      <c r="F52" s="17" t="s">
        <v>1841</v>
      </c>
      <c r="G52" s="17" t="n">
        <v>52</v>
      </c>
      <c r="H52" s="17" t="s">
        <v>1797</v>
      </c>
      <c r="I52" s="18" t="s">
        <v>1910</v>
      </c>
      <c r="J52" s="17" t="s">
        <v>1810</v>
      </c>
      <c r="K52" s="17" t="s">
        <v>1911</v>
      </c>
      <c r="L52" s="17" t="s">
        <v>1905</v>
      </c>
      <c r="M52" s="18" t="s">
        <v>1831</v>
      </c>
      <c r="N52" s="17"/>
      <c r="O52" s="17" t="n">
        <v>0</v>
      </c>
    </row>
    <row r="53" customFormat="false" ht="17.15" hidden="false" customHeight="false" outlineLevel="0" collapsed="false">
      <c r="A53" s="0" t="s">
        <v>1912</v>
      </c>
      <c r="B53" s="0" t="s">
        <v>1631</v>
      </c>
      <c r="C53" s="0" t="s">
        <v>509</v>
      </c>
      <c r="D53" s="0" t="s">
        <v>1913</v>
      </c>
      <c r="E53" s="0" t="s">
        <v>23</v>
      </c>
      <c r="F53" s="0" t="s">
        <v>1676</v>
      </c>
      <c r="G53" s="9" t="n">
        <v>84.75</v>
      </c>
      <c r="H53" s="20" t="s">
        <v>1797</v>
      </c>
      <c r="I53" s="5" t="s">
        <v>1914</v>
      </c>
      <c r="J53" s="20" t="s">
        <v>1799</v>
      </c>
      <c r="K53" s="20" t="s">
        <v>1915</v>
      </c>
      <c r="L53" s="20" t="s">
        <v>1916</v>
      </c>
      <c r="M53" s="5" t="s">
        <v>1656</v>
      </c>
      <c r="N53" s="20" t="s">
        <v>1917</v>
      </c>
      <c r="O53" s="0" t="n">
        <v>1</v>
      </c>
    </row>
    <row r="54" customFormat="false" ht="17.15" hidden="false" customHeight="false" outlineLevel="0" collapsed="false">
      <c r="A54" s="0" t="s">
        <v>1918</v>
      </c>
      <c r="B54" s="0" t="s">
        <v>1631</v>
      </c>
      <c r="C54" s="0" t="s">
        <v>509</v>
      </c>
      <c r="D54" s="0" t="s">
        <v>118</v>
      </c>
      <c r="E54" s="0" t="s">
        <v>23</v>
      </c>
      <c r="F54" s="0" t="s">
        <v>1697</v>
      </c>
      <c r="G54" s="9" t="n">
        <v>85.2</v>
      </c>
      <c r="H54" s="20" t="s">
        <v>1797</v>
      </c>
      <c r="I54" s="5" t="s">
        <v>1919</v>
      </c>
      <c r="J54" s="20" t="s">
        <v>1853</v>
      </c>
      <c r="K54" s="20" t="s">
        <v>1920</v>
      </c>
      <c r="L54" s="20" t="s">
        <v>1905</v>
      </c>
      <c r="M54" s="5" t="s">
        <v>1648</v>
      </c>
      <c r="O54" s="0" t="n">
        <v>1</v>
      </c>
    </row>
    <row r="55" customFormat="false" ht="17.15" hidden="false" customHeight="false" outlineLevel="0" collapsed="false">
      <c r="A55" s="17" t="s">
        <v>1921</v>
      </c>
      <c r="B55" s="17" t="s">
        <v>1631</v>
      </c>
      <c r="C55" s="17" t="s">
        <v>509</v>
      </c>
      <c r="D55" s="17" t="s">
        <v>118</v>
      </c>
      <c r="E55" s="17" t="s">
        <v>23</v>
      </c>
      <c r="F55" s="17" t="s">
        <v>1700</v>
      </c>
      <c r="G55" s="17" t="n">
        <v>18.037</v>
      </c>
      <c r="H55" s="17" t="s">
        <v>1797</v>
      </c>
      <c r="I55" s="18" t="s">
        <v>1922</v>
      </c>
      <c r="J55" s="17" t="s">
        <v>1853</v>
      </c>
      <c r="K55" s="17" t="s">
        <v>1920</v>
      </c>
      <c r="L55" s="17" t="s">
        <v>1905</v>
      </c>
      <c r="M55" s="18" t="s">
        <v>1802</v>
      </c>
      <c r="N55" s="17"/>
      <c r="O55" s="17" t="n">
        <v>0</v>
      </c>
    </row>
    <row r="56" customFormat="false" ht="17.15" hidden="false" customHeight="false" outlineLevel="0" collapsed="false">
      <c r="A56" s="17" t="s">
        <v>1923</v>
      </c>
      <c r="B56" s="17" t="s">
        <v>1631</v>
      </c>
      <c r="C56" s="17" t="s">
        <v>509</v>
      </c>
      <c r="D56" s="17" t="s">
        <v>118</v>
      </c>
      <c r="E56" s="17" t="s">
        <v>23</v>
      </c>
      <c r="F56" s="17" t="s">
        <v>1850</v>
      </c>
      <c r="G56" s="17" t="n">
        <v>811</v>
      </c>
      <c r="H56" s="17" t="s">
        <v>1797</v>
      </c>
      <c r="I56" s="18" t="s">
        <v>1924</v>
      </c>
      <c r="J56" s="17" t="s">
        <v>1853</v>
      </c>
      <c r="K56" s="17" t="s">
        <v>1920</v>
      </c>
      <c r="L56" s="17" t="s">
        <v>1905</v>
      </c>
      <c r="M56" s="18" t="s">
        <v>1802</v>
      </c>
      <c r="N56" s="17"/>
      <c r="O56" s="17" t="n">
        <v>0</v>
      </c>
    </row>
    <row r="57" customFormat="false" ht="17.15" hidden="false" customHeight="false" outlineLevel="0" collapsed="false">
      <c r="A57" s="0" t="s">
        <v>1659</v>
      </c>
      <c r="B57" s="0" t="s">
        <v>1631</v>
      </c>
      <c r="C57" s="0" t="s">
        <v>509</v>
      </c>
      <c r="D57" s="0" t="s">
        <v>1644</v>
      </c>
      <c r="E57" s="0" t="s">
        <v>1852</v>
      </c>
      <c r="F57" s="0" t="s">
        <v>1657</v>
      </c>
      <c r="G57" s="9" t="n">
        <v>200</v>
      </c>
      <c r="H57" s="20" t="s">
        <v>1797</v>
      </c>
      <c r="I57" s="5" t="s">
        <v>1658</v>
      </c>
      <c r="J57" s="20" t="s">
        <v>1853</v>
      </c>
      <c r="K57" s="20" t="s">
        <v>1925</v>
      </c>
      <c r="L57" s="20" t="s">
        <v>1926</v>
      </c>
      <c r="M57" s="5" t="s">
        <v>1656</v>
      </c>
      <c r="N57" s="20" t="s">
        <v>1927</v>
      </c>
      <c r="O57" s="0" t="n">
        <v>1</v>
      </c>
    </row>
    <row r="58" customFormat="false" ht="17.15" hidden="false" customHeight="false" outlineLevel="0" collapsed="false">
      <c r="A58" s="0" t="s">
        <v>1928</v>
      </c>
      <c r="B58" s="0" t="s">
        <v>1631</v>
      </c>
      <c r="C58" s="0" t="s">
        <v>509</v>
      </c>
      <c r="D58" s="0" t="s">
        <v>1929</v>
      </c>
      <c r="E58" s="0" t="s">
        <v>23</v>
      </c>
      <c r="F58" s="0" t="s">
        <v>1670</v>
      </c>
      <c r="G58" s="9" t="n">
        <v>40</v>
      </c>
      <c r="H58" s="20" t="s">
        <v>1797</v>
      </c>
      <c r="I58" s="5" t="s">
        <v>1930</v>
      </c>
      <c r="J58" s="20" t="s">
        <v>1853</v>
      </c>
      <c r="K58" s="20" t="s">
        <v>1931</v>
      </c>
      <c r="L58" s="20" t="s">
        <v>1932</v>
      </c>
      <c r="M58" s="5" t="s">
        <v>1648</v>
      </c>
      <c r="O58" s="0" t="n">
        <v>1</v>
      </c>
    </row>
    <row r="59" customFormat="false" ht="17.15" hidden="false" customHeight="false" outlineLevel="0" collapsed="false">
      <c r="A59" s="17" t="s">
        <v>1933</v>
      </c>
      <c r="B59" s="17" t="s">
        <v>1631</v>
      </c>
      <c r="C59" s="17" t="s">
        <v>509</v>
      </c>
      <c r="D59" s="17" t="s">
        <v>118</v>
      </c>
      <c r="E59" s="17" t="s">
        <v>23</v>
      </c>
      <c r="F59" s="17" t="s">
        <v>1670</v>
      </c>
      <c r="G59" s="17" t="n">
        <v>124.259</v>
      </c>
      <c r="H59" s="17" t="s">
        <v>1797</v>
      </c>
      <c r="I59" s="18" t="s">
        <v>1934</v>
      </c>
      <c r="J59" s="17" t="s">
        <v>1853</v>
      </c>
      <c r="K59" s="17" t="s">
        <v>1935</v>
      </c>
      <c r="L59" s="17" t="s">
        <v>1905</v>
      </c>
      <c r="M59" s="18" t="s">
        <v>1831</v>
      </c>
      <c r="N59" s="17"/>
      <c r="O59" s="17" t="n">
        <v>0</v>
      </c>
    </row>
    <row r="60" customFormat="false" ht="17.15" hidden="false" customHeight="false" outlineLevel="0" collapsed="false">
      <c r="A60" s="0" t="s">
        <v>1663</v>
      </c>
      <c r="B60" s="0" t="s">
        <v>1631</v>
      </c>
      <c r="C60" s="0" t="s">
        <v>509</v>
      </c>
      <c r="D60" s="0" t="s">
        <v>1660</v>
      </c>
      <c r="E60" s="0" t="s">
        <v>1856</v>
      </c>
      <c r="F60" s="0" t="s">
        <v>1661</v>
      </c>
      <c r="G60" s="9" t="n">
        <v>44</v>
      </c>
      <c r="H60" s="20" t="s">
        <v>1797</v>
      </c>
      <c r="I60" s="20" t="s">
        <v>1662</v>
      </c>
      <c r="J60" s="20" t="s">
        <v>1853</v>
      </c>
      <c r="K60" s="20" t="s">
        <v>1936</v>
      </c>
      <c r="L60" s="20" t="s">
        <v>1937</v>
      </c>
      <c r="M60" s="5" t="s">
        <v>1648</v>
      </c>
      <c r="O60" s="0" t="n">
        <v>1</v>
      </c>
    </row>
    <row r="61" customFormat="false" ht="17.15" hidden="false" customHeight="false" outlineLevel="0" collapsed="false">
      <c r="A61" s="17" t="s">
        <v>1938</v>
      </c>
      <c r="B61" s="17" t="s">
        <v>1635</v>
      </c>
      <c r="C61" s="17" t="s">
        <v>517</v>
      </c>
      <c r="D61" s="17" t="s">
        <v>1632</v>
      </c>
      <c r="E61" s="17" t="s">
        <v>21</v>
      </c>
      <c r="F61" s="17" t="s">
        <v>1681</v>
      </c>
      <c r="G61" s="17" t="n">
        <v>115.877</v>
      </c>
      <c r="H61" s="17" t="s">
        <v>1797</v>
      </c>
      <c r="I61" s="18" t="s">
        <v>1871</v>
      </c>
      <c r="J61" s="17" t="s">
        <v>1799</v>
      </c>
      <c r="K61" s="17" t="s">
        <v>1939</v>
      </c>
      <c r="L61" s="17" t="s">
        <v>1940</v>
      </c>
      <c r="M61" s="18" t="s">
        <v>1802</v>
      </c>
      <c r="N61" s="17"/>
      <c r="O61" s="17" t="n">
        <v>0</v>
      </c>
    </row>
    <row r="62" customFormat="false" ht="17.15" hidden="false" customHeight="false" outlineLevel="0" collapsed="false">
      <c r="A62" s="17" t="s">
        <v>1941</v>
      </c>
      <c r="B62" s="17" t="s">
        <v>1635</v>
      </c>
      <c r="C62" s="17" t="s">
        <v>517</v>
      </c>
      <c r="D62" s="17" t="s">
        <v>1632</v>
      </c>
      <c r="E62" s="17" t="s">
        <v>21</v>
      </c>
      <c r="F62" s="17" t="s">
        <v>1657</v>
      </c>
      <c r="G62" s="17" t="n">
        <v>77.658</v>
      </c>
      <c r="H62" s="17" t="s">
        <v>1797</v>
      </c>
      <c r="I62" s="18" t="s">
        <v>1942</v>
      </c>
      <c r="J62" s="17" t="s">
        <v>1810</v>
      </c>
      <c r="K62" s="17" t="s">
        <v>1939</v>
      </c>
      <c r="L62" s="17" t="s">
        <v>1940</v>
      </c>
      <c r="M62" s="18" t="s">
        <v>1802</v>
      </c>
      <c r="N62" s="17"/>
      <c r="O62" s="17" t="n">
        <v>0</v>
      </c>
    </row>
    <row r="63" customFormat="false" ht="17.15" hidden="false" customHeight="false" outlineLevel="0" collapsed="false">
      <c r="A63" s="17" t="s">
        <v>1943</v>
      </c>
      <c r="B63" s="17" t="s">
        <v>1635</v>
      </c>
      <c r="C63" s="17" t="s">
        <v>517</v>
      </c>
      <c r="D63" s="17" t="s">
        <v>1632</v>
      </c>
      <c r="E63" s="17" t="s">
        <v>21</v>
      </c>
      <c r="F63" s="17" t="s">
        <v>1645</v>
      </c>
      <c r="G63" s="17" t="n">
        <v>78.512</v>
      </c>
      <c r="H63" s="17" t="s">
        <v>1797</v>
      </c>
      <c r="I63" s="18" t="s">
        <v>1944</v>
      </c>
      <c r="J63" s="17" t="s">
        <v>1810</v>
      </c>
      <c r="K63" s="17" t="s">
        <v>1939</v>
      </c>
      <c r="L63" s="17" t="s">
        <v>1940</v>
      </c>
      <c r="M63" s="18" t="s">
        <v>1802</v>
      </c>
      <c r="N63" s="17"/>
      <c r="O63" s="17" t="n">
        <v>0</v>
      </c>
    </row>
    <row r="64" customFormat="false" ht="17.15" hidden="false" customHeight="false" outlineLevel="0" collapsed="false">
      <c r="A64" s="17" t="s">
        <v>1945</v>
      </c>
      <c r="B64" s="17" t="s">
        <v>1635</v>
      </c>
      <c r="C64" s="17" t="s">
        <v>517</v>
      </c>
      <c r="D64" s="17" t="s">
        <v>1632</v>
      </c>
      <c r="E64" s="17" t="s">
        <v>21</v>
      </c>
      <c r="F64" s="17" t="s">
        <v>1686</v>
      </c>
      <c r="G64" s="17" t="n">
        <v>38.219</v>
      </c>
      <c r="H64" s="17" t="s">
        <v>1797</v>
      </c>
      <c r="I64" s="17" t="s">
        <v>1946</v>
      </c>
      <c r="J64" s="17" t="s">
        <v>1810</v>
      </c>
      <c r="K64" s="17" t="s">
        <v>1939</v>
      </c>
      <c r="L64" s="17" t="s">
        <v>1940</v>
      </c>
      <c r="M64" s="18" t="s">
        <v>1802</v>
      </c>
      <c r="N64" s="17"/>
      <c r="O64" s="17" t="n">
        <v>0</v>
      </c>
    </row>
    <row r="65" customFormat="false" ht="17.15" hidden="false" customHeight="false" outlineLevel="0" collapsed="false">
      <c r="A65" s="17" t="s">
        <v>1947</v>
      </c>
      <c r="B65" s="17" t="s">
        <v>1635</v>
      </c>
      <c r="C65" s="17" t="s">
        <v>517</v>
      </c>
      <c r="D65" s="17" t="s">
        <v>1632</v>
      </c>
      <c r="E65" s="17" t="s">
        <v>21</v>
      </c>
      <c r="F65" s="17" t="s">
        <v>1814</v>
      </c>
      <c r="G65" s="17" t="n">
        <v>0</v>
      </c>
      <c r="H65" s="17" t="s">
        <v>1797</v>
      </c>
      <c r="I65" s="17" t="s">
        <v>1948</v>
      </c>
      <c r="J65" s="17" t="s">
        <v>1799</v>
      </c>
      <c r="K65" s="17" t="s">
        <v>1939</v>
      </c>
      <c r="L65" s="17" t="s">
        <v>1940</v>
      </c>
      <c r="M65" s="18" t="s">
        <v>1802</v>
      </c>
      <c r="N65" s="17"/>
      <c r="O65" s="17" t="n">
        <v>0</v>
      </c>
    </row>
    <row r="66" customFormat="false" ht="17.15" hidden="false" customHeight="false" outlineLevel="0" collapsed="false">
      <c r="A66" s="0" t="s">
        <v>1949</v>
      </c>
      <c r="B66" s="0" t="s">
        <v>1635</v>
      </c>
      <c r="C66" s="0" t="s">
        <v>517</v>
      </c>
      <c r="D66" s="0" t="s">
        <v>1633</v>
      </c>
      <c r="E66" s="0" t="s">
        <v>22</v>
      </c>
      <c r="F66" s="0" t="s">
        <v>1681</v>
      </c>
      <c r="G66" s="9" t="n">
        <v>139.514</v>
      </c>
      <c r="H66" s="20" t="s">
        <v>1797</v>
      </c>
      <c r="I66" s="5" t="s">
        <v>1871</v>
      </c>
      <c r="J66" s="20" t="s">
        <v>1799</v>
      </c>
      <c r="K66" s="20" t="s">
        <v>1950</v>
      </c>
      <c r="L66" s="20" t="s">
        <v>1940</v>
      </c>
      <c r="M66" s="20" t="s">
        <v>1714</v>
      </c>
      <c r="O66" s="0" t="n">
        <v>1</v>
      </c>
    </row>
    <row r="67" customFormat="false" ht="17.15" hidden="false" customHeight="false" outlineLevel="0" collapsed="false">
      <c r="A67" s="0" t="s">
        <v>1951</v>
      </c>
      <c r="B67" s="0" t="s">
        <v>1635</v>
      </c>
      <c r="C67" s="0" t="s">
        <v>517</v>
      </c>
      <c r="D67" s="0" t="s">
        <v>1633</v>
      </c>
      <c r="E67" s="0" t="s">
        <v>22</v>
      </c>
      <c r="F67" s="0" t="s">
        <v>1657</v>
      </c>
      <c r="G67" s="9" t="n">
        <v>128.32</v>
      </c>
      <c r="H67" s="20" t="s">
        <v>1797</v>
      </c>
      <c r="I67" s="5" t="s">
        <v>1952</v>
      </c>
      <c r="J67" s="20" t="s">
        <v>1810</v>
      </c>
      <c r="K67" s="20" t="s">
        <v>1950</v>
      </c>
      <c r="L67" s="20" t="s">
        <v>1940</v>
      </c>
      <c r="M67" s="20" t="s">
        <v>1714</v>
      </c>
      <c r="O67" s="0" t="n">
        <v>1</v>
      </c>
    </row>
    <row r="68" customFormat="false" ht="17.15" hidden="false" customHeight="false" outlineLevel="0" collapsed="false">
      <c r="A68" s="0" t="s">
        <v>1953</v>
      </c>
      <c r="B68" s="0" t="s">
        <v>1635</v>
      </c>
      <c r="C68" s="0" t="s">
        <v>517</v>
      </c>
      <c r="D68" s="0" t="s">
        <v>1633</v>
      </c>
      <c r="E68" s="0" t="s">
        <v>22</v>
      </c>
      <c r="F68" s="0" t="s">
        <v>1645</v>
      </c>
      <c r="G68" s="9" t="n">
        <v>131.231</v>
      </c>
      <c r="H68" s="20" t="s">
        <v>1797</v>
      </c>
      <c r="I68" s="5" t="s">
        <v>1954</v>
      </c>
      <c r="J68" s="20" t="s">
        <v>1810</v>
      </c>
      <c r="K68" s="20" t="s">
        <v>1950</v>
      </c>
      <c r="L68" s="20" t="s">
        <v>1940</v>
      </c>
      <c r="M68" s="20" t="s">
        <v>1714</v>
      </c>
      <c r="O68" s="0" t="n">
        <v>1</v>
      </c>
    </row>
    <row r="69" customFormat="false" ht="17.15" hidden="false" customHeight="false" outlineLevel="0" collapsed="false">
      <c r="A69" s="0" t="s">
        <v>1955</v>
      </c>
      <c r="B69" s="0" t="s">
        <v>1635</v>
      </c>
      <c r="C69" s="0" t="s">
        <v>517</v>
      </c>
      <c r="D69" s="0" t="s">
        <v>1633</v>
      </c>
      <c r="E69" s="0" t="s">
        <v>22</v>
      </c>
      <c r="F69" s="0" t="s">
        <v>1686</v>
      </c>
      <c r="G69" s="9" t="n">
        <v>11.194</v>
      </c>
      <c r="H69" s="20" t="s">
        <v>1797</v>
      </c>
      <c r="I69" s="20" t="s">
        <v>1956</v>
      </c>
      <c r="J69" s="20" t="s">
        <v>1810</v>
      </c>
      <c r="K69" s="20" t="s">
        <v>1950</v>
      </c>
      <c r="L69" s="20" t="s">
        <v>1940</v>
      </c>
      <c r="M69" s="20" t="s">
        <v>1714</v>
      </c>
      <c r="O69" s="0" t="n">
        <v>1</v>
      </c>
    </row>
    <row r="70" customFormat="false" ht="17.15" hidden="false" customHeight="false" outlineLevel="0" collapsed="false">
      <c r="A70" s="0" t="s">
        <v>1957</v>
      </c>
      <c r="B70" s="0" t="s">
        <v>1635</v>
      </c>
      <c r="C70" s="0" t="s">
        <v>517</v>
      </c>
      <c r="D70" s="0" t="s">
        <v>1633</v>
      </c>
      <c r="E70" s="0" t="s">
        <v>22</v>
      </c>
      <c r="F70" s="0" t="s">
        <v>1814</v>
      </c>
      <c r="G70" s="9" t="n">
        <v>0</v>
      </c>
      <c r="H70" s="20" t="s">
        <v>1797</v>
      </c>
      <c r="I70" s="20" t="s">
        <v>1958</v>
      </c>
      <c r="J70" s="20" t="s">
        <v>1799</v>
      </c>
      <c r="K70" s="20" t="s">
        <v>1950</v>
      </c>
      <c r="L70" s="20" t="s">
        <v>1940</v>
      </c>
      <c r="M70" s="20" t="s">
        <v>1714</v>
      </c>
      <c r="O70" s="0" t="n">
        <v>1</v>
      </c>
    </row>
    <row r="71" customFormat="false" ht="17.15" hidden="false" customHeight="false" outlineLevel="0" collapsed="false">
      <c r="A71" s="0" t="s">
        <v>1959</v>
      </c>
      <c r="B71" s="0" t="s">
        <v>1635</v>
      </c>
      <c r="C71" s="0" t="s">
        <v>517</v>
      </c>
      <c r="D71" s="0" t="s">
        <v>1634</v>
      </c>
      <c r="E71" s="0" t="s">
        <v>23</v>
      </c>
      <c r="F71" s="0" t="s">
        <v>1681</v>
      </c>
      <c r="G71" s="9" t="n">
        <v>71.419</v>
      </c>
      <c r="H71" s="20" t="s">
        <v>1797</v>
      </c>
      <c r="I71" s="20" t="s">
        <v>1960</v>
      </c>
      <c r="J71" s="20" t="s">
        <v>1853</v>
      </c>
      <c r="K71" s="20" t="s">
        <v>1961</v>
      </c>
      <c r="L71" s="20" t="s">
        <v>1962</v>
      </c>
      <c r="M71" s="5" t="s">
        <v>1648</v>
      </c>
      <c r="O71" s="0" t="n">
        <v>1</v>
      </c>
    </row>
    <row r="72" customFormat="false" ht="17.15" hidden="false" customHeight="false" outlineLevel="0" collapsed="false">
      <c r="A72" s="0" t="s">
        <v>1963</v>
      </c>
      <c r="B72" s="0" t="s">
        <v>1635</v>
      </c>
      <c r="C72" s="0" t="s">
        <v>517</v>
      </c>
      <c r="D72" s="0" t="s">
        <v>1634</v>
      </c>
      <c r="E72" s="0" t="s">
        <v>23</v>
      </c>
      <c r="F72" s="0" t="s">
        <v>1657</v>
      </c>
      <c r="G72" s="9" t="n">
        <v>96.31</v>
      </c>
      <c r="H72" s="20" t="s">
        <v>1797</v>
      </c>
      <c r="I72" s="5" t="s">
        <v>1964</v>
      </c>
      <c r="J72" s="20" t="s">
        <v>1810</v>
      </c>
      <c r="K72" s="20" t="s">
        <v>1961</v>
      </c>
      <c r="L72" s="20" t="s">
        <v>1962</v>
      </c>
      <c r="M72" s="5" t="s">
        <v>1648</v>
      </c>
      <c r="O72" s="0" t="n">
        <v>1</v>
      </c>
    </row>
    <row r="73" customFormat="false" ht="17.15" hidden="false" customHeight="false" outlineLevel="0" collapsed="false">
      <c r="A73" s="0" t="s">
        <v>1965</v>
      </c>
      <c r="B73" s="0" t="s">
        <v>1635</v>
      </c>
      <c r="C73" s="0" t="s">
        <v>517</v>
      </c>
      <c r="D73" s="0" t="s">
        <v>1634</v>
      </c>
      <c r="E73" s="0" t="s">
        <v>23</v>
      </c>
      <c r="F73" s="0" t="s">
        <v>1806</v>
      </c>
      <c r="G73" s="9" t="n">
        <v>2.128</v>
      </c>
      <c r="H73" s="20" t="s">
        <v>1797</v>
      </c>
      <c r="I73" s="5" t="s">
        <v>1966</v>
      </c>
      <c r="J73" s="20" t="s">
        <v>1853</v>
      </c>
      <c r="K73" s="20" t="s">
        <v>1961</v>
      </c>
      <c r="L73" s="20" t="s">
        <v>1962</v>
      </c>
      <c r="M73" s="5" t="s">
        <v>1648</v>
      </c>
      <c r="O73" s="0" t="n">
        <v>1</v>
      </c>
    </row>
    <row r="74" customFormat="false" ht="17.15" hidden="false" customHeight="false" outlineLevel="0" collapsed="false">
      <c r="A74" s="0" t="s">
        <v>1967</v>
      </c>
      <c r="B74" s="0" t="s">
        <v>1635</v>
      </c>
      <c r="C74" s="0" t="s">
        <v>517</v>
      </c>
      <c r="D74" s="0" t="s">
        <v>1634</v>
      </c>
      <c r="E74" s="0" t="s">
        <v>23</v>
      </c>
      <c r="F74" s="0" t="s">
        <v>1686</v>
      </c>
      <c r="G74" s="9" t="n">
        <v>-24.891</v>
      </c>
      <c r="H74" s="20" t="s">
        <v>1797</v>
      </c>
      <c r="I74" s="20" t="s">
        <v>1968</v>
      </c>
      <c r="J74" s="20" t="s">
        <v>1810</v>
      </c>
      <c r="K74" s="20" t="s">
        <v>1961</v>
      </c>
      <c r="L74" s="20" t="s">
        <v>1962</v>
      </c>
      <c r="M74" s="5" t="s">
        <v>1648</v>
      </c>
      <c r="O74" s="0" t="n">
        <v>1</v>
      </c>
    </row>
    <row r="75" customFormat="false" ht="17.15" hidden="false" customHeight="false" outlineLevel="0" collapsed="false">
      <c r="A75" s="0" t="s">
        <v>1969</v>
      </c>
      <c r="B75" s="0" t="s">
        <v>1635</v>
      </c>
      <c r="C75" s="0" t="s">
        <v>517</v>
      </c>
      <c r="D75" s="0" t="s">
        <v>1859</v>
      </c>
      <c r="E75" s="0" t="s">
        <v>22</v>
      </c>
      <c r="F75" s="0" t="s">
        <v>1653</v>
      </c>
      <c r="G75" s="9" t="n">
        <v>15</v>
      </c>
      <c r="H75" s="20" t="s">
        <v>1797</v>
      </c>
      <c r="I75" s="20" t="s">
        <v>1970</v>
      </c>
      <c r="J75" s="20" t="s">
        <v>1853</v>
      </c>
      <c r="K75" s="20" t="s">
        <v>1971</v>
      </c>
      <c r="L75" s="20" t="s">
        <v>1972</v>
      </c>
      <c r="M75" s="20" t="s">
        <v>1714</v>
      </c>
      <c r="O75" s="0" t="n">
        <v>1</v>
      </c>
    </row>
    <row r="76" customFormat="false" ht="17.15" hidden="false" customHeight="false" outlineLevel="0" collapsed="false">
      <c r="A76" s="0" t="s">
        <v>1973</v>
      </c>
      <c r="B76" s="0" t="s">
        <v>1635</v>
      </c>
      <c r="C76" s="0" t="s">
        <v>517</v>
      </c>
      <c r="D76" s="0" t="s">
        <v>1974</v>
      </c>
      <c r="E76" s="0" t="s">
        <v>23</v>
      </c>
      <c r="F76" s="0" t="s">
        <v>1653</v>
      </c>
      <c r="G76" s="9" t="n">
        <v>53.8</v>
      </c>
      <c r="H76" s="20" t="s">
        <v>1797</v>
      </c>
      <c r="I76" s="20" t="s">
        <v>1975</v>
      </c>
      <c r="J76" s="20" t="s">
        <v>1853</v>
      </c>
      <c r="K76" s="20" t="s">
        <v>1976</v>
      </c>
      <c r="L76" s="20" t="s">
        <v>1977</v>
      </c>
      <c r="M76" s="5" t="s">
        <v>1648</v>
      </c>
      <c r="O76" s="0" t="n">
        <v>1</v>
      </c>
    </row>
    <row r="77" customFormat="false" ht="17.15" hidden="false" customHeight="false" outlineLevel="0" collapsed="false">
      <c r="A77" s="0" t="s">
        <v>1666</v>
      </c>
      <c r="B77" s="0" t="s">
        <v>1635</v>
      </c>
      <c r="C77" s="0" t="s">
        <v>517</v>
      </c>
      <c r="D77" s="0" t="s">
        <v>1664</v>
      </c>
      <c r="E77" s="0" t="s">
        <v>1856</v>
      </c>
      <c r="F77" s="0" t="s">
        <v>1653</v>
      </c>
      <c r="G77" s="9" t="n">
        <v>25</v>
      </c>
      <c r="H77" s="20" t="s">
        <v>1797</v>
      </c>
      <c r="I77" s="20" t="s">
        <v>1665</v>
      </c>
      <c r="J77" s="20" t="s">
        <v>1853</v>
      </c>
      <c r="K77" s="20" t="s">
        <v>1978</v>
      </c>
      <c r="L77" s="20" t="s">
        <v>1979</v>
      </c>
      <c r="M77" s="5" t="s">
        <v>1648</v>
      </c>
      <c r="O77" s="0" t="n">
        <v>1</v>
      </c>
    </row>
    <row r="78" customFormat="false" ht="17.15" hidden="false" customHeight="false" outlineLevel="0" collapsed="false">
      <c r="A78" s="17" t="s">
        <v>1980</v>
      </c>
      <c r="B78" s="17" t="s">
        <v>1635</v>
      </c>
      <c r="C78" s="17" t="s">
        <v>517</v>
      </c>
      <c r="D78" s="17" t="s">
        <v>118</v>
      </c>
      <c r="E78" s="17" t="s">
        <v>23</v>
      </c>
      <c r="F78" s="17" t="s">
        <v>1841</v>
      </c>
      <c r="G78" s="17" t="n">
        <v>64.159</v>
      </c>
      <c r="H78" s="17" t="s">
        <v>1797</v>
      </c>
      <c r="I78" s="18" t="s">
        <v>1981</v>
      </c>
      <c r="J78" s="17" t="s">
        <v>1810</v>
      </c>
      <c r="K78" s="17" t="s">
        <v>1982</v>
      </c>
      <c r="L78" s="17" t="s">
        <v>1983</v>
      </c>
      <c r="M78" s="18" t="s">
        <v>1802</v>
      </c>
      <c r="N78" s="17"/>
      <c r="O78" s="17" t="n">
        <v>0</v>
      </c>
    </row>
    <row r="79" customFormat="false" ht="17.15" hidden="false" customHeight="false" outlineLevel="0" collapsed="false">
      <c r="A79" s="0" t="s">
        <v>1984</v>
      </c>
      <c r="B79" s="0" t="s">
        <v>1635</v>
      </c>
      <c r="C79" s="0" t="s">
        <v>517</v>
      </c>
      <c r="D79" s="0" t="s">
        <v>118</v>
      </c>
      <c r="E79" s="0" t="s">
        <v>23</v>
      </c>
      <c r="F79" s="0" t="s">
        <v>1697</v>
      </c>
      <c r="G79" s="9" t="n">
        <v>137.214</v>
      </c>
      <c r="H79" s="20" t="s">
        <v>1797</v>
      </c>
      <c r="I79" s="5" t="s">
        <v>1985</v>
      </c>
      <c r="J79" s="20" t="s">
        <v>1853</v>
      </c>
      <c r="K79" s="20" t="s">
        <v>1986</v>
      </c>
      <c r="L79" s="20" t="s">
        <v>1983</v>
      </c>
      <c r="M79" s="5" t="s">
        <v>1648</v>
      </c>
      <c r="O79" s="0" t="n">
        <v>1</v>
      </c>
    </row>
    <row r="80" customFormat="false" ht="15" hidden="false" customHeight="false" outlineLevel="0" collapsed="false">
      <c r="A80" s="17" t="s">
        <v>1987</v>
      </c>
      <c r="B80" s="17" t="s">
        <v>1635</v>
      </c>
      <c r="C80" s="17" t="s">
        <v>517</v>
      </c>
      <c r="D80" s="17" t="s">
        <v>118</v>
      </c>
      <c r="E80" s="17" t="s">
        <v>23</v>
      </c>
      <c r="F80" s="17" t="s">
        <v>1700</v>
      </c>
      <c r="G80" s="17" t="n">
        <v>96.32</v>
      </c>
      <c r="H80" s="17" t="s">
        <v>1797</v>
      </c>
      <c r="I80" s="18" t="s">
        <v>1988</v>
      </c>
      <c r="J80" s="17" t="s">
        <v>1853</v>
      </c>
      <c r="K80" s="17" t="s">
        <v>1986</v>
      </c>
      <c r="L80" s="17" t="s">
        <v>1983</v>
      </c>
      <c r="M80" s="18" t="s">
        <v>1802</v>
      </c>
      <c r="N80" s="17"/>
      <c r="O80" s="17" t="n">
        <v>0</v>
      </c>
    </row>
    <row r="81" customFormat="false" ht="17.15" hidden="false" customHeight="false" outlineLevel="0" collapsed="false">
      <c r="A81" s="0" t="s">
        <v>1668</v>
      </c>
      <c r="B81" s="0" t="s">
        <v>1635</v>
      </c>
      <c r="C81" s="0" t="s">
        <v>517</v>
      </c>
      <c r="D81" s="0" t="s">
        <v>1644</v>
      </c>
      <c r="E81" s="0" t="s">
        <v>1852</v>
      </c>
      <c r="F81" s="0" t="s">
        <v>1657</v>
      </c>
      <c r="G81" s="9" t="n">
        <v>220</v>
      </c>
      <c r="H81" s="20" t="s">
        <v>1797</v>
      </c>
      <c r="I81" s="5" t="s">
        <v>1667</v>
      </c>
      <c r="J81" s="20" t="s">
        <v>1853</v>
      </c>
      <c r="K81" s="20" t="s">
        <v>1989</v>
      </c>
      <c r="L81" s="20" t="s">
        <v>1990</v>
      </c>
      <c r="M81" s="5" t="s">
        <v>1656</v>
      </c>
      <c r="N81" s="20" t="s">
        <v>1991</v>
      </c>
      <c r="O81" s="0" t="n">
        <v>1</v>
      </c>
    </row>
    <row r="82" customFormat="false" ht="17.15" hidden="false" customHeight="false" outlineLevel="0" collapsed="false">
      <c r="A82" s="0" t="s">
        <v>1672</v>
      </c>
      <c r="B82" s="0" t="s">
        <v>1635</v>
      </c>
      <c r="C82" s="0" t="s">
        <v>517</v>
      </c>
      <c r="D82" s="0" t="s">
        <v>1669</v>
      </c>
      <c r="E82" s="0" t="s">
        <v>1856</v>
      </c>
      <c r="F82" s="0" t="s">
        <v>1670</v>
      </c>
      <c r="G82" s="9" t="n">
        <v>50</v>
      </c>
      <c r="H82" s="20" t="s">
        <v>1797</v>
      </c>
      <c r="I82" s="5" t="s">
        <v>1671</v>
      </c>
      <c r="J82" s="20" t="s">
        <v>1853</v>
      </c>
      <c r="K82" s="20" t="s">
        <v>1992</v>
      </c>
      <c r="L82" s="20" t="s">
        <v>1983</v>
      </c>
      <c r="M82" s="5" t="s">
        <v>1648</v>
      </c>
      <c r="O82" s="0" t="n">
        <v>1</v>
      </c>
    </row>
    <row r="83" customFormat="false" ht="17.15" hidden="false" customHeight="false" outlineLevel="0" collapsed="false">
      <c r="A83" s="0" t="s">
        <v>1993</v>
      </c>
      <c r="B83" s="0" t="s">
        <v>1635</v>
      </c>
      <c r="C83" s="0" t="s">
        <v>517</v>
      </c>
      <c r="D83" s="0" t="s">
        <v>118</v>
      </c>
      <c r="E83" s="0" t="s">
        <v>23</v>
      </c>
      <c r="F83" s="0" t="s">
        <v>1670</v>
      </c>
      <c r="G83" s="9" t="n">
        <v>18</v>
      </c>
      <c r="H83" s="20" t="s">
        <v>1797</v>
      </c>
      <c r="I83" s="5" t="s">
        <v>1994</v>
      </c>
      <c r="J83" s="20" t="s">
        <v>1799</v>
      </c>
      <c r="K83" s="20" t="s">
        <v>1995</v>
      </c>
      <c r="L83" s="20" t="s">
        <v>1983</v>
      </c>
      <c r="M83" s="5" t="s">
        <v>1648</v>
      </c>
      <c r="O83" s="0" t="n">
        <v>1</v>
      </c>
    </row>
    <row r="84" customFormat="false" ht="17.15" hidden="false" customHeight="false" outlineLevel="0" collapsed="false">
      <c r="A84" s="17" t="s">
        <v>1996</v>
      </c>
      <c r="B84" s="17" t="s">
        <v>981</v>
      </c>
      <c r="C84" s="17" t="s">
        <v>524</v>
      </c>
      <c r="D84" s="17" t="s">
        <v>1632</v>
      </c>
      <c r="E84" s="17" t="s">
        <v>21</v>
      </c>
      <c r="F84" s="17" t="s">
        <v>1681</v>
      </c>
      <c r="G84" s="17" t="n">
        <v>91.328</v>
      </c>
      <c r="H84" s="17" t="s">
        <v>1797</v>
      </c>
      <c r="I84" s="18" t="s">
        <v>1871</v>
      </c>
      <c r="J84" s="17" t="s">
        <v>1799</v>
      </c>
      <c r="K84" s="17" t="s">
        <v>1997</v>
      </c>
      <c r="L84" s="17" t="s">
        <v>1998</v>
      </c>
      <c r="M84" s="18" t="s">
        <v>1802</v>
      </c>
      <c r="N84" s="17"/>
      <c r="O84" s="17" t="n">
        <v>0</v>
      </c>
    </row>
    <row r="85" customFormat="false" ht="17.15" hidden="false" customHeight="false" outlineLevel="0" collapsed="false">
      <c r="A85" s="17" t="s">
        <v>1999</v>
      </c>
      <c r="B85" s="17" t="s">
        <v>981</v>
      </c>
      <c r="C85" s="17" t="s">
        <v>524</v>
      </c>
      <c r="D85" s="17" t="s">
        <v>1632</v>
      </c>
      <c r="E85" s="17" t="s">
        <v>21</v>
      </c>
      <c r="F85" s="17" t="s">
        <v>1657</v>
      </c>
      <c r="G85" s="17" t="n">
        <v>37.256</v>
      </c>
      <c r="H85" s="17" t="s">
        <v>1797</v>
      </c>
      <c r="I85" s="17" t="s">
        <v>2000</v>
      </c>
      <c r="J85" s="17" t="s">
        <v>1799</v>
      </c>
      <c r="K85" s="17" t="s">
        <v>1997</v>
      </c>
      <c r="L85" s="17" t="s">
        <v>1998</v>
      </c>
      <c r="M85" s="18" t="s">
        <v>1802</v>
      </c>
      <c r="N85" s="17"/>
      <c r="O85" s="17" t="n">
        <v>0</v>
      </c>
    </row>
    <row r="86" customFormat="false" ht="17.15" hidden="false" customHeight="false" outlineLevel="0" collapsed="false">
      <c r="A86" s="17" t="s">
        <v>2001</v>
      </c>
      <c r="B86" s="17" t="s">
        <v>981</v>
      </c>
      <c r="C86" s="17" t="s">
        <v>524</v>
      </c>
      <c r="D86" s="17" t="s">
        <v>1632</v>
      </c>
      <c r="E86" s="17" t="s">
        <v>21</v>
      </c>
      <c r="F86" s="17" t="s">
        <v>1645</v>
      </c>
      <c r="G86" s="17" t="n">
        <v>39.225</v>
      </c>
      <c r="H86" s="17" t="s">
        <v>1797</v>
      </c>
      <c r="I86" s="17" t="s">
        <v>2002</v>
      </c>
      <c r="J86" s="17" t="s">
        <v>1810</v>
      </c>
      <c r="K86" s="17" t="s">
        <v>1997</v>
      </c>
      <c r="L86" s="17" t="s">
        <v>1998</v>
      </c>
      <c r="M86" s="18" t="s">
        <v>1802</v>
      </c>
      <c r="N86" s="17"/>
      <c r="O86" s="17" t="n">
        <v>0</v>
      </c>
    </row>
    <row r="87" customFormat="false" ht="17.15" hidden="false" customHeight="false" outlineLevel="0" collapsed="false">
      <c r="A87" s="17" t="s">
        <v>2003</v>
      </c>
      <c r="B87" s="17" t="s">
        <v>981</v>
      </c>
      <c r="C87" s="17" t="s">
        <v>524</v>
      </c>
      <c r="D87" s="17" t="s">
        <v>1632</v>
      </c>
      <c r="E87" s="17" t="s">
        <v>21</v>
      </c>
      <c r="F87" s="17" t="s">
        <v>1686</v>
      </c>
      <c r="G87" s="17" t="n">
        <v>52.103</v>
      </c>
      <c r="H87" s="17" t="s">
        <v>1797</v>
      </c>
      <c r="I87" s="18" t="s">
        <v>2004</v>
      </c>
      <c r="J87" s="17" t="s">
        <v>1799</v>
      </c>
      <c r="K87" s="17" t="s">
        <v>1997</v>
      </c>
      <c r="L87" s="17" t="s">
        <v>1998</v>
      </c>
      <c r="M87" s="18" t="s">
        <v>1802</v>
      </c>
      <c r="N87" s="17"/>
      <c r="O87" s="17" t="n">
        <v>0</v>
      </c>
    </row>
    <row r="88" customFormat="false" ht="17.15" hidden="false" customHeight="false" outlineLevel="0" collapsed="false">
      <c r="A88" s="17" t="s">
        <v>2005</v>
      </c>
      <c r="B88" s="17" t="s">
        <v>981</v>
      </c>
      <c r="C88" s="17" t="s">
        <v>524</v>
      </c>
      <c r="D88" s="17" t="s">
        <v>1632</v>
      </c>
      <c r="E88" s="17" t="s">
        <v>21</v>
      </c>
      <c r="F88" s="17" t="s">
        <v>1814</v>
      </c>
      <c r="G88" s="17" t="n">
        <v>35.197</v>
      </c>
      <c r="H88" s="17" t="s">
        <v>1797</v>
      </c>
      <c r="I88" s="18" t="s">
        <v>2006</v>
      </c>
      <c r="J88" s="17" t="s">
        <v>1799</v>
      </c>
      <c r="K88" s="17" t="s">
        <v>1997</v>
      </c>
      <c r="L88" s="17" t="s">
        <v>1998</v>
      </c>
      <c r="M88" s="18" t="s">
        <v>1802</v>
      </c>
      <c r="N88" s="17"/>
      <c r="O88" s="17" t="n">
        <v>0</v>
      </c>
    </row>
    <row r="89" customFormat="false" ht="17.15" hidden="false" customHeight="false" outlineLevel="0" collapsed="false">
      <c r="A89" s="0" t="s">
        <v>2007</v>
      </c>
      <c r="B89" s="0" t="s">
        <v>981</v>
      </c>
      <c r="C89" s="0" t="s">
        <v>524</v>
      </c>
      <c r="D89" s="0" t="s">
        <v>1633</v>
      </c>
      <c r="E89" s="0" t="s">
        <v>22</v>
      </c>
      <c r="F89" s="0" t="s">
        <v>1681</v>
      </c>
      <c r="G89" s="9" t="n">
        <v>115.8</v>
      </c>
      <c r="H89" s="20" t="s">
        <v>1797</v>
      </c>
      <c r="I89" s="5" t="s">
        <v>1871</v>
      </c>
      <c r="J89" s="20" t="s">
        <v>1799</v>
      </c>
      <c r="K89" s="20" t="s">
        <v>2008</v>
      </c>
      <c r="L89" s="20" t="s">
        <v>1998</v>
      </c>
      <c r="M89" s="5" t="s">
        <v>1648</v>
      </c>
      <c r="O89" s="0" t="n">
        <v>1</v>
      </c>
    </row>
    <row r="90" customFormat="false" ht="17.15" hidden="false" customHeight="false" outlineLevel="0" collapsed="false">
      <c r="A90" s="17" t="s">
        <v>2009</v>
      </c>
      <c r="B90" s="17" t="s">
        <v>981</v>
      </c>
      <c r="C90" s="17" t="s">
        <v>524</v>
      </c>
      <c r="D90" s="17" t="s">
        <v>1633</v>
      </c>
      <c r="E90" s="17" t="s">
        <v>22</v>
      </c>
      <c r="F90" s="17" t="s">
        <v>1657</v>
      </c>
      <c r="G90" s="17" t="n">
        <v>69.691</v>
      </c>
      <c r="H90" s="17" t="s">
        <v>1797</v>
      </c>
      <c r="I90" s="17" t="s">
        <v>2000</v>
      </c>
      <c r="J90" s="17" t="s">
        <v>1799</v>
      </c>
      <c r="K90" s="17" t="s">
        <v>1997</v>
      </c>
      <c r="L90" s="17" t="s">
        <v>1998</v>
      </c>
      <c r="M90" s="18" t="s">
        <v>1802</v>
      </c>
      <c r="N90" s="17"/>
      <c r="O90" s="17" t="n">
        <v>0</v>
      </c>
    </row>
    <row r="91" customFormat="false" ht="17.15" hidden="false" customHeight="false" outlineLevel="0" collapsed="false">
      <c r="A91" s="0" t="s">
        <v>2010</v>
      </c>
      <c r="B91" s="0" t="s">
        <v>981</v>
      </c>
      <c r="C91" s="0" t="s">
        <v>524</v>
      </c>
      <c r="D91" s="0" t="s">
        <v>1633</v>
      </c>
      <c r="E91" s="0" t="s">
        <v>22</v>
      </c>
      <c r="F91" s="0" t="s">
        <v>1645</v>
      </c>
      <c r="G91" s="9" t="n">
        <v>72.215</v>
      </c>
      <c r="H91" s="20" t="s">
        <v>1797</v>
      </c>
      <c r="I91" s="20" t="s">
        <v>2011</v>
      </c>
      <c r="J91" s="20" t="s">
        <v>1810</v>
      </c>
      <c r="K91" s="20" t="s">
        <v>2008</v>
      </c>
      <c r="L91" s="20" t="s">
        <v>1998</v>
      </c>
      <c r="M91" s="5" t="s">
        <v>1648</v>
      </c>
      <c r="O91" s="0" t="n">
        <v>1</v>
      </c>
    </row>
    <row r="92" customFormat="false" ht="17.15" hidden="false" customHeight="false" outlineLevel="0" collapsed="false">
      <c r="A92" s="0" t="s">
        <v>2012</v>
      </c>
      <c r="B92" s="0" t="s">
        <v>981</v>
      </c>
      <c r="C92" s="0" t="s">
        <v>524</v>
      </c>
      <c r="D92" s="0" t="s">
        <v>1633</v>
      </c>
      <c r="E92" s="0" t="s">
        <v>22</v>
      </c>
      <c r="F92" s="0" t="s">
        <v>1686</v>
      </c>
      <c r="G92" s="9" t="n">
        <v>43.585</v>
      </c>
      <c r="H92" s="20" t="s">
        <v>1797</v>
      </c>
      <c r="I92" s="5" t="s">
        <v>2013</v>
      </c>
      <c r="J92" s="20" t="s">
        <v>1799</v>
      </c>
      <c r="K92" s="20" t="s">
        <v>2008</v>
      </c>
      <c r="L92" s="20" t="s">
        <v>1998</v>
      </c>
      <c r="M92" s="5" t="s">
        <v>1648</v>
      </c>
      <c r="O92" s="0" t="n">
        <v>1</v>
      </c>
    </row>
    <row r="93" customFormat="false" ht="17.15" hidden="false" customHeight="false" outlineLevel="0" collapsed="false">
      <c r="A93" s="0" t="s">
        <v>2014</v>
      </c>
      <c r="B93" s="0" t="s">
        <v>981</v>
      </c>
      <c r="C93" s="0" t="s">
        <v>524</v>
      </c>
      <c r="D93" s="0" t="s">
        <v>1633</v>
      </c>
      <c r="E93" s="0" t="s">
        <v>22</v>
      </c>
      <c r="F93" s="0" t="s">
        <v>1814</v>
      </c>
      <c r="G93" s="9" t="n">
        <v>31.572</v>
      </c>
      <c r="H93" s="20" t="s">
        <v>1797</v>
      </c>
      <c r="I93" s="5" t="s">
        <v>2015</v>
      </c>
      <c r="J93" s="20" t="s">
        <v>1799</v>
      </c>
      <c r="K93" s="20" t="s">
        <v>2008</v>
      </c>
      <c r="L93" s="20" t="s">
        <v>1998</v>
      </c>
      <c r="M93" s="5" t="s">
        <v>1648</v>
      </c>
      <c r="O93" s="0" t="n">
        <v>1</v>
      </c>
    </row>
    <row r="94" customFormat="false" ht="15" hidden="false" customHeight="false" outlineLevel="0" collapsed="false">
      <c r="A94" s="0" t="s">
        <v>2016</v>
      </c>
      <c r="B94" s="0" t="s">
        <v>981</v>
      </c>
      <c r="C94" s="0" t="s">
        <v>524</v>
      </c>
      <c r="D94" s="0" t="s">
        <v>1636</v>
      </c>
      <c r="E94" s="0" t="s">
        <v>23</v>
      </c>
      <c r="F94" s="0" t="s">
        <v>1681</v>
      </c>
      <c r="G94" s="9" t="n">
        <v>96.873</v>
      </c>
      <c r="H94" s="20" t="s">
        <v>1797</v>
      </c>
      <c r="I94" s="5" t="s">
        <v>2017</v>
      </c>
      <c r="J94" s="20" t="s">
        <v>1799</v>
      </c>
      <c r="K94" s="20" t="s">
        <v>2018</v>
      </c>
      <c r="L94" s="20" t="s">
        <v>2019</v>
      </c>
      <c r="M94" s="5" t="s">
        <v>1648</v>
      </c>
      <c r="O94" s="0" t="n">
        <v>1</v>
      </c>
    </row>
    <row r="95" customFormat="false" ht="17.15" hidden="false" customHeight="false" outlineLevel="0" collapsed="false">
      <c r="A95" s="0" t="s">
        <v>2020</v>
      </c>
      <c r="B95" s="0" t="s">
        <v>981</v>
      </c>
      <c r="C95" s="0" t="s">
        <v>524</v>
      </c>
      <c r="D95" s="0" t="s">
        <v>1636</v>
      </c>
      <c r="E95" s="0" t="s">
        <v>23</v>
      </c>
      <c r="F95" s="0" t="s">
        <v>1657</v>
      </c>
      <c r="G95" s="9" t="n">
        <v>83.055</v>
      </c>
      <c r="H95" s="20" t="s">
        <v>1797</v>
      </c>
      <c r="I95" s="20" t="s">
        <v>2021</v>
      </c>
      <c r="J95" s="20" t="s">
        <v>1799</v>
      </c>
      <c r="K95" s="20" t="s">
        <v>2018</v>
      </c>
      <c r="L95" s="20" t="s">
        <v>2019</v>
      </c>
      <c r="M95" s="5" t="s">
        <v>1648</v>
      </c>
      <c r="O95" s="0" t="n">
        <v>1</v>
      </c>
    </row>
    <row r="96" customFormat="false" ht="17.15" hidden="false" customHeight="false" outlineLevel="0" collapsed="false">
      <c r="A96" s="0" t="s">
        <v>2022</v>
      </c>
      <c r="B96" s="0" t="s">
        <v>981</v>
      </c>
      <c r="C96" s="0" t="s">
        <v>524</v>
      </c>
      <c r="D96" s="0" t="s">
        <v>1636</v>
      </c>
      <c r="E96" s="0" t="s">
        <v>23</v>
      </c>
      <c r="F96" s="0" t="s">
        <v>1645</v>
      </c>
      <c r="G96" s="9" t="n">
        <v>85.824</v>
      </c>
      <c r="H96" s="20" t="s">
        <v>1797</v>
      </c>
      <c r="I96" s="5" t="s">
        <v>2023</v>
      </c>
      <c r="J96" s="20" t="s">
        <v>1810</v>
      </c>
      <c r="K96" s="20" t="s">
        <v>2018</v>
      </c>
      <c r="L96" s="20" t="s">
        <v>2019</v>
      </c>
      <c r="M96" s="5" t="s">
        <v>1648</v>
      </c>
      <c r="O96" s="0" t="n">
        <v>1</v>
      </c>
    </row>
    <row r="97" customFormat="false" ht="17.15" hidden="false" customHeight="false" outlineLevel="0" collapsed="false">
      <c r="A97" s="0" t="s">
        <v>2024</v>
      </c>
      <c r="B97" s="0" t="s">
        <v>981</v>
      </c>
      <c r="C97" s="0" t="s">
        <v>524</v>
      </c>
      <c r="D97" s="0" t="s">
        <v>1636</v>
      </c>
      <c r="E97" s="0" t="s">
        <v>23</v>
      </c>
      <c r="F97" s="0" t="s">
        <v>1686</v>
      </c>
      <c r="G97" s="9" t="n">
        <v>11.049</v>
      </c>
      <c r="H97" s="20" t="s">
        <v>1797</v>
      </c>
      <c r="I97" s="20" t="s">
        <v>2025</v>
      </c>
      <c r="J97" s="20" t="s">
        <v>1810</v>
      </c>
      <c r="K97" s="20" t="s">
        <v>2018</v>
      </c>
      <c r="L97" s="20" t="s">
        <v>2019</v>
      </c>
      <c r="M97" s="5" t="s">
        <v>1648</v>
      </c>
      <c r="O97" s="0" t="n">
        <v>1</v>
      </c>
    </row>
    <row r="98" customFormat="false" ht="17.15" hidden="false" customHeight="false" outlineLevel="0" collapsed="false">
      <c r="A98" s="0" t="s">
        <v>2026</v>
      </c>
      <c r="B98" s="0" t="s">
        <v>981</v>
      </c>
      <c r="C98" s="0" t="s">
        <v>524</v>
      </c>
      <c r="D98" s="0" t="s">
        <v>1636</v>
      </c>
      <c r="E98" s="0" t="s">
        <v>23</v>
      </c>
      <c r="F98" s="0" t="s">
        <v>1814</v>
      </c>
      <c r="G98" s="9" t="n">
        <v>4.06</v>
      </c>
      <c r="H98" s="20" t="s">
        <v>1797</v>
      </c>
      <c r="I98" s="5" t="s">
        <v>2027</v>
      </c>
      <c r="J98" s="20" t="s">
        <v>1799</v>
      </c>
      <c r="K98" s="20" t="s">
        <v>2018</v>
      </c>
      <c r="L98" s="20" t="s">
        <v>2019</v>
      </c>
      <c r="M98" s="5" t="s">
        <v>1648</v>
      </c>
      <c r="O98" s="0" t="n">
        <v>1</v>
      </c>
    </row>
    <row r="99" customFormat="false" ht="17.15" hidden="false" customHeight="false" outlineLevel="0" collapsed="false">
      <c r="A99" s="0" t="s">
        <v>1674</v>
      </c>
      <c r="B99" s="0" t="s">
        <v>981</v>
      </c>
      <c r="C99" s="0" t="s">
        <v>524</v>
      </c>
      <c r="D99" s="0" t="s">
        <v>1644</v>
      </c>
      <c r="E99" s="0" t="s">
        <v>1852</v>
      </c>
      <c r="F99" s="0" t="s">
        <v>1645</v>
      </c>
      <c r="G99" s="9" t="n">
        <v>140</v>
      </c>
      <c r="H99" s="20" t="s">
        <v>1797</v>
      </c>
      <c r="I99" s="5" t="s">
        <v>1673</v>
      </c>
      <c r="J99" s="20" t="s">
        <v>1853</v>
      </c>
      <c r="K99" s="20" t="s">
        <v>2028</v>
      </c>
      <c r="L99" s="20" t="s">
        <v>2029</v>
      </c>
      <c r="M99" s="5" t="s">
        <v>1648</v>
      </c>
      <c r="O99" s="0" t="n">
        <v>1</v>
      </c>
    </row>
    <row r="100" customFormat="false" ht="17.15" hidden="false" customHeight="false" outlineLevel="0" collapsed="false">
      <c r="A100" s="0" t="s">
        <v>2030</v>
      </c>
      <c r="B100" s="0" t="s">
        <v>981</v>
      </c>
      <c r="C100" s="0" t="s">
        <v>524</v>
      </c>
      <c r="D100" s="0" t="s">
        <v>2031</v>
      </c>
      <c r="E100" s="0" t="s">
        <v>22</v>
      </c>
      <c r="F100" s="0" t="s">
        <v>1653</v>
      </c>
      <c r="G100" s="9" t="n">
        <v>30</v>
      </c>
      <c r="H100" s="20" t="s">
        <v>1797</v>
      </c>
      <c r="I100" s="20" t="s">
        <v>2032</v>
      </c>
      <c r="J100" s="20" t="s">
        <v>1853</v>
      </c>
      <c r="K100" s="20" t="s">
        <v>1976</v>
      </c>
      <c r="L100" s="20" t="s">
        <v>2033</v>
      </c>
      <c r="M100" s="20" t="s">
        <v>1714</v>
      </c>
      <c r="O100" s="0" t="n">
        <v>1</v>
      </c>
    </row>
    <row r="101" customFormat="false" ht="17.15" hidden="false" customHeight="false" outlineLevel="0" collapsed="false">
      <c r="A101" s="0" t="s">
        <v>2034</v>
      </c>
      <c r="B101" s="0" t="s">
        <v>981</v>
      </c>
      <c r="C101" s="0" t="s">
        <v>524</v>
      </c>
      <c r="D101" s="0" t="s">
        <v>2035</v>
      </c>
      <c r="E101" s="0" t="s">
        <v>23</v>
      </c>
      <c r="F101" s="0" t="s">
        <v>1653</v>
      </c>
      <c r="G101" s="9" t="n">
        <v>25</v>
      </c>
      <c r="H101" s="20" t="s">
        <v>1797</v>
      </c>
      <c r="I101" s="20" t="s">
        <v>2036</v>
      </c>
      <c r="J101" s="20" t="s">
        <v>1799</v>
      </c>
      <c r="K101" s="20" t="s">
        <v>2037</v>
      </c>
      <c r="L101" s="20" t="s">
        <v>2019</v>
      </c>
      <c r="M101" s="5" t="s">
        <v>1656</v>
      </c>
      <c r="N101" s="20" t="s">
        <v>2038</v>
      </c>
      <c r="O101" s="0" t="n">
        <v>1</v>
      </c>
    </row>
    <row r="102" customFormat="false" ht="17.15" hidden="false" customHeight="false" outlineLevel="0" collapsed="false">
      <c r="A102" s="0" t="s">
        <v>2039</v>
      </c>
      <c r="B102" s="0" t="s">
        <v>981</v>
      </c>
      <c r="C102" s="0" t="s">
        <v>524</v>
      </c>
      <c r="D102" s="0" t="s">
        <v>1636</v>
      </c>
      <c r="E102" s="0" t="s">
        <v>23</v>
      </c>
      <c r="F102" s="0" t="s">
        <v>1841</v>
      </c>
      <c r="G102" s="9" t="n">
        <v>22.178</v>
      </c>
      <c r="H102" s="20" t="s">
        <v>1797</v>
      </c>
      <c r="I102" s="5" t="s">
        <v>2040</v>
      </c>
      <c r="J102" s="20" t="s">
        <v>1810</v>
      </c>
      <c r="K102" s="20" t="s">
        <v>2018</v>
      </c>
      <c r="L102" s="20" t="s">
        <v>2019</v>
      </c>
      <c r="M102" s="5" t="s">
        <v>1648</v>
      </c>
      <c r="O102" s="0" t="n">
        <v>1</v>
      </c>
    </row>
    <row r="103" customFormat="false" ht="17.15" hidden="false" customHeight="false" outlineLevel="0" collapsed="false">
      <c r="A103" s="0" t="s">
        <v>2041</v>
      </c>
      <c r="B103" s="0" t="s">
        <v>981</v>
      </c>
      <c r="C103" s="0" t="s">
        <v>524</v>
      </c>
      <c r="D103" s="0" t="s">
        <v>2042</v>
      </c>
      <c r="E103" s="0" t="s">
        <v>22</v>
      </c>
      <c r="F103" s="0" t="s">
        <v>1661</v>
      </c>
      <c r="G103" s="9" t="n">
        <v>27.3</v>
      </c>
      <c r="H103" s="20" t="s">
        <v>1797</v>
      </c>
      <c r="I103" s="20" t="s">
        <v>2043</v>
      </c>
      <c r="J103" s="20" t="s">
        <v>1853</v>
      </c>
      <c r="K103" s="20" t="s">
        <v>1976</v>
      </c>
      <c r="L103" s="20" t="s">
        <v>2044</v>
      </c>
      <c r="M103" s="5" t="s">
        <v>1648</v>
      </c>
      <c r="O103" s="0" t="n">
        <v>1</v>
      </c>
    </row>
    <row r="104" customFormat="false" ht="17.15" hidden="false" customHeight="false" outlineLevel="0" collapsed="false">
      <c r="A104" s="0" t="s">
        <v>2045</v>
      </c>
      <c r="B104" s="0" t="s">
        <v>981</v>
      </c>
      <c r="C104" s="0" t="s">
        <v>524</v>
      </c>
      <c r="D104" s="0" t="s">
        <v>1669</v>
      </c>
      <c r="E104" s="0" t="s">
        <v>23</v>
      </c>
      <c r="F104" s="0" t="s">
        <v>1661</v>
      </c>
      <c r="G104" s="9" t="n">
        <v>14</v>
      </c>
      <c r="H104" s="20" t="s">
        <v>1797</v>
      </c>
      <c r="I104" s="20" t="s">
        <v>2046</v>
      </c>
      <c r="J104" s="20" t="s">
        <v>1853</v>
      </c>
      <c r="K104" s="20" t="s">
        <v>2047</v>
      </c>
      <c r="L104" s="20" t="s">
        <v>2048</v>
      </c>
      <c r="M104" s="5" t="s">
        <v>1656</v>
      </c>
      <c r="N104" s="20" t="s">
        <v>2049</v>
      </c>
      <c r="O104" s="0" t="n">
        <v>1</v>
      </c>
    </row>
    <row r="105" customFormat="false" ht="17.15" hidden="false" customHeight="false" outlineLevel="0" collapsed="false">
      <c r="A105" s="0" t="s">
        <v>2050</v>
      </c>
      <c r="B105" s="0" t="s">
        <v>981</v>
      </c>
      <c r="C105" s="0" t="s">
        <v>524</v>
      </c>
      <c r="D105" s="0" t="s">
        <v>2051</v>
      </c>
      <c r="E105" s="0" t="s">
        <v>23</v>
      </c>
      <c r="F105" s="0" t="s">
        <v>2052</v>
      </c>
      <c r="G105" s="9" t="n">
        <v>68.404</v>
      </c>
      <c r="H105" s="20" t="s">
        <v>1797</v>
      </c>
      <c r="I105" s="5" t="s">
        <v>2053</v>
      </c>
      <c r="J105" s="20" t="s">
        <v>1799</v>
      </c>
      <c r="K105" s="20" t="s">
        <v>2018</v>
      </c>
      <c r="L105" s="20" t="s">
        <v>2019</v>
      </c>
      <c r="M105" s="5" t="s">
        <v>1648</v>
      </c>
      <c r="O105" s="0" t="n">
        <v>1</v>
      </c>
    </row>
    <row r="106" customFormat="false" ht="17.15" hidden="false" customHeight="false" outlineLevel="0" collapsed="false">
      <c r="A106" s="0" t="s">
        <v>2054</v>
      </c>
      <c r="B106" s="0" t="s">
        <v>981</v>
      </c>
      <c r="C106" s="0" t="s">
        <v>524</v>
      </c>
      <c r="D106" s="0" t="s">
        <v>2051</v>
      </c>
      <c r="E106" s="0" t="s">
        <v>23</v>
      </c>
      <c r="F106" s="0" t="s">
        <v>1697</v>
      </c>
      <c r="G106" s="9" t="n">
        <v>355.73</v>
      </c>
      <c r="H106" s="20" t="s">
        <v>1797</v>
      </c>
      <c r="I106" s="5" t="s">
        <v>2055</v>
      </c>
      <c r="J106" s="20" t="s">
        <v>1799</v>
      </c>
      <c r="K106" s="20" t="s">
        <v>2018</v>
      </c>
      <c r="L106" s="20" t="s">
        <v>2019</v>
      </c>
      <c r="M106" s="5" t="s">
        <v>1648</v>
      </c>
      <c r="O106" s="0" t="n">
        <v>1</v>
      </c>
    </row>
    <row r="107" customFormat="false" ht="17.15" hidden="false" customHeight="false" outlineLevel="0" collapsed="false">
      <c r="A107" s="0" t="s">
        <v>2056</v>
      </c>
      <c r="B107" s="0" t="s">
        <v>981</v>
      </c>
      <c r="C107" s="0" t="s">
        <v>524</v>
      </c>
      <c r="D107" s="0" t="s">
        <v>2051</v>
      </c>
      <c r="E107" s="0" t="s">
        <v>23</v>
      </c>
      <c r="F107" s="0" t="s">
        <v>1850</v>
      </c>
      <c r="G107" s="9" t="n">
        <v>454.52</v>
      </c>
      <c r="H107" s="20" t="s">
        <v>1797</v>
      </c>
      <c r="I107" s="5" t="s">
        <v>2057</v>
      </c>
      <c r="J107" s="20" t="s">
        <v>1799</v>
      </c>
      <c r="K107" s="20" t="s">
        <v>2018</v>
      </c>
      <c r="L107" s="20" t="s">
        <v>2019</v>
      </c>
      <c r="M107" s="5" t="s">
        <v>1648</v>
      </c>
      <c r="O107" s="0" t="n">
        <v>1</v>
      </c>
    </row>
    <row r="108" customFormat="false" ht="17.15" hidden="false" customHeight="false" outlineLevel="0" collapsed="false">
      <c r="A108" s="0" t="s">
        <v>1678</v>
      </c>
      <c r="B108" s="0" t="s">
        <v>981</v>
      </c>
      <c r="C108" s="0" t="s">
        <v>524</v>
      </c>
      <c r="D108" s="0" t="s">
        <v>1675</v>
      </c>
      <c r="E108" s="0" t="s">
        <v>1856</v>
      </c>
      <c r="F108" s="0" t="s">
        <v>1676</v>
      </c>
      <c r="G108" s="9" t="n">
        <v>25</v>
      </c>
      <c r="H108" s="20" t="s">
        <v>1797</v>
      </c>
      <c r="I108" s="20" t="s">
        <v>1677</v>
      </c>
      <c r="J108" s="20" t="s">
        <v>1799</v>
      </c>
      <c r="K108" s="20" t="s">
        <v>2058</v>
      </c>
      <c r="L108" s="20" t="s">
        <v>2059</v>
      </c>
      <c r="M108" s="5" t="s">
        <v>1648</v>
      </c>
      <c r="O108" s="0" t="n">
        <v>1</v>
      </c>
    </row>
    <row r="109" customFormat="false" ht="17.15" hidden="false" customHeight="false" outlineLevel="0" collapsed="false">
      <c r="A109" s="0" t="s">
        <v>1680</v>
      </c>
      <c r="B109" s="0" t="s">
        <v>981</v>
      </c>
      <c r="C109" s="0" t="s">
        <v>524</v>
      </c>
      <c r="D109" s="0" t="s">
        <v>1675</v>
      </c>
      <c r="E109" s="0" t="s">
        <v>1856</v>
      </c>
      <c r="F109" s="0" t="s">
        <v>1676</v>
      </c>
      <c r="G109" s="9" t="n">
        <v>12.5</v>
      </c>
      <c r="H109" s="20" t="s">
        <v>1797</v>
      </c>
      <c r="I109" s="20" t="s">
        <v>1679</v>
      </c>
      <c r="J109" s="20" t="s">
        <v>1799</v>
      </c>
      <c r="K109" s="20" t="s">
        <v>2058</v>
      </c>
      <c r="L109" s="20" t="s">
        <v>2059</v>
      </c>
      <c r="M109" s="5" t="s">
        <v>1648</v>
      </c>
      <c r="O109" s="0" t="n">
        <v>1</v>
      </c>
    </row>
    <row r="110" customFormat="false" ht="17.15" hidden="false" customHeight="false" outlineLevel="0" collapsed="false">
      <c r="A110" s="17" t="s">
        <v>2060</v>
      </c>
      <c r="B110" s="17" t="s">
        <v>1637</v>
      </c>
      <c r="C110" s="17" t="s">
        <v>528</v>
      </c>
      <c r="D110" s="17" t="s">
        <v>1628</v>
      </c>
      <c r="E110" s="17" t="s">
        <v>21</v>
      </c>
      <c r="F110" s="17" t="s">
        <v>1681</v>
      </c>
      <c r="G110" s="17" t="n">
        <v>18.673</v>
      </c>
      <c r="H110" s="17" t="s">
        <v>1797</v>
      </c>
      <c r="I110" s="18" t="s">
        <v>2061</v>
      </c>
      <c r="J110" s="17" t="s">
        <v>1799</v>
      </c>
      <c r="K110" s="17" t="s">
        <v>2062</v>
      </c>
      <c r="L110" s="17" t="s">
        <v>2063</v>
      </c>
      <c r="M110" s="18" t="s">
        <v>1802</v>
      </c>
      <c r="N110" s="17"/>
      <c r="O110" s="17" t="n">
        <v>0</v>
      </c>
    </row>
    <row r="111" customFormat="false" ht="17.15" hidden="false" customHeight="false" outlineLevel="0" collapsed="false">
      <c r="A111" s="17" t="s">
        <v>2064</v>
      </c>
      <c r="B111" s="17" t="s">
        <v>1637</v>
      </c>
      <c r="C111" s="17" t="s">
        <v>528</v>
      </c>
      <c r="D111" s="17" t="s">
        <v>1628</v>
      </c>
      <c r="E111" s="17" t="s">
        <v>21</v>
      </c>
      <c r="F111" s="17" t="s">
        <v>1657</v>
      </c>
      <c r="G111" s="17" t="n">
        <v>6.866</v>
      </c>
      <c r="H111" s="17" t="s">
        <v>1797</v>
      </c>
      <c r="I111" s="18" t="s">
        <v>2065</v>
      </c>
      <c r="J111" s="17" t="s">
        <v>1799</v>
      </c>
      <c r="K111" s="17" t="s">
        <v>2062</v>
      </c>
      <c r="L111" s="17" t="s">
        <v>2063</v>
      </c>
      <c r="M111" s="18" t="s">
        <v>1802</v>
      </c>
      <c r="N111" s="17"/>
      <c r="O111" s="17" t="n">
        <v>0</v>
      </c>
    </row>
    <row r="112" customFormat="false" ht="17.15" hidden="false" customHeight="false" outlineLevel="0" collapsed="false">
      <c r="A112" s="17" t="s">
        <v>2066</v>
      </c>
      <c r="B112" s="17" t="s">
        <v>1637</v>
      </c>
      <c r="C112" s="17" t="s">
        <v>528</v>
      </c>
      <c r="D112" s="17" t="s">
        <v>1628</v>
      </c>
      <c r="E112" s="17" t="s">
        <v>21</v>
      </c>
      <c r="F112" s="17" t="s">
        <v>1686</v>
      </c>
      <c r="G112" s="17" t="n">
        <v>11.807</v>
      </c>
      <c r="H112" s="17" t="s">
        <v>1797</v>
      </c>
      <c r="I112" s="17" t="s">
        <v>1877</v>
      </c>
      <c r="J112" s="17" t="s">
        <v>1810</v>
      </c>
      <c r="K112" s="17" t="s">
        <v>2062</v>
      </c>
      <c r="L112" s="17" t="s">
        <v>2063</v>
      </c>
      <c r="M112" s="18" t="s">
        <v>1802</v>
      </c>
      <c r="N112" s="17"/>
      <c r="O112" s="17" t="n">
        <v>0</v>
      </c>
    </row>
    <row r="113" customFormat="false" ht="17.15" hidden="false" customHeight="false" outlineLevel="0" collapsed="false">
      <c r="A113" s="17" t="s">
        <v>2067</v>
      </c>
      <c r="B113" s="17" t="s">
        <v>1637</v>
      </c>
      <c r="C113" s="17" t="s">
        <v>528</v>
      </c>
      <c r="D113" s="17" t="s">
        <v>1628</v>
      </c>
      <c r="E113" s="17" t="s">
        <v>21</v>
      </c>
      <c r="F113" s="17" t="s">
        <v>1814</v>
      </c>
      <c r="G113" s="17" t="n">
        <v>5.593</v>
      </c>
      <c r="H113" s="17" t="s">
        <v>1797</v>
      </c>
      <c r="I113" s="18" t="s">
        <v>2068</v>
      </c>
      <c r="J113" s="17" t="s">
        <v>1799</v>
      </c>
      <c r="K113" s="17" t="s">
        <v>2062</v>
      </c>
      <c r="L113" s="17" t="s">
        <v>2063</v>
      </c>
      <c r="M113" s="18" t="s">
        <v>1802</v>
      </c>
      <c r="N113" s="17"/>
      <c r="O113" s="17" t="n">
        <v>0</v>
      </c>
    </row>
    <row r="114" customFormat="false" ht="17.15" hidden="false" customHeight="false" outlineLevel="0" collapsed="false">
      <c r="A114" s="17" t="s">
        <v>2069</v>
      </c>
      <c r="B114" s="17" t="s">
        <v>1637</v>
      </c>
      <c r="C114" s="17" t="s">
        <v>528</v>
      </c>
      <c r="D114" s="17" t="s">
        <v>1629</v>
      </c>
      <c r="E114" s="17" t="s">
        <v>22</v>
      </c>
      <c r="F114" s="17" t="s">
        <v>1681</v>
      </c>
      <c r="G114" s="17" t="n">
        <v>20.821</v>
      </c>
      <c r="H114" s="17" t="s">
        <v>1797</v>
      </c>
      <c r="I114" s="18" t="s">
        <v>2061</v>
      </c>
      <c r="J114" s="17" t="s">
        <v>1799</v>
      </c>
      <c r="K114" s="17" t="s">
        <v>2062</v>
      </c>
      <c r="L114" s="17" t="s">
        <v>2063</v>
      </c>
      <c r="M114" s="18" t="s">
        <v>1802</v>
      </c>
      <c r="N114" s="17"/>
      <c r="O114" s="17" t="n">
        <v>0</v>
      </c>
    </row>
    <row r="115" customFormat="false" ht="17.15" hidden="false" customHeight="false" outlineLevel="0" collapsed="false">
      <c r="A115" s="17" t="s">
        <v>2070</v>
      </c>
      <c r="B115" s="17" t="s">
        <v>1637</v>
      </c>
      <c r="C115" s="17" t="s">
        <v>528</v>
      </c>
      <c r="D115" s="17" t="s">
        <v>1629</v>
      </c>
      <c r="E115" s="17" t="s">
        <v>22</v>
      </c>
      <c r="F115" s="17" t="s">
        <v>1657</v>
      </c>
      <c r="G115" s="17" t="n">
        <v>21.215</v>
      </c>
      <c r="H115" s="17" t="s">
        <v>1797</v>
      </c>
      <c r="I115" s="18" t="s">
        <v>2065</v>
      </c>
      <c r="J115" s="17" t="s">
        <v>1799</v>
      </c>
      <c r="K115" s="17" t="s">
        <v>2062</v>
      </c>
      <c r="L115" s="17" t="s">
        <v>2063</v>
      </c>
      <c r="M115" s="18" t="s">
        <v>1802</v>
      </c>
      <c r="N115" s="17"/>
      <c r="O115" s="17" t="n">
        <v>0</v>
      </c>
    </row>
    <row r="116" customFormat="false" ht="17.15" hidden="false" customHeight="false" outlineLevel="0" collapsed="false">
      <c r="A116" s="17" t="s">
        <v>2071</v>
      </c>
      <c r="B116" s="17" t="s">
        <v>1637</v>
      </c>
      <c r="C116" s="17" t="s">
        <v>528</v>
      </c>
      <c r="D116" s="17" t="s">
        <v>1629</v>
      </c>
      <c r="E116" s="17" t="s">
        <v>22</v>
      </c>
      <c r="F116" s="17" t="s">
        <v>1686</v>
      </c>
      <c r="G116" s="17" t="n">
        <v>-0.394</v>
      </c>
      <c r="H116" s="17" t="s">
        <v>1797</v>
      </c>
      <c r="I116" s="17" t="s">
        <v>1877</v>
      </c>
      <c r="J116" s="17" t="s">
        <v>1810</v>
      </c>
      <c r="K116" s="17" t="s">
        <v>2062</v>
      </c>
      <c r="L116" s="17" t="s">
        <v>2063</v>
      </c>
      <c r="M116" s="18" t="s">
        <v>1802</v>
      </c>
      <c r="N116" s="17"/>
      <c r="O116" s="17" t="n">
        <v>0</v>
      </c>
    </row>
    <row r="117" customFormat="false" ht="17.15" hidden="false" customHeight="false" outlineLevel="0" collapsed="false">
      <c r="A117" s="17" t="s">
        <v>2072</v>
      </c>
      <c r="B117" s="17" t="s">
        <v>1637</v>
      </c>
      <c r="C117" s="17" t="s">
        <v>528</v>
      </c>
      <c r="D117" s="17" t="s">
        <v>1629</v>
      </c>
      <c r="E117" s="17" t="s">
        <v>22</v>
      </c>
      <c r="F117" s="17" t="s">
        <v>1814</v>
      </c>
      <c r="G117" s="17" t="n">
        <v>5.343</v>
      </c>
      <c r="H117" s="17" t="s">
        <v>1797</v>
      </c>
      <c r="I117" s="18" t="s">
        <v>2073</v>
      </c>
      <c r="J117" s="17" t="s">
        <v>1799</v>
      </c>
      <c r="K117" s="17" t="s">
        <v>2062</v>
      </c>
      <c r="L117" s="17" t="s">
        <v>2063</v>
      </c>
      <c r="M117" s="18" t="s">
        <v>1802</v>
      </c>
      <c r="N117" s="17"/>
      <c r="O117" s="17" t="n">
        <v>0</v>
      </c>
    </row>
    <row r="118" customFormat="false" ht="17.15" hidden="false" customHeight="false" outlineLevel="0" collapsed="false">
      <c r="A118" s="0" t="s">
        <v>2074</v>
      </c>
      <c r="B118" s="0" t="s">
        <v>1637</v>
      </c>
      <c r="C118" s="0" t="s">
        <v>528</v>
      </c>
      <c r="D118" s="0" t="s">
        <v>1630</v>
      </c>
      <c r="E118" s="0" t="s">
        <v>23</v>
      </c>
      <c r="F118" s="0" t="s">
        <v>1681</v>
      </c>
      <c r="G118" s="9" t="n">
        <v>31.977</v>
      </c>
      <c r="H118" s="20" t="s">
        <v>1797</v>
      </c>
      <c r="I118" s="5" t="s">
        <v>2075</v>
      </c>
      <c r="J118" s="20" t="s">
        <v>1799</v>
      </c>
      <c r="K118" s="20" t="s">
        <v>2076</v>
      </c>
      <c r="L118" s="20" t="s">
        <v>2063</v>
      </c>
      <c r="M118" s="5" t="s">
        <v>1648</v>
      </c>
      <c r="O118" s="0" t="n">
        <v>1</v>
      </c>
    </row>
    <row r="119" customFormat="false" ht="17.15" hidden="false" customHeight="false" outlineLevel="0" collapsed="false">
      <c r="A119" s="0" t="s">
        <v>2077</v>
      </c>
      <c r="B119" s="0" t="s">
        <v>1637</v>
      </c>
      <c r="C119" s="0" t="s">
        <v>528</v>
      </c>
      <c r="D119" s="0" t="s">
        <v>1630</v>
      </c>
      <c r="E119" s="0" t="s">
        <v>23</v>
      </c>
      <c r="F119" s="0" t="s">
        <v>1657</v>
      </c>
      <c r="G119" s="9" t="n">
        <v>55.663</v>
      </c>
      <c r="H119" s="20" t="s">
        <v>1797</v>
      </c>
      <c r="I119" s="5" t="s">
        <v>2065</v>
      </c>
      <c r="J119" s="20" t="s">
        <v>1799</v>
      </c>
      <c r="K119" s="20" t="s">
        <v>2076</v>
      </c>
      <c r="L119" s="20" t="s">
        <v>2063</v>
      </c>
      <c r="M119" s="5" t="s">
        <v>1648</v>
      </c>
      <c r="O119" s="0" t="n">
        <v>1</v>
      </c>
    </row>
    <row r="120" customFormat="false" ht="17.15" hidden="false" customHeight="false" outlineLevel="0" collapsed="false">
      <c r="A120" s="0" t="s">
        <v>2078</v>
      </c>
      <c r="B120" s="0" t="s">
        <v>1637</v>
      </c>
      <c r="C120" s="0" t="s">
        <v>528</v>
      </c>
      <c r="D120" s="0" t="s">
        <v>1630</v>
      </c>
      <c r="E120" s="0" t="s">
        <v>23</v>
      </c>
      <c r="F120" s="0" t="s">
        <v>1686</v>
      </c>
      <c r="G120" s="9" t="n">
        <v>-23.686</v>
      </c>
      <c r="H120" s="20" t="s">
        <v>1797</v>
      </c>
      <c r="I120" s="20" t="s">
        <v>1887</v>
      </c>
      <c r="J120" s="20" t="s">
        <v>1810</v>
      </c>
      <c r="K120" s="20" t="s">
        <v>2076</v>
      </c>
      <c r="L120" s="20" t="s">
        <v>2063</v>
      </c>
      <c r="M120" s="5" t="s">
        <v>1648</v>
      </c>
      <c r="O120" s="0" t="n">
        <v>1</v>
      </c>
    </row>
    <row r="121" customFormat="false" ht="17.15" hidden="false" customHeight="false" outlineLevel="0" collapsed="false">
      <c r="A121" s="17" t="s">
        <v>2079</v>
      </c>
      <c r="B121" s="17" t="s">
        <v>1637</v>
      </c>
      <c r="C121" s="17" t="s">
        <v>528</v>
      </c>
      <c r="D121" s="17" t="s">
        <v>1630</v>
      </c>
      <c r="E121" s="17" t="s">
        <v>23</v>
      </c>
      <c r="F121" s="17" t="s">
        <v>1814</v>
      </c>
      <c r="G121" s="17" t="n">
        <v>5.882</v>
      </c>
      <c r="H121" s="17" t="s">
        <v>1797</v>
      </c>
      <c r="I121" s="18" t="s">
        <v>2080</v>
      </c>
      <c r="J121" s="17" t="s">
        <v>1799</v>
      </c>
      <c r="K121" s="17" t="s">
        <v>2062</v>
      </c>
      <c r="L121" s="17" t="s">
        <v>2063</v>
      </c>
      <c r="M121" s="18" t="s">
        <v>1802</v>
      </c>
      <c r="N121" s="17"/>
      <c r="O121" s="17" t="n">
        <v>0</v>
      </c>
    </row>
    <row r="122" customFormat="false" ht="17.15" hidden="false" customHeight="false" outlineLevel="0" collapsed="false">
      <c r="A122" s="0" t="s">
        <v>1683</v>
      </c>
      <c r="B122" s="0" t="s">
        <v>1637</v>
      </c>
      <c r="C122" s="0" t="s">
        <v>528</v>
      </c>
      <c r="D122" s="0" t="s">
        <v>1649</v>
      </c>
      <c r="E122" s="0" t="s">
        <v>1856</v>
      </c>
      <c r="F122" s="0" t="s">
        <v>1681</v>
      </c>
      <c r="G122" s="9" t="n">
        <v>23.103</v>
      </c>
      <c r="H122" s="20" t="s">
        <v>1797</v>
      </c>
      <c r="I122" s="5" t="s">
        <v>1682</v>
      </c>
      <c r="J122" s="20" t="s">
        <v>1853</v>
      </c>
      <c r="K122" s="20" t="s">
        <v>2081</v>
      </c>
      <c r="L122" s="20" t="s">
        <v>2082</v>
      </c>
      <c r="M122" s="5" t="s">
        <v>1648</v>
      </c>
      <c r="O122" s="0" t="n">
        <v>1</v>
      </c>
    </row>
    <row r="123" customFormat="false" ht="17.15" hidden="false" customHeight="false" outlineLevel="0" collapsed="false">
      <c r="A123" s="0" t="s">
        <v>1685</v>
      </c>
      <c r="B123" s="0" t="s">
        <v>1637</v>
      </c>
      <c r="C123" s="0" t="s">
        <v>528</v>
      </c>
      <c r="D123" s="0" t="s">
        <v>1649</v>
      </c>
      <c r="E123" s="0" t="s">
        <v>1856</v>
      </c>
      <c r="F123" s="0" t="s">
        <v>1657</v>
      </c>
      <c r="G123" s="9" t="n">
        <v>28.499</v>
      </c>
      <c r="H123" s="20" t="s">
        <v>1797</v>
      </c>
      <c r="I123" s="5" t="s">
        <v>1684</v>
      </c>
      <c r="J123" s="20" t="s">
        <v>1853</v>
      </c>
      <c r="K123" s="20" t="s">
        <v>2081</v>
      </c>
      <c r="L123" s="20" t="s">
        <v>2082</v>
      </c>
      <c r="M123" s="5" t="s">
        <v>1648</v>
      </c>
      <c r="O123" s="0" t="n">
        <v>1</v>
      </c>
    </row>
    <row r="124" customFormat="false" ht="17.15" hidden="false" customHeight="false" outlineLevel="0" collapsed="false">
      <c r="A124" s="0" t="s">
        <v>1688</v>
      </c>
      <c r="B124" s="0" t="s">
        <v>1637</v>
      </c>
      <c r="C124" s="0" t="s">
        <v>528</v>
      </c>
      <c r="D124" s="0" t="s">
        <v>1649</v>
      </c>
      <c r="E124" s="0" t="s">
        <v>1856</v>
      </c>
      <c r="F124" s="0" t="s">
        <v>1686</v>
      </c>
      <c r="G124" s="9" t="n">
        <v>-5.396</v>
      </c>
      <c r="H124" s="20" t="s">
        <v>1797</v>
      </c>
      <c r="I124" s="5" t="s">
        <v>1687</v>
      </c>
      <c r="J124" s="20" t="s">
        <v>1810</v>
      </c>
      <c r="K124" s="20" t="s">
        <v>2081</v>
      </c>
      <c r="L124" s="20" t="s">
        <v>2082</v>
      </c>
      <c r="M124" s="5" t="s">
        <v>1648</v>
      </c>
      <c r="O124" s="0" t="n">
        <v>1</v>
      </c>
    </row>
    <row r="125" customFormat="false" ht="17.15" hidden="false" customHeight="false" outlineLevel="0" collapsed="false">
      <c r="A125" s="0" t="s">
        <v>1691</v>
      </c>
      <c r="B125" s="0" t="s">
        <v>1637</v>
      </c>
      <c r="C125" s="0" t="s">
        <v>528</v>
      </c>
      <c r="D125" s="0" t="s">
        <v>1689</v>
      </c>
      <c r="E125" s="0" t="s">
        <v>1852</v>
      </c>
      <c r="F125" s="0" t="s">
        <v>1657</v>
      </c>
      <c r="G125" s="9" t="n">
        <v>92.5</v>
      </c>
      <c r="H125" s="20" t="s">
        <v>1797</v>
      </c>
      <c r="I125" s="5" t="s">
        <v>1690</v>
      </c>
      <c r="J125" s="20" t="s">
        <v>1853</v>
      </c>
      <c r="K125" s="20" t="s">
        <v>2083</v>
      </c>
      <c r="L125" s="20" t="s">
        <v>2084</v>
      </c>
      <c r="M125" s="5" t="s">
        <v>1656</v>
      </c>
      <c r="N125" s="20" t="s">
        <v>2085</v>
      </c>
      <c r="O125" s="0" t="n">
        <v>1</v>
      </c>
    </row>
    <row r="126" customFormat="false" ht="17.15" hidden="false" customHeight="false" outlineLevel="0" collapsed="false">
      <c r="A126" s="0" t="s">
        <v>2086</v>
      </c>
      <c r="B126" s="0" t="s">
        <v>1637</v>
      </c>
      <c r="C126" s="0" t="s">
        <v>528</v>
      </c>
      <c r="D126" s="0" t="s">
        <v>1630</v>
      </c>
      <c r="E126" s="0" t="s">
        <v>23</v>
      </c>
      <c r="F126" s="0" t="s">
        <v>1653</v>
      </c>
      <c r="G126" s="9" t="n">
        <v>43</v>
      </c>
      <c r="H126" s="20" t="s">
        <v>1797</v>
      </c>
      <c r="I126" s="20" t="s">
        <v>2087</v>
      </c>
      <c r="J126" s="20" t="s">
        <v>1799</v>
      </c>
      <c r="K126" s="20" t="s">
        <v>2076</v>
      </c>
      <c r="L126" s="20" t="s">
        <v>2063</v>
      </c>
      <c r="M126" s="5" t="s">
        <v>1648</v>
      </c>
      <c r="O126" s="0" t="n">
        <v>1</v>
      </c>
    </row>
    <row r="127" customFormat="false" ht="17.15" hidden="false" customHeight="false" outlineLevel="0" collapsed="false">
      <c r="A127" s="17" t="s">
        <v>2088</v>
      </c>
      <c r="B127" s="17" t="s">
        <v>1637</v>
      </c>
      <c r="C127" s="17" t="s">
        <v>528</v>
      </c>
      <c r="D127" s="17" t="s">
        <v>2089</v>
      </c>
      <c r="E127" s="17" t="s">
        <v>23</v>
      </c>
      <c r="F127" s="17" t="s">
        <v>2090</v>
      </c>
      <c r="G127" s="17" t="n">
        <v>5.137</v>
      </c>
      <c r="H127" s="17" t="s">
        <v>1797</v>
      </c>
      <c r="I127" s="18" t="s">
        <v>2091</v>
      </c>
      <c r="J127" s="17" t="s">
        <v>1799</v>
      </c>
      <c r="K127" s="17" t="s">
        <v>2062</v>
      </c>
      <c r="L127" s="17" t="s">
        <v>2063</v>
      </c>
      <c r="M127" s="18" t="s">
        <v>1802</v>
      </c>
      <c r="N127" s="17"/>
      <c r="O127" s="17" t="n">
        <v>0</v>
      </c>
    </row>
    <row r="128" customFormat="false" ht="17.15" hidden="false" customHeight="false" outlineLevel="0" collapsed="false">
      <c r="A128" s="0" t="s">
        <v>2092</v>
      </c>
      <c r="B128" s="0" t="s">
        <v>1637</v>
      </c>
      <c r="C128" s="0" t="s">
        <v>528</v>
      </c>
      <c r="D128" s="0" t="s">
        <v>2093</v>
      </c>
      <c r="E128" s="0" t="s">
        <v>23</v>
      </c>
      <c r="F128" s="0" t="s">
        <v>1676</v>
      </c>
      <c r="G128" s="9" t="n">
        <v>5</v>
      </c>
      <c r="H128" s="20" t="s">
        <v>1797</v>
      </c>
      <c r="I128" s="5" t="s">
        <v>2094</v>
      </c>
      <c r="J128" s="20" t="s">
        <v>1853</v>
      </c>
      <c r="K128" s="20" t="s">
        <v>2095</v>
      </c>
      <c r="L128" s="20" t="s">
        <v>2096</v>
      </c>
      <c r="M128" s="5" t="s">
        <v>1648</v>
      </c>
      <c r="O128" s="0" t="n">
        <v>1</v>
      </c>
    </row>
    <row r="129" customFormat="false" ht="17.15" hidden="false" customHeight="false" outlineLevel="0" collapsed="false">
      <c r="A129" s="0" t="s">
        <v>1693</v>
      </c>
      <c r="B129" s="0" t="s">
        <v>1637</v>
      </c>
      <c r="C129" s="0" t="s">
        <v>528</v>
      </c>
      <c r="D129" s="0" t="s">
        <v>1649</v>
      </c>
      <c r="E129" s="0" t="s">
        <v>1856</v>
      </c>
      <c r="F129" s="0" t="s">
        <v>1676</v>
      </c>
      <c r="G129" s="9" t="n">
        <v>20</v>
      </c>
      <c r="H129" s="20" t="s">
        <v>1797</v>
      </c>
      <c r="I129" s="20" t="s">
        <v>1692</v>
      </c>
      <c r="J129" s="20" t="s">
        <v>1853</v>
      </c>
      <c r="K129" s="20" t="s">
        <v>2097</v>
      </c>
      <c r="L129" s="20" t="s">
        <v>2098</v>
      </c>
      <c r="M129" s="5" t="s">
        <v>1648</v>
      </c>
      <c r="O129" s="0" t="n">
        <v>1</v>
      </c>
    </row>
    <row r="130" customFormat="false" ht="17.15" hidden="false" customHeight="false" outlineLevel="0" collapsed="false">
      <c r="A130" s="0" t="s">
        <v>1696</v>
      </c>
      <c r="B130" s="0" t="s">
        <v>1637</v>
      </c>
      <c r="C130" s="0" t="s">
        <v>528</v>
      </c>
      <c r="D130" s="0" t="s">
        <v>137</v>
      </c>
      <c r="E130" s="0" t="s">
        <v>1856</v>
      </c>
      <c r="F130" s="0" t="s">
        <v>1694</v>
      </c>
      <c r="G130" s="9" t="n">
        <v>88.26</v>
      </c>
      <c r="H130" s="20" t="s">
        <v>1797</v>
      </c>
      <c r="I130" s="5" t="s">
        <v>1695</v>
      </c>
      <c r="J130" s="20" t="s">
        <v>1810</v>
      </c>
      <c r="K130" s="20" t="s">
        <v>2099</v>
      </c>
      <c r="L130" s="20" t="s">
        <v>2100</v>
      </c>
      <c r="M130" s="5" t="s">
        <v>1648</v>
      </c>
      <c r="O130" s="0" t="n">
        <v>1</v>
      </c>
    </row>
    <row r="131" customFormat="false" ht="17.15" hidden="false" customHeight="false" outlineLevel="0" collapsed="false">
      <c r="A131" s="0" t="s">
        <v>1699</v>
      </c>
      <c r="B131" s="0" t="s">
        <v>1637</v>
      </c>
      <c r="C131" s="0" t="s">
        <v>528</v>
      </c>
      <c r="D131" s="0" t="s">
        <v>137</v>
      </c>
      <c r="E131" s="0" t="s">
        <v>1856</v>
      </c>
      <c r="F131" s="0" t="s">
        <v>1697</v>
      </c>
      <c r="G131" s="9" t="n">
        <v>288</v>
      </c>
      <c r="H131" s="20" t="s">
        <v>1797</v>
      </c>
      <c r="I131" s="5" t="s">
        <v>1698</v>
      </c>
      <c r="J131" s="20" t="s">
        <v>1853</v>
      </c>
      <c r="K131" s="20" t="s">
        <v>2099</v>
      </c>
      <c r="L131" s="20" t="s">
        <v>2100</v>
      </c>
      <c r="M131" s="5" t="s">
        <v>1648</v>
      </c>
      <c r="O131" s="0" t="n">
        <v>1</v>
      </c>
    </row>
    <row r="132" customFormat="false" ht="17.15" hidden="false" customHeight="false" outlineLevel="0" collapsed="false">
      <c r="A132" s="0" t="s">
        <v>1702</v>
      </c>
      <c r="B132" s="0" t="s">
        <v>1637</v>
      </c>
      <c r="C132" s="0" t="s">
        <v>528</v>
      </c>
      <c r="D132" s="0" t="s">
        <v>137</v>
      </c>
      <c r="E132" s="0" t="s">
        <v>1856</v>
      </c>
      <c r="F132" s="0" t="s">
        <v>1700</v>
      </c>
      <c r="G132" s="9" t="n">
        <v>34.621</v>
      </c>
      <c r="H132" s="20" t="s">
        <v>1797</v>
      </c>
      <c r="I132" s="5" t="s">
        <v>1701</v>
      </c>
      <c r="J132" s="20" t="s">
        <v>1853</v>
      </c>
      <c r="K132" s="20" t="s">
        <v>2099</v>
      </c>
      <c r="L132" s="20" t="s">
        <v>2100</v>
      </c>
      <c r="M132" s="5" t="s">
        <v>1648</v>
      </c>
      <c r="O132" s="0" t="n">
        <v>1</v>
      </c>
    </row>
    <row r="133" customFormat="false" ht="17.15" hidden="false" customHeight="false" outlineLevel="0" collapsed="false">
      <c r="A133" s="0" t="s">
        <v>1704</v>
      </c>
      <c r="B133" s="0" t="s">
        <v>1637</v>
      </c>
      <c r="C133" s="0" t="s">
        <v>528</v>
      </c>
      <c r="D133" s="0" t="s">
        <v>1649</v>
      </c>
      <c r="E133" s="0" t="s">
        <v>1856</v>
      </c>
      <c r="F133" s="0" t="s">
        <v>1670</v>
      </c>
      <c r="G133" s="9" t="n">
        <v>11.363</v>
      </c>
      <c r="H133" s="20" t="s">
        <v>1797</v>
      </c>
      <c r="I133" s="5" t="s">
        <v>1703</v>
      </c>
      <c r="J133" s="20" t="s">
        <v>1810</v>
      </c>
      <c r="K133" s="20" t="s">
        <v>2099</v>
      </c>
      <c r="L133" s="20" t="s">
        <v>2100</v>
      </c>
      <c r="M133" s="5" t="s">
        <v>1648</v>
      </c>
      <c r="O133" s="0" t="n">
        <v>1</v>
      </c>
    </row>
    <row r="134" customFormat="false" ht="17.15" hidden="false" customHeight="false" outlineLevel="0" collapsed="false">
      <c r="A134" s="0" t="s">
        <v>2101</v>
      </c>
      <c r="B134" s="0" t="s">
        <v>1637</v>
      </c>
      <c r="C134" s="0" t="s">
        <v>528</v>
      </c>
      <c r="D134" s="0" t="s">
        <v>2102</v>
      </c>
      <c r="E134" s="0" t="s">
        <v>23</v>
      </c>
      <c r="F134" s="0" t="s">
        <v>1661</v>
      </c>
      <c r="G134" s="9" t="n">
        <v>38</v>
      </c>
      <c r="H134" s="20" t="s">
        <v>1797</v>
      </c>
      <c r="I134" s="20" t="s">
        <v>2103</v>
      </c>
      <c r="J134" s="20" t="s">
        <v>1853</v>
      </c>
      <c r="K134" s="20" t="s">
        <v>2104</v>
      </c>
      <c r="L134" s="20" t="s">
        <v>2105</v>
      </c>
      <c r="M134" s="5" t="s">
        <v>1648</v>
      </c>
      <c r="O134" s="0" t="n">
        <v>1</v>
      </c>
    </row>
    <row r="135" customFormat="false" ht="17.15" hidden="false" customHeight="false" outlineLevel="0" collapsed="false">
      <c r="A135" s="0" t="s">
        <v>2106</v>
      </c>
      <c r="B135" s="0" t="s">
        <v>1637</v>
      </c>
      <c r="C135" s="0" t="s">
        <v>528</v>
      </c>
      <c r="D135" s="0" t="s">
        <v>2107</v>
      </c>
      <c r="E135" s="0" t="s">
        <v>23</v>
      </c>
      <c r="F135" s="0" t="s">
        <v>1661</v>
      </c>
      <c r="G135" s="9" t="n">
        <v>18</v>
      </c>
      <c r="H135" s="20" t="s">
        <v>1797</v>
      </c>
      <c r="I135" s="20" t="s">
        <v>2108</v>
      </c>
      <c r="J135" s="20" t="s">
        <v>2109</v>
      </c>
      <c r="K135" s="20" t="s">
        <v>2110</v>
      </c>
      <c r="L135" s="20" t="s">
        <v>2111</v>
      </c>
      <c r="M135" s="5" t="s">
        <v>1656</v>
      </c>
      <c r="N135" s="20" t="s">
        <v>2112</v>
      </c>
      <c r="O135" s="0" t="n">
        <v>1</v>
      </c>
    </row>
    <row r="136" customFormat="false" ht="17.15" hidden="false" customHeight="false" outlineLevel="0" collapsed="false">
      <c r="A136" s="0" t="s">
        <v>2113</v>
      </c>
      <c r="B136" s="0" t="s">
        <v>1637</v>
      </c>
      <c r="C136" s="0" t="s">
        <v>528</v>
      </c>
      <c r="D136" s="0" t="s">
        <v>2114</v>
      </c>
      <c r="E136" s="0" t="s">
        <v>22</v>
      </c>
      <c r="F136" s="0" t="s">
        <v>1661</v>
      </c>
      <c r="G136" s="9" t="n">
        <v>15</v>
      </c>
      <c r="H136" s="20" t="s">
        <v>1797</v>
      </c>
      <c r="I136" s="20" t="s">
        <v>2115</v>
      </c>
      <c r="J136" s="20" t="s">
        <v>1853</v>
      </c>
      <c r="K136" s="20" t="s">
        <v>2116</v>
      </c>
      <c r="L136" s="20" t="s">
        <v>2117</v>
      </c>
      <c r="M136" s="5" t="s">
        <v>1648</v>
      </c>
      <c r="O136" s="0" t="n">
        <v>1</v>
      </c>
    </row>
    <row r="137" customFormat="false" ht="17.15" hidden="false" customHeight="false" outlineLevel="0" collapsed="false">
      <c r="A137" s="17" t="s">
        <v>2118</v>
      </c>
      <c r="B137" s="17" t="s">
        <v>1637</v>
      </c>
      <c r="C137" s="17" t="s">
        <v>528</v>
      </c>
      <c r="D137" s="17" t="s">
        <v>2119</v>
      </c>
      <c r="E137" s="17" t="s">
        <v>23</v>
      </c>
      <c r="F137" s="17" t="s">
        <v>1661</v>
      </c>
      <c r="G137" s="17" t="n">
        <v>10</v>
      </c>
      <c r="H137" s="17" t="s">
        <v>1797</v>
      </c>
      <c r="I137" s="17" t="s">
        <v>2120</v>
      </c>
      <c r="J137" s="17" t="s">
        <v>1853</v>
      </c>
      <c r="K137" s="17" t="s">
        <v>2121</v>
      </c>
      <c r="L137" s="17" t="s">
        <v>2122</v>
      </c>
      <c r="M137" s="18" t="s">
        <v>1802</v>
      </c>
      <c r="N137" s="17"/>
      <c r="O137" s="17" t="n">
        <v>0</v>
      </c>
    </row>
    <row r="138" customFormat="false" ht="17.15" hidden="false" customHeight="false" outlineLevel="0" collapsed="false">
      <c r="A138" s="0" t="s">
        <v>1706</v>
      </c>
      <c r="B138" s="0" t="s">
        <v>1637</v>
      </c>
      <c r="C138" s="0" t="s">
        <v>528</v>
      </c>
      <c r="D138" s="0" t="s">
        <v>1689</v>
      </c>
      <c r="E138" s="0" t="s">
        <v>1852</v>
      </c>
      <c r="F138" s="0" t="s">
        <v>1686</v>
      </c>
      <c r="G138" s="9" t="n">
        <v>-42</v>
      </c>
      <c r="H138" s="20" t="s">
        <v>1797</v>
      </c>
      <c r="I138" s="20" t="s">
        <v>1705</v>
      </c>
      <c r="J138" s="20" t="s">
        <v>1853</v>
      </c>
      <c r="K138" s="20" t="s">
        <v>2123</v>
      </c>
      <c r="L138" s="20" t="s">
        <v>2124</v>
      </c>
      <c r="M138" s="5" t="s">
        <v>1648</v>
      </c>
      <c r="O138" s="0" t="n">
        <v>1</v>
      </c>
    </row>
    <row r="139" customFormat="false" ht="17.15" hidden="false" customHeight="false" outlineLevel="0" collapsed="false">
      <c r="A139" s="0" t="s">
        <v>2125</v>
      </c>
      <c r="B139" s="0" t="s">
        <v>1019</v>
      </c>
      <c r="C139" s="0" t="s">
        <v>618</v>
      </c>
      <c r="D139" s="0" t="s">
        <v>1632</v>
      </c>
      <c r="E139" s="0" t="s">
        <v>21</v>
      </c>
      <c r="F139" s="0" t="s">
        <v>1681</v>
      </c>
      <c r="G139" s="9" t="n">
        <v>2.749</v>
      </c>
      <c r="H139" s="20" t="s">
        <v>1797</v>
      </c>
      <c r="I139" s="5" t="s">
        <v>2126</v>
      </c>
      <c r="J139" s="20" t="s">
        <v>1799</v>
      </c>
      <c r="K139" s="20" t="s">
        <v>2127</v>
      </c>
      <c r="L139" s="20" t="s">
        <v>2128</v>
      </c>
      <c r="M139" s="5" t="s">
        <v>1648</v>
      </c>
      <c r="O139" s="0" t="n">
        <v>1</v>
      </c>
    </row>
    <row r="140" customFormat="false" ht="17.15" hidden="false" customHeight="false" outlineLevel="0" collapsed="false">
      <c r="A140" s="0" t="s">
        <v>2129</v>
      </c>
      <c r="B140" s="0" t="s">
        <v>1019</v>
      </c>
      <c r="C140" s="0" t="s">
        <v>618</v>
      </c>
      <c r="D140" s="0" t="s">
        <v>1632</v>
      </c>
      <c r="E140" s="0" t="s">
        <v>21</v>
      </c>
      <c r="F140" s="0" t="s">
        <v>1657</v>
      </c>
      <c r="G140" s="9" t="n">
        <v>8.702</v>
      </c>
      <c r="H140" s="20" t="s">
        <v>1797</v>
      </c>
      <c r="I140" s="20" t="s">
        <v>2130</v>
      </c>
      <c r="J140" s="20" t="s">
        <v>1799</v>
      </c>
      <c r="K140" s="20" t="s">
        <v>2127</v>
      </c>
      <c r="L140" s="20" t="s">
        <v>2128</v>
      </c>
      <c r="M140" s="5" t="s">
        <v>1648</v>
      </c>
      <c r="O140" s="0" t="n">
        <v>1</v>
      </c>
    </row>
    <row r="141" customFormat="false" ht="17.15" hidden="false" customHeight="false" outlineLevel="0" collapsed="false">
      <c r="A141" s="17" t="s">
        <v>2131</v>
      </c>
      <c r="B141" s="17" t="s">
        <v>1019</v>
      </c>
      <c r="C141" s="17" t="s">
        <v>618</v>
      </c>
      <c r="D141" s="17" t="s">
        <v>1632</v>
      </c>
      <c r="E141" s="17" t="s">
        <v>21</v>
      </c>
      <c r="F141" s="17" t="s">
        <v>1686</v>
      </c>
      <c r="G141" s="17" t="n">
        <v>-5.953</v>
      </c>
      <c r="H141" s="17" t="s">
        <v>1797</v>
      </c>
      <c r="I141" s="17" t="s">
        <v>2132</v>
      </c>
      <c r="J141" s="17" t="s">
        <v>1810</v>
      </c>
      <c r="K141" s="17" t="s">
        <v>2133</v>
      </c>
      <c r="L141" s="17" t="s">
        <v>2128</v>
      </c>
      <c r="M141" s="18" t="s">
        <v>1802</v>
      </c>
      <c r="N141" s="17"/>
      <c r="O141" s="17" t="n">
        <v>0</v>
      </c>
    </row>
    <row r="142" customFormat="false" ht="17.15" hidden="false" customHeight="false" outlineLevel="0" collapsed="false">
      <c r="A142" s="0" t="s">
        <v>2134</v>
      </c>
      <c r="B142" s="0" t="s">
        <v>1019</v>
      </c>
      <c r="C142" s="0" t="s">
        <v>618</v>
      </c>
      <c r="D142" s="0" t="s">
        <v>1632</v>
      </c>
      <c r="E142" s="0" t="s">
        <v>21</v>
      </c>
      <c r="F142" s="0" t="s">
        <v>1716</v>
      </c>
      <c r="G142" s="9" t="n">
        <v>7.018</v>
      </c>
      <c r="H142" s="20" t="s">
        <v>1797</v>
      </c>
      <c r="I142" s="5" t="s">
        <v>2135</v>
      </c>
      <c r="J142" s="20" t="s">
        <v>1799</v>
      </c>
      <c r="K142" s="20" t="s">
        <v>2127</v>
      </c>
      <c r="L142" s="20" t="s">
        <v>2128</v>
      </c>
      <c r="M142" s="5" t="s">
        <v>1648</v>
      </c>
      <c r="O142" s="0" t="n">
        <v>1</v>
      </c>
    </row>
    <row r="143" customFormat="false" ht="17.15" hidden="false" customHeight="false" outlineLevel="0" collapsed="false">
      <c r="A143" s="0" t="s">
        <v>2136</v>
      </c>
      <c r="B143" s="0" t="s">
        <v>1019</v>
      </c>
      <c r="C143" s="0" t="s">
        <v>618</v>
      </c>
      <c r="D143" s="0" t="s">
        <v>1633</v>
      </c>
      <c r="E143" s="0" t="s">
        <v>22</v>
      </c>
      <c r="F143" s="0" t="s">
        <v>1681</v>
      </c>
      <c r="G143" s="9" t="n">
        <v>3.058</v>
      </c>
      <c r="H143" s="20" t="s">
        <v>1797</v>
      </c>
      <c r="I143" s="5" t="s">
        <v>2126</v>
      </c>
      <c r="J143" s="20" t="s">
        <v>1799</v>
      </c>
      <c r="K143" s="20" t="s">
        <v>2127</v>
      </c>
      <c r="L143" s="20" t="s">
        <v>2128</v>
      </c>
      <c r="M143" s="5" t="s">
        <v>1648</v>
      </c>
      <c r="O143" s="0" t="n">
        <v>1</v>
      </c>
    </row>
    <row r="144" customFormat="false" ht="17.15" hidden="false" customHeight="false" outlineLevel="0" collapsed="false">
      <c r="A144" s="0" t="s">
        <v>2137</v>
      </c>
      <c r="B144" s="0" t="s">
        <v>1019</v>
      </c>
      <c r="C144" s="0" t="s">
        <v>618</v>
      </c>
      <c r="D144" s="0" t="s">
        <v>1633</v>
      </c>
      <c r="E144" s="0" t="s">
        <v>22</v>
      </c>
      <c r="F144" s="0" t="s">
        <v>1657</v>
      </c>
      <c r="G144" s="9" t="n">
        <v>10.309</v>
      </c>
      <c r="H144" s="20" t="s">
        <v>1797</v>
      </c>
      <c r="I144" s="20" t="s">
        <v>2130</v>
      </c>
      <c r="J144" s="20" t="s">
        <v>1799</v>
      </c>
      <c r="K144" s="20" t="s">
        <v>2127</v>
      </c>
      <c r="L144" s="20" t="s">
        <v>2128</v>
      </c>
      <c r="M144" s="5" t="s">
        <v>1648</v>
      </c>
      <c r="O144" s="0" t="n">
        <v>1</v>
      </c>
    </row>
    <row r="145" customFormat="false" ht="17.15" hidden="false" customHeight="false" outlineLevel="0" collapsed="false">
      <c r="A145" s="17" t="s">
        <v>2138</v>
      </c>
      <c r="B145" s="17" t="s">
        <v>1019</v>
      </c>
      <c r="C145" s="17" t="s">
        <v>618</v>
      </c>
      <c r="D145" s="17" t="s">
        <v>1633</v>
      </c>
      <c r="E145" s="17" t="s">
        <v>22</v>
      </c>
      <c r="F145" s="17" t="s">
        <v>1686</v>
      </c>
      <c r="G145" s="17" t="n">
        <v>-7.251</v>
      </c>
      <c r="H145" s="17" t="s">
        <v>1797</v>
      </c>
      <c r="I145" s="17" t="s">
        <v>2132</v>
      </c>
      <c r="J145" s="17" t="s">
        <v>1810</v>
      </c>
      <c r="K145" s="17" t="s">
        <v>2133</v>
      </c>
      <c r="L145" s="17" t="s">
        <v>2128</v>
      </c>
      <c r="M145" s="18" t="s">
        <v>1802</v>
      </c>
      <c r="N145" s="17"/>
      <c r="O145" s="17" t="n">
        <v>0</v>
      </c>
    </row>
    <row r="146" customFormat="false" ht="17.15" hidden="false" customHeight="false" outlineLevel="0" collapsed="false">
      <c r="A146" s="0" t="s">
        <v>2139</v>
      </c>
      <c r="B146" s="0" t="s">
        <v>1019</v>
      </c>
      <c r="C146" s="0" t="s">
        <v>618</v>
      </c>
      <c r="D146" s="0" t="s">
        <v>1633</v>
      </c>
      <c r="E146" s="0" t="s">
        <v>22</v>
      </c>
      <c r="F146" s="0" t="s">
        <v>1716</v>
      </c>
      <c r="G146" s="9" t="n">
        <v>11.829</v>
      </c>
      <c r="H146" s="20" t="s">
        <v>1797</v>
      </c>
      <c r="I146" s="5" t="s">
        <v>2140</v>
      </c>
      <c r="J146" s="20" t="s">
        <v>1799</v>
      </c>
      <c r="K146" s="20" t="s">
        <v>2127</v>
      </c>
      <c r="L146" s="20" t="s">
        <v>2128</v>
      </c>
      <c r="M146" s="5" t="s">
        <v>1648</v>
      </c>
      <c r="O146" s="0" t="n">
        <v>1</v>
      </c>
    </row>
    <row r="147" customFormat="false" ht="17.15" hidden="false" customHeight="false" outlineLevel="0" collapsed="false">
      <c r="A147" s="0" t="s">
        <v>2141</v>
      </c>
      <c r="B147" s="0" t="s">
        <v>1019</v>
      </c>
      <c r="C147" s="0" t="s">
        <v>618</v>
      </c>
      <c r="D147" s="0" t="s">
        <v>1633</v>
      </c>
      <c r="E147" s="0" t="s">
        <v>22</v>
      </c>
      <c r="F147" s="0" t="s">
        <v>1676</v>
      </c>
      <c r="G147" s="9" t="n">
        <v>1.491</v>
      </c>
      <c r="H147" s="20" t="s">
        <v>1797</v>
      </c>
      <c r="I147" s="20" t="s">
        <v>2142</v>
      </c>
      <c r="J147" s="20" t="s">
        <v>1799</v>
      </c>
      <c r="K147" s="20" t="s">
        <v>2127</v>
      </c>
      <c r="L147" s="20" t="s">
        <v>2128</v>
      </c>
      <c r="M147" s="5" t="s">
        <v>1648</v>
      </c>
      <c r="O147" s="0" t="n">
        <v>1</v>
      </c>
    </row>
    <row r="148" customFormat="false" ht="17.15" hidden="false" customHeight="false" outlineLevel="0" collapsed="false">
      <c r="A148" s="0" t="s">
        <v>2143</v>
      </c>
      <c r="B148" s="0" t="s">
        <v>1019</v>
      </c>
      <c r="C148" s="0" t="s">
        <v>618</v>
      </c>
      <c r="D148" s="0" t="s">
        <v>2144</v>
      </c>
      <c r="E148" s="0" t="s">
        <v>22</v>
      </c>
      <c r="F148" s="0" t="s">
        <v>1841</v>
      </c>
      <c r="G148" s="9" t="n">
        <v>13.447</v>
      </c>
      <c r="H148" s="20" t="s">
        <v>1797</v>
      </c>
      <c r="I148" s="5" t="s">
        <v>2145</v>
      </c>
      <c r="J148" s="20" t="s">
        <v>1810</v>
      </c>
      <c r="K148" s="20" t="s">
        <v>2127</v>
      </c>
      <c r="L148" s="20" t="s">
        <v>2128</v>
      </c>
      <c r="M148" s="5" t="s">
        <v>1648</v>
      </c>
      <c r="O148" s="0" t="n">
        <v>1</v>
      </c>
    </row>
    <row r="149" customFormat="false" ht="17.15" hidden="false" customHeight="false" outlineLevel="0" collapsed="false">
      <c r="A149" s="0" t="s">
        <v>2146</v>
      </c>
      <c r="B149" s="0" t="s">
        <v>1019</v>
      </c>
      <c r="C149" s="0" t="s">
        <v>618</v>
      </c>
      <c r="D149" s="0" t="s">
        <v>1634</v>
      </c>
      <c r="E149" s="0" t="s">
        <v>23</v>
      </c>
      <c r="F149" s="0" t="s">
        <v>1681</v>
      </c>
      <c r="G149" s="9" t="n">
        <v>3.663</v>
      </c>
      <c r="H149" s="20" t="s">
        <v>1797</v>
      </c>
      <c r="I149" s="5" t="s">
        <v>2147</v>
      </c>
      <c r="J149" s="20" t="s">
        <v>1799</v>
      </c>
      <c r="K149" s="20" t="s">
        <v>2148</v>
      </c>
      <c r="L149" s="20" t="s">
        <v>2149</v>
      </c>
      <c r="M149" s="5" t="s">
        <v>1648</v>
      </c>
      <c r="O149" s="0" t="n">
        <v>1</v>
      </c>
    </row>
    <row r="150" customFormat="false" ht="17.15" hidden="false" customHeight="false" outlineLevel="0" collapsed="false">
      <c r="A150" s="0" t="s">
        <v>2150</v>
      </c>
      <c r="B150" s="0" t="s">
        <v>1019</v>
      </c>
      <c r="C150" s="0" t="s">
        <v>618</v>
      </c>
      <c r="D150" s="0" t="s">
        <v>1634</v>
      </c>
      <c r="E150" s="0" t="s">
        <v>23</v>
      </c>
      <c r="F150" s="0" t="s">
        <v>1657</v>
      </c>
      <c r="G150" s="9" t="n">
        <v>14.117</v>
      </c>
      <c r="H150" s="20" t="s">
        <v>1797</v>
      </c>
      <c r="I150" s="5" t="s">
        <v>2151</v>
      </c>
      <c r="J150" s="20" t="s">
        <v>1799</v>
      </c>
      <c r="K150" s="20" t="s">
        <v>2148</v>
      </c>
      <c r="L150" s="20" t="s">
        <v>2149</v>
      </c>
      <c r="M150" s="5" t="s">
        <v>1648</v>
      </c>
      <c r="O150" s="0" t="n">
        <v>1</v>
      </c>
    </row>
    <row r="151" customFormat="false" ht="17.15" hidden="false" customHeight="false" outlineLevel="0" collapsed="false">
      <c r="A151" s="17" t="s">
        <v>2152</v>
      </c>
      <c r="B151" s="17" t="s">
        <v>1019</v>
      </c>
      <c r="C151" s="17" t="s">
        <v>618</v>
      </c>
      <c r="D151" s="17" t="s">
        <v>1634</v>
      </c>
      <c r="E151" s="17" t="s">
        <v>23</v>
      </c>
      <c r="F151" s="17" t="s">
        <v>1686</v>
      </c>
      <c r="G151" s="17" t="n">
        <v>-10.454</v>
      </c>
      <c r="H151" s="17" t="s">
        <v>1797</v>
      </c>
      <c r="I151" s="17" t="s">
        <v>2132</v>
      </c>
      <c r="J151" s="17" t="s">
        <v>1810</v>
      </c>
      <c r="K151" s="17" t="s">
        <v>2153</v>
      </c>
      <c r="L151" s="17" t="s">
        <v>2149</v>
      </c>
      <c r="M151" s="18" t="s">
        <v>1802</v>
      </c>
      <c r="N151" s="17"/>
      <c r="O151" s="17" t="n">
        <v>0</v>
      </c>
    </row>
    <row r="152" customFormat="false" ht="17.15" hidden="false" customHeight="false" outlineLevel="0" collapsed="false">
      <c r="A152" s="0" t="s">
        <v>2154</v>
      </c>
      <c r="B152" s="0" t="s">
        <v>1019</v>
      </c>
      <c r="C152" s="0" t="s">
        <v>618</v>
      </c>
      <c r="D152" s="0" t="s">
        <v>1634</v>
      </c>
      <c r="E152" s="0" t="s">
        <v>23</v>
      </c>
      <c r="F152" s="0" t="s">
        <v>1716</v>
      </c>
      <c r="G152" s="9" t="n">
        <v>16.747</v>
      </c>
      <c r="H152" s="20" t="s">
        <v>1797</v>
      </c>
      <c r="I152" s="5" t="s">
        <v>2155</v>
      </c>
      <c r="J152" s="20" t="s">
        <v>1799</v>
      </c>
      <c r="K152" s="20" t="s">
        <v>2148</v>
      </c>
      <c r="L152" s="20" t="s">
        <v>2149</v>
      </c>
      <c r="M152" s="5" t="s">
        <v>1648</v>
      </c>
      <c r="O152" s="0" t="n">
        <v>1</v>
      </c>
    </row>
    <row r="153" customFormat="false" ht="17.15" hidden="false" customHeight="false" outlineLevel="0" collapsed="false">
      <c r="A153" s="17" t="s">
        <v>2156</v>
      </c>
      <c r="B153" s="17" t="s">
        <v>1019</v>
      </c>
      <c r="C153" s="17" t="s">
        <v>618</v>
      </c>
      <c r="D153" s="17" t="s">
        <v>1974</v>
      </c>
      <c r="E153" s="17" t="s">
        <v>23</v>
      </c>
      <c r="F153" s="17" t="s">
        <v>1716</v>
      </c>
      <c r="G153" s="17" t="n">
        <v>8.5</v>
      </c>
      <c r="H153" s="17" t="s">
        <v>1797</v>
      </c>
      <c r="I153" s="17" t="s">
        <v>2157</v>
      </c>
      <c r="J153" s="17" t="s">
        <v>1799</v>
      </c>
      <c r="K153" s="17" t="s">
        <v>2153</v>
      </c>
      <c r="L153" s="17" t="s">
        <v>2149</v>
      </c>
      <c r="M153" s="18" t="s">
        <v>1831</v>
      </c>
      <c r="N153" s="17"/>
      <c r="O153" s="17" t="n">
        <v>0</v>
      </c>
    </row>
    <row r="154" customFormat="false" ht="17.15" hidden="false" customHeight="false" outlineLevel="0" collapsed="false">
      <c r="A154" s="17" t="s">
        <v>2158</v>
      </c>
      <c r="B154" s="17" t="s">
        <v>1019</v>
      </c>
      <c r="C154" s="17" t="s">
        <v>618</v>
      </c>
      <c r="D154" s="17" t="s">
        <v>23</v>
      </c>
      <c r="E154" s="17" t="s">
        <v>1856</v>
      </c>
      <c r="F154" s="17" t="s">
        <v>1653</v>
      </c>
      <c r="G154" s="17" t="n">
        <v>6.279</v>
      </c>
      <c r="H154" s="17" t="s">
        <v>1797</v>
      </c>
      <c r="I154" s="17" t="s">
        <v>2159</v>
      </c>
      <c r="J154" s="17" t="s">
        <v>1799</v>
      </c>
      <c r="K154" s="17" t="s">
        <v>2153</v>
      </c>
      <c r="L154" s="17" t="s">
        <v>2149</v>
      </c>
      <c r="M154" s="18" t="s">
        <v>1831</v>
      </c>
      <c r="N154" s="17"/>
      <c r="O154" s="17" t="n">
        <v>0</v>
      </c>
    </row>
    <row r="155" customFormat="false" ht="17.15" hidden="false" customHeight="false" outlineLevel="0" collapsed="false">
      <c r="A155" s="17" t="s">
        <v>2160</v>
      </c>
      <c r="B155" s="17" t="s">
        <v>1019</v>
      </c>
      <c r="C155" s="17" t="s">
        <v>618</v>
      </c>
      <c r="D155" s="17" t="s">
        <v>23</v>
      </c>
      <c r="E155" s="17" t="s">
        <v>1856</v>
      </c>
      <c r="F155" s="17" t="s">
        <v>1653</v>
      </c>
      <c r="G155" s="17" t="n">
        <v>4</v>
      </c>
      <c r="H155" s="17" t="s">
        <v>1797</v>
      </c>
      <c r="I155" s="17" t="s">
        <v>2161</v>
      </c>
      <c r="J155" s="17" t="s">
        <v>1799</v>
      </c>
      <c r="K155" s="17" t="s">
        <v>2153</v>
      </c>
      <c r="L155" s="17" t="s">
        <v>2149</v>
      </c>
      <c r="M155" s="18" t="s">
        <v>1802</v>
      </c>
      <c r="N155" s="17"/>
      <c r="O155" s="17" t="n">
        <v>0</v>
      </c>
    </row>
    <row r="156" customFormat="false" ht="17.15" hidden="false" customHeight="false" outlineLevel="0" collapsed="false">
      <c r="A156" s="0" t="s">
        <v>2162</v>
      </c>
      <c r="B156" s="0" t="s">
        <v>1019</v>
      </c>
      <c r="C156" s="0" t="s">
        <v>618</v>
      </c>
      <c r="D156" s="0" t="s">
        <v>1634</v>
      </c>
      <c r="E156" s="0" t="s">
        <v>23</v>
      </c>
      <c r="F156" s="0" t="s">
        <v>1676</v>
      </c>
      <c r="G156" s="9" t="n">
        <v>2.982</v>
      </c>
      <c r="H156" s="20" t="s">
        <v>1797</v>
      </c>
      <c r="I156" s="20" t="s">
        <v>2163</v>
      </c>
      <c r="J156" s="20" t="s">
        <v>1799</v>
      </c>
      <c r="K156" s="20" t="s">
        <v>2148</v>
      </c>
      <c r="L156" s="20" t="s">
        <v>2149</v>
      </c>
      <c r="M156" s="5" t="s">
        <v>1648</v>
      </c>
      <c r="O156" s="0" t="n">
        <v>1</v>
      </c>
    </row>
    <row r="157" customFormat="false" ht="17.15" hidden="false" customHeight="false" outlineLevel="0" collapsed="false">
      <c r="A157" s="0" t="s">
        <v>1708</v>
      </c>
      <c r="B157" s="0" t="s">
        <v>1019</v>
      </c>
      <c r="C157" s="0" t="s">
        <v>618</v>
      </c>
      <c r="D157" s="0" t="s">
        <v>1644</v>
      </c>
      <c r="E157" s="0" t="s">
        <v>1852</v>
      </c>
      <c r="F157" s="0" t="s">
        <v>1645</v>
      </c>
      <c r="G157" s="9" t="n">
        <v>37</v>
      </c>
      <c r="H157" s="20" t="s">
        <v>1797</v>
      </c>
      <c r="I157" s="5" t="s">
        <v>1707</v>
      </c>
      <c r="J157" s="20" t="s">
        <v>1853</v>
      </c>
      <c r="K157" s="20" t="s">
        <v>2164</v>
      </c>
      <c r="L157" s="20" t="s">
        <v>2165</v>
      </c>
      <c r="M157" s="5" t="s">
        <v>1648</v>
      </c>
      <c r="O157" s="0" t="n">
        <v>1</v>
      </c>
    </row>
    <row r="158" customFormat="false" ht="17.15" hidden="false" customHeight="false" outlineLevel="0" collapsed="false">
      <c r="A158" s="17" t="s">
        <v>2166</v>
      </c>
      <c r="B158" s="17" t="s">
        <v>1019</v>
      </c>
      <c r="C158" s="17" t="s">
        <v>618</v>
      </c>
      <c r="D158" s="17" t="s">
        <v>118</v>
      </c>
      <c r="E158" s="17" t="s">
        <v>23</v>
      </c>
      <c r="F158" s="17" t="s">
        <v>1697</v>
      </c>
      <c r="G158" s="17" t="n">
        <v>35.5</v>
      </c>
      <c r="H158" s="17" t="s">
        <v>1797</v>
      </c>
      <c r="I158" s="18" t="s">
        <v>2167</v>
      </c>
      <c r="J158" s="17" t="s">
        <v>1799</v>
      </c>
      <c r="K158" s="17" t="s">
        <v>2153</v>
      </c>
      <c r="L158" s="17" t="s">
        <v>2149</v>
      </c>
      <c r="M158" s="18" t="s">
        <v>1802</v>
      </c>
      <c r="N158" s="17"/>
      <c r="O158" s="17" t="n">
        <v>0</v>
      </c>
    </row>
    <row r="159" customFormat="false" ht="17.15" hidden="false" customHeight="false" outlineLevel="0" collapsed="false">
      <c r="A159" s="17" t="s">
        <v>2168</v>
      </c>
      <c r="B159" s="17" t="s">
        <v>1019</v>
      </c>
      <c r="C159" s="17" t="s">
        <v>618</v>
      </c>
      <c r="D159" s="17" t="s">
        <v>118</v>
      </c>
      <c r="E159" s="17" t="s">
        <v>23</v>
      </c>
      <c r="F159" s="17" t="s">
        <v>1694</v>
      </c>
      <c r="G159" s="17" t="n">
        <v>30</v>
      </c>
      <c r="H159" s="17" t="s">
        <v>1797</v>
      </c>
      <c r="I159" s="18" t="s">
        <v>2169</v>
      </c>
      <c r="J159" s="17" t="s">
        <v>1810</v>
      </c>
      <c r="K159" s="17" t="s">
        <v>2153</v>
      </c>
      <c r="L159" s="17" t="s">
        <v>2149</v>
      </c>
      <c r="M159" s="18" t="s">
        <v>1802</v>
      </c>
      <c r="N159" s="17"/>
      <c r="O159" s="17" t="n">
        <v>0</v>
      </c>
    </row>
    <row r="160" customFormat="false" ht="17.15" hidden="false" customHeight="false" outlineLevel="0" collapsed="false">
      <c r="A160" s="0" t="s">
        <v>1711</v>
      </c>
      <c r="B160" s="0" t="s">
        <v>1019</v>
      </c>
      <c r="C160" s="0" t="s">
        <v>618</v>
      </c>
      <c r="D160" s="0" t="s">
        <v>1709</v>
      </c>
      <c r="E160" s="0" t="s">
        <v>1856</v>
      </c>
      <c r="F160" s="0" t="s">
        <v>1670</v>
      </c>
      <c r="G160" s="9" t="n">
        <v>6.3</v>
      </c>
      <c r="H160" s="20" t="s">
        <v>1797</v>
      </c>
      <c r="I160" s="20" t="s">
        <v>1710</v>
      </c>
      <c r="J160" s="20" t="s">
        <v>1853</v>
      </c>
      <c r="K160" s="20" t="s">
        <v>2170</v>
      </c>
      <c r="L160" s="20" t="s">
        <v>2171</v>
      </c>
      <c r="M160" s="5" t="s">
        <v>1648</v>
      </c>
      <c r="O160" s="0" t="n">
        <v>1</v>
      </c>
    </row>
    <row r="161" customFormat="false" ht="17.15" hidden="false" customHeight="false" outlineLevel="0" collapsed="false">
      <c r="A161" s="0" t="s">
        <v>2172</v>
      </c>
      <c r="B161" s="0" t="s">
        <v>1038</v>
      </c>
      <c r="C161" s="0" t="s">
        <v>647</v>
      </c>
      <c r="D161" s="0" t="s">
        <v>1633</v>
      </c>
      <c r="E161" s="0" t="s">
        <v>22</v>
      </c>
      <c r="F161" s="0" t="s">
        <v>1657</v>
      </c>
      <c r="G161" s="9" t="n">
        <v>4.1</v>
      </c>
      <c r="H161" s="20" t="s">
        <v>1797</v>
      </c>
      <c r="I161" s="20" t="s">
        <v>2173</v>
      </c>
      <c r="J161" s="20" t="s">
        <v>1853</v>
      </c>
      <c r="K161" s="20" t="s">
        <v>2174</v>
      </c>
      <c r="L161" s="20" t="s">
        <v>2175</v>
      </c>
      <c r="M161" s="5" t="s">
        <v>1648</v>
      </c>
      <c r="O161" s="0" t="n">
        <v>1</v>
      </c>
    </row>
    <row r="162" customFormat="false" ht="17.15" hidden="false" customHeight="false" outlineLevel="0" collapsed="false">
      <c r="A162" s="17" t="s">
        <v>2176</v>
      </c>
      <c r="B162" s="17" t="s">
        <v>1038</v>
      </c>
      <c r="C162" s="17" t="s">
        <v>647</v>
      </c>
      <c r="D162" s="17" t="s">
        <v>1633</v>
      </c>
      <c r="E162" s="17" t="s">
        <v>22</v>
      </c>
      <c r="F162" s="17" t="s">
        <v>1653</v>
      </c>
      <c r="G162" s="17" t="n">
        <v>4.163</v>
      </c>
      <c r="H162" s="17" t="s">
        <v>1797</v>
      </c>
      <c r="I162" s="18" t="s">
        <v>2177</v>
      </c>
      <c r="J162" s="17" t="s">
        <v>1799</v>
      </c>
      <c r="K162" s="17" t="s">
        <v>2178</v>
      </c>
      <c r="L162" s="17" t="s">
        <v>2179</v>
      </c>
      <c r="M162" s="18" t="s">
        <v>1802</v>
      </c>
      <c r="N162" s="17"/>
      <c r="O162" s="17" t="n">
        <v>0</v>
      </c>
    </row>
    <row r="163" customFormat="false" ht="17.15" hidden="false" customHeight="false" outlineLevel="0" collapsed="false">
      <c r="A163" s="17" t="s">
        <v>2180</v>
      </c>
      <c r="B163" s="17" t="s">
        <v>1038</v>
      </c>
      <c r="C163" s="17" t="s">
        <v>647</v>
      </c>
      <c r="D163" s="17" t="s">
        <v>1634</v>
      </c>
      <c r="E163" s="17" t="s">
        <v>23</v>
      </c>
      <c r="F163" s="17" t="s">
        <v>1681</v>
      </c>
      <c r="G163" s="17" t="n">
        <v>4.504</v>
      </c>
      <c r="H163" s="17" t="s">
        <v>1797</v>
      </c>
      <c r="I163" s="18" t="s">
        <v>2181</v>
      </c>
      <c r="J163" s="17" t="s">
        <v>1853</v>
      </c>
      <c r="K163" s="17" t="s">
        <v>2182</v>
      </c>
      <c r="L163" s="17" t="s">
        <v>2179</v>
      </c>
      <c r="M163" s="18" t="s">
        <v>1802</v>
      </c>
      <c r="N163" s="17"/>
      <c r="O163" s="17" t="n">
        <v>0</v>
      </c>
    </row>
    <row r="164" customFormat="false" ht="17.15" hidden="false" customHeight="false" outlineLevel="0" collapsed="false">
      <c r="A164" s="0" t="s">
        <v>2183</v>
      </c>
      <c r="B164" s="0" t="s">
        <v>1038</v>
      </c>
      <c r="C164" s="0" t="s">
        <v>647</v>
      </c>
      <c r="D164" s="0" t="s">
        <v>1634</v>
      </c>
      <c r="E164" s="0" t="s">
        <v>23</v>
      </c>
      <c r="F164" s="0" t="s">
        <v>1657</v>
      </c>
      <c r="G164" s="9" t="n">
        <v>8.13</v>
      </c>
      <c r="H164" s="20" t="s">
        <v>1797</v>
      </c>
      <c r="I164" s="20" t="s">
        <v>2184</v>
      </c>
      <c r="J164" s="20" t="s">
        <v>1853</v>
      </c>
      <c r="K164" s="20" t="s">
        <v>2185</v>
      </c>
      <c r="L164" s="20" t="s">
        <v>2186</v>
      </c>
      <c r="M164" s="5" t="s">
        <v>1719</v>
      </c>
      <c r="N164" s="20" t="s">
        <v>2187</v>
      </c>
      <c r="O164" s="0" t="n">
        <v>1</v>
      </c>
    </row>
    <row r="165" customFormat="false" ht="17.15" hidden="false" customHeight="false" outlineLevel="0" collapsed="false">
      <c r="A165" s="0" t="s">
        <v>2188</v>
      </c>
      <c r="B165" s="0" t="s">
        <v>1038</v>
      </c>
      <c r="C165" s="0" t="s">
        <v>647</v>
      </c>
      <c r="D165" s="0" t="s">
        <v>1634</v>
      </c>
      <c r="E165" s="0" t="s">
        <v>23</v>
      </c>
      <c r="F165" s="0" t="s">
        <v>1686</v>
      </c>
      <c r="G165" s="9" t="n">
        <v>-3.626</v>
      </c>
      <c r="H165" s="20" t="s">
        <v>1797</v>
      </c>
      <c r="I165" s="20" t="s">
        <v>1887</v>
      </c>
      <c r="J165" s="20" t="s">
        <v>1810</v>
      </c>
      <c r="K165" s="20" t="s">
        <v>2185</v>
      </c>
      <c r="L165" s="20" t="s">
        <v>2186</v>
      </c>
      <c r="M165" s="5" t="s">
        <v>1719</v>
      </c>
      <c r="N165" s="20" t="s">
        <v>2187</v>
      </c>
      <c r="O165" s="0" t="n">
        <v>1</v>
      </c>
    </row>
    <row r="166" customFormat="false" ht="17.15" hidden="false" customHeight="false" outlineLevel="0" collapsed="false">
      <c r="A166" s="0" t="s">
        <v>2189</v>
      </c>
      <c r="B166" s="0" t="s">
        <v>1038</v>
      </c>
      <c r="C166" s="0" t="s">
        <v>647</v>
      </c>
      <c r="D166" s="0" t="s">
        <v>1974</v>
      </c>
      <c r="E166" s="0" t="s">
        <v>23</v>
      </c>
      <c r="F166" s="0" t="s">
        <v>1653</v>
      </c>
      <c r="G166" s="9" t="n">
        <v>4.338</v>
      </c>
      <c r="H166" s="20" t="s">
        <v>1797</v>
      </c>
      <c r="I166" s="5" t="s">
        <v>2190</v>
      </c>
      <c r="J166" s="20" t="s">
        <v>1853</v>
      </c>
      <c r="K166" s="20" t="s">
        <v>2185</v>
      </c>
      <c r="L166" s="20" t="s">
        <v>2186</v>
      </c>
      <c r="M166" s="20" t="s">
        <v>1714</v>
      </c>
      <c r="N166" s="20" t="s">
        <v>2187</v>
      </c>
      <c r="O166" s="0" t="n">
        <v>1</v>
      </c>
    </row>
    <row r="167" customFormat="false" ht="17.15" hidden="false" customHeight="false" outlineLevel="0" collapsed="false">
      <c r="A167" s="0" t="s">
        <v>1713</v>
      </c>
      <c r="B167" s="0" t="s">
        <v>1038</v>
      </c>
      <c r="C167" s="0" t="s">
        <v>647</v>
      </c>
      <c r="D167" s="0" t="s">
        <v>1660</v>
      </c>
      <c r="E167" s="0" t="s">
        <v>1856</v>
      </c>
      <c r="F167" s="0" t="s">
        <v>1653</v>
      </c>
      <c r="G167" s="9" t="n">
        <v>5.75</v>
      </c>
      <c r="H167" s="20" t="s">
        <v>1797</v>
      </c>
      <c r="I167" s="5" t="s">
        <v>1712</v>
      </c>
      <c r="J167" s="20" t="s">
        <v>1853</v>
      </c>
      <c r="K167" s="20" t="s">
        <v>2185</v>
      </c>
      <c r="L167" s="20" t="s">
        <v>2186</v>
      </c>
      <c r="M167" s="20" t="s">
        <v>1714</v>
      </c>
      <c r="N167" s="20" t="s">
        <v>2187</v>
      </c>
      <c r="O167" s="0" t="n">
        <v>1</v>
      </c>
    </row>
    <row r="168" customFormat="false" ht="17.15" hidden="false" customHeight="false" outlineLevel="0" collapsed="false">
      <c r="A168" s="0" t="s">
        <v>1718</v>
      </c>
      <c r="B168" s="0" t="s">
        <v>1038</v>
      </c>
      <c r="C168" s="0" t="s">
        <v>647</v>
      </c>
      <c r="D168" s="0" t="s">
        <v>1715</v>
      </c>
      <c r="E168" s="0" t="s">
        <v>1856</v>
      </c>
      <c r="F168" s="0" t="s">
        <v>1716</v>
      </c>
      <c r="G168" s="9" t="n">
        <v>0.775</v>
      </c>
      <c r="H168" s="20" t="s">
        <v>1797</v>
      </c>
      <c r="I168" s="5" t="s">
        <v>1717</v>
      </c>
      <c r="J168" s="20" t="s">
        <v>1853</v>
      </c>
      <c r="K168" s="20" t="s">
        <v>2185</v>
      </c>
      <c r="L168" s="20" t="s">
        <v>2186</v>
      </c>
      <c r="M168" s="5" t="s">
        <v>1719</v>
      </c>
      <c r="N168" s="20" t="s">
        <v>2187</v>
      </c>
      <c r="O168" s="0" t="n">
        <v>1</v>
      </c>
    </row>
    <row r="169" customFormat="false" ht="17.15" hidden="false" customHeight="false" outlineLevel="0" collapsed="false">
      <c r="A169" s="0" t="s">
        <v>2191</v>
      </c>
      <c r="B169" s="0" t="s">
        <v>1038</v>
      </c>
      <c r="C169" s="0" t="s">
        <v>647</v>
      </c>
      <c r="D169" s="0" t="s">
        <v>1634</v>
      </c>
      <c r="E169" s="0" t="s">
        <v>23</v>
      </c>
      <c r="F169" s="0" t="s">
        <v>1676</v>
      </c>
      <c r="G169" s="9" t="n">
        <v>4.811</v>
      </c>
      <c r="H169" s="20" t="s">
        <v>1797</v>
      </c>
      <c r="I169" s="20" t="s">
        <v>2192</v>
      </c>
      <c r="J169" s="20" t="s">
        <v>1853</v>
      </c>
      <c r="K169" s="20" t="s">
        <v>2185</v>
      </c>
      <c r="L169" s="20" t="s">
        <v>2186</v>
      </c>
      <c r="M169" s="5" t="s">
        <v>1719</v>
      </c>
      <c r="N169" s="20" t="s">
        <v>2187</v>
      </c>
      <c r="O169" s="0" t="n">
        <v>1</v>
      </c>
    </row>
    <row r="170" customFormat="false" ht="17.15" hidden="false" customHeight="false" outlineLevel="0" collapsed="false">
      <c r="A170" s="0" t="s">
        <v>2193</v>
      </c>
      <c r="B170" s="0" t="s">
        <v>1038</v>
      </c>
      <c r="C170" s="0" t="s">
        <v>647</v>
      </c>
      <c r="D170" s="0" t="s">
        <v>118</v>
      </c>
      <c r="E170" s="0" t="s">
        <v>23</v>
      </c>
      <c r="F170" s="0" t="s">
        <v>1697</v>
      </c>
      <c r="G170" s="9" t="n">
        <v>12.054</v>
      </c>
      <c r="H170" s="20" t="s">
        <v>1797</v>
      </c>
      <c r="I170" s="5" t="s">
        <v>2194</v>
      </c>
      <c r="J170" s="20" t="s">
        <v>1853</v>
      </c>
      <c r="K170" s="20" t="s">
        <v>2185</v>
      </c>
      <c r="L170" s="20" t="s">
        <v>2186</v>
      </c>
      <c r="M170" s="20" t="s">
        <v>1714</v>
      </c>
      <c r="N170" s="20" t="s">
        <v>2187</v>
      </c>
      <c r="O170" s="0" t="n">
        <v>1</v>
      </c>
    </row>
    <row r="171" customFormat="false" ht="17.15" hidden="false" customHeight="false" outlineLevel="0" collapsed="false">
      <c r="A171" s="0" t="s">
        <v>2195</v>
      </c>
      <c r="B171" s="0" t="s">
        <v>1038</v>
      </c>
      <c r="C171" s="0" t="s">
        <v>647</v>
      </c>
      <c r="D171" s="0" t="s">
        <v>118</v>
      </c>
      <c r="E171" s="0" t="s">
        <v>23</v>
      </c>
      <c r="F171" s="0" t="s">
        <v>1694</v>
      </c>
      <c r="G171" s="9" t="n">
        <v>-13.675</v>
      </c>
      <c r="H171" s="20" t="s">
        <v>1797</v>
      </c>
      <c r="I171" s="5" t="s">
        <v>2196</v>
      </c>
      <c r="J171" s="20" t="s">
        <v>1810</v>
      </c>
      <c r="K171" s="20" t="s">
        <v>2185</v>
      </c>
      <c r="L171" s="20" t="s">
        <v>2186</v>
      </c>
      <c r="M171" s="5" t="s">
        <v>1719</v>
      </c>
      <c r="N171" s="20" t="s">
        <v>2187</v>
      </c>
      <c r="O171" s="0" t="n">
        <v>1</v>
      </c>
    </row>
    <row r="172" customFormat="false" ht="17.15" hidden="false" customHeight="false" outlineLevel="0" collapsed="false">
      <c r="A172" s="0" t="s">
        <v>1721</v>
      </c>
      <c r="B172" s="0" t="s">
        <v>1038</v>
      </c>
      <c r="C172" s="0" t="s">
        <v>647</v>
      </c>
      <c r="D172" s="0" t="s">
        <v>1644</v>
      </c>
      <c r="E172" s="0" t="s">
        <v>1852</v>
      </c>
      <c r="F172" s="0" t="s">
        <v>1657</v>
      </c>
      <c r="G172" s="9" t="n">
        <v>22.5</v>
      </c>
      <c r="H172" s="20" t="s">
        <v>1797</v>
      </c>
      <c r="I172" s="5" t="s">
        <v>1720</v>
      </c>
      <c r="J172" s="20" t="s">
        <v>1853</v>
      </c>
      <c r="K172" s="20" t="s">
        <v>2197</v>
      </c>
      <c r="L172" s="20" t="s">
        <v>2175</v>
      </c>
      <c r="M172" s="5" t="s">
        <v>1656</v>
      </c>
      <c r="N172" s="20" t="s">
        <v>2198</v>
      </c>
      <c r="O172" s="0" t="n">
        <v>1</v>
      </c>
    </row>
    <row r="173" customFormat="false" ht="17.15" hidden="false" customHeight="false" outlineLevel="0" collapsed="false">
      <c r="A173" s="17" t="s">
        <v>2199</v>
      </c>
      <c r="B173" s="17" t="s">
        <v>1235</v>
      </c>
      <c r="C173" s="17" t="s">
        <v>529</v>
      </c>
      <c r="D173" s="17" t="s">
        <v>2200</v>
      </c>
      <c r="E173" s="17" t="s">
        <v>22</v>
      </c>
      <c r="F173" s="17" t="s">
        <v>1676</v>
      </c>
      <c r="G173" s="17" t="n">
        <v>40</v>
      </c>
      <c r="H173" s="17" t="s">
        <v>1797</v>
      </c>
      <c r="I173" s="17" t="s">
        <v>2201</v>
      </c>
      <c r="J173" s="17" t="s">
        <v>1853</v>
      </c>
      <c r="K173" s="17" t="s">
        <v>2202</v>
      </c>
      <c r="L173" s="17" t="s">
        <v>2203</v>
      </c>
      <c r="M173" s="18" t="s">
        <v>1802</v>
      </c>
      <c r="N173" s="17"/>
      <c r="O173" s="17" t="n">
        <v>0</v>
      </c>
    </row>
    <row r="174" customFormat="false" ht="17.15" hidden="false" customHeight="false" outlineLevel="0" collapsed="false">
      <c r="A174" s="17" t="s">
        <v>2204</v>
      </c>
      <c r="B174" s="17" t="s">
        <v>1235</v>
      </c>
      <c r="C174" s="17" t="s">
        <v>529</v>
      </c>
      <c r="D174" s="17" t="s">
        <v>2205</v>
      </c>
      <c r="E174" s="17" t="s">
        <v>22</v>
      </c>
      <c r="F174" s="17" t="s">
        <v>1676</v>
      </c>
      <c r="G174" s="17" t="n">
        <v>6.6</v>
      </c>
      <c r="H174" s="17" t="s">
        <v>1797</v>
      </c>
      <c r="I174" s="18" t="s">
        <v>2206</v>
      </c>
      <c r="J174" s="17" t="s">
        <v>1853</v>
      </c>
      <c r="K174" s="17" t="s">
        <v>2207</v>
      </c>
      <c r="L174" s="17" t="s">
        <v>2208</v>
      </c>
      <c r="M174" s="18" t="s">
        <v>1802</v>
      </c>
      <c r="N174" s="17"/>
      <c r="O174" s="17" t="n">
        <v>0</v>
      </c>
    </row>
    <row r="175" customFormat="false" ht="17.15" hidden="false" customHeight="false" outlineLevel="0" collapsed="false">
      <c r="A175" s="0" t="s">
        <v>2209</v>
      </c>
      <c r="B175" s="0" t="s">
        <v>1235</v>
      </c>
      <c r="C175" s="0" t="s">
        <v>529</v>
      </c>
      <c r="D175" s="0" t="s">
        <v>2210</v>
      </c>
      <c r="E175" s="0" t="s">
        <v>23</v>
      </c>
      <c r="F175" s="0" t="s">
        <v>1676</v>
      </c>
      <c r="G175" s="9" t="n">
        <v>122</v>
      </c>
      <c r="H175" s="20" t="s">
        <v>1797</v>
      </c>
      <c r="I175" s="5" t="s">
        <v>2211</v>
      </c>
      <c r="J175" s="20" t="s">
        <v>1853</v>
      </c>
      <c r="K175" s="20" t="s">
        <v>2212</v>
      </c>
      <c r="L175" s="20" t="s">
        <v>2213</v>
      </c>
      <c r="M175" s="5" t="s">
        <v>1648</v>
      </c>
      <c r="O175" s="0" t="n">
        <v>1</v>
      </c>
    </row>
    <row r="176" customFormat="false" ht="17.15" hidden="false" customHeight="false" outlineLevel="0" collapsed="false">
      <c r="A176" s="17" t="s">
        <v>2214</v>
      </c>
      <c r="B176" s="17" t="s">
        <v>1235</v>
      </c>
      <c r="C176" s="17" t="s">
        <v>529</v>
      </c>
      <c r="D176" s="17" t="s">
        <v>2215</v>
      </c>
      <c r="E176" s="17" t="s">
        <v>23</v>
      </c>
      <c r="F176" s="17" t="s">
        <v>1676</v>
      </c>
      <c r="G176" s="17" t="n">
        <v>30</v>
      </c>
      <c r="H176" s="17" t="s">
        <v>1797</v>
      </c>
      <c r="I176" s="18" t="s">
        <v>2216</v>
      </c>
      <c r="J176" s="17" t="s">
        <v>1853</v>
      </c>
      <c r="K176" s="17" t="s">
        <v>2217</v>
      </c>
      <c r="L176" s="17" t="s">
        <v>2218</v>
      </c>
      <c r="M176" s="18" t="s">
        <v>1802</v>
      </c>
      <c r="N176" s="17"/>
      <c r="O176" s="17" t="n">
        <v>0</v>
      </c>
    </row>
    <row r="177" customFormat="false" ht="17.15" hidden="false" customHeight="false" outlineLevel="0" collapsed="false">
      <c r="A177" s="17" t="s">
        <v>2219</v>
      </c>
      <c r="B177" s="17" t="s">
        <v>1235</v>
      </c>
      <c r="C177" s="17" t="s">
        <v>529</v>
      </c>
      <c r="D177" s="17" t="s">
        <v>2220</v>
      </c>
      <c r="E177" s="17" t="s">
        <v>1856</v>
      </c>
      <c r="F177" s="17" t="s">
        <v>2221</v>
      </c>
      <c r="G177" s="17" t="n">
        <v>4</v>
      </c>
      <c r="H177" s="17" t="s">
        <v>1797</v>
      </c>
      <c r="I177" s="18" t="s">
        <v>2222</v>
      </c>
      <c r="J177" s="17" t="s">
        <v>1853</v>
      </c>
      <c r="K177" s="17" t="s">
        <v>2223</v>
      </c>
      <c r="L177" s="17" t="s">
        <v>2224</v>
      </c>
      <c r="M177" s="18" t="s">
        <v>1802</v>
      </c>
      <c r="N177" s="17"/>
      <c r="O177" s="17" t="n">
        <v>0</v>
      </c>
    </row>
    <row r="178" customFormat="false" ht="17.15" hidden="false" customHeight="false" outlineLevel="0" collapsed="false">
      <c r="A178" s="17" t="s">
        <v>2225</v>
      </c>
      <c r="B178" s="17" t="s">
        <v>1235</v>
      </c>
      <c r="C178" s="17" t="s">
        <v>529</v>
      </c>
      <c r="D178" s="17" t="s">
        <v>1664</v>
      </c>
      <c r="E178" s="17" t="s">
        <v>23</v>
      </c>
      <c r="F178" s="17" t="s">
        <v>2221</v>
      </c>
      <c r="G178" s="17" t="n">
        <v>0.52</v>
      </c>
      <c r="H178" s="17" t="s">
        <v>1797</v>
      </c>
      <c r="I178" s="17" t="s">
        <v>2226</v>
      </c>
      <c r="J178" s="17" t="s">
        <v>1853</v>
      </c>
      <c r="K178" s="17" t="s">
        <v>2227</v>
      </c>
      <c r="L178" s="17" t="s">
        <v>2228</v>
      </c>
      <c r="M178" s="18" t="s">
        <v>1802</v>
      </c>
      <c r="N178" s="17"/>
      <c r="O178" s="17" t="n">
        <v>0</v>
      </c>
    </row>
    <row r="179" customFormat="false" ht="17.15" hidden="false" customHeight="false" outlineLevel="0" collapsed="false">
      <c r="A179" s="0" t="s">
        <v>2229</v>
      </c>
      <c r="B179" s="0" t="s">
        <v>1235</v>
      </c>
      <c r="C179" s="0" t="s">
        <v>529</v>
      </c>
      <c r="D179" s="0" t="s">
        <v>1633</v>
      </c>
      <c r="E179" s="0" t="s">
        <v>22</v>
      </c>
      <c r="F179" s="0" t="s">
        <v>1686</v>
      </c>
      <c r="G179" s="9" t="n">
        <v>-8</v>
      </c>
      <c r="H179" s="20" t="s">
        <v>1797</v>
      </c>
      <c r="I179" s="5" t="s">
        <v>2230</v>
      </c>
      <c r="J179" s="20" t="s">
        <v>1853</v>
      </c>
      <c r="K179" s="20" t="s">
        <v>2231</v>
      </c>
      <c r="L179" s="20" t="s">
        <v>2232</v>
      </c>
      <c r="M179" s="5" t="s">
        <v>1648</v>
      </c>
      <c r="O179" s="0" t="n">
        <v>1</v>
      </c>
    </row>
    <row r="180" customFormat="false" ht="17.15" hidden="false" customHeight="false" outlineLevel="0" collapsed="false">
      <c r="A180" s="0" t="s">
        <v>1723</v>
      </c>
      <c r="B180" s="0" t="s">
        <v>1235</v>
      </c>
      <c r="C180" s="0" t="s">
        <v>529</v>
      </c>
      <c r="D180" s="0" t="s">
        <v>1644</v>
      </c>
      <c r="E180" s="0" t="s">
        <v>1852</v>
      </c>
      <c r="F180" s="0" t="s">
        <v>1686</v>
      </c>
      <c r="G180" s="9" t="n">
        <v>-25</v>
      </c>
      <c r="H180" s="20" t="s">
        <v>1797</v>
      </c>
      <c r="I180" s="5" t="s">
        <v>1722</v>
      </c>
      <c r="J180" s="20" t="s">
        <v>1853</v>
      </c>
      <c r="K180" s="20" t="s">
        <v>2231</v>
      </c>
      <c r="L180" s="20" t="s">
        <v>2232</v>
      </c>
      <c r="M180" s="5" t="s">
        <v>1648</v>
      </c>
      <c r="O180" s="0" t="n">
        <v>1</v>
      </c>
    </row>
    <row r="181" customFormat="false" ht="17.15" hidden="false" customHeight="false" outlineLevel="0" collapsed="false">
      <c r="A181" s="17" t="s">
        <v>2233</v>
      </c>
      <c r="B181" s="17" t="s">
        <v>1235</v>
      </c>
      <c r="C181" s="17" t="s">
        <v>529</v>
      </c>
      <c r="D181" s="17" t="s">
        <v>2234</v>
      </c>
      <c r="E181" s="17" t="s">
        <v>22</v>
      </c>
      <c r="F181" s="17" t="s">
        <v>1661</v>
      </c>
      <c r="G181" s="17" t="n">
        <v>52</v>
      </c>
      <c r="H181" s="17" t="s">
        <v>1797</v>
      </c>
      <c r="I181" s="17" t="s">
        <v>2235</v>
      </c>
      <c r="J181" s="17" t="s">
        <v>1853</v>
      </c>
      <c r="K181" s="17" t="s">
        <v>2236</v>
      </c>
      <c r="L181" s="17" t="s">
        <v>2237</v>
      </c>
      <c r="M181" s="18" t="s">
        <v>1802</v>
      </c>
      <c r="N181" s="17"/>
      <c r="O181" s="17" t="n">
        <v>0</v>
      </c>
    </row>
    <row r="182" customFormat="false" ht="17.15" hidden="false" customHeight="false" outlineLevel="0" collapsed="false">
      <c r="A182" s="0" t="s">
        <v>2238</v>
      </c>
      <c r="B182" s="0" t="s">
        <v>1235</v>
      </c>
      <c r="C182" s="0" t="s">
        <v>529</v>
      </c>
      <c r="D182" s="0" t="s">
        <v>1660</v>
      </c>
      <c r="E182" s="0" t="s">
        <v>23</v>
      </c>
      <c r="F182" s="0" t="s">
        <v>1661</v>
      </c>
      <c r="G182" s="9" t="n">
        <v>105</v>
      </c>
      <c r="H182" s="20" t="s">
        <v>1797</v>
      </c>
      <c r="I182" s="20" t="s">
        <v>2239</v>
      </c>
      <c r="J182" s="20" t="s">
        <v>1853</v>
      </c>
      <c r="K182" s="20" t="s">
        <v>2240</v>
      </c>
      <c r="L182" s="20" t="s">
        <v>2241</v>
      </c>
      <c r="M182" s="5" t="s">
        <v>1656</v>
      </c>
      <c r="N182" s="20" t="s">
        <v>2242</v>
      </c>
      <c r="O182" s="0" t="n">
        <v>1</v>
      </c>
    </row>
    <row r="183" customFormat="false" ht="17.15" hidden="false" customHeight="false" outlineLevel="0" collapsed="false">
      <c r="A183" s="17" t="s">
        <v>2243</v>
      </c>
      <c r="B183" s="17" t="s">
        <v>1235</v>
      </c>
      <c r="C183" s="17" t="s">
        <v>529</v>
      </c>
      <c r="D183" s="17" t="s">
        <v>2093</v>
      </c>
      <c r="E183" s="17" t="s">
        <v>23</v>
      </c>
      <c r="F183" s="17" t="s">
        <v>1670</v>
      </c>
      <c r="G183" s="17" t="n">
        <v>30</v>
      </c>
      <c r="H183" s="17" t="s">
        <v>1797</v>
      </c>
      <c r="I183" s="17" t="s">
        <v>2244</v>
      </c>
      <c r="J183" s="17" t="s">
        <v>1853</v>
      </c>
      <c r="K183" s="17" t="s">
        <v>2245</v>
      </c>
      <c r="L183" s="17" t="s">
        <v>2246</v>
      </c>
      <c r="M183" s="18" t="s">
        <v>1802</v>
      </c>
      <c r="N183" s="17"/>
      <c r="O183" s="17" t="n">
        <v>0</v>
      </c>
    </row>
    <row r="184" customFormat="false" ht="17.15" hidden="false" customHeight="false" outlineLevel="0" collapsed="false">
      <c r="A184" s="17" t="s">
        <v>2247</v>
      </c>
      <c r="B184" s="17" t="s">
        <v>1235</v>
      </c>
      <c r="C184" s="17" t="s">
        <v>529</v>
      </c>
      <c r="D184" s="17" t="s">
        <v>2248</v>
      </c>
      <c r="E184" s="17" t="s">
        <v>22</v>
      </c>
      <c r="F184" s="17" t="s">
        <v>1670</v>
      </c>
      <c r="G184" s="17" t="n">
        <v>0</v>
      </c>
      <c r="H184" s="17" t="s">
        <v>1797</v>
      </c>
      <c r="I184" s="17" t="s">
        <v>2249</v>
      </c>
      <c r="J184" s="17" t="s">
        <v>1799</v>
      </c>
      <c r="K184" s="17" t="s">
        <v>2250</v>
      </c>
      <c r="L184" s="17" t="s">
        <v>2251</v>
      </c>
      <c r="M184" s="18" t="s">
        <v>1802</v>
      </c>
      <c r="N184" s="17"/>
      <c r="O184" s="17" t="n">
        <v>0</v>
      </c>
    </row>
    <row r="185" customFormat="false" ht="17.15" hidden="false" customHeight="false" outlineLevel="0" collapsed="false">
      <c r="A185" s="0" t="s">
        <v>2252</v>
      </c>
      <c r="B185" s="0" t="s">
        <v>1235</v>
      </c>
      <c r="C185" s="0" t="s">
        <v>529</v>
      </c>
      <c r="D185" s="0" t="s">
        <v>2253</v>
      </c>
      <c r="E185" s="0" t="s">
        <v>23</v>
      </c>
      <c r="F185" s="0" t="s">
        <v>1670</v>
      </c>
      <c r="G185" s="9" t="n">
        <v>40</v>
      </c>
      <c r="H185" s="20" t="s">
        <v>1797</v>
      </c>
      <c r="I185" s="20" t="s">
        <v>2254</v>
      </c>
      <c r="J185" s="20" t="s">
        <v>1853</v>
      </c>
      <c r="K185" s="20" t="s">
        <v>2255</v>
      </c>
      <c r="L185" s="20" t="s">
        <v>2256</v>
      </c>
      <c r="M185" s="5" t="s">
        <v>1648</v>
      </c>
      <c r="O185" s="0" t="n">
        <v>1</v>
      </c>
    </row>
    <row r="186" customFormat="false" ht="17.15" hidden="false" customHeight="false" outlineLevel="0" collapsed="false">
      <c r="A186" s="17" t="s">
        <v>2257</v>
      </c>
      <c r="B186" s="17" t="s">
        <v>1236</v>
      </c>
      <c r="C186" s="17" t="s">
        <v>513</v>
      </c>
      <c r="D186" s="17" t="s">
        <v>2258</v>
      </c>
      <c r="E186" s="17" t="s">
        <v>22</v>
      </c>
      <c r="F186" s="17" t="s">
        <v>1676</v>
      </c>
      <c r="G186" s="17" t="n">
        <v>3.5</v>
      </c>
      <c r="H186" s="17" t="s">
        <v>1797</v>
      </c>
      <c r="I186" s="17" t="s">
        <v>2259</v>
      </c>
      <c r="J186" s="17" t="s">
        <v>1853</v>
      </c>
      <c r="K186" s="17" t="s">
        <v>2260</v>
      </c>
      <c r="L186" s="17" t="s">
        <v>2261</v>
      </c>
      <c r="M186" s="18" t="s">
        <v>1802</v>
      </c>
      <c r="N186" s="17"/>
      <c r="O186" s="17" t="n">
        <v>0</v>
      </c>
    </row>
    <row r="187" customFormat="false" ht="17.15" hidden="false" customHeight="false" outlineLevel="0" collapsed="false">
      <c r="A187" s="17" t="s">
        <v>2262</v>
      </c>
      <c r="B187" s="17" t="s">
        <v>1236</v>
      </c>
      <c r="C187" s="17" t="s">
        <v>513</v>
      </c>
      <c r="D187" s="17" t="s">
        <v>2263</v>
      </c>
      <c r="E187" s="17" t="s">
        <v>22</v>
      </c>
      <c r="F187" s="17" t="s">
        <v>1676</v>
      </c>
      <c r="G187" s="17" t="n">
        <v>13</v>
      </c>
      <c r="H187" s="17" t="s">
        <v>1797</v>
      </c>
      <c r="I187" s="17" t="s">
        <v>2264</v>
      </c>
      <c r="J187" s="17" t="s">
        <v>1853</v>
      </c>
      <c r="K187" s="17" t="s">
        <v>2260</v>
      </c>
      <c r="L187" s="17" t="s">
        <v>2265</v>
      </c>
      <c r="M187" s="18" t="s">
        <v>1802</v>
      </c>
      <c r="N187" s="17"/>
      <c r="O187" s="17" t="n">
        <v>0</v>
      </c>
    </row>
    <row r="188" customFormat="false" ht="17.15" hidden="false" customHeight="false" outlineLevel="0" collapsed="false">
      <c r="A188" s="0" t="s">
        <v>2266</v>
      </c>
      <c r="B188" s="0" t="s">
        <v>1236</v>
      </c>
      <c r="C188" s="0" t="s">
        <v>513</v>
      </c>
      <c r="D188" s="0" t="s">
        <v>2267</v>
      </c>
      <c r="E188" s="0" t="s">
        <v>23</v>
      </c>
      <c r="F188" s="0" t="s">
        <v>1676</v>
      </c>
      <c r="G188" s="9" t="n">
        <v>30</v>
      </c>
      <c r="H188" s="20" t="s">
        <v>1797</v>
      </c>
      <c r="I188" s="20" t="s">
        <v>2268</v>
      </c>
      <c r="J188" s="20" t="s">
        <v>1853</v>
      </c>
      <c r="K188" s="20" t="s">
        <v>2269</v>
      </c>
      <c r="L188" s="20" t="s">
        <v>2270</v>
      </c>
      <c r="M188" s="20" t="s">
        <v>1714</v>
      </c>
      <c r="O188" s="0" t="n">
        <v>1</v>
      </c>
    </row>
    <row r="189" customFormat="false" ht="17.15" hidden="false" customHeight="false" outlineLevel="0" collapsed="false">
      <c r="A189" s="0" t="s">
        <v>2271</v>
      </c>
      <c r="B189" s="0" t="s">
        <v>1236</v>
      </c>
      <c r="C189" s="0" t="s">
        <v>513</v>
      </c>
      <c r="D189" s="0" t="s">
        <v>2272</v>
      </c>
      <c r="E189" s="0" t="s">
        <v>23</v>
      </c>
      <c r="F189" s="0" t="s">
        <v>1676</v>
      </c>
      <c r="G189" s="9" t="n">
        <v>65</v>
      </c>
      <c r="H189" s="20" t="s">
        <v>1797</v>
      </c>
      <c r="I189" s="20" t="s">
        <v>2273</v>
      </c>
      <c r="J189" s="20" t="s">
        <v>1853</v>
      </c>
      <c r="K189" s="20" t="s">
        <v>2269</v>
      </c>
      <c r="L189" s="20" t="s">
        <v>2274</v>
      </c>
      <c r="M189" s="5" t="s">
        <v>1648</v>
      </c>
      <c r="O189" s="0" t="n">
        <v>1</v>
      </c>
    </row>
    <row r="190" customFormat="false" ht="17.15" hidden="false" customHeight="false" outlineLevel="0" collapsed="false">
      <c r="A190" s="17" t="s">
        <v>2275</v>
      </c>
      <c r="B190" s="17" t="s">
        <v>1236</v>
      </c>
      <c r="C190" s="17" t="s">
        <v>513</v>
      </c>
      <c r="D190" s="17" t="s">
        <v>2276</v>
      </c>
      <c r="E190" s="17" t="s">
        <v>22</v>
      </c>
      <c r="F190" s="17" t="s">
        <v>1670</v>
      </c>
      <c r="G190" s="17" t="n">
        <v>15</v>
      </c>
      <c r="H190" s="17" t="s">
        <v>1797</v>
      </c>
      <c r="I190" s="17" t="s">
        <v>2277</v>
      </c>
      <c r="J190" s="17" t="s">
        <v>1853</v>
      </c>
      <c r="K190" s="17" t="s">
        <v>2260</v>
      </c>
      <c r="L190" s="17" t="s">
        <v>2278</v>
      </c>
      <c r="M190" s="18" t="s">
        <v>1802</v>
      </c>
      <c r="N190" s="17"/>
      <c r="O190" s="17" t="n">
        <v>0</v>
      </c>
    </row>
    <row r="191" customFormat="false" ht="17.15" hidden="false" customHeight="false" outlineLevel="0" collapsed="false">
      <c r="A191" s="17" t="s">
        <v>2279</v>
      </c>
      <c r="B191" s="17" t="s">
        <v>1236</v>
      </c>
      <c r="C191" s="17" t="s">
        <v>513</v>
      </c>
      <c r="D191" s="17" t="s">
        <v>2280</v>
      </c>
      <c r="E191" s="17" t="s">
        <v>23</v>
      </c>
      <c r="F191" s="17" t="s">
        <v>2221</v>
      </c>
      <c r="G191" s="17" t="n">
        <v>15</v>
      </c>
      <c r="H191" s="17" t="s">
        <v>1797</v>
      </c>
      <c r="I191" s="18" t="s">
        <v>2281</v>
      </c>
      <c r="J191" s="17" t="s">
        <v>1853</v>
      </c>
      <c r="K191" s="17" t="s">
        <v>2282</v>
      </c>
      <c r="L191" s="17" t="s">
        <v>2283</v>
      </c>
      <c r="M191" s="18" t="s">
        <v>1802</v>
      </c>
      <c r="N191" s="17"/>
      <c r="O191" s="17" t="n">
        <v>0</v>
      </c>
    </row>
    <row r="192" customFormat="false" ht="17.15" hidden="false" customHeight="false" outlineLevel="0" collapsed="false">
      <c r="A192" s="0" t="s">
        <v>2284</v>
      </c>
      <c r="B192" s="0" t="s">
        <v>1236</v>
      </c>
      <c r="C192" s="0" t="s">
        <v>513</v>
      </c>
      <c r="D192" s="0" t="s">
        <v>2285</v>
      </c>
      <c r="E192" s="0" t="s">
        <v>23</v>
      </c>
      <c r="F192" s="0" t="s">
        <v>1716</v>
      </c>
      <c r="G192" s="9" t="n">
        <v>35</v>
      </c>
      <c r="H192" s="20" t="s">
        <v>1797</v>
      </c>
      <c r="I192" s="20" t="s">
        <v>2286</v>
      </c>
      <c r="J192" s="20" t="s">
        <v>1853</v>
      </c>
      <c r="K192" s="20" t="s">
        <v>2287</v>
      </c>
      <c r="L192" s="20" t="s">
        <v>2288</v>
      </c>
      <c r="M192" s="5" t="s">
        <v>1648</v>
      </c>
      <c r="O192" s="0" t="n">
        <v>1</v>
      </c>
    </row>
    <row r="193" customFormat="false" ht="17.15" hidden="false" customHeight="false" outlineLevel="0" collapsed="false">
      <c r="A193" s="0" t="s">
        <v>2289</v>
      </c>
      <c r="B193" s="0" t="s">
        <v>1236</v>
      </c>
      <c r="C193" s="0" t="s">
        <v>513</v>
      </c>
      <c r="D193" s="0" t="s">
        <v>1660</v>
      </c>
      <c r="E193" s="0" t="s">
        <v>23</v>
      </c>
      <c r="F193" s="0" t="s">
        <v>2290</v>
      </c>
      <c r="G193" s="9" t="n">
        <v>36</v>
      </c>
      <c r="H193" s="20" t="s">
        <v>1797</v>
      </c>
      <c r="I193" s="5" t="s">
        <v>2291</v>
      </c>
      <c r="J193" s="20" t="s">
        <v>1853</v>
      </c>
      <c r="K193" s="20" t="s">
        <v>2292</v>
      </c>
      <c r="L193" s="20" t="s">
        <v>2288</v>
      </c>
      <c r="M193" s="5" t="s">
        <v>1656</v>
      </c>
      <c r="N193" s="20" t="s">
        <v>2293</v>
      </c>
      <c r="O193" s="0" t="n">
        <v>1</v>
      </c>
    </row>
    <row r="194" customFormat="false" ht="17.15" hidden="false" customHeight="false" outlineLevel="0" collapsed="false">
      <c r="A194" s="0" t="s">
        <v>2294</v>
      </c>
      <c r="B194" s="0" t="s">
        <v>1236</v>
      </c>
      <c r="C194" s="0" t="s">
        <v>513</v>
      </c>
      <c r="D194" s="0" t="s">
        <v>2295</v>
      </c>
      <c r="E194" s="0" t="s">
        <v>23</v>
      </c>
      <c r="F194" s="0" t="s">
        <v>1670</v>
      </c>
      <c r="G194" s="9" t="n">
        <v>42</v>
      </c>
      <c r="H194" s="20" t="s">
        <v>1797</v>
      </c>
      <c r="I194" s="20" t="s">
        <v>2296</v>
      </c>
      <c r="J194" s="20" t="s">
        <v>1853</v>
      </c>
      <c r="K194" s="20" t="s">
        <v>2297</v>
      </c>
      <c r="L194" s="20" t="s">
        <v>2298</v>
      </c>
      <c r="M194" s="5" t="s">
        <v>1648</v>
      </c>
      <c r="O194" s="0" t="n">
        <v>1</v>
      </c>
    </row>
    <row r="195" customFormat="false" ht="17.15" hidden="false" customHeight="false" outlineLevel="0" collapsed="false">
      <c r="A195" s="17" t="s">
        <v>2299</v>
      </c>
      <c r="B195" s="17" t="s">
        <v>1236</v>
      </c>
      <c r="C195" s="17" t="s">
        <v>513</v>
      </c>
      <c r="D195" s="17" t="s">
        <v>2300</v>
      </c>
      <c r="E195" s="17" t="s">
        <v>23</v>
      </c>
      <c r="F195" s="17" t="s">
        <v>1661</v>
      </c>
      <c r="G195" s="17" t="n">
        <v>15</v>
      </c>
      <c r="H195" s="17" t="s">
        <v>1797</v>
      </c>
      <c r="I195" s="17" t="s">
        <v>2301</v>
      </c>
      <c r="J195" s="17" t="s">
        <v>1853</v>
      </c>
      <c r="K195" s="17" t="s">
        <v>2302</v>
      </c>
      <c r="L195" s="17" t="s">
        <v>2303</v>
      </c>
      <c r="M195" s="18" t="s">
        <v>1802</v>
      </c>
      <c r="N195" s="17"/>
      <c r="O195" s="17" t="n">
        <v>0</v>
      </c>
    </row>
    <row r="196" customFormat="false" ht="17.15" hidden="false" customHeight="false" outlineLevel="0" collapsed="false">
      <c r="A196" s="17" t="s">
        <v>2304</v>
      </c>
      <c r="B196" s="17" t="s">
        <v>1236</v>
      </c>
      <c r="C196" s="17" t="s">
        <v>513</v>
      </c>
      <c r="D196" s="17" t="s">
        <v>2305</v>
      </c>
      <c r="E196" s="17" t="s">
        <v>22</v>
      </c>
      <c r="F196" s="17" t="s">
        <v>1661</v>
      </c>
      <c r="G196" s="17" t="n">
        <v>50</v>
      </c>
      <c r="H196" s="17" t="s">
        <v>1797</v>
      </c>
      <c r="I196" s="18" t="s">
        <v>2306</v>
      </c>
      <c r="J196" s="17" t="s">
        <v>1853</v>
      </c>
      <c r="K196" s="17" t="s">
        <v>2260</v>
      </c>
      <c r="L196" s="17" t="s">
        <v>2307</v>
      </c>
      <c r="M196" s="18" t="s">
        <v>1802</v>
      </c>
      <c r="N196" s="17"/>
      <c r="O196" s="17" t="n">
        <v>0</v>
      </c>
    </row>
    <row r="197" customFormat="false" ht="17.15" hidden="false" customHeight="false" outlineLevel="0" collapsed="false">
      <c r="A197" s="17" t="s">
        <v>2308</v>
      </c>
      <c r="B197" s="17" t="s">
        <v>1236</v>
      </c>
      <c r="C197" s="17" t="s">
        <v>513</v>
      </c>
      <c r="D197" s="17" t="s">
        <v>1632</v>
      </c>
      <c r="E197" s="17" t="s">
        <v>1856</v>
      </c>
      <c r="F197" s="17" t="s">
        <v>1686</v>
      </c>
      <c r="G197" s="17" t="n">
        <v>-5.6</v>
      </c>
      <c r="H197" s="17" t="s">
        <v>1797</v>
      </c>
      <c r="I197" s="17" t="s">
        <v>2309</v>
      </c>
      <c r="J197" s="17" t="s">
        <v>1853</v>
      </c>
      <c r="K197" s="17" t="s">
        <v>2310</v>
      </c>
      <c r="L197" s="17" t="s">
        <v>2311</v>
      </c>
      <c r="M197" s="18" t="s">
        <v>1802</v>
      </c>
      <c r="N197" s="17"/>
      <c r="O197" s="17" t="n">
        <v>0</v>
      </c>
    </row>
    <row r="198" customFormat="false" ht="17.15" hidden="false" customHeight="false" outlineLevel="0" collapsed="false">
      <c r="A198" s="17" t="s">
        <v>2312</v>
      </c>
      <c r="B198" s="17" t="s">
        <v>1236</v>
      </c>
      <c r="C198" s="17" t="s">
        <v>513</v>
      </c>
      <c r="D198" s="17" t="s">
        <v>2144</v>
      </c>
      <c r="E198" s="17" t="s">
        <v>22</v>
      </c>
      <c r="F198" s="17" t="s">
        <v>1841</v>
      </c>
      <c r="G198" s="17" t="n">
        <v>-20.28</v>
      </c>
      <c r="H198" s="17" t="s">
        <v>1797</v>
      </c>
      <c r="I198" s="18" t="s">
        <v>2313</v>
      </c>
      <c r="J198" s="17" t="s">
        <v>1853</v>
      </c>
      <c r="K198" s="17" t="s">
        <v>2314</v>
      </c>
      <c r="L198" s="17" t="s">
        <v>2315</v>
      </c>
      <c r="M198" s="18" t="s">
        <v>1802</v>
      </c>
      <c r="N198" s="17"/>
      <c r="O198" s="17" t="n">
        <v>0</v>
      </c>
    </row>
    <row r="199" customFormat="false" ht="17.15" hidden="false" customHeight="false" outlineLevel="0" collapsed="false">
      <c r="A199" s="17" t="s">
        <v>2316</v>
      </c>
      <c r="B199" s="17" t="s">
        <v>1236</v>
      </c>
      <c r="C199" s="17" t="s">
        <v>513</v>
      </c>
      <c r="D199" s="17" t="s">
        <v>2317</v>
      </c>
      <c r="E199" s="17" t="s">
        <v>23</v>
      </c>
      <c r="F199" s="17" t="s">
        <v>1686</v>
      </c>
      <c r="G199" s="17" t="n">
        <v>0</v>
      </c>
      <c r="H199" s="17" t="s">
        <v>1797</v>
      </c>
      <c r="I199" s="17" t="s">
        <v>2318</v>
      </c>
      <c r="J199" s="17" t="s">
        <v>1853</v>
      </c>
      <c r="K199" s="17" t="s">
        <v>2319</v>
      </c>
      <c r="L199" s="17" t="s">
        <v>2320</v>
      </c>
      <c r="M199" s="18" t="s">
        <v>1802</v>
      </c>
      <c r="N199" s="17"/>
      <c r="O199" s="17" t="n">
        <v>0</v>
      </c>
    </row>
    <row r="200" customFormat="false" ht="17.15" hidden="false" customHeight="false" outlineLevel="0" collapsed="false">
      <c r="A200" s="17" t="s">
        <v>2321</v>
      </c>
      <c r="B200" s="17" t="s">
        <v>1236</v>
      </c>
      <c r="C200" s="17" t="s">
        <v>513</v>
      </c>
      <c r="D200" s="17" t="s">
        <v>2322</v>
      </c>
      <c r="E200" s="17" t="s">
        <v>1856</v>
      </c>
      <c r="F200" s="17" t="s">
        <v>1676</v>
      </c>
      <c r="G200" s="17" t="n">
        <v>100</v>
      </c>
      <c r="H200" s="17" t="s">
        <v>1797</v>
      </c>
      <c r="I200" s="17" t="s">
        <v>2323</v>
      </c>
      <c r="J200" s="17" t="s">
        <v>1853</v>
      </c>
      <c r="K200" s="17" t="s">
        <v>2324</v>
      </c>
      <c r="L200" s="17" t="s">
        <v>2325</v>
      </c>
      <c r="M200" s="18" t="s">
        <v>1802</v>
      </c>
      <c r="N200" s="17"/>
      <c r="O200" s="17" t="n">
        <v>0</v>
      </c>
    </row>
    <row r="201" customFormat="false" ht="17.15" hidden="false" customHeight="false" outlineLevel="0" collapsed="false">
      <c r="A201" s="0" t="s">
        <v>2326</v>
      </c>
      <c r="B201" s="0" t="s">
        <v>1236</v>
      </c>
      <c r="C201" s="0" t="s">
        <v>513</v>
      </c>
      <c r="D201" s="0" t="s">
        <v>2327</v>
      </c>
      <c r="E201" s="0" t="s">
        <v>23</v>
      </c>
      <c r="F201" s="0" t="s">
        <v>1670</v>
      </c>
      <c r="G201" s="9" t="n">
        <v>15</v>
      </c>
      <c r="H201" s="20" t="s">
        <v>1797</v>
      </c>
      <c r="I201" s="5" t="s">
        <v>2328</v>
      </c>
      <c r="J201" s="20" t="s">
        <v>1853</v>
      </c>
      <c r="K201" s="20" t="s">
        <v>2329</v>
      </c>
      <c r="L201" s="20" t="s">
        <v>2330</v>
      </c>
      <c r="M201" s="5" t="s">
        <v>1656</v>
      </c>
      <c r="N201" s="20" t="s">
        <v>2331</v>
      </c>
      <c r="O201" s="0" t="n">
        <v>1</v>
      </c>
    </row>
    <row r="202" customFormat="false" ht="17.15" hidden="false" customHeight="false" outlineLevel="0" collapsed="false">
      <c r="A202" s="17" t="s">
        <v>2332</v>
      </c>
      <c r="B202" s="17" t="s">
        <v>2333</v>
      </c>
      <c r="C202" s="17" t="s">
        <v>533</v>
      </c>
      <c r="D202" s="17" t="s">
        <v>2334</v>
      </c>
      <c r="E202" s="17" t="s">
        <v>22</v>
      </c>
      <c r="F202" s="17" t="s">
        <v>2221</v>
      </c>
      <c r="G202" s="17" t="n">
        <v>5</v>
      </c>
      <c r="H202" s="17" t="s">
        <v>1797</v>
      </c>
      <c r="I202" s="18" t="s">
        <v>2335</v>
      </c>
      <c r="J202" s="17" t="s">
        <v>1853</v>
      </c>
      <c r="K202" s="17" t="s">
        <v>2336</v>
      </c>
      <c r="L202" s="17" t="s">
        <v>2337</v>
      </c>
      <c r="M202" s="18" t="s">
        <v>1802</v>
      </c>
      <c r="N202" s="17"/>
      <c r="O202" s="17" t="n">
        <v>0</v>
      </c>
    </row>
    <row r="203" customFormat="false" ht="17.15" hidden="false" customHeight="false" outlineLevel="0" collapsed="false">
      <c r="A203" s="17" t="s">
        <v>2338</v>
      </c>
      <c r="B203" s="17" t="s">
        <v>2333</v>
      </c>
      <c r="C203" s="17" t="s">
        <v>533</v>
      </c>
      <c r="D203" s="17" t="s">
        <v>2334</v>
      </c>
      <c r="E203" s="17" t="s">
        <v>22</v>
      </c>
      <c r="F203" s="17" t="s">
        <v>1676</v>
      </c>
      <c r="G203" s="17" t="n">
        <v>5</v>
      </c>
      <c r="H203" s="17" t="s">
        <v>1797</v>
      </c>
      <c r="I203" s="18" t="s">
        <v>2339</v>
      </c>
      <c r="J203" s="17" t="s">
        <v>1853</v>
      </c>
      <c r="K203" s="17" t="s">
        <v>1931</v>
      </c>
      <c r="L203" s="17" t="s">
        <v>2337</v>
      </c>
      <c r="M203" s="18" t="s">
        <v>1802</v>
      </c>
      <c r="N203" s="17"/>
      <c r="O203" s="17" t="n">
        <v>0</v>
      </c>
    </row>
    <row r="204" customFormat="false" ht="17.15" hidden="false" customHeight="false" outlineLevel="0" collapsed="false">
      <c r="A204" s="17" t="s">
        <v>2340</v>
      </c>
      <c r="B204" s="17" t="s">
        <v>2333</v>
      </c>
      <c r="C204" s="17" t="s">
        <v>533</v>
      </c>
      <c r="D204" s="17" t="s">
        <v>2205</v>
      </c>
      <c r="E204" s="17" t="s">
        <v>22</v>
      </c>
      <c r="F204" s="17" t="s">
        <v>1716</v>
      </c>
      <c r="G204" s="17" t="n">
        <v>12.5</v>
      </c>
      <c r="H204" s="17" t="s">
        <v>1797</v>
      </c>
      <c r="I204" s="18" t="s">
        <v>2341</v>
      </c>
      <c r="J204" s="17" t="s">
        <v>1853</v>
      </c>
      <c r="K204" s="17" t="s">
        <v>2342</v>
      </c>
      <c r="L204" s="17" t="s">
        <v>2343</v>
      </c>
      <c r="M204" s="18" t="s">
        <v>1802</v>
      </c>
      <c r="N204" s="17"/>
      <c r="O204" s="17" t="n">
        <v>0</v>
      </c>
    </row>
    <row r="205" customFormat="false" ht="17.15" hidden="false" customHeight="false" outlineLevel="0" collapsed="false">
      <c r="A205" s="17" t="s">
        <v>2344</v>
      </c>
      <c r="B205" s="17" t="s">
        <v>2333</v>
      </c>
      <c r="C205" s="17" t="s">
        <v>533</v>
      </c>
      <c r="D205" s="17" t="s">
        <v>2345</v>
      </c>
      <c r="E205" s="17" t="s">
        <v>23</v>
      </c>
      <c r="F205" s="17" t="s">
        <v>1676</v>
      </c>
      <c r="G205" s="17" t="n">
        <v>20</v>
      </c>
      <c r="H205" s="17" t="s">
        <v>1797</v>
      </c>
      <c r="I205" s="17" t="s">
        <v>2346</v>
      </c>
      <c r="J205" s="17" t="s">
        <v>1853</v>
      </c>
      <c r="K205" s="17" t="s">
        <v>2324</v>
      </c>
      <c r="L205" s="17" t="s">
        <v>2347</v>
      </c>
      <c r="M205" s="18" t="s">
        <v>1802</v>
      </c>
      <c r="N205" s="17"/>
      <c r="O205" s="17" t="n">
        <v>0</v>
      </c>
    </row>
    <row r="206" customFormat="false" ht="17.15" hidden="false" customHeight="false" outlineLevel="0" collapsed="false">
      <c r="A206" s="17" t="s">
        <v>2348</v>
      </c>
      <c r="B206" s="17" t="s">
        <v>2333</v>
      </c>
      <c r="C206" s="17" t="s">
        <v>533</v>
      </c>
      <c r="D206" s="17" t="s">
        <v>2093</v>
      </c>
      <c r="E206" s="17" t="s">
        <v>23</v>
      </c>
      <c r="F206" s="17" t="s">
        <v>2349</v>
      </c>
      <c r="G206" s="17" t="n">
        <v>250</v>
      </c>
      <c r="H206" s="17" t="s">
        <v>1797</v>
      </c>
      <c r="I206" s="17" t="s">
        <v>2350</v>
      </c>
      <c r="J206" s="17" t="s">
        <v>1853</v>
      </c>
      <c r="K206" s="17" t="s">
        <v>2351</v>
      </c>
      <c r="L206" s="17" t="s">
        <v>2352</v>
      </c>
      <c r="M206" s="18" t="s">
        <v>1802</v>
      </c>
      <c r="N206" s="17"/>
      <c r="O206" s="17" t="n">
        <v>0</v>
      </c>
    </row>
    <row r="207" customFormat="false" ht="17.15" hidden="false" customHeight="false" outlineLevel="0" collapsed="false">
      <c r="A207" s="0" t="s">
        <v>2353</v>
      </c>
      <c r="B207" s="0" t="s">
        <v>1638</v>
      </c>
      <c r="C207" s="0" t="s">
        <v>533</v>
      </c>
      <c r="D207" s="0" t="s">
        <v>1633</v>
      </c>
      <c r="E207" s="0" t="s">
        <v>22</v>
      </c>
      <c r="F207" s="0" t="s">
        <v>2354</v>
      </c>
      <c r="G207" s="9" t="n">
        <v>12.7</v>
      </c>
      <c r="H207" s="20" t="s">
        <v>1797</v>
      </c>
      <c r="I207" s="20" t="s">
        <v>2355</v>
      </c>
      <c r="J207" s="20" t="s">
        <v>1799</v>
      </c>
      <c r="K207" s="20" t="s">
        <v>2356</v>
      </c>
      <c r="L207" s="20" t="s">
        <v>2357</v>
      </c>
      <c r="M207" s="5" t="s">
        <v>1648</v>
      </c>
      <c r="O207" s="0" t="n">
        <v>1</v>
      </c>
    </row>
    <row r="208" customFormat="false" ht="17.15" hidden="false" customHeight="false" outlineLevel="0" collapsed="false">
      <c r="A208" s="0" t="s">
        <v>2358</v>
      </c>
      <c r="B208" s="0" t="s">
        <v>1638</v>
      </c>
      <c r="C208" s="0" t="s">
        <v>533</v>
      </c>
      <c r="D208" s="0" t="s">
        <v>1633</v>
      </c>
      <c r="E208" s="0" t="s">
        <v>22</v>
      </c>
      <c r="F208" s="0" t="s">
        <v>1681</v>
      </c>
      <c r="G208" s="9" t="n">
        <v>6.8</v>
      </c>
      <c r="H208" s="20" t="s">
        <v>1797</v>
      </c>
      <c r="I208" s="20" t="s">
        <v>2359</v>
      </c>
      <c r="J208" s="20" t="s">
        <v>1799</v>
      </c>
      <c r="K208" s="20" t="s">
        <v>2360</v>
      </c>
      <c r="L208" s="20" t="s">
        <v>2361</v>
      </c>
      <c r="M208" s="5" t="s">
        <v>1648</v>
      </c>
      <c r="O208" s="0" t="n">
        <v>1</v>
      </c>
    </row>
    <row r="209" customFormat="false" ht="17.15" hidden="false" customHeight="false" outlineLevel="0" collapsed="false">
      <c r="A209" s="0" t="s">
        <v>2362</v>
      </c>
      <c r="B209" s="0" t="s">
        <v>1638</v>
      </c>
      <c r="C209" s="0" t="s">
        <v>533</v>
      </c>
      <c r="D209" s="0" t="s">
        <v>1633</v>
      </c>
      <c r="E209" s="0" t="s">
        <v>22</v>
      </c>
      <c r="F209" s="0" t="s">
        <v>1657</v>
      </c>
      <c r="G209" s="9" t="n">
        <v>20.7</v>
      </c>
      <c r="H209" s="20" t="s">
        <v>1797</v>
      </c>
      <c r="I209" s="20" t="s">
        <v>2363</v>
      </c>
      <c r="J209" s="20" t="s">
        <v>1799</v>
      </c>
      <c r="K209" s="20" t="s">
        <v>2360</v>
      </c>
      <c r="L209" s="20" t="s">
        <v>2361</v>
      </c>
      <c r="M209" s="5" t="s">
        <v>1648</v>
      </c>
      <c r="O209" s="0" t="n">
        <v>1</v>
      </c>
    </row>
    <row r="210" customFormat="false" ht="17.15" hidden="false" customHeight="false" outlineLevel="0" collapsed="false">
      <c r="A210" s="0" t="s">
        <v>2364</v>
      </c>
      <c r="B210" s="0" t="s">
        <v>1638</v>
      </c>
      <c r="C210" s="0" t="s">
        <v>533</v>
      </c>
      <c r="D210" s="0" t="s">
        <v>1633</v>
      </c>
      <c r="E210" s="0" t="s">
        <v>22</v>
      </c>
      <c r="F210" s="0" t="s">
        <v>1686</v>
      </c>
      <c r="G210" s="9" t="n">
        <v>-13.9</v>
      </c>
      <c r="H210" s="20" t="s">
        <v>1797</v>
      </c>
      <c r="I210" s="20" t="s">
        <v>2365</v>
      </c>
      <c r="J210" s="20" t="s">
        <v>1810</v>
      </c>
      <c r="K210" s="20" t="s">
        <v>2366</v>
      </c>
      <c r="L210" s="20" t="s">
        <v>2361</v>
      </c>
      <c r="M210" s="5" t="s">
        <v>1648</v>
      </c>
      <c r="O210" s="0" t="n">
        <v>1</v>
      </c>
    </row>
    <row r="211" customFormat="false" ht="17.15" hidden="false" customHeight="false" outlineLevel="0" collapsed="false">
      <c r="A211" s="0" t="s">
        <v>2367</v>
      </c>
      <c r="B211" s="0" t="s">
        <v>1638</v>
      </c>
      <c r="C211" s="0" t="s">
        <v>533</v>
      </c>
      <c r="D211" s="0" t="s">
        <v>1974</v>
      </c>
      <c r="E211" s="0" t="s">
        <v>23</v>
      </c>
      <c r="F211" s="0" t="s">
        <v>2368</v>
      </c>
      <c r="G211" s="9" t="n">
        <v>20</v>
      </c>
      <c r="H211" s="20" t="s">
        <v>1797</v>
      </c>
      <c r="I211" s="20" t="s">
        <v>2369</v>
      </c>
      <c r="J211" s="20" t="s">
        <v>1799</v>
      </c>
      <c r="K211" s="20" t="s">
        <v>2370</v>
      </c>
      <c r="L211" s="20" t="s">
        <v>2361</v>
      </c>
      <c r="M211" s="5" t="s">
        <v>1656</v>
      </c>
      <c r="N211" s="20" t="s">
        <v>2371</v>
      </c>
      <c r="O211" s="0" t="n">
        <v>1</v>
      </c>
    </row>
    <row r="212" customFormat="false" ht="17.15" hidden="false" customHeight="false" outlineLevel="0" collapsed="false">
      <c r="A212" s="0" t="s">
        <v>2372</v>
      </c>
      <c r="B212" s="0" t="s">
        <v>1638</v>
      </c>
      <c r="C212" s="0" t="s">
        <v>533</v>
      </c>
      <c r="D212" s="0" t="s">
        <v>2373</v>
      </c>
      <c r="E212" s="0" t="s">
        <v>23</v>
      </c>
      <c r="F212" s="0" t="s">
        <v>1657</v>
      </c>
      <c r="G212" s="9" t="n">
        <v>10.1</v>
      </c>
      <c r="H212" s="20" t="s">
        <v>1797</v>
      </c>
      <c r="I212" s="5" t="s">
        <v>2374</v>
      </c>
      <c r="J212" s="20" t="s">
        <v>1799</v>
      </c>
      <c r="K212" s="20" t="s">
        <v>2366</v>
      </c>
      <c r="L212" s="20" t="s">
        <v>2361</v>
      </c>
      <c r="M212" s="5" t="s">
        <v>1648</v>
      </c>
      <c r="O212" s="0" t="n">
        <v>1</v>
      </c>
    </row>
    <row r="213" customFormat="false" ht="17.15" hidden="false" customHeight="false" outlineLevel="0" collapsed="false">
      <c r="A213" s="0" t="s">
        <v>2375</v>
      </c>
      <c r="B213" s="0" t="s">
        <v>1638</v>
      </c>
      <c r="C213" s="0" t="s">
        <v>533</v>
      </c>
      <c r="D213" s="0" t="s">
        <v>2376</v>
      </c>
      <c r="E213" s="0" t="s">
        <v>23</v>
      </c>
      <c r="F213" s="0" t="s">
        <v>1657</v>
      </c>
      <c r="G213" s="9" t="n">
        <v>18.4</v>
      </c>
      <c r="H213" s="20" t="s">
        <v>1797</v>
      </c>
      <c r="I213" s="5" t="s">
        <v>2377</v>
      </c>
      <c r="J213" s="20" t="s">
        <v>1853</v>
      </c>
      <c r="K213" s="20" t="s">
        <v>2378</v>
      </c>
      <c r="L213" s="20" t="s">
        <v>2379</v>
      </c>
      <c r="M213" s="5" t="s">
        <v>1648</v>
      </c>
      <c r="O213" s="0" t="n">
        <v>1</v>
      </c>
    </row>
    <row r="214" customFormat="false" ht="17.15" hidden="false" customHeight="false" outlineLevel="0" collapsed="false">
      <c r="A214" s="0" t="s">
        <v>2380</v>
      </c>
      <c r="B214" s="0" t="s">
        <v>1638</v>
      </c>
      <c r="C214" s="0" t="s">
        <v>533</v>
      </c>
      <c r="D214" s="0" t="s">
        <v>1634</v>
      </c>
      <c r="E214" s="0" t="s">
        <v>23</v>
      </c>
      <c r="F214" s="0" t="s">
        <v>1681</v>
      </c>
      <c r="G214" s="9" t="n">
        <v>3.47</v>
      </c>
      <c r="H214" s="20" t="s">
        <v>1797</v>
      </c>
      <c r="I214" s="5" t="s">
        <v>2381</v>
      </c>
      <c r="J214" s="20" t="s">
        <v>1853</v>
      </c>
      <c r="K214" s="20" t="s">
        <v>2382</v>
      </c>
      <c r="L214" s="20" t="s">
        <v>2383</v>
      </c>
      <c r="M214" s="5" t="s">
        <v>1648</v>
      </c>
      <c r="O214" s="0" t="n">
        <v>1</v>
      </c>
    </row>
    <row r="215" customFormat="false" ht="17.15" hidden="false" customHeight="false" outlineLevel="0" collapsed="false">
      <c r="A215" s="0" t="s">
        <v>2384</v>
      </c>
      <c r="B215" s="0" t="s">
        <v>1638</v>
      </c>
      <c r="C215" s="0" t="s">
        <v>533</v>
      </c>
      <c r="D215" s="0" t="s">
        <v>2385</v>
      </c>
      <c r="E215" s="0" t="s">
        <v>23</v>
      </c>
      <c r="F215" s="0" t="s">
        <v>1676</v>
      </c>
      <c r="G215" s="9" t="n">
        <v>75</v>
      </c>
      <c r="H215" s="20" t="s">
        <v>1797</v>
      </c>
      <c r="I215" s="20" t="s">
        <v>2386</v>
      </c>
      <c r="J215" s="20" t="s">
        <v>1853</v>
      </c>
      <c r="K215" s="20" t="s">
        <v>2387</v>
      </c>
      <c r="L215" s="20" t="s">
        <v>2388</v>
      </c>
      <c r="M215" s="5" t="s">
        <v>1648</v>
      </c>
      <c r="O215" s="0" t="n">
        <v>1</v>
      </c>
    </row>
    <row r="216" customFormat="false" ht="17.15" hidden="false" customHeight="false" outlineLevel="0" collapsed="false">
      <c r="A216" s="0" t="s">
        <v>2389</v>
      </c>
      <c r="B216" s="0" t="s">
        <v>1638</v>
      </c>
      <c r="C216" s="0" t="s">
        <v>533</v>
      </c>
      <c r="D216" s="0" t="s">
        <v>2285</v>
      </c>
      <c r="E216" s="0" t="s">
        <v>23</v>
      </c>
      <c r="F216" s="0" t="s">
        <v>1653</v>
      </c>
      <c r="G216" s="9" t="n">
        <v>25</v>
      </c>
      <c r="H216" s="20" t="s">
        <v>1797</v>
      </c>
      <c r="I216" s="5" t="s">
        <v>2390</v>
      </c>
      <c r="J216" s="20" t="s">
        <v>1853</v>
      </c>
      <c r="K216" s="20" t="s">
        <v>2378</v>
      </c>
      <c r="L216" s="20" t="s">
        <v>2379</v>
      </c>
      <c r="M216" s="5" t="s">
        <v>1648</v>
      </c>
      <c r="O216" s="0" t="n">
        <v>1</v>
      </c>
    </row>
    <row r="217" customFormat="false" ht="17.15" hidden="false" customHeight="false" outlineLevel="0" collapsed="false">
      <c r="A217" s="17" t="s">
        <v>2391</v>
      </c>
      <c r="B217" s="17" t="s">
        <v>2392</v>
      </c>
      <c r="C217" s="17"/>
      <c r="D217" s="17" t="s">
        <v>2205</v>
      </c>
      <c r="E217" s="17" t="s">
        <v>2393</v>
      </c>
      <c r="F217" s="17" t="s">
        <v>1676</v>
      </c>
      <c r="G217" s="17" t="n">
        <v>1.375</v>
      </c>
      <c r="H217" s="17" t="s">
        <v>1797</v>
      </c>
      <c r="I217" s="17" t="s">
        <v>2394</v>
      </c>
      <c r="J217" s="17" t="s">
        <v>1853</v>
      </c>
      <c r="K217" s="17" t="s">
        <v>2395</v>
      </c>
      <c r="L217" s="17" t="s">
        <v>2396</v>
      </c>
      <c r="M217" s="18" t="s">
        <v>1802</v>
      </c>
      <c r="N217" s="17"/>
      <c r="O217" s="17" t="n">
        <v>0</v>
      </c>
    </row>
    <row r="218" customFormat="false" ht="17.15" hidden="false" customHeight="false" outlineLevel="0" collapsed="false">
      <c r="A218" s="17" t="s">
        <v>2397</v>
      </c>
      <c r="B218" s="17" t="s">
        <v>2392</v>
      </c>
      <c r="C218" s="17"/>
      <c r="D218" s="17" t="s">
        <v>2398</v>
      </c>
      <c r="E218" s="17" t="s">
        <v>2393</v>
      </c>
      <c r="F218" s="17" t="s">
        <v>1676</v>
      </c>
      <c r="G218" s="17" t="n">
        <v>3</v>
      </c>
      <c r="H218" s="17" t="s">
        <v>1797</v>
      </c>
      <c r="I218" s="17" t="s">
        <v>2399</v>
      </c>
      <c r="J218" s="17" t="s">
        <v>1853</v>
      </c>
      <c r="K218" s="17" t="s">
        <v>2202</v>
      </c>
      <c r="L218" s="17" t="s">
        <v>2400</v>
      </c>
      <c r="M218" s="18" t="s">
        <v>1802</v>
      </c>
      <c r="N218" s="17"/>
      <c r="O218" s="17" t="n">
        <v>0</v>
      </c>
    </row>
    <row r="219" customFormat="false" ht="17.15" hidden="false" customHeight="false" outlineLevel="0" collapsed="false">
      <c r="A219" s="0" t="s">
        <v>2401</v>
      </c>
      <c r="B219" s="0" t="s">
        <v>2402</v>
      </c>
      <c r="D219" s="0" t="s">
        <v>2403</v>
      </c>
      <c r="E219" s="0" t="s">
        <v>2393</v>
      </c>
      <c r="F219" s="0" t="s">
        <v>1676</v>
      </c>
      <c r="G219" s="9" t="n">
        <v>2</v>
      </c>
      <c r="H219" s="20" t="s">
        <v>1797</v>
      </c>
      <c r="I219" s="20" t="s">
        <v>2404</v>
      </c>
      <c r="J219" s="20" t="s">
        <v>1853</v>
      </c>
      <c r="K219" s="20" t="s">
        <v>2405</v>
      </c>
      <c r="L219" s="20" t="s">
        <v>2406</v>
      </c>
      <c r="M219" s="5" t="s">
        <v>1648</v>
      </c>
      <c r="O219" s="0" t="n">
        <v>1</v>
      </c>
    </row>
    <row r="220" customFormat="false" ht="17.15" hidden="false" customHeight="false" outlineLevel="0" collapsed="false">
      <c r="A220" s="0" t="s">
        <v>2407</v>
      </c>
      <c r="B220" s="0" t="s">
        <v>2402</v>
      </c>
      <c r="D220" s="0" t="s">
        <v>2093</v>
      </c>
      <c r="E220" s="0" t="s">
        <v>2393</v>
      </c>
      <c r="F220" s="0" t="s">
        <v>1716</v>
      </c>
      <c r="G220" s="9" t="n">
        <v>1.4</v>
      </c>
      <c r="H220" s="20" t="s">
        <v>1797</v>
      </c>
      <c r="I220" s="20" t="s">
        <v>2408</v>
      </c>
      <c r="J220" s="20" t="s">
        <v>1853</v>
      </c>
      <c r="K220" s="20" t="s">
        <v>2405</v>
      </c>
      <c r="L220" s="20" t="s">
        <v>2406</v>
      </c>
      <c r="M220" s="5" t="s">
        <v>1648</v>
      </c>
      <c r="O220" s="0" t="n">
        <v>1</v>
      </c>
    </row>
    <row r="221" customFormat="false" ht="17.15" hidden="false" customHeight="false" outlineLevel="0" collapsed="false">
      <c r="A221" s="17" t="s">
        <v>2409</v>
      </c>
      <c r="B221" s="17" t="s">
        <v>2410</v>
      </c>
      <c r="C221" s="17"/>
      <c r="D221" s="17" t="s">
        <v>1660</v>
      </c>
      <c r="E221" s="17" t="s">
        <v>2393</v>
      </c>
      <c r="F221" s="17" t="s">
        <v>1716</v>
      </c>
      <c r="G221" s="17" t="n">
        <v>1.926</v>
      </c>
      <c r="H221" s="17" t="s">
        <v>1797</v>
      </c>
      <c r="I221" s="18" t="s">
        <v>2411</v>
      </c>
      <c r="J221" s="17" t="s">
        <v>1853</v>
      </c>
      <c r="K221" s="17" t="s">
        <v>2412</v>
      </c>
      <c r="L221" s="17" t="s">
        <v>2413</v>
      </c>
      <c r="M221" s="18" t="s">
        <v>1802</v>
      </c>
      <c r="N221" s="17"/>
      <c r="O221" s="17" t="n">
        <v>0</v>
      </c>
    </row>
    <row r="222" customFormat="false" ht="17.15" hidden="false" customHeight="false" outlineLevel="0" collapsed="false">
      <c r="A222" s="0" t="s">
        <v>2414</v>
      </c>
      <c r="B222" s="0" t="s">
        <v>2415</v>
      </c>
      <c r="D222" s="0" t="s">
        <v>2416</v>
      </c>
      <c r="E222" s="0" t="s">
        <v>2393</v>
      </c>
      <c r="F222" s="0" t="s">
        <v>1716</v>
      </c>
      <c r="G222" s="9" t="n">
        <v>3.6</v>
      </c>
      <c r="H222" s="20" t="s">
        <v>1797</v>
      </c>
      <c r="I222" s="5" t="s">
        <v>2417</v>
      </c>
      <c r="J222" s="20" t="s">
        <v>1853</v>
      </c>
      <c r="K222" s="20" t="s">
        <v>2418</v>
      </c>
      <c r="L222" s="20" t="s">
        <v>2419</v>
      </c>
      <c r="M222" s="5" t="s">
        <v>1648</v>
      </c>
      <c r="O222" s="0" t="n">
        <v>1</v>
      </c>
    </row>
    <row r="223" customFormat="false" ht="17.15" hidden="false" customHeight="false" outlineLevel="0" collapsed="false">
      <c r="A223" s="17" t="s">
        <v>2420</v>
      </c>
      <c r="B223" s="17" t="s">
        <v>2415</v>
      </c>
      <c r="C223" s="17"/>
      <c r="D223" s="17" t="s">
        <v>1859</v>
      </c>
      <c r="E223" s="17" t="s">
        <v>2393</v>
      </c>
      <c r="F223" s="17" t="s">
        <v>1670</v>
      </c>
      <c r="G223" s="17" t="n">
        <v>9.7</v>
      </c>
      <c r="H223" s="17" t="s">
        <v>1797</v>
      </c>
      <c r="I223" s="17" t="s">
        <v>2421</v>
      </c>
      <c r="J223" s="17" t="s">
        <v>1853</v>
      </c>
      <c r="K223" s="17" t="s">
        <v>2422</v>
      </c>
      <c r="L223" s="17" t="s">
        <v>1862</v>
      </c>
      <c r="M223" s="18" t="s">
        <v>1802</v>
      </c>
      <c r="N223" s="17"/>
      <c r="O223" s="17" t="n">
        <v>0</v>
      </c>
    </row>
    <row r="224" customFormat="false" ht="17.15" hidden="false" customHeight="false" outlineLevel="0" collapsed="false">
      <c r="A224" s="0" t="s">
        <v>2423</v>
      </c>
      <c r="B224" s="0" t="s">
        <v>2424</v>
      </c>
      <c r="D224" s="0" t="s">
        <v>2425</v>
      </c>
      <c r="E224" s="0" t="s">
        <v>2393</v>
      </c>
      <c r="F224" s="0" t="s">
        <v>1670</v>
      </c>
      <c r="G224" s="9" t="n">
        <v>43.364</v>
      </c>
      <c r="H224" s="20" t="s">
        <v>1797</v>
      </c>
      <c r="I224" s="5" t="s">
        <v>2426</v>
      </c>
      <c r="J224" s="20" t="s">
        <v>1799</v>
      </c>
      <c r="K224" s="20" t="s">
        <v>2427</v>
      </c>
      <c r="L224" s="20" t="s">
        <v>2428</v>
      </c>
      <c r="M224" s="5" t="s">
        <v>1648</v>
      </c>
      <c r="O224" s="0" t="n">
        <v>1</v>
      </c>
    </row>
    <row r="225" customFormat="false" ht="17.15" hidden="false" customHeight="false" outlineLevel="0" collapsed="false">
      <c r="A225" s="0" t="s">
        <v>2429</v>
      </c>
      <c r="B225" s="0" t="s">
        <v>2424</v>
      </c>
      <c r="D225" s="0" t="s">
        <v>2425</v>
      </c>
      <c r="E225" s="0" t="s">
        <v>2393</v>
      </c>
      <c r="F225" s="0" t="s">
        <v>1670</v>
      </c>
      <c r="G225" s="9" t="n">
        <v>27</v>
      </c>
      <c r="H225" s="20" t="s">
        <v>1797</v>
      </c>
      <c r="I225" s="5" t="s">
        <v>2430</v>
      </c>
      <c r="J225" s="20" t="s">
        <v>1799</v>
      </c>
      <c r="K225" s="20" t="s">
        <v>2431</v>
      </c>
      <c r="L225" s="20" t="s">
        <v>2428</v>
      </c>
      <c r="M225" s="5" t="s">
        <v>1648</v>
      </c>
      <c r="O225" s="0" t="n">
        <v>1</v>
      </c>
    </row>
    <row r="226" customFormat="false" ht="17.15" hidden="false" customHeight="false" outlineLevel="0" collapsed="false">
      <c r="A226" s="0" t="s">
        <v>2432</v>
      </c>
      <c r="B226" s="0" t="s">
        <v>2424</v>
      </c>
      <c r="D226" s="0" t="s">
        <v>2425</v>
      </c>
      <c r="E226" s="0" t="s">
        <v>2393</v>
      </c>
      <c r="F226" s="0" t="s">
        <v>1661</v>
      </c>
      <c r="G226" s="9" t="n">
        <v>3.5</v>
      </c>
      <c r="H226" s="20" t="s">
        <v>1797</v>
      </c>
      <c r="I226" s="5" t="s">
        <v>2433</v>
      </c>
      <c r="J226" s="20" t="s">
        <v>1799</v>
      </c>
      <c r="K226" s="20" t="s">
        <v>2431</v>
      </c>
      <c r="L226" s="20" t="s">
        <v>2428</v>
      </c>
      <c r="M226" s="5" t="s">
        <v>1648</v>
      </c>
      <c r="O226" s="0" t="n">
        <v>1</v>
      </c>
    </row>
    <row r="227" customFormat="false" ht="17.15" hidden="false" customHeight="false" outlineLevel="0" collapsed="false">
      <c r="A227" s="0" t="s">
        <v>2434</v>
      </c>
      <c r="B227" s="0" t="s">
        <v>2424</v>
      </c>
      <c r="D227" s="0" t="s">
        <v>2425</v>
      </c>
      <c r="E227" s="0" t="s">
        <v>2393</v>
      </c>
      <c r="F227" s="0" t="s">
        <v>1670</v>
      </c>
      <c r="G227" s="9" t="n">
        <v>30</v>
      </c>
      <c r="H227" s="20" t="s">
        <v>1797</v>
      </c>
      <c r="I227" s="5" t="s">
        <v>2435</v>
      </c>
      <c r="J227" s="20" t="s">
        <v>1799</v>
      </c>
      <c r="K227" s="20" t="s">
        <v>2431</v>
      </c>
      <c r="L227" s="20" t="s">
        <v>2428</v>
      </c>
      <c r="M227" s="5" t="s">
        <v>1648</v>
      </c>
      <c r="O227" s="0" t="n">
        <v>1</v>
      </c>
    </row>
    <row r="228" customFormat="false" ht="17.15" hidden="false" customHeight="false" outlineLevel="0" collapsed="false">
      <c r="A228" s="17" t="s">
        <v>2436</v>
      </c>
      <c r="B228" s="17" t="s">
        <v>2437</v>
      </c>
      <c r="C228" s="17"/>
      <c r="D228" s="17" t="s">
        <v>2438</v>
      </c>
      <c r="E228" s="17" t="s">
        <v>2393</v>
      </c>
      <c r="F228" s="17" t="s">
        <v>1670</v>
      </c>
      <c r="G228" s="17" t="n">
        <v>51.157</v>
      </c>
      <c r="H228" s="17" t="s">
        <v>1797</v>
      </c>
      <c r="I228" s="18" t="s">
        <v>2439</v>
      </c>
      <c r="J228" s="17" t="s">
        <v>1853</v>
      </c>
      <c r="K228" s="17" t="s">
        <v>2440</v>
      </c>
      <c r="L228" s="17" t="s">
        <v>2441</v>
      </c>
      <c r="M228" s="18" t="s">
        <v>1802</v>
      </c>
      <c r="N228" s="17"/>
      <c r="O228" s="17" t="n">
        <v>0</v>
      </c>
    </row>
    <row r="229" customFormat="false" ht="17.15" hidden="false" customHeight="false" outlineLevel="0" collapsed="false">
      <c r="A229" s="0" t="s">
        <v>2442</v>
      </c>
      <c r="B229" s="5" t="s">
        <v>2443</v>
      </c>
      <c r="D229" s="0" t="s">
        <v>2444</v>
      </c>
      <c r="E229" s="0" t="s">
        <v>2393</v>
      </c>
      <c r="F229" s="0" t="s">
        <v>1653</v>
      </c>
      <c r="G229" s="9" t="n">
        <v>194</v>
      </c>
      <c r="H229" s="20" t="s">
        <v>1797</v>
      </c>
      <c r="I229" s="20" t="s">
        <v>2445</v>
      </c>
      <c r="J229" s="20" t="s">
        <v>1853</v>
      </c>
      <c r="K229" s="20" t="s">
        <v>2446</v>
      </c>
      <c r="L229" s="20" t="s">
        <v>2447</v>
      </c>
      <c r="M229" s="5" t="s">
        <v>1648</v>
      </c>
      <c r="O229" s="0" t="n">
        <v>1</v>
      </c>
    </row>
    <row r="230" customFormat="false" ht="17.15" hidden="false" customHeight="false" outlineLevel="0" collapsed="false">
      <c r="A230" s="0" t="s">
        <v>2448</v>
      </c>
      <c r="B230" s="0" t="s">
        <v>1638</v>
      </c>
      <c r="C230" s="0" t="s">
        <v>533</v>
      </c>
      <c r="D230" s="0" t="s">
        <v>1633</v>
      </c>
      <c r="E230" s="0" t="s">
        <v>22</v>
      </c>
      <c r="F230" s="0" t="s">
        <v>1716</v>
      </c>
      <c r="G230" s="9" t="n">
        <v>16</v>
      </c>
      <c r="H230" s="20" t="s">
        <v>1797</v>
      </c>
      <c r="I230" s="20" t="s">
        <v>2449</v>
      </c>
      <c r="J230" s="20" t="s">
        <v>1799</v>
      </c>
      <c r="K230" s="20" t="s">
        <v>2356</v>
      </c>
      <c r="L230" s="20" t="s">
        <v>2357</v>
      </c>
      <c r="M230" s="5" t="s">
        <v>1648</v>
      </c>
      <c r="N230" s="5" t="s">
        <v>2450</v>
      </c>
      <c r="O230" s="0" t="n">
        <v>1</v>
      </c>
    </row>
    <row r="231" customFormat="false" ht="17.15" hidden="false" customHeight="false" outlineLevel="0" collapsed="false">
      <c r="A231" s="0" t="s">
        <v>2451</v>
      </c>
      <c r="B231" s="0" t="s">
        <v>1627</v>
      </c>
      <c r="C231" s="0" t="s">
        <v>504</v>
      </c>
      <c r="D231" s="0" t="s">
        <v>2452</v>
      </c>
      <c r="E231" s="0" t="s">
        <v>22</v>
      </c>
      <c r="F231" s="0" t="s">
        <v>1697</v>
      </c>
      <c r="G231" s="9" t="n">
        <v>92.7</v>
      </c>
      <c r="H231" s="20" t="s">
        <v>1797</v>
      </c>
      <c r="I231" s="5" t="s">
        <v>2453</v>
      </c>
      <c r="J231" s="20" t="s">
        <v>1799</v>
      </c>
      <c r="K231" s="20" t="s">
        <v>2454</v>
      </c>
      <c r="M231" s="5" t="s">
        <v>1648</v>
      </c>
      <c r="N231" s="20" t="s">
        <v>2455</v>
      </c>
      <c r="O231" s="0" t="n">
        <v>1</v>
      </c>
    </row>
    <row r="232" customFormat="false" ht="17.15" hidden="false" customHeight="false" outlineLevel="0" collapsed="false">
      <c r="A232" s="0" t="s">
        <v>2456</v>
      </c>
      <c r="B232" s="0" t="s">
        <v>1637</v>
      </c>
      <c r="C232" s="0" t="s">
        <v>528</v>
      </c>
      <c r="D232" s="0" t="s">
        <v>2089</v>
      </c>
      <c r="E232" s="0" t="s">
        <v>23</v>
      </c>
      <c r="F232" s="0" t="s">
        <v>1697</v>
      </c>
      <c r="G232" s="9" t="n">
        <v>260</v>
      </c>
      <c r="H232" s="20" t="s">
        <v>1797</v>
      </c>
      <c r="I232" s="5" t="s">
        <v>2453</v>
      </c>
      <c r="J232" s="20" t="s">
        <v>1853</v>
      </c>
      <c r="K232" s="20" t="s">
        <v>2454</v>
      </c>
      <c r="M232" s="5" t="s">
        <v>1648</v>
      </c>
      <c r="N232" s="20" t="s">
        <v>2457</v>
      </c>
      <c r="O232" s="0" t="n">
        <v>1</v>
      </c>
    </row>
    <row r="233" customFormat="false" ht="17.15" hidden="false" customHeight="false" outlineLevel="0" collapsed="false">
      <c r="A233" s="0" t="s">
        <v>2458</v>
      </c>
      <c r="B233" s="0" t="s">
        <v>1635</v>
      </c>
      <c r="C233" s="0" t="s">
        <v>517</v>
      </c>
      <c r="D233" s="0" t="s">
        <v>2144</v>
      </c>
      <c r="E233" s="0" t="s">
        <v>22</v>
      </c>
      <c r="F233" s="0" t="s">
        <v>1697</v>
      </c>
      <c r="G233" s="9" t="n">
        <v>96.4</v>
      </c>
      <c r="H233" s="20" t="s">
        <v>1797</v>
      </c>
      <c r="I233" s="5" t="s">
        <v>2453</v>
      </c>
      <c r="J233" s="20" t="s">
        <v>1799</v>
      </c>
      <c r="K233" s="20" t="s">
        <v>2454</v>
      </c>
      <c r="M233" s="5" t="s">
        <v>1648</v>
      </c>
      <c r="N233" s="20" t="s">
        <v>2459</v>
      </c>
      <c r="O23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2460</v>
      </c>
    </row>
    <row r="3" customFormat="false" ht="15" hidden="false" customHeight="false" outlineLevel="0" collapsed="false">
      <c r="A3" s="6" t="s">
        <v>14</v>
      </c>
      <c r="B3" s="6" t="s">
        <v>13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21" t="s">
        <v>2461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2462</v>
      </c>
      <c r="B5" s="0" t="s">
        <v>222</v>
      </c>
      <c r="C5" s="0" t="s">
        <v>224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2463</v>
      </c>
      <c r="B6" s="0" t="s">
        <v>2464</v>
      </c>
      <c r="C6" s="0" t="s">
        <v>224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2465</v>
      </c>
      <c r="B7" s="0" t="s">
        <v>235</v>
      </c>
      <c r="C7" s="0" t="s">
        <v>224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2466</v>
      </c>
      <c r="B8" s="0" t="s">
        <v>238</v>
      </c>
      <c r="C8" s="0" t="s">
        <v>224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2467</v>
      </c>
      <c r="B9" s="0" t="s">
        <v>241</v>
      </c>
      <c r="C9" s="0" t="s">
        <v>224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2468</v>
      </c>
      <c r="B10" s="0" t="s">
        <v>244</v>
      </c>
      <c r="C10" s="0" t="s">
        <v>224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2469</v>
      </c>
      <c r="B11" s="0" t="s">
        <v>2470</v>
      </c>
      <c r="C11" s="0" t="s">
        <v>224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2471</v>
      </c>
      <c r="B12" s="0" t="s">
        <v>250</v>
      </c>
      <c r="C12" s="0" t="s">
        <v>224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2472</v>
      </c>
      <c r="B13" s="0" t="s">
        <v>253</v>
      </c>
      <c r="C13" s="0" t="s">
        <v>224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2473</v>
      </c>
      <c r="B14" s="0" t="s">
        <v>2474</v>
      </c>
      <c r="C14" s="0" t="s">
        <v>224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2475</v>
      </c>
      <c r="C15" s="0" t="s">
        <v>224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2476</v>
      </c>
      <c r="B16" s="0" t="s">
        <v>2477</v>
      </c>
      <c r="C16" s="0" t="s">
        <v>224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2478</v>
      </c>
    </row>
    <row r="19" customFormat="false" ht="15" hidden="false" customHeight="false" outlineLevel="0" collapsed="false">
      <c r="A19" s="5" t="s">
        <v>2479</v>
      </c>
      <c r="C19" s="0" t="s">
        <v>76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2480</v>
      </c>
      <c r="C20" s="0" t="s">
        <v>76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2481</v>
      </c>
      <c r="C21" s="0" t="s">
        <v>76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2482</v>
      </c>
      <c r="C22" s="0" t="s">
        <v>271</v>
      </c>
      <c r="D22" s="29" t="n">
        <f aca="false">xfmr_gva</f>
        <v>2</v>
      </c>
      <c r="E22" s="29" t="n">
        <f aca="false">xfmr_gva</f>
        <v>2</v>
      </c>
      <c r="F22" s="29" t="n">
        <f aca="false">xfmr_gva</f>
        <v>2</v>
      </c>
      <c r="G22" s="29" t="n">
        <f aca="false">xfmr_gva</f>
        <v>2</v>
      </c>
      <c r="H22" s="29" t="n">
        <f aca="false">xfmr_gva</f>
        <v>2</v>
      </c>
      <c r="I22" s="29" t="n">
        <f aca="false">xfmr_gva</f>
        <v>2</v>
      </c>
      <c r="J22" s="29" t="n">
        <f aca="false">xfmr_gva</f>
        <v>2</v>
      </c>
      <c r="K22" s="29" t="n">
        <f aca="false">xfmr_gva</f>
        <v>2</v>
      </c>
      <c r="L22" s="29" t="n">
        <f aca="false">xfmr_gva</f>
        <v>2</v>
      </c>
      <c r="M22" s="29" t="n">
        <f aca="false">xfmr_gva</f>
        <v>2</v>
      </c>
    </row>
    <row r="24" customFormat="false" ht="17.15" hidden="false" customHeight="false" outlineLevel="0" collapsed="false">
      <c r="A24" s="21" t="s">
        <v>2483</v>
      </c>
    </row>
    <row r="25" customFormat="false" ht="17.15" hidden="false" customHeight="false" outlineLevel="0" collapsed="false">
      <c r="A25" s="5" t="s">
        <v>2484</v>
      </c>
      <c r="C25" s="0" t="s">
        <v>76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9.04912429484715</v>
      </c>
      <c r="G25" s="29" t="n">
        <f aca="false">MAX(0,Deploy!G19)</f>
        <v>12.3153714610592</v>
      </c>
      <c r="H25" s="29" t="n">
        <f aca="false">MAX(0,Deploy!H19)</f>
        <v>20.1572539260371</v>
      </c>
      <c r="I25" s="29" t="n">
        <f aca="false">MAX(0,Deploy!I19)</f>
        <v>25.2972927993498</v>
      </c>
      <c r="J25" s="29" t="n">
        <f aca="false">MAX(0,Deploy!J19)</f>
        <v>27.9314681049025</v>
      </c>
      <c r="K25" s="29" t="n">
        <f aca="false">MAX(0,Deploy!K19)</f>
        <v>28.580591340872</v>
      </c>
      <c r="L25" s="29" t="n">
        <f aca="false">MAX(0,Deploy!L19)</f>
        <v>24.9494803667106</v>
      </c>
      <c r="M25" s="29" t="n">
        <f aca="false">MAX(0,Deploy!M19)</f>
        <v>16.4568601332265</v>
      </c>
    </row>
    <row r="26" customFormat="false" ht="15" hidden="false" customHeight="false" outlineLevel="0" collapsed="false">
      <c r="A26" s="5" t="s">
        <v>2485</v>
      </c>
      <c r="B26" s="0" t="s">
        <v>2486</v>
      </c>
      <c r="C26" s="0" t="s">
        <v>388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31.4041972257009</v>
      </c>
      <c r="H26" s="32" t="n">
        <f aca="false">H$25*H5</f>
        <v>51.4009975113945</v>
      </c>
      <c r="I26" s="32" t="n">
        <f aca="false">I$25*I5</f>
        <v>64.5080966383419</v>
      </c>
      <c r="J26" s="32" t="n">
        <f aca="false">J$25*J5</f>
        <v>71.2252436675014</v>
      </c>
      <c r="K26" s="32" t="n">
        <f aca="false">K$25*K5</f>
        <v>72.8805079192237</v>
      </c>
      <c r="L26" s="32" t="n">
        <f aca="false">L$25*L5</f>
        <v>63.6211749351121</v>
      </c>
      <c r="M26" s="32" t="n">
        <f aca="false">M$25*M5</f>
        <v>41.9649933397275</v>
      </c>
    </row>
    <row r="27" customFormat="false" ht="17.15" hidden="false" customHeight="false" outlineLevel="0" collapsed="false">
      <c r="A27" s="5" t="s">
        <v>2487</v>
      </c>
      <c r="B27" s="0" t="s">
        <v>2488</v>
      </c>
      <c r="C27" s="0" t="s">
        <v>388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14.4785988717554</v>
      </c>
      <c r="G27" s="32" t="n">
        <f aca="false">G$25*G6</f>
        <v>19.7045943376947</v>
      </c>
      <c r="H27" s="32" t="n">
        <f aca="false">H$25*H6</f>
        <v>32.2516062816593</v>
      </c>
      <c r="I27" s="32" t="n">
        <f aca="false">I$25*I6</f>
        <v>40.4756684789596</v>
      </c>
      <c r="J27" s="32" t="n">
        <f aca="false">J$25*J6</f>
        <v>44.690348967844</v>
      </c>
      <c r="K27" s="32" t="n">
        <f aca="false">K$25*K6</f>
        <v>45.7289461453953</v>
      </c>
      <c r="L27" s="32" t="n">
        <f aca="false">L$25*L6</f>
        <v>39.919168586737</v>
      </c>
      <c r="M27" s="32" t="n">
        <f aca="false">M$25*M6</f>
        <v>26.3309762131624</v>
      </c>
    </row>
    <row r="28" customFormat="false" ht="17.15" hidden="false" customHeight="false" outlineLevel="0" collapsed="false">
      <c r="A28" s="5" t="s">
        <v>2489</v>
      </c>
      <c r="B28" s="0" t="s">
        <v>2490</v>
      </c>
      <c r="C28" s="0" t="s">
        <v>388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6.78684322113536</v>
      </c>
      <c r="G28" s="32" t="n">
        <f aca="false">G$25*G7</f>
        <v>9.23652859579439</v>
      </c>
      <c r="H28" s="32" t="n">
        <f aca="false">H$25*H7</f>
        <v>15.1179404445278</v>
      </c>
      <c r="I28" s="32" t="n">
        <f aca="false">I$25*I7</f>
        <v>18.9729695995123</v>
      </c>
      <c r="J28" s="32" t="n">
        <f aca="false">J$25*J7</f>
        <v>20.9486010786769</v>
      </c>
      <c r="K28" s="32" t="n">
        <f aca="false">K$25*K7</f>
        <v>21.435443505654</v>
      </c>
      <c r="L28" s="32" t="n">
        <f aca="false">L$25*L7</f>
        <v>18.712110275033</v>
      </c>
      <c r="M28" s="32" t="n">
        <f aca="false">M$25*M7</f>
        <v>12.3426450999199</v>
      </c>
    </row>
    <row r="29" customFormat="false" ht="15" hidden="false" customHeight="false" outlineLevel="0" collapsed="false">
      <c r="A29" s="5" t="s">
        <v>2491</v>
      </c>
      <c r="B29" s="0" t="s">
        <v>2492</v>
      </c>
      <c r="C29" s="0" t="s">
        <v>388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23.3992057760125</v>
      </c>
      <c r="H29" s="32" t="n">
        <f aca="false">H$25*H8</f>
        <v>38.2987824594704</v>
      </c>
      <c r="I29" s="32" t="n">
        <f aca="false">I$25*I8</f>
        <v>48.0648563187646</v>
      </c>
      <c r="J29" s="32" t="n">
        <f aca="false">J$25*J8</f>
        <v>53.0697893993147</v>
      </c>
      <c r="K29" s="32" t="n">
        <f aca="false">K$25*K8</f>
        <v>54.3031235476569</v>
      </c>
      <c r="L29" s="32" t="n">
        <f aca="false">L$25*L8</f>
        <v>47.4040126967502</v>
      </c>
      <c r="M29" s="32" t="n">
        <f aca="false">M$25*M8</f>
        <v>31.2680342531303</v>
      </c>
    </row>
    <row r="30" customFormat="false" ht="15" hidden="false" customHeight="false" outlineLevel="0" collapsed="false">
      <c r="A30" s="5" t="s">
        <v>2493</v>
      </c>
      <c r="B30" s="0" t="s">
        <v>2494</v>
      </c>
      <c r="C30" s="0" t="s">
        <v>388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20.9361314838006</v>
      </c>
      <c r="H30" s="32" t="n">
        <f aca="false">H$25*H9</f>
        <v>34.267331674263</v>
      </c>
      <c r="I30" s="32" t="n">
        <f aca="false">I$25*I9</f>
        <v>43.0053977588946</v>
      </c>
      <c r="J30" s="32" t="n">
        <f aca="false">J$25*J9</f>
        <v>47.4834957783342</v>
      </c>
      <c r="K30" s="32" t="n">
        <f aca="false">K$25*K9</f>
        <v>48.5870052794825</v>
      </c>
      <c r="L30" s="32" t="n">
        <f aca="false">L$25*L9</f>
        <v>42.4141166234081</v>
      </c>
      <c r="M30" s="32" t="n">
        <f aca="false">M$25*M9</f>
        <v>27.976662226485</v>
      </c>
    </row>
    <row r="31" customFormat="false" ht="15" hidden="false" customHeight="false" outlineLevel="0" collapsed="false">
      <c r="A31" s="5" t="s">
        <v>2495</v>
      </c>
      <c r="B31" s="0" t="s">
        <v>2496</v>
      </c>
      <c r="C31" s="0" t="s">
        <v>388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36.3303458101246</v>
      </c>
      <c r="H31" s="32" t="n">
        <f aca="false">H$25*H10</f>
        <v>59.4638990818093</v>
      </c>
      <c r="I31" s="32" t="n">
        <f aca="false">I$25*I10</f>
        <v>74.6270137580818</v>
      </c>
      <c r="J31" s="32" t="n">
        <f aca="false">J$25*J10</f>
        <v>82.3978309094624</v>
      </c>
      <c r="K31" s="32" t="n">
        <f aca="false">K$25*K10</f>
        <v>84.3127444555725</v>
      </c>
      <c r="L31" s="32" t="n">
        <f aca="false">L$25*L10</f>
        <v>73.6009670817964</v>
      </c>
      <c r="M31" s="32" t="n">
        <f aca="false">M$25*M10</f>
        <v>48.5477373930181</v>
      </c>
    </row>
    <row r="32" customFormat="false" ht="17.15" hidden="false" customHeight="false" outlineLevel="0" collapsed="false">
      <c r="A32" s="5" t="s">
        <v>2497</v>
      </c>
      <c r="B32" s="0" t="s">
        <v>2498</v>
      </c>
      <c r="C32" s="0" t="s">
        <v>388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</v>
      </c>
      <c r="G32" s="32" t="n">
        <f aca="false">G$25*G11</f>
        <v>8.62076002274143</v>
      </c>
      <c r="H32" s="32" t="n">
        <f aca="false">H$25*H11</f>
        <v>14.1100777482259</v>
      </c>
      <c r="I32" s="32" t="n">
        <f aca="false">I$25*I11</f>
        <v>17.7081049595448</v>
      </c>
      <c r="J32" s="32" t="n">
        <f aca="false">J$25*J11</f>
        <v>19.5520276734317</v>
      </c>
      <c r="K32" s="32" t="n">
        <f aca="false">K$25*K11</f>
        <v>20.0064139386104</v>
      </c>
      <c r="L32" s="32" t="n">
        <f aca="false">L$25*L11</f>
        <v>17.4646362566975</v>
      </c>
      <c r="M32" s="32" t="n">
        <f aca="false">M$25*M11</f>
        <v>11.5198020932585</v>
      </c>
    </row>
    <row r="33" customFormat="false" ht="17.15" hidden="false" customHeight="false" outlineLevel="0" collapsed="false">
      <c r="A33" s="5" t="s">
        <v>2499</v>
      </c>
      <c r="B33" s="0" t="s">
        <v>2500</v>
      </c>
      <c r="C33" s="0" t="s">
        <v>388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2.71473728845414</v>
      </c>
      <c r="G33" s="32" t="n">
        <f aca="false">G$25*G12</f>
        <v>3.69461143831776</v>
      </c>
      <c r="H33" s="32" t="n">
        <f aca="false">H$25*H12</f>
        <v>6.04717617781112</v>
      </c>
      <c r="I33" s="32" t="n">
        <f aca="false">I$25*I12</f>
        <v>7.58918783980493</v>
      </c>
      <c r="J33" s="32" t="n">
        <f aca="false">J$25*J12</f>
        <v>8.37944043147075</v>
      </c>
      <c r="K33" s="32" t="n">
        <f aca="false">K$25*K12</f>
        <v>8.57417740226161</v>
      </c>
      <c r="L33" s="32" t="n">
        <f aca="false">L$25*L12</f>
        <v>7.48484411001319</v>
      </c>
      <c r="M33" s="32" t="n">
        <f aca="false">M$25*M12</f>
        <v>4.93705803996795</v>
      </c>
    </row>
    <row r="34" customFormat="false" ht="15" hidden="false" customHeight="false" outlineLevel="0" collapsed="false">
      <c r="A34" s="5" t="s">
        <v>2501</v>
      </c>
      <c r="B34" s="0" t="s">
        <v>2502</v>
      </c>
      <c r="C34" s="0" t="s">
        <v>388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2.46307429221184</v>
      </c>
      <c r="H34" s="32" t="n">
        <f aca="false">H$25*H13</f>
        <v>4.03145078520741</v>
      </c>
      <c r="I34" s="32" t="n">
        <f aca="false">I$25*I13</f>
        <v>5.05945855986995</v>
      </c>
      <c r="J34" s="32" t="n">
        <f aca="false">J$25*J13</f>
        <v>5.5862936209805</v>
      </c>
      <c r="K34" s="32" t="n">
        <f aca="false">K$25*K13</f>
        <v>5.71611826817441</v>
      </c>
      <c r="L34" s="32" t="n">
        <f aca="false">L$25*L13</f>
        <v>4.98989607334213</v>
      </c>
      <c r="M34" s="32" t="n">
        <f aca="false">M$25*M13</f>
        <v>3.2913720266453</v>
      </c>
    </row>
    <row r="35" customFormat="false" ht="15" hidden="false" customHeight="false" outlineLevel="0" collapsed="false">
      <c r="A35" s="5" t="s">
        <v>2503</v>
      </c>
      <c r="B35" s="0" t="s">
        <v>2504</v>
      </c>
      <c r="C35" s="0" t="s">
        <v>388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0.2463074292212</v>
      </c>
      <c r="H35" s="32" t="n">
        <f aca="false">H$25*H14</f>
        <v>0.403145078520768</v>
      </c>
      <c r="I35" s="32" t="n">
        <f aca="false">I$25*I14</f>
        <v>0.505945855987029</v>
      </c>
      <c r="J35" s="32" t="n">
        <f aca="false">J$25*J14</f>
        <v>0.558629362098088</v>
      </c>
      <c r="K35" s="32" t="n">
        <f aca="false">K$25*K14</f>
        <v>0.571611826817479</v>
      </c>
      <c r="L35" s="32" t="n">
        <f aca="false">L$25*L14</f>
        <v>0.498989607334247</v>
      </c>
      <c r="M35" s="32" t="n">
        <f aca="false">M$25*M14</f>
        <v>0.329137202664552</v>
      </c>
    </row>
    <row r="36" customFormat="false" ht="17.15" hidden="false" customHeight="false" outlineLevel="0" collapsed="false">
      <c r="A36" s="5" t="s">
        <v>2505</v>
      </c>
      <c r="C36" s="0" t="s">
        <v>388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156.03575641162</v>
      </c>
      <c r="H36" s="32" t="n">
        <f aca="false">SUM(H26:H35)</f>
        <v>255.392407242889</v>
      </c>
      <c r="I36" s="32" t="n">
        <f aca="false">SUM(I26:I35)</f>
        <v>320.516699767762</v>
      </c>
      <c r="J36" s="32" t="n">
        <f aca="false">SUM(J26:J35)</f>
        <v>353.891700889115</v>
      </c>
      <c r="K36" s="32" t="n">
        <f aca="false">SUM(K26:K35)</f>
        <v>362.116092288849</v>
      </c>
      <c r="L36" s="32" t="n">
        <f aca="false">SUM(L26:L35)</f>
        <v>316.109916246224</v>
      </c>
      <c r="M36" s="32" t="n">
        <f aca="false">SUM(M26:M35)</f>
        <v>208.50841788798</v>
      </c>
    </row>
    <row r="37" customFormat="false" ht="17.15" hidden="false" customHeight="false" outlineLevel="0" collapsed="false">
      <c r="A37" s="5" t="s">
        <v>2506</v>
      </c>
      <c r="B37" s="0" t="s">
        <v>2507</v>
      </c>
      <c r="C37" s="0" t="s">
        <v>388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5.67492316925608</v>
      </c>
      <c r="H37" s="32" t="n">
        <f aca="false">H$25*self_sh*H16</f>
        <v>9.28846260911787</v>
      </c>
      <c r="I37" s="32" t="n">
        <f aca="false">I$25*self_sh*I16</f>
        <v>11.6569925219404</v>
      </c>
      <c r="J37" s="32" t="n">
        <f aca="false">J$25*self_sh*J16</f>
        <v>12.8708205027391</v>
      </c>
      <c r="K37" s="32" t="n">
        <f aca="false">K$25*self_sh*K16</f>
        <v>13.1699364898738</v>
      </c>
      <c r="L37" s="32" t="n">
        <f aca="false">L$25*self_sh*L16</f>
        <v>11.4967205529803</v>
      </c>
      <c r="M37" s="32" t="n">
        <f aca="false">M$25*self_sh*M16</f>
        <v>7.58332114939076</v>
      </c>
    </row>
    <row r="38" customFormat="false" ht="17.15" hidden="false" customHeight="false" outlineLevel="0" collapsed="false">
      <c r="A38" s="5" t="s">
        <v>2508</v>
      </c>
      <c r="C38" s="0" t="s">
        <v>76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14.4785988717554</v>
      </c>
      <c r="G38" s="32" t="n">
        <f aca="false">G$25*fac_gen_mult</f>
        <v>19.7045943376947</v>
      </c>
      <c r="H38" s="32" t="n">
        <f aca="false">H$25*fac_gen_mult</f>
        <v>32.2516062816593</v>
      </c>
      <c r="I38" s="32" t="n">
        <f aca="false">I$25*fac_gen_mult</f>
        <v>40.4756684789596</v>
      </c>
      <c r="J38" s="32" t="n">
        <f aca="false">J$25*fac_gen_mult</f>
        <v>44.690348967844</v>
      </c>
      <c r="K38" s="32" t="n">
        <f aca="false">K$25*fac_gen_mult</f>
        <v>45.7289461453953</v>
      </c>
      <c r="L38" s="32" t="n">
        <f aca="false">L$25*fac_gen_mult</f>
        <v>39.919168586737</v>
      </c>
      <c r="M38" s="32" t="n">
        <f aca="false">M$25*fac_gen_mult</f>
        <v>26.3309762131624</v>
      </c>
    </row>
    <row r="39" customFormat="false" ht="17.15" hidden="false" customHeight="false" outlineLevel="0" collapsed="false">
      <c r="A39" s="5" t="s">
        <v>2509</v>
      </c>
      <c r="C39" s="0" t="s">
        <v>76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3.54682698078505</v>
      </c>
      <c r="H39" s="32" t="n">
        <f aca="false">H$25*self_sh*self_gw</f>
        <v>5.80528913069867</v>
      </c>
      <c r="I39" s="32" t="n">
        <f aca="false">I$25*self_sh*self_gw</f>
        <v>7.28562032621273</v>
      </c>
      <c r="J39" s="32" t="n">
        <f aca="false">J$25*self_sh*self_gw</f>
        <v>8.04426281421192</v>
      </c>
      <c r="K39" s="32" t="n">
        <f aca="false">K$25*self_sh*self_gw</f>
        <v>8.23121030617115</v>
      </c>
      <c r="L39" s="32" t="n">
        <f aca="false">L$25*self_sh*self_gw</f>
        <v>7.18545034561267</v>
      </c>
      <c r="M39" s="32" t="n">
        <f aca="false">M$25*self_sh*self_gw</f>
        <v>4.73957571836923</v>
      </c>
    </row>
    <row r="41" customFormat="false" ht="17.15" hidden="false" customHeight="false" outlineLevel="0" collapsed="false">
      <c r="A41" s="21" t="s">
        <v>2510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2511</v>
      </c>
    </row>
    <row r="3" customFormat="false" ht="17.15" hidden="false" customHeight="false" outlineLevel="0" collapsed="false">
      <c r="A3" s="6" t="s">
        <v>2512</v>
      </c>
      <c r="B3" s="6" t="s">
        <v>13</v>
      </c>
      <c r="C3" s="7" t="s">
        <v>2513</v>
      </c>
      <c r="D3" s="7" t="s">
        <v>2514</v>
      </c>
      <c r="E3" s="6" t="s">
        <v>2515</v>
      </c>
      <c r="F3" s="6" t="s">
        <v>2516</v>
      </c>
    </row>
    <row r="4" customFormat="false" ht="17.15" hidden="false" customHeight="false" outlineLevel="0" collapsed="false">
      <c r="A4" s="5" t="s">
        <v>2517</v>
      </c>
      <c r="B4" s="0" t="s">
        <v>2518</v>
      </c>
      <c r="C4" s="38" t="n">
        <v>0.516</v>
      </c>
      <c r="D4" s="20" t="s">
        <v>2519</v>
      </c>
      <c r="E4" s="20" t="s">
        <v>2520</v>
      </c>
      <c r="F4" s="20" t="s">
        <v>2521</v>
      </c>
    </row>
    <row r="5" customFormat="false" ht="17.15" hidden="false" customHeight="false" outlineLevel="0" collapsed="false">
      <c r="A5" s="5" t="s">
        <v>2522</v>
      </c>
      <c r="B5" s="0" t="s">
        <v>2523</v>
      </c>
      <c r="C5" s="38" t="n">
        <v>0.135</v>
      </c>
      <c r="D5" s="20" t="s">
        <v>2524</v>
      </c>
      <c r="E5" s="20" t="s">
        <v>2525</v>
      </c>
      <c r="F5" s="20" t="s">
        <v>2521</v>
      </c>
    </row>
    <row r="6" customFormat="false" ht="17.15" hidden="false" customHeight="false" outlineLevel="0" collapsed="false">
      <c r="A6" s="5" t="s">
        <v>2526</v>
      </c>
      <c r="B6" s="0" t="s">
        <v>2527</v>
      </c>
      <c r="C6" s="38" t="n">
        <v>0.175</v>
      </c>
      <c r="D6" s="20" t="s">
        <v>2528</v>
      </c>
      <c r="E6" s="20" t="s">
        <v>2520</v>
      </c>
      <c r="F6" s="20" t="s">
        <v>2521</v>
      </c>
    </row>
    <row r="7" customFormat="false" ht="17.15" hidden="false" customHeight="false" outlineLevel="0" collapsed="false">
      <c r="A7" s="5" t="s">
        <v>2529</v>
      </c>
      <c r="B7" s="0" t="s">
        <v>2530</v>
      </c>
      <c r="C7" s="38" t="n">
        <v>0.054</v>
      </c>
      <c r="D7" s="20" t="s">
        <v>2531</v>
      </c>
      <c r="E7" s="20" t="s">
        <v>2520</v>
      </c>
      <c r="F7" s="20" t="s">
        <v>2521</v>
      </c>
    </row>
    <row r="8" customFormat="false" ht="17.15" hidden="false" customHeight="false" outlineLevel="0" collapsed="false">
      <c r="A8" s="5" t="s">
        <v>2532</v>
      </c>
      <c r="B8" s="0" t="s">
        <v>2533</v>
      </c>
      <c r="C8" s="38" t="n">
        <v>0.003</v>
      </c>
      <c r="D8" s="20" t="s">
        <v>2534</v>
      </c>
      <c r="E8" s="20" t="s">
        <v>2535</v>
      </c>
      <c r="F8" s="20" t="s">
        <v>2521</v>
      </c>
    </row>
    <row r="9" customFormat="false" ht="17.15" hidden="false" customHeight="false" outlineLevel="0" collapsed="false">
      <c r="A9" s="5" t="s">
        <v>2536</v>
      </c>
      <c r="B9" s="0" t="s">
        <v>2537</v>
      </c>
      <c r="C9" s="38" t="n">
        <v>0.063</v>
      </c>
      <c r="D9" s="20" t="s">
        <v>2538</v>
      </c>
      <c r="E9" s="20" t="s">
        <v>2539</v>
      </c>
      <c r="F9" s="20" t="s">
        <v>2521</v>
      </c>
    </row>
    <row r="10" customFormat="false" ht="17.15" hidden="false" customHeight="false" outlineLevel="0" collapsed="false">
      <c r="A10" s="5" t="s">
        <v>2540</v>
      </c>
      <c r="B10" s="0" t="s">
        <v>2541</v>
      </c>
      <c r="C10" s="38" t="n">
        <v>0.046</v>
      </c>
      <c r="D10" s="20" t="s">
        <v>2542</v>
      </c>
      <c r="E10" s="20" t="s">
        <v>2543</v>
      </c>
      <c r="F10" s="20" t="s">
        <v>2521</v>
      </c>
    </row>
    <row r="11" customFormat="false" ht="17.15" hidden="false" customHeight="false" outlineLevel="0" collapsed="false">
      <c r="A11" s="5" t="s">
        <v>2544</v>
      </c>
      <c r="B11" s="0" t="s">
        <v>2545</v>
      </c>
      <c r="C11" s="38" t="n">
        <v>0.008</v>
      </c>
      <c r="D11" s="20" t="s">
        <v>2546</v>
      </c>
      <c r="E11" s="20" t="s">
        <v>2520</v>
      </c>
      <c r="F11" s="20" t="s">
        <v>2521</v>
      </c>
    </row>
    <row r="12" customFormat="false" ht="17.15" hidden="false" customHeight="false" outlineLevel="0" collapsed="false">
      <c r="A12" s="21" t="s">
        <v>2547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2548</v>
      </c>
    </row>
    <row r="3" customFormat="false" ht="15" hidden="false" customHeight="false" outlineLevel="0" collapsed="false">
      <c r="A3" s="6" t="s">
        <v>14</v>
      </c>
      <c r="B3" s="6" t="s">
        <v>13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5" t="s">
        <v>2549</v>
      </c>
      <c r="C4" s="0" t="s">
        <v>76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9.04912429484715</v>
      </c>
      <c r="G4" s="29" t="n">
        <f aca="false">Facility!G25</f>
        <v>12.3153714610592</v>
      </c>
      <c r="H4" s="29" t="n">
        <f aca="false">Facility!H25</f>
        <v>20.1572539260371</v>
      </c>
      <c r="I4" s="29" t="n">
        <f aca="false">Facility!I25</f>
        <v>25.2972927993498</v>
      </c>
      <c r="J4" s="29" t="n">
        <f aca="false">Facility!J25</f>
        <v>27.9314681049025</v>
      </c>
      <c r="K4" s="29" t="n">
        <f aca="false">Facility!K25</f>
        <v>28.580591340872</v>
      </c>
      <c r="L4" s="29" t="n">
        <f aca="false">Facility!L25</f>
        <v>24.9494803667106</v>
      </c>
      <c r="M4" s="29" t="n">
        <f aca="false">Facility!M25</f>
        <v>16.4568601332265</v>
      </c>
    </row>
    <row r="5" customFormat="false" ht="17.15" hidden="false" customHeight="false" outlineLevel="0" collapsed="false">
      <c r="A5" s="5" t="s">
        <v>2550</v>
      </c>
      <c r="C5" s="0" t="s">
        <v>224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2551</v>
      </c>
    </row>
    <row r="8" customFormat="false" ht="15" hidden="false" customHeight="false" outlineLevel="0" collapsed="false">
      <c r="A8" s="5" t="s">
        <v>2552</v>
      </c>
      <c r="B8" s="0" t="s">
        <v>2553</v>
      </c>
      <c r="C8" s="0" t="s">
        <v>388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199.877174337859</v>
      </c>
      <c r="H8" s="32" t="n">
        <f aca="false">H$4*H$5*SEG_compute</f>
        <v>361.408958079326</v>
      </c>
      <c r="I8" s="32" t="n">
        <f aca="false">I$4*I$5*SEG_compute</f>
        <v>482.692638178589</v>
      </c>
      <c r="J8" s="32" t="n">
        <f aca="false">J$4*J$5*SEG_compute</f>
        <v>532.357525593599</v>
      </c>
      <c r="K8" s="32" t="n">
        <f aca="false">K$4*K$5*SEG_compute</f>
        <v>544.729436672824</v>
      </c>
      <c r="L8" s="32" t="n">
        <f aca="false">L$4*L$5*SEG_compute</f>
        <v>475.522574860178</v>
      </c>
      <c r="M8" s="32" t="n">
        <f aca="false">M$4*M$5*SEG_compute</f>
        <v>313.658176027872</v>
      </c>
    </row>
    <row r="9" customFormat="false" ht="15" hidden="false" customHeight="false" outlineLevel="0" collapsed="false">
      <c r="A9" s="5" t="s">
        <v>2554</v>
      </c>
      <c r="B9" s="0" t="s">
        <v>2555</v>
      </c>
      <c r="C9" s="0" t="s">
        <v>388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31.5330907844513</v>
      </c>
      <c r="G9" s="32" t="n">
        <f aca="false">G$4*G$5*SEG_memory</f>
        <v>52.2934467744399</v>
      </c>
      <c r="H9" s="32" t="n">
        <f aca="false">H$4*H$5*SEG_memory</f>
        <v>94.55466926494</v>
      </c>
      <c r="I9" s="32" t="n">
        <f aca="false">I$4*I$5*SEG_memory</f>
        <v>126.285864639747</v>
      </c>
      <c r="J9" s="32" t="n">
        <f aca="false">J$4*J$5*SEG_memory</f>
        <v>139.279585184372</v>
      </c>
      <c r="K9" s="32" t="n">
        <f aca="false">K$4*K$5*SEG_memory</f>
        <v>142.516422385332</v>
      </c>
      <c r="L9" s="32" t="n">
        <f aca="false">L$4*L$5*SEG_memory</f>
        <v>124.40997598086</v>
      </c>
      <c r="M9" s="32" t="n">
        <f aca="false">M$4*M$5*SEG_memory</f>
        <v>82.0617321003153</v>
      </c>
    </row>
    <row r="10" customFormat="false" ht="15" hidden="false" customHeight="false" outlineLevel="0" collapsed="false">
      <c r="A10" s="5" t="s">
        <v>2556</v>
      </c>
      <c r="B10" s="0" t="s">
        <v>2557</v>
      </c>
      <c r="C10" s="0" t="s">
        <v>388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40.8762287946591</v>
      </c>
      <c r="G10" s="32" t="n">
        <f aca="false">G$4*G$5*SEG_network</f>
        <v>67.787801374274</v>
      </c>
      <c r="H10" s="32" t="n">
        <f aca="false">H$4*H$5*SEG_network</f>
        <v>122.570867565663</v>
      </c>
      <c r="I10" s="32" t="n">
        <f aca="false">I$4*I$5*SEG_network</f>
        <v>163.70389860708</v>
      </c>
      <c r="J10" s="32" t="n">
        <f aca="false">J$4*J$5*SEG_network</f>
        <v>180.547610424186</v>
      </c>
      <c r="K10" s="32" t="n">
        <f aca="false">K$4*K$5*SEG_network</f>
        <v>184.743510499504</v>
      </c>
      <c r="L10" s="32" t="n">
        <f aca="false">L$4*L$5*SEG_network</f>
        <v>161.272191086301</v>
      </c>
      <c r="M10" s="32" t="n">
        <f aca="false">M$4*M$5*SEG_network</f>
        <v>106.376319389298</v>
      </c>
    </row>
    <row r="11" customFormat="false" ht="15" hidden="false" customHeight="false" outlineLevel="0" collapsed="false">
      <c r="A11" s="5" t="s">
        <v>2558</v>
      </c>
      <c r="B11" s="0" t="s">
        <v>2559</v>
      </c>
      <c r="C11" s="0" t="s">
        <v>388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20.917378709776</v>
      </c>
      <c r="H11" s="32" t="n">
        <f aca="false">H$4*H$5*SEG_foundry</f>
        <v>37.821867705976</v>
      </c>
      <c r="I11" s="32" t="n">
        <f aca="false">I$4*I$5*SEG_foundry</f>
        <v>50.5143458558989</v>
      </c>
      <c r="J11" s="32" t="n">
        <f aca="false">J$4*J$5*SEG_foundry</f>
        <v>55.7118340737487</v>
      </c>
      <c r="K11" s="32" t="n">
        <f aca="false">K$4*K$5*SEG_foundry</f>
        <v>57.0065689541327</v>
      </c>
      <c r="L11" s="32" t="n">
        <f aca="false">L$4*L$5*SEG_foundry</f>
        <v>49.7639903923442</v>
      </c>
      <c r="M11" s="32" t="n">
        <f aca="false">M$4*M$5*SEG_foundry</f>
        <v>32.8246928401261</v>
      </c>
    </row>
    <row r="12" customFormat="false" ht="17.15" hidden="false" customHeight="false" outlineLevel="0" collapsed="false">
      <c r="A12" s="5" t="s">
        <v>2560</v>
      </c>
      <c r="B12" s="0" t="s">
        <v>2561</v>
      </c>
      <c r="C12" s="0" t="s">
        <v>388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0.700735350765585</v>
      </c>
      <c r="G12" s="32" t="n">
        <f aca="false">G$4*G$5*SEG_substrate</f>
        <v>1.16207659498755</v>
      </c>
      <c r="H12" s="32" t="n">
        <f aca="false">H$4*H$5*SEG_substrate</f>
        <v>2.10121487255422</v>
      </c>
      <c r="I12" s="32" t="n">
        <f aca="false">I$4*I$5*SEG_substrate</f>
        <v>2.80635254754994</v>
      </c>
      <c r="J12" s="32" t="n">
        <f aca="false">J$4*J$5*SEG_substrate</f>
        <v>3.09510189298604</v>
      </c>
      <c r="K12" s="32" t="n">
        <f aca="false">K$4*K$5*SEG_substrate</f>
        <v>3.16703160856293</v>
      </c>
      <c r="L12" s="32" t="n">
        <f aca="false">L$4*L$5*SEG_substrate</f>
        <v>2.76466613290801</v>
      </c>
      <c r="M12" s="32" t="n">
        <f aca="false">M$4*M$5*SEG_substrate</f>
        <v>1.82359404667367</v>
      </c>
    </row>
    <row r="13" customFormat="false" ht="15" hidden="false" customHeight="false" outlineLevel="0" collapsed="false">
      <c r="A13" s="5" t="s">
        <v>2562</v>
      </c>
      <c r="B13" s="0" t="s">
        <v>2563</v>
      </c>
      <c r="C13" s="0" t="s">
        <v>388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24.4036084947386</v>
      </c>
      <c r="H13" s="32" t="n">
        <f aca="false">H$4*H$5*SEG_power_thermal</f>
        <v>44.1255123236386</v>
      </c>
      <c r="I13" s="32" t="n">
        <f aca="false">I$4*I$5*SEG_power_thermal</f>
        <v>58.9334034985487</v>
      </c>
      <c r="J13" s="32" t="n">
        <f aca="false">J$4*J$5*SEG_power_thermal</f>
        <v>64.9971397527068</v>
      </c>
      <c r="K13" s="32" t="n">
        <f aca="false">K$4*K$5*SEG_power_thermal</f>
        <v>66.5076637798215</v>
      </c>
      <c r="L13" s="32" t="n">
        <f aca="false">L$4*L$5*SEG_power_thermal</f>
        <v>58.0579887910682</v>
      </c>
      <c r="M13" s="32" t="n">
        <f aca="false">M$4*M$5*SEG_power_thermal</f>
        <v>38.2954749801472</v>
      </c>
    </row>
    <row r="14" customFormat="false" ht="15" hidden="false" customHeight="false" outlineLevel="0" collapsed="false">
      <c r="A14" s="5" t="s">
        <v>2564</v>
      </c>
      <c r="B14" s="0" t="s">
        <v>2565</v>
      </c>
      <c r="C14" s="0" t="s">
        <v>388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17.8185077898092</v>
      </c>
      <c r="H14" s="32" t="n">
        <f aca="false">H$4*H$5*SEG_server</f>
        <v>32.2186280458314</v>
      </c>
      <c r="I14" s="32" t="n">
        <f aca="false">I$4*I$5*SEG_server</f>
        <v>43.0307390624324</v>
      </c>
      <c r="J14" s="32" t="n">
        <f aca="false">J$4*J$5*SEG_server</f>
        <v>47.458229025786</v>
      </c>
      <c r="K14" s="32" t="n">
        <f aca="false">K$4*K$5*SEG_server</f>
        <v>48.5611513312982</v>
      </c>
      <c r="L14" s="32" t="n">
        <f aca="false">L$4*L$5*SEG_server</f>
        <v>42.3915473712561</v>
      </c>
      <c r="M14" s="32" t="n">
        <f aca="false">M$4*M$5*SEG_server</f>
        <v>27.9617753823297</v>
      </c>
    </row>
    <row r="15" customFormat="false" ht="15" hidden="false" customHeight="false" outlineLevel="0" collapsed="false">
      <c r="A15" s="5" t="s">
        <v>2566</v>
      </c>
      <c r="B15" s="0" t="s">
        <v>2567</v>
      </c>
      <c r="C15" s="0" t="s">
        <v>388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3.09887091996681</v>
      </c>
      <c r="H15" s="32" t="n">
        <f aca="false">H$4*H$5*SEG_storage</f>
        <v>5.60323966014459</v>
      </c>
      <c r="I15" s="32" t="n">
        <f aca="false">I$4*I$5*SEG_storage</f>
        <v>7.4836067934665</v>
      </c>
      <c r="J15" s="32" t="n">
        <f aca="false">J$4*J$5*SEG_storage</f>
        <v>8.25360504796277</v>
      </c>
      <c r="K15" s="32" t="n">
        <f aca="false">K$4*K$5*SEG_storage</f>
        <v>8.44541762283448</v>
      </c>
      <c r="L15" s="32" t="n">
        <f aca="false">L$4*L$5*SEG_storage</f>
        <v>7.37244302108802</v>
      </c>
      <c r="M15" s="32" t="n">
        <f aca="false">M$4*M$5*SEG_storage</f>
        <v>4.86291745779646</v>
      </c>
    </row>
    <row r="16" customFormat="false" ht="17.15" hidden="false" customHeight="false" outlineLevel="0" collapsed="false">
      <c r="A16" s="5" t="s">
        <v>2568</v>
      </c>
      <c r="C16" s="0" t="s">
        <v>388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387.358864995851</v>
      </c>
      <c r="H16" s="32" t="n">
        <f aca="false">SUM(H8:H15)</f>
        <v>700.404957518074</v>
      </c>
      <c r="I16" s="32" t="n">
        <f aca="false">SUM(I8:I15)</f>
        <v>935.450849183312</v>
      </c>
      <c r="J16" s="32" t="n">
        <f aca="false">SUM(J8:J15)</f>
        <v>1031.70063099535</v>
      </c>
      <c r="K16" s="32" t="n">
        <f aca="false">SUM(K8:K15)</f>
        <v>1055.67720285431</v>
      </c>
      <c r="L16" s="32" t="n">
        <f aca="false">SUM(L8:L15)</f>
        <v>921.555377636003</v>
      </c>
      <c r="M16" s="32" t="n">
        <f aca="false">SUM(M8:M15)</f>
        <v>607.864682224558</v>
      </c>
    </row>
    <row r="17" customFormat="false" ht="17.15" hidden="false" customHeight="false" outlineLevel="0" collapsed="false">
      <c r="A17" s="8" t="s">
        <v>2569</v>
      </c>
    </row>
    <row r="18" customFormat="false" ht="15" hidden="false" customHeight="false" outlineLevel="0" collapsed="false">
      <c r="A18" s="5" t="s">
        <v>2462</v>
      </c>
      <c r="B18" s="0" t="s">
        <v>222</v>
      </c>
      <c r="C18" s="0" t="s">
        <v>388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31.4041972257009</v>
      </c>
      <c r="H18" s="36" t="n">
        <f aca="false">Facility!H26</f>
        <v>51.4009975113945</v>
      </c>
      <c r="I18" s="36" t="n">
        <f aca="false">Facility!I26</f>
        <v>64.5080966383419</v>
      </c>
      <c r="J18" s="36" t="n">
        <f aca="false">Facility!J26</f>
        <v>71.2252436675014</v>
      </c>
      <c r="K18" s="36" t="n">
        <f aca="false">Facility!K26</f>
        <v>72.8805079192237</v>
      </c>
      <c r="L18" s="36" t="n">
        <f aca="false">Facility!L26</f>
        <v>63.6211749351121</v>
      </c>
      <c r="M18" s="36" t="n">
        <f aca="false">Facility!M26</f>
        <v>41.9649933397275</v>
      </c>
    </row>
    <row r="19" customFormat="false" ht="17.15" hidden="false" customHeight="false" outlineLevel="0" collapsed="false">
      <c r="A19" s="5" t="s">
        <v>2463</v>
      </c>
      <c r="B19" s="0" t="s">
        <v>2464</v>
      </c>
      <c r="C19" s="0" t="s">
        <v>388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14.4785988717554</v>
      </c>
      <c r="G19" s="36" t="n">
        <f aca="false">Facility!G27</f>
        <v>19.7045943376947</v>
      </c>
      <c r="H19" s="36" t="n">
        <f aca="false">Facility!H27</f>
        <v>32.2516062816593</v>
      </c>
      <c r="I19" s="36" t="n">
        <f aca="false">Facility!I27</f>
        <v>40.4756684789596</v>
      </c>
      <c r="J19" s="36" t="n">
        <f aca="false">Facility!J27</f>
        <v>44.690348967844</v>
      </c>
      <c r="K19" s="36" t="n">
        <f aca="false">Facility!K27</f>
        <v>45.7289461453953</v>
      </c>
      <c r="L19" s="36" t="n">
        <f aca="false">Facility!L27</f>
        <v>39.919168586737</v>
      </c>
      <c r="M19" s="36" t="n">
        <f aca="false">Facility!M27</f>
        <v>26.3309762131624</v>
      </c>
    </row>
    <row r="20" customFormat="false" ht="17.15" hidden="false" customHeight="false" outlineLevel="0" collapsed="false">
      <c r="A20" s="5" t="s">
        <v>2465</v>
      </c>
      <c r="B20" s="0" t="s">
        <v>235</v>
      </c>
      <c r="C20" s="0" t="s">
        <v>388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6.78684322113536</v>
      </c>
      <c r="G20" s="36" t="n">
        <f aca="false">Facility!G28</f>
        <v>9.23652859579439</v>
      </c>
      <c r="H20" s="36" t="n">
        <f aca="false">Facility!H28</f>
        <v>15.1179404445278</v>
      </c>
      <c r="I20" s="36" t="n">
        <f aca="false">Facility!I28</f>
        <v>18.9729695995123</v>
      </c>
      <c r="J20" s="36" t="n">
        <f aca="false">Facility!J28</f>
        <v>20.9486010786769</v>
      </c>
      <c r="K20" s="36" t="n">
        <f aca="false">Facility!K28</f>
        <v>21.435443505654</v>
      </c>
      <c r="L20" s="36" t="n">
        <f aca="false">Facility!L28</f>
        <v>18.712110275033</v>
      </c>
      <c r="M20" s="36" t="n">
        <f aca="false">Facility!M28</f>
        <v>12.3426450999199</v>
      </c>
    </row>
    <row r="21" customFormat="false" ht="15" hidden="false" customHeight="false" outlineLevel="0" collapsed="false">
      <c r="A21" s="5" t="s">
        <v>2466</v>
      </c>
      <c r="B21" s="0" t="s">
        <v>238</v>
      </c>
      <c r="C21" s="0" t="s">
        <v>388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23.3992057760125</v>
      </c>
      <c r="H21" s="36" t="n">
        <f aca="false">Facility!H29</f>
        <v>38.2987824594704</v>
      </c>
      <c r="I21" s="36" t="n">
        <f aca="false">Facility!I29</f>
        <v>48.0648563187646</v>
      </c>
      <c r="J21" s="36" t="n">
        <f aca="false">Facility!J29</f>
        <v>53.0697893993147</v>
      </c>
      <c r="K21" s="36" t="n">
        <f aca="false">Facility!K29</f>
        <v>54.3031235476569</v>
      </c>
      <c r="L21" s="36" t="n">
        <f aca="false">Facility!L29</f>
        <v>47.4040126967502</v>
      </c>
      <c r="M21" s="36" t="n">
        <f aca="false">Facility!M29</f>
        <v>31.2680342531303</v>
      </c>
    </row>
    <row r="22" customFormat="false" ht="15" hidden="false" customHeight="false" outlineLevel="0" collapsed="false">
      <c r="A22" s="5" t="s">
        <v>2467</v>
      </c>
      <c r="B22" s="0" t="s">
        <v>241</v>
      </c>
      <c r="C22" s="0" t="s">
        <v>388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20.9361314838006</v>
      </c>
      <c r="H22" s="36" t="n">
        <f aca="false">Facility!H30</f>
        <v>34.267331674263</v>
      </c>
      <c r="I22" s="36" t="n">
        <f aca="false">Facility!I30</f>
        <v>43.0053977588946</v>
      </c>
      <c r="J22" s="36" t="n">
        <f aca="false">Facility!J30</f>
        <v>47.4834957783342</v>
      </c>
      <c r="K22" s="36" t="n">
        <f aca="false">Facility!K30</f>
        <v>48.5870052794825</v>
      </c>
      <c r="L22" s="36" t="n">
        <f aca="false">Facility!L30</f>
        <v>42.4141166234081</v>
      </c>
      <c r="M22" s="36" t="n">
        <f aca="false">Facility!M30</f>
        <v>27.976662226485</v>
      </c>
    </row>
    <row r="23" customFormat="false" ht="15" hidden="false" customHeight="false" outlineLevel="0" collapsed="false">
      <c r="A23" s="5" t="s">
        <v>2468</v>
      </c>
      <c r="B23" s="0" t="s">
        <v>244</v>
      </c>
      <c r="C23" s="0" t="s">
        <v>388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36.3303458101246</v>
      </c>
      <c r="H23" s="36" t="n">
        <f aca="false">Facility!H31</f>
        <v>59.4638990818093</v>
      </c>
      <c r="I23" s="36" t="n">
        <f aca="false">Facility!I31</f>
        <v>74.6270137580818</v>
      </c>
      <c r="J23" s="36" t="n">
        <f aca="false">Facility!J31</f>
        <v>82.3978309094624</v>
      </c>
      <c r="K23" s="36" t="n">
        <f aca="false">Facility!K31</f>
        <v>84.3127444555725</v>
      </c>
      <c r="L23" s="36" t="n">
        <f aca="false">Facility!L31</f>
        <v>73.6009670817964</v>
      </c>
      <c r="M23" s="36" t="n">
        <f aca="false">Facility!M31</f>
        <v>48.5477373930181</v>
      </c>
    </row>
    <row r="24" customFormat="false" ht="17.15" hidden="false" customHeight="false" outlineLevel="0" collapsed="false">
      <c r="A24" s="5" t="s">
        <v>2469</v>
      </c>
      <c r="B24" s="0" t="s">
        <v>2470</v>
      </c>
      <c r="C24" s="0" t="s">
        <v>388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</v>
      </c>
      <c r="G24" s="36" t="n">
        <f aca="false">Facility!G32</f>
        <v>8.62076002274143</v>
      </c>
      <c r="H24" s="36" t="n">
        <f aca="false">Facility!H32</f>
        <v>14.1100777482259</v>
      </c>
      <c r="I24" s="36" t="n">
        <f aca="false">Facility!I32</f>
        <v>17.7081049595448</v>
      </c>
      <c r="J24" s="36" t="n">
        <f aca="false">Facility!J32</f>
        <v>19.5520276734317</v>
      </c>
      <c r="K24" s="36" t="n">
        <f aca="false">Facility!K32</f>
        <v>20.0064139386104</v>
      </c>
      <c r="L24" s="36" t="n">
        <f aca="false">Facility!L32</f>
        <v>17.4646362566975</v>
      </c>
      <c r="M24" s="36" t="n">
        <f aca="false">Facility!M32</f>
        <v>11.5198020932585</v>
      </c>
    </row>
    <row r="25" customFormat="false" ht="17.15" hidden="false" customHeight="false" outlineLevel="0" collapsed="false">
      <c r="A25" s="5" t="s">
        <v>2471</v>
      </c>
      <c r="B25" s="0" t="s">
        <v>250</v>
      </c>
      <c r="C25" s="0" t="s">
        <v>388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2.71473728845414</v>
      </c>
      <c r="G25" s="36" t="n">
        <f aca="false">Facility!G33</f>
        <v>3.69461143831776</v>
      </c>
      <c r="H25" s="36" t="n">
        <f aca="false">Facility!H33</f>
        <v>6.04717617781112</v>
      </c>
      <c r="I25" s="36" t="n">
        <f aca="false">Facility!I33</f>
        <v>7.58918783980493</v>
      </c>
      <c r="J25" s="36" t="n">
        <f aca="false">Facility!J33</f>
        <v>8.37944043147075</v>
      </c>
      <c r="K25" s="36" t="n">
        <f aca="false">Facility!K33</f>
        <v>8.57417740226161</v>
      </c>
      <c r="L25" s="36" t="n">
        <f aca="false">Facility!L33</f>
        <v>7.48484411001319</v>
      </c>
      <c r="M25" s="36" t="n">
        <f aca="false">Facility!M33</f>
        <v>4.93705803996795</v>
      </c>
    </row>
    <row r="26" customFormat="false" ht="15" hidden="false" customHeight="false" outlineLevel="0" collapsed="false">
      <c r="A26" s="5" t="s">
        <v>2472</v>
      </c>
      <c r="B26" s="0" t="s">
        <v>253</v>
      </c>
      <c r="C26" s="0" t="s">
        <v>388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2.46307429221184</v>
      </c>
      <c r="H26" s="36" t="n">
        <f aca="false">Facility!H34</f>
        <v>4.03145078520741</v>
      </c>
      <c r="I26" s="36" t="n">
        <f aca="false">Facility!I34</f>
        <v>5.05945855986995</v>
      </c>
      <c r="J26" s="36" t="n">
        <f aca="false">Facility!J34</f>
        <v>5.5862936209805</v>
      </c>
      <c r="K26" s="36" t="n">
        <f aca="false">Facility!K34</f>
        <v>5.71611826817441</v>
      </c>
      <c r="L26" s="36" t="n">
        <f aca="false">Facility!L34</f>
        <v>4.98989607334213</v>
      </c>
      <c r="M26" s="36" t="n">
        <f aca="false">Facility!M34</f>
        <v>3.2913720266453</v>
      </c>
    </row>
    <row r="27" customFormat="false" ht="15" hidden="false" customHeight="false" outlineLevel="0" collapsed="false">
      <c r="A27" s="5" t="s">
        <v>2570</v>
      </c>
      <c r="B27" s="0" t="s">
        <v>2474</v>
      </c>
      <c r="C27" s="0" t="s">
        <v>388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0.2463074292212</v>
      </c>
      <c r="H27" s="36" t="n">
        <f aca="false">Facility!H35</f>
        <v>0.403145078520768</v>
      </c>
      <c r="I27" s="36" t="n">
        <f aca="false">Facility!I35</f>
        <v>0.505945855987029</v>
      </c>
      <c r="J27" s="36" t="n">
        <f aca="false">Facility!J35</f>
        <v>0.558629362098088</v>
      </c>
      <c r="K27" s="36" t="n">
        <f aca="false">Facility!K35</f>
        <v>0.571611826817479</v>
      </c>
      <c r="L27" s="36" t="n">
        <f aca="false">Facility!L35</f>
        <v>0.498989607334247</v>
      </c>
      <c r="M27" s="36" t="n">
        <f aca="false">Facility!M35</f>
        <v>0.329137202664552</v>
      </c>
    </row>
    <row r="28" customFormat="false" ht="15" hidden="false" customHeight="false" outlineLevel="0" collapsed="false">
      <c r="A28" s="5" t="s">
        <v>2571</v>
      </c>
      <c r="C28" s="0" t="s">
        <v>388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156.03575641162</v>
      </c>
      <c r="H28" s="32" t="n">
        <f aca="false">SUM(H18:H27)</f>
        <v>255.392407242889</v>
      </c>
      <c r="I28" s="32" t="n">
        <f aca="false">SUM(I18:I27)</f>
        <v>320.516699767762</v>
      </c>
      <c r="J28" s="32" t="n">
        <f aca="false">SUM(J18:J27)</f>
        <v>353.891700889115</v>
      </c>
      <c r="K28" s="32" t="n">
        <f aca="false">SUM(K18:K27)</f>
        <v>362.116092288849</v>
      </c>
      <c r="L28" s="32" t="n">
        <f aca="false">SUM(L18:L27)</f>
        <v>316.109916246224</v>
      </c>
      <c r="M28" s="32" t="n">
        <f aca="false">SUM(M18:M27)</f>
        <v>208.50841788798</v>
      </c>
    </row>
    <row r="29" customFormat="false" ht="17.15" hidden="false" customHeight="false" outlineLevel="0" collapsed="false">
      <c r="A29" s="0" t="s">
        <v>2572</v>
      </c>
      <c r="B29" s="0" t="s">
        <v>2573</v>
      </c>
      <c r="C29" s="0" t="s">
        <v>388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5.67492316925608</v>
      </c>
      <c r="H29" s="36" t="n">
        <f aca="false">Facility!H37</f>
        <v>9.28846260911787</v>
      </c>
      <c r="I29" s="36" t="n">
        <f aca="false">Facility!I37</f>
        <v>11.6569925219404</v>
      </c>
      <c r="J29" s="36" t="n">
        <f aca="false">Facility!J37</f>
        <v>12.8708205027391</v>
      </c>
      <c r="K29" s="36" t="n">
        <f aca="false">Facility!K37</f>
        <v>13.1699364898738</v>
      </c>
      <c r="L29" s="36" t="n">
        <f aca="false">Facility!L37</f>
        <v>11.4967205529803</v>
      </c>
      <c r="M29" s="36" t="n">
        <f aca="false">Facility!M37</f>
        <v>7.58332114939076</v>
      </c>
    </row>
    <row r="30" customFormat="false" ht="17.15" hidden="false" customHeight="false" outlineLevel="0" collapsed="false">
      <c r="A30" s="21" t="s">
        <v>2574</v>
      </c>
      <c r="C30" s="20" t="s">
        <v>388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549.069544576727</v>
      </c>
      <c r="H30" s="39" t="n">
        <f aca="false">H16+H28+H29</f>
        <v>965.085827370081</v>
      </c>
      <c r="I30" s="39" t="n">
        <f aca="false">I16+I28+I29</f>
        <v>1267.62454147301</v>
      </c>
      <c r="J30" s="39" t="n">
        <f aca="false">J16+J28+J29</f>
        <v>1398.4631523872</v>
      </c>
      <c r="K30" s="39" t="n">
        <f aca="false">K16+K28+K29</f>
        <v>1430.96323163303</v>
      </c>
      <c r="L30" s="39" t="n">
        <f aca="false">L16+L28+L29</f>
        <v>1249.16201443521</v>
      </c>
      <c r="M30" s="39" t="n">
        <f aca="false">M16+M28+M29</f>
        <v>823.956421261928</v>
      </c>
    </row>
    <row r="31" customFormat="false" ht="17.15" hidden="false" customHeight="false" outlineLevel="0" collapsed="false">
      <c r="A31" s="5" t="s">
        <v>2575</v>
      </c>
      <c r="C31" s="0" t="s">
        <v>388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2576</v>
      </c>
    </row>
    <row r="2" customFormat="false" ht="17.15" hidden="false" customHeight="false" outlineLevel="0" collapsed="false">
      <c r="A2" s="5" t="s">
        <v>2577</v>
      </c>
    </row>
    <row r="3" customFormat="false" ht="17.15" hidden="false" customHeight="false" outlineLevel="0" collapsed="false">
      <c r="A3" s="40" t="s">
        <v>2578</v>
      </c>
    </row>
    <row r="4" customFormat="false" ht="15" hidden="false" customHeight="false" outlineLevel="0" collapsed="false">
      <c r="A4" s="6" t="s">
        <v>2579</v>
      </c>
      <c r="B4" s="6" t="s">
        <v>14</v>
      </c>
      <c r="C4" s="6" t="s">
        <v>16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6" t="s">
        <v>2580</v>
      </c>
    </row>
    <row r="5" customFormat="false" ht="17.15" hidden="false" customHeight="false" outlineLevel="0" collapsed="false">
      <c r="A5" s="40" t="s">
        <v>2578</v>
      </c>
    </row>
    <row r="6" customFormat="false" ht="17.15" hidden="false" customHeight="false" outlineLevel="0" collapsed="false">
      <c r="A6" s="8" t="s">
        <v>2581</v>
      </c>
    </row>
    <row r="7" customFormat="false" ht="17.15" hidden="false" customHeight="false" outlineLevel="0" collapsed="false">
      <c r="A7" s="0" t="s">
        <v>2582</v>
      </c>
      <c r="B7" s="5" t="s">
        <v>2583</v>
      </c>
      <c r="C7" s="5" t="s">
        <v>502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0.272241702398698</v>
      </c>
      <c r="H7" s="35" t="n">
        <f aca="false">Deploy!I106</f>
        <v>0.65572421230262</v>
      </c>
      <c r="I7" s="35" t="n">
        <f aca="false">Deploy!J106</f>
        <v>0.212485119246408</v>
      </c>
      <c r="J7" s="35" t="n">
        <f aca="false">Deploy!K106</f>
        <v>0.228778305316889</v>
      </c>
      <c r="K7" s="35" t="n">
        <f aca="false">Deploy!L106</f>
        <v>0.288781711722009</v>
      </c>
      <c r="L7" s="35" t="n">
        <f aca="false">Deploy!M106</f>
        <v>0.482514895916319</v>
      </c>
      <c r="M7" s="20" t="s">
        <v>2584</v>
      </c>
    </row>
    <row r="8" customFormat="false" ht="17.15" hidden="false" customHeight="false" outlineLevel="0" collapsed="false">
      <c r="A8" s="8" t="s">
        <v>2585</v>
      </c>
    </row>
    <row r="9" customFormat="false" ht="17.15" hidden="false" customHeight="false" outlineLevel="0" collapsed="false">
      <c r="A9" s="0" t="s">
        <v>2586</v>
      </c>
      <c r="B9" s="5" t="s">
        <v>2587</v>
      </c>
      <c r="C9" s="0" t="s">
        <v>76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37.6525147943925</v>
      </c>
      <c r="G9" s="27" t="n">
        <f aca="false">Deploy!H13</f>
        <v>57.8097687204296</v>
      </c>
      <c r="H9" s="27" t="n">
        <f aca="false">Deploy!I13</f>
        <v>83.1070615197793</v>
      </c>
      <c r="I9" s="27" t="n">
        <f aca="false">Deploy!J13</f>
        <v>111.038529624682</v>
      </c>
      <c r="J9" s="27" t="n">
        <f aca="false">Deploy!K13</f>
        <v>139.619120965554</v>
      </c>
      <c r="K9" s="27" t="n">
        <f aca="false">Deploy!L13</f>
        <v>164.568601332265</v>
      </c>
      <c r="L9" s="27" t="n">
        <f aca="false">Deploy!M13</f>
        <v>181.025461465491</v>
      </c>
      <c r="M9" s="20" t="s">
        <v>2588</v>
      </c>
    </row>
    <row r="10" customFormat="false" ht="17.15" hidden="false" customHeight="false" outlineLevel="0" collapsed="false">
      <c r="A10" s="0" t="s">
        <v>2589</v>
      </c>
      <c r="B10" s="5" t="s">
        <v>2590</v>
      </c>
      <c r="C10" s="0" t="s">
        <v>76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36.988055095226</v>
      </c>
      <c r="G10" s="27" t="n">
        <f aca="false">Deploy!H14</f>
        <v>54.2999826167064</v>
      </c>
      <c r="H10" s="27" t="n">
        <f aca="false">Deploy!I14</f>
        <v>76.8689852798931</v>
      </c>
      <c r="I10" s="27" t="n">
        <f aca="false">Deploy!J14</f>
        <v>105.838147706324</v>
      </c>
      <c r="J10" s="27" t="n">
        <f aca="false">Deploy!K14</f>
        <v>134.072217480901</v>
      </c>
      <c r="K10" s="27" t="n">
        <f aca="false">Deploy!L14</f>
        <v>160.20244226809</v>
      </c>
      <c r="L10" s="27" t="n">
        <f aca="false">Deploy!M14</f>
        <v>178.145510942176</v>
      </c>
      <c r="M10" s="20" t="s">
        <v>2591</v>
      </c>
    </row>
    <row r="11" customFormat="false" ht="17.15" hidden="false" customHeight="false" outlineLevel="0" collapsed="false">
      <c r="A11" s="0" t="s">
        <v>2592</v>
      </c>
      <c r="B11" s="5" t="s">
        <v>2593</v>
      </c>
      <c r="C11" s="0" t="s">
        <v>76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36.988055095226</v>
      </c>
      <c r="G11" s="27" t="n">
        <f aca="false">Deploy!H15</f>
        <v>47.6909154877809</v>
      </c>
      <c r="H11" s="27" t="n">
        <f aca="false">Deploy!I15</f>
        <v>68.5611042146184</v>
      </c>
      <c r="I11" s="27" t="n">
        <f aca="false">Deploy!J15</f>
        <v>103.364477210369</v>
      </c>
      <c r="J11" s="27" t="n">
        <f aca="false">Deploy!K15</f>
        <v>134.072217480901</v>
      </c>
      <c r="K11" s="27" t="n">
        <f aca="false">Deploy!L15</f>
        <v>160.20244226809</v>
      </c>
      <c r="L11" s="27" t="n">
        <f aca="false">Deploy!M15</f>
        <v>178.145510942176</v>
      </c>
      <c r="M11" s="20" t="s">
        <v>2594</v>
      </c>
    </row>
    <row r="12" customFormat="false" ht="17.15" hidden="false" customHeight="false" outlineLevel="0" collapsed="false">
      <c r="A12" s="0" t="s">
        <v>2595</v>
      </c>
      <c r="B12" s="5" t="s">
        <v>2596</v>
      </c>
      <c r="C12" s="0" t="s">
        <v>76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37.6525147943925</v>
      </c>
      <c r="G12" s="27" t="n">
        <f aca="false">Deploy!H29</f>
        <v>57.8097687204296</v>
      </c>
      <c r="H12" s="27" t="n">
        <f aca="false">Deploy!I29</f>
        <v>78.0476029599094</v>
      </c>
      <c r="I12" s="27" t="n">
        <f aca="false">Deploy!J29</f>
        <v>101.789350849077</v>
      </c>
      <c r="J12" s="27" t="n">
        <f aca="false">Deploy!K29</f>
        <v>125.824920091239</v>
      </c>
      <c r="K12" s="27" t="n">
        <f aca="false">Deploy!L29</f>
        <v>146.971716082197</v>
      </c>
      <c r="L12" s="27" t="n">
        <f aca="false">Deploy!M29</f>
        <v>161.668887690416</v>
      </c>
      <c r="M12" s="20" t="s">
        <v>2597</v>
      </c>
    </row>
    <row r="13" customFormat="false" ht="17.15" hidden="false" customHeight="false" outlineLevel="0" collapsed="false">
      <c r="A13" s="0" t="s">
        <v>2598</v>
      </c>
      <c r="B13" s="5" t="s">
        <v>2599</v>
      </c>
      <c r="C13" s="0" t="s">
        <v>76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36.988055095226</v>
      </c>
      <c r="G13" s="27" t="n">
        <f aca="false">Deploy!H30</f>
        <v>54.2999826167064</v>
      </c>
      <c r="H13" s="27" t="n">
        <f aca="false">Deploy!I30</f>
        <v>72.6949319680004</v>
      </c>
      <c r="I13" s="27" t="n">
        <f aca="false">Deploy!J30</f>
        <v>97.3221699684723</v>
      </c>
      <c r="J13" s="27" t="n">
        <f aca="false">Deploy!K30</f>
        <v>121.07339547386</v>
      </c>
      <c r="K13" s="27" t="n">
        <f aca="false">Deploy!L30</f>
        <v>143.271026783779</v>
      </c>
      <c r="L13" s="27" t="n">
        <f aca="false">Deploy!M30</f>
        <v>159.096882658978</v>
      </c>
      <c r="M13" s="20" t="s">
        <v>2600</v>
      </c>
    </row>
    <row r="14" customFormat="false" ht="17.15" hidden="false" customHeight="false" outlineLevel="0" collapsed="false">
      <c r="A14" s="0" t="s">
        <v>2601</v>
      </c>
      <c r="B14" s="5" t="s">
        <v>2602</v>
      </c>
      <c r="C14" s="0" t="s">
        <v>76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36.988055095226</v>
      </c>
      <c r="G14" s="27" t="n">
        <f aca="false">Deploy!H31</f>
        <v>47.6909154877809</v>
      </c>
      <c r="H14" s="27" t="n">
        <f aca="false">Deploy!I31</f>
        <v>66.0566722274828</v>
      </c>
      <c r="I14" s="27" t="n">
        <f aca="false">Deploy!J31</f>
        <v>95.2026615717087</v>
      </c>
      <c r="J14" s="27" t="n">
        <f aca="false">Deploy!K31</f>
        <v>121.07339547386</v>
      </c>
      <c r="K14" s="27" t="n">
        <f aca="false">Deploy!L31</f>
        <v>143.271026783779</v>
      </c>
      <c r="L14" s="27" t="n">
        <f aca="false">Deploy!M31</f>
        <v>159.096882658978</v>
      </c>
      <c r="M14" s="20" t="s">
        <v>2603</v>
      </c>
    </row>
    <row r="15" customFormat="false" ht="17.15" hidden="false" customHeight="false" outlineLevel="0" collapsed="false">
      <c r="A15" s="0" t="s">
        <v>2604</v>
      </c>
      <c r="B15" s="5" t="s">
        <v>2605</v>
      </c>
      <c r="C15" s="0" t="s">
        <v>76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37.6525147943925</v>
      </c>
      <c r="G15" s="27" t="n">
        <f aca="false">Deploy!H45</f>
        <v>57.8097687204296</v>
      </c>
      <c r="H15" s="27" t="n">
        <f aca="false">Deploy!I45</f>
        <v>72.9881444000394</v>
      </c>
      <c r="I15" s="27" t="n">
        <f aca="false">Deploy!J45</f>
        <v>89.7470252629809</v>
      </c>
      <c r="J15" s="27" t="n">
        <f aca="false">Deploy!K45</f>
        <v>106.476528948908</v>
      </c>
      <c r="K15" s="27" t="n">
        <f aca="false">Deploy!L45</f>
        <v>121.724358327346</v>
      </c>
      <c r="L15" s="27" t="n">
        <f aca="false">Deploy!M45</f>
        <v>133.896794160081</v>
      </c>
      <c r="M15" s="20" t="s">
        <v>2606</v>
      </c>
    </row>
    <row r="16" customFormat="false" ht="17.15" hidden="false" customHeight="false" outlineLevel="0" collapsed="false">
      <c r="A16" s="0" t="s">
        <v>2607</v>
      </c>
      <c r="B16" s="5" t="s">
        <v>2608</v>
      </c>
      <c r="C16" s="0" t="s">
        <v>76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36.988055095226</v>
      </c>
      <c r="G16" s="27" t="n">
        <f aca="false">Deploy!H46</f>
        <v>54.2999826167064</v>
      </c>
      <c r="H16" s="27" t="n">
        <f aca="false">Deploy!I46</f>
        <v>68.5208786561077</v>
      </c>
      <c r="I16" s="27" t="n">
        <f aca="false">Deploy!J46</f>
        <v>86.5018461119662</v>
      </c>
      <c r="J16" s="27" t="n">
        <f aca="false">Deploy!K46</f>
        <v>103.003565803871</v>
      </c>
      <c r="K16" s="27" t="n">
        <f aca="false">Deploy!L46</f>
        <v>119.055988186119</v>
      </c>
      <c r="L16" s="27" t="n">
        <f aca="false">Deploy!M46</f>
        <v>131.766617889352</v>
      </c>
      <c r="M16" s="20" t="s">
        <v>2609</v>
      </c>
    </row>
    <row r="17" customFormat="false" ht="17.15" hidden="false" customHeight="false" outlineLevel="0" collapsed="false">
      <c r="A17" s="0" t="s">
        <v>2610</v>
      </c>
      <c r="B17" s="5" t="s">
        <v>2611</v>
      </c>
      <c r="C17" s="0" t="s">
        <v>76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36.988055095226</v>
      </c>
      <c r="G17" s="27" t="n">
        <f aca="false">Deploy!H47</f>
        <v>47.6909154877809</v>
      </c>
      <c r="H17" s="27" t="n">
        <f aca="false">Deploy!I47</f>
        <v>63.5522402403472</v>
      </c>
      <c r="I17" s="27" t="n">
        <f aca="false">Deploy!J47</f>
        <v>84.7364998143935</v>
      </c>
      <c r="J17" s="27" t="n">
        <f aca="false">Deploy!K47</f>
        <v>103.003565803871</v>
      </c>
      <c r="K17" s="27" t="n">
        <f aca="false">Deploy!L47</f>
        <v>119.055988186119</v>
      </c>
      <c r="L17" s="27" t="n">
        <f aca="false">Deploy!M47</f>
        <v>131.766617889352</v>
      </c>
      <c r="M17" s="20" t="s">
        <v>2612</v>
      </c>
    </row>
    <row r="18" customFormat="false" ht="17.15" hidden="false" customHeight="false" outlineLevel="0" collapsed="false">
      <c r="A18" s="0" t="s">
        <v>2613</v>
      </c>
      <c r="B18" s="5" t="s">
        <v>2614</v>
      </c>
      <c r="C18" s="0" t="s">
        <v>76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31.4948290638629</v>
      </c>
      <c r="G18" s="27" t="n">
        <f aca="false">Deploy!H16</f>
        <v>47.7311417574111</v>
      </c>
      <c r="H18" s="27" t="n">
        <f aca="false">Deploy!I16</f>
        <v>70.4584151201045</v>
      </c>
      <c r="I18" s="27" t="n">
        <f aca="false">Deploy!J16</f>
        <v>97.0727955722306</v>
      </c>
      <c r="J18" s="27" t="n">
        <f aca="false">Deploy!K16</f>
        <v>125.328825295118</v>
      </c>
      <c r="K18" s="27" t="n">
        <f aca="false">Deploy!L16</f>
        <v>152.093861148909</v>
      </c>
      <c r="L18" s="27" t="n">
        <f aca="false">Deploy!M16</f>
        <v>172.797031398878</v>
      </c>
      <c r="M18" s="20" t="s">
        <v>2615</v>
      </c>
    </row>
    <row r="19" customFormat="false" ht="17.15" hidden="false" customHeight="false" outlineLevel="0" collapsed="false">
      <c r="A19" s="0" t="s">
        <v>2616</v>
      </c>
      <c r="B19" s="5" t="s">
        <v>2617</v>
      </c>
      <c r="C19" s="0" t="s">
        <v>76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31.1625992142797</v>
      </c>
      <c r="G19" s="27" t="n">
        <f aca="false">Deploy!H17</f>
        <v>45.6440188559662</v>
      </c>
      <c r="H19" s="27" t="n">
        <f aca="false">Deploy!I17</f>
        <v>65.5844839482998</v>
      </c>
      <c r="I19" s="27" t="n">
        <f aca="false">Deploy!J17</f>
        <v>91.3535664931085</v>
      </c>
      <c r="J19" s="27" t="n">
        <f aca="false">Deploy!K17</f>
        <v>119.955182593613</v>
      </c>
      <c r="K19" s="27" t="n">
        <f aca="false">Deploy!L17</f>
        <v>147.137329874496</v>
      </c>
      <c r="L19" s="27" t="n">
        <f aca="false">Deploy!M17</f>
        <v>169.173976605133</v>
      </c>
      <c r="M19" s="20" t="s">
        <v>2618</v>
      </c>
    </row>
    <row r="20" customFormat="false" ht="17.15" hidden="false" customHeight="false" outlineLevel="0" collapsed="false">
      <c r="A20" s="0" t="s">
        <v>2619</v>
      </c>
      <c r="B20" s="5" t="s">
        <v>2620</v>
      </c>
      <c r="C20" s="0" t="s">
        <v>76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31.1625992142797</v>
      </c>
      <c r="G20" s="27" t="n">
        <f aca="false">Deploy!H18</f>
        <v>42.3394852915034</v>
      </c>
      <c r="H20" s="27" t="n">
        <f aca="false">Deploy!I18</f>
        <v>58.1260098511997</v>
      </c>
      <c r="I20" s="27" t="n">
        <f aca="false">Deploy!J18</f>
        <v>85.9627907124939</v>
      </c>
      <c r="J20" s="27" t="n">
        <f aca="false">Deploy!K18</f>
        <v>118.718347345635</v>
      </c>
      <c r="K20" s="27" t="n">
        <f aca="false">Deploy!L18</f>
        <v>147.137329874496</v>
      </c>
      <c r="L20" s="27" t="n">
        <f aca="false">Deploy!M18</f>
        <v>169.173976605133</v>
      </c>
      <c r="M20" s="20" t="s">
        <v>2621</v>
      </c>
    </row>
    <row r="21" customFormat="false" ht="17.15" hidden="false" customHeight="false" outlineLevel="0" collapsed="false">
      <c r="A21" s="0" t="s">
        <v>2622</v>
      </c>
      <c r="B21" s="5" t="s">
        <v>2623</v>
      </c>
      <c r="C21" s="0" t="s">
        <v>76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31.4948290638629</v>
      </c>
      <c r="G21" s="27" t="n">
        <f aca="false">Deploy!H32</f>
        <v>47.7311417574111</v>
      </c>
      <c r="H21" s="27" t="n">
        <f aca="false">Deploy!I32</f>
        <v>67.9286858401695</v>
      </c>
      <c r="I21" s="27" t="n">
        <f aca="false">Deploy!J32</f>
        <v>89.9184769044929</v>
      </c>
      <c r="J21" s="27" t="n">
        <f aca="false">Deploy!K32</f>
        <v>113.807135470158</v>
      </c>
      <c r="K21" s="27" t="n">
        <f aca="false">Deploy!L32</f>
        <v>136.398318086718</v>
      </c>
      <c r="L21" s="27" t="n">
        <f aca="false">Deploy!M32</f>
        <v>154.320301886307</v>
      </c>
      <c r="M21" s="20" t="s">
        <v>2624</v>
      </c>
    </row>
    <row r="22" customFormat="false" ht="17.15" hidden="false" customHeight="false" outlineLevel="0" collapsed="false">
      <c r="A22" s="0" t="s">
        <v>2625</v>
      </c>
      <c r="B22" s="5" t="s">
        <v>2626</v>
      </c>
      <c r="C22" s="0" t="s">
        <v>76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31.1625992142797</v>
      </c>
      <c r="G22" s="27" t="n">
        <f aca="false">Deploy!H33</f>
        <v>45.6440188559662</v>
      </c>
      <c r="H22" s="27" t="n">
        <f aca="false">Deploy!I33</f>
        <v>63.4974572923534</v>
      </c>
      <c r="I22" s="27" t="n">
        <f aca="false">Deploy!J33</f>
        <v>85.0085509682363</v>
      </c>
      <c r="J22" s="27" t="n">
        <f aca="false">Deploy!K33</f>
        <v>109.197782721166</v>
      </c>
      <c r="K22" s="27" t="n">
        <f aca="false">Deploy!L33</f>
        <v>132.17221112882</v>
      </c>
      <c r="L22" s="27" t="n">
        <f aca="false">Deploy!M33</f>
        <v>151.183954721378</v>
      </c>
      <c r="M22" s="20" t="s">
        <v>2627</v>
      </c>
    </row>
    <row r="23" customFormat="false" ht="17.15" hidden="false" customHeight="false" outlineLevel="0" collapsed="false">
      <c r="A23" s="0" t="s">
        <v>2628</v>
      </c>
      <c r="B23" s="5" t="s">
        <v>2629</v>
      </c>
      <c r="C23" s="0" t="s">
        <v>76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31.1625992142797</v>
      </c>
      <c r="G23" s="27" t="n">
        <f aca="false">Deploy!H34</f>
        <v>42.3394852915034</v>
      </c>
      <c r="H23" s="27" t="n">
        <f aca="false">Deploy!I34</f>
        <v>56.8737938576318</v>
      </c>
      <c r="I23" s="27" t="n">
        <f aca="false">Deploy!J34</f>
        <v>80.6296668995958</v>
      </c>
      <c r="J23" s="27" t="n">
        <f aca="false">Deploy!K34</f>
        <v>108.138028522785</v>
      </c>
      <c r="K23" s="27" t="n">
        <f aca="false">Deploy!L34</f>
        <v>132.17221112882</v>
      </c>
      <c r="L23" s="27" t="n">
        <f aca="false">Deploy!M34</f>
        <v>151.183954721378</v>
      </c>
      <c r="M23" s="20" t="s">
        <v>2630</v>
      </c>
    </row>
    <row r="24" customFormat="false" ht="17.15" hidden="false" customHeight="false" outlineLevel="0" collapsed="false">
      <c r="A24" s="0" t="s">
        <v>2631</v>
      </c>
      <c r="B24" s="5" t="s">
        <v>2632</v>
      </c>
      <c r="C24" s="0" t="s">
        <v>76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31.4948290638629</v>
      </c>
      <c r="G24" s="27" t="n">
        <f aca="false">Deploy!H48</f>
        <v>47.7311417574111</v>
      </c>
      <c r="H24" s="27" t="n">
        <f aca="false">Deploy!I48</f>
        <v>65.3989565602345</v>
      </c>
      <c r="I24" s="27" t="n">
        <f aca="false">Deploy!J48</f>
        <v>81.3675848315102</v>
      </c>
      <c r="J24" s="27" t="n">
        <f aca="false">Deploy!K48</f>
        <v>98.1117771059443</v>
      </c>
      <c r="K24" s="27" t="n">
        <f aca="false">Deploy!L48</f>
        <v>114.100443638127</v>
      </c>
      <c r="L24" s="27" t="n">
        <f aca="false">Deploy!M48</f>
        <v>127.810576243713</v>
      </c>
      <c r="M24" s="20" t="s">
        <v>2633</v>
      </c>
    </row>
    <row r="25" customFormat="false" ht="17.15" hidden="false" customHeight="false" outlineLevel="0" collapsed="false">
      <c r="A25" s="0" t="s">
        <v>2634</v>
      </c>
      <c r="B25" s="5" t="s">
        <v>2635</v>
      </c>
      <c r="C25" s="0" t="s">
        <v>76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31.1625992142797</v>
      </c>
      <c r="G25" s="27" t="n">
        <f aca="false">Deploy!H49</f>
        <v>45.6440188559662</v>
      </c>
      <c r="H25" s="27" t="n">
        <f aca="false">Deploy!I49</f>
        <v>61.4104306364071</v>
      </c>
      <c r="I25" s="27" t="n">
        <f aca="false">Deploy!J49</f>
        <v>77.5113623840369</v>
      </c>
      <c r="J25" s="27" t="n">
        <f aca="false">Deploy!K49</f>
        <v>94.7527059579183</v>
      </c>
      <c r="K25" s="27" t="n">
        <f aca="false">Deploy!L49</f>
        <v>111.029776994995</v>
      </c>
      <c r="L25" s="27" t="n">
        <f aca="false">Deploy!M49</f>
        <v>125.411303037736</v>
      </c>
      <c r="M25" s="20" t="s">
        <v>2636</v>
      </c>
    </row>
    <row r="26" customFormat="false" ht="17.15" hidden="false" customHeight="false" outlineLevel="0" collapsed="false">
      <c r="A26" s="0" t="s">
        <v>2637</v>
      </c>
      <c r="B26" s="5" t="s">
        <v>2638</v>
      </c>
      <c r="C26" s="0" t="s">
        <v>76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31.1625992142797</v>
      </c>
      <c r="G26" s="27" t="n">
        <f aca="false">Deploy!H50</f>
        <v>42.3394852915034</v>
      </c>
      <c r="H26" s="27" t="n">
        <f aca="false">Deploy!I50</f>
        <v>55.621577864064</v>
      </c>
      <c r="I26" s="27" t="n">
        <f aca="false">Deploy!J50</f>
        <v>74.1443700273703</v>
      </c>
      <c r="J26" s="27" t="n">
        <f aca="false">Deploy!K50</f>
        <v>93.870032809132</v>
      </c>
      <c r="K26" s="27" t="n">
        <f aca="false">Deploy!L50</f>
        <v>111.029776994995</v>
      </c>
      <c r="L26" s="27" t="n">
        <f aca="false">Deploy!M50</f>
        <v>125.411303037736</v>
      </c>
      <c r="M26" s="20" t="s">
        <v>2639</v>
      </c>
    </row>
    <row r="27" customFormat="false" ht="17.15" hidden="false" customHeight="false" outlineLevel="0" collapsed="false">
      <c r="A27" s="0" t="s">
        <v>2640</v>
      </c>
      <c r="B27" s="5" t="s">
        <v>2641</v>
      </c>
      <c r="C27" s="0" t="s">
        <v>76</v>
      </c>
      <c r="D27" s="27" t="n">
        <f aca="false">Deploy!E19</f>
        <v>1.61980834349181</v>
      </c>
      <c r="E27" s="27" t="n">
        <f aca="false">Deploy!F19</f>
        <v>9.04912429484715</v>
      </c>
      <c r="F27" s="27" t="n">
        <f aca="false">Deploy!G19</f>
        <v>12.3153714610592</v>
      </c>
      <c r="G27" s="27" t="n">
        <f aca="false">Deploy!H19</f>
        <v>20.1572539260371</v>
      </c>
      <c r="H27" s="27" t="n">
        <f aca="false">Deploy!I19</f>
        <v>25.2972927993498</v>
      </c>
      <c r="I27" s="27" t="n">
        <f aca="false">Deploy!J19</f>
        <v>27.9314681049025</v>
      </c>
      <c r="J27" s="27" t="n">
        <f aca="false">Deploy!K19</f>
        <v>28.580591340872</v>
      </c>
      <c r="K27" s="27" t="n">
        <f aca="false">Deploy!L19</f>
        <v>24.9494803667106</v>
      </c>
      <c r="L27" s="27" t="n">
        <f aca="false">Deploy!M19</f>
        <v>16.4568601332265</v>
      </c>
      <c r="M27" s="20" t="s">
        <v>2642</v>
      </c>
    </row>
    <row r="28" customFormat="false" ht="17.15" hidden="false" customHeight="false" outlineLevel="0" collapsed="false">
      <c r="A28" s="0" t="s">
        <v>2643</v>
      </c>
      <c r="B28" s="5" t="s">
        <v>2644</v>
      </c>
      <c r="C28" s="0" t="s">
        <v>76</v>
      </c>
      <c r="D28" s="27" t="n">
        <f aca="false">Deploy!E20</f>
        <v>1.61980834349181</v>
      </c>
      <c r="E28" s="27" t="n">
        <f aca="false">Deploy!F20</f>
        <v>9.04912429484715</v>
      </c>
      <c r="F28" s="27" t="n">
        <f aca="false">Deploy!G20</f>
        <v>11.6509117618926</v>
      </c>
      <c r="G28" s="27" t="n">
        <f aca="false">Deploy!H20</f>
        <v>17.3119275214805</v>
      </c>
      <c r="H28" s="27" t="n">
        <f aca="false">Deploy!I20</f>
        <v>22.5690026631867</v>
      </c>
      <c r="I28" s="27" t="n">
        <f aca="false">Deploy!J20</f>
        <v>28.9691624264308</v>
      </c>
      <c r="J28" s="27" t="n">
        <f aca="false">Deploy!K20</f>
        <v>28.2340697745774</v>
      </c>
      <c r="K28" s="27" t="n">
        <f aca="false">Deploy!L20</f>
        <v>26.1302247871889</v>
      </c>
      <c r="L28" s="27" t="n">
        <f aca="false">Deploy!M20</f>
        <v>17.9430686740862</v>
      </c>
      <c r="M28" s="20" t="s">
        <v>2645</v>
      </c>
    </row>
    <row r="29" customFormat="false" ht="17.15" hidden="false" customHeight="false" outlineLevel="0" collapsed="false">
      <c r="A29" s="0" t="s">
        <v>2646</v>
      </c>
      <c r="B29" s="5" t="s">
        <v>2647</v>
      </c>
      <c r="C29" s="0" t="s">
        <v>76</v>
      </c>
      <c r="D29" s="27" t="n">
        <f aca="false">Deploy!E21</f>
        <v>1.61980834349181</v>
      </c>
      <c r="E29" s="27" t="n">
        <f aca="false">Deploy!F21</f>
        <v>9.04912429484715</v>
      </c>
      <c r="F29" s="27" t="n">
        <f aca="false">Deploy!G21</f>
        <v>11.6509117618926</v>
      </c>
      <c r="G29" s="27" t="n">
        <f aca="false">Deploy!H21</f>
        <v>10.7028603925549</v>
      </c>
      <c r="H29" s="27" t="n">
        <f aca="false">Deploy!I21</f>
        <v>20.8701887268376</v>
      </c>
      <c r="I29" s="27" t="n">
        <f aca="false">Deploy!J21</f>
        <v>34.803372995751</v>
      </c>
      <c r="J29" s="27" t="n">
        <f aca="false">Deploy!K21</f>
        <v>30.7077402705319</v>
      </c>
      <c r="K29" s="27" t="n">
        <f aca="false">Deploy!L21</f>
        <v>26.1302247871889</v>
      </c>
      <c r="L29" s="27" t="n">
        <f aca="false">Deploy!M21</f>
        <v>17.9430686740862</v>
      </c>
      <c r="M29" s="20" t="s">
        <v>2648</v>
      </c>
    </row>
    <row r="30" customFormat="false" ht="17.15" hidden="false" customHeight="false" outlineLevel="0" collapsed="false">
      <c r="A30" s="0" t="s">
        <v>2649</v>
      </c>
      <c r="B30" s="5" t="s">
        <v>2650</v>
      </c>
      <c r="C30" s="0" t="s">
        <v>76</v>
      </c>
      <c r="D30" s="27" t="n">
        <f aca="false">Deploy!E35</f>
        <v>1.61980834349181</v>
      </c>
      <c r="E30" s="27" t="n">
        <f aca="false">Deploy!F35</f>
        <v>9.04912429484715</v>
      </c>
      <c r="F30" s="27" t="n">
        <f aca="false">Deploy!G35</f>
        <v>12.3153714610592</v>
      </c>
      <c r="G30" s="27" t="n">
        <f aca="false">Deploy!H35</f>
        <v>20.1572539260371</v>
      </c>
      <c r="H30" s="27" t="n">
        <f aca="false">Deploy!I35</f>
        <v>20.2378342394798</v>
      </c>
      <c r="I30" s="27" t="n">
        <f aca="false">Deploy!J35</f>
        <v>23.7417478891671</v>
      </c>
      <c r="J30" s="27" t="n">
        <f aca="false">Deploy!K35</f>
        <v>24.0355692421623</v>
      </c>
      <c r="K30" s="27" t="n">
        <f aca="false">Deploy!L35</f>
        <v>21.1467959909579</v>
      </c>
      <c r="L30" s="27" t="n">
        <f aca="false">Deploy!M35</f>
        <v>14.6971716082197</v>
      </c>
      <c r="M30" s="20" t="s">
        <v>2651</v>
      </c>
    </row>
    <row r="31" customFormat="false" ht="17.15" hidden="false" customHeight="false" outlineLevel="0" collapsed="false">
      <c r="A31" s="0" t="s">
        <v>2652</v>
      </c>
      <c r="B31" s="5" t="s">
        <v>2653</v>
      </c>
      <c r="C31" s="0" t="s">
        <v>76</v>
      </c>
      <c r="D31" s="27" t="n">
        <f aca="false">Deploy!E36</f>
        <v>1.61980834349181</v>
      </c>
      <c r="E31" s="27" t="n">
        <f aca="false">Deploy!F36</f>
        <v>9.04912429484715</v>
      </c>
      <c r="F31" s="27" t="n">
        <f aca="false">Deploy!G36</f>
        <v>11.6509117618926</v>
      </c>
      <c r="G31" s="27" t="n">
        <f aca="false">Deploy!H36</f>
        <v>17.3119275214805</v>
      </c>
      <c r="H31" s="27" t="n">
        <f aca="false">Deploy!I36</f>
        <v>18.394949351294</v>
      </c>
      <c r="I31" s="27" t="n">
        <f aca="false">Deploy!J36</f>
        <v>24.6272380004719</v>
      </c>
      <c r="J31" s="27" t="n">
        <f aca="false">Deploy!K36</f>
        <v>23.7512255053881</v>
      </c>
      <c r="K31" s="27" t="n">
        <f aca="false">Deploy!L36</f>
        <v>22.1976313099187</v>
      </c>
      <c r="L31" s="27" t="n">
        <f aca="false">Deploy!M36</f>
        <v>15.8258558751989</v>
      </c>
      <c r="M31" s="20" t="s">
        <v>2654</v>
      </c>
    </row>
    <row r="32" customFormat="false" ht="17.15" hidden="false" customHeight="false" outlineLevel="0" collapsed="false">
      <c r="A32" s="0" t="s">
        <v>2655</v>
      </c>
      <c r="B32" s="5" t="s">
        <v>2656</v>
      </c>
      <c r="C32" s="0" t="s">
        <v>76</v>
      </c>
      <c r="D32" s="27" t="n">
        <f aca="false">Deploy!E37</f>
        <v>1.61980834349181</v>
      </c>
      <c r="E32" s="27" t="n">
        <f aca="false">Deploy!F37</f>
        <v>9.04912429484715</v>
      </c>
      <c r="F32" s="27" t="n">
        <f aca="false">Deploy!G37</f>
        <v>11.6509117618926</v>
      </c>
      <c r="G32" s="27" t="n">
        <f aca="false">Deploy!H37</f>
        <v>10.7028603925549</v>
      </c>
      <c r="H32" s="27" t="n">
        <f aca="false">Deploy!I37</f>
        <v>18.365756739702</v>
      </c>
      <c r="I32" s="27" t="n">
        <f aca="false">Deploy!J37</f>
        <v>29.1459893442258</v>
      </c>
      <c r="J32" s="27" t="n">
        <f aca="false">Deploy!K37</f>
        <v>25.8707339021517</v>
      </c>
      <c r="K32" s="27" t="n">
        <f aca="false">Deploy!L37</f>
        <v>22.1976313099187</v>
      </c>
      <c r="L32" s="27" t="n">
        <f aca="false">Deploy!M37</f>
        <v>15.8258558751989</v>
      </c>
      <c r="M32" s="20" t="s">
        <v>2657</v>
      </c>
    </row>
    <row r="33" customFormat="false" ht="17.15" hidden="false" customHeight="false" outlineLevel="0" collapsed="false">
      <c r="A33" s="0" t="s">
        <v>2658</v>
      </c>
      <c r="B33" s="5" t="s">
        <v>2659</v>
      </c>
      <c r="C33" s="0" t="s">
        <v>76</v>
      </c>
      <c r="D33" s="27" t="n">
        <f aca="false">Deploy!E51</f>
        <v>1.61980834349181</v>
      </c>
      <c r="E33" s="27" t="n">
        <f aca="false">Deploy!F51</f>
        <v>9.04912429484715</v>
      </c>
      <c r="F33" s="27" t="n">
        <f aca="false">Deploy!G51</f>
        <v>12.3153714610592</v>
      </c>
      <c r="G33" s="27" t="n">
        <f aca="false">Deploy!H51</f>
        <v>20.1572539260371</v>
      </c>
      <c r="H33" s="27" t="n">
        <f aca="false">Deploy!I51</f>
        <v>15.1783756796099</v>
      </c>
      <c r="I33" s="27" t="n">
        <f aca="false">Deploy!J51</f>
        <v>16.7588808629415</v>
      </c>
      <c r="J33" s="27" t="n">
        <f aca="false">Deploy!K51</f>
        <v>16.7295036859268</v>
      </c>
      <c r="K33" s="27" t="n">
        <f aca="false">Deploy!L51</f>
        <v>15.2478293784383</v>
      </c>
      <c r="L33" s="27" t="n">
        <f aca="false">Deploy!M51</f>
        <v>12.1724358327346</v>
      </c>
      <c r="M33" s="20" t="s">
        <v>2660</v>
      </c>
    </row>
    <row r="34" customFormat="false" ht="17.15" hidden="false" customHeight="false" outlineLevel="0" collapsed="false">
      <c r="A34" s="0" t="s">
        <v>2661</v>
      </c>
      <c r="B34" s="5" t="s">
        <v>2662</v>
      </c>
      <c r="C34" s="0" t="s">
        <v>76</v>
      </c>
      <c r="D34" s="27" t="n">
        <f aca="false">Deploy!E52</f>
        <v>1.61980834349181</v>
      </c>
      <c r="E34" s="27" t="n">
        <f aca="false">Deploy!F52</f>
        <v>9.04912429484715</v>
      </c>
      <c r="F34" s="27" t="n">
        <f aca="false">Deploy!G52</f>
        <v>11.6509117618926</v>
      </c>
      <c r="G34" s="27" t="n">
        <f aca="false">Deploy!H52</f>
        <v>17.3119275214805</v>
      </c>
      <c r="H34" s="27" t="n">
        <f aca="false">Deploy!I52</f>
        <v>14.2208960394013</v>
      </c>
      <c r="I34" s="27" t="n">
        <f aca="false">Deploy!J52</f>
        <v>17.9809674558585</v>
      </c>
      <c r="J34" s="27" t="n">
        <f aca="false">Deploy!K52</f>
        <v>16.5017196919043</v>
      </c>
      <c r="K34" s="27" t="n">
        <f aca="false">Deploy!L52</f>
        <v>16.0524223822488</v>
      </c>
      <c r="L34" s="27" t="n">
        <f aca="false">Deploy!M52</f>
        <v>12.7106297032328</v>
      </c>
      <c r="M34" s="20" t="s">
        <v>2663</v>
      </c>
    </row>
    <row r="35" customFormat="false" ht="17.15" hidden="false" customHeight="false" outlineLevel="0" collapsed="false">
      <c r="A35" s="0" t="s">
        <v>2664</v>
      </c>
      <c r="B35" s="5" t="s">
        <v>2665</v>
      </c>
      <c r="C35" s="0" t="s">
        <v>76</v>
      </c>
      <c r="D35" s="27" t="n">
        <f aca="false">Deploy!E53</f>
        <v>1.61980834349181</v>
      </c>
      <c r="E35" s="27" t="n">
        <f aca="false">Deploy!F53</f>
        <v>9.04912429484715</v>
      </c>
      <c r="F35" s="27" t="n">
        <f aca="false">Deploy!G53</f>
        <v>11.6509117618926</v>
      </c>
      <c r="G35" s="27" t="n">
        <f aca="false">Deploy!H53</f>
        <v>10.7028603925549</v>
      </c>
      <c r="H35" s="27" t="n">
        <f aca="false">Deploy!I53</f>
        <v>15.8613247525663</v>
      </c>
      <c r="I35" s="27" t="n">
        <f aca="false">Deploy!J53</f>
        <v>21.1842595740463</v>
      </c>
      <c r="J35" s="27" t="n">
        <f aca="false">Deploy!K53</f>
        <v>18.267065989477</v>
      </c>
      <c r="K35" s="27" t="n">
        <f aca="false">Deploy!L53</f>
        <v>16.0524223822488</v>
      </c>
      <c r="L35" s="27" t="n">
        <f aca="false">Deploy!M53</f>
        <v>12.7106297032328</v>
      </c>
      <c r="M35" s="20" t="s">
        <v>2666</v>
      </c>
    </row>
    <row r="36" customFormat="false" ht="17.15" hidden="false" customHeight="false" outlineLevel="0" collapsed="false">
      <c r="A36" s="8" t="s">
        <v>2667</v>
      </c>
    </row>
    <row r="37" customFormat="false" ht="17.15" hidden="false" customHeight="false" outlineLevel="0" collapsed="false">
      <c r="A37" s="0" t="s">
        <v>2668</v>
      </c>
      <c r="B37" s="5" t="s">
        <v>2669</v>
      </c>
      <c r="C37" s="0" t="s">
        <v>76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0.66445969916655</v>
      </c>
      <c r="G37" s="27" t="n">
        <f aca="false">Deploy!H22</f>
        <v>3.50978610372314</v>
      </c>
      <c r="H37" s="27" t="n">
        <f aca="false">Deploy!I22</f>
        <v>6.23807623988623</v>
      </c>
      <c r="I37" s="27" t="n">
        <f aca="false">Deploy!J22</f>
        <v>5.20038191835795</v>
      </c>
      <c r="J37" s="27" t="n">
        <f aca="false">Deploy!K22</f>
        <v>5.5469034846526</v>
      </c>
      <c r="K37" s="27" t="n">
        <f aca="false">Deploy!L22</f>
        <v>4.36615906417435</v>
      </c>
      <c r="L37" s="27" t="n">
        <f aca="false">Deploy!M22</f>
        <v>2.87995052331465</v>
      </c>
      <c r="M37" s="20" t="s">
        <v>2670</v>
      </c>
    </row>
    <row r="38" customFormat="false" ht="17.15" hidden="false" customHeight="false" outlineLevel="0" collapsed="false">
      <c r="A38" s="0" t="s">
        <v>2671</v>
      </c>
      <c r="B38" s="5" t="s">
        <v>2672</v>
      </c>
      <c r="C38" s="0" t="s">
        <v>76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0.66445969916655</v>
      </c>
      <c r="G38" s="27" t="n">
        <f aca="false">Deploy!H23</f>
        <v>10.1188532326487</v>
      </c>
      <c r="H38" s="27" t="n">
        <f aca="false">Deploy!I23</f>
        <v>14.5459573051609</v>
      </c>
      <c r="I38" s="27" t="n">
        <f aca="false">Deploy!J23</f>
        <v>7.67405241431243</v>
      </c>
      <c r="J38" s="27" t="n">
        <f aca="false">Deploy!K23</f>
        <v>5.5469034846526</v>
      </c>
      <c r="K38" s="27" t="n">
        <f aca="false">Deploy!L23</f>
        <v>4.36615906417435</v>
      </c>
      <c r="L38" s="27" t="n">
        <f aca="false">Deploy!M23</f>
        <v>2.87995052331465</v>
      </c>
      <c r="M38" s="20" t="s">
        <v>2673</v>
      </c>
    </row>
    <row r="39" customFormat="false" ht="17.15" hidden="false" customHeight="false" outlineLevel="0" collapsed="false">
      <c r="A39" s="0" t="s">
        <v>2674</v>
      </c>
      <c r="B39" s="5" t="s">
        <v>2675</v>
      </c>
      <c r="C39" s="0" t="s">
        <v>76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0.66445969916655</v>
      </c>
      <c r="G39" s="27" t="n">
        <f aca="false">Deploy!H38</f>
        <v>3.50978610372314</v>
      </c>
      <c r="H39" s="27" t="n">
        <f aca="false">Deploy!I38</f>
        <v>5.35267099190898</v>
      </c>
      <c r="I39" s="27" t="n">
        <f aca="false">Deploy!J38</f>
        <v>4.46718088060425</v>
      </c>
      <c r="J39" s="27" t="n">
        <f aca="false">Deploy!K38</f>
        <v>4.75152461737838</v>
      </c>
      <c r="K39" s="27" t="n">
        <f aca="false">Deploy!L38</f>
        <v>3.70068929841764</v>
      </c>
      <c r="L39" s="27" t="n">
        <f aca="false">Deploy!M38</f>
        <v>2.57200503143844</v>
      </c>
      <c r="M39" s="20" t="s">
        <v>2676</v>
      </c>
    </row>
    <row r="40" customFormat="false" ht="17.15" hidden="false" customHeight="false" outlineLevel="0" collapsed="false">
      <c r="A40" s="0" t="s">
        <v>2677</v>
      </c>
      <c r="B40" s="5" t="s">
        <v>2678</v>
      </c>
      <c r="C40" s="0" t="s">
        <v>76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0.66445969916655</v>
      </c>
      <c r="G40" s="27" t="n">
        <f aca="false">Deploy!H39</f>
        <v>10.1188532326487</v>
      </c>
      <c r="H40" s="27" t="n">
        <f aca="false">Deploy!I39</f>
        <v>11.9909307324266</v>
      </c>
      <c r="I40" s="27" t="n">
        <f aca="false">Deploy!J39</f>
        <v>6.58668927736784</v>
      </c>
      <c r="J40" s="27" t="n">
        <f aca="false">Deploy!K39</f>
        <v>4.75152461737838</v>
      </c>
      <c r="K40" s="27" t="n">
        <f aca="false">Deploy!L39</f>
        <v>3.70068929841764</v>
      </c>
      <c r="L40" s="27" t="n">
        <f aca="false">Deploy!M39</f>
        <v>2.57200503143844</v>
      </c>
      <c r="M40" s="20" t="s">
        <v>2679</v>
      </c>
    </row>
    <row r="41" customFormat="false" ht="17.15" hidden="false" customHeight="false" outlineLevel="0" collapsed="false">
      <c r="A41" s="0" t="s">
        <v>2680</v>
      </c>
      <c r="B41" s="5" t="s">
        <v>2681</v>
      </c>
      <c r="C41" s="0" t="s">
        <v>76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0.66445969916655</v>
      </c>
      <c r="G41" s="27" t="n">
        <f aca="false">Deploy!H54</f>
        <v>3.50978610372314</v>
      </c>
      <c r="H41" s="27" t="n">
        <f aca="false">Deploy!I54</f>
        <v>4.46726574393173</v>
      </c>
      <c r="I41" s="27" t="n">
        <f aca="false">Deploy!J54</f>
        <v>3.24517915101477</v>
      </c>
      <c r="J41" s="27" t="n">
        <f aca="false">Deploy!K54</f>
        <v>3.47296314503718</v>
      </c>
      <c r="K41" s="27" t="n">
        <f aca="false">Deploy!L54</f>
        <v>2.6683701412267</v>
      </c>
      <c r="L41" s="27" t="n">
        <f aca="false">Deploy!M54</f>
        <v>2.13017627072855</v>
      </c>
      <c r="M41" s="20" t="s">
        <v>2682</v>
      </c>
    </row>
    <row r="42" customFormat="false" ht="17.15" hidden="false" customHeight="false" outlineLevel="0" collapsed="false">
      <c r="A42" s="0" t="s">
        <v>2683</v>
      </c>
      <c r="B42" s="5" t="s">
        <v>2684</v>
      </c>
      <c r="C42" s="0" t="s">
        <v>76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0.66445969916655</v>
      </c>
      <c r="G42" s="27" t="n">
        <f aca="false">Deploy!H55</f>
        <v>10.1188532326487</v>
      </c>
      <c r="H42" s="27" t="n">
        <f aca="false">Deploy!I55</f>
        <v>9.43590415969224</v>
      </c>
      <c r="I42" s="27" t="n">
        <f aca="false">Deploy!J55</f>
        <v>5.01052544858746</v>
      </c>
      <c r="J42" s="27" t="n">
        <f aca="false">Deploy!K55</f>
        <v>3.47296314503718</v>
      </c>
      <c r="K42" s="27" t="n">
        <f aca="false">Deploy!L55</f>
        <v>2.6683701412267</v>
      </c>
      <c r="L42" s="27" t="n">
        <f aca="false">Deploy!M55</f>
        <v>2.13017627072855</v>
      </c>
      <c r="M42" s="20" t="s">
        <v>2685</v>
      </c>
    </row>
    <row r="43" customFormat="false" ht="17.15" hidden="false" customHeight="false" outlineLevel="0" collapsed="false">
      <c r="A43" s="8" t="s">
        <v>2686</v>
      </c>
    </row>
    <row r="44" customFormat="false" ht="17.15" hidden="false" customHeight="false" outlineLevel="0" collapsed="false">
      <c r="A44" s="0" t="s">
        <v>2687</v>
      </c>
      <c r="B44" s="5" t="s">
        <v>2688</v>
      </c>
      <c r="C44" s="0" t="s">
        <v>76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37.6525147943925</v>
      </c>
      <c r="G44" s="27" t="n">
        <f aca="false">Deploy!H62</f>
        <v>43.1401599188997</v>
      </c>
      <c r="H44" s="27" t="n">
        <f aca="false">Deploy!I62</f>
        <v>59.7282073131421</v>
      </c>
      <c r="I44" s="27" t="n">
        <f aca="false">Deploy!J62</f>
        <v>65.6632286441395</v>
      </c>
      <c r="J44" s="27" t="n">
        <f aca="false">Deploy!K62</f>
        <v>72.2018478960588</v>
      </c>
      <c r="K44" s="27" t="n">
        <f aca="false">Deploy!L62</f>
        <v>79.4068015429321</v>
      </c>
      <c r="L44" s="27" t="n">
        <f aca="false">Deploy!M62</f>
        <v>87.3474816972253</v>
      </c>
      <c r="M44" s="20" t="s">
        <v>2689</v>
      </c>
    </row>
    <row r="45" customFormat="false" ht="17.15" hidden="false" customHeight="false" outlineLevel="0" collapsed="false">
      <c r="A45" s="0" t="s">
        <v>2690</v>
      </c>
      <c r="B45" s="5" t="s">
        <v>2691</v>
      </c>
      <c r="C45" s="0" t="s">
        <v>76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36.988055095226</v>
      </c>
      <c r="G45" s="27" t="n">
        <f aca="false">Deploy!H63</f>
        <v>42.1975553554443</v>
      </c>
      <c r="H45" s="27" t="n">
        <f aca="false">Deploy!I63</f>
        <v>55.0142490191496</v>
      </c>
      <c r="I45" s="27" t="n">
        <f aca="false">Deploy!J63</f>
        <v>64.3122249112149</v>
      </c>
      <c r="J45" s="27" t="n">
        <f aca="false">Deploy!K63</f>
        <v>70.5122895269729</v>
      </c>
      <c r="K45" s="27" t="n">
        <f aca="false">Deploy!L63</f>
        <v>78.1459346547293</v>
      </c>
      <c r="L45" s="27" t="n">
        <f aca="false">Deploy!M63</f>
        <v>85.957862670224</v>
      </c>
      <c r="M45" s="20" t="s">
        <v>2692</v>
      </c>
    </row>
    <row r="46" customFormat="false" ht="17.15" hidden="false" customHeight="false" outlineLevel="0" collapsed="false">
      <c r="A46" s="0" t="s">
        <v>2693</v>
      </c>
      <c r="B46" s="5" t="s">
        <v>2694</v>
      </c>
      <c r="C46" s="0" t="s">
        <v>76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36.988055095226</v>
      </c>
      <c r="G46" s="27" t="n">
        <f aca="false">Deploy!H64</f>
        <v>40.4294591310236</v>
      </c>
      <c r="H46" s="27" t="n">
        <f aca="false">Deploy!I64</f>
        <v>50.6072915536675</v>
      </c>
      <c r="I46" s="27" t="n">
        <f aca="false">Deploy!J64</f>
        <v>62.448201593618</v>
      </c>
      <c r="J46" s="27" t="n">
        <f aca="false">Deploy!K64</f>
        <v>70.5122895269729</v>
      </c>
      <c r="K46" s="27" t="n">
        <f aca="false">Deploy!L64</f>
        <v>78.1459346547293</v>
      </c>
      <c r="L46" s="27" t="n">
        <f aca="false">Deploy!M64</f>
        <v>85.957862670224</v>
      </c>
      <c r="M46" s="20" t="s">
        <v>2695</v>
      </c>
    </row>
    <row r="47" customFormat="false" ht="17.15" hidden="false" customHeight="false" outlineLevel="0" collapsed="false">
      <c r="A47" s="0" t="s">
        <v>2696</v>
      </c>
      <c r="B47" s="5" t="s">
        <v>2697</v>
      </c>
      <c r="C47" s="0" t="s">
        <v>76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37.6525147943925</v>
      </c>
      <c r="G47" s="27" t="n">
        <f aca="false">Deploy!H78</f>
        <v>43.1401599188997</v>
      </c>
      <c r="H47" s="27" t="n">
        <f aca="false">Deploy!I78</f>
        <v>56.4105978342936</v>
      </c>
      <c r="I47" s="27" t="n">
        <f aca="false">Deploy!J78</f>
        <v>61.4553659656414</v>
      </c>
      <c r="J47" s="27" t="n">
        <f aca="false">Deploy!K78</f>
        <v>67.167824108773</v>
      </c>
      <c r="K47" s="27" t="n">
        <f aca="false">Deploy!L78</f>
        <v>73.6479393309647</v>
      </c>
      <c r="L47" s="27" t="n">
        <f aca="false">Deploy!M78</f>
        <v>81.0127332640612</v>
      </c>
      <c r="M47" s="20" t="s">
        <v>2698</v>
      </c>
    </row>
    <row r="48" customFormat="false" ht="17.15" hidden="false" customHeight="false" outlineLevel="0" collapsed="false">
      <c r="A48" s="0" t="s">
        <v>2699</v>
      </c>
      <c r="B48" s="5" t="s">
        <v>2700</v>
      </c>
      <c r="C48" s="0" t="s">
        <v>76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36.988055095226</v>
      </c>
      <c r="G48" s="27" t="n">
        <f aca="false">Deploy!H79</f>
        <v>42.1975553554443</v>
      </c>
      <c r="H48" s="27" t="n">
        <f aca="false">Deploy!I79</f>
        <v>52.2772211990996</v>
      </c>
      <c r="I48" s="27" t="n">
        <f aca="false">Deploy!J79</f>
        <v>60.2601565426555</v>
      </c>
      <c r="J48" s="27" t="n">
        <f aca="false">Deploy!K79</f>
        <v>65.6228439337249</v>
      </c>
      <c r="K48" s="27" t="n">
        <f aca="false">Deploy!L79</f>
        <v>72.5139191670811</v>
      </c>
      <c r="L48" s="27" t="n">
        <f aca="false">Deploy!M79</f>
        <v>79.7238943257693</v>
      </c>
      <c r="M48" s="20" t="s">
        <v>2701</v>
      </c>
    </row>
    <row r="49" customFormat="false" ht="17.15" hidden="false" customHeight="false" outlineLevel="0" collapsed="false">
      <c r="A49" s="0" t="s">
        <v>2702</v>
      </c>
      <c r="B49" s="5" t="s">
        <v>2703</v>
      </c>
      <c r="C49" s="0" t="s">
        <v>76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36.988055095226</v>
      </c>
      <c r="G49" s="27" t="n">
        <f aca="false">Deploy!H80</f>
        <v>40.4294591310236</v>
      </c>
      <c r="H49" s="27" t="n">
        <f aca="false">Deploy!I80</f>
        <v>48.9650748616375</v>
      </c>
      <c r="I49" s="27" t="n">
        <f aca="false">Deploy!J80</f>
        <v>58.628365888578</v>
      </c>
      <c r="J49" s="27" t="n">
        <f aca="false">Deploy!K80</f>
        <v>65.6228439337249</v>
      </c>
      <c r="K49" s="27" t="n">
        <f aca="false">Deploy!L80</f>
        <v>72.5139191670811</v>
      </c>
      <c r="L49" s="27" t="n">
        <f aca="false">Deploy!M80</f>
        <v>79.7238943257693</v>
      </c>
      <c r="M49" s="20" t="s">
        <v>2704</v>
      </c>
    </row>
    <row r="50" customFormat="false" ht="17.15" hidden="false" customHeight="false" outlineLevel="0" collapsed="false">
      <c r="A50" s="0" t="s">
        <v>2705</v>
      </c>
      <c r="B50" s="5" t="s">
        <v>2706</v>
      </c>
      <c r="C50" s="0" t="s">
        <v>76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37.6525147943925</v>
      </c>
      <c r="G50" s="27" t="n">
        <f aca="false">Deploy!H94</f>
        <v>43.1401599188997</v>
      </c>
      <c r="H50" s="27" t="n">
        <f aca="false">Deploy!I94</f>
        <v>53.0929883554451</v>
      </c>
      <c r="I50" s="27" t="n">
        <f aca="false">Deploy!J94</f>
        <v>56.6540011540436</v>
      </c>
      <c r="J50" s="27" t="n">
        <f aca="false">Deploy!K94</f>
        <v>61.0757040980922</v>
      </c>
      <c r="K50" s="27" t="n">
        <f aca="false">Deploy!L94</f>
        <v>66.512892197049</v>
      </c>
      <c r="L50" s="27" t="n">
        <f aca="false">Deploy!M94</f>
        <v>73.1641814167539</v>
      </c>
      <c r="M50" s="20" t="s">
        <v>2707</v>
      </c>
    </row>
    <row r="51" customFormat="false" ht="17.15" hidden="false" customHeight="false" outlineLevel="0" collapsed="false">
      <c r="A51" s="0" t="s">
        <v>2708</v>
      </c>
      <c r="B51" s="5" t="s">
        <v>2709</v>
      </c>
      <c r="C51" s="0" t="s">
        <v>76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36.988055095226</v>
      </c>
      <c r="G51" s="27" t="n">
        <f aca="false">Deploy!H95</f>
        <v>42.1975553554443</v>
      </c>
      <c r="H51" s="27" t="n">
        <f aca="false">Deploy!I95</f>
        <v>49.5401933790497</v>
      </c>
      <c r="I51" s="27" t="n">
        <f aca="false">Deploy!J95</f>
        <v>55.7184489142888</v>
      </c>
      <c r="J51" s="27" t="n">
        <f aca="false">Deploy!K95</f>
        <v>59.7566060828837</v>
      </c>
      <c r="K51" s="27" t="n">
        <f aca="false">Deploy!L95</f>
        <v>65.5613842797316</v>
      </c>
      <c r="L51" s="27" t="n">
        <f aca="false">Deploy!M95</f>
        <v>72.0002058033056</v>
      </c>
      <c r="M51" s="20" t="s">
        <v>2710</v>
      </c>
    </row>
    <row r="52" customFormat="false" ht="17.15" hidden="false" customHeight="false" outlineLevel="0" collapsed="false">
      <c r="A52" s="0" t="s">
        <v>2711</v>
      </c>
      <c r="B52" s="5" t="s">
        <v>2712</v>
      </c>
      <c r="C52" s="0" t="s">
        <v>76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36.988055095226</v>
      </c>
      <c r="G52" s="27" t="n">
        <f aca="false">Deploy!H96</f>
        <v>40.4294591310236</v>
      </c>
      <c r="H52" s="27" t="n">
        <f aca="false">Deploy!I96</f>
        <v>47.3228581696075</v>
      </c>
      <c r="I52" s="27" t="n">
        <f aca="false">Deploy!J96</f>
        <v>54.3188909237307</v>
      </c>
      <c r="J52" s="27" t="n">
        <f aca="false">Deploy!K96</f>
        <v>59.7566060828837</v>
      </c>
      <c r="K52" s="27" t="n">
        <f aca="false">Deploy!L96</f>
        <v>65.5613842797316</v>
      </c>
      <c r="L52" s="27" t="n">
        <f aca="false">Deploy!M96</f>
        <v>72.0002058033056</v>
      </c>
      <c r="M52" s="20" t="s">
        <v>2713</v>
      </c>
    </row>
    <row r="53" customFormat="false" ht="17.15" hidden="false" customHeight="false" outlineLevel="0" collapsed="false">
      <c r="A53" s="0" t="s">
        <v>2714</v>
      </c>
      <c r="B53" s="5" t="s">
        <v>2715</v>
      </c>
      <c r="C53" s="0" t="s">
        <v>76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31.4948290638629</v>
      </c>
      <c r="G53" s="27" t="n">
        <f aca="false">Deploy!H65</f>
        <v>40.3963373566461</v>
      </c>
      <c r="H53" s="27" t="n">
        <f aca="false">Deploy!I65</f>
        <v>51.4341836160209</v>
      </c>
      <c r="I53" s="27" t="n">
        <f aca="false">Deploy!J65</f>
        <v>62.6957179786408</v>
      </c>
      <c r="J53" s="27" t="n">
        <f aca="false">Deploy!K65</f>
        <v>68.9325382700991</v>
      </c>
      <c r="K53" s="27" t="n">
        <f aca="false">Deploy!L65</f>
        <v>75.8043247194954</v>
      </c>
      <c r="L53" s="27" t="n">
        <f aca="false">Deploy!M65</f>
        <v>83.3771416200787</v>
      </c>
      <c r="M53" s="20" t="s">
        <v>2716</v>
      </c>
    </row>
    <row r="54" customFormat="false" ht="17.15" hidden="false" customHeight="false" outlineLevel="0" collapsed="false">
      <c r="A54" s="0" t="s">
        <v>2717</v>
      </c>
      <c r="B54" s="5" t="s">
        <v>2718</v>
      </c>
      <c r="C54" s="0" t="s">
        <v>76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31.1625992142797</v>
      </c>
      <c r="G54" s="27" t="n">
        <f aca="false">Deploy!H66</f>
        <v>39.5928052253351</v>
      </c>
      <c r="H54" s="27" t="n">
        <f aca="false">Deploy!I66</f>
        <v>48.605902187297</v>
      </c>
      <c r="I54" s="27" t="n">
        <f aca="false">Deploy!J66</f>
        <v>59.6632369651823</v>
      </c>
      <c r="J54" s="27" t="n">
        <f aca="false">Deploy!K66</f>
        <v>67.4122572190939</v>
      </c>
      <c r="K54" s="27" t="n">
        <f aca="false">Deploy!L66</f>
        <v>74.3291120908511</v>
      </c>
      <c r="L54" s="27" t="n">
        <f aca="false">Deploy!M66</f>
        <v>82.0518986624767</v>
      </c>
      <c r="M54" s="20" t="s">
        <v>2719</v>
      </c>
    </row>
    <row r="55" customFormat="false" ht="17.15" hidden="false" customHeight="false" outlineLevel="0" collapsed="false">
      <c r="A55" s="0" t="s">
        <v>2720</v>
      </c>
      <c r="B55" s="5" t="s">
        <v>2721</v>
      </c>
      <c r="C55" s="0" t="s">
        <v>76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31.1625992142797</v>
      </c>
      <c r="G55" s="27" t="n">
        <f aca="false">Deploy!H67</f>
        <v>38.7087571131248</v>
      </c>
      <c r="H55" s="27" t="n">
        <f aca="false">Deploy!I67</f>
        <v>45.5183753423455</v>
      </c>
      <c r="I55" s="27" t="n">
        <f aca="false">Deploy!J67</f>
        <v>56.5277465736427</v>
      </c>
      <c r="J55" s="27" t="n">
        <f aca="false">Deploy!K67</f>
        <v>66.4802455602954</v>
      </c>
      <c r="K55" s="27" t="n">
        <f aca="false">Deploy!L67</f>
        <v>74.3291120908511</v>
      </c>
      <c r="L55" s="27" t="n">
        <f aca="false">Deploy!M67</f>
        <v>82.0518986624767</v>
      </c>
      <c r="M55" s="20" t="s">
        <v>2722</v>
      </c>
    </row>
    <row r="56" customFormat="false" ht="17.15" hidden="false" customHeight="false" outlineLevel="0" collapsed="false">
      <c r="A56" s="0" t="s">
        <v>2723</v>
      </c>
      <c r="B56" s="5" t="s">
        <v>2724</v>
      </c>
      <c r="C56" s="0" t="s">
        <v>76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31.4948290638629</v>
      </c>
      <c r="G56" s="27" t="n">
        <f aca="false">Deploy!H81</f>
        <v>40.3963373566461</v>
      </c>
      <c r="H56" s="27" t="n">
        <f aca="false">Deploy!I81</f>
        <v>49.7753788765966</v>
      </c>
      <c r="I56" s="27" t="n">
        <f aca="false">Deploy!J81</f>
        <v>58.9329818999675</v>
      </c>
      <c r="J56" s="27" t="n">
        <f aca="false">Deploy!K81</f>
        <v>64.3115950372072</v>
      </c>
      <c r="K56" s="27" t="n">
        <f aca="false">Deploy!L81</f>
        <v>70.4078817198688</v>
      </c>
      <c r="L56" s="27" t="n">
        <f aca="false">Deploy!M81</f>
        <v>77.3303362975129</v>
      </c>
      <c r="M56" s="20" t="s">
        <v>2725</v>
      </c>
    </row>
    <row r="57" customFormat="false" ht="17.15" hidden="false" customHeight="false" outlineLevel="0" collapsed="false">
      <c r="A57" s="0" t="s">
        <v>2726</v>
      </c>
      <c r="B57" s="5" t="s">
        <v>2727</v>
      </c>
      <c r="C57" s="0" t="s">
        <v>76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31.1625992142797</v>
      </c>
      <c r="G57" s="27" t="n">
        <f aca="false">Deploy!H82</f>
        <v>39.5928052253351</v>
      </c>
      <c r="H57" s="27" t="n">
        <f aca="false">Deploy!I82</f>
        <v>47.237388277272</v>
      </c>
      <c r="I57" s="27" t="n">
        <f aca="false">Deploy!J82</f>
        <v>56.2686888708776</v>
      </c>
      <c r="J57" s="27" t="n">
        <f aca="false">Deploy!K82</f>
        <v>62.9415002381902</v>
      </c>
      <c r="K57" s="27" t="n">
        <f aca="false">Deploy!L82</f>
        <v>69.0683815504031</v>
      </c>
      <c r="L57" s="27" t="n">
        <f aca="false">Deploy!M82</f>
        <v>76.1189067464252</v>
      </c>
      <c r="M57" s="20" t="s">
        <v>2728</v>
      </c>
    </row>
    <row r="58" customFormat="false" ht="17.15" hidden="false" customHeight="false" outlineLevel="0" collapsed="false">
      <c r="A58" s="0" t="s">
        <v>2729</v>
      </c>
      <c r="B58" s="5" t="s">
        <v>2730</v>
      </c>
      <c r="C58" s="0" t="s">
        <v>76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31.1625992142797</v>
      </c>
      <c r="G58" s="27" t="n">
        <f aca="false">Deploy!H83</f>
        <v>38.7087571131248</v>
      </c>
      <c r="H58" s="27" t="n">
        <f aca="false">Deploy!I83</f>
        <v>44.6972669963305</v>
      </c>
      <c r="I58" s="27" t="n">
        <f aca="false">Deploy!J83</f>
        <v>53.7967203751077</v>
      </c>
      <c r="J58" s="27" t="n">
        <f aca="false">Deploy!K83</f>
        <v>62.1256049111515</v>
      </c>
      <c r="K58" s="27" t="n">
        <f aca="false">Deploy!L83</f>
        <v>69.0683815504031</v>
      </c>
      <c r="L58" s="27" t="n">
        <f aca="false">Deploy!M83</f>
        <v>76.1189067464252</v>
      </c>
      <c r="M58" s="20" t="s">
        <v>2731</v>
      </c>
    </row>
    <row r="59" customFormat="false" ht="17.15" hidden="false" customHeight="false" outlineLevel="0" collapsed="false">
      <c r="A59" s="0" t="s">
        <v>2732</v>
      </c>
      <c r="B59" s="5" t="s">
        <v>2733</v>
      </c>
      <c r="C59" s="0" t="s">
        <v>76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31.4948290638629</v>
      </c>
      <c r="G59" s="27" t="n">
        <f aca="false">Deploy!H97</f>
        <v>40.3963373566461</v>
      </c>
      <c r="H59" s="27" t="n">
        <f aca="false">Deploy!I97</f>
        <v>48.1165741371724</v>
      </c>
      <c r="I59" s="27" t="n">
        <f aca="false">Deploy!J97</f>
        <v>54.8734947547443</v>
      </c>
      <c r="J59" s="27" t="n">
        <f aca="false">Deploy!K97</f>
        <v>58.8648526260679</v>
      </c>
      <c r="K59" s="27" t="n">
        <f aca="false">Deploy!L97</f>
        <v>63.7942981475706</v>
      </c>
      <c r="L59" s="27" t="n">
        <f aca="false">Deploy!M97</f>
        <v>69.8385368069015</v>
      </c>
      <c r="M59" s="20" t="s">
        <v>2734</v>
      </c>
    </row>
    <row r="60" customFormat="false" ht="17.15" hidden="false" customHeight="false" outlineLevel="0" collapsed="false">
      <c r="A60" s="0" t="s">
        <v>2735</v>
      </c>
      <c r="B60" s="5" t="s">
        <v>2736</v>
      </c>
      <c r="C60" s="0" t="s">
        <v>76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31.1625992142797</v>
      </c>
      <c r="G60" s="27" t="n">
        <f aca="false">Deploy!H98</f>
        <v>39.5928052253351</v>
      </c>
      <c r="H60" s="27" t="n">
        <f aca="false">Deploy!I98</f>
        <v>45.868874367247</v>
      </c>
      <c r="I60" s="27" t="n">
        <f aca="false">Deploy!J98</f>
        <v>52.6293211466692</v>
      </c>
      <c r="J60" s="27" t="n">
        <f aca="false">Deploy!K98</f>
        <v>57.7375274985862</v>
      </c>
      <c r="K60" s="27" t="n">
        <f aca="false">Deploy!L98</f>
        <v>62.6589951813076</v>
      </c>
      <c r="L60" s="27" t="n">
        <f aca="false">Deploy!M98</f>
        <v>68.7807950415186</v>
      </c>
      <c r="M60" s="20" t="s">
        <v>2737</v>
      </c>
    </row>
    <row r="61" customFormat="false" ht="17.15" hidden="false" customHeight="false" outlineLevel="0" collapsed="false">
      <c r="A61" s="0" t="s">
        <v>2738</v>
      </c>
      <c r="B61" s="5" t="s">
        <v>2739</v>
      </c>
      <c r="C61" s="0" t="s">
        <v>76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31.1625992142797</v>
      </c>
      <c r="G61" s="27" t="n">
        <f aca="false">Deploy!H99</f>
        <v>38.7087571131248</v>
      </c>
      <c r="H61" s="27" t="n">
        <f aca="false">Deploy!I99</f>
        <v>43.8761586503155</v>
      </c>
      <c r="I61" s="27" t="n">
        <f aca="false">Deploy!J99</f>
        <v>50.8208745466691</v>
      </c>
      <c r="J61" s="27" t="n">
        <f aca="false">Deploy!K99</f>
        <v>57.0377485033072</v>
      </c>
      <c r="K61" s="27" t="n">
        <f aca="false">Deploy!L99</f>
        <v>62.6589951813076</v>
      </c>
      <c r="L61" s="27" t="n">
        <f aca="false">Deploy!M99</f>
        <v>68.7807950415186</v>
      </c>
      <c r="M61" s="20" t="s">
        <v>2740</v>
      </c>
    </row>
    <row r="62" customFormat="false" ht="17.15" hidden="false" customHeight="false" outlineLevel="0" collapsed="false">
      <c r="A62" s="0" t="s">
        <v>2741</v>
      </c>
      <c r="B62" s="5" t="s">
        <v>2742</v>
      </c>
      <c r="C62" s="0" t="s">
        <v>76</v>
      </c>
      <c r="D62" s="27" t="n">
        <f aca="false">Deploy!E68</f>
        <v>1.61980834349181</v>
      </c>
      <c r="E62" s="27" t="n">
        <f aca="false">Deploy!F68</f>
        <v>9.04912429484715</v>
      </c>
      <c r="F62" s="27" t="n">
        <f aca="false">Deploy!G68</f>
        <v>12.3153714610592</v>
      </c>
      <c r="G62" s="27" t="n">
        <f aca="false">Deploy!H68</f>
        <v>5.48764512450717</v>
      </c>
      <c r="H62" s="27" t="n">
        <f aca="false">Deploy!I68</f>
        <v>16.5880473942424</v>
      </c>
      <c r="I62" s="27" t="n">
        <f aca="false">Deploy!J68</f>
        <v>5.93502133099746</v>
      </c>
      <c r="J62" s="27" t="n">
        <f aca="false">Deploy!K68</f>
        <v>6.53861925191924</v>
      </c>
      <c r="K62" s="27" t="n">
        <f aca="false">Deploy!L68</f>
        <v>7.20495364687336</v>
      </c>
      <c r="L62" s="27" t="n">
        <f aca="false">Deploy!M68</f>
        <v>7.9406801542932</v>
      </c>
      <c r="M62" s="20" t="s">
        <v>2743</v>
      </c>
    </row>
    <row r="63" customFormat="false" ht="17.15" hidden="false" customHeight="false" outlineLevel="0" collapsed="false">
      <c r="A63" s="0" t="s">
        <v>2744</v>
      </c>
      <c r="B63" s="5" t="s">
        <v>2745</v>
      </c>
      <c r="C63" s="0" t="s">
        <v>76</v>
      </c>
      <c r="D63" s="27" t="n">
        <f aca="false">Deploy!E69</f>
        <v>1.61980834349181</v>
      </c>
      <c r="E63" s="27" t="n">
        <f aca="false">Deploy!F69</f>
        <v>9.04912429484715</v>
      </c>
      <c r="F63" s="27" t="n">
        <f aca="false">Deploy!G69</f>
        <v>11.6509117618926</v>
      </c>
      <c r="G63" s="27" t="n">
        <f aca="false">Deploy!H69</f>
        <v>5.20950026021831</v>
      </c>
      <c r="H63" s="27" t="n">
        <f aca="false">Deploy!I69</f>
        <v>12.8166936637054</v>
      </c>
      <c r="I63" s="27" t="n">
        <f aca="false">Deploy!J69</f>
        <v>9.29797589206531</v>
      </c>
      <c r="J63" s="27" t="n">
        <f aca="false">Deploy!K69</f>
        <v>6.20006461575795</v>
      </c>
      <c r="K63" s="27" t="n">
        <f aca="false">Deploy!L69</f>
        <v>7.63364512775638</v>
      </c>
      <c r="L63" s="27" t="n">
        <f aca="false">Deploy!M69</f>
        <v>7.81192801549474</v>
      </c>
      <c r="M63" s="20" t="s">
        <v>2746</v>
      </c>
    </row>
    <row r="64" customFormat="false" ht="17.15" hidden="false" customHeight="false" outlineLevel="0" collapsed="false">
      <c r="A64" s="0" t="s">
        <v>2747</v>
      </c>
      <c r="B64" s="5" t="s">
        <v>2748</v>
      </c>
      <c r="C64" s="0" t="s">
        <v>76</v>
      </c>
      <c r="D64" s="27" t="n">
        <f aca="false">Deploy!E70</f>
        <v>1.61980834349181</v>
      </c>
      <c r="E64" s="27" t="n">
        <f aca="false">Deploy!F70</f>
        <v>9.04912429484715</v>
      </c>
      <c r="F64" s="27" t="n">
        <f aca="false">Deploy!G70</f>
        <v>11.6509117618926</v>
      </c>
      <c r="G64" s="27" t="n">
        <f aca="false">Deploy!H70</f>
        <v>3.4414040357976</v>
      </c>
      <c r="H64" s="27" t="n">
        <f aca="false">Deploy!I70</f>
        <v>10.1778324226439</v>
      </c>
      <c r="I64" s="27" t="n">
        <f aca="false">Deploy!J70</f>
        <v>11.8409100399505</v>
      </c>
      <c r="J64" s="27" t="n">
        <f aca="false">Deploy!K70</f>
        <v>8.06408793335491</v>
      </c>
      <c r="K64" s="27" t="n">
        <f aca="false">Deploy!L70</f>
        <v>7.63364512775638</v>
      </c>
      <c r="L64" s="27" t="n">
        <f aca="false">Deploy!M70</f>
        <v>7.81192801549474</v>
      </c>
      <c r="M64" s="20" t="s">
        <v>2749</v>
      </c>
    </row>
    <row r="65" customFormat="false" ht="17.15" hidden="false" customHeight="false" outlineLevel="0" collapsed="false">
      <c r="A65" s="0" t="s">
        <v>2750</v>
      </c>
      <c r="B65" s="5" t="s">
        <v>2751</v>
      </c>
      <c r="C65" s="0" t="s">
        <v>76</v>
      </c>
      <c r="D65" s="27" t="n">
        <f aca="false">Deploy!E84</f>
        <v>1.61980834349181</v>
      </c>
      <c r="E65" s="27" t="n">
        <f aca="false">Deploy!F84</f>
        <v>9.04912429484715</v>
      </c>
      <c r="F65" s="27" t="n">
        <f aca="false">Deploy!G84</f>
        <v>12.3153714610592</v>
      </c>
      <c r="G65" s="27" t="n">
        <f aca="false">Deploy!H84</f>
        <v>5.48764512450717</v>
      </c>
      <c r="H65" s="27" t="n">
        <f aca="false">Deploy!I84</f>
        <v>13.2704379153939</v>
      </c>
      <c r="I65" s="27" t="n">
        <f aca="false">Deploy!J84</f>
        <v>5.04476813134784</v>
      </c>
      <c r="J65" s="27" t="n">
        <f aca="false">Deploy!K84</f>
        <v>5.71245814313154</v>
      </c>
      <c r="K65" s="27" t="n">
        <f aca="false">Deploy!L84</f>
        <v>6.48011522219174</v>
      </c>
      <c r="L65" s="27" t="n">
        <f aca="false">Deploy!M84</f>
        <v>7.36479393309647</v>
      </c>
      <c r="M65" s="20" t="s">
        <v>2752</v>
      </c>
    </row>
    <row r="66" customFormat="false" ht="17.15" hidden="false" customHeight="false" outlineLevel="0" collapsed="false">
      <c r="A66" s="0" t="s">
        <v>2753</v>
      </c>
      <c r="B66" s="5" t="s">
        <v>2754</v>
      </c>
      <c r="C66" s="0" t="s">
        <v>76</v>
      </c>
      <c r="D66" s="27" t="n">
        <f aca="false">Deploy!E85</f>
        <v>1.61980834349181</v>
      </c>
      <c r="E66" s="27" t="n">
        <f aca="false">Deploy!F85</f>
        <v>9.04912429484715</v>
      </c>
      <c r="F66" s="27" t="n">
        <f aca="false">Deploy!G85</f>
        <v>11.6509117618926</v>
      </c>
      <c r="G66" s="27" t="n">
        <f aca="false">Deploy!H85</f>
        <v>5.20950026021831</v>
      </c>
      <c r="H66" s="27" t="n">
        <f aca="false">Deploy!I85</f>
        <v>10.0796658436554</v>
      </c>
      <c r="I66" s="27" t="n">
        <f aca="false">Deploy!J85</f>
        <v>7.98293534355589</v>
      </c>
      <c r="J66" s="27" t="n">
        <f aca="false">Deploy!K85</f>
        <v>5.3626873910694</v>
      </c>
      <c r="K66" s="27" t="n">
        <f aca="false">Deploy!L85</f>
        <v>6.8910752333562</v>
      </c>
      <c r="L66" s="27" t="n">
        <f aca="false">Deploy!M85</f>
        <v>7.20997515868814</v>
      </c>
      <c r="M66" s="20" t="s">
        <v>2755</v>
      </c>
    </row>
    <row r="67" customFormat="false" ht="17.15" hidden="false" customHeight="false" outlineLevel="0" collapsed="false">
      <c r="A67" s="0" t="s">
        <v>2756</v>
      </c>
      <c r="B67" s="5" t="s">
        <v>2757</v>
      </c>
      <c r="C67" s="0" t="s">
        <v>76</v>
      </c>
      <c r="D67" s="27" t="n">
        <f aca="false">Deploy!E86</f>
        <v>1.61980834349181</v>
      </c>
      <c r="E67" s="27" t="n">
        <f aca="false">Deploy!F86</f>
        <v>9.04912429484715</v>
      </c>
      <c r="F67" s="27" t="n">
        <f aca="false">Deploy!G86</f>
        <v>11.6509117618926</v>
      </c>
      <c r="G67" s="27" t="n">
        <f aca="false">Deploy!H86</f>
        <v>3.4414040357976</v>
      </c>
      <c r="H67" s="27" t="n">
        <f aca="false">Deploy!I86</f>
        <v>8.53561573061393</v>
      </c>
      <c r="I67" s="27" t="n">
        <f aca="false">Deploy!J86</f>
        <v>9.66329102694046</v>
      </c>
      <c r="J67" s="27" t="n">
        <f aca="false">Deploy!K86</f>
        <v>6.99447804514697</v>
      </c>
      <c r="K67" s="27" t="n">
        <f aca="false">Deploy!L86</f>
        <v>6.8910752333562</v>
      </c>
      <c r="L67" s="27" t="n">
        <f aca="false">Deploy!M86</f>
        <v>7.20997515868814</v>
      </c>
      <c r="M67" s="20" t="s">
        <v>2758</v>
      </c>
    </row>
    <row r="68" customFormat="false" ht="17.15" hidden="false" customHeight="false" outlineLevel="0" collapsed="false">
      <c r="A68" s="0" t="s">
        <v>2759</v>
      </c>
      <c r="B68" s="5" t="s">
        <v>2760</v>
      </c>
      <c r="C68" s="0" t="s">
        <v>76</v>
      </c>
      <c r="D68" s="27" t="n">
        <f aca="false">Deploy!E100</f>
        <v>1.61980834349181</v>
      </c>
      <c r="E68" s="27" t="n">
        <f aca="false">Deploy!F100</f>
        <v>9.04912429484715</v>
      </c>
      <c r="F68" s="27" t="n">
        <f aca="false">Deploy!G100</f>
        <v>12.3153714610592</v>
      </c>
      <c r="G68" s="27" t="n">
        <f aca="false">Deploy!H100</f>
        <v>5.48764512450717</v>
      </c>
      <c r="H68" s="27" t="n">
        <f aca="false">Deploy!I100</f>
        <v>9.95282843654542</v>
      </c>
      <c r="I68" s="27" t="n">
        <f aca="false">Deploy!J100</f>
        <v>3.56101279859848</v>
      </c>
      <c r="J68" s="27" t="n">
        <f aca="false">Deploy!K100</f>
        <v>4.42170294404857</v>
      </c>
      <c r="K68" s="27" t="n">
        <f aca="false">Deploy!L100</f>
        <v>5.43718809895686</v>
      </c>
      <c r="L68" s="27" t="n">
        <f aca="false">Deploy!M100</f>
        <v>6.65128921970489</v>
      </c>
      <c r="M68" s="20" t="s">
        <v>2761</v>
      </c>
    </row>
    <row r="69" customFormat="false" ht="17.15" hidden="false" customHeight="false" outlineLevel="0" collapsed="false">
      <c r="A69" s="0" t="s">
        <v>2762</v>
      </c>
      <c r="B69" s="5" t="s">
        <v>2763</v>
      </c>
      <c r="C69" s="0" t="s">
        <v>76</v>
      </c>
      <c r="D69" s="27" t="n">
        <f aca="false">Deploy!E101</f>
        <v>1.61980834349181</v>
      </c>
      <c r="E69" s="27" t="n">
        <f aca="false">Deploy!F101</f>
        <v>9.04912429484715</v>
      </c>
      <c r="F69" s="27" t="n">
        <f aca="false">Deploy!G101</f>
        <v>11.6509117618926</v>
      </c>
      <c r="G69" s="27" t="n">
        <f aca="false">Deploy!H101</f>
        <v>5.20950026021831</v>
      </c>
      <c r="H69" s="27" t="n">
        <f aca="false">Deploy!I101</f>
        <v>7.34263802360537</v>
      </c>
      <c r="I69" s="27" t="n">
        <f aca="false">Deploy!J101</f>
        <v>6.17825553523918</v>
      </c>
      <c r="J69" s="27" t="n">
        <f aca="false">Deploy!K101</f>
        <v>4.03815716859483</v>
      </c>
      <c r="K69" s="27" t="n">
        <f aca="false">Deploy!L101</f>
        <v>5.80477819684789</v>
      </c>
      <c r="L69" s="27" t="n">
        <f aca="false">Deploy!M101</f>
        <v>6.43882152357399</v>
      </c>
      <c r="M69" s="20" t="s">
        <v>2764</v>
      </c>
    </row>
    <row r="70" customFormat="false" ht="17.15" hidden="false" customHeight="false" outlineLevel="0" collapsed="false">
      <c r="A70" s="0" t="s">
        <v>2765</v>
      </c>
      <c r="B70" s="5" t="s">
        <v>2766</v>
      </c>
      <c r="C70" s="0" t="s">
        <v>76</v>
      </c>
      <c r="D70" s="27" t="n">
        <f aca="false">Deploy!E102</f>
        <v>1.61980834349181</v>
      </c>
      <c r="E70" s="27" t="n">
        <f aca="false">Deploy!F102</f>
        <v>9.04912429484715</v>
      </c>
      <c r="F70" s="27" t="n">
        <f aca="false">Deploy!G102</f>
        <v>11.6509117618926</v>
      </c>
      <c r="G70" s="27" t="n">
        <f aca="false">Deploy!H102</f>
        <v>3.4414040357976</v>
      </c>
      <c r="H70" s="27" t="n">
        <f aca="false">Deploy!I102</f>
        <v>6.89339903858394</v>
      </c>
      <c r="I70" s="27" t="n">
        <f aca="false">Deploy!J102</f>
        <v>6.99603275412316</v>
      </c>
      <c r="J70" s="27" t="n">
        <f aca="false">Deploy!K102</f>
        <v>5.437715159153</v>
      </c>
      <c r="K70" s="27" t="n">
        <f aca="false">Deploy!L102</f>
        <v>5.80477819684789</v>
      </c>
      <c r="L70" s="27" t="n">
        <f aca="false">Deploy!M102</f>
        <v>6.43882152357399</v>
      </c>
      <c r="M70" s="20" t="s">
        <v>2767</v>
      </c>
    </row>
    <row r="71" customFormat="false" ht="17.15" hidden="false" customHeight="false" outlineLevel="0" collapsed="false">
      <c r="A71" s="8" t="s">
        <v>2768</v>
      </c>
    </row>
    <row r="72" customFormat="false" ht="17.15" hidden="false" customHeight="false" outlineLevel="0" collapsed="false">
      <c r="A72" s="0" t="s">
        <v>2769</v>
      </c>
      <c r="B72" s="5" t="s">
        <v>2770</v>
      </c>
      <c r="C72" s="0" t="s">
        <v>76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0.66445969916655</v>
      </c>
      <c r="G72" s="27" t="n">
        <f aca="false">Deploy!H71</f>
        <v>0.942604563455411</v>
      </c>
      <c r="H72" s="27" t="n">
        <f aca="false">Deploy!I71</f>
        <v>4.71395829399242</v>
      </c>
      <c r="I72" s="27" t="n">
        <f aca="false">Deploy!J71</f>
        <v>1.35100373292457</v>
      </c>
      <c r="J72" s="27" t="n">
        <f aca="false">Deploy!K71</f>
        <v>1.68955836908586</v>
      </c>
      <c r="K72" s="27" t="n">
        <f aca="false">Deploy!L71</f>
        <v>1.26086688820284</v>
      </c>
      <c r="L72" s="27" t="n">
        <f aca="false">Deploy!M71</f>
        <v>1.3896190270013</v>
      </c>
      <c r="M72" s="20" t="s">
        <v>2771</v>
      </c>
    </row>
    <row r="73" customFormat="false" ht="17.15" hidden="false" customHeight="false" outlineLevel="0" collapsed="false">
      <c r="A73" s="0" t="s">
        <v>2772</v>
      </c>
      <c r="B73" s="5" t="s">
        <v>2773</v>
      </c>
      <c r="C73" s="0" t="s">
        <v>76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0.66445969916655</v>
      </c>
      <c r="G73" s="27" t="n">
        <f aca="false">Deploy!H72</f>
        <v>2.71070078787612</v>
      </c>
      <c r="H73" s="27" t="n">
        <f aca="false">Deploy!I72</f>
        <v>9.12091575947456</v>
      </c>
      <c r="I73" s="27" t="n">
        <f aca="false">Deploy!J72</f>
        <v>3.21502705052153</v>
      </c>
      <c r="J73" s="27" t="n">
        <f aca="false">Deploy!K72</f>
        <v>1.68955836908586</v>
      </c>
      <c r="K73" s="27" t="n">
        <f aca="false">Deploy!L72</f>
        <v>1.26086688820284</v>
      </c>
      <c r="L73" s="27" t="n">
        <f aca="false">Deploy!M72</f>
        <v>1.3896190270013</v>
      </c>
      <c r="M73" s="20" t="s">
        <v>2774</v>
      </c>
    </row>
    <row r="74" customFormat="false" ht="17.15" hidden="false" customHeight="false" outlineLevel="0" collapsed="false">
      <c r="A74" s="0" t="s">
        <v>2775</v>
      </c>
      <c r="B74" s="5" t="s">
        <v>2776</v>
      </c>
      <c r="C74" s="0" t="s">
        <v>76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0.66445969916655</v>
      </c>
      <c r="G74" s="27" t="n">
        <f aca="false">Deploy!H87</f>
        <v>0.942604563455411</v>
      </c>
      <c r="H74" s="27" t="n">
        <f aca="false">Deploy!I87</f>
        <v>4.13337663519394</v>
      </c>
      <c r="I74" s="27" t="n">
        <f aca="false">Deploy!J87</f>
        <v>1.19520942298588</v>
      </c>
      <c r="J74" s="27" t="n">
        <f aca="false">Deploy!K87</f>
        <v>1.54498017504802</v>
      </c>
      <c r="K74" s="27" t="n">
        <f aca="false">Deploy!L87</f>
        <v>1.13402016388356</v>
      </c>
      <c r="L74" s="27" t="n">
        <f aca="false">Deploy!M87</f>
        <v>1.28883893829189</v>
      </c>
      <c r="M74" s="20" t="s">
        <v>2777</v>
      </c>
    </row>
    <row r="75" customFormat="false" ht="17.15" hidden="false" customHeight="false" outlineLevel="0" collapsed="false">
      <c r="A75" s="0" t="s">
        <v>2778</v>
      </c>
      <c r="B75" s="5" t="s">
        <v>2779</v>
      </c>
      <c r="C75" s="0" t="s">
        <v>76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0.66445969916655</v>
      </c>
      <c r="G75" s="27" t="n">
        <f aca="false">Deploy!H88</f>
        <v>2.71070078787612</v>
      </c>
      <c r="H75" s="27" t="n">
        <f aca="false">Deploy!I88</f>
        <v>7.44552297265608</v>
      </c>
      <c r="I75" s="27" t="n">
        <f aca="false">Deploy!J88</f>
        <v>2.82700007706345</v>
      </c>
      <c r="J75" s="27" t="n">
        <f aca="false">Deploy!K88</f>
        <v>1.54498017504802</v>
      </c>
      <c r="K75" s="27" t="n">
        <f aca="false">Deploy!L88</f>
        <v>1.13402016388356</v>
      </c>
      <c r="L75" s="27" t="n">
        <f aca="false">Deploy!M88</f>
        <v>1.28883893829189</v>
      </c>
      <c r="M75" s="20" t="s">
        <v>2780</v>
      </c>
    </row>
    <row r="76" customFormat="false" ht="17.15" hidden="false" customHeight="false" outlineLevel="0" collapsed="false">
      <c r="A76" s="0" t="s">
        <v>2781</v>
      </c>
      <c r="B76" s="5" t="s">
        <v>2782</v>
      </c>
      <c r="C76" s="0" t="s">
        <v>76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0.66445969916655</v>
      </c>
      <c r="G76" s="27" t="n">
        <f aca="false">Deploy!H103</f>
        <v>0.942604563455411</v>
      </c>
      <c r="H76" s="27" t="n">
        <f aca="false">Deploy!I103</f>
        <v>3.55279497639545</v>
      </c>
      <c r="I76" s="27" t="n">
        <f aca="false">Deploy!J103</f>
        <v>0.935552239754749</v>
      </c>
      <c r="J76" s="27" t="n">
        <f aca="false">Deploy!K103</f>
        <v>1.31909801520849</v>
      </c>
      <c r="K76" s="27" t="n">
        <f aca="false">Deploy!L103</f>
        <v>0.951507917317457</v>
      </c>
      <c r="L76" s="27" t="n">
        <f aca="false">Deploy!M103</f>
        <v>1.16397561344836</v>
      </c>
      <c r="M76" s="20" t="s">
        <v>2783</v>
      </c>
    </row>
    <row r="77" customFormat="false" ht="17.15" hidden="false" customHeight="false" outlineLevel="0" collapsed="false">
      <c r="A77" s="0" t="s">
        <v>2784</v>
      </c>
      <c r="B77" s="5" t="s">
        <v>2785</v>
      </c>
      <c r="C77" s="0" t="s">
        <v>76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0.66445969916655</v>
      </c>
      <c r="G77" s="27" t="n">
        <f aca="false">Deploy!H104</f>
        <v>2.71070078787612</v>
      </c>
      <c r="H77" s="27" t="n">
        <f aca="false">Deploy!I104</f>
        <v>5.7701301858376</v>
      </c>
      <c r="I77" s="27" t="n">
        <f aca="false">Deploy!J104</f>
        <v>2.33511023031292</v>
      </c>
      <c r="J77" s="27" t="n">
        <f aca="false">Deploy!K104</f>
        <v>1.31909801520849</v>
      </c>
      <c r="K77" s="27" t="n">
        <f aca="false">Deploy!L104</f>
        <v>0.951507917317457</v>
      </c>
      <c r="L77" s="27" t="n">
        <f aca="false">Deploy!M104</f>
        <v>1.16397561344836</v>
      </c>
      <c r="M77" s="20" t="s">
        <v>2786</v>
      </c>
    </row>
    <row r="78" customFormat="false" ht="17.15" hidden="false" customHeight="false" outlineLevel="0" collapsed="false">
      <c r="A78" s="8" t="s">
        <v>2787</v>
      </c>
    </row>
    <row r="79" customFormat="false" ht="17.15" hidden="false" customHeight="false" outlineLevel="0" collapsed="false">
      <c r="A79" s="0" t="s">
        <v>2788</v>
      </c>
      <c r="B79" s="0" t="s">
        <v>2789</v>
      </c>
      <c r="C79" s="0" t="s">
        <v>76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2790</v>
      </c>
    </row>
    <row r="80" customFormat="false" ht="17.15" hidden="false" customHeight="false" outlineLevel="0" collapsed="false">
      <c r="A80" s="0" t="s">
        <v>2791</v>
      </c>
      <c r="B80" s="0" t="s">
        <v>2792</v>
      </c>
      <c r="C80" s="0" t="s">
        <v>76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2793</v>
      </c>
    </row>
    <row r="81" customFormat="false" ht="17.15" hidden="false" customHeight="false" outlineLevel="0" collapsed="false">
      <c r="A81" s="0" t="s">
        <v>2794</v>
      </c>
      <c r="B81" s="0" t="s">
        <v>2795</v>
      </c>
      <c r="C81" s="0" t="s">
        <v>76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2796</v>
      </c>
    </row>
    <row r="82" customFormat="false" ht="17.15" hidden="false" customHeight="false" outlineLevel="0" collapsed="false">
      <c r="A82" s="0" t="s">
        <v>2797</v>
      </c>
      <c r="B82" s="0" t="s">
        <v>2798</v>
      </c>
      <c r="C82" s="0" t="s">
        <v>76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3.344595</v>
      </c>
      <c r="H82" s="27" t="n">
        <f aca="false">CapexGW!I80</f>
        <v>6.08100702658016</v>
      </c>
      <c r="I82" s="27" t="n">
        <f aca="false">CapexGW!J80</f>
        <v>9.09275527840958</v>
      </c>
      <c r="J82" s="27" t="n">
        <f aca="false">CapexGW!K80</f>
        <v>12.4056783554219</v>
      </c>
      <c r="K82" s="27" t="n">
        <f aca="false">CapexGW!L80</f>
        <v>16.0498937401355</v>
      </c>
      <c r="L82" s="27" t="n">
        <f aca="false">CapexGW!M80</f>
        <v>20.0585306633205</v>
      </c>
      <c r="M82" s="20" t="s">
        <v>2799</v>
      </c>
    </row>
    <row r="83" customFormat="false" ht="17.15" hidden="false" customHeight="false" outlineLevel="0" collapsed="false">
      <c r="A83" s="0" t="s">
        <v>2800</v>
      </c>
      <c r="B83" s="0" t="s">
        <v>2801</v>
      </c>
      <c r="C83" s="0" t="s">
        <v>76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2802</v>
      </c>
    </row>
    <row r="84" customFormat="false" ht="17.15" hidden="false" customHeight="false" outlineLevel="0" collapsed="false">
      <c r="A84" s="0" t="s">
        <v>2803</v>
      </c>
      <c r="B84" s="0" t="s">
        <v>2804</v>
      </c>
      <c r="C84" s="0" t="s">
        <v>76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2805</v>
      </c>
    </row>
    <row r="85" customFormat="false" ht="17.15" hidden="false" customHeight="false" outlineLevel="0" collapsed="false">
      <c r="A85" s="0" t="s">
        <v>2806</v>
      </c>
      <c r="B85" s="0" t="s">
        <v>2807</v>
      </c>
      <c r="C85" s="0" t="s">
        <v>76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2808</v>
      </c>
    </row>
    <row r="86" customFormat="false" ht="17.15" hidden="false" customHeight="false" outlineLevel="0" collapsed="false">
      <c r="A86" s="0" t="s">
        <v>2809</v>
      </c>
      <c r="B86" s="0" t="s">
        <v>1249</v>
      </c>
      <c r="C86" s="0" t="s">
        <v>76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2810</v>
      </c>
    </row>
    <row r="87" customFormat="false" ht="17.15" hidden="false" customHeight="false" outlineLevel="0" collapsed="false">
      <c r="A87" s="0" t="s">
        <v>2811</v>
      </c>
      <c r="B87" s="0" t="s">
        <v>1250</v>
      </c>
      <c r="C87" s="0" t="s">
        <v>76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</v>
      </c>
      <c r="H87" s="27" t="n">
        <f aca="false">Players!I182</f>
        <v>2</v>
      </c>
      <c r="I87" s="27" t="n">
        <f aca="false">Players!J182</f>
        <v>2</v>
      </c>
      <c r="J87" s="27" t="n">
        <f aca="false">Players!K182</f>
        <v>2</v>
      </c>
      <c r="K87" s="27" t="n">
        <f aca="false">Players!L182</f>
        <v>2</v>
      </c>
      <c r="L87" s="27" t="n">
        <f aca="false">Players!M182</f>
        <v>2</v>
      </c>
      <c r="M87" s="20" t="s">
        <v>2812</v>
      </c>
    </row>
    <row r="88" customFormat="false" ht="17.15" hidden="false" customHeight="false" outlineLevel="0" collapsed="false">
      <c r="A88" s="0" t="s">
        <v>2813</v>
      </c>
      <c r="B88" s="0" t="s">
        <v>1251</v>
      </c>
      <c r="C88" s="0" t="s">
        <v>76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</v>
      </c>
      <c r="H88" s="27" t="n">
        <f aca="false">Players!I201</f>
        <v>1.417</v>
      </c>
      <c r="I88" s="27" t="n">
        <f aca="false">Players!J201</f>
        <v>2.834</v>
      </c>
      <c r="J88" s="27" t="n">
        <f aca="false">Players!K201</f>
        <v>4.25</v>
      </c>
      <c r="K88" s="27" t="n">
        <f aca="false">Players!L201</f>
        <v>4.25</v>
      </c>
      <c r="L88" s="27" t="n">
        <f aca="false">Players!M201</f>
        <v>4.25</v>
      </c>
      <c r="M88" s="20" t="s">
        <v>2814</v>
      </c>
    </row>
    <row r="89" customFormat="false" ht="17.15" hidden="false" customHeight="false" outlineLevel="0" collapsed="false">
      <c r="A89" s="0" t="s">
        <v>2815</v>
      </c>
      <c r="B89" s="0" t="s">
        <v>1252</v>
      </c>
      <c r="C89" s="0" t="s">
        <v>76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2816</v>
      </c>
    </row>
    <row r="90" customFormat="false" ht="17.15" hidden="false" customHeight="false" outlineLevel="0" collapsed="false">
      <c r="A90" s="0" t="s">
        <v>2817</v>
      </c>
      <c r="B90" s="5" t="s">
        <v>1253</v>
      </c>
      <c r="C90" s="0" t="s">
        <v>76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</v>
      </c>
      <c r="H90" s="27" t="n">
        <f aca="false">Players!I239</f>
        <v>2.201</v>
      </c>
      <c r="I90" s="27" t="n">
        <f aca="false">Players!J239</f>
        <v>2.201</v>
      </c>
      <c r="J90" s="27" t="n">
        <f aca="false">Players!K239</f>
        <v>2.201</v>
      </c>
      <c r="K90" s="27" t="n">
        <f aca="false">Players!L239</f>
        <v>2.201</v>
      </c>
      <c r="L90" s="27" t="n">
        <f aca="false">Players!M239</f>
        <v>2.201</v>
      </c>
      <c r="M90" s="20" t="s">
        <v>2818</v>
      </c>
    </row>
    <row r="91" customFormat="false" ht="17.15" hidden="false" customHeight="false" outlineLevel="0" collapsed="false">
      <c r="A91" s="0" t="s">
        <v>2819</v>
      </c>
      <c r="B91" s="5" t="s">
        <v>1254</v>
      </c>
      <c r="C91" s="0" t="s">
        <v>76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0.2</v>
      </c>
      <c r="G91" s="27" t="n">
        <f aca="false">Players!H258</f>
        <v>0.2</v>
      </c>
      <c r="H91" s="27" t="n">
        <f aca="false">Players!I258</f>
        <v>0.2</v>
      </c>
      <c r="I91" s="27" t="n">
        <f aca="false">Players!J258</f>
        <v>0.2</v>
      </c>
      <c r="J91" s="27" t="n">
        <f aca="false">Players!K258</f>
        <v>1.9</v>
      </c>
      <c r="K91" s="27" t="n">
        <f aca="false">Players!L258</f>
        <v>1.9</v>
      </c>
      <c r="L91" s="27" t="n">
        <f aca="false">Players!M258</f>
        <v>1.9</v>
      </c>
      <c r="M91" s="20" t="s">
        <v>2820</v>
      </c>
    </row>
    <row r="92" customFormat="false" ht="17.15" hidden="false" customHeight="false" outlineLevel="0" collapsed="false">
      <c r="A92" s="0" t="s">
        <v>2821</v>
      </c>
      <c r="B92" s="5" t="s">
        <v>1255</v>
      </c>
      <c r="C92" s="0" t="s">
        <v>76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2822</v>
      </c>
    </row>
    <row r="93" customFormat="false" ht="17.15" hidden="false" customHeight="false" outlineLevel="0" collapsed="false">
      <c r="A93" s="0" t="s">
        <v>2823</v>
      </c>
      <c r="B93" s="5" t="s">
        <v>1256</v>
      </c>
      <c r="C93" s="0" t="s">
        <v>76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2824</v>
      </c>
    </row>
    <row r="94" customFormat="false" ht="17.15" hidden="false" customHeight="false" outlineLevel="0" collapsed="false">
      <c r="A94" s="8" t="s">
        <v>2825</v>
      </c>
    </row>
    <row r="95" customFormat="false" ht="17.15" hidden="false" customHeight="false" outlineLevel="0" collapsed="false">
      <c r="A95" s="0" t="s">
        <v>2826</v>
      </c>
      <c r="B95" s="0" t="s">
        <v>2827</v>
      </c>
      <c r="C95" s="0" t="s">
        <v>76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5.4</v>
      </c>
      <c r="H95" s="27" t="n">
        <f aca="false">Players!I30</f>
        <v>7.294</v>
      </c>
      <c r="I95" s="27" t="n">
        <f aca="false">Players!J30</f>
        <v>7.294</v>
      </c>
      <c r="J95" s="27" t="n">
        <f aca="false">Players!K30</f>
        <v>7.294</v>
      </c>
      <c r="K95" s="27" t="n">
        <f aca="false">Players!L30</f>
        <v>7.294</v>
      </c>
      <c r="L95" s="27" t="n">
        <f aca="false">Players!M30</f>
        <v>7.294</v>
      </c>
      <c r="M95" s="20" t="s">
        <v>2828</v>
      </c>
    </row>
    <row r="96" customFormat="false" ht="17.15" hidden="false" customHeight="false" outlineLevel="0" collapsed="false">
      <c r="A96" s="0" t="s">
        <v>2829</v>
      </c>
      <c r="B96" s="0" t="s">
        <v>2830</v>
      </c>
      <c r="C96" s="0" t="s">
        <v>76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5.59267912772586</v>
      </c>
      <c r="H96" s="27" t="n">
        <f aca="false">Players!I49</f>
        <v>5.59267912772586</v>
      </c>
      <c r="I96" s="27" t="n">
        <f aca="false">Players!J49</f>
        <v>5.59267912772586</v>
      </c>
      <c r="J96" s="27" t="n">
        <f aca="false">Players!K49</f>
        <v>5.59267912772586</v>
      </c>
      <c r="K96" s="27" t="n">
        <f aca="false">Players!L49</f>
        <v>5.59267912772586</v>
      </c>
      <c r="L96" s="27" t="n">
        <f aca="false">Players!M49</f>
        <v>5.59267912772586</v>
      </c>
      <c r="M96" s="20" t="s">
        <v>2831</v>
      </c>
    </row>
    <row r="97" customFormat="false" ht="17.15" hidden="false" customHeight="false" outlineLevel="0" collapsed="false">
      <c r="A97" s="0" t="s">
        <v>2832</v>
      </c>
      <c r="B97" s="0" t="s">
        <v>2833</v>
      </c>
      <c r="C97" s="0" t="s">
        <v>76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2.727</v>
      </c>
      <c r="H97" s="27" t="n">
        <f aca="false">Players!I68</f>
        <v>3.615</v>
      </c>
      <c r="I97" s="27" t="n">
        <f aca="false">Players!J68</f>
        <v>3.615</v>
      </c>
      <c r="J97" s="27" t="n">
        <f aca="false">Players!K68</f>
        <v>3.615</v>
      </c>
      <c r="K97" s="27" t="n">
        <f aca="false">Players!L68</f>
        <v>3.615</v>
      </c>
      <c r="L97" s="27" t="n">
        <f aca="false">Players!M68</f>
        <v>3.615</v>
      </c>
      <c r="M97" s="20" t="s">
        <v>2834</v>
      </c>
    </row>
    <row r="98" customFormat="false" ht="17.15" hidden="false" customHeight="false" outlineLevel="0" collapsed="false">
      <c r="A98" s="0" t="s">
        <v>2835</v>
      </c>
      <c r="B98" s="0" t="s">
        <v>2836</v>
      </c>
      <c r="C98" s="0" t="s">
        <v>76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6.130595</v>
      </c>
      <c r="I98" s="27" t="n">
        <f aca="false">Players!J87</f>
        <v>6.498595</v>
      </c>
      <c r="J98" s="27" t="n">
        <f aca="false">Players!K87</f>
        <v>6.498595</v>
      </c>
      <c r="K98" s="27" t="n">
        <f aca="false">Players!L87</f>
        <v>6.498595</v>
      </c>
      <c r="L98" s="27" t="n">
        <f aca="false">Players!M87</f>
        <v>6.498595</v>
      </c>
      <c r="M98" s="20" t="s">
        <v>2837</v>
      </c>
    </row>
    <row r="99" customFormat="false" ht="17.15" hidden="false" customHeight="false" outlineLevel="0" collapsed="false">
      <c r="A99" s="0" t="s">
        <v>2838</v>
      </c>
      <c r="B99" s="0" t="s">
        <v>2839</v>
      </c>
      <c r="C99" s="0" t="s">
        <v>76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8.499</v>
      </c>
      <c r="I99" s="27" t="n">
        <f aca="false">Players!J106</f>
        <v>8.499</v>
      </c>
      <c r="J99" s="27" t="n">
        <f aca="false">Players!K106</f>
        <v>8.499</v>
      </c>
      <c r="K99" s="27" t="n">
        <f aca="false">Players!L106</f>
        <v>8.499</v>
      </c>
      <c r="L99" s="27" t="n">
        <f aca="false">Players!M106</f>
        <v>8.499</v>
      </c>
      <c r="M99" s="20" t="s">
        <v>2840</v>
      </c>
    </row>
    <row r="100" customFormat="false" ht="17.15" hidden="false" customHeight="false" outlineLevel="0" collapsed="false">
      <c r="A100" s="0" t="s">
        <v>2841</v>
      </c>
      <c r="B100" s="0" t="s">
        <v>2842</v>
      </c>
      <c r="C100" s="0" t="s">
        <v>76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2843</v>
      </c>
    </row>
    <row r="101" customFormat="false" ht="17.15" hidden="false" customHeight="false" outlineLevel="0" collapsed="false">
      <c r="A101" s="0" t="s">
        <v>2844</v>
      </c>
      <c r="B101" s="0" t="s">
        <v>2845</v>
      </c>
      <c r="C101" s="0" t="s">
        <v>76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</v>
      </c>
      <c r="H101" s="27" t="n">
        <f aca="false">Players!I144</f>
        <v>0.9</v>
      </c>
      <c r="I101" s="27" t="n">
        <f aca="false">Players!J144</f>
        <v>0.9</v>
      </c>
      <c r="J101" s="27" t="n">
        <f aca="false">Players!K144</f>
        <v>0.9</v>
      </c>
      <c r="K101" s="27" t="n">
        <f aca="false">Players!L144</f>
        <v>0.9</v>
      </c>
      <c r="L101" s="27" t="n">
        <f aca="false">Players!M144</f>
        <v>0.9</v>
      </c>
      <c r="M101" s="20" t="s">
        <v>2846</v>
      </c>
    </row>
    <row r="102" customFormat="false" ht="17.15" hidden="false" customHeight="false" outlineLevel="0" collapsed="false">
      <c r="A102" s="0" t="s">
        <v>2847</v>
      </c>
      <c r="B102" s="0" t="s">
        <v>2848</v>
      </c>
      <c r="C102" s="0" t="s">
        <v>76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2810</v>
      </c>
    </row>
    <row r="103" customFormat="false" ht="17.15" hidden="false" customHeight="false" outlineLevel="0" collapsed="false">
      <c r="A103" s="0" t="s">
        <v>2849</v>
      </c>
      <c r="B103" s="0" t="s">
        <v>2850</v>
      </c>
      <c r="C103" s="0" t="s">
        <v>76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</v>
      </c>
      <c r="H103" s="27" t="n">
        <f aca="false">Players!I182</f>
        <v>2</v>
      </c>
      <c r="I103" s="27" t="n">
        <f aca="false">Players!J182</f>
        <v>2</v>
      </c>
      <c r="J103" s="27" t="n">
        <f aca="false">Players!K182</f>
        <v>2</v>
      </c>
      <c r="K103" s="27" t="n">
        <f aca="false">Players!L182</f>
        <v>2</v>
      </c>
      <c r="L103" s="27" t="n">
        <f aca="false">Players!M182</f>
        <v>2</v>
      </c>
      <c r="M103" s="20" t="s">
        <v>2812</v>
      </c>
    </row>
    <row r="104" customFormat="false" ht="17.15" hidden="false" customHeight="false" outlineLevel="0" collapsed="false">
      <c r="A104" s="0" t="s">
        <v>2851</v>
      </c>
      <c r="B104" s="0" t="s">
        <v>2852</v>
      </c>
      <c r="C104" s="0" t="s">
        <v>76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</v>
      </c>
      <c r="H104" s="27" t="n">
        <f aca="false">Players!I201</f>
        <v>1.417</v>
      </c>
      <c r="I104" s="27" t="n">
        <f aca="false">Players!J201</f>
        <v>2.834</v>
      </c>
      <c r="J104" s="27" t="n">
        <f aca="false">Players!K201</f>
        <v>4.25</v>
      </c>
      <c r="K104" s="27" t="n">
        <f aca="false">Players!L201</f>
        <v>4.25</v>
      </c>
      <c r="L104" s="27" t="n">
        <f aca="false">Players!M201</f>
        <v>4.25</v>
      </c>
      <c r="M104" s="20" t="s">
        <v>2814</v>
      </c>
    </row>
    <row r="105" customFormat="false" ht="17.15" hidden="false" customHeight="false" outlineLevel="0" collapsed="false">
      <c r="A105" s="0" t="s">
        <v>2853</v>
      </c>
      <c r="B105" s="0" t="s">
        <v>2854</v>
      </c>
      <c r="C105" s="0" t="s">
        <v>76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2816</v>
      </c>
    </row>
    <row r="106" customFormat="false" ht="17.15" hidden="false" customHeight="false" outlineLevel="0" collapsed="false">
      <c r="A106" s="0" t="s">
        <v>2855</v>
      </c>
      <c r="B106" s="5" t="s">
        <v>2856</v>
      </c>
      <c r="C106" s="0" t="s">
        <v>76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</v>
      </c>
      <c r="H106" s="27" t="n">
        <f aca="false">Players!I239</f>
        <v>2.201</v>
      </c>
      <c r="I106" s="27" t="n">
        <f aca="false">Players!J239</f>
        <v>2.201</v>
      </c>
      <c r="J106" s="27" t="n">
        <f aca="false">Players!K239</f>
        <v>2.201</v>
      </c>
      <c r="K106" s="27" t="n">
        <f aca="false">Players!L239</f>
        <v>2.201</v>
      </c>
      <c r="L106" s="27" t="n">
        <f aca="false">Players!M239</f>
        <v>2.201</v>
      </c>
      <c r="M106" s="20" t="s">
        <v>2818</v>
      </c>
    </row>
    <row r="107" customFormat="false" ht="17.15" hidden="false" customHeight="false" outlineLevel="0" collapsed="false">
      <c r="A107" s="0" t="s">
        <v>2857</v>
      </c>
      <c r="B107" s="5" t="s">
        <v>2858</v>
      </c>
      <c r="C107" s="0" t="s">
        <v>76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0.2</v>
      </c>
      <c r="G107" s="27" t="n">
        <f aca="false">Players!H258</f>
        <v>0.2</v>
      </c>
      <c r="H107" s="27" t="n">
        <f aca="false">Players!I258</f>
        <v>0.2</v>
      </c>
      <c r="I107" s="27" t="n">
        <f aca="false">Players!J258</f>
        <v>0.2</v>
      </c>
      <c r="J107" s="27" t="n">
        <f aca="false">Players!K258</f>
        <v>1.9</v>
      </c>
      <c r="K107" s="27" t="n">
        <f aca="false">Players!L258</f>
        <v>1.9</v>
      </c>
      <c r="L107" s="27" t="n">
        <f aca="false">Players!M258</f>
        <v>1.9</v>
      </c>
      <c r="M107" s="20" t="s">
        <v>2820</v>
      </c>
    </row>
    <row r="108" customFormat="false" ht="17.15" hidden="false" customHeight="false" outlineLevel="0" collapsed="false">
      <c r="A108" s="0" t="s">
        <v>2859</v>
      </c>
      <c r="B108" s="5" t="s">
        <v>2860</v>
      </c>
      <c r="C108" s="0" t="s">
        <v>76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2822</v>
      </c>
    </row>
    <row r="109" customFormat="false" ht="17.15" hidden="false" customHeight="false" outlineLevel="0" collapsed="false">
      <c r="A109" s="0" t="s">
        <v>2861</v>
      </c>
      <c r="B109" s="5" t="s">
        <v>2862</v>
      </c>
      <c r="C109" s="0" t="s">
        <v>76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2824</v>
      </c>
    </row>
    <row r="110" customFormat="false" ht="17.15" hidden="false" customHeight="false" outlineLevel="0" collapsed="false">
      <c r="A110" s="8" t="s">
        <v>2863</v>
      </c>
    </row>
    <row r="111" customFormat="false" ht="15" hidden="false" customHeight="false" outlineLevel="0" collapsed="false">
      <c r="A111" s="0" t="s">
        <v>2864</v>
      </c>
      <c r="B111" s="5" t="s">
        <v>2517</v>
      </c>
      <c r="C111" s="0" t="s">
        <v>388</v>
      </c>
      <c r="D111" s="27" t="n">
        <f aca="false">Spend!E8</f>
        <v>22.5302381301231</v>
      </c>
      <c r="E111" s="27" t="n">
        <f aca="false">Spend!F8</f>
        <v>120.526480331681</v>
      </c>
      <c r="F111" s="27" t="n">
        <f aca="false">Spend!G8</f>
        <v>199.877174337859</v>
      </c>
      <c r="G111" s="27" t="n">
        <f aca="false">Spend!H8</f>
        <v>361.408958079326</v>
      </c>
      <c r="H111" s="27" t="n">
        <f aca="false">Spend!I8</f>
        <v>482.692638178589</v>
      </c>
      <c r="I111" s="27" t="n">
        <f aca="false">Spend!J8</f>
        <v>532.357525593599</v>
      </c>
      <c r="J111" s="27" t="n">
        <f aca="false">Spend!K8</f>
        <v>544.729436672824</v>
      </c>
      <c r="K111" s="27" t="n">
        <f aca="false">Spend!L8</f>
        <v>475.522574860178</v>
      </c>
      <c r="L111" s="27" t="n">
        <f aca="false">Spend!M8</f>
        <v>313.658176027872</v>
      </c>
      <c r="M111" s="20" t="s">
        <v>2865</v>
      </c>
    </row>
    <row r="112" customFormat="false" ht="15" hidden="false" customHeight="false" outlineLevel="0" collapsed="false">
      <c r="A112" s="0" t="s">
        <v>2866</v>
      </c>
      <c r="B112" s="5" t="s">
        <v>2522</v>
      </c>
      <c r="C112" s="0" t="s">
        <v>388</v>
      </c>
      <c r="D112" s="27" t="n">
        <f aca="false">Spend!E9</f>
        <v>5.89453904567174</v>
      </c>
      <c r="E112" s="27" t="n">
        <f aca="false">Spend!F9</f>
        <v>31.5330907844513</v>
      </c>
      <c r="F112" s="27" t="n">
        <f aca="false">Spend!G9</f>
        <v>52.2934467744399</v>
      </c>
      <c r="G112" s="27" t="n">
        <f aca="false">Spend!H9</f>
        <v>94.55466926494</v>
      </c>
      <c r="H112" s="27" t="n">
        <f aca="false">Spend!I9</f>
        <v>126.285864639747</v>
      </c>
      <c r="I112" s="27" t="n">
        <f aca="false">Spend!J9</f>
        <v>139.279585184372</v>
      </c>
      <c r="J112" s="27" t="n">
        <f aca="false">Spend!K9</f>
        <v>142.516422385332</v>
      </c>
      <c r="K112" s="27" t="n">
        <f aca="false">Spend!L9</f>
        <v>124.40997598086</v>
      </c>
      <c r="L112" s="27" t="n">
        <f aca="false">Spend!M9</f>
        <v>82.0617321003153</v>
      </c>
      <c r="M112" s="20" t="s">
        <v>2867</v>
      </c>
    </row>
    <row r="113" customFormat="false" ht="15" hidden="false" customHeight="false" outlineLevel="0" collapsed="false">
      <c r="A113" s="0" t="s">
        <v>2868</v>
      </c>
      <c r="B113" s="5" t="s">
        <v>2526</v>
      </c>
      <c r="C113" s="0" t="s">
        <v>388</v>
      </c>
      <c r="D113" s="27" t="n">
        <f aca="false">Spend!E10</f>
        <v>7.64106913327818</v>
      </c>
      <c r="E113" s="27" t="n">
        <f aca="false">Spend!F10</f>
        <v>40.8762287946591</v>
      </c>
      <c r="F113" s="27" t="n">
        <f aca="false">Spend!G10</f>
        <v>67.787801374274</v>
      </c>
      <c r="G113" s="27" t="n">
        <f aca="false">Spend!H10</f>
        <v>122.570867565663</v>
      </c>
      <c r="H113" s="27" t="n">
        <f aca="false">Spend!I10</f>
        <v>163.70389860708</v>
      </c>
      <c r="I113" s="27" t="n">
        <f aca="false">Spend!J10</f>
        <v>180.547610424186</v>
      </c>
      <c r="J113" s="27" t="n">
        <f aca="false">Spend!K10</f>
        <v>184.743510499504</v>
      </c>
      <c r="K113" s="27" t="n">
        <f aca="false">Spend!L10</f>
        <v>161.272191086301</v>
      </c>
      <c r="L113" s="27" t="n">
        <f aca="false">Spend!M10</f>
        <v>106.376319389298</v>
      </c>
      <c r="M113" s="20" t="s">
        <v>2869</v>
      </c>
    </row>
    <row r="114" customFormat="false" ht="15" hidden="false" customHeight="false" outlineLevel="0" collapsed="false">
      <c r="A114" s="0" t="s">
        <v>2870</v>
      </c>
      <c r="B114" s="5" t="s">
        <v>2871</v>
      </c>
      <c r="C114" s="0" t="s">
        <v>388</v>
      </c>
      <c r="D114" s="27" t="n">
        <f aca="false">Spend!E11</f>
        <v>2.3578156182687</v>
      </c>
      <c r="E114" s="27" t="n">
        <f aca="false">Spend!F11</f>
        <v>12.6132363137805</v>
      </c>
      <c r="F114" s="27" t="n">
        <f aca="false">Spend!G11</f>
        <v>20.917378709776</v>
      </c>
      <c r="G114" s="27" t="n">
        <f aca="false">Spend!H11</f>
        <v>37.821867705976</v>
      </c>
      <c r="H114" s="27" t="n">
        <f aca="false">Spend!I11</f>
        <v>50.5143458558989</v>
      </c>
      <c r="I114" s="27" t="n">
        <f aca="false">Spend!J11</f>
        <v>55.7118340737487</v>
      </c>
      <c r="J114" s="27" t="n">
        <f aca="false">Spend!K11</f>
        <v>57.0065689541327</v>
      </c>
      <c r="K114" s="27" t="n">
        <f aca="false">Spend!L11</f>
        <v>49.7639903923442</v>
      </c>
      <c r="L114" s="27" t="n">
        <f aca="false">Spend!M11</f>
        <v>32.8246928401261</v>
      </c>
      <c r="M114" s="20" t="s">
        <v>2872</v>
      </c>
    </row>
    <row r="115" customFormat="false" ht="17.15" hidden="false" customHeight="false" outlineLevel="0" collapsed="false">
      <c r="A115" s="0" t="s">
        <v>2873</v>
      </c>
      <c r="B115" s="5" t="s">
        <v>2532</v>
      </c>
      <c r="C115" s="0" t="s">
        <v>388</v>
      </c>
      <c r="D115" s="27" t="n">
        <f aca="false">Spend!E12</f>
        <v>0.130989756570483</v>
      </c>
      <c r="E115" s="27" t="n">
        <f aca="false">Spend!F12</f>
        <v>0.700735350765585</v>
      </c>
      <c r="F115" s="27" t="n">
        <f aca="false">Spend!G12</f>
        <v>1.16207659498755</v>
      </c>
      <c r="G115" s="27" t="n">
        <f aca="false">Spend!H12</f>
        <v>2.10121487255422</v>
      </c>
      <c r="H115" s="27" t="n">
        <f aca="false">Spend!I12</f>
        <v>2.80635254754994</v>
      </c>
      <c r="I115" s="27" t="n">
        <f aca="false">Spend!J12</f>
        <v>3.09510189298604</v>
      </c>
      <c r="J115" s="27" t="n">
        <f aca="false">Spend!K12</f>
        <v>3.16703160856293</v>
      </c>
      <c r="K115" s="27" t="n">
        <f aca="false">Spend!L12</f>
        <v>2.76466613290801</v>
      </c>
      <c r="L115" s="27" t="n">
        <f aca="false">Spend!M12</f>
        <v>1.82359404667367</v>
      </c>
      <c r="M115" s="20" t="s">
        <v>2874</v>
      </c>
    </row>
    <row r="116" customFormat="false" ht="15" hidden="false" customHeight="false" outlineLevel="0" collapsed="false">
      <c r="A116" s="0" t="s">
        <v>2875</v>
      </c>
      <c r="B116" s="5" t="s">
        <v>2876</v>
      </c>
      <c r="C116" s="0" t="s">
        <v>388</v>
      </c>
      <c r="D116" s="27" t="n">
        <f aca="false">Spend!E13</f>
        <v>2.75078488798014</v>
      </c>
      <c r="E116" s="27" t="n">
        <f aca="false">Spend!F13</f>
        <v>14.7154423660773</v>
      </c>
      <c r="F116" s="27" t="n">
        <f aca="false">Spend!G13</f>
        <v>24.4036084947386</v>
      </c>
      <c r="G116" s="27" t="n">
        <f aca="false">Spend!H13</f>
        <v>44.1255123236386</v>
      </c>
      <c r="H116" s="27" t="n">
        <f aca="false">Spend!I13</f>
        <v>58.9334034985487</v>
      </c>
      <c r="I116" s="27" t="n">
        <f aca="false">Spend!J13</f>
        <v>64.9971397527068</v>
      </c>
      <c r="J116" s="27" t="n">
        <f aca="false">Spend!K13</f>
        <v>66.5076637798215</v>
      </c>
      <c r="K116" s="27" t="n">
        <f aca="false">Spend!L13</f>
        <v>58.0579887910682</v>
      </c>
      <c r="L116" s="27" t="n">
        <f aca="false">Spend!M13</f>
        <v>38.2954749801472</v>
      </c>
      <c r="M116" s="20" t="s">
        <v>2877</v>
      </c>
    </row>
    <row r="117" customFormat="false" ht="15" hidden="false" customHeight="false" outlineLevel="0" collapsed="false">
      <c r="A117" s="0" t="s">
        <v>2878</v>
      </c>
      <c r="B117" s="5" t="s">
        <v>2540</v>
      </c>
      <c r="C117" s="0" t="s">
        <v>388</v>
      </c>
      <c r="D117" s="27" t="n">
        <f aca="false">Spend!E14</f>
        <v>2.00850960074741</v>
      </c>
      <c r="E117" s="27" t="n">
        <f aca="false">Spend!F14</f>
        <v>10.744608711739</v>
      </c>
      <c r="F117" s="27" t="n">
        <f aca="false">Spend!G14</f>
        <v>17.8185077898092</v>
      </c>
      <c r="G117" s="27" t="n">
        <f aca="false">Spend!H14</f>
        <v>32.2186280458314</v>
      </c>
      <c r="H117" s="27" t="n">
        <f aca="false">Spend!I14</f>
        <v>43.0307390624324</v>
      </c>
      <c r="I117" s="27" t="n">
        <f aca="false">Spend!J14</f>
        <v>47.458229025786</v>
      </c>
      <c r="J117" s="27" t="n">
        <f aca="false">Spend!K14</f>
        <v>48.5611513312982</v>
      </c>
      <c r="K117" s="27" t="n">
        <f aca="false">Spend!L14</f>
        <v>42.3915473712561</v>
      </c>
      <c r="L117" s="27" t="n">
        <f aca="false">Spend!M14</f>
        <v>27.9617753823297</v>
      </c>
      <c r="M117" s="20" t="s">
        <v>2879</v>
      </c>
    </row>
    <row r="118" customFormat="false" ht="15" hidden="false" customHeight="false" outlineLevel="0" collapsed="false">
      <c r="A118" s="0" t="s">
        <v>2880</v>
      </c>
      <c r="B118" s="5" t="s">
        <v>2544</v>
      </c>
      <c r="C118" s="0" t="s">
        <v>388</v>
      </c>
      <c r="D118" s="27" t="n">
        <f aca="false">Spend!E15</f>
        <v>0.349306017521288</v>
      </c>
      <c r="E118" s="27" t="n">
        <f aca="false">Spend!F15</f>
        <v>1.86862760204156</v>
      </c>
      <c r="F118" s="27" t="n">
        <f aca="false">Spend!G15</f>
        <v>3.09887091996681</v>
      </c>
      <c r="G118" s="27" t="n">
        <f aca="false">Spend!H15</f>
        <v>5.60323966014459</v>
      </c>
      <c r="H118" s="27" t="n">
        <f aca="false">Spend!I15</f>
        <v>7.4836067934665</v>
      </c>
      <c r="I118" s="27" t="n">
        <f aca="false">Spend!J15</f>
        <v>8.25360504796277</v>
      </c>
      <c r="J118" s="27" t="n">
        <f aca="false">Spend!K15</f>
        <v>8.44541762283448</v>
      </c>
      <c r="K118" s="27" t="n">
        <f aca="false">Spend!L15</f>
        <v>7.37244302108802</v>
      </c>
      <c r="L118" s="27" t="n">
        <f aca="false">Spend!M15</f>
        <v>4.86291745779646</v>
      </c>
      <c r="M118" s="20" t="s">
        <v>2881</v>
      </c>
    </row>
    <row r="119" customFormat="false" ht="17.15" hidden="false" customHeight="false" outlineLevel="0" collapsed="false">
      <c r="A119" s="0" t="s">
        <v>2882</v>
      </c>
      <c r="B119" s="0" t="s">
        <v>2883</v>
      </c>
      <c r="C119" s="0" t="s">
        <v>388</v>
      </c>
      <c r="D119" s="27" t="n">
        <f aca="false">Spend!E16</f>
        <v>43.663252190161</v>
      </c>
      <c r="E119" s="27" t="n">
        <f aca="false">Spend!F16</f>
        <v>233.578450255195</v>
      </c>
      <c r="F119" s="27" t="n">
        <f aca="false">Spend!G16</f>
        <v>387.358864995851</v>
      </c>
      <c r="G119" s="27" t="n">
        <f aca="false">Spend!H16</f>
        <v>700.404957518074</v>
      </c>
      <c r="H119" s="27" t="n">
        <f aca="false">Spend!I16</f>
        <v>935.450849183312</v>
      </c>
      <c r="I119" s="27" t="n">
        <f aca="false">Spend!J16</f>
        <v>1031.70063099535</v>
      </c>
      <c r="J119" s="27" t="n">
        <f aca="false">Spend!K16</f>
        <v>1055.67720285431</v>
      </c>
      <c r="K119" s="27" t="n">
        <f aca="false">Spend!L16</f>
        <v>921.555377636003</v>
      </c>
      <c r="L119" s="27" t="n">
        <f aca="false">Spend!M16</f>
        <v>607.864682224558</v>
      </c>
      <c r="M119" s="20" t="s">
        <v>2884</v>
      </c>
    </row>
    <row r="120" customFormat="false" ht="15" hidden="false" customHeight="false" outlineLevel="0" collapsed="false">
      <c r="A120" s="0" t="s">
        <v>2885</v>
      </c>
      <c r="B120" s="5" t="s">
        <v>2886</v>
      </c>
      <c r="C120" s="0" t="s">
        <v>388</v>
      </c>
      <c r="D120" s="27" t="n">
        <f aca="false">Spend!E18</f>
        <v>4.13051127590411</v>
      </c>
      <c r="E120" s="27" t="n">
        <f aca="false">Spend!F18</f>
        <v>23.0752669518602</v>
      </c>
      <c r="F120" s="27" t="n">
        <f aca="false">Spend!G18</f>
        <v>31.4041972257009</v>
      </c>
      <c r="G120" s="27" t="n">
        <f aca="false">Spend!H18</f>
        <v>51.4009975113945</v>
      </c>
      <c r="H120" s="27" t="n">
        <f aca="false">Spend!I18</f>
        <v>64.5080966383419</v>
      </c>
      <c r="I120" s="27" t="n">
        <f aca="false">Spend!J18</f>
        <v>71.2252436675014</v>
      </c>
      <c r="J120" s="27" t="n">
        <f aca="false">Spend!K18</f>
        <v>72.8805079192237</v>
      </c>
      <c r="K120" s="27" t="n">
        <f aca="false">Spend!L18</f>
        <v>63.6211749351121</v>
      </c>
      <c r="L120" s="27" t="n">
        <f aca="false">Spend!M18</f>
        <v>41.9649933397275</v>
      </c>
      <c r="M120" s="20" t="s">
        <v>2887</v>
      </c>
    </row>
    <row r="121" customFormat="false" ht="17.15" hidden="false" customHeight="false" outlineLevel="0" collapsed="false">
      <c r="A121" s="0" t="s">
        <v>2888</v>
      </c>
      <c r="B121" s="5" t="s">
        <v>2889</v>
      </c>
      <c r="C121" s="0" t="s">
        <v>388</v>
      </c>
      <c r="D121" s="27" t="n">
        <f aca="false">Spend!E19</f>
        <v>2.59169334958689</v>
      </c>
      <c r="E121" s="27" t="n">
        <f aca="false">Spend!F19</f>
        <v>14.4785988717554</v>
      </c>
      <c r="F121" s="27" t="n">
        <f aca="false">Spend!G19</f>
        <v>19.7045943376947</v>
      </c>
      <c r="G121" s="27" t="n">
        <f aca="false">Spend!H19</f>
        <v>32.2516062816593</v>
      </c>
      <c r="H121" s="27" t="n">
        <f aca="false">Spend!I19</f>
        <v>40.4756684789596</v>
      </c>
      <c r="I121" s="27" t="n">
        <f aca="false">Spend!J19</f>
        <v>44.690348967844</v>
      </c>
      <c r="J121" s="27" t="n">
        <f aca="false">Spend!K19</f>
        <v>45.7289461453953</v>
      </c>
      <c r="K121" s="27" t="n">
        <f aca="false">Spend!L19</f>
        <v>39.919168586737</v>
      </c>
      <c r="L121" s="27" t="n">
        <f aca="false">Spend!M19</f>
        <v>26.3309762131624</v>
      </c>
      <c r="M121" s="20" t="s">
        <v>2890</v>
      </c>
    </row>
    <row r="122" customFormat="false" ht="17.15" hidden="false" customHeight="false" outlineLevel="0" collapsed="false">
      <c r="A122" s="0" t="s">
        <v>2891</v>
      </c>
      <c r="B122" s="0" t="s">
        <v>236</v>
      </c>
      <c r="C122" s="0" t="s">
        <v>388</v>
      </c>
      <c r="D122" s="27" t="n">
        <f aca="false">Spend!E20</f>
        <v>1.21485625761885</v>
      </c>
      <c r="E122" s="27" t="n">
        <f aca="false">Spend!F20</f>
        <v>6.78684322113536</v>
      </c>
      <c r="F122" s="27" t="n">
        <f aca="false">Spend!G20</f>
        <v>9.23652859579439</v>
      </c>
      <c r="G122" s="27" t="n">
        <f aca="false">Spend!H20</f>
        <v>15.1179404445278</v>
      </c>
      <c r="H122" s="27" t="n">
        <f aca="false">Spend!I20</f>
        <v>18.9729695995123</v>
      </c>
      <c r="I122" s="27" t="n">
        <f aca="false">Spend!J20</f>
        <v>20.9486010786769</v>
      </c>
      <c r="J122" s="27" t="n">
        <f aca="false">Spend!K20</f>
        <v>21.435443505654</v>
      </c>
      <c r="K122" s="27" t="n">
        <f aca="false">Spend!L20</f>
        <v>18.712110275033</v>
      </c>
      <c r="L122" s="27" t="n">
        <f aca="false">Spend!M20</f>
        <v>12.3426450999199</v>
      </c>
      <c r="M122" s="20" t="s">
        <v>2892</v>
      </c>
    </row>
    <row r="123" customFormat="false" ht="15" hidden="false" customHeight="false" outlineLevel="0" collapsed="false">
      <c r="A123" s="0" t="s">
        <v>2893</v>
      </c>
      <c r="B123" s="5" t="s">
        <v>2894</v>
      </c>
      <c r="C123" s="0" t="s">
        <v>388</v>
      </c>
      <c r="D123" s="27" t="n">
        <f aca="false">Spend!E21</f>
        <v>3.07763585263443</v>
      </c>
      <c r="E123" s="27" t="n">
        <f aca="false">Spend!F21</f>
        <v>17.1933361602096</v>
      </c>
      <c r="F123" s="27" t="n">
        <f aca="false">Spend!G21</f>
        <v>23.3992057760125</v>
      </c>
      <c r="G123" s="27" t="n">
        <f aca="false">Spend!H21</f>
        <v>38.2987824594704</v>
      </c>
      <c r="H123" s="27" t="n">
        <f aca="false">Spend!I21</f>
        <v>48.0648563187646</v>
      </c>
      <c r="I123" s="27" t="n">
        <f aca="false">Spend!J21</f>
        <v>53.0697893993147</v>
      </c>
      <c r="J123" s="27" t="n">
        <f aca="false">Spend!K21</f>
        <v>54.3031235476569</v>
      </c>
      <c r="K123" s="27" t="n">
        <f aca="false">Spend!L21</f>
        <v>47.4040126967502</v>
      </c>
      <c r="L123" s="27" t="n">
        <f aca="false">Spend!M21</f>
        <v>31.2680342531303</v>
      </c>
      <c r="M123" s="20" t="s">
        <v>2895</v>
      </c>
    </row>
    <row r="124" customFormat="false" ht="15" hidden="false" customHeight="false" outlineLevel="0" collapsed="false">
      <c r="A124" s="0" t="s">
        <v>2896</v>
      </c>
      <c r="B124" s="5" t="s">
        <v>2897</v>
      </c>
      <c r="C124" s="0" t="s">
        <v>388</v>
      </c>
      <c r="D124" s="27" t="n">
        <f aca="false">Spend!E22</f>
        <v>2.75367418393607</v>
      </c>
      <c r="E124" s="27" t="n">
        <f aca="false">Spend!F22</f>
        <v>15.3835113012402</v>
      </c>
      <c r="F124" s="27" t="n">
        <f aca="false">Spend!G22</f>
        <v>20.9361314838006</v>
      </c>
      <c r="G124" s="27" t="n">
        <f aca="false">Spend!H22</f>
        <v>34.267331674263</v>
      </c>
      <c r="H124" s="27" t="n">
        <f aca="false">Spend!I22</f>
        <v>43.0053977588946</v>
      </c>
      <c r="I124" s="27" t="n">
        <f aca="false">Spend!J22</f>
        <v>47.4834957783342</v>
      </c>
      <c r="J124" s="27" t="n">
        <f aca="false">Spend!K22</f>
        <v>48.5870052794825</v>
      </c>
      <c r="K124" s="27" t="n">
        <f aca="false">Spend!L22</f>
        <v>42.4141166234081</v>
      </c>
      <c r="L124" s="27" t="n">
        <f aca="false">Spend!M22</f>
        <v>27.976662226485</v>
      </c>
      <c r="M124" s="20" t="s">
        <v>2898</v>
      </c>
    </row>
    <row r="125" customFormat="false" ht="15" hidden="false" customHeight="false" outlineLevel="0" collapsed="false">
      <c r="A125" s="0" t="s">
        <v>2899</v>
      </c>
      <c r="B125" s="5" t="s">
        <v>245</v>
      </c>
      <c r="C125" s="0" t="s">
        <v>388</v>
      </c>
      <c r="D125" s="27" t="n">
        <f aca="false">Spend!E23</f>
        <v>4.77843461330083</v>
      </c>
      <c r="E125" s="27" t="n">
        <f aca="false">Spend!F23</f>
        <v>26.6949166697991</v>
      </c>
      <c r="F125" s="27" t="n">
        <f aca="false">Spend!G23</f>
        <v>36.3303458101246</v>
      </c>
      <c r="G125" s="27" t="n">
        <f aca="false">Spend!H23</f>
        <v>59.4638990818093</v>
      </c>
      <c r="H125" s="27" t="n">
        <f aca="false">Spend!I23</f>
        <v>74.6270137580818</v>
      </c>
      <c r="I125" s="27" t="n">
        <f aca="false">Spend!J23</f>
        <v>82.3978309094624</v>
      </c>
      <c r="J125" s="27" t="n">
        <f aca="false">Spend!K23</f>
        <v>84.3127444555725</v>
      </c>
      <c r="K125" s="27" t="n">
        <f aca="false">Spend!L23</f>
        <v>73.6009670817964</v>
      </c>
      <c r="L125" s="27" t="n">
        <f aca="false">Spend!M23</f>
        <v>48.5477373930181</v>
      </c>
      <c r="M125" s="20" t="s">
        <v>2900</v>
      </c>
    </row>
    <row r="126" customFormat="false" ht="17.15" hidden="false" customHeight="false" outlineLevel="0" collapsed="false">
      <c r="A126" s="0" t="s">
        <v>2901</v>
      </c>
      <c r="B126" s="5" t="s">
        <v>2902</v>
      </c>
      <c r="C126" s="0" t="s">
        <v>388</v>
      </c>
      <c r="D126" s="27" t="n">
        <f aca="false">Spend!E24</f>
        <v>1.13386584044426</v>
      </c>
      <c r="E126" s="27" t="n">
        <f aca="false">Spend!F24</f>
        <v>6.334387006393</v>
      </c>
      <c r="F126" s="27" t="n">
        <f aca="false">Spend!G24</f>
        <v>8.62076002274143</v>
      </c>
      <c r="G126" s="27" t="n">
        <f aca="false">Spend!H24</f>
        <v>14.1100777482259</v>
      </c>
      <c r="H126" s="27" t="n">
        <f aca="false">Spend!I24</f>
        <v>17.7081049595448</v>
      </c>
      <c r="I126" s="27" t="n">
        <f aca="false">Spend!J24</f>
        <v>19.5520276734317</v>
      </c>
      <c r="J126" s="27" t="n">
        <f aca="false">Spend!K24</f>
        <v>20.0064139386104</v>
      </c>
      <c r="K126" s="27" t="n">
        <f aca="false">Spend!L24</f>
        <v>17.4646362566975</v>
      </c>
      <c r="L126" s="27" t="n">
        <f aca="false">Spend!M24</f>
        <v>11.5198020932585</v>
      </c>
      <c r="M126" s="20" t="s">
        <v>2903</v>
      </c>
    </row>
    <row r="127" customFormat="false" ht="17.15" hidden="false" customHeight="false" outlineLevel="0" collapsed="false">
      <c r="A127" s="0" t="s">
        <v>2904</v>
      </c>
      <c r="B127" s="5" t="s">
        <v>251</v>
      </c>
      <c r="C127" s="0" t="s">
        <v>388</v>
      </c>
      <c r="D127" s="27" t="n">
        <f aca="false">Spend!E25</f>
        <v>0.485942503047542</v>
      </c>
      <c r="E127" s="27" t="n">
        <f aca="false">Spend!F25</f>
        <v>2.71473728845414</v>
      </c>
      <c r="F127" s="27" t="n">
        <f aca="false">Spend!G25</f>
        <v>3.69461143831776</v>
      </c>
      <c r="G127" s="27" t="n">
        <f aca="false">Spend!H25</f>
        <v>6.04717617781112</v>
      </c>
      <c r="H127" s="27" t="n">
        <f aca="false">Spend!I25</f>
        <v>7.58918783980493</v>
      </c>
      <c r="I127" s="27" t="n">
        <f aca="false">Spend!J25</f>
        <v>8.37944043147075</v>
      </c>
      <c r="J127" s="27" t="n">
        <f aca="false">Spend!K25</f>
        <v>8.57417740226161</v>
      </c>
      <c r="K127" s="27" t="n">
        <f aca="false">Spend!L25</f>
        <v>7.48484411001319</v>
      </c>
      <c r="L127" s="27" t="n">
        <f aca="false">Spend!M25</f>
        <v>4.93705803996795</v>
      </c>
      <c r="M127" s="20" t="s">
        <v>2905</v>
      </c>
    </row>
    <row r="128" customFormat="false" ht="15" hidden="false" customHeight="false" outlineLevel="0" collapsed="false">
      <c r="A128" s="0" t="s">
        <v>2906</v>
      </c>
      <c r="B128" s="5" t="s">
        <v>254</v>
      </c>
      <c r="C128" s="0" t="s">
        <v>388</v>
      </c>
      <c r="D128" s="27" t="n">
        <f aca="false">Spend!E26</f>
        <v>0.323961668698361</v>
      </c>
      <c r="E128" s="27" t="n">
        <f aca="false">Spend!F26</f>
        <v>1.80982485896943</v>
      </c>
      <c r="F128" s="27" t="n">
        <f aca="false">Spend!G26</f>
        <v>2.46307429221184</v>
      </c>
      <c r="G128" s="27" t="n">
        <f aca="false">Spend!H26</f>
        <v>4.03145078520741</v>
      </c>
      <c r="H128" s="27" t="n">
        <f aca="false">Spend!I26</f>
        <v>5.05945855986995</v>
      </c>
      <c r="I128" s="27" t="n">
        <f aca="false">Spend!J26</f>
        <v>5.5862936209805</v>
      </c>
      <c r="J128" s="27" t="n">
        <f aca="false">Spend!K26</f>
        <v>5.71611826817441</v>
      </c>
      <c r="K128" s="27" t="n">
        <f aca="false">Spend!L26</f>
        <v>4.98989607334213</v>
      </c>
      <c r="L128" s="27" t="n">
        <f aca="false">Spend!M26</f>
        <v>3.2913720266453</v>
      </c>
      <c r="M128" s="20" t="s">
        <v>2907</v>
      </c>
    </row>
    <row r="129" customFormat="false" ht="15" hidden="false" customHeight="false" outlineLevel="0" collapsed="false">
      <c r="A129" s="0" t="s">
        <v>2908</v>
      </c>
      <c r="B129" s="5" t="s">
        <v>2909</v>
      </c>
      <c r="C129" s="0" t="s">
        <v>388</v>
      </c>
      <c r="D129" s="27" t="n">
        <f aca="false">Spend!E27</f>
        <v>0.0323961668698383</v>
      </c>
      <c r="E129" s="27" t="n">
        <f aca="false">Spend!F27</f>
        <v>0.180982485896955</v>
      </c>
      <c r="F129" s="27" t="n">
        <f aca="false">Spend!G27</f>
        <v>0.2463074292212</v>
      </c>
      <c r="G129" s="27" t="n">
        <f aca="false">Spend!H27</f>
        <v>0.403145078520768</v>
      </c>
      <c r="H129" s="27" t="n">
        <f aca="false">Spend!I27</f>
        <v>0.505945855987029</v>
      </c>
      <c r="I129" s="27" t="n">
        <f aca="false">Spend!J27</f>
        <v>0.558629362098088</v>
      </c>
      <c r="J129" s="27" t="n">
        <f aca="false">Spend!K27</f>
        <v>0.571611826817479</v>
      </c>
      <c r="K129" s="27" t="n">
        <f aca="false">Spend!L27</f>
        <v>0.498989607334247</v>
      </c>
      <c r="L129" s="27" t="n">
        <f aca="false">Spend!M27</f>
        <v>0.329137202664552</v>
      </c>
      <c r="M129" s="20" t="s">
        <v>2910</v>
      </c>
    </row>
    <row r="130" customFormat="false" ht="15" hidden="false" customHeight="false" outlineLevel="0" collapsed="false">
      <c r="A130" s="0" t="s">
        <v>2911</v>
      </c>
      <c r="B130" s="5" t="s">
        <v>2912</v>
      </c>
      <c r="C130" s="0" t="s">
        <v>388</v>
      </c>
      <c r="D130" s="27" t="n">
        <f aca="false">Spend!E28</f>
        <v>20.5229717120412</v>
      </c>
      <c r="E130" s="27" t="n">
        <f aca="false">Spend!F28</f>
        <v>114.652404815713</v>
      </c>
      <c r="F130" s="27" t="n">
        <f aca="false">Spend!G28</f>
        <v>156.03575641162</v>
      </c>
      <c r="G130" s="27" t="n">
        <f aca="false">Spend!H28</f>
        <v>255.392407242889</v>
      </c>
      <c r="H130" s="27" t="n">
        <f aca="false">Spend!I28</f>
        <v>320.516699767762</v>
      </c>
      <c r="I130" s="27" t="n">
        <f aca="false">Spend!J28</f>
        <v>353.891700889115</v>
      </c>
      <c r="J130" s="27" t="n">
        <f aca="false">Spend!K28</f>
        <v>362.116092288849</v>
      </c>
      <c r="K130" s="27" t="n">
        <f aca="false">Spend!L28</f>
        <v>316.109916246224</v>
      </c>
      <c r="L130" s="27" t="n">
        <f aca="false">Spend!M28</f>
        <v>208.50841788798</v>
      </c>
      <c r="M130" s="20" t="s">
        <v>2913</v>
      </c>
    </row>
    <row r="131" customFormat="false" ht="17.15" hidden="false" customHeight="false" outlineLevel="0" collapsed="false">
      <c r="A131" s="0" t="s">
        <v>2914</v>
      </c>
      <c r="B131" s="0" t="s">
        <v>2572</v>
      </c>
      <c r="C131" s="0" t="s">
        <v>388</v>
      </c>
      <c r="D131" s="27" t="n">
        <f aca="false">Spend!E29</f>
        <v>0.746407684681024</v>
      </c>
      <c r="E131" s="27" t="n">
        <f aca="false">Spend!F29</f>
        <v>4.16983647506557</v>
      </c>
      <c r="F131" s="27" t="n">
        <f aca="false">Spend!G29</f>
        <v>5.67492316925608</v>
      </c>
      <c r="G131" s="27" t="n">
        <f aca="false">Spend!H29</f>
        <v>9.28846260911787</v>
      </c>
      <c r="H131" s="27" t="n">
        <f aca="false">Spend!I29</f>
        <v>11.6569925219404</v>
      </c>
      <c r="I131" s="27" t="n">
        <f aca="false">Spend!J29</f>
        <v>12.8708205027391</v>
      </c>
      <c r="J131" s="27" t="n">
        <f aca="false">Spend!K29</f>
        <v>13.1699364898738</v>
      </c>
      <c r="K131" s="27" t="n">
        <f aca="false">Spend!L29</f>
        <v>11.4967205529803</v>
      </c>
      <c r="L131" s="27" t="n">
        <f aca="false">Spend!M29</f>
        <v>7.58332114939076</v>
      </c>
      <c r="M131" s="20" t="s">
        <v>2915</v>
      </c>
    </row>
    <row r="132" customFormat="false" ht="17.15" hidden="false" customHeight="false" outlineLevel="0" collapsed="false">
      <c r="A132" s="0" t="s">
        <v>2916</v>
      </c>
      <c r="B132" s="5" t="s">
        <v>2917</v>
      </c>
      <c r="C132" s="0" t="s">
        <v>388</v>
      </c>
      <c r="D132" s="27" t="n">
        <f aca="false">Spend!E30</f>
        <v>64.9326315868833</v>
      </c>
      <c r="E132" s="27" t="n">
        <f aca="false">Spend!F30</f>
        <v>352.400691545974</v>
      </c>
      <c r="F132" s="27" t="n">
        <f aca="false">Spend!G30</f>
        <v>549.069544576727</v>
      </c>
      <c r="G132" s="27" t="n">
        <f aca="false">Spend!H30</f>
        <v>965.085827370081</v>
      </c>
      <c r="H132" s="27" t="n">
        <f aca="false">Spend!I30</f>
        <v>1267.62454147301</v>
      </c>
      <c r="I132" s="27" t="n">
        <f aca="false">Spend!J30</f>
        <v>1398.4631523872</v>
      </c>
      <c r="J132" s="27" t="n">
        <f aca="false">Spend!K30</f>
        <v>1430.96323163303</v>
      </c>
      <c r="K132" s="27" t="n">
        <f aca="false">Spend!L30</f>
        <v>1249.16201443521</v>
      </c>
      <c r="L132" s="27" t="n">
        <f aca="false">Spend!M30</f>
        <v>823.956421261928</v>
      </c>
      <c r="M132" s="20" t="s">
        <v>2918</v>
      </c>
    </row>
    <row r="133" customFormat="false" ht="17.15" hidden="false" customHeight="false" outlineLevel="0" collapsed="false">
      <c r="A133" s="8" t="s">
        <v>2919</v>
      </c>
    </row>
    <row r="134" customFormat="false" ht="15" hidden="false" customHeight="false" outlineLevel="0" collapsed="false">
      <c r="A134" s="0" t="s">
        <v>2920</v>
      </c>
      <c r="B134" s="5" t="s">
        <v>2886</v>
      </c>
      <c r="C134" s="0" t="s">
        <v>224</v>
      </c>
      <c r="D134" s="27" t="n">
        <f aca="false">Facility!E5</f>
        <v>2.55</v>
      </c>
      <c r="E134" s="27" t="n">
        <f aca="false">Facility!F5</f>
        <v>2.55</v>
      </c>
      <c r="F134" s="27" t="n">
        <f aca="false">Facility!G5</f>
        <v>2.55</v>
      </c>
      <c r="G134" s="27" t="n">
        <f aca="false">Facility!H5</f>
        <v>2.55</v>
      </c>
      <c r="H134" s="27" t="n">
        <f aca="false">Facility!I5</f>
        <v>2.55</v>
      </c>
      <c r="I134" s="27" t="n">
        <f aca="false">Facility!J5</f>
        <v>2.55</v>
      </c>
      <c r="J134" s="27" t="n">
        <f aca="false">Facility!K5</f>
        <v>2.55</v>
      </c>
      <c r="K134" s="27" t="n">
        <f aca="false">Facility!L5</f>
        <v>2.55</v>
      </c>
      <c r="L134" s="27" t="n">
        <f aca="false">Facility!M5</f>
        <v>2.55</v>
      </c>
      <c r="M134" s="20" t="s">
        <v>2921</v>
      </c>
    </row>
    <row r="135" customFormat="false" ht="17.15" hidden="false" customHeight="false" outlineLevel="0" collapsed="false">
      <c r="A135" s="0" t="s">
        <v>2922</v>
      </c>
      <c r="B135" s="5" t="s">
        <v>2889</v>
      </c>
      <c r="C135" s="0" t="s">
        <v>224</v>
      </c>
      <c r="D135" s="27" t="n">
        <f aca="false">Facility!E6</f>
        <v>1.6</v>
      </c>
      <c r="E135" s="27" t="n">
        <f aca="false">Facility!F6</f>
        <v>1.6</v>
      </c>
      <c r="F135" s="27" t="n">
        <f aca="false">Facility!G6</f>
        <v>1.6</v>
      </c>
      <c r="G135" s="27" t="n">
        <f aca="false">Facility!H6</f>
        <v>1.6</v>
      </c>
      <c r="H135" s="27" t="n">
        <f aca="false">Facility!I6</f>
        <v>1.6</v>
      </c>
      <c r="I135" s="27" t="n">
        <f aca="false">Facility!J6</f>
        <v>1.6</v>
      </c>
      <c r="J135" s="27" t="n">
        <f aca="false">Facility!K6</f>
        <v>1.6</v>
      </c>
      <c r="K135" s="27" t="n">
        <f aca="false">Facility!L6</f>
        <v>1.6</v>
      </c>
      <c r="L135" s="27" t="n">
        <f aca="false">Facility!M6</f>
        <v>1.6</v>
      </c>
      <c r="M135" s="20" t="s">
        <v>2923</v>
      </c>
    </row>
    <row r="136" customFormat="false" ht="17.15" hidden="false" customHeight="false" outlineLevel="0" collapsed="false">
      <c r="A136" s="0" t="s">
        <v>2924</v>
      </c>
      <c r="B136" s="0" t="s">
        <v>236</v>
      </c>
      <c r="C136" s="0" t="s">
        <v>224</v>
      </c>
      <c r="D136" s="27" t="n">
        <f aca="false">Facility!E7</f>
        <v>0.75</v>
      </c>
      <c r="E136" s="27" t="n">
        <f aca="false">Facility!F7</f>
        <v>0.75</v>
      </c>
      <c r="F136" s="27" t="n">
        <f aca="false">Facility!G7</f>
        <v>0.75</v>
      </c>
      <c r="G136" s="27" t="n">
        <f aca="false">Facility!H7</f>
        <v>0.75</v>
      </c>
      <c r="H136" s="27" t="n">
        <f aca="false">Facility!I7</f>
        <v>0.75</v>
      </c>
      <c r="I136" s="27" t="n">
        <f aca="false">Facility!J7</f>
        <v>0.75</v>
      </c>
      <c r="J136" s="27" t="n">
        <f aca="false">Facility!K7</f>
        <v>0.75</v>
      </c>
      <c r="K136" s="27" t="n">
        <f aca="false">Facility!L7</f>
        <v>0.75</v>
      </c>
      <c r="L136" s="27" t="n">
        <f aca="false">Facility!M7</f>
        <v>0.75</v>
      </c>
      <c r="M136" s="20" t="s">
        <v>2925</v>
      </c>
    </row>
    <row r="137" customFormat="false" ht="15" hidden="false" customHeight="false" outlineLevel="0" collapsed="false">
      <c r="A137" s="0" t="s">
        <v>2926</v>
      </c>
      <c r="B137" s="5" t="s">
        <v>2894</v>
      </c>
      <c r="C137" s="0" t="s">
        <v>224</v>
      </c>
      <c r="D137" s="27" t="n">
        <f aca="false">Facility!E8</f>
        <v>1.9</v>
      </c>
      <c r="E137" s="27" t="n">
        <f aca="false">Facility!F8</f>
        <v>1.9</v>
      </c>
      <c r="F137" s="27" t="n">
        <f aca="false">Facility!G8</f>
        <v>1.9</v>
      </c>
      <c r="G137" s="27" t="n">
        <f aca="false">Facility!H8</f>
        <v>1.9</v>
      </c>
      <c r="H137" s="27" t="n">
        <f aca="false">Facility!I8</f>
        <v>1.9</v>
      </c>
      <c r="I137" s="27" t="n">
        <f aca="false">Facility!J8</f>
        <v>1.9</v>
      </c>
      <c r="J137" s="27" t="n">
        <f aca="false">Facility!K8</f>
        <v>1.9</v>
      </c>
      <c r="K137" s="27" t="n">
        <f aca="false">Facility!L8</f>
        <v>1.9</v>
      </c>
      <c r="L137" s="27" t="n">
        <f aca="false">Facility!M8</f>
        <v>1.9</v>
      </c>
      <c r="M137" s="20" t="s">
        <v>2927</v>
      </c>
    </row>
    <row r="138" customFormat="false" ht="15" hidden="false" customHeight="false" outlineLevel="0" collapsed="false">
      <c r="A138" s="0" t="s">
        <v>2928</v>
      </c>
      <c r="B138" s="5" t="s">
        <v>2897</v>
      </c>
      <c r="C138" s="0" t="s">
        <v>224</v>
      </c>
      <c r="D138" s="27" t="n">
        <f aca="false">Facility!E9</f>
        <v>1.7</v>
      </c>
      <c r="E138" s="27" t="n">
        <f aca="false">Facility!F9</f>
        <v>1.7</v>
      </c>
      <c r="F138" s="27" t="n">
        <f aca="false">Facility!G9</f>
        <v>1.7</v>
      </c>
      <c r="G138" s="27" t="n">
        <f aca="false">Facility!H9</f>
        <v>1.7</v>
      </c>
      <c r="H138" s="27" t="n">
        <f aca="false">Facility!I9</f>
        <v>1.7</v>
      </c>
      <c r="I138" s="27" t="n">
        <f aca="false">Facility!J9</f>
        <v>1.7</v>
      </c>
      <c r="J138" s="27" t="n">
        <f aca="false">Facility!K9</f>
        <v>1.7</v>
      </c>
      <c r="K138" s="27" t="n">
        <f aca="false">Facility!L9</f>
        <v>1.7</v>
      </c>
      <c r="L138" s="27" t="n">
        <f aca="false">Facility!M9</f>
        <v>1.7</v>
      </c>
      <c r="M138" s="20" t="s">
        <v>2929</v>
      </c>
    </row>
    <row r="139" customFormat="false" ht="15" hidden="false" customHeight="false" outlineLevel="0" collapsed="false">
      <c r="A139" s="0" t="s">
        <v>2930</v>
      </c>
      <c r="B139" s="5" t="s">
        <v>245</v>
      </c>
      <c r="C139" s="0" t="s">
        <v>224</v>
      </c>
      <c r="D139" s="27" t="n">
        <f aca="false">Facility!E10</f>
        <v>2.95</v>
      </c>
      <c r="E139" s="27" t="n">
        <f aca="false">Facility!F10</f>
        <v>2.95</v>
      </c>
      <c r="F139" s="27" t="n">
        <f aca="false">Facility!G10</f>
        <v>2.95</v>
      </c>
      <c r="G139" s="27" t="n">
        <f aca="false">Facility!H10</f>
        <v>2.95</v>
      </c>
      <c r="H139" s="27" t="n">
        <f aca="false">Facility!I10</f>
        <v>2.95</v>
      </c>
      <c r="I139" s="27" t="n">
        <f aca="false">Facility!J10</f>
        <v>2.95</v>
      </c>
      <c r="J139" s="27" t="n">
        <f aca="false">Facility!K10</f>
        <v>2.95</v>
      </c>
      <c r="K139" s="27" t="n">
        <f aca="false">Facility!L10</f>
        <v>2.95</v>
      </c>
      <c r="L139" s="27" t="n">
        <f aca="false">Facility!M10</f>
        <v>2.95</v>
      </c>
      <c r="M139" s="20" t="s">
        <v>2931</v>
      </c>
    </row>
    <row r="140" customFormat="false" ht="17.15" hidden="false" customHeight="false" outlineLevel="0" collapsed="false">
      <c r="A140" s="0" t="s">
        <v>2932</v>
      </c>
      <c r="B140" s="5" t="s">
        <v>2902</v>
      </c>
      <c r="C140" s="0" t="s">
        <v>224</v>
      </c>
      <c r="D140" s="27" t="n">
        <f aca="false">Facility!E11</f>
        <v>0.7</v>
      </c>
      <c r="E140" s="27" t="n">
        <f aca="false">Facility!F11</f>
        <v>0.7</v>
      </c>
      <c r="F140" s="27" t="n">
        <f aca="false">Facility!G11</f>
        <v>0.7</v>
      </c>
      <c r="G140" s="27" t="n">
        <f aca="false">Facility!H11</f>
        <v>0.7</v>
      </c>
      <c r="H140" s="27" t="n">
        <f aca="false">Facility!I11</f>
        <v>0.7</v>
      </c>
      <c r="I140" s="27" t="n">
        <f aca="false">Facility!J11</f>
        <v>0.7</v>
      </c>
      <c r="J140" s="27" t="n">
        <f aca="false">Facility!K11</f>
        <v>0.7</v>
      </c>
      <c r="K140" s="27" t="n">
        <f aca="false">Facility!L11</f>
        <v>0.7</v>
      </c>
      <c r="L140" s="27" t="n">
        <f aca="false">Facility!M11</f>
        <v>0.7</v>
      </c>
      <c r="M140" s="20" t="s">
        <v>2933</v>
      </c>
    </row>
    <row r="141" customFormat="false" ht="17.15" hidden="false" customHeight="false" outlineLevel="0" collapsed="false">
      <c r="A141" s="0" t="s">
        <v>2934</v>
      </c>
      <c r="B141" s="5" t="s">
        <v>251</v>
      </c>
      <c r="C141" s="0" t="s">
        <v>224</v>
      </c>
      <c r="D141" s="27" t="n">
        <f aca="false">Facility!E12</f>
        <v>0.3</v>
      </c>
      <c r="E141" s="27" t="n">
        <f aca="false">Facility!F12</f>
        <v>0.3</v>
      </c>
      <c r="F141" s="27" t="n">
        <f aca="false">Facility!G12</f>
        <v>0.3</v>
      </c>
      <c r="G141" s="27" t="n">
        <f aca="false">Facility!H12</f>
        <v>0.3</v>
      </c>
      <c r="H141" s="27" t="n">
        <f aca="false">Facility!I12</f>
        <v>0.3</v>
      </c>
      <c r="I141" s="27" t="n">
        <f aca="false">Facility!J12</f>
        <v>0.3</v>
      </c>
      <c r="J141" s="27" t="n">
        <f aca="false">Facility!K12</f>
        <v>0.3</v>
      </c>
      <c r="K141" s="27" t="n">
        <f aca="false">Facility!L12</f>
        <v>0.3</v>
      </c>
      <c r="L141" s="27" t="n">
        <f aca="false">Facility!M12</f>
        <v>0.3</v>
      </c>
      <c r="M141" s="20" t="s">
        <v>2935</v>
      </c>
    </row>
    <row r="142" customFormat="false" ht="15" hidden="false" customHeight="false" outlineLevel="0" collapsed="false">
      <c r="A142" s="0" t="s">
        <v>2936</v>
      </c>
      <c r="B142" s="5" t="s">
        <v>254</v>
      </c>
      <c r="C142" s="0" t="s">
        <v>224</v>
      </c>
      <c r="D142" s="27" t="n">
        <f aca="false">Facility!E13</f>
        <v>0.2</v>
      </c>
      <c r="E142" s="27" t="n">
        <f aca="false">Facility!F13</f>
        <v>0.2</v>
      </c>
      <c r="F142" s="27" t="n">
        <f aca="false">Facility!G13</f>
        <v>0.2</v>
      </c>
      <c r="G142" s="27" t="n">
        <f aca="false">Facility!H13</f>
        <v>0.2</v>
      </c>
      <c r="H142" s="27" t="n">
        <f aca="false">Facility!I13</f>
        <v>0.2</v>
      </c>
      <c r="I142" s="27" t="n">
        <f aca="false">Facility!J13</f>
        <v>0.2</v>
      </c>
      <c r="J142" s="27" t="n">
        <f aca="false">Facility!K13</f>
        <v>0.2</v>
      </c>
      <c r="K142" s="27" t="n">
        <f aca="false">Facility!L13</f>
        <v>0.2</v>
      </c>
      <c r="L142" s="27" t="n">
        <f aca="false">Facility!M13</f>
        <v>0.2</v>
      </c>
      <c r="M142" s="20" t="s">
        <v>2937</v>
      </c>
    </row>
    <row r="143" customFormat="false" ht="17.15" hidden="false" customHeight="false" outlineLevel="0" collapsed="false">
      <c r="A143" s="0" t="s">
        <v>2938</v>
      </c>
      <c r="B143" s="5" t="s">
        <v>2939</v>
      </c>
      <c r="C143" s="0" t="s">
        <v>224</v>
      </c>
      <c r="D143" s="27" t="n">
        <f aca="false">Facility!E14</f>
        <v>0.0200000000000014</v>
      </c>
      <c r="E143" s="27" t="n">
        <f aca="false">Facility!F14</f>
        <v>0.0200000000000014</v>
      </c>
      <c r="F143" s="27" t="n">
        <f aca="false">Facility!G14</f>
        <v>0.0200000000000014</v>
      </c>
      <c r="G143" s="27" t="n">
        <f aca="false">Facility!H14</f>
        <v>0.0200000000000014</v>
      </c>
      <c r="H143" s="27" t="n">
        <f aca="false">Facility!I14</f>
        <v>0.0200000000000014</v>
      </c>
      <c r="I143" s="27" t="n">
        <f aca="false">Facility!J14</f>
        <v>0.0200000000000014</v>
      </c>
      <c r="J143" s="27" t="n">
        <f aca="false">Facility!K14</f>
        <v>0.0200000000000014</v>
      </c>
      <c r="K143" s="27" t="n">
        <f aca="false">Facility!L14</f>
        <v>0.0200000000000014</v>
      </c>
      <c r="L143" s="27" t="n">
        <f aca="false">Facility!M14</f>
        <v>0.0200000000000014</v>
      </c>
      <c r="M143" s="20" t="s">
        <v>2940</v>
      </c>
    </row>
    <row r="144" customFormat="false" ht="17.15" hidden="false" customHeight="false" outlineLevel="0" collapsed="false">
      <c r="A144" s="0" t="s">
        <v>2941</v>
      </c>
      <c r="B144" s="5" t="s">
        <v>2942</v>
      </c>
      <c r="C144" s="0" t="s">
        <v>224</v>
      </c>
      <c r="D144" s="27" t="n">
        <f aca="false">Facility!E16</f>
        <v>2.304</v>
      </c>
      <c r="E144" s="27" t="n">
        <f aca="false">Facility!F16</f>
        <v>2.304</v>
      </c>
      <c r="F144" s="27" t="n">
        <f aca="false">Facility!G16</f>
        <v>2.304</v>
      </c>
      <c r="G144" s="27" t="n">
        <f aca="false">Facility!H16</f>
        <v>2.304</v>
      </c>
      <c r="H144" s="27" t="n">
        <f aca="false">Facility!I16</f>
        <v>2.304</v>
      </c>
      <c r="I144" s="27" t="n">
        <f aca="false">Facility!J16</f>
        <v>2.304</v>
      </c>
      <c r="J144" s="27" t="n">
        <f aca="false">Facility!K16</f>
        <v>2.304</v>
      </c>
      <c r="K144" s="27" t="n">
        <f aca="false">Facility!L16</f>
        <v>2.304</v>
      </c>
      <c r="L144" s="27" t="n">
        <f aca="false">Facility!M16</f>
        <v>2.304</v>
      </c>
      <c r="M144" s="20" t="s">
        <v>2943</v>
      </c>
    </row>
    <row r="145" customFormat="false" ht="17.15" hidden="false" customHeight="false" outlineLevel="0" collapsed="false">
      <c r="A145" s="0" t="s">
        <v>2944</v>
      </c>
      <c r="B145" s="5" t="s">
        <v>2945</v>
      </c>
      <c r="C145" s="0" t="s">
        <v>76</v>
      </c>
      <c r="D145" s="27" t="n">
        <f aca="false">Facility!E38</f>
        <v>2.59169334958689</v>
      </c>
      <c r="E145" s="27" t="n">
        <f aca="false">Facility!F38</f>
        <v>14.4785988717554</v>
      </c>
      <c r="F145" s="27" t="n">
        <f aca="false">Facility!G38</f>
        <v>19.7045943376947</v>
      </c>
      <c r="G145" s="27" t="n">
        <f aca="false">Facility!H38</f>
        <v>32.2516062816593</v>
      </c>
      <c r="H145" s="27" t="n">
        <f aca="false">Facility!I38</f>
        <v>40.4756684789596</v>
      </c>
      <c r="I145" s="27" t="n">
        <f aca="false">Facility!J38</f>
        <v>44.690348967844</v>
      </c>
      <c r="J145" s="27" t="n">
        <f aca="false">Facility!K38</f>
        <v>45.7289461453953</v>
      </c>
      <c r="K145" s="27" t="n">
        <f aca="false">Facility!L38</f>
        <v>39.919168586737</v>
      </c>
      <c r="L145" s="27" t="n">
        <f aca="false">Facility!M38</f>
        <v>26.3309762131624</v>
      </c>
      <c r="M145" s="20" t="s">
        <v>2946</v>
      </c>
    </row>
    <row r="146" customFormat="false" ht="17.15" hidden="false" customHeight="false" outlineLevel="0" collapsed="false">
      <c r="A146" s="0" t="s">
        <v>2947</v>
      </c>
      <c r="B146" s="5" t="s">
        <v>2948</v>
      </c>
      <c r="C146" s="0" t="s">
        <v>76</v>
      </c>
      <c r="D146" s="27" t="n">
        <f aca="false">Facility!E39</f>
        <v>0.46650480292564</v>
      </c>
      <c r="E146" s="27" t="n">
        <f aca="false">Facility!F39</f>
        <v>2.60614779691598</v>
      </c>
      <c r="F146" s="27" t="n">
        <f aca="false">Facility!G39</f>
        <v>3.54682698078505</v>
      </c>
      <c r="G146" s="27" t="n">
        <f aca="false">Facility!H39</f>
        <v>5.80528913069867</v>
      </c>
      <c r="H146" s="27" t="n">
        <f aca="false">Facility!I39</f>
        <v>7.28562032621273</v>
      </c>
      <c r="I146" s="27" t="n">
        <f aca="false">Facility!J39</f>
        <v>8.04426281421192</v>
      </c>
      <c r="J146" s="27" t="n">
        <f aca="false">Facility!K39</f>
        <v>8.23121030617115</v>
      </c>
      <c r="K146" s="27" t="n">
        <f aca="false">Facility!L39</f>
        <v>7.18545034561267</v>
      </c>
      <c r="L146" s="27" t="n">
        <f aca="false">Facility!M39</f>
        <v>4.73957571836923</v>
      </c>
      <c r="M146" s="20" t="s">
        <v>2949</v>
      </c>
    </row>
    <row r="147" customFormat="false" ht="17.15" hidden="false" customHeight="false" outlineLevel="0" collapsed="false">
      <c r="A147" s="8" t="s">
        <v>2950</v>
      </c>
    </row>
    <row r="148" customFormat="false" ht="15" hidden="false" customHeight="false" outlineLevel="0" collapsed="false">
      <c r="A148" s="6" t="s">
        <v>1266</v>
      </c>
      <c r="B148" s="6" t="s">
        <v>1276</v>
      </c>
      <c r="C148" s="6" t="s">
        <v>1554</v>
      </c>
      <c r="D148" s="6" t="s">
        <v>1641</v>
      </c>
      <c r="E148" s="6" t="s">
        <v>14</v>
      </c>
      <c r="F148" s="6"/>
      <c r="G148" s="6"/>
      <c r="H148" s="6"/>
      <c r="I148" s="6"/>
      <c r="J148" s="6"/>
      <c r="K148" s="6"/>
      <c r="L148" s="6"/>
      <c r="M148" s="6" t="s">
        <v>2580</v>
      </c>
    </row>
    <row r="149" customFormat="false" ht="17.15" hidden="false" customHeight="false" outlineLevel="0" collapsed="false">
      <c r="A149" s="0" t="s">
        <v>2951</v>
      </c>
      <c r="B149" s="0" t="s">
        <v>1245</v>
      </c>
      <c r="C149" s="0" t="n">
        <v>2024</v>
      </c>
      <c r="D149" s="36" t="str">
        <f aca="false">IF(Funding!W5="","",Funding!W5)</f>
        <v/>
      </c>
      <c r="E149" s="20" t="s">
        <v>2952</v>
      </c>
      <c r="M149" s="20" t="s">
        <v>2953</v>
      </c>
    </row>
    <row r="150" customFormat="false" ht="17.15" hidden="false" customHeight="false" outlineLevel="0" collapsed="false">
      <c r="A150" s="0" t="s">
        <v>2954</v>
      </c>
      <c r="B150" s="0" t="s">
        <v>1245</v>
      </c>
      <c r="C150" s="0" t="n">
        <v>2024</v>
      </c>
      <c r="D150" s="41" t="str">
        <f aca="false">IF(Funding!AC5="","",Funding!AC5)</f>
        <v/>
      </c>
      <c r="E150" s="20" t="s">
        <v>2955</v>
      </c>
      <c r="M150" s="20" t="s">
        <v>2956</v>
      </c>
    </row>
    <row r="151" customFormat="false" ht="17.15" hidden="false" customHeight="false" outlineLevel="0" collapsed="false">
      <c r="A151" s="0" t="s">
        <v>2957</v>
      </c>
      <c r="B151" s="0" t="s">
        <v>1245</v>
      </c>
      <c r="C151" s="0" t="n">
        <v>2024</v>
      </c>
      <c r="D151" s="41" t="str">
        <f aca="false">IF(Funding!AD5="","",Funding!AD5)</f>
        <v/>
      </c>
      <c r="E151" s="20" t="s">
        <v>2958</v>
      </c>
      <c r="M151" s="20" t="s">
        <v>2959</v>
      </c>
    </row>
    <row r="152" customFormat="false" ht="17.15" hidden="false" customHeight="false" outlineLevel="0" collapsed="false">
      <c r="A152" s="0" t="s">
        <v>2960</v>
      </c>
      <c r="B152" s="0" t="s">
        <v>1245</v>
      </c>
      <c r="C152" s="0" t="n">
        <v>2024</v>
      </c>
      <c r="D152" s="41" t="str">
        <f aca="false">IF(Funding!AE5="","",Funding!AE5)</f>
        <v/>
      </c>
      <c r="E152" s="20" t="s">
        <v>2961</v>
      </c>
      <c r="M152" s="20" t="s">
        <v>2962</v>
      </c>
    </row>
    <row r="153" customFormat="false" ht="17.15" hidden="false" customHeight="false" outlineLevel="0" collapsed="false">
      <c r="A153" s="0" t="s">
        <v>2963</v>
      </c>
      <c r="B153" s="0" t="s">
        <v>1245</v>
      </c>
      <c r="C153" s="0" t="n">
        <v>2024</v>
      </c>
      <c r="D153" s="41" t="str">
        <f aca="false">IF(Funding!AF5="","",Funding!AF5)</f>
        <v/>
      </c>
      <c r="E153" s="20" t="s">
        <v>2964</v>
      </c>
      <c r="M153" s="20" t="s">
        <v>2965</v>
      </c>
    </row>
    <row r="154" customFormat="false" ht="17.15" hidden="false" customHeight="false" outlineLevel="0" collapsed="false">
      <c r="A154" s="0" t="s">
        <v>2966</v>
      </c>
      <c r="B154" s="0" t="s">
        <v>1245</v>
      </c>
      <c r="C154" s="0" t="n">
        <v>2024</v>
      </c>
      <c r="D154" s="41" t="str">
        <f aca="false">IF(Funding!AG5="","",Funding!AG5)</f>
        <v/>
      </c>
      <c r="E154" s="20" t="s">
        <v>2967</v>
      </c>
      <c r="M154" s="20" t="s">
        <v>2968</v>
      </c>
    </row>
    <row r="155" customFormat="false" ht="17.15" hidden="false" customHeight="false" outlineLevel="0" collapsed="false">
      <c r="A155" s="0" t="s">
        <v>2969</v>
      </c>
      <c r="B155" s="0" t="s">
        <v>1245</v>
      </c>
      <c r="C155" s="0" t="n">
        <v>2024</v>
      </c>
      <c r="D155" s="36" t="n">
        <f aca="false">IF(Funding!AL5="","",Funding!AL5)</f>
        <v>24.395</v>
      </c>
      <c r="E155" s="20" t="s">
        <v>2970</v>
      </c>
      <c r="M155" s="20" t="s">
        <v>2971</v>
      </c>
    </row>
    <row r="156" customFormat="false" ht="17.15" hidden="false" customHeight="false" outlineLevel="0" collapsed="false">
      <c r="A156" s="0" t="s">
        <v>2972</v>
      </c>
      <c r="B156" s="0" t="s">
        <v>1245</v>
      </c>
      <c r="C156" s="0" t="n">
        <v>2024</v>
      </c>
      <c r="D156" s="41" t="str">
        <f aca="false">IF(Funding!AM5="","",Funding!AM5)</f>
        <v/>
      </c>
      <c r="E156" s="20" t="s">
        <v>2973</v>
      </c>
      <c r="M156" s="20" t="s">
        <v>2974</v>
      </c>
    </row>
    <row r="157" customFormat="false" ht="17.15" hidden="false" customHeight="false" outlineLevel="0" collapsed="false">
      <c r="A157" s="0" t="s">
        <v>2975</v>
      </c>
      <c r="B157" s="0" t="s">
        <v>1245</v>
      </c>
      <c r="C157" s="0" t="n">
        <v>2024</v>
      </c>
      <c r="D157" s="41" t="str">
        <f aca="false">IF(Funding!AN5="","",Funding!AN5)</f>
        <v/>
      </c>
      <c r="E157" s="20" t="s">
        <v>2976</v>
      </c>
      <c r="M157" s="20" t="s">
        <v>2977</v>
      </c>
    </row>
    <row r="158" customFormat="false" ht="17.15" hidden="false" customHeight="false" outlineLevel="0" collapsed="false">
      <c r="A158" s="0" t="s">
        <v>2978</v>
      </c>
      <c r="B158" s="0" t="s">
        <v>1245</v>
      </c>
      <c r="C158" s="0" t="n">
        <v>2024</v>
      </c>
      <c r="D158" s="41" t="str">
        <f aca="false">IF(Funding!AO5="","",Funding!AO5)</f>
        <v/>
      </c>
      <c r="E158" s="20" t="s">
        <v>2979</v>
      </c>
      <c r="M158" s="20" t="s">
        <v>2980</v>
      </c>
    </row>
    <row r="159" customFormat="false" ht="17.15" hidden="false" customHeight="false" outlineLevel="0" collapsed="false">
      <c r="A159" s="0" t="s">
        <v>2981</v>
      </c>
      <c r="B159" s="0" t="s">
        <v>1245</v>
      </c>
      <c r="C159" s="0" t="n">
        <v>2024</v>
      </c>
      <c r="D159" s="41" t="str">
        <f aca="false">IF(Funding!AP5="","",Funding!AP5)</f>
        <v/>
      </c>
      <c r="E159" s="20" t="s">
        <v>2982</v>
      </c>
      <c r="M159" s="20" t="s">
        <v>2983</v>
      </c>
    </row>
    <row r="160" customFormat="false" ht="17.15" hidden="false" customHeight="false" outlineLevel="0" collapsed="false">
      <c r="A160" s="0" t="s">
        <v>2984</v>
      </c>
      <c r="B160" s="0" t="s">
        <v>1245</v>
      </c>
      <c r="C160" s="0" t="n">
        <v>2024</v>
      </c>
      <c r="D160" s="41" t="str">
        <f aca="false">IF(Funding!AQ5="","",Funding!AQ5)</f>
        <v/>
      </c>
      <c r="E160" s="20" t="s">
        <v>2985</v>
      </c>
      <c r="M160" s="20" t="s">
        <v>2986</v>
      </c>
    </row>
    <row r="161" customFormat="false" ht="17.15" hidden="false" customHeight="false" outlineLevel="0" collapsed="false">
      <c r="A161" s="0" t="s">
        <v>2987</v>
      </c>
      <c r="B161" s="0" t="s">
        <v>1245</v>
      </c>
      <c r="C161" s="0" t="n">
        <v>2024</v>
      </c>
      <c r="D161" s="36" t="str">
        <f aca="false">IF(Funding!E5="","",Funding!E5)</f>
        <v/>
      </c>
      <c r="E161" s="20" t="s">
        <v>1681</v>
      </c>
      <c r="M161" s="20" t="s">
        <v>2988</v>
      </c>
    </row>
    <row r="162" customFormat="false" ht="17.15" hidden="false" customHeight="false" outlineLevel="0" collapsed="false">
      <c r="A162" s="0" t="s">
        <v>2989</v>
      </c>
      <c r="B162" s="0" t="s">
        <v>1245</v>
      </c>
      <c r="C162" s="0" t="n">
        <v>2024</v>
      </c>
      <c r="D162" s="36" t="str">
        <f aca="false">IF(Funding!I5="","",Funding!I5)</f>
        <v/>
      </c>
      <c r="E162" s="20" t="s">
        <v>1686</v>
      </c>
      <c r="M162" s="20" t="s">
        <v>2990</v>
      </c>
    </row>
    <row r="163" customFormat="false" ht="17.15" hidden="false" customHeight="false" outlineLevel="0" collapsed="false">
      <c r="A163" s="0" t="s">
        <v>2991</v>
      </c>
      <c r="B163" s="0" t="s">
        <v>1245</v>
      </c>
      <c r="C163" s="0" t="n">
        <v>2024</v>
      </c>
      <c r="D163" s="36" t="str">
        <f aca="false">IF(Funding!O5="","",Funding!O5)</f>
        <v/>
      </c>
      <c r="E163" s="20" t="s">
        <v>2992</v>
      </c>
      <c r="M163" s="20" t="s">
        <v>2993</v>
      </c>
    </row>
    <row r="164" customFormat="false" ht="17.15" hidden="false" customHeight="false" outlineLevel="0" collapsed="false">
      <c r="A164" s="0" t="s">
        <v>2994</v>
      </c>
      <c r="B164" s="0" t="s">
        <v>1245</v>
      </c>
      <c r="C164" s="0" t="n">
        <v>2024</v>
      </c>
      <c r="D164" s="36" t="n">
        <f aca="false">N(Funding!J5)+N(Funding!K5)+N(Funding!L5)+N(Funding!M5)</f>
        <v>24.395</v>
      </c>
      <c r="E164" s="20" t="s">
        <v>2995</v>
      </c>
      <c r="M164" s="20" t="s">
        <v>2996</v>
      </c>
    </row>
    <row r="165" customFormat="false" ht="17.15" hidden="false" customHeight="false" outlineLevel="0" collapsed="false">
      <c r="A165" s="0" t="s">
        <v>2997</v>
      </c>
      <c r="B165" s="0" t="s">
        <v>1245</v>
      </c>
      <c r="C165" s="0" t="n">
        <v>2024</v>
      </c>
      <c r="D165" s="36" t="str">
        <f aca="false">IF(Funding!R5="","",Funding!R5)</f>
        <v/>
      </c>
      <c r="E165" s="20" t="s">
        <v>2998</v>
      </c>
      <c r="M165" s="20" t="s">
        <v>2999</v>
      </c>
    </row>
    <row r="166" customFormat="false" ht="17.15" hidden="false" customHeight="false" outlineLevel="0" collapsed="false">
      <c r="A166" s="0" t="s">
        <v>3000</v>
      </c>
      <c r="B166" s="0" t="s">
        <v>1245</v>
      </c>
      <c r="C166" s="0" t="n">
        <v>2025</v>
      </c>
      <c r="D166" s="36" t="n">
        <f aca="false">IF(Funding!W6="","",Funding!W6)</f>
        <v>85.062</v>
      </c>
      <c r="E166" s="20" t="s">
        <v>2952</v>
      </c>
      <c r="M166" s="20" t="s">
        <v>3001</v>
      </c>
    </row>
    <row r="167" customFormat="false" ht="17.15" hidden="false" customHeight="false" outlineLevel="0" collapsed="false">
      <c r="A167" s="0" t="s">
        <v>3002</v>
      </c>
      <c r="B167" s="0" t="s">
        <v>1245</v>
      </c>
      <c r="C167" s="0" t="n">
        <v>2025</v>
      </c>
      <c r="D167" s="41" t="n">
        <f aca="false">IF(Funding!AC6="","",Funding!AC6)</f>
        <v>0.758870000705368</v>
      </c>
      <c r="E167" s="20" t="s">
        <v>2955</v>
      </c>
      <c r="M167" s="20" t="s">
        <v>3003</v>
      </c>
    </row>
    <row r="168" customFormat="false" ht="17.15" hidden="false" customHeight="false" outlineLevel="0" collapsed="false">
      <c r="A168" s="0" t="s">
        <v>3004</v>
      </c>
      <c r="B168" s="0" t="s">
        <v>1245</v>
      </c>
      <c r="C168" s="0" t="n">
        <v>2025</v>
      </c>
      <c r="D168" s="41" t="n">
        <f aca="false">IF(Funding!AD6="","",Funding!AD6)</f>
        <v>0.241129999294632</v>
      </c>
      <c r="E168" s="20" t="s">
        <v>2958</v>
      </c>
      <c r="M168" s="20" t="s">
        <v>3005</v>
      </c>
    </row>
    <row r="169" customFormat="false" ht="17.15" hidden="false" customHeight="false" outlineLevel="0" collapsed="false">
      <c r="A169" s="0" t="s">
        <v>3006</v>
      </c>
      <c r="B169" s="0" t="s">
        <v>1245</v>
      </c>
      <c r="C169" s="0" t="n">
        <v>2025</v>
      </c>
      <c r="D169" s="41" t="n">
        <f aca="false">IF(Funding!AE6="","",Funding!AE6)</f>
        <v>0</v>
      </c>
      <c r="E169" s="20" t="s">
        <v>2961</v>
      </c>
      <c r="M169" s="20" t="s">
        <v>3007</v>
      </c>
    </row>
    <row r="170" customFormat="false" ht="17.15" hidden="false" customHeight="false" outlineLevel="0" collapsed="false">
      <c r="A170" s="0" t="s">
        <v>3008</v>
      </c>
      <c r="B170" s="0" t="s">
        <v>1245</v>
      </c>
      <c r="C170" s="0" t="n">
        <v>2025</v>
      </c>
      <c r="D170" s="41" t="n">
        <f aca="false">IF(Funding!AF6="","",Funding!AF6)</f>
        <v>0</v>
      </c>
      <c r="E170" s="20" t="s">
        <v>2964</v>
      </c>
      <c r="M170" s="20" t="s">
        <v>3009</v>
      </c>
    </row>
    <row r="171" customFormat="false" ht="17.15" hidden="false" customHeight="false" outlineLevel="0" collapsed="false">
      <c r="A171" s="0" t="s">
        <v>3010</v>
      </c>
      <c r="B171" s="0" t="s">
        <v>1245</v>
      </c>
      <c r="C171" s="0" t="n">
        <v>2025</v>
      </c>
      <c r="D171" s="41" t="n">
        <f aca="false">IF(Funding!AG6="","",Funding!AG6)</f>
        <v>0</v>
      </c>
      <c r="E171" s="20" t="s">
        <v>2967</v>
      </c>
      <c r="M171" s="20" t="s">
        <v>3011</v>
      </c>
    </row>
    <row r="172" customFormat="false" ht="17.15" hidden="false" customHeight="false" outlineLevel="0" collapsed="false">
      <c r="A172" s="0" t="s">
        <v>3012</v>
      </c>
      <c r="B172" s="0" t="s">
        <v>1245</v>
      </c>
      <c r="C172" s="0" t="n">
        <v>2025</v>
      </c>
      <c r="D172" s="36" t="n">
        <f aca="false">IF(Funding!AL6="","",Funding!AL6)</f>
        <v>20.511</v>
      </c>
      <c r="E172" s="20" t="s">
        <v>2970</v>
      </c>
      <c r="M172" s="20" t="s">
        <v>3013</v>
      </c>
    </row>
    <row r="173" customFormat="false" ht="17.15" hidden="false" customHeight="false" outlineLevel="0" collapsed="false">
      <c r="A173" s="0" t="s">
        <v>3014</v>
      </c>
      <c r="B173" s="0" t="s">
        <v>1245</v>
      </c>
      <c r="C173" s="0" t="n">
        <v>2025</v>
      </c>
      <c r="D173" s="41" t="n">
        <f aca="false">IF(Funding!AM6="","",Funding!AM6)</f>
        <v>0.241129999294632</v>
      </c>
      <c r="E173" s="20" t="s">
        <v>2973</v>
      </c>
      <c r="M173" s="20" t="s">
        <v>3015</v>
      </c>
    </row>
    <row r="174" customFormat="false" ht="17.15" hidden="false" customHeight="false" outlineLevel="0" collapsed="false">
      <c r="A174" s="0" t="s">
        <v>3016</v>
      </c>
      <c r="B174" s="0" t="s">
        <v>1245</v>
      </c>
      <c r="C174" s="0" t="n">
        <v>2025</v>
      </c>
      <c r="D174" s="41" t="n">
        <f aca="false">IF(Funding!AN6="","",Funding!AN6)</f>
        <v>1.60073828501564</v>
      </c>
      <c r="E174" s="20" t="s">
        <v>2976</v>
      </c>
      <c r="M174" s="20" t="s">
        <v>3017</v>
      </c>
    </row>
    <row r="175" customFormat="false" ht="17.15" hidden="false" customHeight="false" outlineLevel="0" collapsed="false">
      <c r="A175" s="0" t="s">
        <v>3018</v>
      </c>
      <c r="B175" s="0" t="s">
        <v>1245</v>
      </c>
      <c r="C175" s="0" t="n">
        <v>2025</v>
      </c>
      <c r="D175" s="41" t="n">
        <f aca="false">IF(Funding!AO6="","",Funding!AO6)</f>
        <v>0</v>
      </c>
      <c r="E175" s="20" t="s">
        <v>2979</v>
      </c>
      <c r="M175" s="20" t="s">
        <v>3019</v>
      </c>
    </row>
    <row r="176" customFormat="false" ht="17.15" hidden="false" customHeight="false" outlineLevel="0" collapsed="false">
      <c r="A176" s="0" t="s">
        <v>3020</v>
      </c>
      <c r="B176" s="0" t="s">
        <v>1245</v>
      </c>
      <c r="C176" s="0" t="n">
        <v>2025</v>
      </c>
      <c r="D176" s="41" t="n">
        <f aca="false">IF(Funding!AP6="","",Funding!AP6)</f>
        <v>0</v>
      </c>
      <c r="E176" s="20" t="s">
        <v>2982</v>
      </c>
      <c r="M176" s="20" t="s">
        <v>3021</v>
      </c>
    </row>
    <row r="177" customFormat="false" ht="17.15" hidden="false" customHeight="false" outlineLevel="0" collapsed="false">
      <c r="A177" s="0" t="s">
        <v>3022</v>
      </c>
      <c r="B177" s="0" t="s">
        <v>1245</v>
      </c>
      <c r="C177" s="0" t="n">
        <v>2025</v>
      </c>
      <c r="D177" s="41" t="n">
        <f aca="false">IF(Funding!AQ6="","",Funding!AQ6)</f>
        <v>0.241129999294632</v>
      </c>
      <c r="E177" s="20" t="s">
        <v>2985</v>
      </c>
      <c r="M177" s="20" t="s">
        <v>3023</v>
      </c>
    </row>
    <row r="178" customFormat="false" ht="17.15" hidden="false" customHeight="false" outlineLevel="0" collapsed="false">
      <c r="A178" s="0" t="s">
        <v>3024</v>
      </c>
      <c r="B178" s="0" t="s">
        <v>1245</v>
      </c>
      <c r="C178" s="0" t="n">
        <v>2025</v>
      </c>
      <c r="D178" s="36" t="n">
        <f aca="false">IF(Funding!E6="","",Funding!E6)</f>
        <v>136.162</v>
      </c>
      <c r="E178" s="20" t="s">
        <v>1681</v>
      </c>
      <c r="M178" s="20" t="s">
        <v>3025</v>
      </c>
    </row>
    <row r="179" customFormat="false" ht="17.15" hidden="false" customHeight="false" outlineLevel="0" collapsed="false">
      <c r="A179" s="0" t="s">
        <v>3026</v>
      </c>
      <c r="B179" s="0" t="s">
        <v>1245</v>
      </c>
      <c r="C179" s="0" t="n">
        <v>2025</v>
      </c>
      <c r="D179" s="36" t="str">
        <f aca="false">IF(Funding!I6="","",Funding!I6)</f>
        <v/>
      </c>
      <c r="E179" s="20" t="s">
        <v>1686</v>
      </c>
      <c r="M179" s="20" t="s">
        <v>3027</v>
      </c>
    </row>
    <row r="180" customFormat="false" ht="17.15" hidden="false" customHeight="false" outlineLevel="0" collapsed="false">
      <c r="A180" s="0" t="s">
        <v>3028</v>
      </c>
      <c r="B180" s="0" t="s">
        <v>1245</v>
      </c>
      <c r="C180" s="0" t="n">
        <v>2025</v>
      </c>
      <c r="D180" s="36" t="n">
        <f aca="false">IF(Funding!O6="","",Funding!O6)</f>
        <v>92.7</v>
      </c>
      <c r="E180" s="20" t="s">
        <v>2992</v>
      </c>
      <c r="M180" s="20" t="s">
        <v>3029</v>
      </c>
    </row>
    <row r="181" customFormat="false" ht="17.15" hidden="false" customHeight="false" outlineLevel="0" collapsed="false">
      <c r="A181" s="0" t="s">
        <v>3030</v>
      </c>
      <c r="B181" s="0" t="s">
        <v>1245</v>
      </c>
      <c r="C181" s="0" t="n">
        <v>2025</v>
      </c>
      <c r="D181" s="36" t="n">
        <f aca="false">N(Funding!J6)+N(Funding!K6)+N(Funding!L6)+N(Funding!M6)</f>
        <v>0</v>
      </c>
      <c r="E181" s="20" t="s">
        <v>2995</v>
      </c>
      <c r="M181" s="20" t="s">
        <v>3031</v>
      </c>
    </row>
    <row r="182" customFormat="false" ht="17.15" hidden="false" customHeight="false" outlineLevel="0" collapsed="false">
      <c r="A182" s="0" t="s">
        <v>3032</v>
      </c>
      <c r="B182" s="0" t="s">
        <v>1245</v>
      </c>
      <c r="C182" s="0" t="n">
        <v>2025</v>
      </c>
      <c r="D182" s="36" t="str">
        <f aca="false">IF(Funding!R6="","",Funding!R6)</f>
        <v/>
      </c>
      <c r="E182" s="20" t="s">
        <v>2998</v>
      </c>
      <c r="M182" s="20" t="s">
        <v>3033</v>
      </c>
    </row>
    <row r="183" customFormat="false" ht="17.15" hidden="false" customHeight="false" outlineLevel="0" collapsed="false">
      <c r="A183" s="0" t="s">
        <v>3034</v>
      </c>
      <c r="B183" s="0" t="s">
        <v>1245</v>
      </c>
      <c r="C183" s="0" t="n">
        <v>2026</v>
      </c>
      <c r="D183" s="36" t="n">
        <f aca="false">IF(Funding!W7="","",Funding!W7)</f>
        <v>140.556</v>
      </c>
      <c r="E183" s="20" t="s">
        <v>2952</v>
      </c>
      <c r="M183" s="20" t="s">
        <v>3035</v>
      </c>
    </row>
    <row r="184" customFormat="false" ht="17.15" hidden="false" customHeight="false" outlineLevel="0" collapsed="false">
      <c r="A184" s="0" t="s">
        <v>3036</v>
      </c>
      <c r="B184" s="0" t="s">
        <v>1245</v>
      </c>
      <c r="C184" s="0" t="n">
        <v>2026</v>
      </c>
      <c r="D184" s="41" t="n">
        <f aca="false">IF(Funding!AC7="","",Funding!AC7)</f>
        <v>0.824923873758502</v>
      </c>
      <c r="E184" s="20" t="s">
        <v>2955</v>
      </c>
      <c r="M184" s="20" t="s">
        <v>3037</v>
      </c>
    </row>
    <row r="185" customFormat="false" ht="17.15" hidden="false" customHeight="false" outlineLevel="0" collapsed="false">
      <c r="A185" s="0" t="s">
        <v>3038</v>
      </c>
      <c r="B185" s="0" t="s">
        <v>1245</v>
      </c>
      <c r="C185" s="0" t="n">
        <v>2026</v>
      </c>
      <c r="D185" s="41" t="n">
        <f aca="false">IF(Funding!AD7="","",Funding!AD7)</f>
        <v>0.175076126241498</v>
      </c>
      <c r="E185" s="20" t="s">
        <v>2958</v>
      </c>
      <c r="M185" s="20" t="s">
        <v>3039</v>
      </c>
    </row>
    <row r="186" customFormat="false" ht="17.15" hidden="false" customHeight="false" outlineLevel="0" collapsed="false">
      <c r="A186" s="0" t="s">
        <v>3040</v>
      </c>
      <c r="B186" s="0" t="s">
        <v>1245</v>
      </c>
      <c r="C186" s="0" t="n">
        <v>2026</v>
      </c>
      <c r="D186" s="41" t="n">
        <f aca="false">IF(Funding!AE7="","",Funding!AE7)</f>
        <v>0</v>
      </c>
      <c r="E186" s="20" t="s">
        <v>2961</v>
      </c>
      <c r="M186" s="20" t="s">
        <v>3041</v>
      </c>
    </row>
    <row r="187" customFormat="false" ht="17.15" hidden="false" customHeight="false" outlineLevel="0" collapsed="false">
      <c r="A187" s="0" t="s">
        <v>3042</v>
      </c>
      <c r="B187" s="0" t="s">
        <v>1245</v>
      </c>
      <c r="C187" s="0" t="n">
        <v>2026</v>
      </c>
      <c r="D187" s="41" t="n">
        <f aca="false">IF(Funding!AF7="","",Funding!AF7)</f>
        <v>0</v>
      </c>
      <c r="E187" s="20" t="s">
        <v>2964</v>
      </c>
      <c r="M187" s="20" t="s">
        <v>3043</v>
      </c>
    </row>
    <row r="188" customFormat="false" ht="17.15" hidden="false" customHeight="false" outlineLevel="0" collapsed="false">
      <c r="A188" s="0" t="s">
        <v>3044</v>
      </c>
      <c r="B188" s="0" t="s">
        <v>1245</v>
      </c>
      <c r="C188" s="0" t="n">
        <v>2026</v>
      </c>
      <c r="D188" s="41" t="n">
        <f aca="false">IF(Funding!AG7="","",Funding!AG7)</f>
        <v>0</v>
      </c>
      <c r="E188" s="20" t="s">
        <v>2967</v>
      </c>
      <c r="M188" s="20" t="s">
        <v>3045</v>
      </c>
    </row>
    <row r="189" customFormat="false" ht="17.15" hidden="false" customHeight="false" outlineLevel="0" collapsed="false">
      <c r="A189" s="0" t="s">
        <v>3046</v>
      </c>
      <c r="B189" s="0" t="s">
        <v>1245</v>
      </c>
      <c r="C189" s="0" t="n">
        <v>2026</v>
      </c>
      <c r="D189" s="36" t="n">
        <f aca="false">IF(Funding!AL7="","",Funding!AL7)</f>
        <v>24.608</v>
      </c>
      <c r="E189" s="20" t="s">
        <v>2970</v>
      </c>
      <c r="M189" s="20" t="s">
        <v>3047</v>
      </c>
    </row>
    <row r="190" customFormat="false" ht="17.15" hidden="false" customHeight="false" outlineLevel="0" collapsed="false">
      <c r="A190" s="0" t="s">
        <v>3048</v>
      </c>
      <c r="B190" s="0" t="s">
        <v>1245</v>
      </c>
      <c r="C190" s="0" t="n">
        <v>2026</v>
      </c>
      <c r="D190" s="41" t="n">
        <f aca="false">IF(Funding!AM7="","",Funding!AM7)</f>
        <v>0.175076126241498</v>
      </c>
      <c r="E190" s="20" t="s">
        <v>2973</v>
      </c>
      <c r="M190" s="20" t="s">
        <v>3049</v>
      </c>
    </row>
    <row r="191" customFormat="false" ht="17.15" hidden="false" customHeight="false" outlineLevel="0" collapsed="false">
      <c r="A191" s="0" t="s">
        <v>3050</v>
      </c>
      <c r="B191" s="0" t="s">
        <v>1245</v>
      </c>
      <c r="C191" s="0" t="n">
        <v>2026</v>
      </c>
      <c r="D191" s="41" t="n">
        <f aca="false">IF(Funding!AN7="","",Funding!AN7)</f>
        <v>1.30150971854634</v>
      </c>
      <c r="E191" s="20" t="s">
        <v>2976</v>
      </c>
      <c r="M191" s="20" t="s">
        <v>3051</v>
      </c>
    </row>
    <row r="192" customFormat="false" ht="17.15" hidden="false" customHeight="false" outlineLevel="0" collapsed="false">
      <c r="A192" s="0" t="s">
        <v>3052</v>
      </c>
      <c r="B192" s="0" t="s">
        <v>1245</v>
      </c>
      <c r="C192" s="0" t="n">
        <v>2026</v>
      </c>
      <c r="D192" s="41" t="n">
        <f aca="false">IF(Funding!AO7="","",Funding!AO7)</f>
        <v>0</v>
      </c>
      <c r="E192" s="20" t="s">
        <v>2979</v>
      </c>
      <c r="M192" s="20" t="s">
        <v>3053</v>
      </c>
    </row>
    <row r="193" customFormat="false" ht="17.15" hidden="false" customHeight="false" outlineLevel="0" collapsed="false">
      <c r="A193" s="0" t="s">
        <v>3054</v>
      </c>
      <c r="B193" s="0" t="s">
        <v>1245</v>
      </c>
      <c r="C193" s="0" t="n">
        <v>2026</v>
      </c>
      <c r="D193" s="41" t="n">
        <f aca="false">IF(Funding!AP7="","",Funding!AP7)</f>
        <v>0</v>
      </c>
      <c r="E193" s="20" t="s">
        <v>2982</v>
      </c>
      <c r="M193" s="20" t="s">
        <v>3055</v>
      </c>
    </row>
    <row r="194" customFormat="false" ht="17.15" hidden="false" customHeight="false" outlineLevel="0" collapsed="false">
      <c r="A194" s="0" t="s">
        <v>3056</v>
      </c>
      <c r="B194" s="0" t="s">
        <v>1245</v>
      </c>
      <c r="C194" s="0" t="n">
        <v>2026</v>
      </c>
      <c r="D194" s="41" t="n">
        <f aca="false">IF(Funding!AQ7="","",Funding!AQ7)</f>
        <v>0.175076126241498</v>
      </c>
      <c r="E194" s="20" t="s">
        <v>2985</v>
      </c>
      <c r="M194" s="20" t="s">
        <v>3057</v>
      </c>
    </row>
    <row r="195" customFormat="false" ht="17.15" hidden="false" customHeight="false" outlineLevel="0" collapsed="false">
      <c r="A195" s="0" t="s">
        <v>3058</v>
      </c>
      <c r="B195" s="0" t="s">
        <v>1245</v>
      </c>
      <c r="C195" s="0" t="n">
        <v>2026</v>
      </c>
      <c r="D195" s="36" t="n">
        <f aca="false">IF(Funding!E7="","",Funding!E7)</f>
        <v>182.935</v>
      </c>
      <c r="E195" s="20" t="s">
        <v>1681</v>
      </c>
      <c r="M195" s="20" t="s">
        <v>3059</v>
      </c>
    </row>
    <row r="196" customFormat="false" ht="17.15" hidden="false" customHeight="false" outlineLevel="0" collapsed="false">
      <c r="A196" s="0" t="s">
        <v>3060</v>
      </c>
      <c r="B196" s="0" t="s">
        <v>1245</v>
      </c>
      <c r="C196" s="0" t="n">
        <v>2026</v>
      </c>
      <c r="D196" s="36" t="str">
        <f aca="false">IF(Funding!I7="","",Funding!I7)</f>
        <v/>
      </c>
      <c r="E196" s="20" t="s">
        <v>1686</v>
      </c>
      <c r="M196" s="20" t="s">
        <v>3061</v>
      </c>
    </row>
    <row r="197" customFormat="false" ht="17.15" hidden="false" customHeight="false" outlineLevel="0" collapsed="false">
      <c r="A197" s="0" t="s">
        <v>3062</v>
      </c>
      <c r="B197" s="0" t="s">
        <v>1245</v>
      </c>
      <c r="C197" s="0" t="n">
        <v>2026</v>
      </c>
      <c r="D197" s="36" t="n">
        <f aca="false">IF(Funding!O7="","",Funding!O7)</f>
        <v>329.1</v>
      </c>
      <c r="E197" s="20" t="s">
        <v>2992</v>
      </c>
      <c r="M197" s="20" t="s">
        <v>3063</v>
      </c>
    </row>
    <row r="198" customFormat="false" ht="17.15" hidden="false" customHeight="false" outlineLevel="0" collapsed="false">
      <c r="A198" s="0" t="s">
        <v>3064</v>
      </c>
      <c r="B198" s="0" t="s">
        <v>1245</v>
      </c>
      <c r="C198" s="0" t="n">
        <v>2026</v>
      </c>
      <c r="D198" s="36" t="n">
        <f aca="false">N(Funding!J7)+N(Funding!K7)+N(Funding!L7)+N(Funding!M7)</f>
        <v>0</v>
      </c>
      <c r="E198" s="20" t="s">
        <v>2995</v>
      </c>
      <c r="M198" s="20" t="s">
        <v>3065</v>
      </c>
    </row>
    <row r="199" customFormat="false" ht="17.15" hidden="false" customHeight="false" outlineLevel="0" collapsed="false">
      <c r="A199" s="0" t="s">
        <v>3066</v>
      </c>
      <c r="B199" s="0" t="s">
        <v>1245</v>
      </c>
      <c r="C199" s="0" t="n">
        <v>2026</v>
      </c>
      <c r="D199" s="36" t="str">
        <f aca="false">IF(Funding!R7="","",Funding!R7)</f>
        <v/>
      </c>
      <c r="E199" s="20" t="s">
        <v>2998</v>
      </c>
      <c r="M199" s="20" t="s">
        <v>3067</v>
      </c>
    </row>
    <row r="200" customFormat="false" ht="17.15" hidden="false" customHeight="false" outlineLevel="0" collapsed="false">
      <c r="A200" s="0" t="s">
        <v>3068</v>
      </c>
      <c r="B200" s="0" t="s">
        <v>1246</v>
      </c>
      <c r="C200" s="0" t="n">
        <v>2024</v>
      </c>
      <c r="D200" s="36" t="str">
        <f aca="false">IF(Funding!W8="","",Funding!W8)</f>
        <v/>
      </c>
      <c r="E200" s="20" t="s">
        <v>2952</v>
      </c>
      <c r="M200" s="20" t="s">
        <v>3069</v>
      </c>
    </row>
    <row r="201" customFormat="false" ht="17.15" hidden="false" customHeight="false" outlineLevel="0" collapsed="false">
      <c r="A201" s="0" t="s">
        <v>3070</v>
      </c>
      <c r="B201" s="0" t="s">
        <v>1246</v>
      </c>
      <c r="C201" s="0" t="n">
        <v>2024</v>
      </c>
      <c r="D201" s="41" t="str">
        <f aca="false">IF(Funding!AC8="","",Funding!AC8)</f>
        <v/>
      </c>
      <c r="E201" s="20" t="s">
        <v>2955</v>
      </c>
      <c r="M201" s="20" t="s">
        <v>3071</v>
      </c>
    </row>
    <row r="202" customFormat="false" ht="17.15" hidden="false" customHeight="false" outlineLevel="0" collapsed="false">
      <c r="A202" s="0" t="s">
        <v>3072</v>
      </c>
      <c r="B202" s="0" t="s">
        <v>1246</v>
      </c>
      <c r="C202" s="0" t="n">
        <v>2024</v>
      </c>
      <c r="D202" s="41" t="str">
        <f aca="false">IF(Funding!AD8="","",Funding!AD8)</f>
        <v/>
      </c>
      <c r="E202" s="20" t="s">
        <v>2958</v>
      </c>
      <c r="M202" s="20" t="s">
        <v>3073</v>
      </c>
    </row>
    <row r="203" customFormat="false" ht="17.15" hidden="false" customHeight="false" outlineLevel="0" collapsed="false">
      <c r="A203" s="0" t="s">
        <v>3074</v>
      </c>
      <c r="B203" s="0" t="s">
        <v>1246</v>
      </c>
      <c r="C203" s="0" t="n">
        <v>2024</v>
      </c>
      <c r="D203" s="41" t="str">
        <f aca="false">IF(Funding!AE8="","",Funding!AE8)</f>
        <v/>
      </c>
      <c r="E203" s="20" t="s">
        <v>2961</v>
      </c>
      <c r="M203" s="20" t="s">
        <v>3075</v>
      </c>
    </row>
    <row r="204" customFormat="false" ht="17.15" hidden="false" customHeight="false" outlineLevel="0" collapsed="false">
      <c r="A204" s="0" t="s">
        <v>3076</v>
      </c>
      <c r="B204" s="0" t="s">
        <v>1246</v>
      </c>
      <c r="C204" s="0" t="n">
        <v>2024</v>
      </c>
      <c r="D204" s="41" t="str">
        <f aca="false">IF(Funding!AF8="","",Funding!AF8)</f>
        <v/>
      </c>
      <c r="E204" s="20" t="s">
        <v>2964</v>
      </c>
      <c r="M204" s="20" t="s">
        <v>3077</v>
      </c>
    </row>
    <row r="205" customFormat="false" ht="17.15" hidden="false" customHeight="false" outlineLevel="0" collapsed="false">
      <c r="A205" s="0" t="s">
        <v>3078</v>
      </c>
      <c r="B205" s="0" t="s">
        <v>1246</v>
      </c>
      <c r="C205" s="0" t="n">
        <v>2024</v>
      </c>
      <c r="D205" s="41" t="str">
        <f aca="false">IF(Funding!AG8="","",Funding!AG8)</f>
        <v/>
      </c>
      <c r="E205" s="20" t="s">
        <v>2967</v>
      </c>
      <c r="M205" s="20" t="s">
        <v>3079</v>
      </c>
    </row>
    <row r="206" customFormat="false" ht="17.15" hidden="false" customHeight="false" outlineLevel="0" collapsed="false">
      <c r="A206" s="0" t="s">
        <v>3080</v>
      </c>
      <c r="B206" s="0" t="s">
        <v>1246</v>
      </c>
      <c r="C206" s="0" t="n">
        <v>2024</v>
      </c>
      <c r="D206" s="36" t="n">
        <f aca="false">IF(Funding!AL8="","",Funding!AL8)</f>
        <v>0</v>
      </c>
      <c r="E206" s="20" t="s">
        <v>2970</v>
      </c>
      <c r="M206" s="20" t="s">
        <v>3081</v>
      </c>
    </row>
    <row r="207" customFormat="false" ht="17.15" hidden="false" customHeight="false" outlineLevel="0" collapsed="false">
      <c r="A207" s="0" t="s">
        <v>3082</v>
      </c>
      <c r="B207" s="0" t="s">
        <v>1246</v>
      </c>
      <c r="C207" s="0" t="n">
        <v>2024</v>
      </c>
      <c r="D207" s="41" t="str">
        <f aca="false">IF(Funding!AM8="","",Funding!AM8)</f>
        <v/>
      </c>
      <c r="E207" s="20" t="s">
        <v>2973</v>
      </c>
      <c r="M207" s="20" t="s">
        <v>3083</v>
      </c>
    </row>
    <row r="208" customFormat="false" ht="17.15" hidden="false" customHeight="false" outlineLevel="0" collapsed="false">
      <c r="A208" s="0" t="s">
        <v>3084</v>
      </c>
      <c r="B208" s="0" t="s">
        <v>1246</v>
      </c>
      <c r="C208" s="0" t="n">
        <v>2024</v>
      </c>
      <c r="D208" s="41" t="str">
        <f aca="false">IF(Funding!AN8="","",Funding!AN8)</f>
        <v/>
      </c>
      <c r="E208" s="20" t="s">
        <v>2976</v>
      </c>
      <c r="M208" s="20" t="s">
        <v>3085</v>
      </c>
    </row>
    <row r="209" customFormat="false" ht="17.15" hidden="false" customHeight="false" outlineLevel="0" collapsed="false">
      <c r="A209" s="0" t="s">
        <v>3086</v>
      </c>
      <c r="B209" s="0" t="s">
        <v>1246</v>
      </c>
      <c r="C209" s="0" t="n">
        <v>2024</v>
      </c>
      <c r="D209" s="41" t="str">
        <f aca="false">IF(Funding!AO8="","",Funding!AO8)</f>
        <v/>
      </c>
      <c r="E209" s="20" t="s">
        <v>2979</v>
      </c>
      <c r="M209" s="20" t="s">
        <v>3087</v>
      </c>
    </row>
    <row r="210" customFormat="false" ht="17.15" hidden="false" customHeight="false" outlineLevel="0" collapsed="false">
      <c r="A210" s="0" t="s">
        <v>3088</v>
      </c>
      <c r="B210" s="0" t="s">
        <v>1246</v>
      </c>
      <c r="C210" s="0" t="n">
        <v>2024</v>
      </c>
      <c r="D210" s="41" t="str">
        <f aca="false">IF(Funding!AP8="","",Funding!AP8)</f>
        <v/>
      </c>
      <c r="E210" s="20" t="s">
        <v>2982</v>
      </c>
      <c r="M210" s="20" t="s">
        <v>3089</v>
      </c>
    </row>
    <row r="211" customFormat="false" ht="17.15" hidden="false" customHeight="false" outlineLevel="0" collapsed="false">
      <c r="A211" s="0" t="s">
        <v>3090</v>
      </c>
      <c r="B211" s="0" t="s">
        <v>1246</v>
      </c>
      <c r="C211" s="0" t="n">
        <v>2024</v>
      </c>
      <c r="D211" s="41" t="str">
        <f aca="false">IF(Funding!AQ8="","",Funding!AQ8)</f>
        <v/>
      </c>
      <c r="E211" s="20" t="s">
        <v>2985</v>
      </c>
      <c r="M211" s="20" t="s">
        <v>3091</v>
      </c>
    </row>
    <row r="212" customFormat="false" ht="17.15" hidden="false" customHeight="false" outlineLevel="0" collapsed="false">
      <c r="A212" s="0" t="s">
        <v>3092</v>
      </c>
      <c r="B212" s="0" t="s">
        <v>1246</v>
      </c>
      <c r="C212" s="0" t="n">
        <v>2024</v>
      </c>
      <c r="D212" s="36" t="str">
        <f aca="false">IF(Funding!E8="","",Funding!E8)</f>
        <v/>
      </c>
      <c r="E212" s="20" t="s">
        <v>1681</v>
      </c>
      <c r="M212" s="20" t="s">
        <v>3093</v>
      </c>
    </row>
    <row r="213" customFormat="false" ht="17.15" hidden="false" customHeight="false" outlineLevel="0" collapsed="false">
      <c r="A213" s="0" t="s">
        <v>3094</v>
      </c>
      <c r="B213" s="0" t="s">
        <v>1246</v>
      </c>
      <c r="C213" s="0" t="n">
        <v>2024</v>
      </c>
      <c r="D213" s="36" t="str">
        <f aca="false">IF(Funding!I8="","",Funding!I8)</f>
        <v/>
      </c>
      <c r="E213" s="20" t="s">
        <v>1686</v>
      </c>
      <c r="M213" s="20" t="s">
        <v>3095</v>
      </c>
    </row>
    <row r="214" customFormat="false" ht="17.15" hidden="false" customHeight="false" outlineLevel="0" collapsed="false">
      <c r="A214" s="0" t="s">
        <v>3096</v>
      </c>
      <c r="B214" s="0" t="s">
        <v>1246</v>
      </c>
      <c r="C214" s="0" t="n">
        <v>2024</v>
      </c>
      <c r="D214" s="36" t="str">
        <f aca="false">IF(Funding!O8="","",Funding!O8)</f>
        <v/>
      </c>
      <c r="E214" s="20" t="s">
        <v>2992</v>
      </c>
      <c r="M214" s="20" t="s">
        <v>3097</v>
      </c>
    </row>
    <row r="215" customFormat="false" ht="17.15" hidden="false" customHeight="false" outlineLevel="0" collapsed="false">
      <c r="A215" s="0" t="s">
        <v>3098</v>
      </c>
      <c r="B215" s="0" t="s">
        <v>1246</v>
      </c>
      <c r="C215" s="0" t="n">
        <v>2024</v>
      </c>
      <c r="D215" s="36" t="n">
        <f aca="false">N(Funding!J8)+N(Funding!K8)+N(Funding!L8)+N(Funding!M8)</f>
        <v>0</v>
      </c>
      <c r="E215" s="20" t="s">
        <v>2995</v>
      </c>
      <c r="M215" s="20" t="s">
        <v>3099</v>
      </c>
    </row>
    <row r="216" customFormat="false" ht="17.15" hidden="false" customHeight="false" outlineLevel="0" collapsed="false">
      <c r="A216" s="0" t="s">
        <v>3100</v>
      </c>
      <c r="B216" s="0" t="s">
        <v>1246</v>
      </c>
      <c r="C216" s="0" t="n">
        <v>2024</v>
      </c>
      <c r="D216" s="36" t="str">
        <f aca="false">IF(Funding!R8="","",Funding!R8)</f>
        <v/>
      </c>
      <c r="E216" s="20" t="s">
        <v>2998</v>
      </c>
      <c r="M216" s="20" t="s">
        <v>3101</v>
      </c>
    </row>
    <row r="217" customFormat="false" ht="17.15" hidden="false" customHeight="false" outlineLevel="0" collapsed="false">
      <c r="A217" s="0" t="s">
        <v>3102</v>
      </c>
      <c r="B217" s="0" t="s">
        <v>1246</v>
      </c>
      <c r="C217" s="0" t="n">
        <v>2025</v>
      </c>
      <c r="D217" s="36" t="n">
        <f aca="false">IF(Funding!W9="","",Funding!W9)</f>
        <v>91.447</v>
      </c>
      <c r="E217" s="20" t="s">
        <v>2952</v>
      </c>
      <c r="M217" s="20" t="s">
        <v>3103</v>
      </c>
    </row>
    <row r="218" customFormat="false" ht="17.15" hidden="false" customHeight="false" outlineLevel="0" collapsed="false">
      <c r="A218" s="0" t="s">
        <v>3104</v>
      </c>
      <c r="B218" s="0" t="s">
        <v>1246</v>
      </c>
      <c r="C218" s="0" t="n">
        <v>2025</v>
      </c>
      <c r="D218" s="41" t="n">
        <f aca="false">IF(Funding!AC9="","",Funding!AC9)</f>
        <v>1</v>
      </c>
      <c r="E218" s="20" t="s">
        <v>2955</v>
      </c>
      <c r="M218" s="20" t="s">
        <v>3105</v>
      </c>
    </row>
    <row r="219" customFormat="false" ht="17.15" hidden="false" customHeight="false" outlineLevel="0" collapsed="false">
      <c r="A219" s="0" t="s">
        <v>3106</v>
      </c>
      <c r="B219" s="0" t="s">
        <v>1246</v>
      </c>
      <c r="C219" s="0" t="n">
        <v>2025</v>
      </c>
      <c r="D219" s="41" t="n">
        <f aca="false">IF(Funding!AD9="","",Funding!AD9)</f>
        <v>0</v>
      </c>
      <c r="E219" s="20" t="s">
        <v>2958</v>
      </c>
      <c r="M219" s="20" t="s">
        <v>3107</v>
      </c>
    </row>
    <row r="220" customFormat="false" ht="17.15" hidden="false" customHeight="false" outlineLevel="0" collapsed="false">
      <c r="A220" s="0" t="s">
        <v>3108</v>
      </c>
      <c r="B220" s="0" t="s">
        <v>1246</v>
      </c>
      <c r="C220" s="0" t="n">
        <v>2025</v>
      </c>
      <c r="D220" s="41" t="n">
        <f aca="false">IF(Funding!AE9="","",Funding!AE9)</f>
        <v>0</v>
      </c>
      <c r="E220" s="20" t="s">
        <v>2961</v>
      </c>
      <c r="M220" s="20" t="s">
        <v>3109</v>
      </c>
    </row>
    <row r="221" customFormat="false" ht="17.15" hidden="false" customHeight="false" outlineLevel="0" collapsed="false">
      <c r="A221" s="0" t="s">
        <v>3110</v>
      </c>
      <c r="B221" s="0" t="s">
        <v>1246</v>
      </c>
      <c r="C221" s="0" t="n">
        <v>2025</v>
      </c>
      <c r="D221" s="41" t="n">
        <f aca="false">IF(Funding!AF9="","",Funding!AF9)</f>
        <v>0</v>
      </c>
      <c r="E221" s="20" t="s">
        <v>2964</v>
      </c>
      <c r="M221" s="20" t="s">
        <v>3111</v>
      </c>
    </row>
    <row r="222" customFormat="false" ht="17.15" hidden="false" customHeight="false" outlineLevel="0" collapsed="false">
      <c r="A222" s="0" t="s">
        <v>3112</v>
      </c>
      <c r="B222" s="0" t="s">
        <v>1246</v>
      </c>
      <c r="C222" s="0" t="n">
        <v>2025</v>
      </c>
      <c r="D222" s="41" t="n">
        <f aca="false">IF(Funding!AG9="","",Funding!AG9)</f>
        <v>0</v>
      </c>
      <c r="E222" s="20" t="s">
        <v>2967</v>
      </c>
      <c r="M222" s="20" t="s">
        <v>3113</v>
      </c>
    </row>
    <row r="223" customFormat="false" ht="17.15" hidden="false" customHeight="false" outlineLevel="0" collapsed="false">
      <c r="A223" s="0" t="s">
        <v>3114</v>
      </c>
      <c r="B223" s="0" t="s">
        <v>1246</v>
      </c>
      <c r="C223" s="0" t="n">
        <v>2025</v>
      </c>
      <c r="D223" s="36" t="n">
        <f aca="false">IF(Funding!AL9="","",Funding!AL9)</f>
        <v>64.564</v>
      </c>
      <c r="E223" s="20" t="s">
        <v>2970</v>
      </c>
      <c r="M223" s="20" t="s">
        <v>3115</v>
      </c>
    </row>
    <row r="224" customFormat="false" ht="17.15" hidden="false" customHeight="false" outlineLevel="0" collapsed="false">
      <c r="A224" s="0" t="s">
        <v>3116</v>
      </c>
      <c r="B224" s="0" t="s">
        <v>1246</v>
      </c>
      <c r="C224" s="0" t="n">
        <v>2025</v>
      </c>
      <c r="D224" s="41" t="n">
        <f aca="false">IF(Funding!AM9="","",Funding!AM9)</f>
        <v>0.706026441545376</v>
      </c>
      <c r="E224" s="20" t="s">
        <v>2973</v>
      </c>
      <c r="M224" s="20" t="s">
        <v>3117</v>
      </c>
    </row>
    <row r="225" customFormat="false" ht="17.15" hidden="false" customHeight="false" outlineLevel="0" collapsed="false">
      <c r="A225" s="0" t="s">
        <v>3118</v>
      </c>
      <c r="B225" s="0" t="s">
        <v>1246</v>
      </c>
      <c r="C225" s="0" t="n">
        <v>2025</v>
      </c>
      <c r="D225" s="41" t="n">
        <f aca="false">IF(Funding!AN9="","",Funding!AN9)</f>
        <v>1.80118538607062</v>
      </c>
      <c r="E225" s="20" t="s">
        <v>2976</v>
      </c>
      <c r="M225" s="20" t="s">
        <v>3119</v>
      </c>
    </row>
    <row r="226" customFormat="false" ht="17.15" hidden="false" customHeight="false" outlineLevel="0" collapsed="false">
      <c r="A226" s="0" t="s">
        <v>3120</v>
      </c>
      <c r="B226" s="0" t="s">
        <v>1246</v>
      </c>
      <c r="C226" s="0" t="n">
        <v>2025</v>
      </c>
      <c r="D226" s="41" t="n">
        <f aca="false">IF(Funding!AO9="","",Funding!AO9)</f>
        <v>0.706026441545376</v>
      </c>
      <c r="E226" s="20" t="s">
        <v>2979</v>
      </c>
      <c r="M226" s="20" t="s">
        <v>3121</v>
      </c>
    </row>
    <row r="227" customFormat="false" ht="17.15" hidden="false" customHeight="false" outlineLevel="0" collapsed="false">
      <c r="A227" s="0" t="s">
        <v>3122</v>
      </c>
      <c r="B227" s="0" t="s">
        <v>1246</v>
      </c>
      <c r="C227" s="0" t="n">
        <v>2025</v>
      </c>
      <c r="D227" s="41" t="n">
        <f aca="false">IF(Funding!AP9="","",Funding!AP9)</f>
        <v>0</v>
      </c>
      <c r="E227" s="20" t="s">
        <v>2982</v>
      </c>
      <c r="M227" s="20" t="s">
        <v>3123</v>
      </c>
    </row>
    <row r="228" customFormat="false" ht="17.15" hidden="false" customHeight="false" outlineLevel="0" collapsed="false">
      <c r="A228" s="0" t="s">
        <v>3124</v>
      </c>
      <c r="B228" s="0" t="s">
        <v>1246</v>
      </c>
      <c r="C228" s="0" t="n">
        <v>2025</v>
      </c>
      <c r="D228" s="41" t="n">
        <f aca="false">IF(Funding!AQ9="","",Funding!AQ9)</f>
        <v>0</v>
      </c>
      <c r="E228" s="20" t="s">
        <v>2985</v>
      </c>
      <c r="M228" s="20" t="s">
        <v>3125</v>
      </c>
    </row>
    <row r="229" customFormat="false" ht="17.15" hidden="false" customHeight="false" outlineLevel="0" collapsed="false">
      <c r="A229" s="0" t="s">
        <v>3126</v>
      </c>
      <c r="B229" s="0" t="s">
        <v>1246</v>
      </c>
      <c r="C229" s="0" t="n">
        <v>2025</v>
      </c>
      <c r="D229" s="36" t="n">
        <f aca="false">IF(Funding!E9="","",Funding!E9)</f>
        <v>164.713</v>
      </c>
      <c r="E229" s="20" t="s">
        <v>1681</v>
      </c>
      <c r="M229" s="20" t="s">
        <v>3127</v>
      </c>
    </row>
    <row r="230" customFormat="false" ht="17.15" hidden="false" customHeight="false" outlineLevel="0" collapsed="false">
      <c r="A230" s="0" t="s">
        <v>3128</v>
      </c>
      <c r="B230" s="0" t="s">
        <v>1246</v>
      </c>
      <c r="C230" s="0" t="n">
        <v>2025</v>
      </c>
      <c r="D230" s="36" t="n">
        <f aca="false">IF(Funding!I9="","",Funding!I9)</f>
        <v>73.266</v>
      </c>
      <c r="E230" s="20" t="s">
        <v>1686</v>
      </c>
      <c r="M230" s="20" t="s">
        <v>3129</v>
      </c>
    </row>
    <row r="231" customFormat="false" ht="17.15" hidden="false" customHeight="false" outlineLevel="0" collapsed="false">
      <c r="A231" s="0" t="s">
        <v>3130</v>
      </c>
      <c r="B231" s="0" t="s">
        <v>1246</v>
      </c>
      <c r="C231" s="0" t="n">
        <v>2025</v>
      </c>
      <c r="D231" s="36" t="str">
        <f aca="false">IF(Funding!O9="","",Funding!O9)</f>
        <v/>
      </c>
      <c r="E231" s="20" t="s">
        <v>2992</v>
      </c>
      <c r="M231" s="20" t="s">
        <v>3131</v>
      </c>
    </row>
    <row r="232" customFormat="false" ht="17.15" hidden="false" customHeight="false" outlineLevel="0" collapsed="false">
      <c r="A232" s="0" t="s">
        <v>3132</v>
      </c>
      <c r="B232" s="0" t="s">
        <v>1246</v>
      </c>
      <c r="C232" s="0" t="n">
        <v>2025</v>
      </c>
      <c r="D232" s="36" t="n">
        <f aca="false">N(Funding!J9)+N(Funding!K9)+N(Funding!L9)+N(Funding!M9)</f>
        <v>64.564</v>
      </c>
      <c r="E232" s="20" t="s">
        <v>2995</v>
      </c>
      <c r="M232" s="20" t="s">
        <v>3133</v>
      </c>
    </row>
    <row r="233" customFormat="false" ht="17.15" hidden="false" customHeight="false" outlineLevel="0" collapsed="false">
      <c r="A233" s="0" t="s">
        <v>3134</v>
      </c>
      <c r="B233" s="0" t="s">
        <v>1246</v>
      </c>
      <c r="C233" s="0" t="n">
        <v>2025</v>
      </c>
      <c r="D233" s="36" t="str">
        <f aca="false">IF(Funding!R9="","",Funding!R9)</f>
        <v/>
      </c>
      <c r="E233" s="20" t="s">
        <v>2998</v>
      </c>
      <c r="M233" s="20" t="s">
        <v>3135</v>
      </c>
    </row>
    <row r="234" customFormat="false" ht="17.15" hidden="false" customHeight="false" outlineLevel="0" collapsed="false">
      <c r="A234" s="0" t="s">
        <v>3136</v>
      </c>
      <c r="B234" s="0" t="s">
        <v>1246</v>
      </c>
      <c r="C234" s="0" t="n">
        <v>2026</v>
      </c>
      <c r="D234" s="36" t="n">
        <f aca="false">IF(Funding!W10="","",Funding!W10)</f>
        <v>80.598</v>
      </c>
      <c r="E234" s="20" t="s">
        <v>2952</v>
      </c>
      <c r="M234" s="20" t="s">
        <v>3137</v>
      </c>
    </row>
    <row r="235" customFormat="false" ht="17.15" hidden="false" customHeight="false" outlineLevel="0" collapsed="false">
      <c r="A235" s="0" t="s">
        <v>3138</v>
      </c>
      <c r="B235" s="0" t="s">
        <v>1246</v>
      </c>
      <c r="C235" s="0" t="n">
        <v>2026</v>
      </c>
      <c r="D235" s="41" t="n">
        <f aca="false">IF(Funding!AC10="","",Funding!AC10)</f>
        <v>1</v>
      </c>
      <c r="E235" s="20" t="s">
        <v>2955</v>
      </c>
      <c r="M235" s="20" t="s">
        <v>3139</v>
      </c>
    </row>
    <row r="236" customFormat="false" ht="17.15" hidden="false" customHeight="false" outlineLevel="0" collapsed="false">
      <c r="A236" s="0" t="s">
        <v>3140</v>
      </c>
      <c r="B236" s="0" t="s">
        <v>1246</v>
      </c>
      <c r="C236" s="0" t="n">
        <v>2026</v>
      </c>
      <c r="D236" s="41" t="n">
        <f aca="false">IF(Funding!AD10="","",Funding!AD10)</f>
        <v>0</v>
      </c>
      <c r="E236" s="20" t="s">
        <v>2958</v>
      </c>
      <c r="M236" s="20" t="s">
        <v>3141</v>
      </c>
    </row>
    <row r="237" customFormat="false" ht="17.15" hidden="false" customHeight="false" outlineLevel="0" collapsed="false">
      <c r="A237" s="0" t="s">
        <v>3142</v>
      </c>
      <c r="B237" s="0" t="s">
        <v>1246</v>
      </c>
      <c r="C237" s="0" t="n">
        <v>2026</v>
      </c>
      <c r="D237" s="41" t="n">
        <f aca="false">IF(Funding!AE10="","",Funding!AE10)</f>
        <v>0</v>
      </c>
      <c r="E237" s="20" t="s">
        <v>2961</v>
      </c>
      <c r="M237" s="20" t="s">
        <v>3143</v>
      </c>
    </row>
    <row r="238" customFormat="false" ht="17.15" hidden="false" customHeight="false" outlineLevel="0" collapsed="false">
      <c r="A238" s="0" t="s">
        <v>3144</v>
      </c>
      <c r="B238" s="0" t="s">
        <v>1246</v>
      </c>
      <c r="C238" s="0" t="n">
        <v>2026</v>
      </c>
      <c r="D238" s="41" t="n">
        <f aca="false">IF(Funding!AF10="","",Funding!AF10)</f>
        <v>0</v>
      </c>
      <c r="E238" s="20" t="s">
        <v>2964</v>
      </c>
      <c r="M238" s="20" t="s">
        <v>3145</v>
      </c>
    </row>
    <row r="239" customFormat="false" ht="17.15" hidden="false" customHeight="false" outlineLevel="0" collapsed="false">
      <c r="A239" s="0" t="s">
        <v>3146</v>
      </c>
      <c r="B239" s="0" t="s">
        <v>1246</v>
      </c>
      <c r="C239" s="0" t="n">
        <v>2026</v>
      </c>
      <c r="D239" s="41" t="n">
        <f aca="false">IF(Funding!AG10="","",Funding!AG10)</f>
        <v>0</v>
      </c>
      <c r="E239" s="20" t="s">
        <v>2967</v>
      </c>
      <c r="M239" s="20" t="s">
        <v>3147</v>
      </c>
    </row>
    <row r="240" customFormat="false" ht="17.15" hidden="false" customHeight="false" outlineLevel="0" collapsed="false">
      <c r="A240" s="0" t="s">
        <v>3148</v>
      </c>
      <c r="B240" s="0" t="s">
        <v>1246</v>
      </c>
      <c r="C240" s="0" t="n">
        <v>2026</v>
      </c>
      <c r="D240" s="36" t="n">
        <f aca="false">IF(Funding!AL10="","",Funding!AL10)</f>
        <v>84.75</v>
      </c>
      <c r="E240" s="20" t="s">
        <v>2970</v>
      </c>
      <c r="M240" s="20" t="s">
        <v>3149</v>
      </c>
    </row>
    <row r="241" customFormat="false" ht="17.15" hidden="false" customHeight="false" outlineLevel="0" collapsed="false">
      <c r="A241" s="0" t="s">
        <v>3150</v>
      </c>
      <c r="B241" s="0" t="s">
        <v>1246</v>
      </c>
      <c r="C241" s="0" t="n">
        <v>2026</v>
      </c>
      <c r="D241" s="41" t="n">
        <f aca="false">IF(Funding!AM10="","",Funding!AM10)</f>
        <v>1.05151492592868</v>
      </c>
      <c r="E241" s="20" t="s">
        <v>2973</v>
      </c>
      <c r="M241" s="20" t="s">
        <v>3151</v>
      </c>
    </row>
    <row r="242" customFormat="false" ht="17.15" hidden="false" customHeight="false" outlineLevel="0" collapsed="false">
      <c r="A242" s="0" t="s">
        <v>3152</v>
      </c>
      <c r="B242" s="0" t="s">
        <v>1246</v>
      </c>
      <c r="C242" s="0" t="n">
        <v>2026</v>
      </c>
      <c r="D242" s="41" t="n">
        <f aca="false">IF(Funding!AN10="","",Funding!AN10)</f>
        <v>1.05286731680687</v>
      </c>
      <c r="E242" s="20" t="s">
        <v>2976</v>
      </c>
      <c r="M242" s="20" t="s">
        <v>3153</v>
      </c>
    </row>
    <row r="243" customFormat="false" ht="17.15" hidden="false" customHeight="false" outlineLevel="0" collapsed="false">
      <c r="A243" s="0" t="s">
        <v>3154</v>
      </c>
      <c r="B243" s="0" t="s">
        <v>1246</v>
      </c>
      <c r="C243" s="0" t="n">
        <v>2026</v>
      </c>
      <c r="D243" s="41" t="n">
        <f aca="false">IF(Funding!AO10="","",Funding!AO10)</f>
        <v>0</v>
      </c>
      <c r="E243" s="20" t="s">
        <v>2979</v>
      </c>
      <c r="M243" s="20" t="s">
        <v>3155</v>
      </c>
    </row>
    <row r="244" customFormat="false" ht="17.15" hidden="false" customHeight="false" outlineLevel="0" collapsed="false">
      <c r="A244" s="0" t="s">
        <v>3156</v>
      </c>
      <c r="B244" s="0" t="s">
        <v>1246</v>
      </c>
      <c r="C244" s="0" t="n">
        <v>2026</v>
      </c>
      <c r="D244" s="41" t="n">
        <f aca="false">IF(Funding!AP10="","",Funding!AP10)</f>
        <v>1.05151492592868</v>
      </c>
      <c r="E244" s="20" t="s">
        <v>2982</v>
      </c>
      <c r="M244" s="20" t="s">
        <v>3157</v>
      </c>
    </row>
    <row r="245" customFormat="false" ht="17.15" hidden="false" customHeight="false" outlineLevel="0" collapsed="false">
      <c r="A245" s="0" t="s">
        <v>3158</v>
      </c>
      <c r="B245" s="0" t="s">
        <v>1246</v>
      </c>
      <c r="C245" s="0" t="n">
        <v>2026</v>
      </c>
      <c r="D245" s="41" t="n">
        <f aca="false">IF(Funding!AQ10="","",Funding!AQ10)</f>
        <v>0</v>
      </c>
      <c r="E245" s="20" t="s">
        <v>2985</v>
      </c>
      <c r="M245" s="20" t="s">
        <v>3159</v>
      </c>
    </row>
    <row r="246" customFormat="false" ht="17.15" hidden="false" customHeight="false" outlineLevel="0" collapsed="false">
      <c r="A246" s="0" t="s">
        <v>3160</v>
      </c>
      <c r="B246" s="0" t="s">
        <v>1246</v>
      </c>
      <c r="C246" s="0" t="n">
        <v>2026</v>
      </c>
      <c r="D246" s="36" t="n">
        <f aca="false">IF(Funding!E10="","",Funding!E10)</f>
        <v>84.859</v>
      </c>
      <c r="E246" s="20" t="s">
        <v>1681</v>
      </c>
      <c r="M246" s="20" t="s">
        <v>3161</v>
      </c>
    </row>
    <row r="247" customFormat="false" ht="17.15" hidden="false" customHeight="false" outlineLevel="0" collapsed="false">
      <c r="A247" s="0" t="s">
        <v>3162</v>
      </c>
      <c r="B247" s="0" t="s">
        <v>1246</v>
      </c>
      <c r="C247" s="0" t="n">
        <v>2026</v>
      </c>
      <c r="D247" s="36" t="n">
        <f aca="false">IF(Funding!I10="","",Funding!I10)</f>
        <v>4.261</v>
      </c>
      <c r="E247" s="20" t="s">
        <v>1686</v>
      </c>
      <c r="M247" s="20" t="s">
        <v>3163</v>
      </c>
    </row>
    <row r="248" customFormat="false" ht="17.15" hidden="false" customHeight="false" outlineLevel="0" collapsed="false">
      <c r="A248" s="0" t="s">
        <v>3164</v>
      </c>
      <c r="B248" s="0" t="s">
        <v>1246</v>
      </c>
      <c r="C248" s="0" t="n">
        <v>2026</v>
      </c>
      <c r="D248" s="36" t="n">
        <f aca="false">IF(Funding!O10="","",Funding!O10)</f>
        <v>85.2</v>
      </c>
      <c r="E248" s="20" t="s">
        <v>2992</v>
      </c>
      <c r="M248" s="20" t="s">
        <v>3165</v>
      </c>
    </row>
    <row r="249" customFormat="false" ht="17.15" hidden="false" customHeight="false" outlineLevel="0" collapsed="false">
      <c r="A249" s="0" t="s">
        <v>3166</v>
      </c>
      <c r="B249" s="0" t="s">
        <v>1246</v>
      </c>
      <c r="C249" s="0" t="n">
        <v>2026</v>
      </c>
      <c r="D249" s="36" t="n">
        <f aca="false">N(Funding!J10)+N(Funding!K10)+N(Funding!L10)+N(Funding!M10)</f>
        <v>0</v>
      </c>
      <c r="E249" s="20" t="s">
        <v>2995</v>
      </c>
      <c r="M249" s="20" t="s">
        <v>3167</v>
      </c>
    </row>
    <row r="250" customFormat="false" ht="17.15" hidden="false" customHeight="false" outlineLevel="0" collapsed="false">
      <c r="A250" s="0" t="s">
        <v>3168</v>
      </c>
      <c r="B250" s="0" t="s">
        <v>1246</v>
      </c>
      <c r="C250" s="0" t="n">
        <v>2026</v>
      </c>
      <c r="D250" s="36" t="n">
        <f aca="false">IF(Funding!R10="","",Funding!R10)</f>
        <v>84.75</v>
      </c>
      <c r="E250" s="20" t="s">
        <v>2998</v>
      </c>
      <c r="M250" s="20" t="s">
        <v>3169</v>
      </c>
    </row>
    <row r="251" customFormat="false" ht="17.15" hidden="false" customHeight="false" outlineLevel="0" collapsed="false">
      <c r="A251" s="0" t="s">
        <v>3170</v>
      </c>
      <c r="B251" s="0" t="s">
        <v>1247</v>
      </c>
      <c r="C251" s="0" t="n">
        <v>2024</v>
      </c>
      <c r="D251" s="36" t="str">
        <f aca="false">IF(Funding!W11="","",Funding!W11)</f>
        <v/>
      </c>
      <c r="E251" s="20" t="s">
        <v>2952</v>
      </c>
      <c r="M251" s="20" t="s">
        <v>3171</v>
      </c>
    </row>
    <row r="252" customFormat="false" ht="17.15" hidden="false" customHeight="false" outlineLevel="0" collapsed="false">
      <c r="A252" s="0" t="s">
        <v>3172</v>
      </c>
      <c r="B252" s="0" t="s">
        <v>1247</v>
      </c>
      <c r="C252" s="0" t="n">
        <v>2024</v>
      </c>
      <c r="D252" s="41" t="str">
        <f aca="false">IF(Funding!AC11="","",Funding!AC11)</f>
        <v/>
      </c>
      <c r="E252" s="20" t="s">
        <v>2955</v>
      </c>
      <c r="M252" s="20" t="s">
        <v>3173</v>
      </c>
    </row>
    <row r="253" customFormat="false" ht="17.15" hidden="false" customHeight="false" outlineLevel="0" collapsed="false">
      <c r="A253" s="0" t="s">
        <v>3174</v>
      </c>
      <c r="B253" s="0" t="s">
        <v>1247</v>
      </c>
      <c r="C253" s="0" t="n">
        <v>2024</v>
      </c>
      <c r="D253" s="41" t="str">
        <f aca="false">IF(Funding!AD11="","",Funding!AD11)</f>
        <v/>
      </c>
      <c r="E253" s="20" t="s">
        <v>2958</v>
      </c>
      <c r="M253" s="20" t="s">
        <v>3175</v>
      </c>
    </row>
    <row r="254" customFormat="false" ht="17.15" hidden="false" customHeight="false" outlineLevel="0" collapsed="false">
      <c r="A254" s="0" t="s">
        <v>3176</v>
      </c>
      <c r="B254" s="0" t="s">
        <v>1247</v>
      </c>
      <c r="C254" s="0" t="n">
        <v>2024</v>
      </c>
      <c r="D254" s="41" t="str">
        <f aca="false">IF(Funding!AE11="","",Funding!AE11)</f>
        <v/>
      </c>
      <c r="E254" s="20" t="s">
        <v>2961</v>
      </c>
      <c r="M254" s="20" t="s">
        <v>3177</v>
      </c>
    </row>
    <row r="255" customFormat="false" ht="17.15" hidden="false" customHeight="false" outlineLevel="0" collapsed="false">
      <c r="A255" s="0" t="s">
        <v>3178</v>
      </c>
      <c r="B255" s="0" t="s">
        <v>1247</v>
      </c>
      <c r="C255" s="0" t="n">
        <v>2024</v>
      </c>
      <c r="D255" s="41" t="str">
        <f aca="false">IF(Funding!AF11="","",Funding!AF11)</f>
        <v/>
      </c>
      <c r="E255" s="20" t="s">
        <v>2964</v>
      </c>
      <c r="M255" s="20" t="s">
        <v>3179</v>
      </c>
    </row>
    <row r="256" customFormat="false" ht="17.15" hidden="false" customHeight="false" outlineLevel="0" collapsed="false">
      <c r="A256" s="0" t="s">
        <v>3180</v>
      </c>
      <c r="B256" s="0" t="s">
        <v>1247</v>
      </c>
      <c r="C256" s="0" t="n">
        <v>2024</v>
      </c>
      <c r="D256" s="41" t="str">
        <f aca="false">IF(Funding!AG11="","",Funding!AG11)</f>
        <v/>
      </c>
      <c r="E256" s="20" t="s">
        <v>2967</v>
      </c>
      <c r="M256" s="20" t="s">
        <v>3181</v>
      </c>
    </row>
    <row r="257" customFormat="false" ht="17.15" hidden="false" customHeight="false" outlineLevel="0" collapsed="false">
      <c r="A257" s="0" t="s">
        <v>3182</v>
      </c>
      <c r="B257" s="0" t="s">
        <v>1247</v>
      </c>
      <c r="C257" s="0" t="n">
        <v>2024</v>
      </c>
      <c r="D257" s="36" t="n">
        <f aca="false">IF(Funding!AL11="","",Funding!AL11)</f>
        <v>0</v>
      </c>
      <c r="E257" s="20" t="s">
        <v>2970</v>
      </c>
      <c r="M257" s="20" t="s">
        <v>3183</v>
      </c>
    </row>
    <row r="258" customFormat="false" ht="17.15" hidden="false" customHeight="false" outlineLevel="0" collapsed="false">
      <c r="A258" s="0" t="s">
        <v>3184</v>
      </c>
      <c r="B258" s="0" t="s">
        <v>1247</v>
      </c>
      <c r="C258" s="0" t="n">
        <v>2024</v>
      </c>
      <c r="D258" s="41" t="str">
        <f aca="false">IF(Funding!AM11="","",Funding!AM11)</f>
        <v/>
      </c>
      <c r="E258" s="20" t="s">
        <v>2973</v>
      </c>
      <c r="M258" s="20" t="s">
        <v>3185</v>
      </c>
    </row>
    <row r="259" customFormat="false" ht="17.15" hidden="false" customHeight="false" outlineLevel="0" collapsed="false">
      <c r="A259" s="0" t="s">
        <v>3186</v>
      </c>
      <c r="B259" s="0" t="s">
        <v>1247</v>
      </c>
      <c r="C259" s="0" t="n">
        <v>2024</v>
      </c>
      <c r="D259" s="41" t="str">
        <f aca="false">IF(Funding!AN11="","",Funding!AN11)</f>
        <v/>
      </c>
      <c r="E259" s="20" t="s">
        <v>2976</v>
      </c>
      <c r="M259" s="20" t="s">
        <v>3187</v>
      </c>
    </row>
    <row r="260" customFormat="false" ht="17.15" hidden="false" customHeight="false" outlineLevel="0" collapsed="false">
      <c r="A260" s="0" t="s">
        <v>3188</v>
      </c>
      <c r="B260" s="0" t="s">
        <v>1247</v>
      </c>
      <c r="C260" s="0" t="n">
        <v>2024</v>
      </c>
      <c r="D260" s="41" t="str">
        <f aca="false">IF(Funding!AO11="","",Funding!AO11)</f>
        <v/>
      </c>
      <c r="E260" s="20" t="s">
        <v>2979</v>
      </c>
      <c r="M260" s="20" t="s">
        <v>3189</v>
      </c>
    </row>
    <row r="261" customFormat="false" ht="17.15" hidden="false" customHeight="false" outlineLevel="0" collapsed="false">
      <c r="A261" s="0" t="s">
        <v>3190</v>
      </c>
      <c r="B261" s="0" t="s">
        <v>1247</v>
      </c>
      <c r="C261" s="0" t="n">
        <v>2024</v>
      </c>
      <c r="D261" s="41" t="str">
        <f aca="false">IF(Funding!AP11="","",Funding!AP11)</f>
        <v/>
      </c>
      <c r="E261" s="20" t="s">
        <v>2982</v>
      </c>
      <c r="M261" s="20" t="s">
        <v>3191</v>
      </c>
    </row>
    <row r="262" customFormat="false" ht="17.15" hidden="false" customHeight="false" outlineLevel="0" collapsed="false">
      <c r="A262" s="0" t="s">
        <v>3192</v>
      </c>
      <c r="B262" s="0" t="s">
        <v>1247</v>
      </c>
      <c r="C262" s="0" t="n">
        <v>2024</v>
      </c>
      <c r="D262" s="41" t="str">
        <f aca="false">IF(Funding!AQ11="","",Funding!AQ11)</f>
        <v/>
      </c>
      <c r="E262" s="20" t="s">
        <v>2985</v>
      </c>
      <c r="M262" s="20" t="s">
        <v>3193</v>
      </c>
    </row>
    <row r="263" customFormat="false" ht="17.15" hidden="false" customHeight="false" outlineLevel="0" collapsed="false">
      <c r="A263" s="0" t="s">
        <v>3194</v>
      </c>
      <c r="B263" s="0" t="s">
        <v>1247</v>
      </c>
      <c r="C263" s="0" t="n">
        <v>2024</v>
      </c>
      <c r="D263" s="36" t="str">
        <f aca="false">IF(Funding!E11="","",Funding!E11)</f>
        <v/>
      </c>
      <c r="E263" s="20" t="s">
        <v>1681</v>
      </c>
      <c r="M263" s="20" t="s">
        <v>3195</v>
      </c>
    </row>
    <row r="264" customFormat="false" ht="17.15" hidden="false" customHeight="false" outlineLevel="0" collapsed="false">
      <c r="A264" s="0" t="s">
        <v>3196</v>
      </c>
      <c r="B264" s="0" t="s">
        <v>1247</v>
      </c>
      <c r="C264" s="0" t="n">
        <v>2024</v>
      </c>
      <c r="D264" s="36" t="str">
        <f aca="false">IF(Funding!I11="","",Funding!I11)</f>
        <v/>
      </c>
      <c r="E264" s="20" t="s">
        <v>1686</v>
      </c>
      <c r="M264" s="20" t="s">
        <v>3197</v>
      </c>
    </row>
    <row r="265" customFormat="false" ht="17.15" hidden="false" customHeight="false" outlineLevel="0" collapsed="false">
      <c r="A265" s="0" t="s">
        <v>3198</v>
      </c>
      <c r="B265" s="0" t="s">
        <v>1247</v>
      </c>
      <c r="C265" s="0" t="n">
        <v>2024</v>
      </c>
      <c r="D265" s="36" t="str">
        <f aca="false">IF(Funding!O11="","",Funding!O11)</f>
        <v/>
      </c>
      <c r="E265" s="20" t="s">
        <v>2992</v>
      </c>
      <c r="M265" s="20" t="s">
        <v>3199</v>
      </c>
    </row>
    <row r="266" customFormat="false" ht="17.15" hidden="false" customHeight="false" outlineLevel="0" collapsed="false">
      <c r="A266" s="0" t="s">
        <v>3200</v>
      </c>
      <c r="B266" s="0" t="s">
        <v>1247</v>
      </c>
      <c r="C266" s="0" t="n">
        <v>2024</v>
      </c>
      <c r="D266" s="36" t="n">
        <f aca="false">N(Funding!J11)+N(Funding!K11)+N(Funding!L11)+N(Funding!M11)</f>
        <v>0</v>
      </c>
      <c r="E266" s="20" t="s">
        <v>2995</v>
      </c>
      <c r="M266" s="20" t="s">
        <v>3201</v>
      </c>
    </row>
    <row r="267" customFormat="false" ht="17.15" hidden="false" customHeight="false" outlineLevel="0" collapsed="false">
      <c r="A267" s="0" t="s">
        <v>3202</v>
      </c>
      <c r="B267" s="0" t="s">
        <v>1247</v>
      </c>
      <c r="C267" s="0" t="n">
        <v>2024</v>
      </c>
      <c r="D267" s="36" t="str">
        <f aca="false">IF(Funding!R11="","",Funding!R11)</f>
        <v/>
      </c>
      <c r="E267" s="20" t="s">
        <v>2998</v>
      </c>
      <c r="M267" s="20" t="s">
        <v>3203</v>
      </c>
    </row>
    <row r="268" customFormat="false" ht="17.15" hidden="false" customHeight="false" outlineLevel="0" collapsed="false">
      <c r="A268" s="0" t="s">
        <v>3204</v>
      </c>
      <c r="B268" s="0" t="s">
        <v>1247</v>
      </c>
      <c r="C268" s="0" t="n">
        <v>2025</v>
      </c>
      <c r="D268" s="36" t="n">
        <f aca="false">IF(Funding!W12="","",Funding!W12)</f>
        <v>131.231</v>
      </c>
      <c r="E268" s="20" t="s">
        <v>2952</v>
      </c>
      <c r="M268" s="20" t="s">
        <v>3205</v>
      </c>
    </row>
    <row r="269" customFormat="false" ht="17.15" hidden="false" customHeight="false" outlineLevel="0" collapsed="false">
      <c r="A269" s="0" t="s">
        <v>3206</v>
      </c>
      <c r="B269" s="0" t="s">
        <v>1247</v>
      </c>
      <c r="C269" s="0" t="n">
        <v>2025</v>
      </c>
      <c r="D269" s="41" t="n">
        <f aca="false">IF(Funding!AC12="","",Funding!AC12)</f>
        <v>0.977817741234922</v>
      </c>
      <c r="E269" s="20" t="s">
        <v>2955</v>
      </c>
      <c r="M269" s="20" t="s">
        <v>3207</v>
      </c>
    </row>
    <row r="270" customFormat="false" ht="17.15" hidden="false" customHeight="false" outlineLevel="0" collapsed="false">
      <c r="A270" s="0" t="s">
        <v>3208</v>
      </c>
      <c r="B270" s="0" t="s">
        <v>1247</v>
      </c>
      <c r="C270" s="0" t="n">
        <v>2025</v>
      </c>
      <c r="D270" s="41" t="n">
        <f aca="false">IF(Funding!AD12="","",Funding!AD12)</f>
        <v>0.0221822587650784</v>
      </c>
      <c r="E270" s="20" t="s">
        <v>2958</v>
      </c>
      <c r="M270" s="20" t="s">
        <v>3209</v>
      </c>
    </row>
    <row r="271" customFormat="false" ht="17.15" hidden="false" customHeight="false" outlineLevel="0" collapsed="false">
      <c r="A271" s="0" t="s">
        <v>3210</v>
      </c>
      <c r="B271" s="0" t="s">
        <v>1247</v>
      </c>
      <c r="C271" s="0" t="n">
        <v>2025</v>
      </c>
      <c r="D271" s="41" t="n">
        <f aca="false">IF(Funding!AE12="","",Funding!AE12)</f>
        <v>0</v>
      </c>
      <c r="E271" s="20" t="s">
        <v>2961</v>
      </c>
      <c r="M271" s="20" t="s">
        <v>3211</v>
      </c>
    </row>
    <row r="272" customFormat="false" ht="17.15" hidden="false" customHeight="false" outlineLevel="0" collapsed="false">
      <c r="A272" s="0" t="s">
        <v>3212</v>
      </c>
      <c r="B272" s="0" t="s">
        <v>1247</v>
      </c>
      <c r="C272" s="0" t="n">
        <v>2025</v>
      </c>
      <c r="D272" s="41" t="n">
        <f aca="false">IF(Funding!AF12="","",Funding!AF12)</f>
        <v>0</v>
      </c>
      <c r="E272" s="20" t="s">
        <v>2964</v>
      </c>
      <c r="M272" s="20" t="s">
        <v>3213</v>
      </c>
    </row>
    <row r="273" customFormat="false" ht="17.15" hidden="false" customHeight="false" outlineLevel="0" collapsed="false">
      <c r="A273" s="0" t="s">
        <v>3214</v>
      </c>
      <c r="B273" s="0" t="s">
        <v>1247</v>
      </c>
      <c r="C273" s="0" t="n">
        <v>2025</v>
      </c>
      <c r="D273" s="41" t="n">
        <f aca="false">IF(Funding!AG12="","",Funding!AG12)</f>
        <v>0</v>
      </c>
      <c r="E273" s="20" t="s">
        <v>2967</v>
      </c>
      <c r="M273" s="20" t="s">
        <v>3215</v>
      </c>
    </row>
    <row r="274" customFormat="false" ht="17.15" hidden="false" customHeight="false" outlineLevel="0" collapsed="false">
      <c r="A274" s="0" t="s">
        <v>3216</v>
      </c>
      <c r="B274" s="0" t="s">
        <v>1247</v>
      </c>
      <c r="C274" s="0" t="n">
        <v>2025</v>
      </c>
      <c r="D274" s="36" t="n">
        <f aca="false">IF(Funding!AL12="","",Funding!AL12)</f>
        <v>17.911</v>
      </c>
      <c r="E274" s="20" t="s">
        <v>2970</v>
      </c>
      <c r="M274" s="20" t="s">
        <v>3217</v>
      </c>
    </row>
    <row r="275" customFormat="false" ht="17.15" hidden="false" customHeight="false" outlineLevel="0" collapsed="false">
      <c r="A275" s="0" t="s">
        <v>3218</v>
      </c>
      <c r="B275" s="0" t="s">
        <v>1247</v>
      </c>
      <c r="C275" s="0" t="n">
        <v>2025</v>
      </c>
      <c r="D275" s="41" t="n">
        <f aca="false">IF(Funding!AM12="","",Funding!AM12)</f>
        <v>0.136484519663799</v>
      </c>
      <c r="E275" s="20" t="s">
        <v>2973</v>
      </c>
      <c r="M275" s="20" t="s">
        <v>3219</v>
      </c>
    </row>
    <row r="276" customFormat="false" ht="17.15" hidden="false" customHeight="false" outlineLevel="0" collapsed="false">
      <c r="A276" s="0" t="s">
        <v>3220</v>
      </c>
      <c r="B276" s="0" t="s">
        <v>1247</v>
      </c>
      <c r="C276" s="0" t="n">
        <v>2025</v>
      </c>
      <c r="D276" s="41" t="n">
        <f aca="false">IF(Funding!AN12="","",Funding!AN12)</f>
        <v>1.06311770846827</v>
      </c>
      <c r="E276" s="20" t="s">
        <v>2976</v>
      </c>
      <c r="M276" s="20" t="s">
        <v>3221</v>
      </c>
    </row>
    <row r="277" customFormat="false" ht="17.15" hidden="false" customHeight="false" outlineLevel="0" collapsed="false">
      <c r="A277" s="0" t="s">
        <v>3222</v>
      </c>
      <c r="B277" s="0" t="s">
        <v>1247</v>
      </c>
      <c r="C277" s="0" t="n">
        <v>2025</v>
      </c>
      <c r="D277" s="41" t="n">
        <f aca="false">IF(Funding!AO12="","",Funding!AO12)</f>
        <v>0.114302260898721</v>
      </c>
      <c r="E277" s="20" t="s">
        <v>2979</v>
      </c>
      <c r="M277" s="20" t="s">
        <v>3223</v>
      </c>
    </row>
    <row r="278" customFormat="false" ht="17.15" hidden="false" customHeight="false" outlineLevel="0" collapsed="false">
      <c r="A278" s="0" t="s">
        <v>3224</v>
      </c>
      <c r="B278" s="0" t="s">
        <v>1247</v>
      </c>
      <c r="C278" s="0" t="n">
        <v>2025</v>
      </c>
      <c r="D278" s="41" t="n">
        <f aca="false">IF(Funding!AP12="","",Funding!AP12)</f>
        <v>0</v>
      </c>
      <c r="E278" s="20" t="s">
        <v>2982</v>
      </c>
      <c r="M278" s="20" t="s">
        <v>3225</v>
      </c>
    </row>
    <row r="279" customFormat="false" ht="17.15" hidden="false" customHeight="false" outlineLevel="0" collapsed="false">
      <c r="A279" s="0" t="s">
        <v>3226</v>
      </c>
      <c r="B279" s="0" t="s">
        <v>1247</v>
      </c>
      <c r="C279" s="0" t="n">
        <v>2025</v>
      </c>
      <c r="D279" s="41" t="n">
        <f aca="false">IF(Funding!AQ12="","",Funding!AQ12)</f>
        <v>0.0221822587650784</v>
      </c>
      <c r="E279" s="20" t="s">
        <v>2985</v>
      </c>
      <c r="M279" s="20" t="s">
        <v>3227</v>
      </c>
    </row>
    <row r="280" customFormat="false" ht="17.15" hidden="false" customHeight="false" outlineLevel="0" collapsed="false">
      <c r="A280" s="0" t="s">
        <v>3228</v>
      </c>
      <c r="B280" s="0" t="s">
        <v>1247</v>
      </c>
      <c r="C280" s="0" t="n">
        <v>2025</v>
      </c>
      <c r="D280" s="36" t="n">
        <f aca="false">IF(Funding!E12="","",Funding!E12)</f>
        <v>139.514</v>
      </c>
      <c r="E280" s="20" t="s">
        <v>1681</v>
      </c>
      <c r="M280" s="20" t="s">
        <v>3229</v>
      </c>
    </row>
    <row r="281" customFormat="false" ht="17.15" hidden="false" customHeight="false" outlineLevel="0" collapsed="false">
      <c r="A281" s="0" t="s">
        <v>3230</v>
      </c>
      <c r="B281" s="0" t="s">
        <v>1247</v>
      </c>
      <c r="C281" s="0" t="n">
        <v>2025</v>
      </c>
      <c r="D281" s="36" t="n">
        <f aca="false">IF(Funding!I12="","",Funding!I12)</f>
        <v>11.194</v>
      </c>
      <c r="E281" s="20" t="s">
        <v>1686</v>
      </c>
      <c r="M281" s="20" t="s">
        <v>3231</v>
      </c>
    </row>
    <row r="282" customFormat="false" ht="17.15" hidden="false" customHeight="false" outlineLevel="0" collapsed="false">
      <c r="A282" s="0" t="s">
        <v>3232</v>
      </c>
      <c r="B282" s="0" t="s">
        <v>1247</v>
      </c>
      <c r="C282" s="0" t="n">
        <v>2025</v>
      </c>
      <c r="D282" s="36" t="n">
        <f aca="false">IF(Funding!O12="","",Funding!O12)</f>
        <v>96.4</v>
      </c>
      <c r="E282" s="20" t="s">
        <v>2992</v>
      </c>
      <c r="M282" s="20" t="s">
        <v>3233</v>
      </c>
    </row>
    <row r="283" customFormat="false" ht="17.15" hidden="false" customHeight="false" outlineLevel="0" collapsed="false">
      <c r="A283" s="0" t="s">
        <v>3234</v>
      </c>
      <c r="B283" s="0" t="s">
        <v>1247</v>
      </c>
      <c r="C283" s="0" t="n">
        <v>2025</v>
      </c>
      <c r="D283" s="36" t="n">
        <f aca="false">N(Funding!J12)+N(Funding!K12)+N(Funding!L12)+N(Funding!M12)</f>
        <v>15</v>
      </c>
      <c r="E283" s="20" t="s">
        <v>2995</v>
      </c>
      <c r="M283" s="20" t="s">
        <v>3235</v>
      </c>
    </row>
    <row r="284" customFormat="false" ht="17.15" hidden="false" customHeight="false" outlineLevel="0" collapsed="false">
      <c r="A284" s="0" t="s">
        <v>3236</v>
      </c>
      <c r="B284" s="0" t="s">
        <v>1247</v>
      </c>
      <c r="C284" s="0" t="n">
        <v>2025</v>
      </c>
      <c r="D284" s="36" t="str">
        <f aca="false">IF(Funding!R12="","",Funding!R12)</f>
        <v/>
      </c>
      <c r="E284" s="20" t="s">
        <v>2998</v>
      </c>
      <c r="M284" s="20" t="s">
        <v>3237</v>
      </c>
    </row>
    <row r="285" customFormat="false" ht="17.15" hidden="false" customHeight="false" outlineLevel="0" collapsed="false">
      <c r="A285" s="0" t="s">
        <v>3238</v>
      </c>
      <c r="B285" s="0" t="s">
        <v>1247</v>
      </c>
      <c r="C285" s="0" t="n">
        <v>2026</v>
      </c>
      <c r="D285" s="36" t="n">
        <f aca="false">IF(Funding!W13="","",Funding!W13)</f>
        <v>98.438</v>
      </c>
      <c r="E285" s="20" t="s">
        <v>2952</v>
      </c>
      <c r="M285" s="20" t="s">
        <v>3239</v>
      </c>
    </row>
    <row r="286" customFormat="false" ht="17.15" hidden="false" customHeight="false" outlineLevel="0" collapsed="false">
      <c r="A286" s="0" t="s">
        <v>3240</v>
      </c>
      <c r="B286" s="0" t="s">
        <v>1247</v>
      </c>
      <c r="C286" s="0" t="n">
        <v>2026</v>
      </c>
      <c r="D286" s="41" t="n">
        <f aca="false">IF(Funding!AC13="","",Funding!AC13)</f>
        <v>0.725522664011865</v>
      </c>
      <c r="E286" s="20" t="s">
        <v>2955</v>
      </c>
      <c r="M286" s="20" t="s">
        <v>3241</v>
      </c>
    </row>
    <row r="287" customFormat="false" ht="17.15" hidden="false" customHeight="false" outlineLevel="0" collapsed="false">
      <c r="A287" s="0" t="s">
        <v>3242</v>
      </c>
      <c r="B287" s="0" t="s">
        <v>1247</v>
      </c>
      <c r="C287" s="0" t="n">
        <v>2026</v>
      </c>
      <c r="D287" s="41" t="n">
        <f aca="false">IF(Funding!AD13="","",Funding!AD13)</f>
        <v>0.02161766797375</v>
      </c>
      <c r="E287" s="20" t="s">
        <v>2958</v>
      </c>
      <c r="M287" s="20" t="s">
        <v>3243</v>
      </c>
    </row>
    <row r="288" customFormat="false" ht="17.15" hidden="false" customHeight="false" outlineLevel="0" collapsed="false">
      <c r="A288" s="0" t="s">
        <v>3244</v>
      </c>
      <c r="B288" s="0" t="s">
        <v>1247</v>
      </c>
      <c r="C288" s="0" t="n">
        <v>2026</v>
      </c>
      <c r="D288" s="41" t="n">
        <f aca="false">IF(Funding!AE13="","",Funding!AE13)</f>
        <v>0</v>
      </c>
      <c r="E288" s="20" t="s">
        <v>2961</v>
      </c>
      <c r="M288" s="20" t="s">
        <v>3245</v>
      </c>
    </row>
    <row r="289" customFormat="false" ht="17.15" hidden="false" customHeight="false" outlineLevel="0" collapsed="false">
      <c r="A289" s="0" t="s">
        <v>3246</v>
      </c>
      <c r="B289" s="0" t="s">
        <v>1247</v>
      </c>
      <c r="C289" s="0" t="n">
        <v>2026</v>
      </c>
      <c r="D289" s="41" t="n">
        <f aca="false">IF(Funding!AF13="","",Funding!AF13)</f>
        <v>0.252859668014385</v>
      </c>
      <c r="E289" s="20" t="s">
        <v>2964</v>
      </c>
      <c r="M289" s="20" t="s">
        <v>3247</v>
      </c>
    </row>
    <row r="290" customFormat="false" ht="17.15" hidden="false" customHeight="false" outlineLevel="0" collapsed="false">
      <c r="A290" s="0" t="s">
        <v>3248</v>
      </c>
      <c r="B290" s="0" t="s">
        <v>1247</v>
      </c>
      <c r="C290" s="0" t="n">
        <v>2026</v>
      </c>
      <c r="D290" s="41" t="n">
        <f aca="false">IF(Funding!AG13="","",Funding!AG13)</f>
        <v>0</v>
      </c>
      <c r="E290" s="20" t="s">
        <v>2967</v>
      </c>
      <c r="M290" s="20" t="s">
        <v>3249</v>
      </c>
    </row>
    <row r="291" customFormat="false" ht="17.15" hidden="false" customHeight="false" outlineLevel="0" collapsed="false">
      <c r="A291" s="0" t="s">
        <v>3250</v>
      </c>
      <c r="B291" s="0" t="s">
        <v>1247</v>
      </c>
      <c r="C291" s="0" t="n">
        <v>2026</v>
      </c>
      <c r="D291" s="36" t="n">
        <f aca="false">IF(Funding!AL13="","",Funding!AL13)</f>
        <v>55.928</v>
      </c>
      <c r="E291" s="20" t="s">
        <v>2970</v>
      </c>
      <c r="M291" s="20" t="s">
        <v>3251</v>
      </c>
    </row>
    <row r="292" customFormat="false" ht="17.15" hidden="false" customHeight="false" outlineLevel="0" collapsed="false">
      <c r="A292" s="0" t="s">
        <v>3252</v>
      </c>
      <c r="B292" s="0" t="s">
        <v>1247</v>
      </c>
      <c r="C292" s="0" t="n">
        <v>2026</v>
      </c>
      <c r="D292" s="41" t="n">
        <f aca="false">IF(Funding!AM13="","",Funding!AM13)</f>
        <v>0.568154574452955</v>
      </c>
      <c r="E292" s="20" t="s">
        <v>2973</v>
      </c>
      <c r="M292" s="20" t="s">
        <v>3253</v>
      </c>
    </row>
    <row r="293" customFormat="false" ht="17.15" hidden="false" customHeight="false" outlineLevel="0" collapsed="false">
      <c r="A293" s="0" t="s">
        <v>3254</v>
      </c>
      <c r="B293" s="0" t="s">
        <v>1247</v>
      </c>
      <c r="C293" s="0" t="n">
        <v>2026</v>
      </c>
      <c r="D293" s="41" t="n">
        <f aca="false">IF(Funding!AN13="","",Funding!AN13)</f>
        <v>0.725522664011865</v>
      </c>
      <c r="E293" s="20" t="s">
        <v>2976</v>
      </c>
      <c r="M293" s="20" t="s">
        <v>3255</v>
      </c>
    </row>
    <row r="294" customFormat="false" ht="17.15" hidden="false" customHeight="false" outlineLevel="0" collapsed="false">
      <c r="A294" s="0" t="s">
        <v>3256</v>
      </c>
      <c r="B294" s="0" t="s">
        <v>1247</v>
      </c>
      <c r="C294" s="0" t="n">
        <v>2026</v>
      </c>
      <c r="D294" s="41" t="n">
        <f aca="false">IF(Funding!AO13="","",Funding!AO13)</f>
        <v>0.546536906479205</v>
      </c>
      <c r="E294" s="20" t="s">
        <v>2979</v>
      </c>
      <c r="M294" s="20" t="s">
        <v>3257</v>
      </c>
    </row>
    <row r="295" customFormat="false" ht="17.15" hidden="false" customHeight="false" outlineLevel="0" collapsed="false">
      <c r="A295" s="0" t="s">
        <v>3258</v>
      </c>
      <c r="B295" s="0" t="s">
        <v>1247</v>
      </c>
      <c r="C295" s="0" t="n">
        <v>2026</v>
      </c>
      <c r="D295" s="41" t="n">
        <f aca="false">IF(Funding!AP13="","",Funding!AP13)</f>
        <v>0</v>
      </c>
      <c r="E295" s="20" t="s">
        <v>2982</v>
      </c>
      <c r="M295" s="20" t="s">
        <v>3259</v>
      </c>
    </row>
    <row r="296" customFormat="false" ht="17.15" hidden="false" customHeight="false" outlineLevel="0" collapsed="false">
      <c r="A296" s="0" t="s">
        <v>3260</v>
      </c>
      <c r="B296" s="0" t="s">
        <v>1247</v>
      </c>
      <c r="C296" s="0" t="n">
        <v>2026</v>
      </c>
      <c r="D296" s="41" t="n">
        <f aca="false">IF(Funding!AQ13="","",Funding!AQ13)</f>
        <v>0.02161766797375</v>
      </c>
      <c r="E296" s="20" t="s">
        <v>2985</v>
      </c>
      <c r="M296" s="20" t="s">
        <v>3261</v>
      </c>
    </row>
    <row r="297" customFormat="false" ht="17.15" hidden="false" customHeight="false" outlineLevel="0" collapsed="false">
      <c r="A297" s="0" t="s">
        <v>3262</v>
      </c>
      <c r="B297" s="0" t="s">
        <v>1247</v>
      </c>
      <c r="C297" s="0" t="n">
        <v>2026</v>
      </c>
      <c r="D297" s="36" t="n">
        <f aca="false">IF(Funding!E13="","",Funding!E13)</f>
        <v>71.419</v>
      </c>
      <c r="E297" s="20" t="s">
        <v>1681</v>
      </c>
      <c r="M297" s="20" t="s">
        <v>3263</v>
      </c>
    </row>
    <row r="298" customFormat="false" ht="17.15" hidden="false" customHeight="false" outlineLevel="0" collapsed="false">
      <c r="A298" s="0" t="s">
        <v>3264</v>
      </c>
      <c r="B298" s="0" t="s">
        <v>1247</v>
      </c>
      <c r="C298" s="0" t="n">
        <v>2026</v>
      </c>
      <c r="D298" s="36" t="n">
        <f aca="false">IF(Funding!I13="","",Funding!I13)</f>
        <v>-24.891</v>
      </c>
      <c r="E298" s="20" t="s">
        <v>1686</v>
      </c>
      <c r="M298" s="20" t="s">
        <v>3265</v>
      </c>
    </row>
    <row r="299" customFormat="false" ht="17.15" hidden="false" customHeight="false" outlineLevel="0" collapsed="false">
      <c r="A299" s="0" t="s">
        <v>3266</v>
      </c>
      <c r="B299" s="0" t="s">
        <v>1247</v>
      </c>
      <c r="C299" s="0" t="n">
        <v>2026</v>
      </c>
      <c r="D299" s="36" t="n">
        <f aca="false">IF(Funding!O13="","",Funding!O13)</f>
        <v>137.214</v>
      </c>
      <c r="E299" s="20" t="s">
        <v>2992</v>
      </c>
      <c r="M299" s="20" t="s">
        <v>3267</v>
      </c>
    </row>
    <row r="300" customFormat="false" ht="17.15" hidden="false" customHeight="false" outlineLevel="0" collapsed="false">
      <c r="A300" s="0" t="s">
        <v>3268</v>
      </c>
      <c r="B300" s="0" t="s">
        <v>1247</v>
      </c>
      <c r="C300" s="0" t="n">
        <v>2026</v>
      </c>
      <c r="D300" s="36" t="n">
        <f aca="false">N(Funding!J13)+N(Funding!K13)+N(Funding!L13)+N(Funding!M13)</f>
        <v>53.8</v>
      </c>
      <c r="E300" s="20" t="s">
        <v>2995</v>
      </c>
      <c r="M300" s="20" t="s">
        <v>3269</v>
      </c>
    </row>
    <row r="301" customFormat="false" ht="17.15" hidden="false" customHeight="false" outlineLevel="0" collapsed="false">
      <c r="A301" s="0" t="s">
        <v>3270</v>
      </c>
      <c r="B301" s="0" t="s">
        <v>1247</v>
      </c>
      <c r="C301" s="0" t="n">
        <v>2026</v>
      </c>
      <c r="D301" s="36" t="str">
        <f aca="false">IF(Funding!R13="","",Funding!R13)</f>
        <v/>
      </c>
      <c r="E301" s="20" t="s">
        <v>2998</v>
      </c>
      <c r="M301" s="20" t="s">
        <v>3271</v>
      </c>
    </row>
    <row r="302" customFormat="false" ht="15" hidden="false" customHeight="false" outlineLevel="0" collapsed="false">
      <c r="A302" s="0" t="s">
        <v>3272</v>
      </c>
      <c r="B302" s="0" t="s">
        <v>981</v>
      </c>
      <c r="C302" s="0" t="n">
        <v>2024</v>
      </c>
      <c r="D302" s="36" t="str">
        <f aca="false">IF(Funding!W14="","",Funding!W14)</f>
        <v/>
      </c>
      <c r="E302" s="20" t="s">
        <v>2952</v>
      </c>
      <c r="M302" s="20" t="s">
        <v>3273</v>
      </c>
    </row>
    <row r="303" customFormat="false" ht="15" hidden="false" customHeight="false" outlineLevel="0" collapsed="false">
      <c r="A303" s="0" t="s">
        <v>3274</v>
      </c>
      <c r="B303" s="0" t="s">
        <v>981</v>
      </c>
      <c r="C303" s="0" t="n">
        <v>2024</v>
      </c>
      <c r="D303" s="41" t="str">
        <f aca="false">IF(Funding!AC14="","",Funding!AC14)</f>
        <v/>
      </c>
      <c r="E303" s="20" t="s">
        <v>2955</v>
      </c>
      <c r="M303" s="20" t="s">
        <v>3275</v>
      </c>
    </row>
    <row r="304" customFormat="false" ht="15" hidden="false" customHeight="false" outlineLevel="0" collapsed="false">
      <c r="A304" s="0" t="s">
        <v>3276</v>
      </c>
      <c r="B304" s="0" t="s">
        <v>981</v>
      </c>
      <c r="C304" s="0" t="n">
        <v>2024</v>
      </c>
      <c r="D304" s="41" t="str">
        <f aca="false">IF(Funding!AD14="","",Funding!AD14)</f>
        <v/>
      </c>
      <c r="E304" s="20" t="s">
        <v>2958</v>
      </c>
      <c r="M304" s="20" t="s">
        <v>3277</v>
      </c>
    </row>
    <row r="305" customFormat="false" ht="15" hidden="false" customHeight="false" outlineLevel="0" collapsed="false">
      <c r="A305" s="0" t="s">
        <v>3278</v>
      </c>
      <c r="B305" s="0" t="s">
        <v>981</v>
      </c>
      <c r="C305" s="0" t="n">
        <v>2024</v>
      </c>
      <c r="D305" s="41" t="str">
        <f aca="false">IF(Funding!AE14="","",Funding!AE14)</f>
        <v/>
      </c>
      <c r="E305" s="20" t="s">
        <v>2961</v>
      </c>
      <c r="M305" s="20" t="s">
        <v>3279</v>
      </c>
    </row>
    <row r="306" customFormat="false" ht="15" hidden="false" customHeight="false" outlineLevel="0" collapsed="false">
      <c r="A306" s="0" t="s">
        <v>3280</v>
      </c>
      <c r="B306" s="0" t="s">
        <v>981</v>
      </c>
      <c r="C306" s="0" t="n">
        <v>2024</v>
      </c>
      <c r="D306" s="41" t="str">
        <f aca="false">IF(Funding!AF14="","",Funding!AF14)</f>
        <v/>
      </c>
      <c r="E306" s="20" t="s">
        <v>2964</v>
      </c>
      <c r="M306" s="20" t="s">
        <v>3281</v>
      </c>
    </row>
    <row r="307" customFormat="false" ht="15" hidden="false" customHeight="false" outlineLevel="0" collapsed="false">
      <c r="A307" s="0" t="s">
        <v>3282</v>
      </c>
      <c r="B307" s="0" t="s">
        <v>981</v>
      </c>
      <c r="C307" s="0" t="n">
        <v>2024</v>
      </c>
      <c r="D307" s="41" t="str">
        <f aca="false">IF(Funding!AG14="","",Funding!AG14)</f>
        <v/>
      </c>
      <c r="E307" s="20" t="s">
        <v>2967</v>
      </c>
      <c r="M307" s="20" t="s">
        <v>3283</v>
      </c>
    </row>
    <row r="308" customFormat="false" ht="15" hidden="false" customHeight="false" outlineLevel="0" collapsed="false">
      <c r="A308" s="0" t="s">
        <v>3284</v>
      </c>
      <c r="B308" s="0" t="s">
        <v>981</v>
      </c>
      <c r="C308" s="0" t="n">
        <v>2024</v>
      </c>
      <c r="D308" s="36" t="n">
        <f aca="false">IF(Funding!AL14="","",Funding!AL14)</f>
        <v>0</v>
      </c>
      <c r="E308" s="20" t="s">
        <v>2970</v>
      </c>
      <c r="M308" s="20" t="s">
        <v>3285</v>
      </c>
    </row>
    <row r="309" customFormat="false" ht="15" hidden="false" customHeight="false" outlineLevel="0" collapsed="false">
      <c r="A309" s="0" t="s">
        <v>3286</v>
      </c>
      <c r="B309" s="0" t="s">
        <v>981</v>
      </c>
      <c r="C309" s="0" t="n">
        <v>2024</v>
      </c>
      <c r="D309" s="41" t="str">
        <f aca="false">IF(Funding!AM14="","",Funding!AM14)</f>
        <v/>
      </c>
      <c r="E309" s="20" t="s">
        <v>2973</v>
      </c>
      <c r="M309" s="20" t="s">
        <v>3287</v>
      </c>
    </row>
    <row r="310" customFormat="false" ht="15" hidden="false" customHeight="false" outlineLevel="0" collapsed="false">
      <c r="A310" s="0" t="s">
        <v>3288</v>
      </c>
      <c r="B310" s="0" t="s">
        <v>981</v>
      </c>
      <c r="C310" s="0" t="n">
        <v>2024</v>
      </c>
      <c r="D310" s="41" t="str">
        <f aca="false">IF(Funding!AN14="","",Funding!AN14)</f>
        <v/>
      </c>
      <c r="E310" s="20" t="s">
        <v>2976</v>
      </c>
      <c r="M310" s="20" t="s">
        <v>3289</v>
      </c>
    </row>
    <row r="311" customFormat="false" ht="15" hidden="false" customHeight="false" outlineLevel="0" collapsed="false">
      <c r="A311" s="0" t="s">
        <v>3290</v>
      </c>
      <c r="B311" s="0" t="s">
        <v>981</v>
      </c>
      <c r="C311" s="0" t="n">
        <v>2024</v>
      </c>
      <c r="D311" s="41" t="str">
        <f aca="false">IF(Funding!AO14="","",Funding!AO14)</f>
        <v/>
      </c>
      <c r="E311" s="20" t="s">
        <v>2979</v>
      </c>
      <c r="M311" s="20" t="s">
        <v>3291</v>
      </c>
    </row>
    <row r="312" customFormat="false" ht="15" hidden="false" customHeight="false" outlineLevel="0" collapsed="false">
      <c r="A312" s="0" t="s">
        <v>3292</v>
      </c>
      <c r="B312" s="0" t="s">
        <v>981</v>
      </c>
      <c r="C312" s="0" t="n">
        <v>2024</v>
      </c>
      <c r="D312" s="41" t="str">
        <f aca="false">IF(Funding!AP14="","",Funding!AP14)</f>
        <v/>
      </c>
      <c r="E312" s="20" t="s">
        <v>2982</v>
      </c>
      <c r="M312" s="20" t="s">
        <v>3293</v>
      </c>
    </row>
    <row r="313" customFormat="false" ht="15" hidden="false" customHeight="false" outlineLevel="0" collapsed="false">
      <c r="A313" s="0" t="s">
        <v>3294</v>
      </c>
      <c r="B313" s="0" t="s">
        <v>981</v>
      </c>
      <c r="C313" s="0" t="n">
        <v>2024</v>
      </c>
      <c r="D313" s="41" t="str">
        <f aca="false">IF(Funding!AQ14="","",Funding!AQ14)</f>
        <v/>
      </c>
      <c r="E313" s="20" t="s">
        <v>2985</v>
      </c>
      <c r="M313" s="20" t="s">
        <v>3295</v>
      </c>
    </row>
    <row r="314" customFormat="false" ht="15" hidden="false" customHeight="false" outlineLevel="0" collapsed="false">
      <c r="A314" s="0" t="s">
        <v>3296</v>
      </c>
      <c r="B314" s="0" t="s">
        <v>981</v>
      </c>
      <c r="C314" s="0" t="n">
        <v>2024</v>
      </c>
      <c r="D314" s="36" t="str">
        <f aca="false">IF(Funding!E14="","",Funding!E14)</f>
        <v/>
      </c>
      <c r="E314" s="20" t="s">
        <v>1681</v>
      </c>
      <c r="M314" s="20" t="s">
        <v>3297</v>
      </c>
    </row>
    <row r="315" customFormat="false" ht="15" hidden="false" customHeight="false" outlineLevel="0" collapsed="false">
      <c r="A315" s="0" t="s">
        <v>3298</v>
      </c>
      <c r="B315" s="0" t="s">
        <v>981</v>
      </c>
      <c r="C315" s="0" t="n">
        <v>2024</v>
      </c>
      <c r="D315" s="36" t="str">
        <f aca="false">IF(Funding!I14="","",Funding!I14)</f>
        <v/>
      </c>
      <c r="E315" s="20" t="s">
        <v>1686</v>
      </c>
      <c r="M315" s="20" t="s">
        <v>3299</v>
      </c>
    </row>
    <row r="316" customFormat="false" ht="15" hidden="false" customHeight="false" outlineLevel="0" collapsed="false">
      <c r="A316" s="0" t="s">
        <v>3300</v>
      </c>
      <c r="B316" s="0" t="s">
        <v>981</v>
      </c>
      <c r="C316" s="0" t="n">
        <v>2024</v>
      </c>
      <c r="D316" s="36" t="str">
        <f aca="false">IF(Funding!O14="","",Funding!O14)</f>
        <v/>
      </c>
      <c r="E316" s="20" t="s">
        <v>2992</v>
      </c>
      <c r="M316" s="20" t="s">
        <v>3301</v>
      </c>
    </row>
    <row r="317" customFormat="false" ht="15" hidden="false" customHeight="false" outlineLevel="0" collapsed="false">
      <c r="A317" s="0" t="s">
        <v>3302</v>
      </c>
      <c r="B317" s="0" t="s">
        <v>981</v>
      </c>
      <c r="C317" s="0" t="n">
        <v>2024</v>
      </c>
      <c r="D317" s="36" t="n">
        <f aca="false">N(Funding!J14)+N(Funding!K14)+N(Funding!L14)+N(Funding!M14)</f>
        <v>0</v>
      </c>
      <c r="E317" s="20" t="s">
        <v>2995</v>
      </c>
      <c r="M317" s="20" t="s">
        <v>3303</v>
      </c>
    </row>
    <row r="318" customFormat="false" ht="15" hidden="false" customHeight="false" outlineLevel="0" collapsed="false">
      <c r="A318" s="0" t="s">
        <v>3304</v>
      </c>
      <c r="B318" s="0" t="s">
        <v>981</v>
      </c>
      <c r="C318" s="0" t="n">
        <v>2024</v>
      </c>
      <c r="D318" s="36" t="str">
        <f aca="false">IF(Funding!R14="","",Funding!R14)</f>
        <v/>
      </c>
      <c r="E318" s="20" t="s">
        <v>2998</v>
      </c>
      <c r="M318" s="20" t="s">
        <v>3305</v>
      </c>
    </row>
    <row r="319" customFormat="false" ht="15" hidden="false" customHeight="false" outlineLevel="0" collapsed="false">
      <c r="A319" s="0" t="s">
        <v>3306</v>
      </c>
      <c r="B319" s="0" t="s">
        <v>981</v>
      </c>
      <c r="C319" s="0" t="n">
        <v>2025</v>
      </c>
      <c r="D319" s="36" t="n">
        <f aca="false">IF(Funding!W15="","",Funding!W15)</f>
        <v>72.215</v>
      </c>
      <c r="E319" s="20" t="s">
        <v>2952</v>
      </c>
      <c r="M319" s="20" t="s">
        <v>3307</v>
      </c>
    </row>
    <row r="320" customFormat="false" ht="15" hidden="false" customHeight="false" outlineLevel="0" collapsed="false">
      <c r="A320" s="0" t="s">
        <v>3308</v>
      </c>
      <c r="B320" s="0" t="s">
        <v>981</v>
      </c>
      <c r="C320" s="0" t="n">
        <v>2025</v>
      </c>
      <c r="D320" s="41" t="n">
        <f aca="false">IF(Funding!AC15="","",Funding!AC15)</f>
        <v>1</v>
      </c>
      <c r="E320" s="20" t="s">
        <v>2955</v>
      </c>
      <c r="M320" s="20" t="s">
        <v>3309</v>
      </c>
    </row>
    <row r="321" customFormat="false" ht="15" hidden="false" customHeight="false" outlineLevel="0" collapsed="false">
      <c r="A321" s="0" t="s">
        <v>3310</v>
      </c>
      <c r="B321" s="0" t="s">
        <v>981</v>
      </c>
      <c r="C321" s="0" t="n">
        <v>2025</v>
      </c>
      <c r="D321" s="41" t="n">
        <f aca="false">IF(Funding!AD15="","",Funding!AD15)</f>
        <v>0</v>
      </c>
      <c r="E321" s="20" t="s">
        <v>2958</v>
      </c>
      <c r="M321" s="20" t="s">
        <v>3311</v>
      </c>
    </row>
    <row r="322" customFormat="false" ht="15" hidden="false" customHeight="false" outlineLevel="0" collapsed="false">
      <c r="A322" s="0" t="s">
        <v>3312</v>
      </c>
      <c r="B322" s="0" t="s">
        <v>981</v>
      </c>
      <c r="C322" s="0" t="n">
        <v>2025</v>
      </c>
      <c r="D322" s="41" t="n">
        <f aca="false">IF(Funding!AE15="","",Funding!AE15)</f>
        <v>0</v>
      </c>
      <c r="E322" s="20" t="s">
        <v>2961</v>
      </c>
      <c r="M322" s="20" t="s">
        <v>3313</v>
      </c>
    </row>
    <row r="323" customFormat="false" ht="15" hidden="false" customHeight="false" outlineLevel="0" collapsed="false">
      <c r="A323" s="0" t="s">
        <v>3314</v>
      </c>
      <c r="B323" s="0" t="s">
        <v>981</v>
      </c>
      <c r="C323" s="0" t="n">
        <v>2025</v>
      </c>
      <c r="D323" s="41" t="n">
        <f aca="false">IF(Funding!AF15="","",Funding!AF15)</f>
        <v>0</v>
      </c>
      <c r="E323" s="20" t="s">
        <v>2964</v>
      </c>
      <c r="M323" s="20" t="s">
        <v>3315</v>
      </c>
    </row>
    <row r="324" customFormat="false" ht="15" hidden="false" customHeight="false" outlineLevel="0" collapsed="false">
      <c r="A324" s="0" t="s">
        <v>3316</v>
      </c>
      <c r="B324" s="0" t="s">
        <v>981</v>
      </c>
      <c r="C324" s="0" t="n">
        <v>2025</v>
      </c>
      <c r="D324" s="41" t="n">
        <f aca="false">IF(Funding!AG15="","",Funding!AG15)</f>
        <v>0</v>
      </c>
      <c r="E324" s="20" t="s">
        <v>2967</v>
      </c>
      <c r="M324" s="20" t="s">
        <v>3317</v>
      </c>
    </row>
    <row r="325" customFormat="false" ht="15" hidden="false" customHeight="false" outlineLevel="0" collapsed="false">
      <c r="A325" s="0" t="s">
        <v>3318</v>
      </c>
      <c r="B325" s="0" t="s">
        <v>981</v>
      </c>
      <c r="C325" s="0" t="n">
        <v>2025</v>
      </c>
      <c r="D325" s="36" t="n">
        <f aca="false">IF(Funding!AL15="","",Funding!AL15)</f>
        <v>57.3</v>
      </c>
      <c r="E325" s="20" t="s">
        <v>2970</v>
      </c>
      <c r="M325" s="20" t="s">
        <v>3319</v>
      </c>
    </row>
    <row r="326" customFormat="false" ht="15" hidden="false" customHeight="false" outlineLevel="0" collapsed="false">
      <c r="A326" s="0" t="s">
        <v>3320</v>
      </c>
      <c r="B326" s="0" t="s">
        <v>981</v>
      </c>
      <c r="C326" s="0" t="n">
        <v>2025</v>
      </c>
      <c r="D326" s="41" t="n">
        <f aca="false">IF(Funding!AM15="","",Funding!AM15)</f>
        <v>0.793463961780793</v>
      </c>
      <c r="E326" s="20" t="s">
        <v>2973</v>
      </c>
      <c r="M326" s="20" t="s">
        <v>3321</v>
      </c>
    </row>
    <row r="327" customFormat="false" ht="15" hidden="false" customHeight="false" outlineLevel="0" collapsed="false">
      <c r="A327" s="0" t="s">
        <v>3322</v>
      </c>
      <c r="B327" s="0" t="s">
        <v>981</v>
      </c>
      <c r="C327" s="0" t="n">
        <v>2025</v>
      </c>
      <c r="D327" s="41" t="n">
        <f aca="false">IF(Funding!AN15="","",Funding!AN15)</f>
        <v>1.6035449698816</v>
      </c>
      <c r="E327" s="20" t="s">
        <v>2976</v>
      </c>
      <c r="M327" s="20" t="s">
        <v>3323</v>
      </c>
    </row>
    <row r="328" customFormat="false" ht="15" hidden="false" customHeight="false" outlineLevel="0" collapsed="false">
      <c r="A328" s="0" t="s">
        <v>3324</v>
      </c>
      <c r="B328" s="0" t="s">
        <v>981</v>
      </c>
      <c r="C328" s="0" t="n">
        <v>2025</v>
      </c>
      <c r="D328" s="41" t="n">
        <f aca="false">IF(Funding!AO15="","",Funding!AO15)</f>
        <v>0.415426158000415</v>
      </c>
      <c r="E328" s="20" t="s">
        <v>2979</v>
      </c>
      <c r="M328" s="20" t="s">
        <v>3325</v>
      </c>
    </row>
    <row r="329" customFormat="false" ht="15" hidden="false" customHeight="false" outlineLevel="0" collapsed="false">
      <c r="A329" s="0" t="s">
        <v>3326</v>
      </c>
      <c r="B329" s="0" t="s">
        <v>981</v>
      </c>
      <c r="C329" s="0" t="n">
        <v>2025</v>
      </c>
      <c r="D329" s="41" t="n">
        <f aca="false">IF(Funding!AP15="","",Funding!AP15)</f>
        <v>0</v>
      </c>
      <c r="E329" s="20" t="s">
        <v>2982</v>
      </c>
      <c r="M329" s="20" t="s">
        <v>3327</v>
      </c>
    </row>
    <row r="330" customFormat="false" ht="15" hidden="false" customHeight="false" outlineLevel="0" collapsed="false">
      <c r="A330" s="0" t="s">
        <v>3328</v>
      </c>
      <c r="B330" s="0" t="s">
        <v>981</v>
      </c>
      <c r="C330" s="0" t="n">
        <v>2025</v>
      </c>
      <c r="D330" s="41" t="n">
        <f aca="false">IF(Funding!AQ15="","",Funding!AQ15)</f>
        <v>0.378037803780378</v>
      </c>
      <c r="E330" s="20" t="s">
        <v>2985</v>
      </c>
      <c r="M330" s="20" t="s">
        <v>3329</v>
      </c>
    </row>
    <row r="331" customFormat="false" ht="15" hidden="false" customHeight="false" outlineLevel="0" collapsed="false">
      <c r="A331" s="0" t="s">
        <v>3330</v>
      </c>
      <c r="B331" s="0" t="s">
        <v>981</v>
      </c>
      <c r="C331" s="0" t="n">
        <v>2025</v>
      </c>
      <c r="D331" s="36" t="n">
        <f aca="false">IF(Funding!E15="","",Funding!E15)</f>
        <v>115.8</v>
      </c>
      <c r="E331" s="20" t="s">
        <v>1681</v>
      </c>
      <c r="M331" s="20" t="s">
        <v>3331</v>
      </c>
    </row>
    <row r="332" customFormat="false" ht="15" hidden="false" customHeight="false" outlineLevel="0" collapsed="false">
      <c r="A332" s="0" t="s">
        <v>3332</v>
      </c>
      <c r="B332" s="0" t="s">
        <v>981</v>
      </c>
      <c r="C332" s="0" t="n">
        <v>2025</v>
      </c>
      <c r="D332" s="36" t="n">
        <f aca="false">IF(Funding!I15="","",Funding!I15)</f>
        <v>43.585</v>
      </c>
      <c r="E332" s="20" t="s">
        <v>1686</v>
      </c>
      <c r="M332" s="20" t="s">
        <v>3333</v>
      </c>
    </row>
    <row r="333" customFormat="false" ht="15" hidden="false" customHeight="false" outlineLevel="0" collapsed="false">
      <c r="A333" s="0" t="s">
        <v>3334</v>
      </c>
      <c r="B333" s="0" t="s">
        <v>981</v>
      </c>
      <c r="C333" s="0" t="n">
        <v>2025</v>
      </c>
      <c r="D333" s="36" t="str">
        <f aca="false">IF(Funding!O15="","",Funding!O15)</f>
        <v/>
      </c>
      <c r="E333" s="20" t="s">
        <v>2992</v>
      </c>
      <c r="M333" s="20" t="s">
        <v>3335</v>
      </c>
    </row>
    <row r="334" customFormat="false" ht="15" hidden="false" customHeight="false" outlineLevel="0" collapsed="false">
      <c r="A334" s="0" t="s">
        <v>3336</v>
      </c>
      <c r="B334" s="0" t="s">
        <v>981</v>
      </c>
      <c r="C334" s="0" t="n">
        <v>2025</v>
      </c>
      <c r="D334" s="36" t="n">
        <f aca="false">N(Funding!J15)+N(Funding!K15)+N(Funding!L15)+N(Funding!M15)</f>
        <v>30</v>
      </c>
      <c r="E334" s="20" t="s">
        <v>2995</v>
      </c>
      <c r="M334" s="20" t="s">
        <v>3337</v>
      </c>
    </row>
    <row r="335" customFormat="false" ht="15" hidden="false" customHeight="false" outlineLevel="0" collapsed="false">
      <c r="A335" s="0" t="s">
        <v>3338</v>
      </c>
      <c r="B335" s="0" t="s">
        <v>981</v>
      </c>
      <c r="C335" s="0" t="n">
        <v>2025</v>
      </c>
      <c r="D335" s="36" t="str">
        <f aca="false">IF(Funding!R15="","",Funding!R15)</f>
        <v/>
      </c>
      <c r="E335" s="20" t="s">
        <v>2998</v>
      </c>
      <c r="M335" s="20" t="s">
        <v>3339</v>
      </c>
    </row>
    <row r="336" customFormat="false" ht="15" hidden="false" customHeight="false" outlineLevel="0" collapsed="false">
      <c r="A336" s="0" t="s">
        <v>3340</v>
      </c>
      <c r="B336" s="0" t="s">
        <v>981</v>
      </c>
      <c r="C336" s="0" t="n">
        <v>2026</v>
      </c>
      <c r="D336" s="36" t="n">
        <f aca="false">IF(Funding!W16="","",Funding!W16)</f>
        <v>85.824</v>
      </c>
      <c r="E336" s="20" t="s">
        <v>2952</v>
      </c>
      <c r="M336" s="20" t="s">
        <v>3341</v>
      </c>
    </row>
    <row r="337" customFormat="false" ht="15" hidden="false" customHeight="false" outlineLevel="0" collapsed="false">
      <c r="A337" s="0" t="s">
        <v>3342</v>
      </c>
      <c r="B337" s="0" t="s">
        <v>981</v>
      </c>
      <c r="C337" s="0" t="n">
        <v>2026</v>
      </c>
      <c r="D337" s="41" t="n">
        <f aca="false">IF(Funding!AC16="","",Funding!AC16)</f>
        <v>0.96773629753915</v>
      </c>
      <c r="E337" s="20" t="s">
        <v>2955</v>
      </c>
      <c r="M337" s="20" t="s">
        <v>3343</v>
      </c>
    </row>
    <row r="338" customFormat="false" ht="15" hidden="false" customHeight="false" outlineLevel="0" collapsed="false">
      <c r="A338" s="0" t="s">
        <v>3344</v>
      </c>
      <c r="B338" s="0" t="s">
        <v>981</v>
      </c>
      <c r="C338" s="0" t="n">
        <v>2026</v>
      </c>
      <c r="D338" s="41" t="n">
        <f aca="false">IF(Funding!AD16="","",Funding!AD16)</f>
        <v>0.03226370246085</v>
      </c>
      <c r="E338" s="20" t="s">
        <v>2958</v>
      </c>
      <c r="M338" s="20" t="s">
        <v>3345</v>
      </c>
    </row>
    <row r="339" customFormat="false" ht="15" hidden="false" customHeight="false" outlineLevel="0" collapsed="false">
      <c r="A339" s="0" t="s">
        <v>3346</v>
      </c>
      <c r="B339" s="0" t="s">
        <v>981</v>
      </c>
      <c r="C339" s="0" t="n">
        <v>2026</v>
      </c>
      <c r="D339" s="41" t="n">
        <f aca="false">IF(Funding!AE16="","",Funding!AE16)</f>
        <v>0</v>
      </c>
      <c r="E339" s="20" t="s">
        <v>2961</v>
      </c>
      <c r="M339" s="20" t="s">
        <v>3347</v>
      </c>
    </row>
    <row r="340" customFormat="false" ht="15" hidden="false" customHeight="false" outlineLevel="0" collapsed="false">
      <c r="A340" s="0" t="s">
        <v>3348</v>
      </c>
      <c r="B340" s="0" t="s">
        <v>981</v>
      </c>
      <c r="C340" s="0" t="n">
        <v>2026</v>
      </c>
      <c r="D340" s="41" t="n">
        <f aca="false">IF(Funding!AF16="","",Funding!AF16)</f>
        <v>0</v>
      </c>
      <c r="E340" s="20" t="s">
        <v>2964</v>
      </c>
      <c r="M340" s="20" t="s">
        <v>3349</v>
      </c>
    </row>
    <row r="341" customFormat="false" ht="15" hidden="false" customHeight="false" outlineLevel="0" collapsed="false">
      <c r="A341" s="0" t="s">
        <v>3350</v>
      </c>
      <c r="B341" s="0" t="s">
        <v>981</v>
      </c>
      <c r="C341" s="0" t="n">
        <v>2026</v>
      </c>
      <c r="D341" s="41" t="n">
        <f aca="false">IF(Funding!AG16="","",Funding!AG16)</f>
        <v>0</v>
      </c>
      <c r="E341" s="20" t="s">
        <v>2967</v>
      </c>
      <c r="M341" s="20" t="s">
        <v>3351</v>
      </c>
    </row>
    <row r="342" customFormat="false" ht="15" hidden="false" customHeight="false" outlineLevel="0" collapsed="false">
      <c r="A342" s="0" t="s">
        <v>3352</v>
      </c>
      <c r="B342" s="0" t="s">
        <v>981</v>
      </c>
      <c r="C342" s="0" t="n">
        <v>2026</v>
      </c>
      <c r="D342" s="36" t="n">
        <f aca="false">IF(Funding!AL16="","",Funding!AL16)</f>
        <v>41.769</v>
      </c>
      <c r="E342" s="20" t="s">
        <v>2970</v>
      </c>
      <c r="M342" s="20" t="s">
        <v>3353</v>
      </c>
    </row>
    <row r="343" customFormat="false" ht="15" hidden="false" customHeight="false" outlineLevel="0" collapsed="false">
      <c r="A343" s="0" t="s">
        <v>3354</v>
      </c>
      <c r="B343" s="0" t="s">
        <v>981</v>
      </c>
      <c r="C343" s="0" t="n">
        <v>2026</v>
      </c>
      <c r="D343" s="41" t="n">
        <f aca="false">IF(Funding!AM16="","",Funding!AM16)</f>
        <v>0.486682046979866</v>
      </c>
      <c r="E343" s="20" t="s">
        <v>2973</v>
      </c>
      <c r="M343" s="20" t="s">
        <v>3355</v>
      </c>
    </row>
    <row r="344" customFormat="false" ht="15" hidden="false" customHeight="false" outlineLevel="0" collapsed="false">
      <c r="A344" s="0" t="s">
        <v>3356</v>
      </c>
      <c r="B344" s="0" t="s">
        <v>981</v>
      </c>
      <c r="C344" s="0" t="n">
        <v>2026</v>
      </c>
      <c r="D344" s="41" t="n">
        <f aca="false">IF(Funding!AN16="","",Funding!AN16)</f>
        <v>1.12874021252796</v>
      </c>
      <c r="E344" s="20" t="s">
        <v>2976</v>
      </c>
      <c r="M344" s="20" t="s">
        <v>3357</v>
      </c>
    </row>
    <row r="345" customFormat="false" ht="15" hidden="false" customHeight="false" outlineLevel="0" collapsed="false">
      <c r="A345" s="0" t="s">
        <v>3358</v>
      </c>
      <c r="B345" s="0" t="s">
        <v>981</v>
      </c>
      <c r="C345" s="0" t="n">
        <v>2026</v>
      </c>
      <c r="D345" s="41" t="n">
        <f aca="false">IF(Funding!AO16="","",Funding!AO16)</f>
        <v>0.291293810589113</v>
      </c>
      <c r="E345" s="20" t="s">
        <v>2979</v>
      </c>
      <c r="M345" s="20" t="s">
        <v>3359</v>
      </c>
    </row>
    <row r="346" customFormat="false" ht="15" hidden="false" customHeight="false" outlineLevel="0" collapsed="false">
      <c r="A346" s="0" t="s">
        <v>3360</v>
      </c>
      <c r="B346" s="0" t="s">
        <v>981</v>
      </c>
      <c r="C346" s="0" t="n">
        <v>2026</v>
      </c>
      <c r="D346" s="41" t="n">
        <f aca="false">IF(Funding!AP16="","",Funding!AP16)</f>
        <v>0</v>
      </c>
      <c r="E346" s="20" t="s">
        <v>2982</v>
      </c>
      <c r="M346" s="20" t="s">
        <v>3361</v>
      </c>
    </row>
    <row r="347" customFormat="false" ht="15" hidden="false" customHeight="false" outlineLevel="0" collapsed="false">
      <c r="A347" s="0" t="s">
        <v>3362</v>
      </c>
      <c r="B347" s="0" t="s">
        <v>981</v>
      </c>
      <c r="C347" s="0" t="n">
        <v>2026</v>
      </c>
      <c r="D347" s="41" t="n">
        <f aca="false">IF(Funding!AQ16="","",Funding!AQ16)</f>
        <v>0.195388236390753</v>
      </c>
      <c r="E347" s="20" t="s">
        <v>2985</v>
      </c>
      <c r="M347" s="20" t="s">
        <v>3363</v>
      </c>
    </row>
    <row r="348" customFormat="false" ht="15" hidden="false" customHeight="false" outlineLevel="0" collapsed="false">
      <c r="A348" s="0" t="s">
        <v>3364</v>
      </c>
      <c r="B348" s="0" t="s">
        <v>981</v>
      </c>
      <c r="C348" s="0" t="n">
        <v>2026</v>
      </c>
      <c r="D348" s="36" t="n">
        <f aca="false">IF(Funding!E16="","",Funding!E16)</f>
        <v>96.873</v>
      </c>
      <c r="E348" s="20" t="s">
        <v>1681</v>
      </c>
      <c r="M348" s="20" t="s">
        <v>3365</v>
      </c>
    </row>
    <row r="349" customFormat="false" ht="15" hidden="false" customHeight="false" outlineLevel="0" collapsed="false">
      <c r="A349" s="0" t="s">
        <v>3366</v>
      </c>
      <c r="B349" s="0" t="s">
        <v>981</v>
      </c>
      <c r="C349" s="0" t="n">
        <v>2026</v>
      </c>
      <c r="D349" s="36" t="n">
        <f aca="false">IF(Funding!I16="","",Funding!I16)</f>
        <v>11.049</v>
      </c>
      <c r="E349" s="20" t="s">
        <v>1686</v>
      </c>
      <c r="M349" s="20" t="s">
        <v>3367</v>
      </c>
    </row>
    <row r="350" customFormat="false" ht="15" hidden="false" customHeight="false" outlineLevel="0" collapsed="false">
      <c r="A350" s="0" t="s">
        <v>3368</v>
      </c>
      <c r="B350" s="0" t="s">
        <v>981</v>
      </c>
      <c r="C350" s="0" t="n">
        <v>2026</v>
      </c>
      <c r="D350" s="36" t="n">
        <f aca="false">IF(Funding!O16="","",Funding!O16)</f>
        <v>355.73</v>
      </c>
      <c r="E350" s="20" t="s">
        <v>2992</v>
      </c>
      <c r="M350" s="20" t="s">
        <v>3369</v>
      </c>
    </row>
    <row r="351" customFormat="false" ht="15" hidden="false" customHeight="false" outlineLevel="0" collapsed="false">
      <c r="A351" s="0" t="s">
        <v>3370</v>
      </c>
      <c r="B351" s="0" t="s">
        <v>981</v>
      </c>
      <c r="C351" s="0" t="n">
        <v>2026</v>
      </c>
      <c r="D351" s="36" t="n">
        <f aca="false">N(Funding!J16)+N(Funding!K16)+N(Funding!L16)+N(Funding!M16)</f>
        <v>25</v>
      </c>
      <c r="E351" s="20" t="s">
        <v>2995</v>
      </c>
      <c r="M351" s="20" t="s">
        <v>3371</v>
      </c>
    </row>
    <row r="352" customFormat="false" ht="15" hidden="false" customHeight="false" outlineLevel="0" collapsed="false">
      <c r="A352" s="0" t="s">
        <v>3372</v>
      </c>
      <c r="B352" s="0" t="s">
        <v>981</v>
      </c>
      <c r="C352" s="0" t="n">
        <v>2026</v>
      </c>
      <c r="D352" s="36" t="str">
        <f aca="false">IF(Funding!R16="","",Funding!R16)</f>
        <v/>
      </c>
      <c r="E352" s="20" t="s">
        <v>2998</v>
      </c>
      <c r="M352" s="20" t="s">
        <v>3373</v>
      </c>
    </row>
    <row r="353" customFormat="false" ht="17.15" hidden="false" customHeight="false" outlineLevel="0" collapsed="false">
      <c r="A353" s="0" t="s">
        <v>3374</v>
      </c>
      <c r="B353" s="0" t="s">
        <v>1248</v>
      </c>
      <c r="C353" s="0" t="n">
        <v>2024</v>
      </c>
      <c r="D353" s="36" t="str">
        <f aca="false">IF(Funding!W17="","",Funding!W17)</f>
        <v/>
      </c>
      <c r="E353" s="20" t="s">
        <v>2952</v>
      </c>
      <c r="M353" s="20" t="s">
        <v>3375</v>
      </c>
    </row>
    <row r="354" customFormat="false" ht="17.15" hidden="false" customHeight="false" outlineLevel="0" collapsed="false">
      <c r="A354" s="0" t="s">
        <v>3376</v>
      </c>
      <c r="B354" s="0" t="s">
        <v>1248</v>
      </c>
      <c r="C354" s="0" t="n">
        <v>2024</v>
      </c>
      <c r="D354" s="41" t="str">
        <f aca="false">IF(Funding!AC17="","",Funding!AC17)</f>
        <v/>
      </c>
      <c r="E354" s="20" t="s">
        <v>2955</v>
      </c>
      <c r="M354" s="20" t="s">
        <v>3377</v>
      </c>
    </row>
    <row r="355" customFormat="false" ht="17.15" hidden="false" customHeight="false" outlineLevel="0" collapsed="false">
      <c r="A355" s="0" t="s">
        <v>3378</v>
      </c>
      <c r="B355" s="0" t="s">
        <v>1248</v>
      </c>
      <c r="C355" s="0" t="n">
        <v>2024</v>
      </c>
      <c r="D355" s="41" t="str">
        <f aca="false">IF(Funding!AD17="","",Funding!AD17)</f>
        <v/>
      </c>
      <c r="E355" s="20" t="s">
        <v>2958</v>
      </c>
      <c r="M355" s="20" t="s">
        <v>3379</v>
      </c>
    </row>
    <row r="356" customFormat="false" ht="17.15" hidden="false" customHeight="false" outlineLevel="0" collapsed="false">
      <c r="A356" s="0" t="s">
        <v>3380</v>
      </c>
      <c r="B356" s="0" t="s">
        <v>1248</v>
      </c>
      <c r="C356" s="0" t="n">
        <v>2024</v>
      </c>
      <c r="D356" s="41" t="str">
        <f aca="false">IF(Funding!AE17="","",Funding!AE17)</f>
        <v/>
      </c>
      <c r="E356" s="20" t="s">
        <v>2961</v>
      </c>
      <c r="M356" s="20" t="s">
        <v>3381</v>
      </c>
    </row>
    <row r="357" customFormat="false" ht="17.15" hidden="false" customHeight="false" outlineLevel="0" collapsed="false">
      <c r="A357" s="0" t="s">
        <v>3382</v>
      </c>
      <c r="B357" s="0" t="s">
        <v>1248</v>
      </c>
      <c r="C357" s="0" t="n">
        <v>2024</v>
      </c>
      <c r="D357" s="41" t="str">
        <f aca="false">IF(Funding!AF17="","",Funding!AF17)</f>
        <v/>
      </c>
      <c r="E357" s="20" t="s">
        <v>2964</v>
      </c>
      <c r="M357" s="20" t="s">
        <v>3383</v>
      </c>
    </row>
    <row r="358" customFormat="false" ht="17.15" hidden="false" customHeight="false" outlineLevel="0" collapsed="false">
      <c r="A358" s="0" t="s">
        <v>3384</v>
      </c>
      <c r="B358" s="0" t="s">
        <v>1248</v>
      </c>
      <c r="C358" s="0" t="n">
        <v>2024</v>
      </c>
      <c r="D358" s="41" t="str">
        <f aca="false">IF(Funding!AG17="","",Funding!AG17)</f>
        <v/>
      </c>
      <c r="E358" s="20" t="s">
        <v>2967</v>
      </c>
      <c r="M358" s="20" t="s">
        <v>3385</v>
      </c>
    </row>
    <row r="359" customFormat="false" ht="17.15" hidden="false" customHeight="false" outlineLevel="0" collapsed="false">
      <c r="A359" s="0" t="s">
        <v>3386</v>
      </c>
      <c r="B359" s="0" t="s">
        <v>1248</v>
      </c>
      <c r="C359" s="0" t="n">
        <v>2024</v>
      </c>
      <c r="D359" s="36" t="n">
        <f aca="false">IF(Funding!AL17="","",Funding!AL17)</f>
        <v>0</v>
      </c>
      <c r="E359" s="20" t="s">
        <v>2970</v>
      </c>
      <c r="M359" s="20" t="s">
        <v>3387</v>
      </c>
    </row>
    <row r="360" customFormat="false" ht="17.15" hidden="false" customHeight="false" outlineLevel="0" collapsed="false">
      <c r="A360" s="0" t="s">
        <v>3388</v>
      </c>
      <c r="B360" s="0" t="s">
        <v>1248</v>
      </c>
      <c r="C360" s="0" t="n">
        <v>2024</v>
      </c>
      <c r="D360" s="41" t="str">
        <f aca="false">IF(Funding!AM17="","",Funding!AM17)</f>
        <v/>
      </c>
      <c r="E360" s="20" t="s">
        <v>2973</v>
      </c>
      <c r="M360" s="20" t="s">
        <v>3389</v>
      </c>
    </row>
    <row r="361" customFormat="false" ht="17.15" hidden="false" customHeight="false" outlineLevel="0" collapsed="false">
      <c r="A361" s="0" t="s">
        <v>3390</v>
      </c>
      <c r="B361" s="0" t="s">
        <v>1248</v>
      </c>
      <c r="C361" s="0" t="n">
        <v>2024</v>
      </c>
      <c r="D361" s="41" t="str">
        <f aca="false">IF(Funding!AN17="","",Funding!AN17)</f>
        <v/>
      </c>
      <c r="E361" s="20" t="s">
        <v>2976</v>
      </c>
      <c r="M361" s="20" t="s">
        <v>3391</v>
      </c>
    </row>
    <row r="362" customFormat="false" ht="17.15" hidden="false" customHeight="false" outlineLevel="0" collapsed="false">
      <c r="A362" s="0" t="s">
        <v>3392</v>
      </c>
      <c r="B362" s="0" t="s">
        <v>1248</v>
      </c>
      <c r="C362" s="0" t="n">
        <v>2024</v>
      </c>
      <c r="D362" s="41" t="str">
        <f aca="false">IF(Funding!AO17="","",Funding!AO17)</f>
        <v/>
      </c>
      <c r="E362" s="20" t="s">
        <v>2979</v>
      </c>
      <c r="M362" s="20" t="s">
        <v>3393</v>
      </c>
    </row>
    <row r="363" customFormat="false" ht="17.15" hidden="false" customHeight="false" outlineLevel="0" collapsed="false">
      <c r="A363" s="0" t="s">
        <v>3394</v>
      </c>
      <c r="B363" s="0" t="s">
        <v>1248</v>
      </c>
      <c r="C363" s="0" t="n">
        <v>2024</v>
      </c>
      <c r="D363" s="41" t="str">
        <f aca="false">IF(Funding!AP17="","",Funding!AP17)</f>
        <v/>
      </c>
      <c r="E363" s="20" t="s">
        <v>2982</v>
      </c>
      <c r="M363" s="20" t="s">
        <v>3395</v>
      </c>
    </row>
    <row r="364" customFormat="false" ht="17.15" hidden="false" customHeight="false" outlineLevel="0" collapsed="false">
      <c r="A364" s="0" t="s">
        <v>3396</v>
      </c>
      <c r="B364" s="0" t="s">
        <v>1248</v>
      </c>
      <c r="C364" s="0" t="n">
        <v>2024</v>
      </c>
      <c r="D364" s="41" t="str">
        <f aca="false">IF(Funding!AQ17="","",Funding!AQ17)</f>
        <v/>
      </c>
      <c r="E364" s="20" t="s">
        <v>2985</v>
      </c>
      <c r="M364" s="20" t="s">
        <v>3397</v>
      </c>
    </row>
    <row r="365" customFormat="false" ht="17.15" hidden="false" customHeight="false" outlineLevel="0" collapsed="false">
      <c r="A365" s="0" t="s">
        <v>3398</v>
      </c>
      <c r="B365" s="0" t="s">
        <v>1248</v>
      </c>
      <c r="C365" s="0" t="n">
        <v>2024</v>
      </c>
      <c r="D365" s="36" t="str">
        <f aca="false">IF(Funding!E17="","",Funding!E17)</f>
        <v/>
      </c>
      <c r="E365" s="20" t="s">
        <v>1681</v>
      </c>
      <c r="M365" s="20" t="s">
        <v>3399</v>
      </c>
    </row>
    <row r="366" customFormat="false" ht="17.15" hidden="false" customHeight="false" outlineLevel="0" collapsed="false">
      <c r="A366" s="0" t="s">
        <v>3400</v>
      </c>
      <c r="B366" s="0" t="s">
        <v>1248</v>
      </c>
      <c r="C366" s="0" t="n">
        <v>2024</v>
      </c>
      <c r="D366" s="36" t="str">
        <f aca="false">IF(Funding!I17="","",Funding!I17)</f>
        <v/>
      </c>
      <c r="E366" s="20" t="s">
        <v>1686</v>
      </c>
      <c r="M366" s="20" t="s">
        <v>3401</v>
      </c>
    </row>
    <row r="367" customFormat="false" ht="17.15" hidden="false" customHeight="false" outlineLevel="0" collapsed="false">
      <c r="A367" s="0" t="s">
        <v>3402</v>
      </c>
      <c r="B367" s="0" t="s">
        <v>1248</v>
      </c>
      <c r="C367" s="0" t="n">
        <v>2024</v>
      </c>
      <c r="D367" s="36" t="str">
        <f aca="false">IF(Funding!O17="","",Funding!O17)</f>
        <v/>
      </c>
      <c r="E367" s="20" t="s">
        <v>2992</v>
      </c>
      <c r="M367" s="20" t="s">
        <v>3403</v>
      </c>
    </row>
    <row r="368" customFormat="false" ht="17.15" hidden="false" customHeight="false" outlineLevel="0" collapsed="false">
      <c r="A368" s="0" t="s">
        <v>3404</v>
      </c>
      <c r="B368" s="0" t="s">
        <v>1248</v>
      </c>
      <c r="C368" s="0" t="n">
        <v>2024</v>
      </c>
      <c r="D368" s="36" t="n">
        <f aca="false">N(Funding!J17)+N(Funding!K17)+N(Funding!L17)+N(Funding!M17)</f>
        <v>0</v>
      </c>
      <c r="E368" s="20" t="s">
        <v>2995</v>
      </c>
      <c r="M368" s="20" t="s">
        <v>3405</v>
      </c>
    </row>
    <row r="369" customFormat="false" ht="17.15" hidden="false" customHeight="false" outlineLevel="0" collapsed="false">
      <c r="A369" s="0" t="s">
        <v>3406</v>
      </c>
      <c r="B369" s="0" t="s">
        <v>1248</v>
      </c>
      <c r="C369" s="0" t="n">
        <v>2024</v>
      </c>
      <c r="D369" s="36" t="str">
        <f aca="false">IF(Funding!R17="","",Funding!R17)</f>
        <v/>
      </c>
      <c r="E369" s="20" t="s">
        <v>2998</v>
      </c>
      <c r="M369" s="20" t="s">
        <v>3407</v>
      </c>
    </row>
    <row r="370" customFormat="false" ht="17.15" hidden="false" customHeight="false" outlineLevel="0" collapsed="false">
      <c r="A370" s="0" t="s">
        <v>3408</v>
      </c>
      <c r="B370" s="0" t="s">
        <v>1248</v>
      </c>
      <c r="C370" s="0" t="n">
        <v>2025</v>
      </c>
      <c r="D370" s="36" t="str">
        <f aca="false">IF(Funding!W18="","",Funding!W18)</f>
        <v/>
      </c>
      <c r="E370" s="20" t="s">
        <v>2952</v>
      </c>
      <c r="M370" s="20" t="s">
        <v>3409</v>
      </c>
    </row>
    <row r="371" customFormat="false" ht="17.15" hidden="false" customHeight="false" outlineLevel="0" collapsed="false">
      <c r="A371" s="0" t="s">
        <v>3410</v>
      </c>
      <c r="B371" s="0" t="s">
        <v>1248</v>
      </c>
      <c r="C371" s="0" t="n">
        <v>2025</v>
      </c>
      <c r="D371" s="41" t="str">
        <f aca="false">IF(Funding!AC18="","",Funding!AC18)</f>
        <v/>
      </c>
      <c r="E371" s="20" t="s">
        <v>2955</v>
      </c>
      <c r="M371" s="20" t="s">
        <v>3411</v>
      </c>
    </row>
    <row r="372" customFormat="false" ht="17.15" hidden="false" customHeight="false" outlineLevel="0" collapsed="false">
      <c r="A372" s="0" t="s">
        <v>3412</v>
      </c>
      <c r="B372" s="0" t="s">
        <v>1248</v>
      </c>
      <c r="C372" s="0" t="n">
        <v>2025</v>
      </c>
      <c r="D372" s="41" t="str">
        <f aca="false">IF(Funding!AD18="","",Funding!AD18)</f>
        <v/>
      </c>
      <c r="E372" s="20" t="s">
        <v>2958</v>
      </c>
      <c r="M372" s="20" t="s">
        <v>3413</v>
      </c>
    </row>
    <row r="373" customFormat="false" ht="17.15" hidden="false" customHeight="false" outlineLevel="0" collapsed="false">
      <c r="A373" s="0" t="s">
        <v>3414</v>
      </c>
      <c r="B373" s="0" t="s">
        <v>1248</v>
      </c>
      <c r="C373" s="0" t="n">
        <v>2025</v>
      </c>
      <c r="D373" s="41" t="str">
        <f aca="false">IF(Funding!AE18="","",Funding!AE18)</f>
        <v/>
      </c>
      <c r="E373" s="20" t="s">
        <v>2961</v>
      </c>
      <c r="M373" s="20" t="s">
        <v>3415</v>
      </c>
    </row>
    <row r="374" customFormat="false" ht="17.15" hidden="false" customHeight="false" outlineLevel="0" collapsed="false">
      <c r="A374" s="0" t="s">
        <v>3416</v>
      </c>
      <c r="B374" s="0" t="s">
        <v>1248</v>
      </c>
      <c r="C374" s="0" t="n">
        <v>2025</v>
      </c>
      <c r="D374" s="41" t="str">
        <f aca="false">IF(Funding!AF18="","",Funding!AF18)</f>
        <v/>
      </c>
      <c r="E374" s="20" t="s">
        <v>2964</v>
      </c>
      <c r="M374" s="20" t="s">
        <v>3417</v>
      </c>
    </row>
    <row r="375" customFormat="false" ht="17.15" hidden="false" customHeight="false" outlineLevel="0" collapsed="false">
      <c r="A375" s="0" t="s">
        <v>3418</v>
      </c>
      <c r="B375" s="0" t="s">
        <v>1248</v>
      </c>
      <c r="C375" s="0" t="n">
        <v>2025</v>
      </c>
      <c r="D375" s="41" t="str">
        <f aca="false">IF(Funding!AG18="","",Funding!AG18)</f>
        <v/>
      </c>
      <c r="E375" s="20" t="s">
        <v>2967</v>
      </c>
      <c r="M375" s="20" t="s">
        <v>3419</v>
      </c>
    </row>
    <row r="376" customFormat="false" ht="17.15" hidden="false" customHeight="false" outlineLevel="0" collapsed="false">
      <c r="A376" s="0" t="s">
        <v>3420</v>
      </c>
      <c r="B376" s="0" t="s">
        <v>1248</v>
      </c>
      <c r="C376" s="0" t="n">
        <v>2025</v>
      </c>
      <c r="D376" s="36" t="n">
        <f aca="false">IF(Funding!AL18="","",Funding!AL18)</f>
        <v>15</v>
      </c>
      <c r="E376" s="20" t="s">
        <v>2970</v>
      </c>
      <c r="M376" s="20" t="s">
        <v>3421</v>
      </c>
    </row>
    <row r="377" customFormat="false" ht="17.15" hidden="false" customHeight="false" outlineLevel="0" collapsed="false">
      <c r="A377" s="0" t="s">
        <v>3422</v>
      </c>
      <c r="B377" s="0" t="s">
        <v>1248</v>
      </c>
      <c r="C377" s="0" t="n">
        <v>2025</v>
      </c>
      <c r="D377" s="41" t="str">
        <f aca="false">IF(Funding!AM18="","",Funding!AM18)</f>
        <v/>
      </c>
      <c r="E377" s="20" t="s">
        <v>2973</v>
      </c>
      <c r="M377" s="20" t="s">
        <v>3423</v>
      </c>
    </row>
    <row r="378" customFormat="false" ht="17.15" hidden="false" customHeight="false" outlineLevel="0" collapsed="false">
      <c r="A378" s="0" t="s">
        <v>3424</v>
      </c>
      <c r="B378" s="0" t="s">
        <v>1248</v>
      </c>
      <c r="C378" s="0" t="n">
        <v>2025</v>
      </c>
      <c r="D378" s="41" t="str">
        <f aca="false">IF(Funding!AN18="","",Funding!AN18)</f>
        <v/>
      </c>
      <c r="E378" s="20" t="s">
        <v>2976</v>
      </c>
      <c r="M378" s="20" t="s">
        <v>3425</v>
      </c>
    </row>
    <row r="379" customFormat="false" ht="17.15" hidden="false" customHeight="false" outlineLevel="0" collapsed="false">
      <c r="A379" s="0" t="s">
        <v>3426</v>
      </c>
      <c r="B379" s="0" t="s">
        <v>1248</v>
      </c>
      <c r="C379" s="0" t="n">
        <v>2025</v>
      </c>
      <c r="D379" s="41" t="str">
        <f aca="false">IF(Funding!AO18="","",Funding!AO18)</f>
        <v/>
      </c>
      <c r="E379" s="20" t="s">
        <v>2979</v>
      </c>
      <c r="M379" s="20" t="s">
        <v>3427</v>
      </c>
    </row>
    <row r="380" customFormat="false" ht="17.15" hidden="false" customHeight="false" outlineLevel="0" collapsed="false">
      <c r="A380" s="0" t="s">
        <v>3428</v>
      </c>
      <c r="B380" s="0" t="s">
        <v>1248</v>
      </c>
      <c r="C380" s="0" t="n">
        <v>2025</v>
      </c>
      <c r="D380" s="41" t="str">
        <f aca="false">IF(Funding!AP18="","",Funding!AP18)</f>
        <v/>
      </c>
      <c r="E380" s="20" t="s">
        <v>2982</v>
      </c>
      <c r="M380" s="20" t="s">
        <v>3429</v>
      </c>
    </row>
    <row r="381" customFormat="false" ht="17.15" hidden="false" customHeight="false" outlineLevel="0" collapsed="false">
      <c r="A381" s="0" t="s">
        <v>3430</v>
      </c>
      <c r="B381" s="0" t="s">
        <v>1248</v>
      </c>
      <c r="C381" s="0" t="n">
        <v>2025</v>
      </c>
      <c r="D381" s="41" t="str">
        <f aca="false">IF(Funding!AQ18="","",Funding!AQ18)</f>
        <v/>
      </c>
      <c r="E381" s="20" t="s">
        <v>2985</v>
      </c>
      <c r="M381" s="20" t="s">
        <v>3431</v>
      </c>
    </row>
    <row r="382" customFormat="false" ht="17.15" hidden="false" customHeight="false" outlineLevel="0" collapsed="false">
      <c r="A382" s="0" t="s">
        <v>3432</v>
      </c>
      <c r="B382" s="0" t="s">
        <v>1248</v>
      </c>
      <c r="C382" s="0" t="n">
        <v>2025</v>
      </c>
      <c r="D382" s="36" t="str">
        <f aca="false">IF(Funding!E18="","",Funding!E18)</f>
        <v/>
      </c>
      <c r="E382" s="20" t="s">
        <v>1681</v>
      </c>
      <c r="M382" s="20" t="s">
        <v>3433</v>
      </c>
    </row>
    <row r="383" customFormat="false" ht="17.15" hidden="false" customHeight="false" outlineLevel="0" collapsed="false">
      <c r="A383" s="0" t="s">
        <v>3434</v>
      </c>
      <c r="B383" s="0" t="s">
        <v>1248</v>
      </c>
      <c r="C383" s="0" t="n">
        <v>2025</v>
      </c>
      <c r="D383" s="36" t="str">
        <f aca="false">IF(Funding!I18="","",Funding!I18)</f>
        <v/>
      </c>
      <c r="E383" s="20" t="s">
        <v>1686</v>
      </c>
      <c r="M383" s="20" t="s">
        <v>3435</v>
      </c>
    </row>
    <row r="384" customFormat="false" ht="17.15" hidden="false" customHeight="false" outlineLevel="0" collapsed="false">
      <c r="A384" s="0" t="s">
        <v>3436</v>
      </c>
      <c r="B384" s="0" t="s">
        <v>1248</v>
      </c>
      <c r="C384" s="0" t="n">
        <v>2025</v>
      </c>
      <c r="D384" s="36" t="str">
        <f aca="false">IF(Funding!O18="","",Funding!O18)</f>
        <v/>
      </c>
      <c r="E384" s="20" t="s">
        <v>2992</v>
      </c>
      <c r="M384" s="20" t="s">
        <v>3437</v>
      </c>
    </row>
    <row r="385" customFormat="false" ht="17.15" hidden="false" customHeight="false" outlineLevel="0" collapsed="false">
      <c r="A385" s="0" t="s">
        <v>3438</v>
      </c>
      <c r="B385" s="0" t="s">
        <v>1248</v>
      </c>
      <c r="C385" s="0" t="n">
        <v>2025</v>
      </c>
      <c r="D385" s="36" t="n">
        <f aca="false">N(Funding!J18)+N(Funding!K18)+N(Funding!L18)+N(Funding!M18)</f>
        <v>0</v>
      </c>
      <c r="E385" s="20" t="s">
        <v>2995</v>
      </c>
      <c r="M385" s="20" t="s">
        <v>3439</v>
      </c>
    </row>
    <row r="386" customFormat="false" ht="17.15" hidden="false" customHeight="false" outlineLevel="0" collapsed="false">
      <c r="A386" s="0" t="s">
        <v>3440</v>
      </c>
      <c r="B386" s="0" t="s">
        <v>1248</v>
      </c>
      <c r="C386" s="0" t="n">
        <v>2025</v>
      </c>
      <c r="D386" s="36" t="str">
        <f aca="false">IF(Funding!R18="","",Funding!R18)</f>
        <v/>
      </c>
      <c r="E386" s="20" t="s">
        <v>2998</v>
      </c>
      <c r="M386" s="20" t="s">
        <v>3441</v>
      </c>
    </row>
    <row r="387" customFormat="false" ht="17.15" hidden="false" customHeight="false" outlineLevel="0" collapsed="false">
      <c r="A387" s="0" t="s">
        <v>3442</v>
      </c>
      <c r="B387" s="0" t="s">
        <v>1248</v>
      </c>
      <c r="C387" s="0" t="n">
        <v>2026</v>
      </c>
      <c r="D387" s="36" t="n">
        <f aca="false">IF(Funding!W19="","",Funding!W19)</f>
        <v>55.663</v>
      </c>
      <c r="E387" s="20" t="s">
        <v>2952</v>
      </c>
      <c r="M387" s="20" t="s">
        <v>3443</v>
      </c>
    </row>
    <row r="388" customFormat="false" ht="17.15" hidden="false" customHeight="false" outlineLevel="0" collapsed="false">
      <c r="A388" s="0" t="s">
        <v>3444</v>
      </c>
      <c r="B388" s="0" t="s">
        <v>1248</v>
      </c>
      <c r="C388" s="0" t="n">
        <v>2026</v>
      </c>
      <c r="D388" s="41" t="n">
        <f aca="false">IF(Funding!AC19="","",Funding!AC19)</f>
        <v>0.574474965416884</v>
      </c>
      <c r="E388" s="20" t="s">
        <v>2955</v>
      </c>
      <c r="M388" s="20" t="s">
        <v>3445</v>
      </c>
    </row>
    <row r="389" customFormat="false" ht="17.15" hidden="false" customHeight="false" outlineLevel="0" collapsed="false">
      <c r="A389" s="0" t="s">
        <v>3446</v>
      </c>
      <c r="B389" s="0" t="s">
        <v>1248</v>
      </c>
      <c r="C389" s="0" t="n">
        <v>2026</v>
      </c>
      <c r="D389" s="41" t="n">
        <f aca="false">IF(Funding!AD19="","",Funding!AD19)</f>
        <v>0</v>
      </c>
      <c r="E389" s="20" t="s">
        <v>2958</v>
      </c>
      <c r="M389" s="20" t="s">
        <v>3447</v>
      </c>
    </row>
    <row r="390" customFormat="false" ht="17.15" hidden="false" customHeight="false" outlineLevel="0" collapsed="false">
      <c r="A390" s="0" t="s">
        <v>3448</v>
      </c>
      <c r="B390" s="0" t="s">
        <v>1248</v>
      </c>
      <c r="C390" s="0" t="n">
        <v>2026</v>
      </c>
      <c r="D390" s="41" t="n">
        <f aca="false">IF(Funding!AE19="","",Funding!AE19)</f>
        <v>0.0898262759822503</v>
      </c>
      <c r="E390" s="20" t="s">
        <v>2961</v>
      </c>
      <c r="M390" s="20" t="s">
        <v>3449</v>
      </c>
    </row>
    <row r="391" customFormat="false" ht="17.15" hidden="false" customHeight="false" outlineLevel="0" collapsed="false">
      <c r="A391" s="0" t="s">
        <v>3450</v>
      </c>
      <c r="B391" s="0" t="s">
        <v>1248</v>
      </c>
      <c r="C391" s="0" t="n">
        <v>2026</v>
      </c>
      <c r="D391" s="41" t="n">
        <f aca="false">IF(Funding!AF19="","",Funding!AF19)</f>
        <v>0.335698758600866</v>
      </c>
      <c r="E391" s="20" t="s">
        <v>2964</v>
      </c>
      <c r="M391" s="20" t="s">
        <v>3451</v>
      </c>
    </row>
    <row r="392" customFormat="false" ht="17.15" hidden="false" customHeight="false" outlineLevel="0" collapsed="false">
      <c r="A392" s="0" t="s">
        <v>3452</v>
      </c>
      <c r="B392" s="0" t="s">
        <v>1248</v>
      </c>
      <c r="C392" s="0" t="n">
        <v>2026</v>
      </c>
      <c r="D392" s="41" t="n">
        <f aca="false">IF(Funding!AG19="","",Funding!AG19)</f>
        <v>0</v>
      </c>
      <c r="E392" s="20" t="s">
        <v>2967</v>
      </c>
      <c r="M392" s="20" t="s">
        <v>3453</v>
      </c>
    </row>
    <row r="393" customFormat="false" ht="17.15" hidden="false" customHeight="false" outlineLevel="0" collapsed="false">
      <c r="A393" s="0" t="s">
        <v>3454</v>
      </c>
      <c r="B393" s="0" t="s">
        <v>1248</v>
      </c>
      <c r="C393" s="0" t="n">
        <v>2026</v>
      </c>
      <c r="D393" s="36" t="n">
        <f aca="false">IF(Funding!AL19="","",Funding!AL19)</f>
        <v>104</v>
      </c>
      <c r="E393" s="20" t="s">
        <v>2970</v>
      </c>
      <c r="M393" s="20" t="s">
        <v>3455</v>
      </c>
    </row>
    <row r="394" customFormat="false" ht="17.15" hidden="false" customHeight="false" outlineLevel="0" collapsed="false">
      <c r="A394" s="0" t="s">
        <v>3456</v>
      </c>
      <c r="B394" s="0" t="s">
        <v>1248</v>
      </c>
      <c r="C394" s="0" t="n">
        <v>2026</v>
      </c>
      <c r="D394" s="41" t="n">
        <f aca="false">IF(Funding!AM19="","",Funding!AM19)</f>
        <v>1.86838654043081</v>
      </c>
      <c r="E394" s="20" t="s">
        <v>2973</v>
      </c>
      <c r="M394" s="20" t="s">
        <v>3457</v>
      </c>
    </row>
    <row r="395" customFormat="false" ht="17.15" hidden="false" customHeight="false" outlineLevel="0" collapsed="false">
      <c r="A395" s="0" t="s">
        <v>3458</v>
      </c>
      <c r="B395" s="0" t="s">
        <v>1248</v>
      </c>
      <c r="C395" s="0" t="n">
        <v>2026</v>
      </c>
      <c r="D395" s="41" t="n">
        <f aca="false">IF(Funding!AN19="","",Funding!AN19)</f>
        <v>0.574474965416884</v>
      </c>
      <c r="E395" s="20" t="s">
        <v>2976</v>
      </c>
      <c r="M395" s="20" t="s">
        <v>3459</v>
      </c>
    </row>
    <row r="396" customFormat="false" ht="17.15" hidden="false" customHeight="false" outlineLevel="0" collapsed="false">
      <c r="A396" s="0" t="s">
        <v>3460</v>
      </c>
      <c r="B396" s="0" t="s">
        <v>1248</v>
      </c>
      <c r="C396" s="0" t="n">
        <v>2026</v>
      </c>
      <c r="D396" s="41" t="n">
        <f aca="false">IF(Funding!AO19="","",Funding!AO19)</f>
        <v>0.772505973447353</v>
      </c>
      <c r="E396" s="20" t="s">
        <v>2979</v>
      </c>
      <c r="M396" s="20" t="s">
        <v>3461</v>
      </c>
    </row>
    <row r="397" customFormat="false" ht="17.15" hidden="false" customHeight="false" outlineLevel="0" collapsed="false">
      <c r="A397" s="0" t="s">
        <v>3462</v>
      </c>
      <c r="B397" s="0" t="s">
        <v>1248</v>
      </c>
      <c r="C397" s="0" t="n">
        <v>2026</v>
      </c>
      <c r="D397" s="41" t="n">
        <f aca="false">IF(Funding!AP19="","",Funding!AP19)</f>
        <v>0.0898262759822503</v>
      </c>
      <c r="E397" s="20" t="s">
        <v>2982</v>
      </c>
      <c r="M397" s="20" t="s">
        <v>3463</v>
      </c>
    </row>
    <row r="398" customFormat="false" ht="17.15" hidden="false" customHeight="false" outlineLevel="0" collapsed="false">
      <c r="A398" s="0" t="s">
        <v>3464</v>
      </c>
      <c r="B398" s="0" t="s">
        <v>1248</v>
      </c>
      <c r="C398" s="0" t="n">
        <v>2026</v>
      </c>
      <c r="D398" s="41" t="n">
        <f aca="false">IF(Funding!AQ19="","",Funding!AQ19)</f>
        <v>1.0060542910012</v>
      </c>
      <c r="E398" s="20" t="s">
        <v>2985</v>
      </c>
      <c r="M398" s="20" t="s">
        <v>3465</v>
      </c>
    </row>
    <row r="399" customFormat="false" ht="17.15" hidden="false" customHeight="false" outlineLevel="0" collapsed="false">
      <c r="A399" s="0" t="s">
        <v>3466</v>
      </c>
      <c r="B399" s="0" t="s">
        <v>1248</v>
      </c>
      <c r="C399" s="0" t="n">
        <v>2026</v>
      </c>
      <c r="D399" s="36" t="n">
        <f aca="false">IF(Funding!E19="","",Funding!E19)</f>
        <v>31.977</v>
      </c>
      <c r="E399" s="20" t="s">
        <v>1681</v>
      </c>
      <c r="M399" s="20" t="s">
        <v>3467</v>
      </c>
    </row>
    <row r="400" customFormat="false" ht="17.15" hidden="false" customHeight="false" outlineLevel="0" collapsed="false">
      <c r="A400" s="0" t="s">
        <v>3468</v>
      </c>
      <c r="B400" s="0" t="s">
        <v>1248</v>
      </c>
      <c r="C400" s="0" t="n">
        <v>2026</v>
      </c>
      <c r="D400" s="36" t="n">
        <f aca="false">IF(Funding!I19="","",Funding!I19)</f>
        <v>-23.686</v>
      </c>
      <c r="E400" s="20" t="s">
        <v>1686</v>
      </c>
      <c r="M400" s="20" t="s">
        <v>3469</v>
      </c>
    </row>
    <row r="401" customFormat="false" ht="17.15" hidden="false" customHeight="false" outlineLevel="0" collapsed="false">
      <c r="A401" s="0" t="s">
        <v>3470</v>
      </c>
      <c r="B401" s="0" t="s">
        <v>1248</v>
      </c>
      <c r="C401" s="0" t="n">
        <v>2026</v>
      </c>
      <c r="D401" s="36" t="n">
        <f aca="false">IF(Funding!O19="","",Funding!O19)</f>
        <v>260</v>
      </c>
      <c r="E401" s="20" t="s">
        <v>2992</v>
      </c>
      <c r="M401" s="20" t="s">
        <v>3471</v>
      </c>
    </row>
    <row r="402" customFormat="false" ht="17.15" hidden="false" customHeight="false" outlineLevel="0" collapsed="false">
      <c r="A402" s="0" t="s">
        <v>3472</v>
      </c>
      <c r="B402" s="0" t="s">
        <v>1248</v>
      </c>
      <c r="C402" s="0" t="n">
        <v>2026</v>
      </c>
      <c r="D402" s="36" t="n">
        <f aca="false">N(Funding!J19)+N(Funding!K19)+N(Funding!L19)+N(Funding!M19)</f>
        <v>43</v>
      </c>
      <c r="E402" s="20" t="s">
        <v>2995</v>
      </c>
      <c r="M402" s="20" t="s">
        <v>3473</v>
      </c>
    </row>
    <row r="403" customFormat="false" ht="17.15" hidden="false" customHeight="false" outlineLevel="0" collapsed="false">
      <c r="A403" s="0" t="s">
        <v>3474</v>
      </c>
      <c r="B403" s="0" t="s">
        <v>1248</v>
      </c>
      <c r="C403" s="0" t="n">
        <v>2026</v>
      </c>
      <c r="D403" s="36" t="n">
        <f aca="false">IF(Funding!R19="","",Funding!R19)</f>
        <v>5</v>
      </c>
      <c r="E403" s="20" t="s">
        <v>2998</v>
      </c>
      <c r="M403" s="20" t="s">
        <v>3475</v>
      </c>
    </row>
    <row r="404" customFormat="false" ht="15" hidden="false" customHeight="false" outlineLevel="0" collapsed="false">
      <c r="A404" s="0" t="s">
        <v>3476</v>
      </c>
      <c r="B404" s="0" t="s">
        <v>1019</v>
      </c>
      <c r="C404" s="0" t="n">
        <v>2024</v>
      </c>
      <c r="D404" s="36" t="n">
        <f aca="false">IF(Funding!W20="","",Funding!W20)</f>
        <v>8.702</v>
      </c>
      <c r="E404" s="20" t="s">
        <v>2952</v>
      </c>
      <c r="M404" s="20" t="s">
        <v>3477</v>
      </c>
    </row>
    <row r="405" customFormat="false" ht="15" hidden="false" customHeight="false" outlineLevel="0" collapsed="false">
      <c r="A405" s="0" t="s">
        <v>3478</v>
      </c>
      <c r="B405" s="0" t="s">
        <v>1019</v>
      </c>
      <c r="C405" s="0" t="n">
        <v>2024</v>
      </c>
      <c r="D405" s="41" t="n">
        <f aca="false">IF(Funding!AC20="","",Funding!AC20)</f>
        <v>0.315904389795449</v>
      </c>
      <c r="E405" s="20" t="s">
        <v>2955</v>
      </c>
      <c r="M405" s="20" t="s">
        <v>3479</v>
      </c>
    </row>
    <row r="406" customFormat="false" ht="15" hidden="false" customHeight="false" outlineLevel="0" collapsed="false">
      <c r="A406" s="0" t="s">
        <v>3480</v>
      </c>
      <c r="B406" s="0" t="s">
        <v>1019</v>
      </c>
      <c r="C406" s="0" t="n">
        <v>2024</v>
      </c>
      <c r="D406" s="41" t="n">
        <f aca="false">IF(Funding!AD20="","",Funding!AD20)</f>
        <v>0</v>
      </c>
      <c r="E406" s="20" t="s">
        <v>2958</v>
      </c>
      <c r="M406" s="20" t="s">
        <v>3481</v>
      </c>
    </row>
    <row r="407" customFormat="false" ht="15" hidden="false" customHeight="false" outlineLevel="0" collapsed="false">
      <c r="A407" s="0" t="s">
        <v>3482</v>
      </c>
      <c r="B407" s="0" t="s">
        <v>1019</v>
      </c>
      <c r="C407" s="0" t="n">
        <v>2024</v>
      </c>
      <c r="D407" s="41" t="n">
        <f aca="false">IF(Funding!AE20="","",Funding!AE20)</f>
        <v>0</v>
      </c>
      <c r="E407" s="20" t="s">
        <v>2961</v>
      </c>
      <c r="M407" s="20" t="s">
        <v>3483</v>
      </c>
    </row>
    <row r="408" customFormat="false" ht="15" hidden="false" customHeight="false" outlineLevel="0" collapsed="false">
      <c r="A408" s="0" t="s">
        <v>3484</v>
      </c>
      <c r="B408" s="0" t="s">
        <v>1019</v>
      </c>
      <c r="C408" s="0" t="n">
        <v>2024</v>
      </c>
      <c r="D408" s="41" t="n">
        <f aca="false">IF(Funding!AF20="","",Funding!AF20)</f>
        <v>0.684095610204551</v>
      </c>
      <c r="E408" s="20" t="s">
        <v>2964</v>
      </c>
      <c r="M408" s="20" t="s">
        <v>3485</v>
      </c>
    </row>
    <row r="409" customFormat="false" ht="15" hidden="false" customHeight="false" outlineLevel="0" collapsed="false">
      <c r="A409" s="0" t="s">
        <v>3486</v>
      </c>
      <c r="B409" s="0" t="s">
        <v>1019</v>
      </c>
      <c r="C409" s="0" t="n">
        <v>2024</v>
      </c>
      <c r="D409" s="41" t="n">
        <f aca="false">IF(Funding!AG20="","",Funding!AG20)</f>
        <v>0</v>
      </c>
      <c r="E409" s="20" t="s">
        <v>2967</v>
      </c>
      <c r="M409" s="20" t="s">
        <v>3487</v>
      </c>
    </row>
    <row r="410" customFormat="false" ht="15" hidden="false" customHeight="false" outlineLevel="0" collapsed="false">
      <c r="A410" s="0" t="s">
        <v>3488</v>
      </c>
      <c r="B410" s="0" t="s">
        <v>1019</v>
      </c>
      <c r="C410" s="0" t="n">
        <v>2024</v>
      </c>
      <c r="D410" s="36" t="n">
        <f aca="false">IF(Funding!AL20="","",Funding!AL20)</f>
        <v>7.018</v>
      </c>
      <c r="E410" s="20" t="s">
        <v>2970</v>
      </c>
      <c r="M410" s="20" t="s">
        <v>3489</v>
      </c>
    </row>
    <row r="411" customFormat="false" ht="15" hidden="false" customHeight="false" outlineLevel="0" collapsed="false">
      <c r="A411" s="0" t="s">
        <v>3490</v>
      </c>
      <c r="B411" s="0" t="s">
        <v>1019</v>
      </c>
      <c r="C411" s="0" t="n">
        <v>2024</v>
      </c>
      <c r="D411" s="41" t="n">
        <f aca="false">IF(Funding!AM20="","",Funding!AM20)</f>
        <v>0.806481268673868</v>
      </c>
      <c r="E411" s="20" t="s">
        <v>2973</v>
      </c>
      <c r="M411" s="20" t="s">
        <v>3491</v>
      </c>
    </row>
    <row r="412" customFormat="false" ht="15" hidden="false" customHeight="false" outlineLevel="0" collapsed="false">
      <c r="A412" s="0" t="s">
        <v>3492</v>
      </c>
      <c r="B412" s="0" t="s">
        <v>1019</v>
      </c>
      <c r="C412" s="0" t="n">
        <v>2024</v>
      </c>
      <c r="D412" s="41" t="n">
        <f aca="false">IF(Funding!AN20="","",Funding!AN20)</f>
        <v>0.315904389795449</v>
      </c>
      <c r="E412" s="20" t="s">
        <v>2976</v>
      </c>
      <c r="M412" s="20" t="s">
        <v>3493</v>
      </c>
    </row>
    <row r="413" customFormat="false" ht="15" hidden="false" customHeight="false" outlineLevel="0" collapsed="false">
      <c r="A413" s="0" t="s">
        <v>3494</v>
      </c>
      <c r="B413" s="0" t="s">
        <v>1019</v>
      </c>
      <c r="C413" s="0" t="n">
        <v>2024</v>
      </c>
      <c r="D413" s="41" t="n">
        <f aca="false">IF(Funding!AO20="","",Funding!AO20)</f>
        <v>0.806481268673868</v>
      </c>
      <c r="E413" s="20" t="s">
        <v>2979</v>
      </c>
      <c r="M413" s="20" t="s">
        <v>3495</v>
      </c>
    </row>
    <row r="414" customFormat="false" ht="15" hidden="false" customHeight="false" outlineLevel="0" collapsed="false">
      <c r="A414" s="0" t="s">
        <v>3496</v>
      </c>
      <c r="B414" s="0" t="s">
        <v>1019</v>
      </c>
      <c r="C414" s="0" t="n">
        <v>2024</v>
      </c>
      <c r="D414" s="41" t="n">
        <f aca="false">IF(Funding!AP20="","",Funding!AP20)</f>
        <v>0</v>
      </c>
      <c r="E414" s="20" t="s">
        <v>2982</v>
      </c>
      <c r="M414" s="20" t="s">
        <v>3497</v>
      </c>
    </row>
    <row r="415" customFormat="false" ht="15" hidden="false" customHeight="false" outlineLevel="0" collapsed="false">
      <c r="A415" s="0" t="s">
        <v>3498</v>
      </c>
      <c r="B415" s="0" t="s">
        <v>1019</v>
      </c>
      <c r="C415" s="0" t="n">
        <v>2024</v>
      </c>
      <c r="D415" s="41" t="n">
        <f aca="false">IF(Funding!AQ20="","",Funding!AQ20)</f>
        <v>0</v>
      </c>
      <c r="E415" s="20" t="s">
        <v>2985</v>
      </c>
      <c r="M415" s="20" t="s">
        <v>3499</v>
      </c>
    </row>
    <row r="416" customFormat="false" ht="15" hidden="false" customHeight="false" outlineLevel="0" collapsed="false">
      <c r="A416" s="0" t="s">
        <v>3500</v>
      </c>
      <c r="B416" s="0" t="s">
        <v>1019</v>
      </c>
      <c r="C416" s="0" t="n">
        <v>2024</v>
      </c>
      <c r="D416" s="36" t="n">
        <f aca="false">IF(Funding!E20="","",Funding!E20)</f>
        <v>2.749</v>
      </c>
      <c r="E416" s="20" t="s">
        <v>1681</v>
      </c>
      <c r="M416" s="20" t="s">
        <v>3501</v>
      </c>
    </row>
    <row r="417" customFormat="false" ht="15" hidden="false" customHeight="false" outlineLevel="0" collapsed="false">
      <c r="A417" s="0" t="s">
        <v>3502</v>
      </c>
      <c r="B417" s="0" t="s">
        <v>1019</v>
      </c>
      <c r="C417" s="0" t="n">
        <v>2024</v>
      </c>
      <c r="D417" s="36" t="str">
        <f aca="false">IF(Funding!I20="","",Funding!I20)</f>
        <v/>
      </c>
      <c r="E417" s="20" t="s">
        <v>1686</v>
      </c>
      <c r="M417" s="20" t="s">
        <v>3503</v>
      </c>
    </row>
    <row r="418" customFormat="false" ht="15" hidden="false" customHeight="false" outlineLevel="0" collapsed="false">
      <c r="A418" s="0" t="s">
        <v>3504</v>
      </c>
      <c r="B418" s="0" t="s">
        <v>1019</v>
      </c>
      <c r="C418" s="0" t="n">
        <v>2024</v>
      </c>
      <c r="D418" s="36" t="str">
        <f aca="false">IF(Funding!O20="","",Funding!O20)</f>
        <v/>
      </c>
      <c r="E418" s="20" t="s">
        <v>2992</v>
      </c>
      <c r="M418" s="20" t="s">
        <v>3505</v>
      </c>
    </row>
    <row r="419" customFormat="false" ht="15" hidden="false" customHeight="false" outlineLevel="0" collapsed="false">
      <c r="A419" s="0" t="s">
        <v>3506</v>
      </c>
      <c r="B419" s="0" t="s">
        <v>1019</v>
      </c>
      <c r="C419" s="0" t="n">
        <v>2024</v>
      </c>
      <c r="D419" s="36" t="n">
        <f aca="false">N(Funding!J20)+N(Funding!K20)+N(Funding!L20)+N(Funding!M20)</f>
        <v>7.018</v>
      </c>
      <c r="E419" s="20" t="s">
        <v>2995</v>
      </c>
      <c r="M419" s="20" t="s">
        <v>3507</v>
      </c>
    </row>
    <row r="420" customFormat="false" ht="15" hidden="false" customHeight="false" outlineLevel="0" collapsed="false">
      <c r="A420" s="0" t="s">
        <v>3508</v>
      </c>
      <c r="B420" s="0" t="s">
        <v>1019</v>
      </c>
      <c r="C420" s="0" t="n">
        <v>2024</v>
      </c>
      <c r="D420" s="36" t="str">
        <f aca="false">IF(Funding!R20="","",Funding!R20)</f>
        <v/>
      </c>
      <c r="E420" s="20" t="s">
        <v>2998</v>
      </c>
      <c r="M420" s="20" t="s">
        <v>3509</v>
      </c>
    </row>
    <row r="421" customFormat="false" ht="15" hidden="false" customHeight="false" outlineLevel="0" collapsed="false">
      <c r="A421" s="0" t="s">
        <v>3510</v>
      </c>
      <c r="B421" s="0" t="s">
        <v>1019</v>
      </c>
      <c r="C421" s="0" t="n">
        <v>2025</v>
      </c>
      <c r="D421" s="36" t="n">
        <f aca="false">IF(Funding!W21="","",Funding!W21)</f>
        <v>10.309</v>
      </c>
      <c r="E421" s="20" t="s">
        <v>2952</v>
      </c>
      <c r="M421" s="20" t="s">
        <v>3511</v>
      </c>
    </row>
    <row r="422" customFormat="false" ht="15" hidden="false" customHeight="false" outlineLevel="0" collapsed="false">
      <c r="A422" s="0" t="s">
        <v>3512</v>
      </c>
      <c r="B422" s="0" t="s">
        <v>1019</v>
      </c>
      <c r="C422" s="0" t="n">
        <v>2025</v>
      </c>
      <c r="D422" s="41" t="n">
        <f aca="false">IF(Funding!AC21="","",Funding!AC21)</f>
        <v>0.296634009118246</v>
      </c>
      <c r="E422" s="20" t="s">
        <v>2955</v>
      </c>
      <c r="M422" s="20" t="s">
        <v>3513</v>
      </c>
    </row>
    <row r="423" customFormat="false" ht="15" hidden="false" customHeight="false" outlineLevel="0" collapsed="false">
      <c r="A423" s="0" t="s">
        <v>3514</v>
      </c>
      <c r="B423" s="0" t="s">
        <v>1019</v>
      </c>
      <c r="C423" s="0" t="n">
        <v>2025</v>
      </c>
      <c r="D423" s="41" t="n">
        <f aca="false">IF(Funding!AD21="","",Funding!AD21)</f>
        <v>0</v>
      </c>
      <c r="E423" s="20" t="s">
        <v>2958</v>
      </c>
      <c r="M423" s="20" t="s">
        <v>3515</v>
      </c>
    </row>
    <row r="424" customFormat="false" ht="15" hidden="false" customHeight="false" outlineLevel="0" collapsed="false">
      <c r="A424" s="0" t="s">
        <v>3516</v>
      </c>
      <c r="B424" s="0" t="s">
        <v>1019</v>
      </c>
      <c r="C424" s="0" t="n">
        <v>2025</v>
      </c>
      <c r="D424" s="41" t="n">
        <f aca="false">IF(Funding!AE21="","",Funding!AE21)</f>
        <v>0.144630905034436</v>
      </c>
      <c r="E424" s="20" t="s">
        <v>2961</v>
      </c>
      <c r="M424" s="20" t="s">
        <v>3517</v>
      </c>
    </row>
    <row r="425" customFormat="false" ht="15" hidden="false" customHeight="false" outlineLevel="0" collapsed="false">
      <c r="A425" s="0" t="s">
        <v>3518</v>
      </c>
      <c r="B425" s="0" t="s">
        <v>1019</v>
      </c>
      <c r="C425" s="0" t="n">
        <v>2025</v>
      </c>
      <c r="D425" s="41" t="n">
        <f aca="false">IF(Funding!AF21="","",Funding!AF21)</f>
        <v>0.558735085847318</v>
      </c>
      <c r="E425" s="20" t="s">
        <v>2964</v>
      </c>
      <c r="M425" s="20" t="s">
        <v>3519</v>
      </c>
    </row>
    <row r="426" customFormat="false" ht="15" hidden="false" customHeight="false" outlineLevel="0" collapsed="false">
      <c r="A426" s="0" t="s">
        <v>3520</v>
      </c>
      <c r="B426" s="0" t="s">
        <v>1019</v>
      </c>
      <c r="C426" s="0" t="n">
        <v>2025</v>
      </c>
      <c r="D426" s="41" t="n">
        <f aca="false">IF(Funding!AG21="","",Funding!AG21)</f>
        <v>0</v>
      </c>
      <c r="E426" s="20" t="s">
        <v>2967</v>
      </c>
      <c r="M426" s="20" t="s">
        <v>3521</v>
      </c>
    </row>
    <row r="427" customFormat="false" ht="15" hidden="false" customHeight="false" outlineLevel="0" collapsed="false">
      <c r="A427" s="0" t="s">
        <v>3522</v>
      </c>
      <c r="B427" s="0" t="s">
        <v>1019</v>
      </c>
      <c r="C427" s="0" t="n">
        <v>2025</v>
      </c>
      <c r="D427" s="36" t="n">
        <f aca="false">IF(Funding!AL21="","",Funding!AL21)</f>
        <v>13.32</v>
      </c>
      <c r="E427" s="20" t="s">
        <v>2970</v>
      </c>
      <c r="M427" s="20" t="s">
        <v>3523</v>
      </c>
    </row>
    <row r="428" customFormat="false" ht="15" hidden="false" customHeight="false" outlineLevel="0" collapsed="false">
      <c r="A428" s="0" t="s">
        <v>3524</v>
      </c>
      <c r="B428" s="0" t="s">
        <v>1019</v>
      </c>
      <c r="C428" s="0" t="n">
        <v>2025</v>
      </c>
      <c r="D428" s="41" t="n">
        <f aca="false">IF(Funding!AM21="","",Funding!AM21)</f>
        <v>1.29207488602192</v>
      </c>
      <c r="E428" s="20" t="s">
        <v>2973</v>
      </c>
      <c r="M428" s="20" t="s">
        <v>3525</v>
      </c>
    </row>
    <row r="429" customFormat="false" ht="15" hidden="false" customHeight="false" outlineLevel="0" collapsed="false">
      <c r="A429" s="0" t="s">
        <v>3526</v>
      </c>
      <c r="B429" s="0" t="s">
        <v>1019</v>
      </c>
      <c r="C429" s="0" t="n">
        <v>2025</v>
      </c>
      <c r="D429" s="41" t="n">
        <f aca="false">IF(Funding!AN21="","",Funding!AN21)</f>
        <v>0.296634009118246</v>
      </c>
      <c r="E429" s="20" t="s">
        <v>2976</v>
      </c>
      <c r="M429" s="20" t="s">
        <v>3527</v>
      </c>
    </row>
    <row r="430" customFormat="false" ht="15" hidden="false" customHeight="false" outlineLevel="0" collapsed="false">
      <c r="A430" s="0" t="s">
        <v>3528</v>
      </c>
      <c r="B430" s="0" t="s">
        <v>1019</v>
      </c>
      <c r="C430" s="0" t="n">
        <v>2025</v>
      </c>
      <c r="D430" s="41" t="n">
        <f aca="false">IF(Funding!AO21="","",Funding!AO21)</f>
        <v>1.14744398098749</v>
      </c>
      <c r="E430" s="20" t="s">
        <v>2979</v>
      </c>
      <c r="M430" s="20" t="s">
        <v>3529</v>
      </c>
    </row>
    <row r="431" customFormat="false" ht="15" hidden="false" customHeight="false" outlineLevel="0" collapsed="false">
      <c r="A431" s="0" t="s">
        <v>3530</v>
      </c>
      <c r="B431" s="0" t="s">
        <v>1019</v>
      </c>
      <c r="C431" s="0" t="n">
        <v>2025</v>
      </c>
      <c r="D431" s="41" t="n">
        <f aca="false">IF(Funding!AP21="","",Funding!AP21)</f>
        <v>0.144630905034436</v>
      </c>
      <c r="E431" s="20" t="s">
        <v>2982</v>
      </c>
      <c r="M431" s="20" t="s">
        <v>3531</v>
      </c>
    </row>
    <row r="432" customFormat="false" ht="15" hidden="false" customHeight="false" outlineLevel="0" collapsed="false">
      <c r="A432" s="0" t="s">
        <v>3532</v>
      </c>
      <c r="B432" s="0" t="s">
        <v>1019</v>
      </c>
      <c r="C432" s="0" t="n">
        <v>2025</v>
      </c>
      <c r="D432" s="41" t="n">
        <f aca="false">IF(Funding!AQ21="","",Funding!AQ21)</f>
        <v>0</v>
      </c>
      <c r="E432" s="20" t="s">
        <v>2985</v>
      </c>
      <c r="M432" s="20" t="s">
        <v>3533</v>
      </c>
    </row>
    <row r="433" customFormat="false" ht="15" hidden="false" customHeight="false" outlineLevel="0" collapsed="false">
      <c r="A433" s="0" t="s">
        <v>3534</v>
      </c>
      <c r="B433" s="0" t="s">
        <v>1019</v>
      </c>
      <c r="C433" s="0" t="n">
        <v>2025</v>
      </c>
      <c r="D433" s="36" t="n">
        <f aca="false">IF(Funding!E21="","",Funding!E21)</f>
        <v>3.058</v>
      </c>
      <c r="E433" s="20" t="s">
        <v>1681</v>
      </c>
      <c r="M433" s="20" t="s">
        <v>3535</v>
      </c>
    </row>
    <row r="434" customFormat="false" ht="15" hidden="false" customHeight="false" outlineLevel="0" collapsed="false">
      <c r="A434" s="0" t="s">
        <v>3536</v>
      </c>
      <c r="B434" s="0" t="s">
        <v>1019</v>
      </c>
      <c r="C434" s="0" t="n">
        <v>2025</v>
      </c>
      <c r="D434" s="36" t="str">
        <f aca="false">IF(Funding!I21="","",Funding!I21)</f>
        <v/>
      </c>
      <c r="E434" s="20" t="s">
        <v>1686</v>
      </c>
      <c r="M434" s="20" t="s">
        <v>3537</v>
      </c>
    </row>
    <row r="435" customFormat="false" ht="15" hidden="false" customHeight="false" outlineLevel="0" collapsed="false">
      <c r="A435" s="0" t="s">
        <v>3538</v>
      </c>
      <c r="B435" s="0" t="s">
        <v>1019</v>
      </c>
      <c r="C435" s="0" t="n">
        <v>2025</v>
      </c>
      <c r="D435" s="36" t="str">
        <f aca="false">IF(Funding!O21="","",Funding!O21)</f>
        <v/>
      </c>
      <c r="E435" s="20" t="s">
        <v>2992</v>
      </c>
      <c r="M435" s="20" t="s">
        <v>3539</v>
      </c>
    </row>
    <row r="436" customFormat="false" ht="15" hidden="false" customHeight="false" outlineLevel="0" collapsed="false">
      <c r="A436" s="0" t="s">
        <v>3540</v>
      </c>
      <c r="B436" s="0" t="s">
        <v>1019</v>
      </c>
      <c r="C436" s="0" t="n">
        <v>2025</v>
      </c>
      <c r="D436" s="36" t="n">
        <f aca="false">N(Funding!J21)+N(Funding!K21)+N(Funding!L21)+N(Funding!M21)</f>
        <v>11.829</v>
      </c>
      <c r="E436" s="20" t="s">
        <v>2995</v>
      </c>
      <c r="M436" s="20" t="s">
        <v>3541</v>
      </c>
    </row>
    <row r="437" customFormat="false" ht="15" hidden="false" customHeight="false" outlineLevel="0" collapsed="false">
      <c r="A437" s="0" t="s">
        <v>3542</v>
      </c>
      <c r="B437" s="0" t="s">
        <v>1019</v>
      </c>
      <c r="C437" s="0" t="n">
        <v>2025</v>
      </c>
      <c r="D437" s="36" t="n">
        <f aca="false">IF(Funding!R21="","",Funding!R21)</f>
        <v>1.491</v>
      </c>
      <c r="E437" s="20" t="s">
        <v>2998</v>
      </c>
      <c r="M437" s="20" t="s">
        <v>3543</v>
      </c>
    </row>
    <row r="438" customFormat="false" ht="15" hidden="false" customHeight="false" outlineLevel="0" collapsed="false">
      <c r="A438" s="0" t="s">
        <v>3544</v>
      </c>
      <c r="B438" s="0" t="s">
        <v>1019</v>
      </c>
      <c r="C438" s="0" t="n">
        <v>2026</v>
      </c>
      <c r="D438" s="36" t="n">
        <f aca="false">IF(Funding!W22="","",Funding!W22)</f>
        <v>14.117</v>
      </c>
      <c r="E438" s="20" t="s">
        <v>2952</v>
      </c>
      <c r="M438" s="20" t="s">
        <v>3545</v>
      </c>
    </row>
    <row r="439" customFormat="false" ht="15" hidden="false" customHeight="false" outlineLevel="0" collapsed="false">
      <c r="A439" s="0" t="s">
        <v>3546</v>
      </c>
      <c r="B439" s="0" t="s">
        <v>1019</v>
      </c>
      <c r="C439" s="0" t="n">
        <v>2026</v>
      </c>
      <c r="D439" s="41" t="n">
        <f aca="false">IF(Funding!AC22="","",Funding!AC22)</f>
        <v>0.259474392576326</v>
      </c>
      <c r="E439" s="20" t="s">
        <v>2955</v>
      </c>
      <c r="M439" s="20" t="s">
        <v>3547</v>
      </c>
    </row>
    <row r="440" customFormat="false" ht="15" hidden="false" customHeight="false" outlineLevel="0" collapsed="false">
      <c r="A440" s="0" t="s">
        <v>3548</v>
      </c>
      <c r="B440" s="0" t="s">
        <v>1019</v>
      </c>
      <c r="C440" s="0" t="n">
        <v>2026</v>
      </c>
      <c r="D440" s="41" t="n">
        <f aca="false">IF(Funding!AD22="","",Funding!AD22)</f>
        <v>0</v>
      </c>
      <c r="E440" s="20" t="s">
        <v>2958</v>
      </c>
      <c r="M440" s="20" t="s">
        <v>3549</v>
      </c>
    </row>
    <row r="441" customFormat="false" ht="15" hidden="false" customHeight="false" outlineLevel="0" collapsed="false">
      <c r="A441" s="0" t="s">
        <v>3550</v>
      </c>
      <c r="B441" s="0" t="s">
        <v>1019</v>
      </c>
      <c r="C441" s="0" t="n">
        <v>2026</v>
      </c>
      <c r="D441" s="41" t="n">
        <f aca="false">IF(Funding!AE22="","",Funding!AE22)</f>
        <v>0.211234681589573</v>
      </c>
      <c r="E441" s="20" t="s">
        <v>2961</v>
      </c>
      <c r="M441" s="20" t="s">
        <v>3551</v>
      </c>
    </row>
    <row r="442" customFormat="false" ht="15" hidden="false" customHeight="false" outlineLevel="0" collapsed="false">
      <c r="A442" s="0" t="s">
        <v>3552</v>
      </c>
      <c r="B442" s="0" t="s">
        <v>1019</v>
      </c>
      <c r="C442" s="0" t="n">
        <v>2026</v>
      </c>
      <c r="D442" s="41" t="n">
        <f aca="false">IF(Funding!AF22="","",Funding!AF22)</f>
        <v>0.529290925834101</v>
      </c>
      <c r="E442" s="20" t="s">
        <v>2964</v>
      </c>
      <c r="M442" s="20" t="s">
        <v>3553</v>
      </c>
    </row>
    <row r="443" customFormat="false" ht="15" hidden="false" customHeight="false" outlineLevel="0" collapsed="false">
      <c r="A443" s="0" t="s">
        <v>3554</v>
      </c>
      <c r="B443" s="0" t="s">
        <v>1019</v>
      </c>
      <c r="C443" s="0" t="n">
        <v>2026</v>
      </c>
      <c r="D443" s="41" t="n">
        <f aca="false">IF(Funding!AG22="","",Funding!AG22)</f>
        <v>0</v>
      </c>
      <c r="E443" s="20" t="s">
        <v>2967</v>
      </c>
      <c r="M443" s="20" t="s">
        <v>3555</v>
      </c>
    </row>
    <row r="444" customFormat="false" ht="15" hidden="false" customHeight="false" outlineLevel="0" collapsed="false">
      <c r="A444" s="0" t="s">
        <v>3556</v>
      </c>
      <c r="B444" s="0" t="s">
        <v>1019</v>
      </c>
      <c r="C444" s="0" t="n">
        <v>2026</v>
      </c>
      <c r="D444" s="36" t="n">
        <f aca="false">IF(Funding!AL22="","",Funding!AL22)</f>
        <v>19.729</v>
      </c>
      <c r="E444" s="20" t="s">
        <v>2970</v>
      </c>
      <c r="M444" s="20" t="s">
        <v>3557</v>
      </c>
    </row>
    <row r="445" customFormat="false" ht="15" hidden="false" customHeight="false" outlineLevel="0" collapsed="false">
      <c r="A445" s="0" t="s">
        <v>3558</v>
      </c>
      <c r="B445" s="0" t="s">
        <v>1019</v>
      </c>
      <c r="C445" s="0" t="n">
        <v>2026</v>
      </c>
      <c r="D445" s="41" t="n">
        <f aca="false">IF(Funding!AM22="","",Funding!AM22)</f>
        <v>1.39753488701565</v>
      </c>
      <c r="E445" s="20" t="s">
        <v>2973</v>
      </c>
      <c r="M445" s="20" t="s">
        <v>3559</v>
      </c>
    </row>
    <row r="446" customFormat="false" ht="15" hidden="false" customHeight="false" outlineLevel="0" collapsed="false">
      <c r="A446" s="0" t="s">
        <v>3560</v>
      </c>
      <c r="B446" s="0" t="s">
        <v>1019</v>
      </c>
      <c r="C446" s="0" t="n">
        <v>2026</v>
      </c>
      <c r="D446" s="41" t="n">
        <f aca="false">IF(Funding!AN22="","",Funding!AN22)</f>
        <v>0.259474392576326</v>
      </c>
      <c r="E446" s="20" t="s">
        <v>2976</v>
      </c>
      <c r="M446" s="20" t="s">
        <v>3561</v>
      </c>
    </row>
    <row r="447" customFormat="false" ht="15" hidden="false" customHeight="false" outlineLevel="0" collapsed="false">
      <c r="A447" s="0" t="s">
        <v>3562</v>
      </c>
      <c r="B447" s="0" t="s">
        <v>1019</v>
      </c>
      <c r="C447" s="0" t="n">
        <v>2026</v>
      </c>
      <c r="D447" s="41" t="n">
        <f aca="false">IF(Funding!AO22="","",Funding!AO22)</f>
        <v>1.18630020542608</v>
      </c>
      <c r="E447" s="20" t="s">
        <v>2979</v>
      </c>
      <c r="M447" s="20" t="s">
        <v>3563</v>
      </c>
    </row>
    <row r="448" customFormat="false" ht="15" hidden="false" customHeight="false" outlineLevel="0" collapsed="false">
      <c r="A448" s="0" t="s">
        <v>3564</v>
      </c>
      <c r="B448" s="0" t="s">
        <v>1019</v>
      </c>
      <c r="C448" s="0" t="n">
        <v>2026</v>
      </c>
      <c r="D448" s="41" t="n">
        <f aca="false">IF(Funding!AP22="","",Funding!AP22)</f>
        <v>0.211234681589573</v>
      </c>
      <c r="E448" s="20" t="s">
        <v>2982</v>
      </c>
      <c r="M448" s="20" t="s">
        <v>3565</v>
      </c>
    </row>
    <row r="449" customFormat="false" ht="15" hidden="false" customHeight="false" outlineLevel="0" collapsed="false">
      <c r="A449" s="0" t="s">
        <v>3566</v>
      </c>
      <c r="B449" s="0" t="s">
        <v>1019</v>
      </c>
      <c r="C449" s="0" t="n">
        <v>2026</v>
      </c>
      <c r="D449" s="41" t="n">
        <f aca="false">IF(Funding!AQ22="","",Funding!AQ22)</f>
        <v>0</v>
      </c>
      <c r="E449" s="20" t="s">
        <v>2985</v>
      </c>
      <c r="M449" s="20" t="s">
        <v>3567</v>
      </c>
    </row>
    <row r="450" customFormat="false" ht="15" hidden="false" customHeight="false" outlineLevel="0" collapsed="false">
      <c r="A450" s="0" t="s">
        <v>3568</v>
      </c>
      <c r="B450" s="0" t="s">
        <v>1019</v>
      </c>
      <c r="C450" s="0" t="n">
        <v>2026</v>
      </c>
      <c r="D450" s="36" t="n">
        <f aca="false">IF(Funding!E22="","",Funding!E22)</f>
        <v>3.663</v>
      </c>
      <c r="E450" s="20" t="s">
        <v>1681</v>
      </c>
      <c r="M450" s="20" t="s">
        <v>3569</v>
      </c>
    </row>
    <row r="451" customFormat="false" ht="15" hidden="false" customHeight="false" outlineLevel="0" collapsed="false">
      <c r="A451" s="0" t="s">
        <v>3570</v>
      </c>
      <c r="B451" s="0" t="s">
        <v>1019</v>
      </c>
      <c r="C451" s="0" t="n">
        <v>2026</v>
      </c>
      <c r="D451" s="36" t="str">
        <f aca="false">IF(Funding!I22="","",Funding!I22)</f>
        <v/>
      </c>
      <c r="E451" s="20" t="s">
        <v>1686</v>
      </c>
      <c r="M451" s="20" t="s">
        <v>3571</v>
      </c>
    </row>
    <row r="452" customFormat="false" ht="15" hidden="false" customHeight="false" outlineLevel="0" collapsed="false">
      <c r="A452" s="0" t="s">
        <v>3572</v>
      </c>
      <c r="B452" s="0" t="s">
        <v>1019</v>
      </c>
      <c r="C452" s="0" t="n">
        <v>2026</v>
      </c>
      <c r="D452" s="36" t="str">
        <f aca="false">IF(Funding!O22="","",Funding!O22)</f>
        <v/>
      </c>
      <c r="E452" s="20" t="s">
        <v>2992</v>
      </c>
      <c r="M452" s="20" t="s">
        <v>3573</v>
      </c>
    </row>
    <row r="453" customFormat="false" ht="15" hidden="false" customHeight="false" outlineLevel="0" collapsed="false">
      <c r="A453" s="0" t="s">
        <v>3574</v>
      </c>
      <c r="B453" s="0" t="s">
        <v>1019</v>
      </c>
      <c r="C453" s="0" t="n">
        <v>2026</v>
      </c>
      <c r="D453" s="36" t="n">
        <f aca="false">N(Funding!J22)+N(Funding!K22)+N(Funding!L22)+N(Funding!M22)</f>
        <v>16.747</v>
      </c>
      <c r="E453" s="20" t="s">
        <v>2995</v>
      </c>
      <c r="M453" s="20" t="s">
        <v>3575</v>
      </c>
    </row>
    <row r="454" customFormat="false" ht="15" hidden="false" customHeight="false" outlineLevel="0" collapsed="false">
      <c r="A454" s="0" t="s">
        <v>3576</v>
      </c>
      <c r="B454" s="0" t="s">
        <v>1019</v>
      </c>
      <c r="C454" s="0" t="n">
        <v>2026</v>
      </c>
      <c r="D454" s="36" t="n">
        <f aca="false">IF(Funding!R22="","",Funding!R22)</f>
        <v>2.982</v>
      </c>
      <c r="E454" s="20" t="s">
        <v>2998</v>
      </c>
      <c r="M454" s="20" t="s">
        <v>3577</v>
      </c>
    </row>
    <row r="455" customFormat="false" ht="15" hidden="false" customHeight="false" outlineLevel="0" collapsed="false">
      <c r="A455" s="0" t="s">
        <v>3578</v>
      </c>
      <c r="B455" s="0" t="s">
        <v>1038</v>
      </c>
      <c r="C455" s="0" t="n">
        <v>2025</v>
      </c>
      <c r="D455" s="36" t="n">
        <f aca="false">IF(Funding!W23="","",Funding!W23)</f>
        <v>4.1</v>
      </c>
      <c r="E455" s="20" t="s">
        <v>2952</v>
      </c>
      <c r="M455" s="20" t="s">
        <v>3579</v>
      </c>
    </row>
    <row r="456" customFormat="false" ht="15" hidden="false" customHeight="false" outlineLevel="0" collapsed="false">
      <c r="A456" s="0" t="s">
        <v>3580</v>
      </c>
      <c r="B456" s="0" t="s">
        <v>1038</v>
      </c>
      <c r="C456" s="0" t="n">
        <v>2025</v>
      </c>
      <c r="D456" s="41" t="str">
        <f aca="false">IF(Funding!AC23="","",Funding!AC23)</f>
        <v/>
      </c>
      <c r="E456" s="20" t="s">
        <v>2955</v>
      </c>
      <c r="M456" s="20" t="s">
        <v>3581</v>
      </c>
    </row>
    <row r="457" customFormat="false" ht="15" hidden="false" customHeight="false" outlineLevel="0" collapsed="false">
      <c r="A457" s="0" t="s">
        <v>3582</v>
      </c>
      <c r="B457" s="0" t="s">
        <v>1038</v>
      </c>
      <c r="C457" s="0" t="n">
        <v>2025</v>
      </c>
      <c r="D457" s="41" t="n">
        <f aca="false">IF(Funding!AD23="","",Funding!AD23)</f>
        <v>0</v>
      </c>
      <c r="E457" s="20" t="s">
        <v>2958</v>
      </c>
      <c r="M457" s="20" t="s">
        <v>3583</v>
      </c>
    </row>
    <row r="458" customFormat="false" ht="15" hidden="false" customHeight="false" outlineLevel="0" collapsed="false">
      <c r="A458" s="0" t="s">
        <v>3584</v>
      </c>
      <c r="B458" s="0" t="s">
        <v>1038</v>
      </c>
      <c r="C458" s="0" t="n">
        <v>2025</v>
      </c>
      <c r="D458" s="41" t="n">
        <f aca="false">IF(Funding!AE23="","",Funding!AE23)</f>
        <v>0</v>
      </c>
      <c r="E458" s="20" t="s">
        <v>2961</v>
      </c>
      <c r="M458" s="20" t="s">
        <v>3585</v>
      </c>
    </row>
    <row r="459" customFormat="false" ht="15" hidden="false" customHeight="false" outlineLevel="0" collapsed="false">
      <c r="A459" s="0" t="s">
        <v>3586</v>
      </c>
      <c r="B459" s="0" t="s">
        <v>1038</v>
      </c>
      <c r="C459" s="0" t="n">
        <v>2025</v>
      </c>
      <c r="D459" s="41" t="n">
        <f aca="false">IF(Funding!AF23="","",Funding!AF23)</f>
        <v>0</v>
      </c>
      <c r="E459" s="20" t="s">
        <v>2964</v>
      </c>
      <c r="M459" s="20" t="s">
        <v>3587</v>
      </c>
    </row>
    <row r="460" customFormat="false" ht="15" hidden="false" customHeight="false" outlineLevel="0" collapsed="false">
      <c r="A460" s="0" t="s">
        <v>3588</v>
      </c>
      <c r="B460" s="0" t="s">
        <v>1038</v>
      </c>
      <c r="C460" s="0" t="n">
        <v>2025</v>
      </c>
      <c r="D460" s="41" t="n">
        <f aca="false">IF(Funding!AG23="","",Funding!AG23)</f>
        <v>1</v>
      </c>
      <c r="E460" s="20" t="s">
        <v>2967</v>
      </c>
      <c r="M460" s="20" t="s">
        <v>3589</v>
      </c>
    </row>
    <row r="461" customFormat="false" ht="15" hidden="false" customHeight="false" outlineLevel="0" collapsed="false">
      <c r="A461" s="0" t="s">
        <v>3590</v>
      </c>
      <c r="B461" s="0" t="s">
        <v>1038</v>
      </c>
      <c r="C461" s="0" t="n">
        <v>2025</v>
      </c>
      <c r="D461" s="36" t="n">
        <f aca="false">IF(Funding!AL23="","",Funding!AL23)</f>
        <v>0</v>
      </c>
      <c r="E461" s="20" t="s">
        <v>2970</v>
      </c>
      <c r="M461" s="20" t="s">
        <v>3591</v>
      </c>
    </row>
    <row r="462" customFormat="false" ht="15" hidden="false" customHeight="false" outlineLevel="0" collapsed="false">
      <c r="A462" s="0" t="s">
        <v>3592</v>
      </c>
      <c r="B462" s="0" t="s">
        <v>1038</v>
      </c>
      <c r="C462" s="0" t="n">
        <v>2025</v>
      </c>
      <c r="D462" s="41" t="n">
        <f aca="false">IF(Funding!AM23="","",Funding!AM23)</f>
        <v>0</v>
      </c>
      <c r="E462" s="20" t="s">
        <v>2973</v>
      </c>
      <c r="M462" s="20" t="s">
        <v>3593</v>
      </c>
    </row>
    <row r="463" customFormat="false" ht="15" hidden="false" customHeight="false" outlineLevel="0" collapsed="false">
      <c r="A463" s="0" t="s">
        <v>3594</v>
      </c>
      <c r="B463" s="0" t="s">
        <v>1038</v>
      </c>
      <c r="C463" s="0" t="n">
        <v>2025</v>
      </c>
      <c r="D463" s="41" t="str">
        <f aca="false">IF(Funding!AN23="","",Funding!AN23)</f>
        <v/>
      </c>
      <c r="E463" s="20" t="s">
        <v>2976</v>
      </c>
      <c r="M463" s="20" t="s">
        <v>3595</v>
      </c>
    </row>
    <row r="464" customFormat="false" ht="15" hidden="false" customHeight="false" outlineLevel="0" collapsed="false">
      <c r="A464" s="0" t="s">
        <v>3596</v>
      </c>
      <c r="B464" s="0" t="s">
        <v>1038</v>
      </c>
      <c r="C464" s="0" t="n">
        <v>2025</v>
      </c>
      <c r="D464" s="41" t="n">
        <f aca="false">IF(Funding!AO23="","",Funding!AO23)</f>
        <v>0</v>
      </c>
      <c r="E464" s="20" t="s">
        <v>2979</v>
      </c>
      <c r="M464" s="20" t="s">
        <v>3597</v>
      </c>
    </row>
    <row r="465" customFormat="false" ht="15" hidden="false" customHeight="false" outlineLevel="0" collapsed="false">
      <c r="A465" s="0" t="s">
        <v>3598</v>
      </c>
      <c r="B465" s="0" t="s">
        <v>1038</v>
      </c>
      <c r="C465" s="0" t="n">
        <v>2025</v>
      </c>
      <c r="D465" s="41" t="n">
        <f aca="false">IF(Funding!AP23="","",Funding!AP23)</f>
        <v>0</v>
      </c>
      <c r="E465" s="20" t="s">
        <v>2982</v>
      </c>
      <c r="M465" s="20" t="s">
        <v>3599</v>
      </c>
    </row>
    <row r="466" customFormat="false" ht="15" hidden="false" customHeight="false" outlineLevel="0" collapsed="false">
      <c r="A466" s="0" t="s">
        <v>3600</v>
      </c>
      <c r="B466" s="0" t="s">
        <v>1038</v>
      </c>
      <c r="C466" s="0" t="n">
        <v>2025</v>
      </c>
      <c r="D466" s="41" t="n">
        <f aca="false">IF(Funding!AQ23="","",Funding!AQ23)</f>
        <v>0</v>
      </c>
      <c r="E466" s="20" t="s">
        <v>2985</v>
      </c>
      <c r="M466" s="20" t="s">
        <v>3601</v>
      </c>
    </row>
    <row r="467" customFormat="false" ht="15" hidden="false" customHeight="false" outlineLevel="0" collapsed="false">
      <c r="A467" s="0" t="s">
        <v>3602</v>
      </c>
      <c r="B467" s="0" t="s">
        <v>1038</v>
      </c>
      <c r="C467" s="0" t="n">
        <v>2025</v>
      </c>
      <c r="D467" s="36" t="str">
        <f aca="false">IF(Funding!E23="","",Funding!E23)</f>
        <v/>
      </c>
      <c r="E467" s="20" t="s">
        <v>1681</v>
      </c>
      <c r="M467" s="20" t="s">
        <v>3603</v>
      </c>
    </row>
    <row r="468" customFormat="false" ht="15" hidden="false" customHeight="false" outlineLevel="0" collapsed="false">
      <c r="A468" s="0" t="s">
        <v>3604</v>
      </c>
      <c r="B468" s="0" t="s">
        <v>1038</v>
      </c>
      <c r="C468" s="0" t="n">
        <v>2025</v>
      </c>
      <c r="D468" s="36" t="str">
        <f aca="false">IF(Funding!I23="","",Funding!I23)</f>
        <v/>
      </c>
      <c r="E468" s="20" t="s">
        <v>1686</v>
      </c>
      <c r="M468" s="20" t="s">
        <v>3605</v>
      </c>
    </row>
    <row r="469" customFormat="false" ht="15" hidden="false" customHeight="false" outlineLevel="0" collapsed="false">
      <c r="A469" s="0" t="s">
        <v>3606</v>
      </c>
      <c r="B469" s="0" t="s">
        <v>1038</v>
      </c>
      <c r="C469" s="0" t="n">
        <v>2025</v>
      </c>
      <c r="D469" s="36" t="str">
        <f aca="false">IF(Funding!O23="","",Funding!O23)</f>
        <v/>
      </c>
      <c r="E469" s="20" t="s">
        <v>2992</v>
      </c>
      <c r="M469" s="20" t="s">
        <v>3607</v>
      </c>
    </row>
    <row r="470" customFormat="false" ht="15" hidden="false" customHeight="false" outlineLevel="0" collapsed="false">
      <c r="A470" s="0" t="s">
        <v>3608</v>
      </c>
      <c r="B470" s="0" t="s">
        <v>1038</v>
      </c>
      <c r="C470" s="0" t="n">
        <v>2025</v>
      </c>
      <c r="D470" s="36" t="n">
        <f aca="false">N(Funding!J23)+N(Funding!K23)+N(Funding!L23)+N(Funding!M23)</f>
        <v>0</v>
      </c>
      <c r="E470" s="20" t="s">
        <v>2995</v>
      </c>
      <c r="M470" s="20" t="s">
        <v>3609</v>
      </c>
    </row>
    <row r="471" customFormat="false" ht="15" hidden="false" customHeight="false" outlineLevel="0" collapsed="false">
      <c r="A471" s="0" t="s">
        <v>3610</v>
      </c>
      <c r="B471" s="0" t="s">
        <v>1038</v>
      </c>
      <c r="C471" s="0" t="n">
        <v>2025</v>
      </c>
      <c r="D471" s="36" t="str">
        <f aca="false">IF(Funding!R23="","",Funding!R23)</f>
        <v/>
      </c>
      <c r="E471" s="20" t="s">
        <v>2998</v>
      </c>
      <c r="M471" s="20" t="s">
        <v>3611</v>
      </c>
    </row>
    <row r="472" customFormat="false" ht="15" hidden="false" customHeight="false" outlineLevel="0" collapsed="false">
      <c r="A472" s="0" t="s">
        <v>3612</v>
      </c>
      <c r="B472" s="0" t="s">
        <v>1038</v>
      </c>
      <c r="C472" s="0" t="n">
        <v>2026</v>
      </c>
      <c r="D472" s="36" t="n">
        <f aca="false">IF(Funding!W24="","",Funding!W24)</f>
        <v>8.13</v>
      </c>
      <c r="E472" s="20" t="s">
        <v>2952</v>
      </c>
      <c r="M472" s="20" t="s">
        <v>3613</v>
      </c>
    </row>
    <row r="473" customFormat="false" ht="15" hidden="false" customHeight="false" outlineLevel="0" collapsed="false">
      <c r="A473" s="0" t="s">
        <v>3614</v>
      </c>
      <c r="B473" s="0" t="s">
        <v>1038</v>
      </c>
      <c r="C473" s="0" t="n">
        <v>2026</v>
      </c>
      <c r="D473" s="41" t="str">
        <f aca="false">IF(Funding!AC24="","",Funding!AC24)</f>
        <v/>
      </c>
      <c r="E473" s="20" t="s">
        <v>2955</v>
      </c>
      <c r="M473" s="20" t="s">
        <v>3615</v>
      </c>
    </row>
    <row r="474" customFormat="false" ht="15" hidden="false" customHeight="false" outlineLevel="0" collapsed="false">
      <c r="A474" s="0" t="s">
        <v>3616</v>
      </c>
      <c r="B474" s="0" t="s">
        <v>1038</v>
      </c>
      <c r="C474" s="0" t="n">
        <v>2026</v>
      </c>
      <c r="D474" s="41" t="n">
        <f aca="false">IF(Funding!AD24="","",Funding!AD24)</f>
        <v>0</v>
      </c>
      <c r="E474" s="20" t="s">
        <v>2958</v>
      </c>
      <c r="M474" s="20" t="s">
        <v>3617</v>
      </c>
    </row>
    <row r="475" customFormat="false" ht="15" hidden="false" customHeight="false" outlineLevel="0" collapsed="false">
      <c r="A475" s="0" t="s">
        <v>3618</v>
      </c>
      <c r="B475" s="0" t="s">
        <v>1038</v>
      </c>
      <c r="C475" s="0" t="n">
        <v>2026</v>
      </c>
      <c r="D475" s="41" t="n">
        <f aca="false">IF(Funding!AE24="","",Funding!AE24)</f>
        <v>0.591758917589176</v>
      </c>
      <c r="E475" s="20" t="s">
        <v>2961</v>
      </c>
      <c r="M475" s="20" t="s">
        <v>3619</v>
      </c>
    </row>
    <row r="476" customFormat="false" ht="15" hidden="false" customHeight="false" outlineLevel="0" collapsed="false">
      <c r="A476" s="0" t="s">
        <v>3620</v>
      </c>
      <c r="B476" s="0" t="s">
        <v>1038</v>
      </c>
      <c r="C476" s="0" t="n">
        <v>2026</v>
      </c>
      <c r="D476" s="41" t="n">
        <f aca="false">IF(Funding!AF24="","",Funding!AF24)</f>
        <v>0.408241082410824</v>
      </c>
      <c r="E476" s="20" t="s">
        <v>2964</v>
      </c>
      <c r="M476" s="20" t="s">
        <v>3621</v>
      </c>
    </row>
    <row r="477" customFormat="false" ht="15" hidden="false" customHeight="false" outlineLevel="0" collapsed="false">
      <c r="A477" s="0" t="s">
        <v>3622</v>
      </c>
      <c r="B477" s="0" t="s">
        <v>1038</v>
      </c>
      <c r="C477" s="0" t="n">
        <v>2026</v>
      </c>
      <c r="D477" s="41" t="n">
        <f aca="false">IF(Funding!AG24="","",Funding!AG24)</f>
        <v>0</v>
      </c>
      <c r="E477" s="20" t="s">
        <v>2967</v>
      </c>
      <c r="M477" s="20" t="s">
        <v>3623</v>
      </c>
    </row>
    <row r="478" customFormat="false" ht="15" hidden="false" customHeight="false" outlineLevel="0" collapsed="false">
      <c r="A478" s="0" t="s">
        <v>3624</v>
      </c>
      <c r="B478" s="0" t="s">
        <v>1038</v>
      </c>
      <c r="C478" s="0" t="n">
        <v>2026</v>
      </c>
      <c r="D478" s="36" t="n">
        <f aca="false">IF(Funding!AL24="","",Funding!AL24)</f>
        <v>9.149</v>
      </c>
      <c r="E478" s="20" t="s">
        <v>2970</v>
      </c>
      <c r="M478" s="20" t="s">
        <v>3625</v>
      </c>
    </row>
    <row r="479" customFormat="false" ht="15" hidden="false" customHeight="false" outlineLevel="0" collapsed="false">
      <c r="A479" s="0" t="s">
        <v>3626</v>
      </c>
      <c r="B479" s="0" t="s">
        <v>1038</v>
      </c>
      <c r="C479" s="0" t="n">
        <v>2026</v>
      </c>
      <c r="D479" s="41" t="n">
        <f aca="false">IF(Funding!AM24="","",Funding!AM24)</f>
        <v>1.12533825338253</v>
      </c>
      <c r="E479" s="20" t="s">
        <v>2973</v>
      </c>
      <c r="M479" s="20" t="s">
        <v>3627</v>
      </c>
    </row>
    <row r="480" customFormat="false" ht="15" hidden="false" customHeight="false" outlineLevel="0" collapsed="false">
      <c r="A480" s="0" t="s">
        <v>3628</v>
      </c>
      <c r="B480" s="0" t="s">
        <v>1038</v>
      </c>
      <c r="C480" s="0" t="n">
        <v>2026</v>
      </c>
      <c r="D480" s="41" t="str">
        <f aca="false">IF(Funding!AN24="","",Funding!AN24)</f>
        <v/>
      </c>
      <c r="E480" s="20" t="s">
        <v>2976</v>
      </c>
      <c r="M480" s="20" t="s">
        <v>3629</v>
      </c>
    </row>
    <row r="481" customFormat="false" ht="15" hidden="false" customHeight="false" outlineLevel="0" collapsed="false">
      <c r="A481" s="0" t="s">
        <v>3630</v>
      </c>
      <c r="B481" s="0" t="s">
        <v>1038</v>
      </c>
      <c r="C481" s="0" t="n">
        <v>2026</v>
      </c>
      <c r="D481" s="41" t="n">
        <f aca="false">IF(Funding!AO24="","",Funding!AO24)</f>
        <v>0.533579335793358</v>
      </c>
      <c r="E481" s="20" t="s">
        <v>2979</v>
      </c>
      <c r="M481" s="20" t="s">
        <v>3631</v>
      </c>
    </row>
    <row r="482" customFormat="false" ht="15" hidden="false" customHeight="false" outlineLevel="0" collapsed="false">
      <c r="A482" s="0" t="s">
        <v>3632</v>
      </c>
      <c r="B482" s="0" t="s">
        <v>1038</v>
      </c>
      <c r="C482" s="0" t="n">
        <v>2026</v>
      </c>
      <c r="D482" s="41" t="n">
        <f aca="false">IF(Funding!AP24="","",Funding!AP24)</f>
        <v>0.591758917589176</v>
      </c>
      <c r="E482" s="20" t="s">
        <v>2982</v>
      </c>
      <c r="M482" s="20" t="s">
        <v>3633</v>
      </c>
    </row>
    <row r="483" customFormat="false" ht="15" hidden="false" customHeight="false" outlineLevel="0" collapsed="false">
      <c r="A483" s="0" t="s">
        <v>3634</v>
      </c>
      <c r="B483" s="0" t="s">
        <v>1038</v>
      </c>
      <c r="C483" s="0" t="n">
        <v>2026</v>
      </c>
      <c r="D483" s="41" t="n">
        <f aca="false">IF(Funding!AQ24="","",Funding!AQ24)</f>
        <v>0</v>
      </c>
      <c r="E483" s="20" t="s">
        <v>2985</v>
      </c>
      <c r="M483" s="20" t="s">
        <v>3635</v>
      </c>
    </row>
    <row r="484" customFormat="false" ht="15" hidden="false" customHeight="false" outlineLevel="0" collapsed="false">
      <c r="A484" s="0" t="s">
        <v>3636</v>
      </c>
      <c r="B484" s="0" t="s">
        <v>1038</v>
      </c>
      <c r="C484" s="0" t="n">
        <v>2026</v>
      </c>
      <c r="D484" s="36" t="str">
        <f aca="false">IF(Funding!E24="","",Funding!E24)</f>
        <v/>
      </c>
      <c r="E484" s="20" t="s">
        <v>1681</v>
      </c>
      <c r="M484" s="20" t="s">
        <v>3637</v>
      </c>
    </row>
    <row r="485" customFormat="false" ht="15" hidden="false" customHeight="false" outlineLevel="0" collapsed="false">
      <c r="A485" s="0" t="s">
        <v>3638</v>
      </c>
      <c r="B485" s="0" t="s">
        <v>1038</v>
      </c>
      <c r="C485" s="0" t="n">
        <v>2026</v>
      </c>
      <c r="D485" s="36" t="n">
        <f aca="false">IF(Funding!I24="","",Funding!I24)</f>
        <v>-3.626</v>
      </c>
      <c r="E485" s="20" t="s">
        <v>1686</v>
      </c>
      <c r="M485" s="20" t="s">
        <v>3639</v>
      </c>
    </row>
    <row r="486" customFormat="false" ht="15" hidden="false" customHeight="false" outlineLevel="0" collapsed="false">
      <c r="A486" s="0" t="s">
        <v>3640</v>
      </c>
      <c r="B486" s="0" t="s">
        <v>1038</v>
      </c>
      <c r="C486" s="0" t="n">
        <v>2026</v>
      </c>
      <c r="D486" s="36" t="n">
        <f aca="false">IF(Funding!O24="","",Funding!O24)</f>
        <v>12.054</v>
      </c>
      <c r="E486" s="20" t="s">
        <v>2992</v>
      </c>
      <c r="M486" s="20" t="s">
        <v>3641</v>
      </c>
    </row>
    <row r="487" customFormat="false" ht="15" hidden="false" customHeight="false" outlineLevel="0" collapsed="false">
      <c r="A487" s="0" t="s">
        <v>3642</v>
      </c>
      <c r="B487" s="0" t="s">
        <v>1038</v>
      </c>
      <c r="C487" s="0" t="n">
        <v>2026</v>
      </c>
      <c r="D487" s="36" t="n">
        <f aca="false">N(Funding!J24)+N(Funding!K24)+N(Funding!L24)+N(Funding!M24)</f>
        <v>4.338</v>
      </c>
      <c r="E487" s="20" t="s">
        <v>2995</v>
      </c>
      <c r="M487" s="20" t="s">
        <v>3643</v>
      </c>
    </row>
    <row r="488" customFormat="false" ht="15" hidden="false" customHeight="false" outlineLevel="0" collapsed="false">
      <c r="A488" s="0" t="s">
        <v>3644</v>
      </c>
      <c r="B488" s="0" t="s">
        <v>1038</v>
      </c>
      <c r="C488" s="0" t="n">
        <v>2026</v>
      </c>
      <c r="D488" s="36" t="n">
        <f aca="false">IF(Funding!R24="","",Funding!R24)</f>
        <v>4.811</v>
      </c>
      <c r="E488" s="20" t="s">
        <v>2998</v>
      </c>
      <c r="M488" s="20" t="s">
        <v>3645</v>
      </c>
    </row>
    <row r="489" customFormat="false" ht="17.15" hidden="false" customHeight="false" outlineLevel="0" collapsed="false">
      <c r="A489" s="0" t="s">
        <v>3646</v>
      </c>
      <c r="B489" s="0" t="s">
        <v>1250</v>
      </c>
      <c r="C489" s="0" t="n">
        <v>2025</v>
      </c>
      <c r="D489" s="36" t="n">
        <f aca="false">IF(Funding!W25="","",Funding!W25)</f>
        <v>20.7</v>
      </c>
      <c r="E489" s="20" t="s">
        <v>2952</v>
      </c>
      <c r="M489" s="20" t="s">
        <v>3647</v>
      </c>
    </row>
    <row r="490" customFormat="false" ht="17.15" hidden="false" customHeight="false" outlineLevel="0" collapsed="false">
      <c r="A490" s="0" t="s">
        <v>3648</v>
      </c>
      <c r="B490" s="0" t="s">
        <v>1250</v>
      </c>
      <c r="C490" s="0" t="n">
        <v>2025</v>
      </c>
      <c r="D490" s="41" t="n">
        <f aca="false">IF(Funding!AC25="","",Funding!AC25)</f>
        <v>0.328502415458937</v>
      </c>
      <c r="E490" s="20" t="s">
        <v>2955</v>
      </c>
      <c r="M490" s="20" t="s">
        <v>3649</v>
      </c>
    </row>
    <row r="491" customFormat="false" ht="17.15" hidden="false" customHeight="false" outlineLevel="0" collapsed="false">
      <c r="A491" s="0" t="s">
        <v>3650</v>
      </c>
      <c r="B491" s="0" t="s">
        <v>1250</v>
      </c>
      <c r="C491" s="0" t="n">
        <v>2025</v>
      </c>
      <c r="D491" s="41" t="n">
        <f aca="false">IF(Funding!AD25="","",Funding!AD25)</f>
        <v>0</v>
      </c>
      <c r="E491" s="20" t="s">
        <v>2958</v>
      </c>
      <c r="M491" s="20" t="s">
        <v>3651</v>
      </c>
    </row>
    <row r="492" customFormat="false" ht="17.15" hidden="false" customHeight="false" outlineLevel="0" collapsed="false">
      <c r="A492" s="0" t="s">
        <v>3652</v>
      </c>
      <c r="B492" s="0" t="s">
        <v>1250</v>
      </c>
      <c r="C492" s="0" t="n">
        <v>2025</v>
      </c>
      <c r="D492" s="41" t="n">
        <f aca="false">IF(Funding!AE25="","",Funding!AE25)</f>
        <v>0</v>
      </c>
      <c r="E492" s="20" t="s">
        <v>2961</v>
      </c>
      <c r="M492" s="20" t="s">
        <v>3653</v>
      </c>
    </row>
    <row r="493" customFormat="false" ht="17.15" hidden="false" customHeight="false" outlineLevel="0" collapsed="false">
      <c r="A493" s="0" t="s">
        <v>3654</v>
      </c>
      <c r="B493" s="0" t="s">
        <v>1250</v>
      </c>
      <c r="C493" s="0" t="n">
        <v>2025</v>
      </c>
      <c r="D493" s="41" t="n">
        <f aca="false">IF(Funding!AF25="","",Funding!AF25)</f>
        <v>0.671497584541063</v>
      </c>
      <c r="E493" s="20" t="s">
        <v>2964</v>
      </c>
      <c r="M493" s="20" t="s">
        <v>3655</v>
      </c>
    </row>
    <row r="494" customFormat="false" ht="17.15" hidden="false" customHeight="false" outlineLevel="0" collapsed="false">
      <c r="A494" s="0" t="s">
        <v>3656</v>
      </c>
      <c r="B494" s="0" t="s">
        <v>1250</v>
      </c>
      <c r="C494" s="0" t="n">
        <v>2025</v>
      </c>
      <c r="D494" s="41" t="n">
        <f aca="false">IF(Funding!AG25="","",Funding!AG25)</f>
        <v>0</v>
      </c>
      <c r="E494" s="20" t="s">
        <v>2967</v>
      </c>
      <c r="M494" s="20" t="s">
        <v>3657</v>
      </c>
    </row>
    <row r="495" customFormat="false" ht="17.15" hidden="false" customHeight="false" outlineLevel="0" collapsed="false">
      <c r="A495" s="0" t="s">
        <v>3658</v>
      </c>
      <c r="B495" s="0" t="s">
        <v>1250</v>
      </c>
      <c r="C495" s="0" t="n">
        <v>2025</v>
      </c>
      <c r="D495" s="36" t="n">
        <f aca="false">IF(Funding!AL25="","",Funding!AL25)</f>
        <v>16</v>
      </c>
      <c r="E495" s="20" t="s">
        <v>2970</v>
      </c>
      <c r="M495" s="20" t="s">
        <v>3659</v>
      </c>
    </row>
    <row r="496" customFormat="false" ht="17.15" hidden="false" customHeight="false" outlineLevel="0" collapsed="false">
      <c r="A496" s="0" t="s">
        <v>3660</v>
      </c>
      <c r="B496" s="0" t="s">
        <v>1250</v>
      </c>
      <c r="C496" s="0" t="n">
        <v>2025</v>
      </c>
      <c r="D496" s="41" t="n">
        <f aca="false">IF(Funding!AM25="","",Funding!AM25)</f>
        <v>0.772946859903382</v>
      </c>
      <c r="E496" s="20" t="s">
        <v>2973</v>
      </c>
      <c r="M496" s="20" t="s">
        <v>3661</v>
      </c>
    </row>
    <row r="497" customFormat="false" ht="17.15" hidden="false" customHeight="false" outlineLevel="0" collapsed="false">
      <c r="A497" s="0" t="s">
        <v>3662</v>
      </c>
      <c r="B497" s="0" t="s">
        <v>1250</v>
      </c>
      <c r="C497" s="0" t="n">
        <v>2025</v>
      </c>
      <c r="D497" s="41" t="n">
        <f aca="false">IF(Funding!AN25="","",Funding!AN25)</f>
        <v>0.328502415458937</v>
      </c>
      <c r="E497" s="20" t="s">
        <v>2976</v>
      </c>
      <c r="M497" s="20" t="s">
        <v>3663</v>
      </c>
    </row>
    <row r="498" customFormat="false" ht="17.15" hidden="false" customHeight="false" outlineLevel="0" collapsed="false">
      <c r="A498" s="0" t="s">
        <v>3664</v>
      </c>
      <c r="B498" s="0" t="s">
        <v>1250</v>
      </c>
      <c r="C498" s="0" t="n">
        <v>2025</v>
      </c>
      <c r="D498" s="41" t="n">
        <f aca="false">IF(Funding!AO25="","",Funding!AO25)</f>
        <v>0.772946859903382</v>
      </c>
      <c r="E498" s="20" t="s">
        <v>2979</v>
      </c>
      <c r="M498" s="20" t="s">
        <v>3665</v>
      </c>
    </row>
    <row r="499" customFormat="false" ht="17.15" hidden="false" customHeight="false" outlineLevel="0" collapsed="false">
      <c r="A499" s="0" t="s">
        <v>3666</v>
      </c>
      <c r="B499" s="0" t="s">
        <v>1250</v>
      </c>
      <c r="C499" s="0" t="n">
        <v>2025</v>
      </c>
      <c r="D499" s="41" t="n">
        <f aca="false">IF(Funding!AP25="","",Funding!AP25)</f>
        <v>0</v>
      </c>
      <c r="E499" s="20" t="s">
        <v>2982</v>
      </c>
      <c r="M499" s="20" t="s">
        <v>3667</v>
      </c>
    </row>
    <row r="500" customFormat="false" ht="17.15" hidden="false" customHeight="false" outlineLevel="0" collapsed="false">
      <c r="A500" s="0" t="s">
        <v>3668</v>
      </c>
      <c r="B500" s="0" t="s">
        <v>1250</v>
      </c>
      <c r="C500" s="0" t="n">
        <v>2025</v>
      </c>
      <c r="D500" s="41" t="n">
        <f aca="false">IF(Funding!AQ25="","",Funding!AQ25)</f>
        <v>0</v>
      </c>
      <c r="E500" s="20" t="s">
        <v>2985</v>
      </c>
      <c r="M500" s="20" t="s">
        <v>3669</v>
      </c>
    </row>
    <row r="501" customFormat="false" ht="17.15" hidden="false" customHeight="false" outlineLevel="0" collapsed="false">
      <c r="A501" s="0" t="s">
        <v>3670</v>
      </c>
      <c r="B501" s="0" t="s">
        <v>1250</v>
      </c>
      <c r="C501" s="0" t="n">
        <v>2025</v>
      </c>
      <c r="D501" s="36" t="n">
        <f aca="false">IF(Funding!E25="","",Funding!E25)</f>
        <v>6.8</v>
      </c>
      <c r="E501" s="20" t="s">
        <v>1681</v>
      </c>
      <c r="M501" s="20" t="s">
        <v>3671</v>
      </c>
    </row>
    <row r="502" customFormat="false" ht="17.15" hidden="false" customHeight="false" outlineLevel="0" collapsed="false">
      <c r="A502" s="0" t="s">
        <v>3672</v>
      </c>
      <c r="B502" s="0" t="s">
        <v>1250</v>
      </c>
      <c r="C502" s="0" t="n">
        <v>2025</v>
      </c>
      <c r="D502" s="36" t="n">
        <f aca="false">IF(Funding!I25="","",Funding!I25)</f>
        <v>-13.9</v>
      </c>
      <c r="E502" s="20" t="s">
        <v>1686</v>
      </c>
      <c r="M502" s="20" t="s">
        <v>3673</v>
      </c>
    </row>
    <row r="503" customFormat="false" ht="17.15" hidden="false" customHeight="false" outlineLevel="0" collapsed="false">
      <c r="A503" s="0" t="s">
        <v>3674</v>
      </c>
      <c r="B503" s="0" t="s">
        <v>1250</v>
      </c>
      <c r="C503" s="0" t="n">
        <v>2025</v>
      </c>
      <c r="D503" s="36" t="str">
        <f aca="false">IF(Funding!O25="","",Funding!O25)</f>
        <v/>
      </c>
      <c r="E503" s="20" t="s">
        <v>2992</v>
      </c>
      <c r="M503" s="20" t="s">
        <v>3675</v>
      </c>
    </row>
    <row r="504" customFormat="false" ht="17.15" hidden="false" customHeight="false" outlineLevel="0" collapsed="false">
      <c r="A504" s="0" t="s">
        <v>3676</v>
      </c>
      <c r="B504" s="0" t="s">
        <v>1250</v>
      </c>
      <c r="C504" s="0" t="n">
        <v>2025</v>
      </c>
      <c r="D504" s="36" t="n">
        <f aca="false">N(Funding!J25)+N(Funding!K25)+N(Funding!L25)+N(Funding!M25)</f>
        <v>16</v>
      </c>
      <c r="E504" s="20" t="s">
        <v>2995</v>
      </c>
      <c r="M504" s="20" t="s">
        <v>3677</v>
      </c>
    </row>
    <row r="505" customFormat="false" ht="17.15" hidden="false" customHeight="false" outlineLevel="0" collapsed="false">
      <c r="A505" s="0" t="s">
        <v>3678</v>
      </c>
      <c r="B505" s="0" t="s">
        <v>1250</v>
      </c>
      <c r="C505" s="0" t="n">
        <v>2025</v>
      </c>
      <c r="D505" s="36" t="str">
        <f aca="false">IF(Funding!R25="","",Funding!R25)</f>
        <v/>
      </c>
      <c r="E505" s="20" t="s">
        <v>2998</v>
      </c>
      <c r="M505" s="20" t="s">
        <v>3679</v>
      </c>
    </row>
    <row r="506" customFormat="false" ht="17.15" hidden="false" customHeight="false" outlineLevel="0" collapsed="false">
      <c r="A506" s="0" t="s">
        <v>3680</v>
      </c>
      <c r="B506" s="0" t="s">
        <v>1250</v>
      </c>
      <c r="C506" s="0" t="n">
        <v>2026</v>
      </c>
      <c r="D506" s="36" t="n">
        <f aca="false">IF(Funding!W26="","",Funding!W26)</f>
        <v>28.5</v>
      </c>
      <c r="E506" s="20" t="s">
        <v>2952</v>
      </c>
      <c r="M506" s="20" t="s">
        <v>3681</v>
      </c>
    </row>
    <row r="507" customFormat="false" ht="17.15" hidden="false" customHeight="false" outlineLevel="0" collapsed="false">
      <c r="A507" s="0" t="s">
        <v>3682</v>
      </c>
      <c r="B507" s="0" t="s">
        <v>1250</v>
      </c>
      <c r="C507" s="0" t="n">
        <v>2026</v>
      </c>
      <c r="D507" s="41" t="n">
        <f aca="false">IF(Funding!AC26="","",Funding!AC26)</f>
        <v>0.121754385964912</v>
      </c>
      <c r="E507" s="20" t="s">
        <v>2955</v>
      </c>
      <c r="M507" s="20" t="s">
        <v>3683</v>
      </c>
    </row>
    <row r="508" customFormat="false" ht="17.15" hidden="false" customHeight="false" outlineLevel="0" collapsed="false">
      <c r="A508" s="0" t="s">
        <v>3684</v>
      </c>
      <c r="B508" s="0" t="s">
        <v>1250</v>
      </c>
      <c r="C508" s="0" t="n">
        <v>2026</v>
      </c>
      <c r="D508" s="41" t="n">
        <f aca="false">IF(Funding!AD26="","",Funding!AD26)</f>
        <v>0</v>
      </c>
      <c r="E508" s="20" t="s">
        <v>2958</v>
      </c>
      <c r="M508" s="20" t="s">
        <v>3685</v>
      </c>
    </row>
    <row r="509" customFormat="false" ht="17.15" hidden="false" customHeight="false" outlineLevel="0" collapsed="false">
      <c r="A509" s="0" t="s">
        <v>3686</v>
      </c>
      <c r="B509" s="0" t="s">
        <v>1250</v>
      </c>
      <c r="C509" s="0" t="n">
        <v>2026</v>
      </c>
      <c r="D509" s="41" t="n">
        <f aca="false">IF(Funding!AE26="","",Funding!AE26)</f>
        <v>0.878245614035088</v>
      </c>
      <c r="E509" s="20" t="s">
        <v>2961</v>
      </c>
      <c r="M509" s="20" t="s">
        <v>3687</v>
      </c>
    </row>
    <row r="510" customFormat="false" ht="17.15" hidden="false" customHeight="false" outlineLevel="0" collapsed="false">
      <c r="A510" s="0" t="s">
        <v>3688</v>
      </c>
      <c r="B510" s="0" t="s">
        <v>1250</v>
      </c>
      <c r="C510" s="0" t="n">
        <v>2026</v>
      </c>
      <c r="D510" s="41" t="n">
        <f aca="false">IF(Funding!AF26="","",Funding!AF26)</f>
        <v>0</v>
      </c>
      <c r="E510" s="20" t="s">
        <v>2964</v>
      </c>
      <c r="M510" s="20" t="s">
        <v>3689</v>
      </c>
    </row>
    <row r="511" customFormat="false" ht="17.15" hidden="false" customHeight="false" outlineLevel="0" collapsed="false">
      <c r="A511" s="0" t="s">
        <v>3690</v>
      </c>
      <c r="B511" s="0" t="s">
        <v>1250</v>
      </c>
      <c r="C511" s="0" t="n">
        <v>2026</v>
      </c>
      <c r="D511" s="41" t="n">
        <f aca="false">IF(Funding!AG26="","",Funding!AG26)</f>
        <v>0</v>
      </c>
      <c r="E511" s="20" t="s">
        <v>2967</v>
      </c>
      <c r="M511" s="20" t="s">
        <v>3691</v>
      </c>
    </row>
    <row r="512" customFormat="false" ht="17.15" hidden="false" customHeight="false" outlineLevel="0" collapsed="false">
      <c r="A512" s="0" t="s">
        <v>3692</v>
      </c>
      <c r="B512" s="0" t="s">
        <v>1250</v>
      </c>
      <c r="C512" s="0" t="n">
        <v>2026</v>
      </c>
      <c r="D512" s="36" t="n">
        <f aca="false">IF(Funding!AL26="","",Funding!AL26)</f>
        <v>100</v>
      </c>
      <c r="E512" s="20" t="s">
        <v>2970</v>
      </c>
      <c r="M512" s="20" t="s">
        <v>3693</v>
      </c>
    </row>
    <row r="513" customFormat="false" ht="17.15" hidden="false" customHeight="false" outlineLevel="0" collapsed="false">
      <c r="A513" s="0" t="s">
        <v>3694</v>
      </c>
      <c r="B513" s="0" t="s">
        <v>1250</v>
      </c>
      <c r="C513" s="0" t="n">
        <v>2026</v>
      </c>
      <c r="D513" s="41" t="n">
        <f aca="false">IF(Funding!AM26="","",Funding!AM26)</f>
        <v>3.50877192982456</v>
      </c>
      <c r="E513" s="20" t="s">
        <v>2973</v>
      </c>
      <c r="M513" s="20" t="s">
        <v>3695</v>
      </c>
    </row>
    <row r="514" customFormat="false" ht="17.15" hidden="false" customHeight="false" outlineLevel="0" collapsed="false">
      <c r="A514" s="0" t="s">
        <v>3696</v>
      </c>
      <c r="B514" s="0" t="s">
        <v>1250</v>
      </c>
      <c r="C514" s="0" t="n">
        <v>2026</v>
      </c>
      <c r="D514" s="41" t="n">
        <f aca="false">IF(Funding!AN26="","",Funding!AN26)</f>
        <v>0.121754385964912</v>
      </c>
      <c r="E514" s="20" t="s">
        <v>2976</v>
      </c>
      <c r="M514" s="20" t="s">
        <v>3697</v>
      </c>
    </row>
    <row r="515" customFormat="false" ht="17.15" hidden="false" customHeight="false" outlineLevel="0" collapsed="false">
      <c r="A515" s="0" t="s">
        <v>3698</v>
      </c>
      <c r="B515" s="0" t="s">
        <v>1250</v>
      </c>
      <c r="C515" s="0" t="n">
        <v>2026</v>
      </c>
      <c r="D515" s="41" t="n">
        <f aca="false">IF(Funding!AO26="","",Funding!AO26)</f>
        <v>0.87719298245614</v>
      </c>
      <c r="E515" s="20" t="s">
        <v>2979</v>
      </c>
      <c r="M515" s="20" t="s">
        <v>3699</v>
      </c>
    </row>
    <row r="516" customFormat="false" ht="17.15" hidden="false" customHeight="false" outlineLevel="0" collapsed="false">
      <c r="A516" s="0" t="s">
        <v>3700</v>
      </c>
      <c r="B516" s="0" t="s">
        <v>1250</v>
      </c>
      <c r="C516" s="0" t="n">
        <v>2026</v>
      </c>
      <c r="D516" s="41" t="n">
        <f aca="false">IF(Funding!AP26="","",Funding!AP26)</f>
        <v>2.63157894736842</v>
      </c>
      <c r="E516" s="20" t="s">
        <v>2982</v>
      </c>
      <c r="M516" s="20" t="s">
        <v>3701</v>
      </c>
    </row>
    <row r="517" customFormat="false" ht="17.15" hidden="false" customHeight="false" outlineLevel="0" collapsed="false">
      <c r="A517" s="0" t="s">
        <v>3702</v>
      </c>
      <c r="B517" s="0" t="s">
        <v>1250</v>
      </c>
      <c r="C517" s="0" t="n">
        <v>2026</v>
      </c>
      <c r="D517" s="41" t="n">
        <f aca="false">IF(Funding!AQ26="","",Funding!AQ26)</f>
        <v>0</v>
      </c>
      <c r="E517" s="20" t="s">
        <v>2985</v>
      </c>
      <c r="M517" s="20" t="s">
        <v>3703</v>
      </c>
    </row>
    <row r="518" customFormat="false" ht="17.15" hidden="false" customHeight="false" outlineLevel="0" collapsed="false">
      <c r="A518" s="0" t="s">
        <v>3704</v>
      </c>
      <c r="B518" s="0" t="s">
        <v>1250</v>
      </c>
      <c r="C518" s="0" t="n">
        <v>2026</v>
      </c>
      <c r="D518" s="36" t="n">
        <f aca="false">IF(Funding!E26="","",Funding!E26)</f>
        <v>3.47</v>
      </c>
      <c r="E518" s="20" t="s">
        <v>1681</v>
      </c>
      <c r="M518" s="20" t="s">
        <v>3705</v>
      </c>
    </row>
    <row r="519" customFormat="false" ht="17.15" hidden="false" customHeight="false" outlineLevel="0" collapsed="false">
      <c r="A519" s="0" t="s">
        <v>3706</v>
      </c>
      <c r="B519" s="0" t="s">
        <v>1250</v>
      </c>
      <c r="C519" s="0" t="n">
        <v>2026</v>
      </c>
      <c r="D519" s="36" t="str">
        <f aca="false">IF(Funding!I26="","",Funding!I26)</f>
        <v/>
      </c>
      <c r="E519" s="20" t="s">
        <v>1686</v>
      </c>
      <c r="M519" s="20" t="s">
        <v>3707</v>
      </c>
    </row>
    <row r="520" customFormat="false" ht="17.15" hidden="false" customHeight="false" outlineLevel="0" collapsed="false">
      <c r="A520" s="0" t="s">
        <v>3708</v>
      </c>
      <c r="B520" s="0" t="s">
        <v>1250</v>
      </c>
      <c r="C520" s="0" t="n">
        <v>2026</v>
      </c>
      <c r="D520" s="36" t="str">
        <f aca="false">IF(Funding!O26="","",Funding!O26)</f>
        <v/>
      </c>
      <c r="E520" s="20" t="s">
        <v>2992</v>
      </c>
      <c r="M520" s="20" t="s">
        <v>3709</v>
      </c>
    </row>
    <row r="521" customFormat="false" ht="17.15" hidden="false" customHeight="false" outlineLevel="0" collapsed="false">
      <c r="A521" s="0" t="s">
        <v>3710</v>
      </c>
      <c r="B521" s="0" t="s">
        <v>1250</v>
      </c>
      <c r="C521" s="0" t="n">
        <v>2026</v>
      </c>
      <c r="D521" s="36" t="n">
        <f aca="false">N(Funding!J26)+N(Funding!K26)+N(Funding!L26)+N(Funding!M26)</f>
        <v>25</v>
      </c>
      <c r="E521" s="20" t="s">
        <v>2995</v>
      </c>
      <c r="M521" s="20" t="s">
        <v>3711</v>
      </c>
    </row>
    <row r="522" customFormat="false" ht="17.15" hidden="false" customHeight="false" outlineLevel="0" collapsed="false">
      <c r="A522" s="0" t="s">
        <v>3712</v>
      </c>
      <c r="B522" s="0" t="s">
        <v>1250</v>
      </c>
      <c r="C522" s="0" t="n">
        <v>2026</v>
      </c>
      <c r="D522" s="36" t="n">
        <f aca="false">IF(Funding!R26="","",Funding!R26)</f>
        <v>75</v>
      </c>
      <c r="E522" s="20" t="s">
        <v>2998</v>
      </c>
      <c r="M522" s="20" t="s">
        <v>3713</v>
      </c>
    </row>
    <row r="523" customFormat="false" ht="17.15" hidden="false" customHeight="false" outlineLevel="0" collapsed="false">
      <c r="A523" s="0" t="s">
        <v>3714</v>
      </c>
      <c r="B523" s="0" t="s">
        <v>1251</v>
      </c>
      <c r="C523" s="0" t="n">
        <v>2025</v>
      </c>
      <c r="D523" s="36" t="str">
        <f aca="false">IF(Funding!W27="","",Funding!W27)</f>
        <v/>
      </c>
      <c r="E523" s="20" t="s">
        <v>2952</v>
      </c>
      <c r="M523" s="20" t="s">
        <v>3715</v>
      </c>
    </row>
    <row r="524" customFormat="false" ht="17.15" hidden="false" customHeight="false" outlineLevel="0" collapsed="false">
      <c r="A524" s="0" t="s">
        <v>3716</v>
      </c>
      <c r="B524" s="0" t="s">
        <v>1251</v>
      </c>
      <c r="C524" s="0" t="n">
        <v>2025</v>
      </c>
      <c r="D524" s="41" t="str">
        <f aca="false">IF(Funding!AC27="","",Funding!AC27)</f>
        <v/>
      </c>
      <c r="E524" s="20" t="s">
        <v>2955</v>
      </c>
      <c r="M524" s="20" t="s">
        <v>3717</v>
      </c>
    </row>
    <row r="525" customFormat="false" ht="17.15" hidden="false" customHeight="false" outlineLevel="0" collapsed="false">
      <c r="A525" s="0" t="s">
        <v>3718</v>
      </c>
      <c r="B525" s="0" t="s">
        <v>1251</v>
      </c>
      <c r="C525" s="0" t="n">
        <v>2025</v>
      </c>
      <c r="D525" s="41" t="str">
        <f aca="false">IF(Funding!AD27="","",Funding!AD27)</f>
        <v/>
      </c>
      <c r="E525" s="20" t="s">
        <v>2958</v>
      </c>
      <c r="M525" s="20" t="s">
        <v>3719</v>
      </c>
    </row>
    <row r="526" customFormat="false" ht="17.15" hidden="false" customHeight="false" outlineLevel="0" collapsed="false">
      <c r="A526" s="0" t="s">
        <v>3720</v>
      </c>
      <c r="B526" s="0" t="s">
        <v>1251</v>
      </c>
      <c r="C526" s="0" t="n">
        <v>2025</v>
      </c>
      <c r="D526" s="41" t="str">
        <f aca="false">IF(Funding!AE27="","",Funding!AE27)</f>
        <v/>
      </c>
      <c r="E526" s="20" t="s">
        <v>2961</v>
      </c>
      <c r="M526" s="20" t="s">
        <v>3721</v>
      </c>
    </row>
    <row r="527" customFormat="false" ht="17.15" hidden="false" customHeight="false" outlineLevel="0" collapsed="false">
      <c r="A527" s="0" t="s">
        <v>3722</v>
      </c>
      <c r="B527" s="0" t="s">
        <v>1251</v>
      </c>
      <c r="C527" s="0" t="n">
        <v>2025</v>
      </c>
      <c r="D527" s="41" t="str">
        <f aca="false">IF(Funding!AF27="","",Funding!AF27)</f>
        <v/>
      </c>
      <c r="E527" s="20" t="s">
        <v>2964</v>
      </c>
      <c r="M527" s="20" t="s">
        <v>3723</v>
      </c>
    </row>
    <row r="528" customFormat="false" ht="17.15" hidden="false" customHeight="false" outlineLevel="0" collapsed="false">
      <c r="A528" s="0" t="s">
        <v>3724</v>
      </c>
      <c r="B528" s="0" t="s">
        <v>1251</v>
      </c>
      <c r="C528" s="0" t="n">
        <v>2025</v>
      </c>
      <c r="D528" s="41" t="str">
        <f aca="false">IF(Funding!AG27="","",Funding!AG27)</f>
        <v/>
      </c>
      <c r="E528" s="20" t="s">
        <v>2967</v>
      </c>
      <c r="M528" s="20" t="s">
        <v>3725</v>
      </c>
    </row>
    <row r="529" customFormat="false" ht="17.15" hidden="false" customHeight="false" outlineLevel="0" collapsed="false">
      <c r="A529" s="0" t="s">
        <v>3726</v>
      </c>
      <c r="B529" s="0" t="s">
        <v>1251</v>
      </c>
      <c r="C529" s="0" t="n">
        <v>2025</v>
      </c>
      <c r="D529" s="36" t="n">
        <f aca="false">IF(Funding!AL27="","",Funding!AL27)</f>
        <v>0</v>
      </c>
      <c r="E529" s="20" t="s">
        <v>2970</v>
      </c>
      <c r="M529" s="20" t="s">
        <v>3727</v>
      </c>
    </row>
    <row r="530" customFormat="false" ht="17.15" hidden="false" customHeight="false" outlineLevel="0" collapsed="false">
      <c r="A530" s="0" t="s">
        <v>3728</v>
      </c>
      <c r="B530" s="0" t="s">
        <v>1251</v>
      </c>
      <c r="C530" s="0" t="n">
        <v>2025</v>
      </c>
      <c r="D530" s="41" t="str">
        <f aca="false">IF(Funding!AM27="","",Funding!AM27)</f>
        <v/>
      </c>
      <c r="E530" s="20" t="s">
        <v>2973</v>
      </c>
      <c r="M530" s="20" t="s">
        <v>3729</v>
      </c>
    </row>
    <row r="531" customFormat="false" ht="17.15" hidden="false" customHeight="false" outlineLevel="0" collapsed="false">
      <c r="A531" s="0" t="s">
        <v>3730</v>
      </c>
      <c r="B531" s="0" t="s">
        <v>1251</v>
      </c>
      <c r="C531" s="0" t="n">
        <v>2025</v>
      </c>
      <c r="D531" s="41" t="str">
        <f aca="false">IF(Funding!AN27="","",Funding!AN27)</f>
        <v/>
      </c>
      <c r="E531" s="20" t="s">
        <v>2976</v>
      </c>
      <c r="M531" s="20" t="s">
        <v>3731</v>
      </c>
    </row>
    <row r="532" customFormat="false" ht="17.15" hidden="false" customHeight="false" outlineLevel="0" collapsed="false">
      <c r="A532" s="0" t="s">
        <v>3732</v>
      </c>
      <c r="B532" s="0" t="s">
        <v>1251</v>
      </c>
      <c r="C532" s="0" t="n">
        <v>2025</v>
      </c>
      <c r="D532" s="41" t="str">
        <f aca="false">IF(Funding!AO27="","",Funding!AO27)</f>
        <v/>
      </c>
      <c r="E532" s="20" t="s">
        <v>2979</v>
      </c>
      <c r="M532" s="20" t="s">
        <v>3733</v>
      </c>
    </row>
    <row r="533" customFormat="false" ht="17.15" hidden="false" customHeight="false" outlineLevel="0" collapsed="false">
      <c r="A533" s="0" t="s">
        <v>3734</v>
      </c>
      <c r="B533" s="0" t="s">
        <v>1251</v>
      </c>
      <c r="C533" s="0" t="n">
        <v>2025</v>
      </c>
      <c r="D533" s="41" t="str">
        <f aca="false">IF(Funding!AP27="","",Funding!AP27)</f>
        <v/>
      </c>
      <c r="E533" s="20" t="s">
        <v>2982</v>
      </c>
      <c r="M533" s="20" t="s">
        <v>3735</v>
      </c>
    </row>
    <row r="534" customFormat="false" ht="17.15" hidden="false" customHeight="false" outlineLevel="0" collapsed="false">
      <c r="A534" s="0" t="s">
        <v>3736</v>
      </c>
      <c r="B534" s="0" t="s">
        <v>1251</v>
      </c>
      <c r="C534" s="0" t="n">
        <v>2025</v>
      </c>
      <c r="D534" s="41" t="str">
        <f aca="false">IF(Funding!AQ27="","",Funding!AQ27)</f>
        <v/>
      </c>
      <c r="E534" s="20" t="s">
        <v>2985</v>
      </c>
      <c r="M534" s="20" t="s">
        <v>3737</v>
      </c>
    </row>
    <row r="535" customFormat="false" ht="17.15" hidden="false" customHeight="false" outlineLevel="0" collapsed="false">
      <c r="A535" s="0" t="s">
        <v>3738</v>
      </c>
      <c r="B535" s="0" t="s">
        <v>1251</v>
      </c>
      <c r="C535" s="0" t="n">
        <v>2025</v>
      </c>
      <c r="D535" s="36" t="str">
        <f aca="false">IF(Funding!E27="","",Funding!E27)</f>
        <v/>
      </c>
      <c r="E535" s="20" t="s">
        <v>1681</v>
      </c>
      <c r="M535" s="20" t="s">
        <v>3739</v>
      </c>
    </row>
    <row r="536" customFormat="false" ht="17.15" hidden="false" customHeight="false" outlineLevel="0" collapsed="false">
      <c r="A536" s="0" t="s">
        <v>3740</v>
      </c>
      <c r="B536" s="0" t="s">
        <v>1251</v>
      </c>
      <c r="C536" s="0" t="n">
        <v>2025</v>
      </c>
      <c r="D536" s="36" t="n">
        <f aca="false">IF(Funding!I27="","",Funding!I27)</f>
        <v>-8</v>
      </c>
      <c r="E536" s="20" t="s">
        <v>1686</v>
      </c>
      <c r="M536" s="20" t="s">
        <v>3741</v>
      </c>
    </row>
    <row r="537" customFormat="false" ht="17.15" hidden="false" customHeight="false" outlineLevel="0" collapsed="false">
      <c r="A537" s="0" t="s">
        <v>3742</v>
      </c>
      <c r="B537" s="0" t="s">
        <v>1251</v>
      </c>
      <c r="C537" s="0" t="n">
        <v>2025</v>
      </c>
      <c r="D537" s="36" t="str">
        <f aca="false">IF(Funding!O27="","",Funding!O27)</f>
        <v/>
      </c>
      <c r="E537" s="20" t="s">
        <v>2992</v>
      </c>
      <c r="M537" s="20" t="s">
        <v>3743</v>
      </c>
    </row>
    <row r="538" customFormat="false" ht="17.15" hidden="false" customHeight="false" outlineLevel="0" collapsed="false">
      <c r="A538" s="0" t="s">
        <v>3744</v>
      </c>
      <c r="B538" s="0" t="s">
        <v>1251</v>
      </c>
      <c r="C538" s="0" t="n">
        <v>2025</v>
      </c>
      <c r="D538" s="36" t="n">
        <f aca="false">N(Funding!J27)+N(Funding!K27)+N(Funding!L27)+N(Funding!M27)</f>
        <v>0</v>
      </c>
      <c r="E538" s="20" t="s">
        <v>2995</v>
      </c>
      <c r="M538" s="20" t="s">
        <v>3745</v>
      </c>
    </row>
    <row r="539" customFormat="false" ht="17.15" hidden="false" customHeight="false" outlineLevel="0" collapsed="false">
      <c r="A539" s="0" t="s">
        <v>3746</v>
      </c>
      <c r="B539" s="0" t="s">
        <v>1251</v>
      </c>
      <c r="C539" s="0" t="n">
        <v>2025</v>
      </c>
      <c r="D539" s="36" t="str">
        <f aca="false">IF(Funding!R27="","",Funding!R27)</f>
        <v/>
      </c>
      <c r="E539" s="20" t="s">
        <v>2998</v>
      </c>
      <c r="M539" s="20" t="s">
        <v>3747</v>
      </c>
    </row>
    <row r="540" customFormat="false" ht="17.15" hidden="false" customHeight="false" outlineLevel="0" collapsed="false">
      <c r="A540" s="0" t="s">
        <v>3748</v>
      </c>
      <c r="B540" s="0" t="s">
        <v>1251</v>
      </c>
      <c r="C540" s="0" t="n">
        <v>2026</v>
      </c>
      <c r="D540" s="36" t="str">
        <f aca="false">IF(Funding!W28="","",Funding!W28)</f>
        <v/>
      </c>
      <c r="E540" s="20" t="s">
        <v>2952</v>
      </c>
      <c r="M540" s="20" t="s">
        <v>3749</v>
      </c>
    </row>
    <row r="541" customFormat="false" ht="17.15" hidden="false" customHeight="false" outlineLevel="0" collapsed="false">
      <c r="A541" s="0" t="s">
        <v>3750</v>
      </c>
      <c r="B541" s="0" t="s">
        <v>1251</v>
      </c>
      <c r="C541" s="0" t="n">
        <v>2026</v>
      </c>
      <c r="D541" s="41" t="str">
        <f aca="false">IF(Funding!AC28="","",Funding!AC28)</f>
        <v/>
      </c>
      <c r="E541" s="20" t="s">
        <v>2955</v>
      </c>
      <c r="M541" s="20" t="s">
        <v>3751</v>
      </c>
    </row>
    <row r="542" customFormat="false" ht="17.15" hidden="false" customHeight="false" outlineLevel="0" collapsed="false">
      <c r="A542" s="0" t="s">
        <v>3752</v>
      </c>
      <c r="B542" s="0" t="s">
        <v>1251</v>
      </c>
      <c r="C542" s="0" t="n">
        <v>2026</v>
      </c>
      <c r="D542" s="41" t="str">
        <f aca="false">IF(Funding!AD28="","",Funding!AD28)</f>
        <v/>
      </c>
      <c r="E542" s="20" t="s">
        <v>2958</v>
      </c>
      <c r="M542" s="20" t="s">
        <v>3753</v>
      </c>
    </row>
    <row r="543" customFormat="false" ht="17.15" hidden="false" customHeight="false" outlineLevel="0" collapsed="false">
      <c r="A543" s="0" t="s">
        <v>3754</v>
      </c>
      <c r="B543" s="0" t="s">
        <v>1251</v>
      </c>
      <c r="C543" s="0" t="n">
        <v>2026</v>
      </c>
      <c r="D543" s="41" t="str">
        <f aca="false">IF(Funding!AE28="","",Funding!AE28)</f>
        <v/>
      </c>
      <c r="E543" s="20" t="s">
        <v>2961</v>
      </c>
      <c r="M543" s="20" t="s">
        <v>3755</v>
      </c>
    </row>
    <row r="544" customFormat="false" ht="17.15" hidden="false" customHeight="false" outlineLevel="0" collapsed="false">
      <c r="A544" s="0" t="s">
        <v>3756</v>
      </c>
      <c r="B544" s="0" t="s">
        <v>1251</v>
      </c>
      <c r="C544" s="0" t="n">
        <v>2026</v>
      </c>
      <c r="D544" s="41" t="str">
        <f aca="false">IF(Funding!AF28="","",Funding!AF28)</f>
        <v/>
      </c>
      <c r="E544" s="20" t="s">
        <v>2964</v>
      </c>
      <c r="M544" s="20" t="s">
        <v>3757</v>
      </c>
    </row>
    <row r="545" customFormat="false" ht="17.15" hidden="false" customHeight="false" outlineLevel="0" collapsed="false">
      <c r="A545" s="0" t="s">
        <v>3758</v>
      </c>
      <c r="B545" s="0" t="s">
        <v>1251</v>
      </c>
      <c r="C545" s="0" t="n">
        <v>2026</v>
      </c>
      <c r="D545" s="41" t="str">
        <f aca="false">IF(Funding!AG28="","",Funding!AG28)</f>
        <v/>
      </c>
      <c r="E545" s="20" t="s">
        <v>2967</v>
      </c>
      <c r="M545" s="20" t="s">
        <v>3759</v>
      </c>
    </row>
    <row r="546" customFormat="false" ht="17.15" hidden="false" customHeight="false" outlineLevel="0" collapsed="false">
      <c r="A546" s="0" t="s">
        <v>3760</v>
      </c>
      <c r="B546" s="0" t="s">
        <v>1251</v>
      </c>
      <c r="C546" s="0" t="n">
        <v>2026</v>
      </c>
      <c r="D546" s="36" t="n">
        <f aca="false">IF(Funding!AL28="","",Funding!AL28)</f>
        <v>227</v>
      </c>
      <c r="E546" s="20" t="s">
        <v>2970</v>
      </c>
      <c r="M546" s="20" t="s">
        <v>3761</v>
      </c>
    </row>
    <row r="547" customFormat="false" ht="17.15" hidden="false" customHeight="false" outlineLevel="0" collapsed="false">
      <c r="A547" s="0" t="s">
        <v>3762</v>
      </c>
      <c r="B547" s="0" t="s">
        <v>1251</v>
      </c>
      <c r="C547" s="0" t="n">
        <v>2026</v>
      </c>
      <c r="D547" s="41" t="str">
        <f aca="false">IF(Funding!AM28="","",Funding!AM28)</f>
        <v/>
      </c>
      <c r="E547" s="20" t="s">
        <v>2973</v>
      </c>
      <c r="M547" s="20" t="s">
        <v>3763</v>
      </c>
    </row>
    <row r="548" customFormat="false" ht="17.15" hidden="false" customHeight="false" outlineLevel="0" collapsed="false">
      <c r="A548" s="0" t="s">
        <v>3764</v>
      </c>
      <c r="B548" s="0" t="s">
        <v>1251</v>
      </c>
      <c r="C548" s="0" t="n">
        <v>2026</v>
      </c>
      <c r="D548" s="41" t="str">
        <f aca="false">IF(Funding!AN28="","",Funding!AN28)</f>
        <v/>
      </c>
      <c r="E548" s="20" t="s">
        <v>2976</v>
      </c>
      <c r="M548" s="20" t="s">
        <v>3765</v>
      </c>
    </row>
    <row r="549" customFormat="false" ht="17.15" hidden="false" customHeight="false" outlineLevel="0" collapsed="false">
      <c r="A549" s="0" t="s">
        <v>3766</v>
      </c>
      <c r="B549" s="0" t="s">
        <v>1251</v>
      </c>
      <c r="C549" s="0" t="n">
        <v>2026</v>
      </c>
      <c r="D549" s="41" t="str">
        <f aca="false">IF(Funding!AO28="","",Funding!AO28)</f>
        <v/>
      </c>
      <c r="E549" s="20" t="s">
        <v>2979</v>
      </c>
      <c r="M549" s="20" t="s">
        <v>3767</v>
      </c>
    </row>
    <row r="550" customFormat="false" ht="17.15" hidden="false" customHeight="false" outlineLevel="0" collapsed="false">
      <c r="A550" s="0" t="s">
        <v>3768</v>
      </c>
      <c r="B550" s="0" t="s">
        <v>1251</v>
      </c>
      <c r="C550" s="0" t="n">
        <v>2026</v>
      </c>
      <c r="D550" s="41" t="str">
        <f aca="false">IF(Funding!AP28="","",Funding!AP28)</f>
        <v/>
      </c>
      <c r="E550" s="20" t="s">
        <v>2982</v>
      </c>
      <c r="M550" s="20" t="s">
        <v>3769</v>
      </c>
    </row>
    <row r="551" customFormat="false" ht="17.15" hidden="false" customHeight="false" outlineLevel="0" collapsed="false">
      <c r="A551" s="0" t="s">
        <v>3770</v>
      </c>
      <c r="B551" s="0" t="s">
        <v>1251</v>
      </c>
      <c r="C551" s="0" t="n">
        <v>2026</v>
      </c>
      <c r="D551" s="41" t="str">
        <f aca="false">IF(Funding!AQ28="","",Funding!AQ28)</f>
        <v/>
      </c>
      <c r="E551" s="20" t="s">
        <v>2985</v>
      </c>
      <c r="M551" s="20" t="s">
        <v>3771</v>
      </c>
    </row>
    <row r="552" customFormat="false" ht="17.15" hidden="false" customHeight="false" outlineLevel="0" collapsed="false">
      <c r="A552" s="0" t="s">
        <v>3772</v>
      </c>
      <c r="B552" s="0" t="s">
        <v>1251</v>
      </c>
      <c r="C552" s="0" t="n">
        <v>2026</v>
      </c>
      <c r="D552" s="36" t="str">
        <f aca="false">IF(Funding!E28="","",Funding!E28)</f>
        <v/>
      </c>
      <c r="E552" s="20" t="s">
        <v>1681</v>
      </c>
      <c r="M552" s="20" t="s">
        <v>3773</v>
      </c>
    </row>
    <row r="553" customFormat="false" ht="17.15" hidden="false" customHeight="false" outlineLevel="0" collapsed="false">
      <c r="A553" s="0" t="s">
        <v>3774</v>
      </c>
      <c r="B553" s="0" t="s">
        <v>1251</v>
      </c>
      <c r="C553" s="0" t="n">
        <v>2026</v>
      </c>
      <c r="D553" s="36" t="str">
        <f aca="false">IF(Funding!I28="","",Funding!I28)</f>
        <v/>
      </c>
      <c r="E553" s="20" t="s">
        <v>1686</v>
      </c>
      <c r="M553" s="20" t="s">
        <v>3775</v>
      </c>
    </row>
    <row r="554" customFormat="false" ht="17.15" hidden="false" customHeight="false" outlineLevel="0" collapsed="false">
      <c r="A554" s="0" t="s">
        <v>3776</v>
      </c>
      <c r="B554" s="0" t="s">
        <v>1251</v>
      </c>
      <c r="C554" s="0" t="n">
        <v>2026</v>
      </c>
      <c r="D554" s="36" t="str">
        <f aca="false">IF(Funding!O28="","",Funding!O28)</f>
        <v/>
      </c>
      <c r="E554" s="20" t="s">
        <v>2992</v>
      </c>
      <c r="M554" s="20" t="s">
        <v>3777</v>
      </c>
    </row>
    <row r="555" customFormat="false" ht="17.15" hidden="false" customHeight="false" outlineLevel="0" collapsed="false">
      <c r="A555" s="0" t="s">
        <v>3778</v>
      </c>
      <c r="B555" s="0" t="s">
        <v>1251</v>
      </c>
      <c r="C555" s="0" t="n">
        <v>2026</v>
      </c>
      <c r="D555" s="36" t="n">
        <f aca="false">N(Funding!J28)+N(Funding!K28)+N(Funding!L28)+N(Funding!M28)</f>
        <v>0</v>
      </c>
      <c r="E555" s="20" t="s">
        <v>2995</v>
      </c>
      <c r="M555" s="20" t="s">
        <v>3779</v>
      </c>
    </row>
    <row r="556" customFormat="false" ht="17.15" hidden="false" customHeight="false" outlineLevel="0" collapsed="false">
      <c r="A556" s="0" t="s">
        <v>3780</v>
      </c>
      <c r="B556" s="0" t="s">
        <v>1251</v>
      </c>
      <c r="C556" s="0" t="n">
        <v>2026</v>
      </c>
      <c r="D556" s="36" t="n">
        <f aca="false">IF(Funding!R28="","",Funding!R28)</f>
        <v>122</v>
      </c>
      <c r="E556" s="20" t="s">
        <v>2998</v>
      </c>
      <c r="M556" s="20" t="s">
        <v>3781</v>
      </c>
    </row>
    <row r="557" customFormat="false" ht="17.15" hidden="false" customHeight="false" outlineLevel="0" collapsed="false">
      <c r="A557" s="0" t="s">
        <v>3782</v>
      </c>
      <c r="B557" s="0" t="s">
        <v>1252</v>
      </c>
      <c r="C557" s="0" t="n">
        <v>2025</v>
      </c>
      <c r="D557" s="36" t="str">
        <f aca="false">IF(Funding!W29="","",Funding!W29)</f>
        <v/>
      </c>
      <c r="E557" s="20" t="s">
        <v>2952</v>
      </c>
      <c r="M557" s="20" t="s">
        <v>3783</v>
      </c>
    </row>
    <row r="558" customFormat="false" ht="17.15" hidden="false" customHeight="false" outlineLevel="0" collapsed="false">
      <c r="A558" s="0" t="s">
        <v>3784</v>
      </c>
      <c r="B558" s="0" t="s">
        <v>1252</v>
      </c>
      <c r="C558" s="0" t="n">
        <v>2025</v>
      </c>
      <c r="D558" s="41" t="str">
        <f aca="false">IF(Funding!AC29="","",Funding!AC29)</f>
        <v/>
      </c>
      <c r="E558" s="20" t="s">
        <v>2955</v>
      </c>
      <c r="M558" s="20" t="s">
        <v>3785</v>
      </c>
    </row>
    <row r="559" customFormat="false" ht="17.15" hidden="false" customHeight="false" outlineLevel="0" collapsed="false">
      <c r="A559" s="0" t="s">
        <v>3786</v>
      </c>
      <c r="B559" s="0" t="s">
        <v>1252</v>
      </c>
      <c r="C559" s="0" t="n">
        <v>2025</v>
      </c>
      <c r="D559" s="41" t="str">
        <f aca="false">IF(Funding!AD29="","",Funding!AD29)</f>
        <v/>
      </c>
      <c r="E559" s="20" t="s">
        <v>2958</v>
      </c>
      <c r="M559" s="20" t="s">
        <v>3787</v>
      </c>
    </row>
    <row r="560" customFormat="false" ht="17.15" hidden="false" customHeight="false" outlineLevel="0" collapsed="false">
      <c r="A560" s="0" t="s">
        <v>3788</v>
      </c>
      <c r="B560" s="0" t="s">
        <v>1252</v>
      </c>
      <c r="C560" s="0" t="n">
        <v>2025</v>
      </c>
      <c r="D560" s="41" t="str">
        <f aca="false">IF(Funding!AE29="","",Funding!AE29)</f>
        <v/>
      </c>
      <c r="E560" s="20" t="s">
        <v>2961</v>
      </c>
      <c r="M560" s="20" t="s">
        <v>3789</v>
      </c>
    </row>
    <row r="561" customFormat="false" ht="17.15" hidden="false" customHeight="false" outlineLevel="0" collapsed="false">
      <c r="A561" s="0" t="s">
        <v>3790</v>
      </c>
      <c r="B561" s="0" t="s">
        <v>1252</v>
      </c>
      <c r="C561" s="0" t="n">
        <v>2025</v>
      </c>
      <c r="D561" s="41" t="str">
        <f aca="false">IF(Funding!AF29="","",Funding!AF29)</f>
        <v/>
      </c>
      <c r="E561" s="20" t="s">
        <v>2964</v>
      </c>
      <c r="M561" s="20" t="s">
        <v>3791</v>
      </c>
    </row>
    <row r="562" customFormat="false" ht="17.15" hidden="false" customHeight="false" outlineLevel="0" collapsed="false">
      <c r="A562" s="0" t="s">
        <v>3792</v>
      </c>
      <c r="B562" s="0" t="s">
        <v>1252</v>
      </c>
      <c r="C562" s="0" t="n">
        <v>2025</v>
      </c>
      <c r="D562" s="41" t="str">
        <f aca="false">IF(Funding!AG29="","",Funding!AG29)</f>
        <v/>
      </c>
      <c r="E562" s="20" t="s">
        <v>2967</v>
      </c>
      <c r="M562" s="20" t="s">
        <v>3793</v>
      </c>
    </row>
    <row r="563" customFormat="false" ht="17.15" hidden="false" customHeight="false" outlineLevel="0" collapsed="false">
      <c r="A563" s="0" t="s">
        <v>3794</v>
      </c>
      <c r="B563" s="0" t="s">
        <v>1252</v>
      </c>
      <c r="C563" s="0" t="n">
        <v>2025</v>
      </c>
      <c r="D563" s="36" t="n">
        <f aca="false">IF(Funding!AL29="","",Funding!AL29)</f>
        <v>0</v>
      </c>
      <c r="E563" s="20" t="s">
        <v>2970</v>
      </c>
      <c r="M563" s="20" t="s">
        <v>3795</v>
      </c>
    </row>
    <row r="564" customFormat="false" ht="17.15" hidden="false" customHeight="false" outlineLevel="0" collapsed="false">
      <c r="A564" s="0" t="s">
        <v>3796</v>
      </c>
      <c r="B564" s="0" t="s">
        <v>1252</v>
      </c>
      <c r="C564" s="0" t="n">
        <v>2025</v>
      </c>
      <c r="D564" s="41" t="str">
        <f aca="false">IF(Funding!AM29="","",Funding!AM29)</f>
        <v/>
      </c>
      <c r="E564" s="20" t="s">
        <v>2973</v>
      </c>
      <c r="M564" s="20" t="s">
        <v>3797</v>
      </c>
    </row>
    <row r="565" customFormat="false" ht="17.15" hidden="false" customHeight="false" outlineLevel="0" collapsed="false">
      <c r="A565" s="0" t="s">
        <v>3798</v>
      </c>
      <c r="B565" s="0" t="s">
        <v>1252</v>
      </c>
      <c r="C565" s="0" t="n">
        <v>2025</v>
      </c>
      <c r="D565" s="41" t="str">
        <f aca="false">IF(Funding!AN29="","",Funding!AN29)</f>
        <v/>
      </c>
      <c r="E565" s="20" t="s">
        <v>2976</v>
      </c>
      <c r="M565" s="20" t="s">
        <v>3799</v>
      </c>
    </row>
    <row r="566" customFormat="false" ht="17.15" hidden="false" customHeight="false" outlineLevel="0" collapsed="false">
      <c r="A566" s="0" t="s">
        <v>3800</v>
      </c>
      <c r="B566" s="0" t="s">
        <v>1252</v>
      </c>
      <c r="C566" s="0" t="n">
        <v>2025</v>
      </c>
      <c r="D566" s="41" t="str">
        <f aca="false">IF(Funding!AO29="","",Funding!AO29)</f>
        <v/>
      </c>
      <c r="E566" s="20" t="s">
        <v>2979</v>
      </c>
      <c r="M566" s="20" t="s">
        <v>3801</v>
      </c>
    </row>
    <row r="567" customFormat="false" ht="17.15" hidden="false" customHeight="false" outlineLevel="0" collapsed="false">
      <c r="A567" s="0" t="s">
        <v>3802</v>
      </c>
      <c r="B567" s="0" t="s">
        <v>1252</v>
      </c>
      <c r="C567" s="0" t="n">
        <v>2025</v>
      </c>
      <c r="D567" s="41" t="str">
        <f aca="false">IF(Funding!AP29="","",Funding!AP29)</f>
        <v/>
      </c>
      <c r="E567" s="20" t="s">
        <v>2982</v>
      </c>
      <c r="M567" s="20" t="s">
        <v>3803</v>
      </c>
    </row>
    <row r="568" customFormat="false" ht="17.15" hidden="false" customHeight="false" outlineLevel="0" collapsed="false">
      <c r="A568" s="0" t="s">
        <v>3804</v>
      </c>
      <c r="B568" s="0" t="s">
        <v>1252</v>
      </c>
      <c r="C568" s="0" t="n">
        <v>2025</v>
      </c>
      <c r="D568" s="41" t="str">
        <f aca="false">IF(Funding!AQ29="","",Funding!AQ29)</f>
        <v/>
      </c>
      <c r="E568" s="20" t="s">
        <v>2985</v>
      </c>
      <c r="M568" s="20" t="s">
        <v>3805</v>
      </c>
    </row>
    <row r="569" customFormat="false" ht="17.15" hidden="false" customHeight="false" outlineLevel="0" collapsed="false">
      <c r="A569" s="0" t="s">
        <v>3806</v>
      </c>
      <c r="B569" s="0" t="s">
        <v>1252</v>
      </c>
      <c r="C569" s="0" t="n">
        <v>2025</v>
      </c>
      <c r="D569" s="36" t="str">
        <f aca="false">IF(Funding!E29="","",Funding!E29)</f>
        <v/>
      </c>
      <c r="E569" s="20" t="s">
        <v>1681</v>
      </c>
      <c r="M569" s="20" t="s">
        <v>3807</v>
      </c>
    </row>
    <row r="570" customFormat="false" ht="17.15" hidden="false" customHeight="false" outlineLevel="0" collapsed="false">
      <c r="A570" s="0" t="s">
        <v>3808</v>
      </c>
      <c r="B570" s="0" t="s">
        <v>1252</v>
      </c>
      <c r="C570" s="0" t="n">
        <v>2025</v>
      </c>
      <c r="D570" s="36" t="str">
        <f aca="false">IF(Funding!I29="","",Funding!I29)</f>
        <v/>
      </c>
      <c r="E570" s="20" t="s">
        <v>1686</v>
      </c>
      <c r="M570" s="20" t="s">
        <v>3809</v>
      </c>
    </row>
    <row r="571" customFormat="false" ht="17.15" hidden="false" customHeight="false" outlineLevel="0" collapsed="false">
      <c r="A571" s="0" t="s">
        <v>3810</v>
      </c>
      <c r="B571" s="0" t="s">
        <v>1252</v>
      </c>
      <c r="C571" s="0" t="n">
        <v>2025</v>
      </c>
      <c r="D571" s="36" t="str">
        <f aca="false">IF(Funding!O29="","",Funding!O29)</f>
        <v/>
      </c>
      <c r="E571" s="20" t="s">
        <v>2992</v>
      </c>
      <c r="M571" s="20" t="s">
        <v>3811</v>
      </c>
    </row>
    <row r="572" customFormat="false" ht="17.15" hidden="false" customHeight="false" outlineLevel="0" collapsed="false">
      <c r="A572" s="0" t="s">
        <v>3812</v>
      </c>
      <c r="B572" s="0" t="s">
        <v>1252</v>
      </c>
      <c r="C572" s="0" t="n">
        <v>2025</v>
      </c>
      <c r="D572" s="36" t="n">
        <f aca="false">N(Funding!J29)+N(Funding!K29)+N(Funding!L29)+N(Funding!M29)</f>
        <v>0</v>
      </c>
      <c r="E572" s="20" t="s">
        <v>2995</v>
      </c>
      <c r="M572" s="20" t="s">
        <v>3813</v>
      </c>
    </row>
    <row r="573" customFormat="false" ht="17.15" hidden="false" customHeight="false" outlineLevel="0" collapsed="false">
      <c r="A573" s="0" t="s">
        <v>3814</v>
      </c>
      <c r="B573" s="0" t="s">
        <v>1252</v>
      </c>
      <c r="C573" s="0" t="n">
        <v>2025</v>
      </c>
      <c r="D573" s="36" t="str">
        <f aca="false">IF(Funding!R29="","",Funding!R29)</f>
        <v/>
      </c>
      <c r="E573" s="20" t="s">
        <v>2998</v>
      </c>
      <c r="M573" s="20" t="s">
        <v>3815</v>
      </c>
    </row>
    <row r="574" customFormat="false" ht="17.15" hidden="false" customHeight="false" outlineLevel="0" collapsed="false">
      <c r="A574" s="0" t="s">
        <v>3816</v>
      </c>
      <c r="B574" s="0" t="s">
        <v>1252</v>
      </c>
      <c r="C574" s="0" t="n">
        <v>2026</v>
      </c>
      <c r="D574" s="36" t="str">
        <f aca="false">IF(Funding!W30="","",Funding!W30)</f>
        <v/>
      </c>
      <c r="E574" s="20" t="s">
        <v>2952</v>
      </c>
      <c r="M574" s="20" t="s">
        <v>3817</v>
      </c>
    </row>
    <row r="575" customFormat="false" ht="17.15" hidden="false" customHeight="false" outlineLevel="0" collapsed="false">
      <c r="A575" s="0" t="s">
        <v>3818</v>
      </c>
      <c r="B575" s="0" t="s">
        <v>1252</v>
      </c>
      <c r="C575" s="0" t="n">
        <v>2026</v>
      </c>
      <c r="D575" s="41" t="str">
        <f aca="false">IF(Funding!AC30="","",Funding!AC30)</f>
        <v/>
      </c>
      <c r="E575" s="20" t="s">
        <v>2955</v>
      </c>
      <c r="M575" s="20" t="s">
        <v>3819</v>
      </c>
    </row>
    <row r="576" customFormat="false" ht="17.15" hidden="false" customHeight="false" outlineLevel="0" collapsed="false">
      <c r="A576" s="0" t="s">
        <v>3820</v>
      </c>
      <c r="B576" s="0" t="s">
        <v>1252</v>
      </c>
      <c r="C576" s="0" t="n">
        <v>2026</v>
      </c>
      <c r="D576" s="41" t="str">
        <f aca="false">IF(Funding!AD30="","",Funding!AD30)</f>
        <v/>
      </c>
      <c r="E576" s="20" t="s">
        <v>2958</v>
      </c>
      <c r="M576" s="20" t="s">
        <v>3821</v>
      </c>
    </row>
    <row r="577" customFormat="false" ht="17.15" hidden="false" customHeight="false" outlineLevel="0" collapsed="false">
      <c r="A577" s="0" t="s">
        <v>3822</v>
      </c>
      <c r="B577" s="0" t="s">
        <v>1252</v>
      </c>
      <c r="C577" s="0" t="n">
        <v>2026</v>
      </c>
      <c r="D577" s="41" t="str">
        <f aca="false">IF(Funding!AE30="","",Funding!AE30)</f>
        <v/>
      </c>
      <c r="E577" s="20" t="s">
        <v>2961</v>
      </c>
      <c r="M577" s="20" t="s">
        <v>3823</v>
      </c>
    </row>
    <row r="578" customFormat="false" ht="17.15" hidden="false" customHeight="false" outlineLevel="0" collapsed="false">
      <c r="A578" s="0" t="s">
        <v>3824</v>
      </c>
      <c r="B578" s="0" t="s">
        <v>1252</v>
      </c>
      <c r="C578" s="0" t="n">
        <v>2026</v>
      </c>
      <c r="D578" s="41" t="str">
        <f aca="false">IF(Funding!AF30="","",Funding!AF30)</f>
        <v/>
      </c>
      <c r="E578" s="20" t="s">
        <v>2964</v>
      </c>
      <c r="M578" s="20" t="s">
        <v>3825</v>
      </c>
    </row>
    <row r="579" customFormat="false" ht="17.15" hidden="false" customHeight="false" outlineLevel="0" collapsed="false">
      <c r="A579" s="0" t="s">
        <v>3826</v>
      </c>
      <c r="B579" s="0" t="s">
        <v>1252</v>
      </c>
      <c r="C579" s="0" t="n">
        <v>2026</v>
      </c>
      <c r="D579" s="41" t="str">
        <f aca="false">IF(Funding!AG30="","",Funding!AG30)</f>
        <v/>
      </c>
      <c r="E579" s="20" t="s">
        <v>2967</v>
      </c>
      <c r="M579" s="20" t="s">
        <v>3827</v>
      </c>
    </row>
    <row r="580" customFormat="false" ht="17.15" hidden="false" customHeight="false" outlineLevel="0" collapsed="false">
      <c r="A580" s="0" t="s">
        <v>3828</v>
      </c>
      <c r="B580" s="0" t="s">
        <v>1252</v>
      </c>
      <c r="C580" s="0" t="n">
        <v>2026</v>
      </c>
      <c r="D580" s="36" t="n">
        <f aca="false">IF(Funding!AL30="","",Funding!AL30)</f>
        <v>130</v>
      </c>
      <c r="E580" s="20" t="s">
        <v>2970</v>
      </c>
      <c r="M580" s="20" t="s">
        <v>3829</v>
      </c>
    </row>
    <row r="581" customFormat="false" ht="17.15" hidden="false" customHeight="false" outlineLevel="0" collapsed="false">
      <c r="A581" s="0" t="s">
        <v>3830</v>
      </c>
      <c r="B581" s="0" t="s">
        <v>1252</v>
      </c>
      <c r="C581" s="0" t="n">
        <v>2026</v>
      </c>
      <c r="D581" s="41" t="str">
        <f aca="false">IF(Funding!AM30="","",Funding!AM30)</f>
        <v/>
      </c>
      <c r="E581" s="20" t="s">
        <v>2973</v>
      </c>
      <c r="M581" s="20" t="s">
        <v>3831</v>
      </c>
    </row>
    <row r="582" customFormat="false" ht="17.15" hidden="false" customHeight="false" outlineLevel="0" collapsed="false">
      <c r="A582" s="0" t="s">
        <v>3832</v>
      </c>
      <c r="B582" s="0" t="s">
        <v>1252</v>
      </c>
      <c r="C582" s="0" t="n">
        <v>2026</v>
      </c>
      <c r="D582" s="41" t="str">
        <f aca="false">IF(Funding!AN30="","",Funding!AN30)</f>
        <v/>
      </c>
      <c r="E582" s="20" t="s">
        <v>2976</v>
      </c>
      <c r="M582" s="20" t="s">
        <v>3833</v>
      </c>
    </row>
    <row r="583" customFormat="false" ht="17.15" hidden="false" customHeight="false" outlineLevel="0" collapsed="false">
      <c r="A583" s="0" t="s">
        <v>3834</v>
      </c>
      <c r="B583" s="0" t="s">
        <v>1252</v>
      </c>
      <c r="C583" s="0" t="n">
        <v>2026</v>
      </c>
      <c r="D583" s="41" t="str">
        <f aca="false">IF(Funding!AO30="","",Funding!AO30)</f>
        <v/>
      </c>
      <c r="E583" s="20" t="s">
        <v>2979</v>
      </c>
      <c r="M583" s="20" t="s">
        <v>3835</v>
      </c>
    </row>
    <row r="584" customFormat="false" ht="17.15" hidden="false" customHeight="false" outlineLevel="0" collapsed="false">
      <c r="A584" s="0" t="s">
        <v>3836</v>
      </c>
      <c r="B584" s="0" t="s">
        <v>1252</v>
      </c>
      <c r="C584" s="0" t="n">
        <v>2026</v>
      </c>
      <c r="D584" s="41" t="str">
        <f aca="false">IF(Funding!AP30="","",Funding!AP30)</f>
        <v/>
      </c>
      <c r="E584" s="20" t="s">
        <v>2982</v>
      </c>
      <c r="M584" s="20" t="s">
        <v>3837</v>
      </c>
    </row>
    <row r="585" customFormat="false" ht="17.15" hidden="false" customHeight="false" outlineLevel="0" collapsed="false">
      <c r="A585" s="0" t="s">
        <v>3838</v>
      </c>
      <c r="B585" s="0" t="s">
        <v>1252</v>
      </c>
      <c r="C585" s="0" t="n">
        <v>2026</v>
      </c>
      <c r="D585" s="41" t="str">
        <f aca="false">IF(Funding!AQ30="","",Funding!AQ30)</f>
        <v/>
      </c>
      <c r="E585" s="20" t="s">
        <v>2985</v>
      </c>
      <c r="M585" s="20" t="s">
        <v>3839</v>
      </c>
    </row>
    <row r="586" customFormat="false" ht="17.15" hidden="false" customHeight="false" outlineLevel="0" collapsed="false">
      <c r="A586" s="0" t="s">
        <v>3840</v>
      </c>
      <c r="B586" s="0" t="s">
        <v>1252</v>
      </c>
      <c r="C586" s="0" t="n">
        <v>2026</v>
      </c>
      <c r="D586" s="36" t="str">
        <f aca="false">IF(Funding!E30="","",Funding!E30)</f>
        <v/>
      </c>
      <c r="E586" s="20" t="s">
        <v>1681</v>
      </c>
      <c r="M586" s="20" t="s">
        <v>3841</v>
      </c>
    </row>
    <row r="587" customFormat="false" ht="17.15" hidden="false" customHeight="false" outlineLevel="0" collapsed="false">
      <c r="A587" s="0" t="s">
        <v>3842</v>
      </c>
      <c r="B587" s="0" t="s">
        <v>1252</v>
      </c>
      <c r="C587" s="0" t="n">
        <v>2026</v>
      </c>
      <c r="D587" s="36" t="str">
        <f aca="false">IF(Funding!I30="","",Funding!I30)</f>
        <v/>
      </c>
      <c r="E587" s="20" t="s">
        <v>1686</v>
      </c>
      <c r="M587" s="20" t="s">
        <v>3843</v>
      </c>
    </row>
    <row r="588" customFormat="false" ht="17.15" hidden="false" customHeight="false" outlineLevel="0" collapsed="false">
      <c r="A588" s="0" t="s">
        <v>3844</v>
      </c>
      <c r="B588" s="0" t="s">
        <v>1252</v>
      </c>
      <c r="C588" s="0" t="n">
        <v>2026</v>
      </c>
      <c r="D588" s="36" t="str">
        <f aca="false">IF(Funding!O30="","",Funding!O30)</f>
        <v/>
      </c>
      <c r="E588" s="20" t="s">
        <v>2992</v>
      </c>
      <c r="M588" s="20" t="s">
        <v>3845</v>
      </c>
    </row>
    <row r="589" customFormat="false" ht="17.15" hidden="false" customHeight="false" outlineLevel="0" collapsed="false">
      <c r="A589" s="0" t="s">
        <v>3846</v>
      </c>
      <c r="B589" s="0" t="s">
        <v>1252</v>
      </c>
      <c r="C589" s="0" t="n">
        <v>2026</v>
      </c>
      <c r="D589" s="36" t="n">
        <f aca="false">N(Funding!J30)+N(Funding!K30)+N(Funding!L30)+N(Funding!M30)</f>
        <v>35</v>
      </c>
      <c r="E589" s="20" t="s">
        <v>2995</v>
      </c>
      <c r="M589" s="20" t="s">
        <v>3847</v>
      </c>
    </row>
    <row r="590" customFormat="false" ht="17.15" hidden="false" customHeight="false" outlineLevel="0" collapsed="false">
      <c r="A590" s="0" t="s">
        <v>3848</v>
      </c>
      <c r="B590" s="0" t="s">
        <v>1252</v>
      </c>
      <c r="C590" s="0" t="n">
        <v>2026</v>
      </c>
      <c r="D590" s="36" t="n">
        <f aca="false">IF(Funding!R30="","",Funding!R30)</f>
        <v>95</v>
      </c>
      <c r="E590" s="20" t="s">
        <v>2998</v>
      </c>
      <c r="M590" s="20" t="s">
        <v>3849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3850</v>
      </c>
    </row>
    <row r="3" customFormat="false" ht="15" hidden="false" customHeight="false" outlineLevel="0" collapsed="false">
      <c r="A3" s="7" t="s">
        <v>1642</v>
      </c>
      <c r="B3" s="6" t="s">
        <v>14</v>
      </c>
      <c r="C3" s="6" t="s">
        <v>3851</v>
      </c>
      <c r="D3" s="6" t="s">
        <v>3852</v>
      </c>
      <c r="E3" s="6" t="s">
        <v>1244</v>
      </c>
      <c r="F3" s="6" t="s">
        <v>3853</v>
      </c>
      <c r="G3" s="6" t="s">
        <v>3854</v>
      </c>
      <c r="H3" s="6" t="s">
        <v>19</v>
      </c>
    </row>
    <row r="4" customFormat="false" ht="17.15" hidden="false" customHeight="false" outlineLevel="0" collapsed="false">
      <c r="A4" s="0" t="s">
        <v>3855</v>
      </c>
      <c r="B4" s="0" t="s">
        <v>3856</v>
      </c>
      <c r="C4" s="0" t="n">
        <f aca="false">SUMPRODUCT(ISERROR(In!A1:AT230)*1)</f>
        <v>0</v>
      </c>
      <c r="F4" s="0" t="str">
        <f aca="false">IF(C4=0,"OK","ERROR")</f>
        <v>OK</v>
      </c>
      <c r="G4" s="5" t="s">
        <v>3857</v>
      </c>
    </row>
    <row r="5" customFormat="false" ht="17.15" hidden="false" customHeight="false" outlineLevel="0" collapsed="false">
      <c r="A5" s="0" t="s">
        <v>3858</v>
      </c>
      <c r="B5" s="0" t="s">
        <v>3859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3857</v>
      </c>
    </row>
    <row r="6" customFormat="false" ht="17.15" hidden="false" customHeight="false" outlineLevel="0" collapsed="false">
      <c r="A6" s="0" t="s">
        <v>3860</v>
      </c>
      <c r="B6" s="0" t="s">
        <v>3861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3857</v>
      </c>
    </row>
    <row r="7" customFormat="false" ht="17.15" hidden="false" customHeight="false" outlineLevel="0" collapsed="false">
      <c r="A7" s="0" t="s">
        <v>3862</v>
      </c>
      <c r="B7" s="0" t="s">
        <v>3863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3857</v>
      </c>
    </row>
    <row r="8" customFormat="false" ht="17.15" hidden="false" customHeight="false" outlineLevel="0" collapsed="false">
      <c r="A8" s="0" t="s">
        <v>3864</v>
      </c>
      <c r="B8" s="0" t="s">
        <v>3865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3857</v>
      </c>
    </row>
    <row r="9" customFormat="false" ht="17.15" hidden="false" customHeight="false" outlineLevel="0" collapsed="false">
      <c r="A9" s="0" t="s">
        <v>3866</v>
      </c>
      <c r="B9" s="0" t="s">
        <v>3867</v>
      </c>
      <c r="C9" s="0" t="n">
        <f aca="false">SUMPRODUCT(ISERROR(Pipeline!A1:AT163)*1)</f>
        <v>0</v>
      </c>
      <c r="F9" s="0" t="str">
        <f aca="false">IF(C9=0,"OK","ERROR")</f>
        <v>OK</v>
      </c>
      <c r="G9" s="5" t="s">
        <v>3857</v>
      </c>
    </row>
    <row r="10" customFormat="false" ht="17.15" hidden="false" customHeight="false" outlineLevel="0" collapsed="false">
      <c r="A10" s="0" t="s">
        <v>3868</v>
      </c>
      <c r="B10" s="0" t="s">
        <v>3869</v>
      </c>
      <c r="C10" s="0" t="n">
        <f aca="false">SUMPRODUCT(ISERROR(Deploy!A1:AT111)*1)</f>
        <v>0</v>
      </c>
      <c r="F10" s="0" t="str">
        <f aca="false">IF(C10=0,"OK","ERROR")</f>
        <v>OK</v>
      </c>
      <c r="G10" s="5" t="s">
        <v>3857</v>
      </c>
    </row>
    <row r="11" customFormat="false" ht="17.15" hidden="false" customHeight="false" outlineLevel="0" collapsed="false">
      <c r="A11" s="0" t="s">
        <v>3870</v>
      </c>
      <c r="B11" s="0" t="s">
        <v>3871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3857</v>
      </c>
    </row>
    <row r="12" customFormat="false" ht="17.15" hidden="false" customHeight="false" outlineLevel="0" collapsed="false">
      <c r="A12" s="0" t="s">
        <v>3872</v>
      </c>
      <c r="B12" s="0" t="s">
        <v>3873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3857</v>
      </c>
    </row>
    <row r="13" customFormat="false" ht="17.15" hidden="false" customHeight="false" outlineLevel="0" collapsed="false">
      <c r="A13" s="0" t="s">
        <v>3874</v>
      </c>
      <c r="B13" s="0" t="s">
        <v>3875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3857</v>
      </c>
    </row>
    <row r="14" customFormat="false" ht="17.15" hidden="false" customHeight="false" outlineLevel="0" collapsed="false">
      <c r="A14" s="0" t="s">
        <v>3876</v>
      </c>
      <c r="B14" s="0" t="s">
        <v>3877</v>
      </c>
      <c r="C14" s="0" t="n">
        <f aca="false">SUMPRODUCT(ISERROR(Interface!A1:AT593)*1)</f>
        <v>0</v>
      </c>
      <c r="F14" s="0" t="str">
        <f aca="false">IF(C14=0,"OK","ERROR")</f>
        <v>OK</v>
      </c>
      <c r="G14" s="5" t="s">
        <v>3857</v>
      </c>
    </row>
    <row r="15" customFormat="false" ht="17.15" hidden="false" customHeight="false" outlineLevel="0" collapsed="false">
      <c r="A15" s="0" t="s">
        <v>3878</v>
      </c>
      <c r="B15" s="0" t="s">
        <v>3879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3857</v>
      </c>
    </row>
    <row r="16" customFormat="false" ht="17.15" hidden="false" customHeight="false" outlineLevel="0" collapsed="false">
      <c r="A16" s="0" t="s">
        <v>3880</v>
      </c>
      <c r="B16" s="0" t="s">
        <v>3881</v>
      </c>
      <c r="C16" s="0" t="n">
        <f aca="false">SUMPRODUCT(ISERROR(Funding!A1:AT85)*1)</f>
        <v>0</v>
      </c>
      <c r="F16" s="0" t="str">
        <f aca="false">IF(C16=0,"OK","ERROR")</f>
        <v>OK</v>
      </c>
      <c r="G16" s="5" t="s">
        <v>3857</v>
      </c>
    </row>
    <row r="17" customFormat="false" ht="17.15" hidden="false" customHeight="false" outlineLevel="0" collapsed="false">
      <c r="A17" s="0" t="s">
        <v>3882</v>
      </c>
      <c r="B17" s="0" t="s">
        <v>3883</v>
      </c>
      <c r="C17" s="0" t="n">
        <f aca="false">SUMPRODUCT(ISERROR(FundRaw!A1:AT235)*1)</f>
        <v>0</v>
      </c>
      <c r="F17" s="0" t="str">
        <f aca="false">IF(C17=0,"OK","ERROR")</f>
        <v>OK</v>
      </c>
      <c r="G17" s="5" t="s">
        <v>3857</v>
      </c>
    </row>
    <row r="18" customFormat="false" ht="17.15" hidden="false" customHeight="false" outlineLevel="0" collapsed="false">
      <c r="A18" s="0" t="s">
        <v>3884</v>
      </c>
      <c r="B18" s="0" t="s">
        <v>3885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3857</v>
      </c>
    </row>
    <row r="19" customFormat="false" ht="17.15" hidden="false" customHeight="false" outlineLevel="0" collapsed="false">
      <c r="A19" s="0" t="s">
        <v>3886</v>
      </c>
      <c r="B19" s="0" t="s">
        <v>3887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3857</v>
      </c>
    </row>
    <row r="20" customFormat="false" ht="17.15" hidden="false" customHeight="false" outlineLevel="0" collapsed="false">
      <c r="A20" s="0" t="s">
        <v>3888</v>
      </c>
      <c r="B20" s="0" t="s">
        <v>3889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3857</v>
      </c>
    </row>
    <row r="21" customFormat="false" ht="17.15" hidden="false" customHeight="false" outlineLevel="0" collapsed="false">
      <c r="A21" s="0" t="s">
        <v>3890</v>
      </c>
      <c r="B21" s="0" t="s">
        <v>3891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3892</v>
      </c>
    </row>
    <row r="22" customFormat="false" ht="17.15" hidden="false" customHeight="false" outlineLevel="0" collapsed="false">
      <c r="A22" s="0" t="s">
        <v>3893</v>
      </c>
      <c r="B22" s="0" t="s">
        <v>3894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3892</v>
      </c>
    </row>
    <row r="23" customFormat="false" ht="17.15" hidden="false" customHeight="false" outlineLevel="0" collapsed="false">
      <c r="A23" s="0" t="s">
        <v>3895</v>
      </c>
      <c r="B23" s="0" t="s">
        <v>3896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3892</v>
      </c>
    </row>
    <row r="24" customFormat="false" ht="17.15" hidden="false" customHeight="false" outlineLevel="0" collapsed="false">
      <c r="A24" s="0" t="s">
        <v>3897</v>
      </c>
      <c r="B24" s="0" t="s">
        <v>3898</v>
      </c>
      <c r="C24" s="0" t="n">
        <f aca="false">SUM(Matrix!C41:K41)</f>
        <v>37.6525147943925</v>
      </c>
      <c r="D24" s="24" t="n">
        <f aca="false">Players!G307</f>
        <v>37.6525147943925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3892</v>
      </c>
    </row>
    <row r="25" customFormat="false" ht="17.15" hidden="false" customHeight="false" outlineLevel="0" collapsed="false">
      <c r="A25" s="0" t="s">
        <v>3899</v>
      </c>
      <c r="B25" s="0" t="s">
        <v>3900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3892</v>
      </c>
    </row>
    <row r="26" customFormat="false" ht="17.15" hidden="false" customHeight="false" outlineLevel="0" collapsed="false">
      <c r="A26" s="0" t="s">
        <v>3901</v>
      </c>
      <c r="B26" s="0" t="s">
        <v>3902</v>
      </c>
      <c r="C26" s="0" t="n">
        <f aca="false">SUM(Matrix!C62:K62)</f>
        <v>43.1401599188997</v>
      </c>
      <c r="D26" s="24" t="n">
        <f aca="false">Players!H307</f>
        <v>43.1401599188997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3892</v>
      </c>
    </row>
    <row r="27" customFormat="false" ht="17.15" hidden="false" customHeight="false" outlineLevel="0" collapsed="false">
      <c r="A27" s="0" t="s">
        <v>3903</v>
      </c>
      <c r="B27" s="0" t="s">
        <v>3904</v>
      </c>
      <c r="C27" s="24" t="n">
        <f aca="false">Pipeline!D153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3892</v>
      </c>
    </row>
    <row r="28" customFormat="false" ht="17.15" hidden="false" customHeight="false" outlineLevel="0" collapsed="false">
      <c r="A28" s="0" t="s">
        <v>3905</v>
      </c>
      <c r="B28" s="0" t="s">
        <v>3906</v>
      </c>
      <c r="C28" s="24" t="n">
        <f aca="false">Pipeline!E153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3892</v>
      </c>
    </row>
    <row r="29" customFormat="false" ht="17.15" hidden="false" customHeight="false" outlineLevel="0" collapsed="false">
      <c r="A29" s="0" t="s">
        <v>3907</v>
      </c>
      <c r="B29" s="0" t="s">
        <v>3908</v>
      </c>
      <c r="C29" s="24" t="n">
        <f aca="false">Pipeline!F153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3892</v>
      </c>
    </row>
    <row r="30" customFormat="false" ht="17.15" hidden="false" customHeight="false" outlineLevel="0" collapsed="false">
      <c r="A30" s="0" t="s">
        <v>3909</v>
      </c>
      <c r="B30" s="0" t="s">
        <v>3910</v>
      </c>
      <c r="C30" s="24" t="n">
        <f aca="false">Pipeline!G153</f>
        <v>37.6525147943925</v>
      </c>
      <c r="D30" s="24" t="n">
        <f aca="false">Players!G307</f>
        <v>37.6525147943925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3892</v>
      </c>
    </row>
    <row r="31" customFormat="false" ht="17.15" hidden="false" customHeight="false" outlineLevel="0" collapsed="false">
      <c r="A31" s="0" t="s">
        <v>3911</v>
      </c>
      <c r="B31" s="0" t="s">
        <v>3912</v>
      </c>
      <c r="C31" s="24" t="n">
        <f aca="false">Pipeline!H153</f>
        <v>43.1401599188997</v>
      </c>
      <c r="D31" s="24" t="n">
        <f aca="false">Players!H307</f>
        <v>43.1401599188997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3892</v>
      </c>
    </row>
    <row r="32" customFormat="false" ht="17.15" hidden="false" customHeight="false" outlineLevel="0" collapsed="false">
      <c r="A32" s="0" t="s">
        <v>3913</v>
      </c>
      <c r="B32" s="0" t="s">
        <v>3914</v>
      </c>
      <c r="C32" s="24" t="n">
        <f aca="false">Pipeline!I153</f>
        <v>59.7282073131421</v>
      </c>
      <c r="D32" s="24" t="n">
        <f aca="false">Players!I307</f>
        <v>59.7282073131421</v>
      </c>
      <c r="E32" s="20" t="n">
        <f aca="false">C32-D32</f>
        <v>0</v>
      </c>
      <c r="F32" s="0" t="str">
        <f aca="false">IF(ABS(E32)&lt;=0.01,"OK","ERROR")</f>
        <v>OK</v>
      </c>
      <c r="G32" s="5" t="s">
        <v>3892</v>
      </c>
    </row>
    <row r="33" customFormat="false" ht="17.15" hidden="false" customHeight="false" outlineLevel="0" collapsed="false">
      <c r="A33" s="0" t="s">
        <v>3915</v>
      </c>
      <c r="B33" s="0" t="s">
        <v>3916</v>
      </c>
      <c r="C33" s="24" t="n">
        <f aca="false">Pipeline!J153</f>
        <v>65.6632286441395</v>
      </c>
      <c r="D33" s="24" t="n">
        <f aca="false">Players!J307</f>
        <v>65.6632286441395</v>
      </c>
      <c r="E33" s="20" t="n">
        <f aca="false">C33-D33</f>
        <v>0</v>
      </c>
      <c r="F33" s="0" t="str">
        <f aca="false">IF(ABS(E33)&lt;=0.01,"OK","ERROR")</f>
        <v>OK</v>
      </c>
      <c r="G33" s="5" t="s">
        <v>3892</v>
      </c>
    </row>
    <row r="34" customFormat="false" ht="17.15" hidden="false" customHeight="false" outlineLevel="0" collapsed="false">
      <c r="A34" s="0" t="s">
        <v>3917</v>
      </c>
      <c r="B34" s="0" t="s">
        <v>3918</v>
      </c>
      <c r="C34" s="24" t="n">
        <f aca="false">Pipeline!K153</f>
        <v>73.3052836661874</v>
      </c>
      <c r="D34" s="24" t="n">
        <f aca="false">Players!K307</f>
        <v>73.3052836661874</v>
      </c>
      <c r="E34" s="20" t="n">
        <f aca="false">C34-D34</f>
        <v>0</v>
      </c>
      <c r="F34" s="0" t="str">
        <f aca="false">IF(ABS(E34)&lt;=0.01,"OK","ERROR")</f>
        <v>OK</v>
      </c>
      <c r="G34" s="5" t="s">
        <v>3892</v>
      </c>
    </row>
    <row r="35" customFormat="false" ht="17.15" hidden="false" customHeight="false" outlineLevel="0" collapsed="false">
      <c r="A35" s="0" t="s">
        <v>3919</v>
      </c>
      <c r="B35" s="0" t="s">
        <v>3920</v>
      </c>
      <c r="C35" s="24" t="n">
        <f aca="false">Pipeline!L153</f>
        <v>75.4591298200336</v>
      </c>
      <c r="D35" s="24" t="n">
        <f aca="false">Players!L307</f>
        <v>75.4591298200336</v>
      </c>
      <c r="E35" s="20" t="n">
        <f aca="false">C35-D35</f>
        <v>0</v>
      </c>
      <c r="F35" s="0" t="str">
        <f aca="false">IF(ABS(E35)&lt;=0.01,"OK","ERROR")</f>
        <v>OK</v>
      </c>
      <c r="G35" s="5" t="s">
        <v>3892</v>
      </c>
    </row>
    <row r="36" customFormat="false" ht="17.15" hidden="false" customHeight="false" outlineLevel="0" collapsed="false">
      <c r="A36" s="0" t="s">
        <v>3921</v>
      </c>
      <c r="B36" s="0" t="s">
        <v>3922</v>
      </c>
      <c r="C36" s="24" t="n">
        <f aca="false">Pipeline!M153</f>
        <v>77.8283605892643</v>
      </c>
      <c r="D36" s="24" t="n">
        <f aca="false">Players!M307</f>
        <v>77.8283605892643</v>
      </c>
      <c r="E36" s="20" t="n">
        <f aca="false">C36-D36</f>
        <v>0</v>
      </c>
      <c r="F36" s="0" t="str">
        <f aca="false">IF(ABS(E36)&lt;=0.01,"OK","ERROR")</f>
        <v>OK</v>
      </c>
      <c r="G36" s="5" t="s">
        <v>3892</v>
      </c>
    </row>
    <row r="37" customFormat="false" ht="17.15" hidden="false" customHeight="false" outlineLevel="0" collapsed="false">
      <c r="A37" s="0" t="s">
        <v>3923</v>
      </c>
      <c r="B37" s="0" t="s">
        <v>3924</v>
      </c>
      <c r="C37" s="24" t="n">
        <f aca="false">Pipeline!E154</f>
        <v>6.20938570515285</v>
      </c>
      <c r="D37" s="24" t="n">
        <f aca="false">Pipeline!E153</f>
        <v>6.20938570515285</v>
      </c>
      <c r="F37" s="0" t="str">
        <f aca="false">IF(AND(Pipeline!E153&gt;=Pipeline!E154-0.000000001,Pipeline!E154&gt;=Pipeline!E155-0.000000001),"OK","ERROR")</f>
        <v>OK</v>
      </c>
      <c r="G37" s="5" t="s">
        <v>3925</v>
      </c>
    </row>
    <row r="38" customFormat="false" ht="17.15" hidden="false" customHeight="false" outlineLevel="0" collapsed="false">
      <c r="A38" s="0" t="s">
        <v>3926</v>
      </c>
      <c r="B38" s="0" t="s">
        <v>3927</v>
      </c>
      <c r="C38" s="24" t="n">
        <f aca="false">Pipeline!F154</f>
        <v>25.3371433333333</v>
      </c>
      <c r="D38" s="24" t="n">
        <f aca="false">Pipeline!F153</f>
        <v>25.3371433333333</v>
      </c>
      <c r="F38" s="0" t="str">
        <f aca="false">IF(AND(Pipeline!F153&gt;=Pipeline!F154-0.000000001,Pipeline!F154&gt;=Pipeline!F155-0.000000001),"OK","ERROR")</f>
        <v>OK</v>
      </c>
      <c r="G38" s="5" t="s">
        <v>3925</v>
      </c>
    </row>
    <row r="39" customFormat="false" ht="17.15" hidden="false" customHeight="false" outlineLevel="0" collapsed="false">
      <c r="A39" s="0" t="s">
        <v>3928</v>
      </c>
      <c r="B39" s="0" t="s">
        <v>3929</v>
      </c>
      <c r="C39" s="24" t="n">
        <f aca="false">Pipeline!G154</f>
        <v>36.988055095226</v>
      </c>
      <c r="D39" s="24" t="n">
        <f aca="false">Pipeline!G153</f>
        <v>37.6525147943925</v>
      </c>
      <c r="F39" s="0" t="str">
        <f aca="false">IF(AND(Pipeline!G153&gt;=Pipeline!G154-0.000000001,Pipeline!G154&gt;=Pipeline!G155-0.000000001),"OK","ERROR")</f>
        <v>OK</v>
      </c>
      <c r="G39" s="5" t="s">
        <v>3925</v>
      </c>
    </row>
    <row r="40" customFormat="false" ht="17.15" hidden="false" customHeight="false" outlineLevel="0" collapsed="false">
      <c r="A40" s="0" t="s">
        <v>3930</v>
      </c>
      <c r="B40" s="0" t="s">
        <v>3931</v>
      </c>
      <c r="C40" s="24" t="n">
        <f aca="false">Pipeline!H154</f>
        <v>42.1975553554443</v>
      </c>
      <c r="D40" s="24" t="n">
        <f aca="false">Pipeline!H153</f>
        <v>43.1401599188997</v>
      </c>
      <c r="F40" s="0" t="str">
        <f aca="false">IF(AND(Pipeline!H153&gt;=Pipeline!H154-0.000000001,Pipeline!H154&gt;=Pipeline!H155-0.000000001),"OK","ERROR")</f>
        <v>OK</v>
      </c>
      <c r="G40" s="5" t="s">
        <v>3925</v>
      </c>
    </row>
    <row r="41" customFormat="false" ht="17.15" hidden="false" customHeight="false" outlineLevel="0" collapsed="false">
      <c r="A41" s="0" t="s">
        <v>3932</v>
      </c>
      <c r="B41" s="0" t="s">
        <v>3933</v>
      </c>
      <c r="C41" s="24" t="n">
        <f aca="false">Pipeline!I154</f>
        <v>55.0142490191496</v>
      </c>
      <c r="D41" s="24" t="n">
        <f aca="false">Pipeline!I153</f>
        <v>59.7282073131421</v>
      </c>
      <c r="F41" s="0" t="str">
        <f aca="false">IF(AND(Pipeline!I153&gt;=Pipeline!I154-0.000000001,Pipeline!I154&gt;=Pipeline!I155-0.000000001),"OK","ERROR")</f>
        <v>OK</v>
      </c>
      <c r="G41" s="5" t="s">
        <v>3925</v>
      </c>
    </row>
    <row r="42" customFormat="false" ht="17.15" hidden="false" customHeight="false" outlineLevel="0" collapsed="false">
      <c r="A42" s="0" t="s">
        <v>3934</v>
      </c>
      <c r="B42" s="0" t="s">
        <v>3935</v>
      </c>
      <c r="C42" s="24" t="n">
        <f aca="false">Pipeline!J154</f>
        <v>64.3122249112149</v>
      </c>
      <c r="D42" s="24" t="n">
        <f aca="false">Pipeline!J153</f>
        <v>65.6632286441395</v>
      </c>
      <c r="F42" s="0" t="str">
        <f aca="false">IF(AND(Pipeline!J153&gt;=Pipeline!J154-0.000000001,Pipeline!J154&gt;=Pipeline!J155-0.000000001),"OK","ERROR")</f>
        <v>OK</v>
      </c>
      <c r="G42" s="5" t="s">
        <v>3925</v>
      </c>
    </row>
    <row r="43" customFormat="false" ht="17.15" hidden="false" customHeight="false" outlineLevel="0" collapsed="false">
      <c r="A43" s="0" t="s">
        <v>3936</v>
      </c>
      <c r="B43" s="0" t="s">
        <v>3937</v>
      </c>
      <c r="C43" s="24" t="n">
        <f aca="false">Pipeline!K154</f>
        <v>71.422624037329</v>
      </c>
      <c r="D43" s="24" t="n">
        <f aca="false">Pipeline!K153</f>
        <v>73.3052836661874</v>
      </c>
      <c r="F43" s="0" t="str">
        <f aca="false">IF(AND(Pipeline!K153&gt;=Pipeline!K154-0.000000001,Pipeline!K154&gt;=Pipeline!K155-0.000000001),"OK","ERROR")</f>
        <v>OK</v>
      </c>
      <c r="G43" s="5" t="s">
        <v>3925</v>
      </c>
    </row>
    <row r="44" customFormat="false" ht="17.15" hidden="false" customHeight="false" outlineLevel="0" collapsed="false">
      <c r="A44" s="0" t="s">
        <v>3938</v>
      </c>
      <c r="B44" s="0" t="s">
        <v>3939</v>
      </c>
      <c r="C44" s="24" t="n">
        <f aca="false">Pipeline!L154</f>
        <v>75.0822067431105</v>
      </c>
      <c r="D44" s="24" t="n">
        <f aca="false">Pipeline!L153</f>
        <v>75.4591298200336</v>
      </c>
      <c r="F44" s="0" t="str">
        <f aca="false">IF(AND(Pipeline!L153&gt;=Pipeline!L154-0.000000001,Pipeline!L154&gt;=Pipeline!L155-0.000000001),"OK","ERROR")</f>
        <v>OK</v>
      </c>
      <c r="G44" s="5" t="s">
        <v>3925</v>
      </c>
    </row>
    <row r="45" customFormat="false" ht="17.15" hidden="false" customHeight="false" outlineLevel="0" collapsed="false">
      <c r="A45" s="0" t="s">
        <v>3940</v>
      </c>
      <c r="B45" s="0" t="s">
        <v>3941</v>
      </c>
      <c r="C45" s="24" t="n">
        <f aca="false">Pipeline!M154</f>
        <v>77.413745204649</v>
      </c>
      <c r="D45" s="24" t="n">
        <f aca="false">Pipeline!M153</f>
        <v>77.8283605892643</v>
      </c>
      <c r="F45" s="0" t="str">
        <f aca="false">IF(AND(Pipeline!M153&gt;=Pipeline!M154-0.000000001,Pipeline!M154&gt;=Pipeline!M155-0.000000001),"OK","ERROR")</f>
        <v>OK</v>
      </c>
      <c r="G45" s="5" t="s">
        <v>3925</v>
      </c>
    </row>
    <row r="46" customFormat="false" ht="17.15" hidden="false" customHeight="false" outlineLevel="0" collapsed="false">
      <c r="A46" s="0" t="s">
        <v>3942</v>
      </c>
      <c r="B46" s="5" t="s">
        <v>3943</v>
      </c>
      <c r="C46" s="0" t="n">
        <f aca="false">Pipeline!M153-Pipeline!M155</f>
        <v>0.414615384615388</v>
      </c>
      <c r="D46" s="0" t="n">
        <f aca="false">SUMPRODUCT(ABS(Pipeline!E101:M101),1-Pipeline!E141:M141)+SUMPRODUCT(Pipeline!L5:L47,Pipeline!Q5:Q47)</f>
        <v>22.6176153846154</v>
      </c>
      <c r="F46" s="0" t="str">
        <f aca="false">IF(C46&lt;=D46+0.000000001,"OK","ERROR")</f>
        <v>OK</v>
      </c>
      <c r="G46" s="5" t="s">
        <v>3925</v>
      </c>
    </row>
    <row r="47" customFormat="false" ht="17.15" hidden="false" customHeight="false" outlineLevel="0" collapsed="false">
      <c r="A47" s="0" t="s">
        <v>3944</v>
      </c>
      <c r="B47" s="0" t="s">
        <v>3945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3925</v>
      </c>
    </row>
    <row r="48" customFormat="false" ht="17.15" hidden="false" customHeight="false" outlineLevel="0" collapsed="false">
      <c r="A48" s="0" t="s">
        <v>3946</v>
      </c>
      <c r="B48" s="0" t="s">
        <v>3947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3925</v>
      </c>
    </row>
    <row r="49" customFormat="false" ht="17.15" hidden="false" customHeight="false" outlineLevel="0" collapsed="false">
      <c r="A49" s="0" t="s">
        <v>3948</v>
      </c>
      <c r="B49" s="0" t="s">
        <v>3949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3925</v>
      </c>
    </row>
    <row r="50" customFormat="false" ht="17.15" hidden="false" customHeight="false" outlineLevel="0" collapsed="false">
      <c r="A50" s="0" t="s">
        <v>3950</v>
      </c>
      <c r="B50" s="0" t="s">
        <v>3951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3925</v>
      </c>
    </row>
    <row r="51" customFormat="false" ht="17.15" hidden="false" customHeight="false" outlineLevel="0" collapsed="false">
      <c r="A51" s="0" t="s">
        <v>3952</v>
      </c>
      <c r="B51" s="0" t="s">
        <v>3953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3925</v>
      </c>
    </row>
    <row r="52" customFormat="false" ht="17.15" hidden="false" customHeight="false" outlineLevel="0" collapsed="false">
      <c r="A52" s="0" t="s">
        <v>3954</v>
      </c>
      <c r="B52" s="0" t="s">
        <v>3955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3925</v>
      </c>
    </row>
    <row r="53" customFormat="false" ht="17.15" hidden="false" customHeight="false" outlineLevel="0" collapsed="false">
      <c r="A53" s="0" t="s">
        <v>3956</v>
      </c>
      <c r="B53" s="0" t="s">
        <v>3957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3925</v>
      </c>
    </row>
    <row r="54" customFormat="false" ht="17.15" hidden="false" customHeight="false" outlineLevel="0" collapsed="false">
      <c r="A54" s="0" t="s">
        <v>3958</v>
      </c>
      <c r="B54" s="0" t="s">
        <v>3959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3925</v>
      </c>
    </row>
    <row r="55" customFormat="false" ht="17.15" hidden="false" customHeight="false" outlineLevel="0" collapsed="false">
      <c r="A55" s="0" t="s">
        <v>3960</v>
      </c>
      <c r="B55" s="0" t="s">
        <v>3961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3925</v>
      </c>
    </row>
    <row r="56" customFormat="false" ht="17.15" hidden="false" customHeight="false" outlineLevel="0" collapsed="false">
      <c r="A56" s="0" t="s">
        <v>3962</v>
      </c>
      <c r="B56" s="0" t="s">
        <v>3963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3925</v>
      </c>
    </row>
    <row r="57" customFormat="false" ht="17.15" hidden="false" customHeight="false" outlineLevel="0" collapsed="false">
      <c r="A57" s="0" t="s">
        <v>3964</v>
      </c>
      <c r="B57" s="0" t="s">
        <v>3965</v>
      </c>
      <c r="C57" s="24" t="n">
        <f aca="false">Pipeline!E104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3892</v>
      </c>
    </row>
    <row r="58" customFormat="false" ht="17.15" hidden="false" customHeight="false" outlineLevel="0" collapsed="false">
      <c r="A58" s="0" t="s">
        <v>3966</v>
      </c>
      <c r="B58" s="0" t="s">
        <v>3967</v>
      </c>
      <c r="C58" s="24" t="n">
        <f aca="false">Pipeline!F104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3892</v>
      </c>
    </row>
    <row r="59" customFormat="false" ht="17.15" hidden="false" customHeight="false" outlineLevel="0" collapsed="false">
      <c r="A59" s="0" t="s">
        <v>3968</v>
      </c>
      <c r="B59" s="0" t="s">
        <v>3969</v>
      </c>
      <c r="C59" s="24" t="n">
        <f aca="false">Pipeline!G104</f>
        <v>12.3153714610592</v>
      </c>
      <c r="D59" s="24" t="n">
        <f aca="false">Players!G313</f>
        <v>12.3153714610592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3892</v>
      </c>
    </row>
    <row r="60" customFormat="false" ht="17.15" hidden="false" customHeight="false" outlineLevel="0" collapsed="false">
      <c r="A60" s="0" t="s">
        <v>3970</v>
      </c>
      <c r="B60" s="0" t="s">
        <v>3971</v>
      </c>
      <c r="C60" s="24" t="n">
        <f aca="false">Pipeline!H104</f>
        <v>5.48764512450717</v>
      </c>
      <c r="D60" s="24" t="n">
        <f aca="false">Players!H313</f>
        <v>5.48764512450717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3892</v>
      </c>
    </row>
    <row r="61" customFormat="false" ht="17.15" hidden="false" customHeight="false" outlineLevel="0" collapsed="false">
      <c r="A61" s="0" t="s">
        <v>3972</v>
      </c>
      <c r="B61" s="0" t="s">
        <v>3973</v>
      </c>
      <c r="C61" s="24" t="n">
        <f aca="false">Pipeline!I104</f>
        <v>16.5880473942424</v>
      </c>
      <c r="D61" s="24" t="n">
        <f aca="false">Players!I313</f>
        <v>16.5880473942424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3892</v>
      </c>
    </row>
    <row r="62" customFormat="false" ht="17.15" hidden="false" customHeight="false" outlineLevel="0" collapsed="false">
      <c r="A62" s="0" t="s">
        <v>3974</v>
      </c>
      <c r="B62" s="0" t="s">
        <v>3975</v>
      </c>
      <c r="C62" s="24" t="n">
        <f aca="false">Pipeline!J104</f>
        <v>5.93502133099745</v>
      </c>
      <c r="D62" s="24" t="n">
        <f aca="false">Players!J313</f>
        <v>5.93502133099745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3892</v>
      </c>
    </row>
    <row r="63" customFormat="false" ht="17.15" hidden="false" customHeight="false" outlineLevel="0" collapsed="false">
      <c r="A63" s="0" t="s">
        <v>3976</v>
      </c>
      <c r="B63" s="0" t="s">
        <v>3977</v>
      </c>
      <c r="C63" s="24" t="n">
        <f aca="false">Pipeline!K104</f>
        <v>7.6420550220479</v>
      </c>
      <c r="D63" s="24" t="n">
        <f aca="false">Players!K313</f>
        <v>7.6420550220479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3892</v>
      </c>
    </row>
    <row r="64" customFormat="false" ht="17.15" hidden="false" customHeight="false" outlineLevel="0" collapsed="false">
      <c r="A64" s="0" t="s">
        <v>3978</v>
      </c>
      <c r="B64" s="0" t="s">
        <v>3979</v>
      </c>
      <c r="C64" s="24" t="n">
        <f aca="false">Pipeline!L104</f>
        <v>2.15384615384616</v>
      </c>
      <c r="D64" s="24" t="n">
        <f aca="false">Players!L313</f>
        <v>2.15384615384616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3892</v>
      </c>
    </row>
    <row r="65" customFormat="false" ht="17.15" hidden="false" customHeight="false" outlineLevel="0" collapsed="false">
      <c r="A65" s="0" t="s">
        <v>3980</v>
      </c>
      <c r="B65" s="0" t="s">
        <v>3981</v>
      </c>
      <c r="C65" s="24" t="n">
        <f aca="false">Pipeline!M104</f>
        <v>2.36923076923077</v>
      </c>
      <c r="D65" s="24" t="n">
        <f aca="false">Players!M313</f>
        <v>2.36923076923077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3892</v>
      </c>
    </row>
    <row r="66" customFormat="false" ht="17.15" hidden="false" customHeight="false" outlineLevel="0" collapsed="false">
      <c r="A66" s="0" t="s">
        <v>3982</v>
      </c>
      <c r="B66" s="0" t="s">
        <v>3983</v>
      </c>
      <c r="C66" s="0" t="n">
        <f aca="false">lag_bldg</f>
        <v>18</v>
      </c>
      <c r="D66" s="0" t="s">
        <v>3984</v>
      </c>
      <c r="F66" s="0" t="str">
        <f aca="false">IF(AND(C66&gt;=0,C66&lt;=24),"OK","ERROR")</f>
        <v>OK</v>
      </c>
      <c r="G66" s="5" t="s">
        <v>3925</v>
      </c>
    </row>
    <row r="67" customFormat="false" ht="17.15" hidden="false" customHeight="false" outlineLevel="0" collapsed="false">
      <c r="A67" s="0" t="s">
        <v>3985</v>
      </c>
      <c r="B67" s="0" t="s">
        <v>3986</v>
      </c>
      <c r="C67" s="0" t="n">
        <f aca="false">lag_bldg_lo</f>
        <v>12</v>
      </c>
      <c r="D67" s="0" t="s">
        <v>3984</v>
      </c>
      <c r="F67" s="0" t="str">
        <f aca="false">IF(AND(C67&gt;=0,C67&lt;=24),"OK","ERROR")</f>
        <v>OK</v>
      </c>
      <c r="G67" s="5" t="s">
        <v>3925</v>
      </c>
    </row>
    <row r="68" customFormat="false" ht="17.15" hidden="false" customHeight="false" outlineLevel="0" collapsed="false">
      <c r="A68" s="0" t="s">
        <v>3987</v>
      </c>
      <c r="B68" s="0" t="s">
        <v>3988</v>
      </c>
      <c r="C68" s="0" t="n">
        <f aca="false">lag_bldg_hi</f>
        <v>24</v>
      </c>
      <c r="D68" s="0" t="s">
        <v>3984</v>
      </c>
      <c r="F68" s="0" t="str">
        <f aca="false">IF(AND(C68&gt;=0,C68&lt;=24),"OK","ERROR")</f>
        <v>OK</v>
      </c>
      <c r="G68" s="5" t="s">
        <v>3925</v>
      </c>
    </row>
    <row r="69" customFormat="false" ht="17.15" hidden="false" customHeight="false" outlineLevel="0" collapsed="false">
      <c r="A69" s="0" t="s">
        <v>3989</v>
      </c>
      <c r="B69" s="0" t="s">
        <v>3990</v>
      </c>
      <c r="C69" s="0" t="n">
        <f aca="false">dly_d1_m</f>
        <v>6</v>
      </c>
      <c r="D69" s="0" t="s">
        <v>3991</v>
      </c>
      <c r="F69" s="0" t="str">
        <f aca="false">IF(AND(C69&gt;=0,C69&lt;=36),"OK","ERROR")</f>
        <v>OK</v>
      </c>
      <c r="G69" s="5" t="s">
        <v>3925</v>
      </c>
    </row>
    <row r="70" customFormat="false" ht="17.15" hidden="false" customHeight="false" outlineLevel="0" collapsed="false">
      <c r="A70" s="0" t="s">
        <v>3992</v>
      </c>
      <c r="B70" s="0" t="s">
        <v>3993</v>
      </c>
      <c r="C70" s="0" t="n">
        <f aca="false">dly_d1_m_lo</f>
        <v>3</v>
      </c>
      <c r="D70" s="0" t="s">
        <v>3991</v>
      </c>
      <c r="F70" s="0" t="str">
        <f aca="false">IF(AND(C70&gt;=0,C70&lt;=36),"OK","ERROR")</f>
        <v>OK</v>
      </c>
      <c r="G70" s="5" t="s">
        <v>3925</v>
      </c>
    </row>
    <row r="71" customFormat="false" ht="17.15" hidden="false" customHeight="false" outlineLevel="0" collapsed="false">
      <c r="A71" s="0" t="s">
        <v>3994</v>
      </c>
      <c r="B71" s="0" t="s">
        <v>3995</v>
      </c>
      <c r="C71" s="0" t="n">
        <f aca="false">dly_d1_m_hi</f>
        <v>12</v>
      </c>
      <c r="D71" s="0" t="s">
        <v>3991</v>
      </c>
      <c r="F71" s="0" t="str">
        <f aca="false">IF(AND(C71&gt;=0,C71&lt;=36),"OK","ERROR")</f>
        <v>OK</v>
      </c>
      <c r="G71" s="5" t="s">
        <v>3925</v>
      </c>
    </row>
    <row r="72" customFormat="false" ht="17.15" hidden="false" customHeight="false" outlineLevel="0" collapsed="false">
      <c r="A72" s="0" t="s">
        <v>3996</v>
      </c>
      <c r="B72" s="0" t="s">
        <v>3997</v>
      </c>
      <c r="C72" s="23" t="n">
        <f aca="false">dly_d1_s</f>
        <v>0.35</v>
      </c>
      <c r="D72" s="20" t="s">
        <v>3998</v>
      </c>
      <c r="F72" s="0" t="str">
        <f aca="false">IF(AND(C72&gt;=0,C72&lt;=1),"OK","ERROR")</f>
        <v>OK</v>
      </c>
      <c r="G72" s="5" t="s">
        <v>3925</v>
      </c>
    </row>
    <row r="73" customFormat="false" ht="17.15" hidden="false" customHeight="false" outlineLevel="0" collapsed="false">
      <c r="A73" s="0" t="s">
        <v>3999</v>
      </c>
      <c r="B73" s="0" t="s">
        <v>4000</v>
      </c>
      <c r="C73" s="23" t="n">
        <f aca="false">dly_d1_s_lo</f>
        <v>0.25</v>
      </c>
      <c r="D73" s="20" t="s">
        <v>3998</v>
      </c>
      <c r="F73" s="0" t="str">
        <f aca="false">IF(AND(C73&gt;=0,C73&lt;=1),"OK","ERROR")</f>
        <v>OK</v>
      </c>
      <c r="G73" s="5" t="s">
        <v>3925</v>
      </c>
    </row>
    <row r="74" customFormat="false" ht="17.15" hidden="false" customHeight="false" outlineLevel="0" collapsed="false">
      <c r="A74" s="0" t="s">
        <v>4001</v>
      </c>
      <c r="B74" s="0" t="s">
        <v>4002</v>
      </c>
      <c r="C74" s="23" t="n">
        <f aca="false">dly_d1_s_hi</f>
        <v>0.45</v>
      </c>
      <c r="D74" s="20" t="s">
        <v>3998</v>
      </c>
      <c r="F74" s="0" t="str">
        <f aca="false">IF(AND(C74&gt;=0,C74&lt;=1),"OK","ERROR")</f>
        <v>OK</v>
      </c>
      <c r="G74" s="5" t="s">
        <v>3925</v>
      </c>
    </row>
    <row r="75" customFormat="false" ht="17.15" hidden="false" customHeight="false" outlineLevel="0" collapsed="false">
      <c r="A75" s="0" t="s">
        <v>4003</v>
      </c>
      <c r="B75" s="0" t="s">
        <v>4004</v>
      </c>
      <c r="C75" s="0" t="n">
        <f aca="false">dly_d2_m</f>
        <v>12</v>
      </c>
      <c r="D75" s="0" t="s">
        <v>3991</v>
      </c>
      <c r="F75" s="0" t="str">
        <f aca="false">IF(AND(C75&gt;=0,C75&lt;=36),"OK","ERROR")</f>
        <v>OK</v>
      </c>
      <c r="G75" s="5" t="s">
        <v>3925</v>
      </c>
    </row>
    <row r="76" customFormat="false" ht="17.15" hidden="false" customHeight="false" outlineLevel="0" collapsed="false">
      <c r="A76" s="0" t="s">
        <v>4005</v>
      </c>
      <c r="B76" s="0" t="s">
        <v>4006</v>
      </c>
      <c r="C76" s="0" t="n">
        <f aca="false">dly_d2_m_lo</f>
        <v>12</v>
      </c>
      <c r="D76" s="0" t="s">
        <v>3991</v>
      </c>
      <c r="F76" s="0" t="str">
        <f aca="false">IF(AND(C76&gt;=0,C76&lt;=36),"OK","ERROR")</f>
        <v>OK</v>
      </c>
      <c r="G76" s="5" t="s">
        <v>3925</v>
      </c>
    </row>
    <row r="77" customFormat="false" ht="17.15" hidden="false" customHeight="false" outlineLevel="0" collapsed="false">
      <c r="A77" s="0" t="s">
        <v>4007</v>
      </c>
      <c r="B77" s="0" t="s">
        <v>4008</v>
      </c>
      <c r="C77" s="0" t="n">
        <f aca="false">dly_d2_m_hi</f>
        <v>12</v>
      </c>
      <c r="D77" s="0" t="s">
        <v>3991</v>
      </c>
      <c r="F77" s="0" t="str">
        <f aca="false">IF(AND(C77&gt;=0,C77&lt;=36),"OK","ERROR")</f>
        <v>OK</v>
      </c>
      <c r="G77" s="5" t="s">
        <v>3925</v>
      </c>
    </row>
    <row r="78" customFormat="false" ht="17.15" hidden="false" customHeight="false" outlineLevel="0" collapsed="false">
      <c r="A78" s="0" t="s">
        <v>4009</v>
      </c>
      <c r="B78" s="0" t="s">
        <v>4010</v>
      </c>
      <c r="C78" s="23" t="n">
        <f aca="false">dly_d2_bind</f>
        <v>0.4</v>
      </c>
      <c r="D78" s="20" t="s">
        <v>3998</v>
      </c>
      <c r="F78" s="0" t="str">
        <f aca="false">IF(AND(C78&gt;=0,C78&lt;=1),"OK","ERROR")</f>
        <v>OK</v>
      </c>
      <c r="G78" s="5" t="s">
        <v>3925</v>
      </c>
    </row>
    <row r="79" customFormat="false" ht="17.15" hidden="false" customHeight="false" outlineLevel="0" collapsed="false">
      <c r="A79" s="0" t="s">
        <v>4011</v>
      </c>
      <c r="B79" s="0" t="s">
        <v>4012</v>
      </c>
      <c r="C79" s="23" t="n">
        <f aca="false">dly_d2_bind_lo</f>
        <v>0.3</v>
      </c>
      <c r="D79" s="20" t="s">
        <v>3998</v>
      </c>
      <c r="F79" s="0" t="str">
        <f aca="false">IF(AND(C79&gt;=0,C79&lt;=1),"OK","ERROR")</f>
        <v>OK</v>
      </c>
      <c r="G79" s="5" t="s">
        <v>3925</v>
      </c>
    </row>
    <row r="80" customFormat="false" ht="17.15" hidden="false" customHeight="false" outlineLevel="0" collapsed="false">
      <c r="A80" s="0" t="s">
        <v>4013</v>
      </c>
      <c r="B80" s="0" t="s">
        <v>4014</v>
      </c>
      <c r="C80" s="23" t="n">
        <f aca="false">dly_d2_bind_hi</f>
        <v>0.5</v>
      </c>
      <c r="D80" s="20" t="s">
        <v>3998</v>
      </c>
      <c r="F80" s="0" t="str">
        <f aca="false">IF(AND(C80&gt;=0,C80&lt;=1),"OK","ERROR")</f>
        <v>OK</v>
      </c>
      <c r="G80" s="5" t="s">
        <v>3925</v>
      </c>
    </row>
    <row r="81" customFormat="false" ht="17.15" hidden="false" customHeight="false" outlineLevel="0" collapsed="false">
      <c r="A81" s="0" t="s">
        <v>4015</v>
      </c>
      <c r="B81" s="0" t="s">
        <v>4016</v>
      </c>
      <c r="C81" s="23" t="n">
        <f aca="false">tolband</f>
        <v>0.15</v>
      </c>
      <c r="D81" s="20" t="s">
        <v>3998</v>
      </c>
      <c r="F81" s="0" t="str">
        <f aca="false">IF(AND(C81&gt;=0,C81&lt;=1),"OK","ERROR")</f>
        <v>OK</v>
      </c>
      <c r="G81" s="5" t="s">
        <v>3925</v>
      </c>
    </row>
    <row r="82" customFormat="false" ht="17.15" hidden="false" customHeight="false" outlineLevel="0" collapsed="false">
      <c r="A82" s="0" t="s">
        <v>4017</v>
      </c>
      <c r="B82" s="0" t="s">
        <v>4018</v>
      </c>
      <c r="C82" s="23" t="n">
        <f aca="false">tolband_lo</f>
        <v>0.1</v>
      </c>
      <c r="D82" s="20" t="s">
        <v>3998</v>
      </c>
      <c r="F82" s="0" t="str">
        <f aca="false">IF(AND(C82&gt;=0,C82&lt;=1),"OK","ERROR")</f>
        <v>OK</v>
      </c>
      <c r="G82" s="5" t="s">
        <v>3925</v>
      </c>
    </row>
    <row r="83" customFormat="false" ht="17.15" hidden="false" customHeight="false" outlineLevel="0" collapsed="false">
      <c r="A83" s="0" t="s">
        <v>4019</v>
      </c>
      <c r="B83" s="0" t="s">
        <v>4020</v>
      </c>
      <c r="C83" s="23" t="n">
        <f aca="false">tolband_hi</f>
        <v>0.2</v>
      </c>
      <c r="D83" s="20" t="s">
        <v>3998</v>
      </c>
      <c r="F83" s="0" t="str">
        <f aca="false">IF(AND(C83&gt;=0,C83&lt;=1),"OK","ERROR")</f>
        <v>OK</v>
      </c>
      <c r="G83" s="5" t="s">
        <v>3925</v>
      </c>
    </row>
    <row r="84" customFormat="false" ht="17.15" hidden="false" customHeight="false" outlineLevel="0" collapsed="false">
      <c r="A84" s="0" t="s">
        <v>4021</v>
      </c>
      <c r="B84" s="0" t="s">
        <v>4022</v>
      </c>
      <c r="C84" s="0" t="n">
        <f aca="false">k_chip2it</f>
        <v>1.85</v>
      </c>
      <c r="D84" s="0" t="s">
        <v>4023</v>
      </c>
      <c r="F84" s="0" t="str">
        <f aca="false">IF(AND(C84&gt;=1,C84&lt;=3),"OK","ERROR")</f>
        <v>OK</v>
      </c>
      <c r="G84" s="5" t="s">
        <v>3925</v>
      </c>
    </row>
    <row r="85" customFormat="false" ht="17.15" hidden="false" customHeight="false" outlineLevel="0" collapsed="false">
      <c r="A85" s="0" t="s">
        <v>4024</v>
      </c>
      <c r="B85" s="0" t="s">
        <v>4025</v>
      </c>
      <c r="C85" s="0" t="n">
        <f aca="false">k_chip2it_lo</f>
        <v>1.65</v>
      </c>
      <c r="D85" s="0" t="s">
        <v>4023</v>
      </c>
      <c r="F85" s="0" t="str">
        <f aca="false">IF(AND(C85&gt;=1,C85&lt;=3),"OK","ERROR")</f>
        <v>OK</v>
      </c>
      <c r="G85" s="5" t="s">
        <v>3925</v>
      </c>
    </row>
    <row r="86" customFormat="false" ht="17.15" hidden="false" customHeight="false" outlineLevel="0" collapsed="false">
      <c r="A86" s="0" t="s">
        <v>4026</v>
      </c>
      <c r="B86" s="0" t="s">
        <v>4027</v>
      </c>
      <c r="C86" s="0" t="n">
        <f aca="false">k_chip2it_hi</f>
        <v>2.08</v>
      </c>
      <c r="D86" s="0" t="s">
        <v>4023</v>
      </c>
      <c r="F86" s="0" t="str">
        <f aca="false">IF(AND(C86&gt;=1,C86&lt;=3),"OK","ERROR")</f>
        <v>OK</v>
      </c>
      <c r="G86" s="5" t="s">
        <v>3925</v>
      </c>
    </row>
    <row r="87" customFormat="false" ht="17.15" hidden="false" customHeight="false" outlineLevel="0" collapsed="false">
      <c r="A87" s="0" t="s">
        <v>4028</v>
      </c>
      <c r="B87" s="0" t="s">
        <v>4029</v>
      </c>
      <c r="C87" s="23" t="n">
        <f aca="false">g_lt</f>
        <v>0.1</v>
      </c>
      <c r="D87" s="20" t="s">
        <v>4030</v>
      </c>
      <c r="F87" s="0" t="str">
        <f aca="false">IF(AND(C87&gt;=-0.2,C87&lt;=0.5),"OK","ERROR")</f>
        <v>OK</v>
      </c>
      <c r="G87" s="5" t="s">
        <v>3925</v>
      </c>
    </row>
    <row r="88" customFormat="false" ht="17.15" hidden="false" customHeight="false" outlineLevel="0" collapsed="false">
      <c r="A88" s="0" t="s">
        <v>4031</v>
      </c>
      <c r="B88" s="0" t="s">
        <v>4032</v>
      </c>
      <c r="C88" s="23" t="n">
        <f aca="false">g_lt_lo</f>
        <v>0.05</v>
      </c>
      <c r="D88" s="20" t="s">
        <v>4030</v>
      </c>
      <c r="F88" s="0" t="str">
        <f aca="false">IF(AND(C88&gt;=-0.2,C88&lt;=0.5),"OK","ERROR")</f>
        <v>OK</v>
      </c>
      <c r="G88" s="5" t="s">
        <v>3925</v>
      </c>
    </row>
    <row r="89" customFormat="false" ht="17.15" hidden="false" customHeight="false" outlineLevel="0" collapsed="false">
      <c r="A89" s="0" t="s">
        <v>4033</v>
      </c>
      <c r="B89" s="0" t="s">
        <v>4034</v>
      </c>
      <c r="C89" s="23" t="n">
        <f aca="false">g_lt_hi</f>
        <v>0.15</v>
      </c>
      <c r="D89" s="20" t="s">
        <v>4030</v>
      </c>
      <c r="F89" s="0" t="str">
        <f aca="false">IF(AND(C89&gt;=-0.2,C89&lt;=0.5),"OK","ERROR")</f>
        <v>OK</v>
      </c>
      <c r="G89" s="5" t="s">
        <v>3925</v>
      </c>
    </row>
    <row r="90" customFormat="false" ht="17.15" hidden="false" customHeight="false" outlineLevel="0" collapsed="false">
      <c r="A90" s="0" t="s">
        <v>4035</v>
      </c>
      <c r="B90" s="5" t="s">
        <v>4036</v>
      </c>
      <c r="C90" s="0" t="n">
        <f aca="false">COUNTIF(Pipeline!E51:M65,"&lt;-1E-9")</f>
        <v>0</v>
      </c>
      <c r="F90" s="0" t="str">
        <f aca="false">IF(C90=0,"OK","WARN")</f>
        <v>OK</v>
      </c>
      <c r="G90" s="5" t="s">
        <v>3925</v>
      </c>
    </row>
    <row r="91" customFormat="false" ht="17.15" hidden="false" customHeight="false" outlineLevel="0" collapsed="false">
      <c r="A91" s="0" t="s">
        <v>4037</v>
      </c>
      <c r="B91" s="0" t="s">
        <v>4038</v>
      </c>
      <c r="C91" s="0" t="n">
        <v>0</v>
      </c>
      <c r="F91" s="0" t="str">
        <f aca="false">IF(C91=1,"OK","WARN")</f>
        <v>WARN</v>
      </c>
      <c r="G91" s="5" t="s">
        <v>4039</v>
      </c>
      <c r="H91" s="0" t="s">
        <v>4040</v>
      </c>
    </row>
    <row r="92" customFormat="false" ht="17.15" hidden="false" customHeight="false" outlineLevel="0" collapsed="false">
      <c r="A92" s="0" t="s">
        <v>4041</v>
      </c>
      <c r="B92" s="0" t="s">
        <v>4042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3925</v>
      </c>
    </row>
    <row r="93" customFormat="false" ht="17.15" hidden="false" customHeight="false" outlineLevel="0" collapsed="false">
      <c r="A93" s="0" t="s">
        <v>4043</v>
      </c>
      <c r="B93" s="0" t="s">
        <v>4044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3925</v>
      </c>
    </row>
    <row r="94" customFormat="false" ht="17.15" hidden="false" customHeight="false" outlineLevel="0" collapsed="false">
      <c r="A94" s="0" t="s">
        <v>4045</v>
      </c>
      <c r="B94" s="0" t="s">
        <v>4046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3925</v>
      </c>
    </row>
    <row r="95" customFormat="false" ht="17.15" hidden="false" customHeight="false" outlineLevel="0" collapsed="false">
      <c r="A95" s="0" t="s">
        <v>4047</v>
      </c>
      <c r="B95" s="0" t="s">
        <v>4048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3892</v>
      </c>
    </row>
    <row r="96" customFormat="false" ht="17.15" hidden="false" customHeight="false" outlineLevel="0" collapsed="false">
      <c r="A96" s="0" t="s">
        <v>4049</v>
      </c>
      <c r="B96" s="0" t="s">
        <v>4050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3892</v>
      </c>
    </row>
    <row r="97" customFormat="false" ht="17.15" hidden="false" customHeight="false" outlineLevel="0" collapsed="false">
      <c r="A97" s="0" t="s">
        <v>4051</v>
      </c>
      <c r="B97" s="0" t="s">
        <v>4052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3892</v>
      </c>
    </row>
    <row r="98" customFormat="false" ht="17.15" hidden="false" customHeight="false" outlineLevel="0" collapsed="false">
      <c r="A98" s="0" t="s">
        <v>4053</v>
      </c>
      <c r="B98" s="0" t="s">
        <v>4054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3892</v>
      </c>
    </row>
    <row r="99" customFormat="false" ht="17.15" hidden="false" customHeight="false" outlineLevel="0" collapsed="false">
      <c r="A99" s="0" t="s">
        <v>4055</v>
      </c>
      <c r="B99" s="0" t="s">
        <v>4056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3892</v>
      </c>
    </row>
    <row r="100" customFormat="false" ht="17.15" hidden="false" customHeight="false" outlineLevel="0" collapsed="false">
      <c r="A100" s="0" t="s">
        <v>4057</v>
      </c>
      <c r="B100" s="0" t="s">
        <v>4058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3925</v>
      </c>
    </row>
    <row r="101" customFormat="false" ht="17.15" hidden="false" customHeight="false" outlineLevel="0" collapsed="false">
      <c r="A101" s="0" t="s">
        <v>4059</v>
      </c>
      <c r="B101" s="0" t="s">
        <v>4060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3925</v>
      </c>
    </row>
    <row r="102" customFormat="false" ht="17.15" hidden="false" customHeight="false" outlineLevel="0" collapsed="false">
      <c r="A102" s="0" t="s">
        <v>4061</v>
      </c>
      <c r="B102" s="0" t="s">
        <v>4062</v>
      </c>
      <c r="C102" s="24" t="n">
        <f aca="false">Players!G307</f>
        <v>37.6525147943925</v>
      </c>
      <c r="D102" s="0" t="str">
        <f aca="false">TEXT(Players!G308,"0.0")&amp;"–"&amp;TEXT(Players!G309,"0.0")</f>
        <v>34.4–41.0</v>
      </c>
      <c r="F102" s="0" t="str">
        <f aca="false">IF(AND(Players!G308&lt;=C102+0.000000001,C102&lt;=Players!G309+0.000000001),"OK","ERROR")</f>
        <v>OK</v>
      </c>
      <c r="G102" s="5" t="s">
        <v>3925</v>
      </c>
    </row>
    <row r="103" customFormat="false" ht="17.15" hidden="false" customHeight="false" outlineLevel="0" collapsed="false">
      <c r="A103" s="0" t="s">
        <v>4063</v>
      </c>
      <c r="B103" s="0" t="s">
        <v>4064</v>
      </c>
      <c r="C103" s="24" t="n">
        <f aca="false">Players!H307</f>
        <v>43.1401599188997</v>
      </c>
      <c r="D103" s="0" t="str">
        <f aca="false">TEXT(Players!H308,"0.0")&amp;"–"&amp;TEXT(Players!H309,"0.0")</f>
        <v>43.1–43.1</v>
      </c>
      <c r="F103" s="0" t="str">
        <f aca="false">IF(AND(Players!H308&lt;=C103+0.000000001,C103&lt;=Players!H309+0.000000001),"OK","ERROR")</f>
        <v>OK</v>
      </c>
      <c r="G103" s="5" t="s">
        <v>3925</v>
      </c>
    </row>
    <row r="104" customFormat="false" ht="17.15" hidden="false" customHeight="false" outlineLevel="0" collapsed="false">
      <c r="A104" s="0" t="s">
        <v>4065</v>
      </c>
      <c r="B104" s="0" t="s">
        <v>4066</v>
      </c>
      <c r="C104" s="24" t="n">
        <f aca="false">Players!I307</f>
        <v>59.7282073131421</v>
      </c>
      <c r="D104" s="0" t="str">
        <f aca="false">TEXT(Players!I308,"0.0")&amp;"–"&amp;TEXT(Players!I309,"0.0")</f>
        <v>59.7–59.7</v>
      </c>
      <c r="F104" s="0" t="str">
        <f aca="false">IF(AND(Players!I308&lt;=C104+0.000000001,C104&lt;=Players!I309+0.000000001),"OK","ERROR")</f>
        <v>OK</v>
      </c>
      <c r="G104" s="5" t="s">
        <v>3925</v>
      </c>
    </row>
    <row r="105" customFormat="false" ht="17.15" hidden="false" customHeight="false" outlineLevel="0" collapsed="false">
      <c r="A105" s="0" t="s">
        <v>4067</v>
      </c>
      <c r="B105" s="0" t="s">
        <v>4068</v>
      </c>
      <c r="C105" s="24" t="n">
        <f aca="false">Players!J307</f>
        <v>65.6632286441395</v>
      </c>
      <c r="D105" s="0" t="str">
        <f aca="false">TEXT(Players!J308,"0.0")&amp;"–"&amp;TEXT(Players!J309,"0.0")</f>
        <v>65.7–65.7</v>
      </c>
      <c r="F105" s="0" t="str">
        <f aca="false">IF(AND(Players!J308&lt;=C105+0.000000001,C105&lt;=Players!J309+0.000000001),"OK","ERROR")</f>
        <v>OK</v>
      </c>
      <c r="G105" s="5" t="s">
        <v>3925</v>
      </c>
    </row>
    <row r="106" customFormat="false" ht="17.15" hidden="false" customHeight="false" outlineLevel="0" collapsed="false">
      <c r="A106" s="0" t="s">
        <v>4069</v>
      </c>
      <c r="B106" s="0" t="s">
        <v>4070</v>
      </c>
      <c r="C106" s="24" t="n">
        <f aca="false">Players!K307</f>
        <v>73.3052836661874</v>
      </c>
      <c r="D106" s="0" t="str">
        <f aca="false">TEXT(Players!K308,"0.0")&amp;"–"&amp;TEXT(Players!K309,"0.0")</f>
        <v>73.3–73.3</v>
      </c>
      <c r="F106" s="0" t="str">
        <f aca="false">IF(AND(Players!K308&lt;=C106+0.000000001,C106&lt;=Players!K309+0.000000001),"OK","ERROR")</f>
        <v>OK</v>
      </c>
      <c r="G106" s="5" t="s">
        <v>3925</v>
      </c>
    </row>
    <row r="107" customFormat="false" ht="17.15" hidden="false" customHeight="false" outlineLevel="0" collapsed="false">
      <c r="A107" s="0" t="s">
        <v>4071</v>
      </c>
      <c r="B107" s="0" t="s">
        <v>4072</v>
      </c>
      <c r="C107" s="24" t="n">
        <f aca="false">Players!L307</f>
        <v>75.4591298200336</v>
      </c>
      <c r="D107" s="0" t="str">
        <f aca="false">TEXT(Players!L308,"0.0")&amp;"–"&amp;TEXT(Players!L309,"0.0")</f>
        <v>75.5–75.5</v>
      </c>
      <c r="F107" s="0" t="str">
        <f aca="false">IF(AND(Players!L308&lt;=C107+0.000000001,C107&lt;=Players!L309+0.000000001),"OK","ERROR")</f>
        <v>OK</v>
      </c>
      <c r="G107" s="5" t="s">
        <v>3925</v>
      </c>
    </row>
    <row r="108" customFormat="false" ht="17.15" hidden="false" customHeight="false" outlineLevel="0" collapsed="false">
      <c r="A108" s="0" t="s">
        <v>4073</v>
      </c>
      <c r="B108" s="0" t="s">
        <v>4074</v>
      </c>
      <c r="C108" s="24" t="n">
        <f aca="false">Players!M307</f>
        <v>77.8283605892643</v>
      </c>
      <c r="D108" s="0" t="str">
        <f aca="false">TEXT(Players!M308,"0.0")&amp;"–"&amp;TEXT(Players!M309,"0.0")</f>
        <v>77.8–77.8</v>
      </c>
      <c r="F108" s="0" t="str">
        <f aca="false">IF(AND(Players!M308&lt;=C108+0.000000001,C108&lt;=Players!M309+0.000000001),"OK","ERROR")</f>
        <v>OK</v>
      </c>
      <c r="G108" s="5" t="s">
        <v>3925</v>
      </c>
    </row>
    <row r="109" customFormat="false" ht="17.15" hidden="false" customHeight="false" outlineLevel="0" collapsed="false">
      <c r="A109" s="0" t="s">
        <v>4075</v>
      </c>
      <c r="B109" s="0" t="s">
        <v>4076</v>
      </c>
      <c r="C109" s="0" t="n">
        <v>0</v>
      </c>
      <c r="F109" s="0" t="str">
        <f aca="false">IF(C109=0,"OK","ERROR")</f>
        <v>OK</v>
      </c>
      <c r="G109" s="5" t="s">
        <v>4077</v>
      </c>
      <c r="H109" s="5" t="s">
        <v>4078</v>
      </c>
    </row>
    <row r="110" customFormat="false" ht="17.15" hidden="false" customHeight="false" outlineLevel="0" collapsed="false">
      <c r="A110" s="0" t="s">
        <v>4079</v>
      </c>
      <c r="B110" s="0" t="s">
        <v>4080</v>
      </c>
      <c r="C110" s="0" t="n">
        <v>213</v>
      </c>
      <c r="F110" s="0" t="str">
        <f aca="false">IF(C110&gt;0,"OK","WARN")</f>
        <v>OK</v>
      </c>
      <c r="G110" s="5" t="s">
        <v>4077</v>
      </c>
    </row>
    <row r="111" customFormat="false" ht="17.15" hidden="false" customHeight="false" outlineLevel="0" collapsed="false">
      <c r="A111" s="0" t="s">
        <v>4081</v>
      </c>
      <c r="B111" s="5" t="s">
        <v>4082</v>
      </c>
      <c r="C111" s="0" t="n">
        <f aca="false">COUNTIF(Interface!D7:L7,"&lt;0.5")</f>
        <v>5</v>
      </c>
      <c r="F111" s="0" t="str">
        <f aca="false">IF(C111=0,"OK","WARN")</f>
        <v>WARN</v>
      </c>
      <c r="G111" s="5" t="s">
        <v>4083</v>
      </c>
      <c r="H111" s="0" t="s">
        <v>4084</v>
      </c>
    </row>
    <row r="112" customFormat="false" ht="17.15" hidden="false" customHeight="false" outlineLevel="0" collapsed="false">
      <c r="A112" s="0" t="s">
        <v>4085</v>
      </c>
      <c r="B112" s="0" t="s">
        <v>4086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3892</v>
      </c>
    </row>
    <row r="113" customFormat="false" ht="17.15" hidden="false" customHeight="false" outlineLevel="0" collapsed="false">
      <c r="A113" s="0" t="s">
        <v>4087</v>
      </c>
      <c r="B113" s="0" t="s">
        <v>4088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3892</v>
      </c>
    </row>
    <row r="114" customFormat="false" ht="17.15" hidden="false" customHeight="false" outlineLevel="0" collapsed="false">
      <c r="A114" s="0" t="s">
        <v>4089</v>
      </c>
      <c r="B114" s="0" t="s">
        <v>4090</v>
      </c>
      <c r="C114" s="24" t="n">
        <f aca="false">Deploy!G13</f>
        <v>37.6525147943925</v>
      </c>
      <c r="D114" s="24" t="n">
        <f aca="false">Deploy!G62</f>
        <v>37.6525147943925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3892</v>
      </c>
    </row>
    <row r="115" customFormat="false" ht="17.15" hidden="false" customHeight="false" outlineLevel="0" collapsed="false">
      <c r="A115" s="0" t="s">
        <v>4091</v>
      </c>
      <c r="B115" s="5" t="s">
        <v>4092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3925</v>
      </c>
    </row>
    <row r="116" customFormat="false" ht="17.15" hidden="false" customHeight="false" outlineLevel="0" collapsed="false">
      <c r="A116" s="0" t="s">
        <v>4093</v>
      </c>
      <c r="B116" s="0" t="s">
        <v>4094</v>
      </c>
      <c r="C116" s="0" t="n">
        <f aca="false">SUMPRODUCT(Pipeline!L5:L47,Pipeline!Q5:Q47,(Pipeline!K5:K47&gt;asof)*1,((Pipeline!J5:J47&gt;0)+(Pipeline!J5:J47&lt;=0)*dly_d1_s)*(Pipeline!O5:O47-Pipeline!M5:M47)*12)</f>
        <v>61.2567</v>
      </c>
      <c r="D116" s="0" t="n">
        <f aca="false">SUMPRODUCT(ISTEXT(Pipeline!J5:J47)*1)</f>
        <v>0</v>
      </c>
      <c r="F116" s="0" t="str">
        <f aca="false">IF(AND(C116&gt;0,D116=0),"OK","ERROR")</f>
        <v>OK</v>
      </c>
      <c r="G116" s="5" t="s">
        <v>3925</v>
      </c>
      <c r="H116" s="0" t="s">
        <v>4095</v>
      </c>
    </row>
    <row r="117" customFormat="false" ht="17.15" hidden="false" customHeight="false" outlineLevel="0" collapsed="false">
      <c r="A117" s="0" t="s">
        <v>4096</v>
      </c>
      <c r="B117" s="0" t="s">
        <v>4097</v>
      </c>
      <c r="C117" s="24" t="n">
        <f aca="false">Deploy!H63</f>
        <v>42.1975553554443</v>
      </c>
      <c r="D117" s="24" t="n">
        <f aca="false">Deploy!H62</f>
        <v>43.1401599188997</v>
      </c>
      <c r="F117" s="0" t="str">
        <f aca="false">IF(C117&lt;D117-0.000001,"OK","ERROR")</f>
        <v>OK</v>
      </c>
      <c r="G117" s="5" t="s">
        <v>3925</v>
      </c>
    </row>
    <row r="118" customFormat="false" ht="17.15" hidden="false" customHeight="false" outlineLevel="0" collapsed="false">
      <c r="A118" s="0" t="s">
        <v>4098</v>
      </c>
      <c r="B118" s="0" t="s">
        <v>4099</v>
      </c>
      <c r="C118" s="24" t="n">
        <f aca="false">Deploy!J63</f>
        <v>64.3122249112149</v>
      </c>
      <c r="D118" s="24" t="n">
        <f aca="false">Deploy!J62</f>
        <v>65.6632286441395</v>
      </c>
      <c r="F118" s="0" t="str">
        <f aca="false">IF(C118&lt;D118-0.000001,"OK","ERROR")</f>
        <v>OK</v>
      </c>
      <c r="G118" s="5" t="s">
        <v>3925</v>
      </c>
    </row>
    <row r="119" customFormat="false" ht="17.15" hidden="false" customHeight="false" outlineLevel="0" collapsed="false">
      <c r="A119" s="0" t="s">
        <v>4100</v>
      </c>
      <c r="B119" s="0" t="s">
        <v>4101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3892</v>
      </c>
    </row>
    <row r="120" customFormat="false" ht="17.15" hidden="false" customHeight="false" outlineLevel="0" collapsed="false">
      <c r="A120" s="0" t="s">
        <v>4102</v>
      </c>
      <c r="B120" s="0" t="s">
        <v>4103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3892</v>
      </c>
    </row>
    <row r="121" customFormat="false" ht="17.15" hidden="false" customHeight="false" outlineLevel="0" collapsed="false">
      <c r="A121" s="0" t="s">
        <v>4104</v>
      </c>
      <c r="B121" s="0" t="s">
        <v>4105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3892</v>
      </c>
    </row>
    <row r="122" customFormat="false" ht="17.15" hidden="false" customHeight="false" outlineLevel="0" collapsed="false">
      <c r="A122" s="0" t="s">
        <v>4106</v>
      </c>
      <c r="B122" s="0" t="s">
        <v>4107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3892</v>
      </c>
    </row>
    <row r="123" customFormat="false" ht="17.15" hidden="false" customHeight="false" outlineLevel="0" collapsed="false">
      <c r="A123" s="0" t="s">
        <v>4108</v>
      </c>
      <c r="B123" s="0" t="s">
        <v>4109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3892</v>
      </c>
    </row>
    <row r="124" customFormat="false" ht="17.15" hidden="false" customHeight="false" outlineLevel="0" collapsed="false">
      <c r="A124" s="0" t="s">
        <v>4110</v>
      </c>
      <c r="B124" s="0" t="s">
        <v>4111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3892</v>
      </c>
    </row>
    <row r="125" customFormat="false" ht="17.15" hidden="false" customHeight="false" outlineLevel="0" collapsed="false">
      <c r="A125" s="0" t="s">
        <v>4112</v>
      </c>
      <c r="B125" s="0" t="s">
        <v>4113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3892</v>
      </c>
    </row>
    <row r="126" customFormat="false" ht="17.15" hidden="false" customHeight="false" outlineLevel="0" collapsed="false">
      <c r="A126" s="0" t="s">
        <v>4114</v>
      </c>
      <c r="B126" s="0" t="s">
        <v>4115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3892</v>
      </c>
    </row>
    <row r="127" customFormat="false" ht="17.15" hidden="false" customHeight="false" outlineLevel="0" collapsed="false">
      <c r="A127" s="0" t="s">
        <v>4116</v>
      </c>
      <c r="B127" s="0" t="s">
        <v>4117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3892</v>
      </c>
    </row>
    <row r="128" customFormat="false" ht="17.15" hidden="false" customHeight="false" outlineLevel="0" collapsed="false">
      <c r="A128" s="0" t="s">
        <v>4118</v>
      </c>
      <c r="B128" s="0" t="s">
        <v>4119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3892</v>
      </c>
    </row>
    <row r="129" customFormat="false" ht="17.15" hidden="false" customHeight="false" outlineLevel="0" collapsed="false">
      <c r="A129" s="0" t="s">
        <v>4120</v>
      </c>
      <c r="B129" s="0" t="s">
        <v>4121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3925</v>
      </c>
    </row>
    <row r="130" customFormat="false" ht="17.15" hidden="false" customHeight="false" outlineLevel="0" collapsed="false">
      <c r="A130" s="0" t="s">
        <v>4122</v>
      </c>
      <c r="B130" s="0" t="s">
        <v>4123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3892</v>
      </c>
    </row>
    <row r="131" customFormat="false" ht="17.15" hidden="false" customHeight="false" outlineLevel="0" collapsed="false">
      <c r="A131" s="0" t="s">
        <v>4124</v>
      </c>
      <c r="B131" s="0" t="s">
        <v>4125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3892</v>
      </c>
    </row>
    <row r="132" customFormat="false" ht="17.15" hidden="false" customHeight="false" outlineLevel="0" collapsed="false">
      <c r="A132" s="0" t="s">
        <v>4126</v>
      </c>
      <c r="B132" s="0" t="s">
        <v>4127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3892</v>
      </c>
    </row>
    <row r="133" customFormat="false" ht="17.15" hidden="false" customHeight="false" outlineLevel="0" collapsed="false">
      <c r="A133" s="0" t="s">
        <v>4128</v>
      </c>
      <c r="B133" s="0" t="s">
        <v>4129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3892</v>
      </c>
    </row>
    <row r="134" customFormat="false" ht="17.15" hidden="false" customHeight="false" outlineLevel="0" collapsed="false">
      <c r="A134" s="0" t="s">
        <v>4130</v>
      </c>
      <c r="B134" s="0" t="s">
        <v>4131</v>
      </c>
      <c r="C134" s="32" t="n">
        <f aca="false">Spend!G16</f>
        <v>387.358864995851</v>
      </c>
      <c r="D134" s="20" t="n">
        <f aca="false">Spend!G4*Spend!G5</f>
        <v>387.358864995851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3892</v>
      </c>
    </row>
    <row r="135" customFormat="false" ht="17.15" hidden="false" customHeight="false" outlineLevel="0" collapsed="false">
      <c r="A135" s="0" t="s">
        <v>4132</v>
      </c>
      <c r="B135" s="0" t="s">
        <v>4133</v>
      </c>
      <c r="C135" s="32" t="n">
        <f aca="false">Spend!H16</f>
        <v>700.404957518074</v>
      </c>
      <c r="D135" s="20" t="n">
        <f aca="false">Spend!H4*Spend!H5</f>
        <v>700.404957518074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3892</v>
      </c>
    </row>
    <row r="136" customFormat="false" ht="17.15" hidden="false" customHeight="false" outlineLevel="0" collapsed="false">
      <c r="A136" s="0" t="s">
        <v>4134</v>
      </c>
      <c r="B136" s="0" t="s">
        <v>4135</v>
      </c>
      <c r="C136" s="32" t="n">
        <f aca="false">Spend!I16</f>
        <v>935.450849183312</v>
      </c>
      <c r="D136" s="20" t="n">
        <f aca="false">Spend!I4*Spend!I5</f>
        <v>935.450849183312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3892</v>
      </c>
    </row>
    <row r="137" customFormat="false" ht="17.15" hidden="false" customHeight="false" outlineLevel="0" collapsed="false">
      <c r="A137" s="0" t="s">
        <v>4136</v>
      </c>
      <c r="B137" s="0" t="s">
        <v>4137</v>
      </c>
      <c r="C137" s="32" t="n">
        <f aca="false">Spend!J16</f>
        <v>1031.70063099535</v>
      </c>
      <c r="D137" s="20" t="n">
        <f aca="false">Spend!J4*Spend!J5</f>
        <v>1031.70063099535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3892</v>
      </c>
    </row>
    <row r="138" customFormat="false" ht="17.15" hidden="false" customHeight="false" outlineLevel="0" collapsed="false">
      <c r="A138" s="0" t="s">
        <v>4138</v>
      </c>
      <c r="B138" s="0" t="s">
        <v>4139</v>
      </c>
      <c r="C138" s="32" t="n">
        <f aca="false">Spend!K16</f>
        <v>1055.67720285431</v>
      </c>
      <c r="D138" s="20" t="n">
        <f aca="false">Spend!K4*Spend!K5</f>
        <v>1055.67720285431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3892</v>
      </c>
    </row>
    <row r="139" customFormat="false" ht="17.15" hidden="false" customHeight="false" outlineLevel="0" collapsed="false">
      <c r="A139" s="0" t="s">
        <v>4140</v>
      </c>
      <c r="B139" s="0" t="s">
        <v>4141</v>
      </c>
      <c r="C139" s="32" t="n">
        <f aca="false">Spend!L16</f>
        <v>921.555377636003</v>
      </c>
      <c r="D139" s="20" t="n">
        <f aca="false">Spend!L4*Spend!L5</f>
        <v>921.555377636003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3892</v>
      </c>
    </row>
    <row r="140" customFormat="false" ht="17.15" hidden="false" customHeight="false" outlineLevel="0" collapsed="false">
      <c r="A140" s="0" t="s">
        <v>4142</v>
      </c>
      <c r="B140" s="0" t="s">
        <v>4143</v>
      </c>
      <c r="C140" s="32" t="n">
        <f aca="false">Spend!M16</f>
        <v>607.864682224558</v>
      </c>
      <c r="D140" s="20" t="n">
        <f aca="false">Spend!M4*Spend!M5</f>
        <v>607.864682224558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3892</v>
      </c>
    </row>
    <row r="141" customFormat="false" ht="17.15" hidden="false" customHeight="false" outlineLevel="0" collapsed="false">
      <c r="A141" s="0" t="s">
        <v>4144</v>
      </c>
      <c r="B141" s="0" t="s">
        <v>4145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3892</v>
      </c>
    </row>
    <row r="142" customFormat="false" ht="17.15" hidden="false" customHeight="false" outlineLevel="0" collapsed="false">
      <c r="A142" s="0" t="s">
        <v>4146</v>
      </c>
      <c r="B142" s="0" t="s">
        <v>4147</v>
      </c>
      <c r="C142" s="0" t="n">
        <v>0</v>
      </c>
      <c r="F142" s="0" t="str">
        <f aca="false">IF(C142=0,"OK","ERROR")</f>
        <v>OK</v>
      </c>
      <c r="G142" s="5" t="s">
        <v>4077</v>
      </c>
    </row>
    <row r="143" customFormat="false" ht="17.15" hidden="false" customHeight="false" outlineLevel="0" collapsed="false">
      <c r="A143" s="0" t="s">
        <v>4148</v>
      </c>
      <c r="B143" s="0" t="s">
        <v>4149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4150</v>
      </c>
    </row>
    <row r="144" customFormat="false" ht="17.15" hidden="false" customHeight="false" outlineLevel="0" collapsed="false">
      <c r="A144" s="0" t="s">
        <v>4151</v>
      </c>
      <c r="B144" s="0" t="s">
        <v>4152</v>
      </c>
      <c r="C144" s="32" t="n">
        <f aca="false">Funding!AL9</f>
        <v>64.564</v>
      </c>
      <c r="D144" s="0" t="n">
        <v>64.564</v>
      </c>
      <c r="F144" s="0" t="str">
        <f aca="false">IF(C144&gt;=D144-0.000001,"OK","ERROR")</f>
        <v>OK</v>
      </c>
      <c r="G144" s="5" t="s">
        <v>4153</v>
      </c>
    </row>
    <row r="145" customFormat="false" ht="17.15" hidden="false" customHeight="false" outlineLevel="0" collapsed="false">
      <c r="A145" s="0" t="s">
        <v>4154</v>
      </c>
      <c r="B145" s="0" t="s">
        <v>4155</v>
      </c>
      <c r="C145" s="32" t="n">
        <f aca="false">Funding!AL15</f>
        <v>57.3</v>
      </c>
      <c r="D145" s="0" t="n">
        <v>57.3</v>
      </c>
      <c r="F145" s="0" t="str">
        <f aca="false">IF(C145&gt;=D145-0.000001,"OK","ERROR")</f>
        <v>OK</v>
      </c>
      <c r="G145" s="5" t="s">
        <v>4153</v>
      </c>
    </row>
    <row r="146" customFormat="false" ht="17.15" hidden="false" customHeight="false" outlineLevel="0" collapsed="false">
      <c r="A146" s="0" t="s">
        <v>4156</v>
      </c>
      <c r="B146" s="5" t="s">
        <v>4157</v>
      </c>
      <c r="C146" s="0" t="n">
        <v>17</v>
      </c>
      <c r="F146" s="0" t="str">
        <f aca="false">IF(C146=17,"OK","ERROR")</f>
        <v>OK</v>
      </c>
      <c r="G146" s="5" t="s">
        <v>3857</v>
      </c>
    </row>
    <row r="147" customFormat="false" ht="17.15" hidden="false" customHeight="false" outlineLevel="0" collapsed="false">
      <c r="A147" s="0" t="s">
        <v>4158</v>
      </c>
      <c r="B147" s="0" t="s">
        <v>4159</v>
      </c>
      <c r="C147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7" s="0" t="str">
        <f aca="false">IF(C147=0,"OK","WARN")</f>
        <v>OK</v>
      </c>
      <c r="G147" s="5" t="s">
        <v>3925</v>
      </c>
    </row>
    <row r="148" customFormat="false" ht="17.15" hidden="false" customHeight="false" outlineLevel="0" collapsed="false">
      <c r="A148" s="0" t="s">
        <v>4160</v>
      </c>
      <c r="B148" s="0" t="s">
        <v>4161</v>
      </c>
      <c r="C148" s="0" t="n">
        <f aca="false">SUMPRODUCT((In!S5:S228&lt;&gt;"")*(In!E5:E228=""))</f>
        <v>0</v>
      </c>
      <c r="F148" s="0" t="str">
        <f aca="false">IF(C148=0,"OK","ERROR")</f>
        <v>OK</v>
      </c>
      <c r="G148" s="5" t="s">
        <v>4162</v>
      </c>
    </row>
    <row r="149" customFormat="false" ht="17.15" hidden="false" customHeight="false" outlineLevel="0" collapsed="false">
      <c r="A149" s="0" t="s">
        <v>4163</v>
      </c>
      <c r="B149" s="0" t="s">
        <v>4164</v>
      </c>
      <c r="C149" s="0" t="n">
        <f aca="false">SUMPRODUCT((In!S5:S228&lt;&gt;"")*(In!F5:F228=""))</f>
        <v>0</v>
      </c>
      <c r="F149" s="0" t="str">
        <f aca="false">IF(C149=0,"OK","ERROR")</f>
        <v>OK</v>
      </c>
      <c r="G149" s="5" t="s">
        <v>4162</v>
      </c>
    </row>
    <row r="150" customFormat="false" ht="17.15" hidden="false" customHeight="false" outlineLevel="0" collapsed="false">
      <c r="A150" s="0" t="s">
        <v>4165</v>
      </c>
      <c r="B150" s="5" t="s">
        <v>4166</v>
      </c>
      <c r="C150" s="0" t="n">
        <f aca="false">SUMPRODUCT((In!S5:S228=1)*((ISNUMBER(SEARCH("Assumed",In!E5:E228))+ISNUMBER(SEARCH("Analogy",In!E5:E228)))&gt;0)*(((In!H5:H228="")+(In!J5:J228=""))&gt;0))</f>
        <v>0</v>
      </c>
      <c r="F150" s="0" t="str">
        <f aca="false">IF(C150=0,"OK","ERROR")</f>
        <v>OK</v>
      </c>
      <c r="G150" s="5" t="s">
        <v>4162</v>
      </c>
    </row>
    <row r="151" customFormat="false" ht="17.15" hidden="false" customHeight="false" outlineLevel="0" collapsed="false">
      <c r="A151" s="0" t="s">
        <v>4167</v>
      </c>
      <c r="B151" s="5" t="s">
        <v>4168</v>
      </c>
      <c r="C151" s="0" t="n">
        <f aca="false">SUMPRODUCT((In!S5:S228&gt;1)*((ISNUMBER(SEARCH("Assumed",In!E5:E228))+ISNUMBER(SEARCH("Analogy",In!E5:E228)))&gt;0))</f>
        <v>36</v>
      </c>
      <c r="F151" s="0" t="str">
        <f aca="false">IF(C151=0,"OK","WARN")</f>
        <v>WARN</v>
      </c>
      <c r="G151" s="5" t="s">
        <v>4162</v>
      </c>
    </row>
    <row r="152" customFormat="false" ht="17.15" hidden="false" customHeight="false" outlineLevel="0" collapsed="false">
      <c r="A152" s="0" t="s">
        <v>4169</v>
      </c>
      <c r="B152" s="0" t="s">
        <v>4170</v>
      </c>
      <c r="C152" s="0" t="n">
        <v>0</v>
      </c>
      <c r="F152" s="0" t="str">
        <f aca="false">IF(C152=0,"OK","ERROR")</f>
        <v>OK</v>
      </c>
      <c r="G152" s="5" t="s">
        <v>4162</v>
      </c>
    </row>
    <row r="153" customFormat="false" ht="17.15" hidden="false" customHeight="false" outlineLevel="0" collapsed="false">
      <c r="A153" s="0" t="s">
        <v>4171</v>
      </c>
      <c r="B153" s="5" t="s">
        <v>4172</v>
      </c>
      <c r="C153" s="0" t="n">
        <f aca="false">COUNTIF(In!E5:E228,"待證據")</f>
        <v>24</v>
      </c>
      <c r="F153" s="0" t="str">
        <f aca="false">IF(C153=0,"OK","WARN")</f>
        <v>WARN</v>
      </c>
      <c r="G153" s="5" t="s">
        <v>4162</v>
      </c>
      <c r="H153" s="0" t="s">
        <v>4173</v>
      </c>
    </row>
    <row r="154" customFormat="false" ht="15" hidden="false" customHeight="false" outlineLevel="0" collapsed="false">
      <c r="A154" s="0" t="s">
        <v>4174</v>
      </c>
      <c r="B154" s="5" t="s">
        <v>4175</v>
      </c>
      <c r="C154" s="0" t="n">
        <f aca="false">COUNTIF(In!G5:G228,"*【佔位】*")</f>
        <v>0</v>
      </c>
      <c r="F154" s="0" t="str">
        <f aca="false">IF(C154=0,"OK","WARN")</f>
        <v>OK</v>
      </c>
      <c r="G154" s="5" t="s">
        <v>4162</v>
      </c>
    </row>
    <row r="156" customFormat="false" ht="15" hidden="false" customHeight="false" outlineLevel="0" collapsed="false">
      <c r="A156" s="8" t="s">
        <v>4176</v>
      </c>
      <c r="C156" s="42" t="n">
        <f aca="false">COUNTIF(F4:F154,"ERROR")</f>
        <v>0</v>
      </c>
    </row>
    <row r="157" customFormat="false" ht="15" hidden="false" customHeight="false" outlineLevel="0" collapsed="false">
      <c r="A157" s="8" t="s">
        <v>4177</v>
      </c>
      <c r="C157" s="42" t="n">
        <f aca="false">COUNTIF(F4:F154,"WARN")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4178</v>
      </c>
    </row>
    <row r="3" customFormat="false" ht="17.15" hidden="false" customHeight="false" outlineLevel="0" collapsed="false">
      <c r="A3" s="6" t="s">
        <v>4179</v>
      </c>
      <c r="B3" s="6" t="s">
        <v>1277</v>
      </c>
      <c r="C3" s="6" t="s">
        <v>14</v>
      </c>
      <c r="D3" s="6" t="s">
        <v>4180</v>
      </c>
      <c r="E3" s="6" t="s">
        <v>4181</v>
      </c>
      <c r="F3" s="6" t="s">
        <v>4182</v>
      </c>
      <c r="G3" s="6" t="s">
        <v>4183</v>
      </c>
    </row>
    <row r="4" customFormat="false" ht="32.8" hidden="false" customHeight="false" outlineLevel="0" collapsed="false">
      <c r="A4" s="3" t="s">
        <v>4184</v>
      </c>
      <c r="B4" s="2" t="s">
        <v>4185</v>
      </c>
      <c r="C4" s="2" t="s">
        <v>4186</v>
      </c>
      <c r="D4" s="2" t="s">
        <v>4187</v>
      </c>
      <c r="E4" s="3" t="s">
        <v>4188</v>
      </c>
      <c r="F4" s="3" t="s">
        <v>4189</v>
      </c>
      <c r="G4" s="2" t="s">
        <v>4190</v>
      </c>
    </row>
    <row r="5" customFormat="false" ht="32.8" hidden="false" customHeight="false" outlineLevel="0" collapsed="false">
      <c r="A5" s="3" t="s">
        <v>4191</v>
      </c>
      <c r="B5" s="2" t="s">
        <v>4185</v>
      </c>
      <c r="C5" s="2" t="s">
        <v>4192</v>
      </c>
      <c r="D5" s="2" t="s">
        <v>4193</v>
      </c>
      <c r="E5" s="3" t="s">
        <v>4188</v>
      </c>
      <c r="F5" s="2" t="s">
        <v>4194</v>
      </c>
      <c r="G5" s="2" t="s">
        <v>4190</v>
      </c>
    </row>
    <row r="6" customFormat="false" ht="64.15" hidden="false" customHeight="false" outlineLevel="0" collapsed="false">
      <c r="A6" s="43" t="s">
        <v>4195</v>
      </c>
      <c r="B6" s="44" t="s">
        <v>4185</v>
      </c>
      <c r="C6" s="44" t="s">
        <v>4196</v>
      </c>
      <c r="D6" s="44" t="s">
        <v>4197</v>
      </c>
      <c r="E6" s="43" t="s">
        <v>4188</v>
      </c>
      <c r="F6" s="43" t="s">
        <v>4198</v>
      </c>
      <c r="G6" s="44" t="s">
        <v>4199</v>
      </c>
    </row>
    <row r="7" customFormat="false" ht="32.8" hidden="false" customHeight="false" outlineLevel="0" collapsed="false">
      <c r="A7" s="43" t="s">
        <v>4200</v>
      </c>
      <c r="B7" s="44" t="s">
        <v>4185</v>
      </c>
      <c r="C7" s="44" t="s">
        <v>4201</v>
      </c>
      <c r="D7" s="43" t="s">
        <v>4202</v>
      </c>
      <c r="E7" s="43" t="s">
        <v>4188</v>
      </c>
      <c r="F7" s="44" t="s">
        <v>4203</v>
      </c>
      <c r="G7" s="44" t="s">
        <v>4199</v>
      </c>
    </row>
    <row r="8" customFormat="false" ht="32.8" hidden="false" customHeight="false" outlineLevel="0" collapsed="false">
      <c r="A8" s="3" t="s">
        <v>4204</v>
      </c>
      <c r="B8" s="2" t="s">
        <v>4185</v>
      </c>
      <c r="C8" s="3" t="s">
        <v>4205</v>
      </c>
      <c r="D8" s="2" t="s">
        <v>4206</v>
      </c>
      <c r="E8" s="3" t="s">
        <v>4188</v>
      </c>
      <c r="F8" s="2" t="s">
        <v>4207</v>
      </c>
      <c r="G8" s="2" t="s">
        <v>4190</v>
      </c>
    </row>
    <row r="9" customFormat="false" ht="48.5" hidden="false" customHeight="false" outlineLevel="0" collapsed="false">
      <c r="A9" s="3" t="s">
        <v>4208</v>
      </c>
      <c r="B9" s="2" t="s">
        <v>4185</v>
      </c>
      <c r="C9" s="2" t="s">
        <v>4209</v>
      </c>
      <c r="D9" s="2" t="s">
        <v>4210</v>
      </c>
      <c r="E9" s="3" t="s">
        <v>4188</v>
      </c>
      <c r="F9" s="3" t="s">
        <v>4211</v>
      </c>
      <c r="G9" s="2" t="s">
        <v>4190</v>
      </c>
    </row>
    <row r="10" customFormat="false" ht="64.15" hidden="false" customHeight="false" outlineLevel="0" collapsed="false">
      <c r="A10" s="43" t="s">
        <v>4212</v>
      </c>
      <c r="B10" s="44" t="s">
        <v>4185</v>
      </c>
      <c r="C10" s="44" t="s">
        <v>4213</v>
      </c>
      <c r="D10" s="43" t="s">
        <v>4214</v>
      </c>
      <c r="E10" s="43" t="s">
        <v>4188</v>
      </c>
      <c r="F10" s="44" t="s">
        <v>4215</v>
      </c>
      <c r="G10" s="44" t="s">
        <v>4199</v>
      </c>
    </row>
    <row r="11" customFormat="false" ht="48.5" hidden="false" customHeight="false" outlineLevel="0" collapsed="false">
      <c r="A11" s="43" t="s">
        <v>4216</v>
      </c>
      <c r="B11" s="44" t="s">
        <v>4185</v>
      </c>
      <c r="C11" s="43" t="s">
        <v>4217</v>
      </c>
      <c r="D11" s="43" t="s">
        <v>4218</v>
      </c>
      <c r="E11" s="43" t="s">
        <v>4188</v>
      </c>
      <c r="F11" s="44" t="s">
        <v>4219</v>
      </c>
      <c r="G11" s="44" t="s">
        <v>4199</v>
      </c>
    </row>
    <row r="12" customFormat="false" ht="32.8" hidden="false" customHeight="false" outlineLevel="0" collapsed="false">
      <c r="A12" s="3" t="s">
        <v>4220</v>
      </c>
      <c r="B12" s="2" t="s">
        <v>4185</v>
      </c>
      <c r="C12" s="3" t="s">
        <v>4221</v>
      </c>
      <c r="D12" s="2" t="s">
        <v>4222</v>
      </c>
      <c r="E12" s="3" t="s">
        <v>4188</v>
      </c>
      <c r="F12" s="2" t="s">
        <v>4223</v>
      </c>
      <c r="G12" s="2" t="s">
        <v>4190</v>
      </c>
    </row>
    <row r="13" customFormat="false" ht="17.15" hidden="false" customHeight="false" outlineLevel="0" collapsed="false">
      <c r="A13" s="3" t="s">
        <v>4224</v>
      </c>
      <c r="B13" s="2" t="s">
        <v>4185</v>
      </c>
      <c r="C13" s="2" t="s">
        <v>4225</v>
      </c>
      <c r="D13" s="2" t="s">
        <v>4226</v>
      </c>
      <c r="E13" s="3" t="s">
        <v>4188</v>
      </c>
      <c r="F13" s="2" t="s">
        <v>4227</v>
      </c>
      <c r="G13" s="2" t="s">
        <v>4190</v>
      </c>
    </row>
    <row r="14" customFormat="false" ht="48.5" hidden="false" customHeight="false" outlineLevel="0" collapsed="false">
      <c r="A14" s="43" t="s">
        <v>4228</v>
      </c>
      <c r="B14" s="44" t="s">
        <v>4185</v>
      </c>
      <c r="C14" s="44" t="s">
        <v>4229</v>
      </c>
      <c r="D14" s="43" t="s">
        <v>4230</v>
      </c>
      <c r="E14" s="43" t="s">
        <v>4188</v>
      </c>
      <c r="F14" s="43" t="s">
        <v>4231</v>
      </c>
      <c r="G14" s="44" t="s">
        <v>4199</v>
      </c>
    </row>
    <row r="15" customFormat="false" ht="32.8" hidden="false" customHeight="false" outlineLevel="0" collapsed="false">
      <c r="A15" s="3" t="s">
        <v>4232</v>
      </c>
      <c r="B15" s="2" t="s">
        <v>4185</v>
      </c>
      <c r="C15" s="2" t="s">
        <v>4233</v>
      </c>
      <c r="D15" s="2" t="s">
        <v>4234</v>
      </c>
      <c r="E15" s="3" t="s">
        <v>4188</v>
      </c>
      <c r="F15" s="3" t="s">
        <v>4235</v>
      </c>
      <c r="G15" s="2" t="s">
        <v>4190</v>
      </c>
    </row>
    <row r="16" customFormat="false" ht="64.15" hidden="false" customHeight="false" outlineLevel="0" collapsed="false">
      <c r="A16" s="43" t="s">
        <v>4236</v>
      </c>
      <c r="B16" s="44" t="s">
        <v>4185</v>
      </c>
      <c r="C16" s="43" t="s">
        <v>4237</v>
      </c>
      <c r="D16" s="43" t="s">
        <v>4238</v>
      </c>
      <c r="E16" s="43" t="s">
        <v>4188</v>
      </c>
      <c r="F16" s="43" t="s">
        <v>4239</v>
      </c>
      <c r="G16" s="44" t="s">
        <v>4199</v>
      </c>
    </row>
    <row r="17" customFormat="false" ht="30.55" hidden="false" customHeight="false" outlineLevel="0" collapsed="false">
      <c r="A17" s="43" t="s">
        <v>4240</v>
      </c>
      <c r="B17" s="44" t="s">
        <v>4185</v>
      </c>
      <c r="C17" s="43" t="s">
        <v>4241</v>
      </c>
      <c r="D17" s="44" t="s">
        <v>4242</v>
      </c>
      <c r="E17" s="43" t="s">
        <v>4188</v>
      </c>
      <c r="F17" s="43" t="s">
        <v>4235</v>
      </c>
      <c r="G17" s="44" t="s">
        <v>4199</v>
      </c>
    </row>
    <row r="18" customFormat="false" ht="32.8" hidden="false" customHeight="false" outlineLevel="0" collapsed="false">
      <c r="A18" s="3" t="s">
        <v>4243</v>
      </c>
      <c r="B18" s="2" t="s">
        <v>4185</v>
      </c>
      <c r="C18" s="2" t="s">
        <v>4244</v>
      </c>
      <c r="D18" s="3" t="s">
        <v>4245</v>
      </c>
      <c r="E18" s="3" t="s">
        <v>4188</v>
      </c>
      <c r="F18" s="2" t="s">
        <v>4185</v>
      </c>
      <c r="G18" s="2" t="s">
        <v>4190</v>
      </c>
    </row>
    <row r="19" customFormat="false" ht="95.5" hidden="false" customHeight="false" outlineLevel="0" collapsed="false">
      <c r="A19" s="43" t="s">
        <v>4246</v>
      </c>
      <c r="B19" s="44" t="s">
        <v>4185</v>
      </c>
      <c r="C19" s="44" t="s">
        <v>4247</v>
      </c>
      <c r="D19" s="44" t="s">
        <v>4248</v>
      </c>
      <c r="E19" s="43" t="s">
        <v>4188</v>
      </c>
      <c r="F19" s="43" t="s">
        <v>4249</v>
      </c>
      <c r="G19" s="44" t="s">
        <v>4199</v>
      </c>
    </row>
    <row r="20" customFormat="false" ht="48.5" hidden="false" customHeight="false" outlineLevel="0" collapsed="false">
      <c r="A20" s="43" t="s">
        <v>4250</v>
      </c>
      <c r="B20" s="44" t="s">
        <v>4185</v>
      </c>
      <c r="C20" s="44" t="s">
        <v>4251</v>
      </c>
      <c r="D20" s="43" t="s">
        <v>4252</v>
      </c>
      <c r="E20" s="43" t="s">
        <v>4188</v>
      </c>
      <c r="F20" s="43" t="s">
        <v>4253</v>
      </c>
      <c r="G20" s="44" t="s">
        <v>4199</v>
      </c>
    </row>
    <row r="21" customFormat="false" ht="48.5" hidden="false" customHeight="false" outlineLevel="0" collapsed="false">
      <c r="A21" s="43" t="s">
        <v>4254</v>
      </c>
      <c r="B21" s="44" t="s">
        <v>4255</v>
      </c>
      <c r="C21" s="44" t="s">
        <v>4256</v>
      </c>
      <c r="D21" s="44" t="s">
        <v>4257</v>
      </c>
      <c r="E21" s="43" t="s">
        <v>4188</v>
      </c>
      <c r="F21" s="44" t="s">
        <v>4258</v>
      </c>
      <c r="G21" s="44" t="s">
        <v>4199</v>
      </c>
    </row>
    <row r="22" customFormat="false" ht="48.5" hidden="false" customHeight="false" outlineLevel="0" collapsed="false">
      <c r="A22" s="43" t="s">
        <v>4259</v>
      </c>
      <c r="B22" s="44" t="s">
        <v>4185</v>
      </c>
      <c r="C22" s="44" t="s">
        <v>4260</v>
      </c>
      <c r="D22" s="43" t="s">
        <v>4261</v>
      </c>
      <c r="E22" s="43" t="s">
        <v>4188</v>
      </c>
      <c r="F22" s="44" t="s">
        <v>4262</v>
      </c>
      <c r="G22" s="44" t="s">
        <v>4199</v>
      </c>
    </row>
    <row r="23" customFormat="false" ht="48.5" hidden="false" customHeight="false" outlineLevel="0" collapsed="false">
      <c r="A23" s="3" t="s">
        <v>4263</v>
      </c>
      <c r="B23" s="2" t="s">
        <v>4185</v>
      </c>
      <c r="C23" s="2" t="s">
        <v>4264</v>
      </c>
      <c r="D23" s="2" t="s">
        <v>4265</v>
      </c>
      <c r="E23" s="3" t="s">
        <v>4188</v>
      </c>
      <c r="F23" s="2" t="s">
        <v>4266</v>
      </c>
      <c r="G23" s="2" t="s">
        <v>4190</v>
      </c>
    </row>
    <row r="24" customFormat="false" ht="48.5" hidden="false" customHeight="false" outlineLevel="0" collapsed="false">
      <c r="A24" s="3" t="s">
        <v>4267</v>
      </c>
      <c r="B24" s="2" t="s">
        <v>4268</v>
      </c>
      <c r="C24" s="3" t="s">
        <v>4269</v>
      </c>
      <c r="D24" s="3" t="s">
        <v>4270</v>
      </c>
      <c r="E24" s="3" t="s">
        <v>4188</v>
      </c>
      <c r="F24" s="2" t="s">
        <v>4271</v>
      </c>
      <c r="G24" s="2" t="s">
        <v>4190</v>
      </c>
    </row>
    <row r="25" customFormat="false" ht="48.5" hidden="false" customHeight="false" outlineLevel="0" collapsed="false">
      <c r="A25" s="3" t="s">
        <v>4272</v>
      </c>
      <c r="B25" s="2" t="s">
        <v>4185</v>
      </c>
      <c r="C25" s="2" t="s">
        <v>4273</v>
      </c>
      <c r="D25" s="3" t="s">
        <v>4274</v>
      </c>
      <c r="E25" s="3" t="s">
        <v>4188</v>
      </c>
      <c r="F25" s="3" t="s">
        <v>4275</v>
      </c>
      <c r="G25" s="2" t="s">
        <v>4190</v>
      </c>
    </row>
    <row r="26" customFormat="false" ht="79.85" hidden="false" customHeight="false" outlineLevel="0" collapsed="false">
      <c r="A26" s="43" t="s">
        <v>4276</v>
      </c>
      <c r="B26" s="44" t="s">
        <v>4185</v>
      </c>
      <c r="C26" s="44" t="s">
        <v>4277</v>
      </c>
      <c r="D26" s="44" t="s">
        <v>4278</v>
      </c>
      <c r="E26" s="43" t="s">
        <v>4188</v>
      </c>
      <c r="F26" s="43" t="s">
        <v>4279</v>
      </c>
      <c r="G26" s="44" t="s">
        <v>4199</v>
      </c>
    </row>
    <row r="27" customFormat="false" ht="79.85" hidden="false" customHeight="false" outlineLevel="0" collapsed="false">
      <c r="A27" s="3" t="s">
        <v>4280</v>
      </c>
      <c r="B27" s="2" t="s">
        <v>4185</v>
      </c>
      <c r="C27" s="3" t="s">
        <v>4281</v>
      </c>
      <c r="D27" s="2" t="s">
        <v>4282</v>
      </c>
      <c r="E27" s="3" t="s">
        <v>4188</v>
      </c>
      <c r="F27" s="3" t="s">
        <v>4283</v>
      </c>
      <c r="G27" s="2" t="s">
        <v>4190</v>
      </c>
    </row>
    <row r="28" customFormat="false" ht="32.8" hidden="false" customHeight="false" outlineLevel="0" collapsed="false">
      <c r="A28" s="43" t="s">
        <v>4284</v>
      </c>
      <c r="B28" s="44" t="s">
        <v>4185</v>
      </c>
      <c r="C28" s="43" t="s">
        <v>4285</v>
      </c>
      <c r="D28" s="43" t="s">
        <v>4286</v>
      </c>
      <c r="E28" s="43" t="s">
        <v>4188</v>
      </c>
      <c r="F28" s="43" t="s">
        <v>4287</v>
      </c>
      <c r="G28" s="44" t="s">
        <v>4199</v>
      </c>
    </row>
    <row r="29" customFormat="false" ht="64.15" hidden="false" customHeight="false" outlineLevel="0" collapsed="false">
      <c r="A29" s="43" t="s">
        <v>4288</v>
      </c>
      <c r="B29" s="44" t="s">
        <v>4185</v>
      </c>
      <c r="C29" s="43" t="s">
        <v>4289</v>
      </c>
      <c r="D29" s="44" t="s">
        <v>4290</v>
      </c>
      <c r="E29" s="43" t="s">
        <v>4188</v>
      </c>
      <c r="F29" s="43" t="s">
        <v>4291</v>
      </c>
      <c r="G29" s="44" t="s">
        <v>4199</v>
      </c>
    </row>
    <row r="30" customFormat="false" ht="32.8" hidden="false" customHeight="false" outlineLevel="0" collapsed="false">
      <c r="A30" s="43" t="s">
        <v>4292</v>
      </c>
      <c r="B30" s="44" t="s">
        <v>4185</v>
      </c>
      <c r="C30" s="43" t="s">
        <v>4293</v>
      </c>
      <c r="D30" s="43" t="s">
        <v>4294</v>
      </c>
      <c r="E30" s="43" t="s">
        <v>4188</v>
      </c>
      <c r="F30" s="44" t="s">
        <v>4295</v>
      </c>
      <c r="G30" s="44" t="s">
        <v>4199</v>
      </c>
    </row>
    <row r="31" customFormat="false" ht="48.5" hidden="false" customHeight="false" outlineLevel="0" collapsed="false">
      <c r="A31" s="43" t="s">
        <v>4296</v>
      </c>
      <c r="B31" s="44" t="s">
        <v>4255</v>
      </c>
      <c r="C31" s="44" t="s">
        <v>4297</v>
      </c>
      <c r="D31" s="44" t="s">
        <v>4298</v>
      </c>
      <c r="E31" s="43" t="s">
        <v>4188</v>
      </c>
      <c r="F31" s="43" t="s">
        <v>4299</v>
      </c>
      <c r="G31" s="44" t="s">
        <v>4199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4300</v>
      </c>
    </row>
    <row r="2" customFormat="false" ht="17.15" hidden="false" customHeight="false" outlineLevel="0" collapsed="false">
      <c r="A2" s="5" t="s">
        <v>4301</v>
      </c>
    </row>
    <row r="3" customFormat="false" ht="17.15" hidden="false" customHeight="false" outlineLevel="0" collapsed="false">
      <c r="A3" s="7" t="s">
        <v>1642</v>
      </c>
      <c r="B3" s="6" t="s">
        <v>4302</v>
      </c>
      <c r="C3" s="6" t="s">
        <v>4303</v>
      </c>
      <c r="D3" s="6" t="s">
        <v>1641</v>
      </c>
      <c r="E3" s="6" t="s">
        <v>15</v>
      </c>
      <c r="F3" s="7" t="s">
        <v>4304</v>
      </c>
      <c r="G3" s="6" t="s">
        <v>4305</v>
      </c>
      <c r="H3" s="7" t="s">
        <v>4306</v>
      </c>
      <c r="I3" s="7" t="s">
        <v>4307</v>
      </c>
      <c r="J3" s="6" t="s">
        <v>4308</v>
      </c>
      <c r="K3" s="6" t="s">
        <v>1795</v>
      </c>
      <c r="L3" s="6" t="s">
        <v>1793</v>
      </c>
    </row>
    <row r="4" customFormat="false" ht="17.15" hidden="false" customHeight="false" outlineLevel="0" collapsed="false">
      <c r="A4" s="12" t="s">
        <v>4309</v>
      </c>
      <c r="B4" s="12" t="s">
        <v>1627</v>
      </c>
      <c r="C4" s="12" t="s">
        <v>4310</v>
      </c>
      <c r="D4" s="12" t="s">
        <v>4311</v>
      </c>
      <c r="E4" s="12" t="s">
        <v>4312</v>
      </c>
      <c r="F4" s="12" t="s">
        <v>2452</v>
      </c>
      <c r="G4" s="12" t="s">
        <v>1853</v>
      </c>
      <c r="H4" s="13" t="s">
        <v>1831</v>
      </c>
      <c r="I4" s="12"/>
      <c r="J4" s="12"/>
      <c r="K4" s="12" t="s">
        <v>34</v>
      </c>
      <c r="L4" s="12" t="s">
        <v>4313</v>
      </c>
    </row>
    <row r="5" customFormat="false" ht="17.15" hidden="false" customHeight="false" outlineLevel="0" collapsed="false">
      <c r="A5" s="0" t="s">
        <v>4314</v>
      </c>
      <c r="B5" s="0" t="s">
        <v>1627</v>
      </c>
      <c r="C5" s="0" t="s">
        <v>4315</v>
      </c>
      <c r="D5" s="0" t="s">
        <v>4316</v>
      </c>
      <c r="E5" s="0" t="s">
        <v>4312</v>
      </c>
      <c r="F5" s="0" t="s">
        <v>4317</v>
      </c>
      <c r="G5" s="0" t="s">
        <v>1853</v>
      </c>
      <c r="H5" s="5" t="s">
        <v>1648</v>
      </c>
      <c r="K5" s="0" t="s">
        <v>34</v>
      </c>
      <c r="L5" s="0" t="s">
        <v>4318</v>
      </c>
    </row>
    <row r="6" customFormat="false" ht="17.15" hidden="false" customHeight="false" outlineLevel="0" collapsed="false">
      <c r="A6" s="0" t="s">
        <v>4319</v>
      </c>
      <c r="B6" s="0" t="s">
        <v>1627</v>
      </c>
      <c r="C6" s="0" t="s">
        <v>4320</v>
      </c>
      <c r="D6" s="0" t="s">
        <v>4316</v>
      </c>
      <c r="E6" s="0" t="s">
        <v>4312</v>
      </c>
      <c r="F6" s="0" t="s">
        <v>4321</v>
      </c>
      <c r="G6" s="0" t="s">
        <v>1853</v>
      </c>
      <c r="H6" s="5" t="s">
        <v>1648</v>
      </c>
      <c r="K6" s="0" t="s">
        <v>34</v>
      </c>
      <c r="L6" s="0" t="s">
        <v>4322</v>
      </c>
    </row>
    <row r="7" customFormat="false" ht="17.15" hidden="false" customHeight="false" outlineLevel="0" collapsed="false">
      <c r="A7" s="0" t="s">
        <v>4323</v>
      </c>
      <c r="B7" s="0" t="s">
        <v>1627</v>
      </c>
      <c r="C7" s="0" t="s">
        <v>4324</v>
      </c>
      <c r="D7" s="0" t="s">
        <v>4316</v>
      </c>
      <c r="E7" s="0" t="s">
        <v>4312</v>
      </c>
      <c r="F7" s="0" t="s">
        <v>4325</v>
      </c>
      <c r="G7" s="0" t="s">
        <v>1853</v>
      </c>
      <c r="H7" s="5" t="s">
        <v>1648</v>
      </c>
      <c r="K7" s="0" t="s">
        <v>34</v>
      </c>
      <c r="L7" s="0" t="s">
        <v>4326</v>
      </c>
    </row>
    <row r="8" customFormat="false" ht="17.15" hidden="false" customHeight="false" outlineLevel="0" collapsed="false">
      <c r="A8" s="0" t="s">
        <v>4327</v>
      </c>
      <c r="B8" s="0" t="s">
        <v>1627</v>
      </c>
      <c r="C8" s="0" t="s">
        <v>4328</v>
      </c>
      <c r="D8" s="0" t="s">
        <v>4329</v>
      </c>
      <c r="E8" s="0" t="s">
        <v>4312</v>
      </c>
      <c r="F8" s="0" t="s">
        <v>4330</v>
      </c>
      <c r="G8" s="0" t="s">
        <v>1853</v>
      </c>
      <c r="H8" s="5" t="s">
        <v>1648</v>
      </c>
      <c r="K8" s="0" t="s">
        <v>34</v>
      </c>
      <c r="L8" s="0" t="s">
        <v>4331</v>
      </c>
    </row>
    <row r="9" customFormat="false" ht="17.15" hidden="false" customHeight="false" outlineLevel="0" collapsed="false">
      <c r="A9" s="0" t="s">
        <v>4332</v>
      </c>
      <c r="B9" s="0" t="s">
        <v>1627</v>
      </c>
      <c r="C9" s="0" t="s">
        <v>4333</v>
      </c>
      <c r="D9" s="0" t="s">
        <v>4334</v>
      </c>
      <c r="E9" s="0" t="s">
        <v>4312</v>
      </c>
      <c r="F9" s="0" t="s">
        <v>2280</v>
      </c>
      <c r="G9" s="0" t="s">
        <v>1853</v>
      </c>
      <c r="H9" s="5" t="s">
        <v>1648</v>
      </c>
      <c r="J9" s="0" t="s">
        <v>208</v>
      </c>
      <c r="K9" s="5" t="s">
        <v>1795</v>
      </c>
      <c r="L9" s="0" t="s">
        <v>4335</v>
      </c>
    </row>
    <row r="10" customFormat="false" ht="17.15" hidden="false" customHeight="false" outlineLevel="0" collapsed="false">
      <c r="A10" s="0" t="s">
        <v>4336</v>
      </c>
      <c r="B10" s="0" t="s">
        <v>1627</v>
      </c>
      <c r="C10" s="0" t="s">
        <v>4337</v>
      </c>
      <c r="D10" s="0" t="s">
        <v>4338</v>
      </c>
      <c r="E10" s="0" t="s">
        <v>4312</v>
      </c>
      <c r="F10" s="0" t="s">
        <v>2280</v>
      </c>
      <c r="G10" s="0" t="s">
        <v>1853</v>
      </c>
      <c r="H10" s="5" t="s">
        <v>1648</v>
      </c>
      <c r="J10" s="0" t="s">
        <v>208</v>
      </c>
      <c r="K10" s="5" t="s">
        <v>1795</v>
      </c>
      <c r="L10" s="0" t="s">
        <v>4335</v>
      </c>
    </row>
    <row r="11" customFormat="false" ht="17.15" hidden="false" customHeight="false" outlineLevel="0" collapsed="false">
      <c r="A11" s="0" t="s">
        <v>4339</v>
      </c>
      <c r="B11" s="0" t="s">
        <v>1627</v>
      </c>
      <c r="C11" s="0" t="s">
        <v>4340</v>
      </c>
      <c r="D11" s="0" t="s">
        <v>4341</v>
      </c>
      <c r="E11" s="0" t="s">
        <v>4312</v>
      </c>
      <c r="F11" s="0" t="s">
        <v>4342</v>
      </c>
      <c r="G11" s="0" t="s">
        <v>1853</v>
      </c>
      <c r="H11" s="5" t="s">
        <v>1802</v>
      </c>
      <c r="K11" s="0" t="s">
        <v>34</v>
      </c>
      <c r="L11" s="0" t="s">
        <v>4343</v>
      </c>
    </row>
    <row r="12" customFormat="false" ht="17.15" hidden="false" customHeight="false" outlineLevel="0" collapsed="false">
      <c r="A12" s="0" t="s">
        <v>4344</v>
      </c>
      <c r="B12" s="0" t="s">
        <v>1627</v>
      </c>
      <c r="C12" s="0" t="s">
        <v>4345</v>
      </c>
      <c r="D12" s="0" t="s">
        <v>4346</v>
      </c>
      <c r="E12" s="0" t="s">
        <v>4312</v>
      </c>
      <c r="F12" s="0" t="s">
        <v>4347</v>
      </c>
      <c r="G12" s="0" t="s">
        <v>4348</v>
      </c>
      <c r="H12" s="5" t="s">
        <v>1648</v>
      </c>
      <c r="J12" s="0" t="s">
        <v>322</v>
      </c>
      <c r="K12" s="5" t="s">
        <v>1795</v>
      </c>
      <c r="L12" s="0" t="s">
        <v>4349</v>
      </c>
    </row>
    <row r="13" customFormat="false" ht="17.15" hidden="false" customHeight="false" outlineLevel="0" collapsed="false">
      <c r="A13" s="0" t="s">
        <v>4350</v>
      </c>
      <c r="B13" s="0" t="s">
        <v>1627</v>
      </c>
      <c r="C13" s="0" t="s">
        <v>4351</v>
      </c>
      <c r="D13" s="0" t="s">
        <v>4352</v>
      </c>
      <c r="E13" s="0" t="s">
        <v>4312</v>
      </c>
      <c r="F13" s="0" t="s">
        <v>4353</v>
      </c>
      <c r="G13" s="0" t="s">
        <v>4348</v>
      </c>
      <c r="H13" s="5" t="s">
        <v>1648</v>
      </c>
      <c r="J13" s="0" t="s">
        <v>322</v>
      </c>
      <c r="K13" s="5" t="s">
        <v>1795</v>
      </c>
      <c r="L13" s="0" t="s">
        <v>4349</v>
      </c>
    </row>
    <row r="14" customFormat="false" ht="17.15" hidden="false" customHeight="false" outlineLevel="0" collapsed="false">
      <c r="A14" s="0" t="s">
        <v>4354</v>
      </c>
      <c r="B14" s="0" t="s">
        <v>1627</v>
      </c>
      <c r="C14" s="0" t="s">
        <v>4355</v>
      </c>
      <c r="D14" s="0" t="s">
        <v>4356</v>
      </c>
      <c r="E14" s="0" t="s">
        <v>4312</v>
      </c>
      <c r="F14" s="0" t="s">
        <v>2373</v>
      </c>
      <c r="G14" s="0" t="s">
        <v>4348</v>
      </c>
      <c r="H14" s="5" t="s">
        <v>1648</v>
      </c>
      <c r="K14" s="0" t="s">
        <v>34</v>
      </c>
      <c r="L14" s="0" t="s">
        <v>4349</v>
      </c>
    </row>
    <row r="15" customFormat="false" ht="17.15" hidden="false" customHeight="false" outlineLevel="0" collapsed="false">
      <c r="A15" s="0" t="s">
        <v>4357</v>
      </c>
      <c r="B15" s="0" t="s">
        <v>1627</v>
      </c>
      <c r="C15" s="0" t="s">
        <v>4358</v>
      </c>
      <c r="D15" s="0" t="s">
        <v>4359</v>
      </c>
      <c r="E15" s="0" t="s">
        <v>110</v>
      </c>
      <c r="F15" s="0" t="s">
        <v>118</v>
      </c>
      <c r="G15" s="0" t="s">
        <v>1810</v>
      </c>
      <c r="H15" s="5" t="s">
        <v>1802</v>
      </c>
      <c r="J15" s="0" t="s">
        <v>108</v>
      </c>
      <c r="K15" s="5" t="s">
        <v>4360</v>
      </c>
      <c r="L15" s="0" t="s">
        <v>4361</v>
      </c>
    </row>
    <row r="16" customFormat="false" ht="17.15" hidden="false" customHeight="false" outlineLevel="0" collapsed="false">
      <c r="A16" s="0" t="s">
        <v>4362</v>
      </c>
      <c r="B16" s="0" t="s">
        <v>1627</v>
      </c>
      <c r="C16" s="0" t="s">
        <v>4363</v>
      </c>
      <c r="D16" s="0" t="s">
        <v>4364</v>
      </c>
      <c r="E16" s="0" t="s">
        <v>110</v>
      </c>
      <c r="F16" s="0" t="s">
        <v>118</v>
      </c>
      <c r="G16" s="0" t="s">
        <v>1810</v>
      </c>
      <c r="H16" s="5" t="s">
        <v>1802</v>
      </c>
      <c r="K16" s="0" t="s">
        <v>34</v>
      </c>
      <c r="L16" s="0" t="s">
        <v>4361</v>
      </c>
    </row>
    <row r="17" customFormat="false" ht="17.15" hidden="false" customHeight="false" outlineLevel="0" collapsed="false">
      <c r="A17" s="0" t="s">
        <v>4365</v>
      </c>
      <c r="B17" s="0" t="s">
        <v>1627</v>
      </c>
      <c r="C17" s="0" t="s">
        <v>4366</v>
      </c>
      <c r="D17" s="0" t="s">
        <v>4367</v>
      </c>
      <c r="E17" s="0" t="s">
        <v>110</v>
      </c>
      <c r="F17" s="0" t="s">
        <v>4368</v>
      </c>
      <c r="G17" s="0" t="s">
        <v>4348</v>
      </c>
      <c r="H17" s="5" t="s">
        <v>1648</v>
      </c>
      <c r="J17" s="0" t="s">
        <v>558</v>
      </c>
      <c r="K17" s="5" t="s">
        <v>1795</v>
      </c>
      <c r="L17" s="0" t="s">
        <v>4369</v>
      </c>
    </row>
    <row r="18" customFormat="false" ht="17.15" hidden="false" customHeight="false" outlineLevel="0" collapsed="false">
      <c r="A18" s="0" t="s">
        <v>4370</v>
      </c>
      <c r="B18" s="0" t="s">
        <v>1627</v>
      </c>
      <c r="C18" s="0" t="s">
        <v>4371</v>
      </c>
      <c r="D18" s="0" t="s">
        <v>4372</v>
      </c>
      <c r="E18" s="0" t="s">
        <v>110</v>
      </c>
      <c r="F18" s="0" t="s">
        <v>4373</v>
      </c>
      <c r="G18" s="0" t="s">
        <v>4348</v>
      </c>
      <c r="H18" s="5" t="s">
        <v>1656</v>
      </c>
      <c r="I18" s="0" t="s">
        <v>4374</v>
      </c>
      <c r="J18" s="0" t="s">
        <v>561</v>
      </c>
      <c r="K18" s="5" t="s">
        <v>1795</v>
      </c>
      <c r="L18" s="0" t="s">
        <v>4375</v>
      </c>
    </row>
    <row r="19" customFormat="false" ht="17.15" hidden="false" customHeight="false" outlineLevel="0" collapsed="false">
      <c r="A19" s="0" t="s">
        <v>4376</v>
      </c>
      <c r="B19" s="0" t="s">
        <v>1627</v>
      </c>
      <c r="C19" s="0" t="s">
        <v>4377</v>
      </c>
      <c r="D19" s="0" t="s">
        <v>4378</v>
      </c>
      <c r="E19" s="0" t="s">
        <v>110</v>
      </c>
      <c r="F19" s="0" t="s">
        <v>4373</v>
      </c>
      <c r="G19" s="0" t="s">
        <v>4348</v>
      </c>
      <c r="H19" s="5" t="s">
        <v>1648</v>
      </c>
      <c r="J19" s="0" t="s">
        <v>564</v>
      </c>
      <c r="K19" s="5" t="s">
        <v>1795</v>
      </c>
      <c r="L19" s="0" t="s">
        <v>4375</v>
      </c>
    </row>
    <row r="20" customFormat="false" ht="17.15" hidden="false" customHeight="false" outlineLevel="0" collapsed="false">
      <c r="A20" s="0" t="s">
        <v>4379</v>
      </c>
      <c r="B20" s="0" t="s">
        <v>1627</v>
      </c>
      <c r="C20" s="0" t="s">
        <v>4380</v>
      </c>
      <c r="D20" s="0" t="s">
        <v>4381</v>
      </c>
      <c r="E20" s="0" t="s">
        <v>4312</v>
      </c>
      <c r="F20" s="0" t="s">
        <v>4382</v>
      </c>
      <c r="G20" s="0" t="s">
        <v>1853</v>
      </c>
      <c r="H20" s="5" t="s">
        <v>1648</v>
      </c>
      <c r="J20" s="0" t="s">
        <v>567</v>
      </c>
      <c r="K20" s="5" t="s">
        <v>1795</v>
      </c>
      <c r="L20" s="0" t="s">
        <v>4383</v>
      </c>
    </row>
    <row r="21" customFormat="false" ht="17.15" hidden="false" customHeight="false" outlineLevel="0" collapsed="false">
      <c r="A21" s="0" t="s">
        <v>4384</v>
      </c>
      <c r="B21" s="0" t="s">
        <v>1627</v>
      </c>
      <c r="C21" s="0" t="s">
        <v>4385</v>
      </c>
      <c r="D21" s="0" t="s">
        <v>4386</v>
      </c>
      <c r="E21" s="0" t="s">
        <v>4312</v>
      </c>
      <c r="F21" s="0" t="s">
        <v>2276</v>
      </c>
      <c r="G21" s="0" t="s">
        <v>1853</v>
      </c>
      <c r="H21" s="5" t="s">
        <v>1656</v>
      </c>
      <c r="I21" s="5" t="s">
        <v>4387</v>
      </c>
      <c r="J21" s="0" t="s">
        <v>199</v>
      </c>
      <c r="K21" s="5" t="s">
        <v>1795</v>
      </c>
      <c r="L21" s="0" t="s">
        <v>4388</v>
      </c>
    </row>
    <row r="22" customFormat="false" ht="17.15" hidden="false" customHeight="false" outlineLevel="0" collapsed="false">
      <c r="A22" s="0" t="s">
        <v>4389</v>
      </c>
      <c r="B22" s="0" t="s">
        <v>1627</v>
      </c>
      <c r="C22" s="0" t="s">
        <v>4390</v>
      </c>
      <c r="D22" s="0" t="s">
        <v>4391</v>
      </c>
      <c r="E22" s="0" t="s">
        <v>4312</v>
      </c>
      <c r="F22" s="0" t="s">
        <v>1866</v>
      </c>
      <c r="G22" s="0" t="s">
        <v>1799</v>
      </c>
      <c r="H22" s="5" t="s">
        <v>1802</v>
      </c>
      <c r="K22" s="0" t="s">
        <v>34</v>
      </c>
      <c r="L22" s="0" t="s">
        <v>4392</v>
      </c>
    </row>
    <row r="23" customFormat="false" ht="17.15" hidden="false" customHeight="false" outlineLevel="0" collapsed="false">
      <c r="A23" s="0" t="s">
        <v>4393</v>
      </c>
      <c r="B23" s="0" t="s">
        <v>1627</v>
      </c>
      <c r="C23" s="0" t="s">
        <v>4394</v>
      </c>
      <c r="D23" s="0" t="s">
        <v>4395</v>
      </c>
      <c r="F23" s="0" t="s">
        <v>4330</v>
      </c>
      <c r="G23" s="0" t="s">
        <v>1853</v>
      </c>
      <c r="H23" s="5" t="s">
        <v>1656</v>
      </c>
      <c r="I23" s="5" t="s">
        <v>4396</v>
      </c>
      <c r="K23" s="0" t="s">
        <v>34</v>
      </c>
      <c r="L23" s="0" t="s">
        <v>4397</v>
      </c>
    </row>
    <row r="24" customFormat="false" ht="17.15" hidden="false" customHeight="false" outlineLevel="0" collapsed="false">
      <c r="A24" s="0" t="s">
        <v>4398</v>
      </c>
      <c r="B24" s="0" t="s">
        <v>1627</v>
      </c>
      <c r="C24" s="0" t="s">
        <v>4399</v>
      </c>
      <c r="F24" s="0" t="s">
        <v>4188</v>
      </c>
      <c r="G24" s="0" t="s">
        <v>4400</v>
      </c>
      <c r="H24" s="5" t="s">
        <v>1802</v>
      </c>
      <c r="K24" s="0" t="s">
        <v>34</v>
      </c>
      <c r="L24" s="0" t="s">
        <v>4401</v>
      </c>
    </row>
    <row r="25" customFormat="false" ht="17.15" hidden="false" customHeight="false" outlineLevel="0" collapsed="false">
      <c r="A25" s="0" t="s">
        <v>4402</v>
      </c>
      <c r="B25" s="0" t="s">
        <v>4403</v>
      </c>
      <c r="C25" s="0" t="s">
        <v>4404</v>
      </c>
      <c r="D25" s="0" t="s">
        <v>4405</v>
      </c>
      <c r="E25" s="0" t="s">
        <v>4312</v>
      </c>
      <c r="F25" s="0" t="s">
        <v>4347</v>
      </c>
      <c r="G25" s="0" t="s">
        <v>4348</v>
      </c>
      <c r="H25" s="5" t="s">
        <v>1648</v>
      </c>
      <c r="J25" s="0" t="s">
        <v>325</v>
      </c>
      <c r="K25" s="5" t="s">
        <v>1795</v>
      </c>
      <c r="L25" s="0" t="s">
        <v>4349</v>
      </c>
    </row>
    <row r="26" customFormat="false" ht="17.15" hidden="false" customHeight="false" outlineLevel="0" collapsed="false">
      <c r="A26" s="0" t="s">
        <v>4406</v>
      </c>
      <c r="B26" s="0" t="s">
        <v>4403</v>
      </c>
      <c r="C26" s="0" t="s">
        <v>4407</v>
      </c>
      <c r="D26" s="0" t="s">
        <v>4408</v>
      </c>
      <c r="E26" s="0" t="s">
        <v>4312</v>
      </c>
      <c r="F26" s="0" t="s">
        <v>4353</v>
      </c>
      <c r="G26" s="0" t="s">
        <v>4348</v>
      </c>
      <c r="H26" s="5" t="s">
        <v>1648</v>
      </c>
      <c r="J26" s="0" t="s">
        <v>325</v>
      </c>
      <c r="K26" s="5" t="s">
        <v>1795</v>
      </c>
      <c r="L26" s="0" t="s">
        <v>4349</v>
      </c>
    </row>
    <row r="27" customFormat="false" ht="17.15" hidden="false" customHeight="false" outlineLevel="0" collapsed="false">
      <c r="A27" s="0" t="s">
        <v>4409</v>
      </c>
      <c r="B27" s="0" t="s">
        <v>4403</v>
      </c>
      <c r="C27" s="0" t="s">
        <v>4410</v>
      </c>
      <c r="D27" s="0" t="s">
        <v>4411</v>
      </c>
      <c r="E27" s="0" t="s">
        <v>110</v>
      </c>
      <c r="F27" s="0" t="s">
        <v>2144</v>
      </c>
      <c r="G27" s="0" t="s">
        <v>1810</v>
      </c>
      <c r="H27" s="5" t="s">
        <v>1648</v>
      </c>
      <c r="K27" s="0" t="s">
        <v>34</v>
      </c>
      <c r="L27" s="0" t="s">
        <v>4412</v>
      </c>
    </row>
    <row r="28" customFormat="false" ht="17.15" hidden="false" customHeight="false" outlineLevel="0" collapsed="false">
      <c r="A28" s="0" t="s">
        <v>4413</v>
      </c>
      <c r="B28" s="0" t="s">
        <v>4403</v>
      </c>
      <c r="C28" s="0" t="s">
        <v>4414</v>
      </c>
      <c r="D28" s="0" t="s">
        <v>4415</v>
      </c>
      <c r="E28" s="0" t="s">
        <v>110</v>
      </c>
      <c r="F28" s="0" t="s">
        <v>118</v>
      </c>
      <c r="G28" s="0" t="s">
        <v>1810</v>
      </c>
      <c r="H28" s="5" t="s">
        <v>1802</v>
      </c>
      <c r="K28" s="0" t="s">
        <v>34</v>
      </c>
      <c r="L28" s="0" t="s">
        <v>4412</v>
      </c>
    </row>
    <row r="29" customFormat="false" ht="17.15" hidden="false" customHeight="false" outlineLevel="0" collapsed="false">
      <c r="A29" s="12" t="s">
        <v>4416</v>
      </c>
      <c r="B29" s="12" t="s">
        <v>4403</v>
      </c>
      <c r="C29" s="12" t="s">
        <v>4417</v>
      </c>
      <c r="D29" s="12" t="s">
        <v>4418</v>
      </c>
      <c r="E29" s="12" t="s">
        <v>4419</v>
      </c>
      <c r="F29" s="12" t="s">
        <v>22</v>
      </c>
      <c r="G29" s="12" t="s">
        <v>1810</v>
      </c>
      <c r="H29" s="13" t="s">
        <v>1831</v>
      </c>
      <c r="I29" s="12"/>
      <c r="J29" s="12"/>
      <c r="K29" s="12" t="s">
        <v>34</v>
      </c>
      <c r="L29" s="12" t="s">
        <v>4420</v>
      </c>
    </row>
    <row r="30" customFormat="false" ht="17.15" hidden="false" customHeight="false" outlineLevel="0" collapsed="false">
      <c r="A30" s="0" t="s">
        <v>4421</v>
      </c>
      <c r="B30" s="0" t="s">
        <v>4403</v>
      </c>
      <c r="C30" s="0" t="s">
        <v>4422</v>
      </c>
      <c r="D30" s="0" t="s">
        <v>4423</v>
      </c>
      <c r="E30" s="0" t="s">
        <v>110</v>
      </c>
      <c r="F30" s="0" t="s">
        <v>4424</v>
      </c>
      <c r="G30" s="0" t="s">
        <v>4348</v>
      </c>
      <c r="H30" s="5" t="s">
        <v>1802</v>
      </c>
      <c r="K30" s="0" t="s">
        <v>34</v>
      </c>
      <c r="L30" s="0" t="s">
        <v>4425</v>
      </c>
    </row>
    <row r="31" customFormat="false" ht="17.15" hidden="false" customHeight="false" outlineLevel="0" collapsed="false">
      <c r="A31" s="0" t="s">
        <v>4426</v>
      </c>
      <c r="B31" s="0" t="s">
        <v>4403</v>
      </c>
      <c r="C31" s="0" t="s">
        <v>4427</v>
      </c>
      <c r="D31" s="0" t="s">
        <v>4428</v>
      </c>
      <c r="E31" s="0" t="s">
        <v>4312</v>
      </c>
      <c r="F31" s="0" t="s">
        <v>4429</v>
      </c>
      <c r="G31" s="0" t="s">
        <v>1853</v>
      </c>
      <c r="H31" s="5" t="s">
        <v>1648</v>
      </c>
      <c r="J31" s="0" t="s">
        <v>4430</v>
      </c>
      <c r="K31" s="5" t="s">
        <v>1795</v>
      </c>
      <c r="L31" s="0" t="s">
        <v>4431</v>
      </c>
    </row>
    <row r="32" customFormat="false" ht="17.15" hidden="false" customHeight="false" outlineLevel="0" collapsed="false">
      <c r="A32" s="12" t="s">
        <v>4432</v>
      </c>
      <c r="B32" s="12" t="s">
        <v>4403</v>
      </c>
      <c r="C32" s="12" t="s">
        <v>4433</v>
      </c>
      <c r="D32" s="12" t="s">
        <v>4434</v>
      </c>
      <c r="E32" s="12" t="s">
        <v>4312</v>
      </c>
      <c r="F32" s="12" t="s">
        <v>4435</v>
      </c>
      <c r="G32" s="12" t="s">
        <v>4436</v>
      </c>
      <c r="H32" s="13" t="s">
        <v>1831</v>
      </c>
      <c r="I32" s="13" t="s">
        <v>4437</v>
      </c>
      <c r="J32" s="12" t="s">
        <v>510</v>
      </c>
      <c r="K32" s="13" t="s">
        <v>4360</v>
      </c>
      <c r="L32" s="12" t="s">
        <v>4438</v>
      </c>
    </row>
    <row r="33" customFormat="false" ht="17.15" hidden="false" customHeight="false" outlineLevel="0" collapsed="false">
      <c r="A33" s="0" t="s">
        <v>4439</v>
      </c>
      <c r="B33" s="0" t="s">
        <v>4403</v>
      </c>
      <c r="C33" s="0" t="s">
        <v>4440</v>
      </c>
      <c r="D33" s="0" t="s">
        <v>4441</v>
      </c>
      <c r="E33" s="0" t="s">
        <v>4312</v>
      </c>
      <c r="F33" s="0" t="s">
        <v>2416</v>
      </c>
      <c r="G33" s="0" t="s">
        <v>1853</v>
      </c>
      <c r="H33" s="5" t="s">
        <v>1802</v>
      </c>
      <c r="J33" s="0" t="s">
        <v>660</v>
      </c>
      <c r="K33" s="5" t="s">
        <v>4442</v>
      </c>
      <c r="L33" s="0" t="s">
        <v>4443</v>
      </c>
    </row>
    <row r="34" customFormat="false" ht="17.15" hidden="false" customHeight="false" outlineLevel="0" collapsed="false">
      <c r="A34" s="0" t="s">
        <v>4444</v>
      </c>
      <c r="B34" s="0" t="s">
        <v>4403</v>
      </c>
      <c r="C34" s="0" t="s">
        <v>4445</v>
      </c>
      <c r="D34" s="0" t="s">
        <v>4446</v>
      </c>
      <c r="E34" s="0" t="s">
        <v>4312</v>
      </c>
      <c r="F34" s="0" t="s">
        <v>118</v>
      </c>
      <c r="G34" s="0" t="s">
        <v>1799</v>
      </c>
      <c r="H34" s="5" t="s">
        <v>1802</v>
      </c>
      <c r="K34" s="0" t="s">
        <v>34</v>
      </c>
      <c r="L34" s="0" t="s">
        <v>1905</v>
      </c>
    </row>
    <row r="35" customFormat="false" ht="17.15" hidden="false" customHeight="false" outlineLevel="0" collapsed="false">
      <c r="A35" s="12" t="s">
        <v>4447</v>
      </c>
      <c r="B35" s="12" t="s">
        <v>4403</v>
      </c>
      <c r="C35" s="12" t="s">
        <v>4448</v>
      </c>
      <c r="D35" s="12" t="s">
        <v>4449</v>
      </c>
      <c r="E35" s="12" t="s">
        <v>110</v>
      </c>
      <c r="F35" s="12" t="s">
        <v>4450</v>
      </c>
      <c r="G35" s="12" t="s">
        <v>1810</v>
      </c>
      <c r="H35" s="13" t="s">
        <v>4451</v>
      </c>
      <c r="I35" s="13" t="s">
        <v>4452</v>
      </c>
      <c r="J35" s="12" t="s">
        <v>530</v>
      </c>
      <c r="K35" s="13" t="s">
        <v>4360</v>
      </c>
      <c r="L35" s="12" t="s">
        <v>4453</v>
      </c>
    </row>
    <row r="36" customFormat="false" ht="17.15" hidden="false" customHeight="false" outlineLevel="0" collapsed="false">
      <c r="A36" s="0" t="s">
        <v>4454</v>
      </c>
      <c r="B36" s="0" t="s">
        <v>4403</v>
      </c>
      <c r="C36" s="0" t="s">
        <v>4455</v>
      </c>
      <c r="D36" s="0" t="s">
        <v>4456</v>
      </c>
      <c r="F36" s="0" t="s">
        <v>4457</v>
      </c>
      <c r="G36" s="0" t="s">
        <v>1853</v>
      </c>
      <c r="H36" s="5" t="s">
        <v>1802</v>
      </c>
      <c r="K36" s="0" t="s">
        <v>34</v>
      </c>
      <c r="L36" s="0" t="s">
        <v>1926</v>
      </c>
    </row>
    <row r="37" customFormat="false" ht="17.15" hidden="false" customHeight="false" outlineLevel="0" collapsed="false">
      <c r="A37" s="0" t="s">
        <v>4458</v>
      </c>
      <c r="B37" s="0" t="s">
        <v>4459</v>
      </c>
      <c r="C37" s="0" t="s">
        <v>4460</v>
      </c>
      <c r="D37" s="0" t="s">
        <v>4461</v>
      </c>
      <c r="E37" s="0" t="s">
        <v>4312</v>
      </c>
      <c r="F37" s="0" t="s">
        <v>4462</v>
      </c>
      <c r="G37" s="0" t="s">
        <v>1853</v>
      </c>
      <c r="H37" s="5" t="s">
        <v>1648</v>
      </c>
      <c r="K37" s="0" t="s">
        <v>34</v>
      </c>
      <c r="L37" s="0" t="s">
        <v>4463</v>
      </c>
    </row>
    <row r="38" customFormat="false" ht="17.15" hidden="false" customHeight="false" outlineLevel="0" collapsed="false">
      <c r="A38" s="12" t="s">
        <v>4464</v>
      </c>
      <c r="B38" s="12" t="s">
        <v>4459</v>
      </c>
      <c r="C38" s="12" t="s">
        <v>4465</v>
      </c>
      <c r="D38" s="12" t="s">
        <v>4466</v>
      </c>
      <c r="E38" s="12" t="s">
        <v>4312</v>
      </c>
      <c r="F38" s="12" t="s">
        <v>2144</v>
      </c>
      <c r="G38" s="12" t="s">
        <v>1853</v>
      </c>
      <c r="H38" s="13" t="s">
        <v>1831</v>
      </c>
      <c r="I38" s="12"/>
      <c r="J38" s="12"/>
      <c r="K38" s="12" t="s">
        <v>34</v>
      </c>
      <c r="L38" s="12" t="s">
        <v>4467</v>
      </c>
    </row>
    <row r="39" customFormat="false" ht="17.15" hidden="false" customHeight="false" outlineLevel="0" collapsed="false">
      <c r="A39" s="0" t="s">
        <v>4468</v>
      </c>
      <c r="B39" s="0" t="s">
        <v>4459</v>
      </c>
      <c r="C39" s="0" t="s">
        <v>4469</v>
      </c>
      <c r="D39" s="0" t="s">
        <v>4470</v>
      </c>
      <c r="E39" s="0" t="s">
        <v>4312</v>
      </c>
      <c r="F39" s="0" t="s">
        <v>4471</v>
      </c>
      <c r="G39" s="0" t="s">
        <v>1853</v>
      </c>
      <c r="H39" s="5" t="s">
        <v>1648</v>
      </c>
      <c r="K39" s="0" t="s">
        <v>34</v>
      </c>
      <c r="L39" s="0" t="s">
        <v>4472</v>
      </c>
    </row>
    <row r="40" customFormat="false" ht="17.15" hidden="false" customHeight="false" outlineLevel="0" collapsed="false">
      <c r="A40" s="0" t="s">
        <v>4473</v>
      </c>
      <c r="B40" s="0" t="s">
        <v>4459</v>
      </c>
      <c r="C40" s="0" t="s">
        <v>4474</v>
      </c>
      <c r="D40" s="0" t="s">
        <v>4475</v>
      </c>
      <c r="E40" s="0" t="s">
        <v>4312</v>
      </c>
      <c r="F40" s="0" t="s">
        <v>4347</v>
      </c>
      <c r="G40" s="0" t="s">
        <v>4348</v>
      </c>
      <c r="H40" s="5" t="s">
        <v>1648</v>
      </c>
      <c r="J40" s="0" t="s">
        <v>328</v>
      </c>
      <c r="K40" s="5" t="s">
        <v>1795</v>
      </c>
      <c r="L40" s="0" t="s">
        <v>4349</v>
      </c>
    </row>
    <row r="41" customFormat="false" ht="17.15" hidden="false" customHeight="false" outlineLevel="0" collapsed="false">
      <c r="A41" s="0" t="s">
        <v>4476</v>
      </c>
      <c r="B41" s="0" t="s">
        <v>4459</v>
      </c>
      <c r="C41" s="0" t="s">
        <v>4477</v>
      </c>
      <c r="D41" s="0" t="s">
        <v>4478</v>
      </c>
      <c r="E41" s="0" t="s">
        <v>4312</v>
      </c>
      <c r="F41" s="0" t="s">
        <v>4353</v>
      </c>
      <c r="G41" s="0" t="s">
        <v>4348</v>
      </c>
      <c r="H41" s="5" t="s">
        <v>1648</v>
      </c>
      <c r="J41" s="0" t="s">
        <v>328</v>
      </c>
      <c r="K41" s="5" t="s">
        <v>1795</v>
      </c>
      <c r="L41" s="0" t="s">
        <v>4349</v>
      </c>
    </row>
    <row r="42" customFormat="false" ht="17.15" hidden="false" customHeight="false" outlineLevel="0" collapsed="false">
      <c r="A42" s="0" t="s">
        <v>4479</v>
      </c>
      <c r="B42" s="0" t="s">
        <v>4459</v>
      </c>
      <c r="C42" s="0" t="s">
        <v>4480</v>
      </c>
      <c r="D42" s="0" t="s">
        <v>4481</v>
      </c>
      <c r="E42" s="0" t="s">
        <v>110</v>
      </c>
      <c r="F42" s="0" t="s">
        <v>118</v>
      </c>
      <c r="G42" s="0" t="s">
        <v>1810</v>
      </c>
      <c r="H42" s="5" t="s">
        <v>1802</v>
      </c>
      <c r="J42" s="0" t="s">
        <v>126</v>
      </c>
      <c r="K42" s="5" t="s">
        <v>4360</v>
      </c>
      <c r="L42" s="0" t="s">
        <v>4482</v>
      </c>
    </row>
    <row r="43" customFormat="false" ht="17.15" hidden="false" customHeight="false" outlineLevel="0" collapsed="false">
      <c r="A43" s="0" t="s">
        <v>4483</v>
      </c>
      <c r="B43" s="0" t="s">
        <v>4459</v>
      </c>
      <c r="C43" s="0" t="s">
        <v>4484</v>
      </c>
      <c r="D43" s="0" t="s">
        <v>4485</v>
      </c>
      <c r="E43" s="0" t="s">
        <v>110</v>
      </c>
      <c r="F43" s="0" t="s">
        <v>4486</v>
      </c>
      <c r="G43" s="0" t="s">
        <v>4348</v>
      </c>
      <c r="H43" s="5" t="s">
        <v>1648</v>
      </c>
      <c r="J43" s="0" t="s">
        <v>4487</v>
      </c>
      <c r="K43" s="5" t="s">
        <v>1795</v>
      </c>
      <c r="L43" s="0" t="s">
        <v>4488</v>
      </c>
    </row>
    <row r="44" customFormat="false" ht="17.15" hidden="false" customHeight="false" outlineLevel="0" collapsed="false">
      <c r="A44" s="0" t="s">
        <v>4489</v>
      </c>
      <c r="B44" s="0" t="s">
        <v>4459</v>
      </c>
      <c r="C44" s="0" t="s">
        <v>4490</v>
      </c>
      <c r="D44" s="0" t="s">
        <v>4491</v>
      </c>
      <c r="E44" s="0" t="s">
        <v>4312</v>
      </c>
      <c r="F44" s="0" t="s">
        <v>4492</v>
      </c>
      <c r="G44" s="0" t="s">
        <v>1853</v>
      </c>
      <c r="H44" s="5" t="s">
        <v>1648</v>
      </c>
      <c r="K44" s="0" t="s">
        <v>34</v>
      </c>
      <c r="L44" s="0" t="s">
        <v>4493</v>
      </c>
    </row>
    <row r="45" customFormat="false" ht="17.15" hidden="false" customHeight="false" outlineLevel="0" collapsed="false">
      <c r="A45" s="0" t="s">
        <v>4494</v>
      </c>
      <c r="B45" s="0" t="s">
        <v>4459</v>
      </c>
      <c r="C45" s="0" t="s">
        <v>4495</v>
      </c>
      <c r="D45" s="0" t="s">
        <v>4496</v>
      </c>
      <c r="E45" s="0" t="s">
        <v>110</v>
      </c>
      <c r="F45" s="0" t="s">
        <v>4497</v>
      </c>
      <c r="G45" s="0" t="s">
        <v>4348</v>
      </c>
      <c r="H45" s="5" t="s">
        <v>1802</v>
      </c>
      <c r="J45" s="0" t="s">
        <v>518</v>
      </c>
      <c r="K45" s="5" t="s">
        <v>4360</v>
      </c>
      <c r="L45" s="0" t="s">
        <v>4498</v>
      </c>
    </row>
    <row r="46" customFormat="false" ht="17.15" hidden="false" customHeight="false" outlineLevel="0" collapsed="false">
      <c r="A46" s="0" t="s">
        <v>4499</v>
      </c>
      <c r="B46" s="0" t="s">
        <v>4459</v>
      </c>
      <c r="C46" s="0" t="s">
        <v>4500</v>
      </c>
      <c r="D46" s="0" t="s">
        <v>4501</v>
      </c>
      <c r="E46" s="0" t="s">
        <v>110</v>
      </c>
      <c r="F46" s="0" t="s">
        <v>4502</v>
      </c>
      <c r="G46" s="0" t="s">
        <v>4348</v>
      </c>
      <c r="H46" s="5" t="s">
        <v>1802</v>
      </c>
      <c r="K46" s="0" t="s">
        <v>34</v>
      </c>
      <c r="L46" s="0" t="s">
        <v>4503</v>
      </c>
    </row>
    <row r="47" customFormat="false" ht="17.15" hidden="false" customHeight="false" outlineLevel="0" collapsed="false">
      <c r="A47" s="0" t="s">
        <v>4504</v>
      </c>
      <c r="B47" s="0" t="s">
        <v>4459</v>
      </c>
      <c r="C47" s="0" t="s">
        <v>4505</v>
      </c>
      <c r="D47" s="0" t="s">
        <v>4506</v>
      </c>
      <c r="E47" s="0" t="s">
        <v>4312</v>
      </c>
      <c r="F47" s="0" t="s">
        <v>4507</v>
      </c>
      <c r="G47" s="0" t="s">
        <v>1799</v>
      </c>
      <c r="H47" s="5" t="s">
        <v>1656</v>
      </c>
      <c r="I47" s="5" t="s">
        <v>4508</v>
      </c>
      <c r="J47" s="0" t="s">
        <v>196</v>
      </c>
      <c r="K47" s="5" t="s">
        <v>1795</v>
      </c>
      <c r="L47" s="0" t="s">
        <v>1983</v>
      </c>
    </row>
    <row r="48" customFormat="false" ht="17.15" hidden="false" customHeight="false" outlineLevel="0" collapsed="false">
      <c r="A48" s="0" t="s">
        <v>4509</v>
      </c>
      <c r="B48" s="0" t="s">
        <v>4459</v>
      </c>
      <c r="C48" s="0" t="s">
        <v>4510</v>
      </c>
      <c r="D48" s="0" t="s">
        <v>4511</v>
      </c>
      <c r="E48" s="0" t="s">
        <v>4312</v>
      </c>
      <c r="F48" s="0" t="s">
        <v>2035</v>
      </c>
      <c r="G48" s="0" t="s">
        <v>1853</v>
      </c>
      <c r="H48" s="5" t="s">
        <v>1648</v>
      </c>
      <c r="K48" s="0" t="s">
        <v>34</v>
      </c>
      <c r="L48" s="0" t="s">
        <v>4512</v>
      </c>
    </row>
    <row r="49" customFormat="false" ht="17.15" hidden="false" customHeight="false" outlineLevel="0" collapsed="false">
      <c r="A49" s="0" t="s">
        <v>4513</v>
      </c>
      <c r="B49" s="0" t="s">
        <v>4459</v>
      </c>
      <c r="C49" s="0" t="s">
        <v>4514</v>
      </c>
      <c r="D49" s="0" t="s">
        <v>4391</v>
      </c>
      <c r="E49" s="0" t="s">
        <v>4312</v>
      </c>
      <c r="F49" s="0" t="s">
        <v>4515</v>
      </c>
      <c r="G49" s="0" t="s">
        <v>1853</v>
      </c>
      <c r="H49" s="5" t="s">
        <v>1802</v>
      </c>
      <c r="K49" s="0" t="s">
        <v>34</v>
      </c>
      <c r="L49" s="0" t="s">
        <v>4516</v>
      </c>
    </row>
    <row r="50" customFormat="false" ht="17.15" hidden="false" customHeight="false" outlineLevel="0" collapsed="false">
      <c r="A50" s="0" t="s">
        <v>4517</v>
      </c>
      <c r="B50" s="0" t="s">
        <v>4459</v>
      </c>
      <c r="C50" s="0" t="s">
        <v>4518</v>
      </c>
      <c r="D50" s="0" t="s">
        <v>4519</v>
      </c>
      <c r="E50" s="0" t="s">
        <v>110</v>
      </c>
      <c r="F50" s="0" t="s">
        <v>23</v>
      </c>
      <c r="G50" s="0" t="s">
        <v>1853</v>
      </c>
      <c r="H50" s="5" t="s">
        <v>1802</v>
      </c>
      <c r="J50" s="0" t="s">
        <v>657</v>
      </c>
      <c r="K50" s="5" t="s">
        <v>4442</v>
      </c>
      <c r="L50" s="0" t="s">
        <v>4482</v>
      </c>
    </row>
    <row r="51" customFormat="false" ht="17.15" hidden="false" customHeight="false" outlineLevel="0" collapsed="false">
      <c r="A51" s="0" t="s">
        <v>4520</v>
      </c>
      <c r="B51" s="0" t="s">
        <v>4459</v>
      </c>
      <c r="C51" s="0" t="s">
        <v>4521</v>
      </c>
      <c r="D51" s="0" t="s">
        <v>4522</v>
      </c>
      <c r="E51" s="0" t="s">
        <v>4312</v>
      </c>
      <c r="F51" s="0" t="s">
        <v>4523</v>
      </c>
      <c r="G51" s="0" t="s">
        <v>1853</v>
      </c>
      <c r="H51" s="5" t="s">
        <v>1802</v>
      </c>
      <c r="K51" s="0" t="s">
        <v>34</v>
      </c>
      <c r="L51" s="0" t="s">
        <v>4524</v>
      </c>
    </row>
    <row r="52" customFormat="false" ht="17.15" hidden="false" customHeight="false" outlineLevel="0" collapsed="false">
      <c r="A52" s="0" t="s">
        <v>4525</v>
      </c>
      <c r="B52" s="0" t="s">
        <v>4459</v>
      </c>
      <c r="C52" s="0" t="s">
        <v>4526</v>
      </c>
      <c r="D52" s="0" t="s">
        <v>4527</v>
      </c>
      <c r="F52" s="0" t="s">
        <v>4471</v>
      </c>
      <c r="G52" s="0" t="s">
        <v>1853</v>
      </c>
      <c r="H52" s="5" t="s">
        <v>1648</v>
      </c>
      <c r="K52" s="0" t="s">
        <v>34</v>
      </c>
      <c r="L52" s="0" t="s">
        <v>1990</v>
      </c>
    </row>
    <row r="53" customFormat="false" ht="17.15" hidden="false" customHeight="false" outlineLevel="0" collapsed="false">
      <c r="A53" s="0" t="s">
        <v>4528</v>
      </c>
      <c r="B53" s="0" t="s">
        <v>981</v>
      </c>
      <c r="C53" s="0" t="s">
        <v>4529</v>
      </c>
      <c r="D53" s="0" t="s">
        <v>4530</v>
      </c>
      <c r="E53" s="0" t="s">
        <v>4312</v>
      </c>
      <c r="F53" s="0" t="s">
        <v>4347</v>
      </c>
      <c r="G53" s="0" t="s">
        <v>4348</v>
      </c>
      <c r="H53" s="5" t="s">
        <v>1648</v>
      </c>
      <c r="J53" s="0" t="s">
        <v>331</v>
      </c>
      <c r="K53" s="5" t="s">
        <v>1795</v>
      </c>
      <c r="L53" s="0" t="s">
        <v>4349</v>
      </c>
    </row>
    <row r="54" customFormat="false" ht="17.15" hidden="false" customHeight="false" outlineLevel="0" collapsed="false">
      <c r="A54" s="0" t="s">
        <v>4531</v>
      </c>
      <c r="B54" s="0" t="s">
        <v>981</v>
      </c>
      <c r="C54" s="0" t="s">
        <v>4532</v>
      </c>
      <c r="D54" s="0" t="s">
        <v>4533</v>
      </c>
      <c r="E54" s="0" t="s">
        <v>4312</v>
      </c>
      <c r="F54" s="0" t="s">
        <v>4353</v>
      </c>
      <c r="G54" s="0" t="s">
        <v>4348</v>
      </c>
      <c r="H54" s="5" t="s">
        <v>1648</v>
      </c>
      <c r="J54" s="0" t="s">
        <v>331</v>
      </c>
      <c r="K54" s="5" t="s">
        <v>1795</v>
      </c>
      <c r="L54" s="0" t="s">
        <v>4349</v>
      </c>
    </row>
    <row r="55" customFormat="false" ht="17.15" hidden="false" customHeight="false" outlineLevel="0" collapsed="false">
      <c r="A55" s="0" t="s">
        <v>4534</v>
      </c>
      <c r="B55" s="0" t="s">
        <v>981</v>
      </c>
      <c r="C55" s="0" t="s">
        <v>4535</v>
      </c>
      <c r="D55" s="0" t="s">
        <v>4536</v>
      </c>
      <c r="E55" s="0" t="s">
        <v>4312</v>
      </c>
      <c r="F55" s="0" t="s">
        <v>2373</v>
      </c>
      <c r="G55" s="0" t="s">
        <v>4348</v>
      </c>
      <c r="H55" s="5" t="s">
        <v>1648</v>
      </c>
      <c r="K55" s="0" t="s">
        <v>34</v>
      </c>
      <c r="L55" s="0" t="s">
        <v>4349</v>
      </c>
    </row>
    <row r="56" customFormat="false" ht="17.15" hidden="false" customHeight="false" outlineLevel="0" collapsed="false">
      <c r="A56" s="0" t="s">
        <v>4537</v>
      </c>
      <c r="B56" s="0" t="s">
        <v>981</v>
      </c>
      <c r="C56" s="0" t="s">
        <v>4538</v>
      </c>
      <c r="D56" s="0" t="s">
        <v>4539</v>
      </c>
      <c r="E56" s="0" t="s">
        <v>4419</v>
      </c>
      <c r="F56" s="0" t="s">
        <v>21</v>
      </c>
      <c r="G56" s="0" t="s">
        <v>1810</v>
      </c>
      <c r="H56" s="5" t="s">
        <v>1648</v>
      </c>
      <c r="K56" s="0" t="s">
        <v>34</v>
      </c>
      <c r="L56" s="0" t="s">
        <v>4540</v>
      </c>
    </row>
    <row r="57" customFormat="false" ht="17.15" hidden="false" customHeight="false" outlineLevel="0" collapsed="false">
      <c r="A57" s="0" t="s">
        <v>4541</v>
      </c>
      <c r="B57" s="0" t="s">
        <v>981</v>
      </c>
      <c r="C57" s="0" t="s">
        <v>4542</v>
      </c>
      <c r="D57" s="0" t="s">
        <v>4543</v>
      </c>
      <c r="E57" s="0" t="s">
        <v>110</v>
      </c>
      <c r="F57" s="0" t="s">
        <v>137</v>
      </c>
      <c r="G57" s="0" t="s">
        <v>4348</v>
      </c>
      <c r="H57" s="5" t="s">
        <v>1648</v>
      </c>
      <c r="J57" s="0" t="s">
        <v>4544</v>
      </c>
      <c r="K57" s="5" t="s">
        <v>1795</v>
      </c>
      <c r="L57" s="0" t="s">
        <v>4545</v>
      </c>
    </row>
    <row r="58" customFormat="false" ht="17.15" hidden="false" customHeight="false" outlineLevel="0" collapsed="false">
      <c r="A58" s="0" t="s">
        <v>4546</v>
      </c>
      <c r="B58" s="0" t="s">
        <v>981</v>
      </c>
      <c r="C58" s="0" t="s">
        <v>4547</v>
      </c>
      <c r="D58" s="0" t="s">
        <v>4548</v>
      </c>
      <c r="E58" s="0" t="s">
        <v>4312</v>
      </c>
      <c r="F58" s="0" t="s">
        <v>4486</v>
      </c>
      <c r="G58" s="0" t="s">
        <v>1853</v>
      </c>
      <c r="H58" s="5" t="s">
        <v>1802</v>
      </c>
      <c r="K58" s="0" t="s">
        <v>34</v>
      </c>
      <c r="L58" s="0" t="s">
        <v>4549</v>
      </c>
    </row>
    <row r="59" customFormat="false" ht="17.15" hidden="false" customHeight="false" outlineLevel="0" collapsed="false">
      <c r="A59" s="0" t="s">
        <v>4550</v>
      </c>
      <c r="B59" s="0" t="s">
        <v>981</v>
      </c>
      <c r="C59" s="0" t="s">
        <v>4551</v>
      </c>
      <c r="D59" s="0" t="s">
        <v>4552</v>
      </c>
      <c r="E59" s="0" t="s">
        <v>110</v>
      </c>
      <c r="F59" s="0" t="s">
        <v>4553</v>
      </c>
      <c r="G59" s="0" t="s">
        <v>4348</v>
      </c>
      <c r="H59" s="5" t="s">
        <v>1648</v>
      </c>
      <c r="J59" s="0" t="s">
        <v>588</v>
      </c>
      <c r="K59" s="5" t="s">
        <v>1795</v>
      </c>
      <c r="L59" s="0" t="s">
        <v>4554</v>
      </c>
    </row>
    <row r="60" customFormat="false" ht="17.15" hidden="false" customHeight="false" outlineLevel="0" collapsed="false">
      <c r="A60" s="0" t="s">
        <v>4555</v>
      </c>
      <c r="B60" s="0" t="s">
        <v>981</v>
      </c>
      <c r="C60" s="0" t="s">
        <v>4556</v>
      </c>
      <c r="D60" s="0" t="s">
        <v>4557</v>
      </c>
      <c r="E60" s="0" t="s">
        <v>4312</v>
      </c>
      <c r="F60" s="0" t="s">
        <v>4558</v>
      </c>
      <c r="G60" s="0" t="s">
        <v>1853</v>
      </c>
      <c r="H60" s="5" t="s">
        <v>1656</v>
      </c>
      <c r="I60" s="0" t="s">
        <v>4559</v>
      </c>
      <c r="J60" s="0" t="s">
        <v>4560</v>
      </c>
      <c r="K60" s="5" t="s">
        <v>1795</v>
      </c>
      <c r="L60" s="0" t="s">
        <v>4561</v>
      </c>
    </row>
    <row r="61" customFormat="false" ht="17.15" hidden="false" customHeight="false" outlineLevel="0" collapsed="false">
      <c r="A61" s="0" t="s">
        <v>4562</v>
      </c>
      <c r="B61" s="0" t="s">
        <v>981</v>
      </c>
      <c r="C61" s="0" t="s">
        <v>4563</v>
      </c>
      <c r="D61" s="0" t="s">
        <v>4564</v>
      </c>
      <c r="E61" s="0" t="s">
        <v>4312</v>
      </c>
      <c r="F61" s="0" t="s">
        <v>4565</v>
      </c>
      <c r="G61" s="0" t="s">
        <v>1853</v>
      </c>
      <c r="H61" s="5" t="s">
        <v>1648</v>
      </c>
      <c r="J61" s="0" t="s">
        <v>594</v>
      </c>
      <c r="K61" s="5" t="s">
        <v>1795</v>
      </c>
      <c r="L61" s="0" t="s">
        <v>4566</v>
      </c>
    </row>
    <row r="62" customFormat="false" ht="17.15" hidden="false" customHeight="false" outlineLevel="0" collapsed="false">
      <c r="A62" s="0" t="s">
        <v>4567</v>
      </c>
      <c r="B62" s="0" t="s">
        <v>981</v>
      </c>
      <c r="C62" s="0" t="s">
        <v>4568</v>
      </c>
      <c r="D62" s="0" t="s">
        <v>4391</v>
      </c>
      <c r="E62" s="0" t="s">
        <v>4312</v>
      </c>
      <c r="F62" s="0" t="s">
        <v>4569</v>
      </c>
      <c r="G62" s="0" t="s">
        <v>1853</v>
      </c>
      <c r="H62" s="5" t="s">
        <v>1802</v>
      </c>
      <c r="K62" s="0" t="s">
        <v>34</v>
      </c>
      <c r="L62" s="0" t="s">
        <v>4570</v>
      </c>
    </row>
    <row r="63" customFormat="false" ht="17.15" hidden="false" customHeight="false" outlineLevel="0" collapsed="false">
      <c r="A63" s="0" t="s">
        <v>4571</v>
      </c>
      <c r="B63" s="0" t="s">
        <v>981</v>
      </c>
      <c r="C63" s="0" t="s">
        <v>4572</v>
      </c>
      <c r="D63" s="0" t="s">
        <v>4391</v>
      </c>
      <c r="E63" s="0" t="s">
        <v>4312</v>
      </c>
      <c r="F63" s="0" t="s">
        <v>4573</v>
      </c>
      <c r="G63" s="0" t="s">
        <v>1853</v>
      </c>
      <c r="H63" s="5" t="s">
        <v>1802</v>
      </c>
      <c r="K63" s="0" t="s">
        <v>34</v>
      </c>
      <c r="L63" s="0" t="s">
        <v>4574</v>
      </c>
    </row>
    <row r="64" customFormat="false" ht="17.15" hidden="false" customHeight="false" outlineLevel="0" collapsed="false">
      <c r="A64" s="0" t="s">
        <v>4575</v>
      </c>
      <c r="B64" s="0" t="s">
        <v>981</v>
      </c>
      <c r="C64" s="0" t="s">
        <v>4576</v>
      </c>
      <c r="D64" s="0" t="s">
        <v>4577</v>
      </c>
      <c r="E64" s="0" t="s">
        <v>4312</v>
      </c>
      <c r="F64" s="0" t="s">
        <v>2285</v>
      </c>
      <c r="G64" s="0" t="s">
        <v>1853</v>
      </c>
      <c r="H64" s="5" t="s">
        <v>1802</v>
      </c>
      <c r="K64" s="0" t="s">
        <v>34</v>
      </c>
      <c r="L64" s="0" t="s">
        <v>4578</v>
      </c>
    </row>
    <row r="65" customFormat="false" ht="17.15" hidden="false" customHeight="false" outlineLevel="0" collapsed="false">
      <c r="A65" s="0" t="s">
        <v>4579</v>
      </c>
      <c r="B65" s="0" t="s">
        <v>981</v>
      </c>
      <c r="C65" s="0" t="s">
        <v>4580</v>
      </c>
      <c r="D65" s="0" t="s">
        <v>4581</v>
      </c>
      <c r="F65" s="0" t="s">
        <v>4582</v>
      </c>
      <c r="G65" s="0" t="s">
        <v>1853</v>
      </c>
      <c r="H65" s="5" t="s">
        <v>1648</v>
      </c>
      <c r="J65" s="0" t="s">
        <v>4583</v>
      </c>
      <c r="K65" s="5" t="s">
        <v>1795</v>
      </c>
      <c r="L65" s="0" t="s">
        <v>4584</v>
      </c>
    </row>
    <row r="66" customFormat="false" ht="17.15" hidden="false" customHeight="false" outlineLevel="0" collapsed="false">
      <c r="A66" s="0" t="s">
        <v>4585</v>
      </c>
      <c r="B66" s="0" t="s">
        <v>1637</v>
      </c>
      <c r="C66" s="0" t="s">
        <v>4586</v>
      </c>
      <c r="D66" s="0" t="s">
        <v>4587</v>
      </c>
      <c r="E66" s="0" t="s">
        <v>4312</v>
      </c>
      <c r="F66" s="0" t="s">
        <v>2089</v>
      </c>
      <c r="G66" s="0" t="s">
        <v>1853</v>
      </c>
      <c r="H66" s="5" t="s">
        <v>1648</v>
      </c>
      <c r="J66" s="0" t="s">
        <v>131</v>
      </c>
      <c r="K66" s="5" t="s">
        <v>1795</v>
      </c>
      <c r="L66" s="0" t="s">
        <v>4588</v>
      </c>
    </row>
    <row r="67" customFormat="false" ht="17.15" hidden="false" customHeight="false" outlineLevel="0" collapsed="false">
      <c r="A67" s="0" t="s">
        <v>4589</v>
      </c>
      <c r="B67" s="0" t="s">
        <v>1637</v>
      </c>
      <c r="C67" s="0" t="s">
        <v>4590</v>
      </c>
      <c r="D67" s="0" t="s">
        <v>4591</v>
      </c>
      <c r="E67" s="0" t="s">
        <v>4312</v>
      </c>
      <c r="F67" s="0" t="s">
        <v>137</v>
      </c>
      <c r="G67" s="0" t="s">
        <v>1853</v>
      </c>
      <c r="H67" s="5" t="s">
        <v>1648</v>
      </c>
      <c r="J67" s="0" t="s">
        <v>131</v>
      </c>
      <c r="K67" s="5" t="s">
        <v>1795</v>
      </c>
      <c r="L67" s="0" t="s">
        <v>2082</v>
      </c>
    </row>
    <row r="68" customFormat="false" ht="17.15" hidden="false" customHeight="false" outlineLevel="0" collapsed="false">
      <c r="A68" s="0" t="s">
        <v>4592</v>
      </c>
      <c r="B68" s="0" t="s">
        <v>1637</v>
      </c>
      <c r="C68" s="0" t="s">
        <v>4593</v>
      </c>
      <c r="D68" s="0" t="s">
        <v>4594</v>
      </c>
      <c r="E68" s="0" t="s">
        <v>110</v>
      </c>
      <c r="F68" s="0" t="s">
        <v>137</v>
      </c>
      <c r="G68" s="0" t="s">
        <v>1810</v>
      </c>
      <c r="H68" s="5" t="s">
        <v>1802</v>
      </c>
      <c r="K68" s="0" t="s">
        <v>34</v>
      </c>
      <c r="L68" s="0" t="s">
        <v>4595</v>
      </c>
    </row>
    <row r="69" customFormat="false" ht="17.15" hidden="false" customHeight="false" outlineLevel="0" collapsed="false">
      <c r="A69" s="0" t="s">
        <v>4596</v>
      </c>
      <c r="B69" s="0" t="s">
        <v>1637</v>
      </c>
      <c r="C69" s="0" t="s">
        <v>4597</v>
      </c>
      <c r="D69" s="0" t="s">
        <v>4598</v>
      </c>
      <c r="E69" s="0" t="s">
        <v>4312</v>
      </c>
      <c r="F69" s="0" t="s">
        <v>4347</v>
      </c>
      <c r="G69" s="0" t="s">
        <v>4348</v>
      </c>
      <c r="H69" s="5" t="s">
        <v>1648</v>
      </c>
      <c r="J69" s="0" t="s">
        <v>334</v>
      </c>
      <c r="K69" s="5" t="s">
        <v>1795</v>
      </c>
      <c r="L69" s="0" t="s">
        <v>4349</v>
      </c>
    </row>
    <row r="70" customFormat="false" ht="17.15" hidden="false" customHeight="false" outlineLevel="0" collapsed="false">
      <c r="A70" s="0" t="s">
        <v>4599</v>
      </c>
      <c r="B70" s="0" t="s">
        <v>1637</v>
      </c>
      <c r="C70" s="0" t="s">
        <v>4600</v>
      </c>
      <c r="D70" s="0" t="s">
        <v>4601</v>
      </c>
      <c r="E70" s="0" t="s">
        <v>4312</v>
      </c>
      <c r="F70" s="0" t="s">
        <v>4353</v>
      </c>
      <c r="G70" s="0" t="s">
        <v>4348</v>
      </c>
      <c r="H70" s="5" t="s">
        <v>1648</v>
      </c>
      <c r="J70" s="0" t="s">
        <v>334</v>
      </c>
      <c r="K70" s="5" t="s">
        <v>1795</v>
      </c>
      <c r="L70" s="0" t="s">
        <v>4349</v>
      </c>
    </row>
    <row r="71" customFormat="false" ht="17.15" hidden="false" customHeight="false" outlineLevel="0" collapsed="false">
      <c r="A71" s="0" t="s">
        <v>4602</v>
      </c>
      <c r="B71" s="0" t="s">
        <v>1637</v>
      </c>
      <c r="C71" s="0" t="s">
        <v>4603</v>
      </c>
      <c r="D71" s="0" t="s">
        <v>4604</v>
      </c>
      <c r="E71" s="0" t="s">
        <v>4312</v>
      </c>
      <c r="F71" s="0" t="s">
        <v>137</v>
      </c>
      <c r="G71" s="0" t="s">
        <v>1853</v>
      </c>
      <c r="H71" s="5" t="s">
        <v>1648</v>
      </c>
      <c r="J71" s="0" t="s">
        <v>4605</v>
      </c>
      <c r="K71" s="5" t="s">
        <v>1795</v>
      </c>
      <c r="L71" s="0" t="s">
        <v>2084</v>
      </c>
    </row>
    <row r="72" customFormat="false" ht="17.15" hidden="false" customHeight="false" outlineLevel="0" collapsed="false">
      <c r="A72" s="0" t="s">
        <v>4606</v>
      </c>
      <c r="B72" s="0" t="s">
        <v>1637</v>
      </c>
      <c r="C72" s="0" t="s">
        <v>4607</v>
      </c>
      <c r="D72" s="0" t="s">
        <v>4608</v>
      </c>
      <c r="E72" s="0" t="s">
        <v>4312</v>
      </c>
      <c r="F72" s="0" t="s">
        <v>4609</v>
      </c>
      <c r="G72" s="0" t="s">
        <v>1853</v>
      </c>
      <c r="H72" s="5" t="s">
        <v>1802</v>
      </c>
      <c r="K72" s="0" t="s">
        <v>34</v>
      </c>
      <c r="L72" s="0" t="s">
        <v>4610</v>
      </c>
    </row>
    <row r="73" customFormat="false" ht="17.15" hidden="false" customHeight="false" outlineLevel="0" collapsed="false">
      <c r="A73" s="0" t="s">
        <v>4611</v>
      </c>
      <c r="B73" s="0" t="s">
        <v>1637</v>
      </c>
      <c r="C73" s="0" t="s">
        <v>4612</v>
      </c>
      <c r="D73" s="0" t="s">
        <v>4613</v>
      </c>
      <c r="E73" s="0" t="s">
        <v>4312</v>
      </c>
      <c r="F73" s="0" t="s">
        <v>4614</v>
      </c>
      <c r="G73" s="0" t="s">
        <v>1853</v>
      </c>
      <c r="H73" s="5" t="s">
        <v>1802</v>
      </c>
      <c r="J73" s="0" t="s">
        <v>193</v>
      </c>
      <c r="K73" s="5" t="s">
        <v>4360</v>
      </c>
      <c r="L73" s="0" t="s">
        <v>4615</v>
      </c>
    </row>
    <row r="74" customFormat="false" ht="17.15" hidden="false" customHeight="false" outlineLevel="0" collapsed="false">
      <c r="A74" s="0" t="s">
        <v>4616</v>
      </c>
      <c r="B74" s="0" t="s">
        <v>1637</v>
      </c>
      <c r="C74" s="0" t="s">
        <v>4617</v>
      </c>
      <c r="D74" s="0" t="s">
        <v>4618</v>
      </c>
      <c r="E74" s="0" t="s">
        <v>4419</v>
      </c>
      <c r="F74" s="0" t="s">
        <v>4619</v>
      </c>
      <c r="G74" s="0" t="s">
        <v>4348</v>
      </c>
      <c r="H74" s="5" t="s">
        <v>1648</v>
      </c>
      <c r="I74" s="5" t="s">
        <v>4620</v>
      </c>
      <c r="J74" s="0" t="s">
        <v>4621</v>
      </c>
      <c r="K74" s="5" t="s">
        <v>1795</v>
      </c>
      <c r="L74" s="0" t="s">
        <v>4622</v>
      </c>
    </row>
    <row r="75" customFormat="false" ht="17.15" hidden="false" customHeight="false" outlineLevel="0" collapsed="false">
      <c r="A75" s="0" t="s">
        <v>4623</v>
      </c>
      <c r="B75" s="0" t="s">
        <v>1637</v>
      </c>
      <c r="C75" s="0" t="s">
        <v>4624</v>
      </c>
      <c r="D75" s="0" t="s">
        <v>4625</v>
      </c>
      <c r="E75" s="0" t="s">
        <v>4419</v>
      </c>
      <c r="F75" s="0" t="s">
        <v>4619</v>
      </c>
      <c r="G75" s="0" t="s">
        <v>4348</v>
      </c>
      <c r="H75" s="5" t="s">
        <v>1648</v>
      </c>
      <c r="J75" s="0" t="s">
        <v>606</v>
      </c>
      <c r="K75" s="5" t="s">
        <v>1795</v>
      </c>
      <c r="L75" s="0" t="s">
        <v>4622</v>
      </c>
    </row>
    <row r="76" customFormat="false" ht="17.15" hidden="false" customHeight="false" outlineLevel="0" collapsed="false">
      <c r="A76" s="0" t="s">
        <v>4626</v>
      </c>
      <c r="B76" s="0" t="s">
        <v>1637</v>
      </c>
      <c r="C76" s="0" t="s">
        <v>4627</v>
      </c>
      <c r="D76" s="0" t="s">
        <v>4628</v>
      </c>
      <c r="E76" s="0" t="s">
        <v>4419</v>
      </c>
      <c r="F76" s="0" t="s">
        <v>4619</v>
      </c>
      <c r="G76" s="0" t="s">
        <v>4348</v>
      </c>
      <c r="H76" s="5" t="s">
        <v>1648</v>
      </c>
      <c r="J76" s="0" t="s">
        <v>609</v>
      </c>
      <c r="K76" s="5" t="s">
        <v>1795</v>
      </c>
      <c r="L76" s="0" t="s">
        <v>4622</v>
      </c>
    </row>
    <row r="77" customFormat="false" ht="17.15" hidden="false" customHeight="false" outlineLevel="0" collapsed="false">
      <c r="A77" s="0" t="s">
        <v>4629</v>
      </c>
      <c r="B77" s="0" t="s">
        <v>1637</v>
      </c>
      <c r="C77" s="0" t="s">
        <v>4630</v>
      </c>
      <c r="D77" s="0" t="s">
        <v>4631</v>
      </c>
      <c r="E77" s="0" t="s">
        <v>4419</v>
      </c>
      <c r="F77" s="0" t="s">
        <v>4619</v>
      </c>
      <c r="G77" s="0" t="s">
        <v>4348</v>
      </c>
      <c r="H77" s="5" t="s">
        <v>1648</v>
      </c>
      <c r="J77" s="0" t="s">
        <v>612</v>
      </c>
      <c r="K77" s="5" t="s">
        <v>1795</v>
      </c>
      <c r="L77" s="0" t="s">
        <v>4622</v>
      </c>
    </row>
    <row r="78" customFormat="false" ht="17.15" hidden="false" customHeight="false" outlineLevel="0" collapsed="false">
      <c r="A78" s="0" t="s">
        <v>4632</v>
      </c>
      <c r="B78" s="0" t="s">
        <v>1637</v>
      </c>
      <c r="C78" s="0" t="s">
        <v>4633</v>
      </c>
      <c r="D78" s="0" t="s">
        <v>4634</v>
      </c>
      <c r="F78" s="0" t="s">
        <v>4635</v>
      </c>
      <c r="G78" s="0" t="s">
        <v>1853</v>
      </c>
      <c r="H78" s="5" t="s">
        <v>1648</v>
      </c>
      <c r="K78" s="0" t="s">
        <v>34</v>
      </c>
      <c r="L78" s="0" t="s">
        <v>2084</v>
      </c>
    </row>
    <row r="79" customFormat="false" ht="17.15" hidden="false" customHeight="false" outlineLevel="0" collapsed="false">
      <c r="A79" s="0" t="s">
        <v>4636</v>
      </c>
      <c r="B79" s="0" t="s">
        <v>1019</v>
      </c>
      <c r="C79" s="0" t="s">
        <v>4637</v>
      </c>
      <c r="D79" s="0" t="s">
        <v>4638</v>
      </c>
      <c r="E79" s="0" t="s">
        <v>4312</v>
      </c>
      <c r="F79" s="0" t="s">
        <v>4639</v>
      </c>
      <c r="G79" s="0" t="s">
        <v>1799</v>
      </c>
      <c r="H79" s="5" t="s">
        <v>1648</v>
      </c>
      <c r="J79" s="0" t="s">
        <v>352</v>
      </c>
      <c r="K79" s="5" t="s">
        <v>1795</v>
      </c>
      <c r="L79" s="0" t="s">
        <v>4640</v>
      </c>
    </row>
    <row r="80" customFormat="false" ht="17.15" hidden="false" customHeight="false" outlineLevel="0" collapsed="false">
      <c r="A80" s="0" t="s">
        <v>4641</v>
      </c>
      <c r="B80" s="0" t="s">
        <v>1019</v>
      </c>
      <c r="C80" s="0" t="s">
        <v>4637</v>
      </c>
      <c r="D80" s="0" t="s">
        <v>4642</v>
      </c>
      <c r="E80" s="0" t="s">
        <v>4312</v>
      </c>
      <c r="F80" s="0" t="s">
        <v>4643</v>
      </c>
      <c r="G80" s="0" t="s">
        <v>1799</v>
      </c>
      <c r="H80" s="5" t="s">
        <v>1648</v>
      </c>
      <c r="K80" s="0" t="s">
        <v>34</v>
      </c>
      <c r="L80" s="0" t="s">
        <v>4644</v>
      </c>
    </row>
    <row r="81" customFormat="false" ht="17.15" hidden="false" customHeight="false" outlineLevel="0" collapsed="false">
      <c r="A81" s="0" t="s">
        <v>4645</v>
      </c>
      <c r="B81" s="0" t="s">
        <v>1019</v>
      </c>
      <c r="C81" s="0" t="s">
        <v>4637</v>
      </c>
      <c r="D81" s="0" t="s">
        <v>4646</v>
      </c>
      <c r="E81" s="0" t="s">
        <v>4312</v>
      </c>
      <c r="F81" s="0" t="s">
        <v>2144</v>
      </c>
      <c r="G81" s="0" t="s">
        <v>1799</v>
      </c>
      <c r="H81" s="5" t="s">
        <v>1648</v>
      </c>
      <c r="I81" s="0" t="s">
        <v>4647</v>
      </c>
      <c r="K81" s="0" t="s">
        <v>34</v>
      </c>
      <c r="L81" s="0" t="s">
        <v>4640</v>
      </c>
    </row>
    <row r="82" customFormat="false" ht="17.15" hidden="false" customHeight="false" outlineLevel="0" collapsed="false">
      <c r="A82" s="0" t="s">
        <v>4648</v>
      </c>
      <c r="B82" s="0" t="s">
        <v>1019</v>
      </c>
      <c r="C82" s="0" t="s">
        <v>4637</v>
      </c>
      <c r="D82" s="0" t="s">
        <v>4649</v>
      </c>
      <c r="E82" s="0" t="s">
        <v>4312</v>
      </c>
      <c r="F82" s="0" t="s">
        <v>2210</v>
      </c>
      <c r="G82" s="0" t="s">
        <v>1853</v>
      </c>
      <c r="H82" s="5" t="s">
        <v>1802</v>
      </c>
      <c r="K82" s="0" t="s">
        <v>34</v>
      </c>
      <c r="L82" s="0" t="s">
        <v>4650</v>
      </c>
    </row>
    <row r="83" customFormat="false" ht="17.15" hidden="false" customHeight="false" outlineLevel="0" collapsed="false">
      <c r="A83" s="0" t="s">
        <v>4651</v>
      </c>
      <c r="B83" s="0" t="s">
        <v>1019</v>
      </c>
      <c r="C83" s="0" t="s">
        <v>4637</v>
      </c>
      <c r="D83" s="0" t="s">
        <v>4652</v>
      </c>
      <c r="E83" s="0" t="s">
        <v>4312</v>
      </c>
      <c r="F83" s="0" t="s">
        <v>118</v>
      </c>
      <c r="G83" s="0" t="s">
        <v>1853</v>
      </c>
      <c r="H83" s="5" t="s">
        <v>1648</v>
      </c>
      <c r="J83" s="0" t="s">
        <v>138</v>
      </c>
      <c r="K83" s="5" t="s">
        <v>1795</v>
      </c>
      <c r="L83" s="0" t="s">
        <v>4653</v>
      </c>
    </row>
    <row r="84" customFormat="false" ht="17.15" hidden="false" customHeight="false" outlineLevel="0" collapsed="false">
      <c r="A84" s="0" t="s">
        <v>4654</v>
      </c>
      <c r="B84" s="0" t="s">
        <v>1019</v>
      </c>
      <c r="C84" s="0" t="s">
        <v>4655</v>
      </c>
      <c r="D84" s="0" t="s">
        <v>4656</v>
      </c>
      <c r="E84" s="0" t="s">
        <v>4312</v>
      </c>
      <c r="F84" s="0" t="s">
        <v>4657</v>
      </c>
      <c r="G84" s="0" t="s">
        <v>1853</v>
      </c>
      <c r="H84" s="5" t="s">
        <v>1648</v>
      </c>
      <c r="J84" s="0" t="s">
        <v>352</v>
      </c>
      <c r="K84" s="5" t="s">
        <v>1795</v>
      </c>
      <c r="L84" s="0" t="s">
        <v>2165</v>
      </c>
    </row>
    <row r="85" customFormat="false" ht="17.15" hidden="false" customHeight="false" outlineLevel="0" collapsed="false">
      <c r="A85" s="12" t="s">
        <v>4658</v>
      </c>
      <c r="B85" s="12" t="s">
        <v>1019</v>
      </c>
      <c r="C85" s="12" t="s">
        <v>4659</v>
      </c>
      <c r="D85" s="12" t="s">
        <v>4660</v>
      </c>
      <c r="E85" s="12" t="s">
        <v>4312</v>
      </c>
      <c r="F85" s="12" t="s">
        <v>2144</v>
      </c>
      <c r="G85" s="12" t="s">
        <v>1799</v>
      </c>
      <c r="H85" s="13" t="s">
        <v>1831</v>
      </c>
      <c r="I85" s="12" t="s">
        <v>4661</v>
      </c>
      <c r="J85" s="12"/>
      <c r="K85" s="12" t="s">
        <v>34</v>
      </c>
      <c r="L85" s="12" t="s">
        <v>4640</v>
      </c>
    </row>
    <row r="86" customFormat="false" ht="17.15" hidden="false" customHeight="false" outlineLevel="0" collapsed="false">
      <c r="A86" s="0" t="s">
        <v>4662</v>
      </c>
      <c r="B86" s="0" t="s">
        <v>1019</v>
      </c>
      <c r="C86" s="0" t="s">
        <v>4659</v>
      </c>
      <c r="D86" s="0" t="s">
        <v>4663</v>
      </c>
      <c r="E86" s="0" t="s">
        <v>4312</v>
      </c>
      <c r="F86" s="0" t="s">
        <v>118</v>
      </c>
      <c r="G86" s="0" t="s">
        <v>1853</v>
      </c>
      <c r="H86" s="5" t="s">
        <v>1648</v>
      </c>
      <c r="K86" s="0" t="s">
        <v>34</v>
      </c>
      <c r="L86" s="0" t="s">
        <v>4653</v>
      </c>
    </row>
    <row r="87" customFormat="false" ht="17.15" hidden="false" customHeight="false" outlineLevel="0" collapsed="false">
      <c r="A87" s="0" t="s">
        <v>4664</v>
      </c>
      <c r="B87" s="0" t="s">
        <v>1019</v>
      </c>
      <c r="C87" s="0" t="s">
        <v>4659</v>
      </c>
      <c r="D87" s="0" t="s">
        <v>4665</v>
      </c>
      <c r="E87" s="0" t="s">
        <v>4312</v>
      </c>
      <c r="F87" s="0" t="s">
        <v>4657</v>
      </c>
      <c r="G87" s="0" t="s">
        <v>1853</v>
      </c>
      <c r="H87" s="5" t="s">
        <v>1648</v>
      </c>
      <c r="J87" s="0" t="s">
        <v>185</v>
      </c>
      <c r="K87" s="5" t="s">
        <v>1795</v>
      </c>
      <c r="L87" s="0" t="s">
        <v>4666</v>
      </c>
    </row>
    <row r="88" customFormat="false" ht="17.15" hidden="false" customHeight="false" outlineLevel="0" collapsed="false">
      <c r="A88" s="0" t="s">
        <v>4667</v>
      </c>
      <c r="B88" s="0" t="s">
        <v>1019</v>
      </c>
      <c r="C88" s="0" t="s">
        <v>4668</v>
      </c>
      <c r="D88" s="0" t="s">
        <v>4669</v>
      </c>
      <c r="E88" s="0" t="s">
        <v>4312</v>
      </c>
      <c r="F88" s="0" t="s">
        <v>2416</v>
      </c>
      <c r="G88" s="0" t="s">
        <v>1853</v>
      </c>
      <c r="H88" s="5" t="s">
        <v>1802</v>
      </c>
      <c r="J88" s="0" t="s">
        <v>352</v>
      </c>
      <c r="K88" s="5" t="s">
        <v>4360</v>
      </c>
      <c r="L88" s="0" t="s">
        <v>4650</v>
      </c>
    </row>
    <row r="89" customFormat="false" ht="17.15" hidden="false" customHeight="false" outlineLevel="0" collapsed="false">
      <c r="A89" s="0" t="s">
        <v>4670</v>
      </c>
      <c r="B89" s="0" t="s">
        <v>1019</v>
      </c>
      <c r="C89" s="0" t="s">
        <v>4671</v>
      </c>
      <c r="D89" s="0" t="s">
        <v>4672</v>
      </c>
      <c r="E89" s="0" t="s">
        <v>110</v>
      </c>
      <c r="F89" s="0" t="s">
        <v>4673</v>
      </c>
      <c r="G89" s="0" t="s">
        <v>1853</v>
      </c>
      <c r="H89" s="5" t="s">
        <v>1648</v>
      </c>
      <c r="J89" s="0" t="s">
        <v>615</v>
      </c>
      <c r="K89" s="5" t="s">
        <v>1795</v>
      </c>
      <c r="L89" s="0" t="s">
        <v>4674</v>
      </c>
    </row>
    <row r="90" customFormat="false" ht="17.15" hidden="false" customHeight="false" outlineLevel="0" collapsed="false">
      <c r="A90" s="0" t="s">
        <v>4675</v>
      </c>
      <c r="B90" s="0" t="s">
        <v>1019</v>
      </c>
      <c r="C90" s="0" t="s">
        <v>4676</v>
      </c>
      <c r="D90" s="0" t="s">
        <v>4677</v>
      </c>
      <c r="E90" s="0" t="s">
        <v>110</v>
      </c>
      <c r="F90" s="0" t="s">
        <v>4673</v>
      </c>
      <c r="G90" s="0" t="s">
        <v>1853</v>
      </c>
      <c r="H90" s="5" t="s">
        <v>1648</v>
      </c>
      <c r="J90" s="0" t="s">
        <v>615</v>
      </c>
      <c r="K90" s="5" t="s">
        <v>1795</v>
      </c>
      <c r="L90" s="0" t="s">
        <v>4674</v>
      </c>
    </row>
    <row r="91" customFormat="false" ht="17.15" hidden="false" customHeight="false" outlineLevel="0" collapsed="false">
      <c r="A91" s="0" t="s">
        <v>4678</v>
      </c>
      <c r="B91" s="0" t="s">
        <v>1019</v>
      </c>
      <c r="C91" s="0" t="s">
        <v>4679</v>
      </c>
      <c r="D91" s="0" t="s">
        <v>4680</v>
      </c>
      <c r="E91" s="0" t="s">
        <v>110</v>
      </c>
      <c r="F91" s="0" t="s">
        <v>2295</v>
      </c>
      <c r="G91" s="0" t="s">
        <v>1853</v>
      </c>
      <c r="H91" s="5" t="s">
        <v>1802</v>
      </c>
      <c r="K91" s="0" t="s">
        <v>34</v>
      </c>
      <c r="L91" s="0" t="s">
        <v>4681</v>
      </c>
    </row>
    <row r="92" customFormat="false" ht="17.15" hidden="false" customHeight="false" outlineLevel="0" collapsed="false">
      <c r="A92" s="0" t="s">
        <v>4682</v>
      </c>
      <c r="B92" s="0" t="s">
        <v>1019</v>
      </c>
      <c r="C92" s="0" t="s">
        <v>4683</v>
      </c>
      <c r="D92" s="0" t="s">
        <v>4684</v>
      </c>
      <c r="E92" s="0" t="s">
        <v>110</v>
      </c>
      <c r="F92" s="0" t="s">
        <v>4685</v>
      </c>
      <c r="G92" s="0" t="s">
        <v>1853</v>
      </c>
      <c r="H92" s="5" t="s">
        <v>1802</v>
      </c>
      <c r="K92" s="0" t="s">
        <v>34</v>
      </c>
      <c r="L92" s="0" t="s">
        <v>4686</v>
      </c>
    </row>
    <row r="93" customFormat="false" ht="17.15" hidden="false" customHeight="false" outlineLevel="0" collapsed="false">
      <c r="A93" s="0" t="s">
        <v>4687</v>
      </c>
      <c r="B93" s="0" t="s">
        <v>1019</v>
      </c>
      <c r="C93" s="0" t="s">
        <v>4688</v>
      </c>
      <c r="D93" s="0" t="s">
        <v>111</v>
      </c>
      <c r="E93" s="0" t="s">
        <v>4312</v>
      </c>
      <c r="F93" s="0" t="s">
        <v>4657</v>
      </c>
      <c r="G93" s="0" t="s">
        <v>1853</v>
      </c>
      <c r="H93" s="5" t="s">
        <v>1802</v>
      </c>
      <c r="K93" s="0" t="s">
        <v>34</v>
      </c>
      <c r="L93" s="0" t="s">
        <v>4644</v>
      </c>
    </row>
    <row r="94" customFormat="false" ht="17.15" hidden="false" customHeight="false" outlineLevel="0" collapsed="false">
      <c r="A94" s="0" t="s">
        <v>4689</v>
      </c>
      <c r="B94" s="0" t="s">
        <v>1019</v>
      </c>
      <c r="C94" s="0" t="s">
        <v>4690</v>
      </c>
      <c r="D94" s="0" t="s">
        <v>4691</v>
      </c>
      <c r="E94" s="0" t="s">
        <v>4312</v>
      </c>
      <c r="F94" s="0" t="s">
        <v>4657</v>
      </c>
      <c r="G94" s="0" t="s">
        <v>1853</v>
      </c>
      <c r="H94" s="5" t="s">
        <v>1802</v>
      </c>
      <c r="J94" s="0" t="s">
        <v>654</v>
      </c>
      <c r="K94" s="5" t="s">
        <v>4442</v>
      </c>
      <c r="L94" s="0" t="s">
        <v>4644</v>
      </c>
    </row>
    <row r="95" customFormat="false" ht="17.15" hidden="false" customHeight="false" outlineLevel="0" collapsed="false">
      <c r="A95" s="0" t="s">
        <v>4692</v>
      </c>
      <c r="B95" s="0" t="s">
        <v>1019</v>
      </c>
      <c r="C95" s="0" t="s">
        <v>4693</v>
      </c>
      <c r="D95" s="0" t="s">
        <v>4694</v>
      </c>
      <c r="E95" s="0" t="s">
        <v>4312</v>
      </c>
      <c r="F95" s="0" t="s">
        <v>4657</v>
      </c>
      <c r="G95" s="0" t="s">
        <v>1853</v>
      </c>
      <c r="H95" s="5" t="s">
        <v>1802</v>
      </c>
      <c r="K95" s="0" t="s">
        <v>34</v>
      </c>
      <c r="L95" s="0" t="s">
        <v>4644</v>
      </c>
    </row>
    <row r="96" customFormat="false" ht="17.15" hidden="false" customHeight="false" outlineLevel="0" collapsed="false">
      <c r="A96" s="0" t="s">
        <v>4695</v>
      </c>
      <c r="B96" s="0" t="s">
        <v>1019</v>
      </c>
      <c r="C96" s="0" t="s">
        <v>4696</v>
      </c>
      <c r="D96" s="0" t="s">
        <v>4697</v>
      </c>
      <c r="F96" s="0" t="s">
        <v>4657</v>
      </c>
      <c r="G96" s="0" t="s">
        <v>1853</v>
      </c>
      <c r="H96" s="5" t="s">
        <v>1648</v>
      </c>
      <c r="K96" s="0" t="s">
        <v>34</v>
      </c>
      <c r="L96" s="0" t="s">
        <v>2165</v>
      </c>
    </row>
    <row r="97" customFormat="false" ht="17.15" hidden="false" customHeight="false" outlineLevel="0" collapsed="false">
      <c r="A97" s="0" t="s">
        <v>4698</v>
      </c>
      <c r="B97" s="0" t="s">
        <v>1038</v>
      </c>
      <c r="C97" s="0" t="s">
        <v>4699</v>
      </c>
      <c r="D97" s="0" t="s">
        <v>4700</v>
      </c>
      <c r="E97" s="0" t="s">
        <v>110</v>
      </c>
      <c r="F97" s="0" t="s">
        <v>2144</v>
      </c>
      <c r="G97" s="0" t="s">
        <v>1853</v>
      </c>
      <c r="H97" s="5" t="s">
        <v>1648</v>
      </c>
      <c r="J97" s="0" t="s">
        <v>356</v>
      </c>
      <c r="K97" s="5" t="s">
        <v>1795</v>
      </c>
      <c r="L97" s="0" t="s">
        <v>4701</v>
      </c>
    </row>
    <row r="98" customFormat="false" ht="17.15" hidden="false" customHeight="false" outlineLevel="0" collapsed="false">
      <c r="A98" s="0" t="s">
        <v>4702</v>
      </c>
      <c r="B98" s="0" t="s">
        <v>1038</v>
      </c>
      <c r="C98" s="0" t="s">
        <v>4699</v>
      </c>
      <c r="D98" s="0" t="s">
        <v>111</v>
      </c>
      <c r="E98" s="0" t="s">
        <v>4312</v>
      </c>
      <c r="F98" s="0" t="s">
        <v>4643</v>
      </c>
      <c r="G98" s="0" t="s">
        <v>4400</v>
      </c>
      <c r="H98" s="5" t="s">
        <v>1802</v>
      </c>
      <c r="K98" s="0" t="s">
        <v>34</v>
      </c>
    </row>
    <row r="99" customFormat="false" ht="17.15" hidden="false" customHeight="false" outlineLevel="0" collapsed="false">
      <c r="A99" s="0" t="s">
        <v>4703</v>
      </c>
      <c r="B99" s="0" t="s">
        <v>1038</v>
      </c>
      <c r="C99" s="0" t="s">
        <v>4704</v>
      </c>
      <c r="D99" s="0" t="s">
        <v>4705</v>
      </c>
      <c r="E99" s="0" t="s">
        <v>4312</v>
      </c>
      <c r="F99" s="0" t="s">
        <v>4706</v>
      </c>
      <c r="G99" s="0" t="s">
        <v>1853</v>
      </c>
      <c r="H99" s="5" t="s">
        <v>1802</v>
      </c>
      <c r="J99" s="0" t="s">
        <v>356</v>
      </c>
      <c r="K99" s="5" t="s">
        <v>4360</v>
      </c>
      <c r="L99" s="0" t="s">
        <v>4707</v>
      </c>
    </row>
    <row r="100" customFormat="false" ht="17.15" hidden="false" customHeight="false" outlineLevel="0" collapsed="false">
      <c r="A100" s="0" t="s">
        <v>4708</v>
      </c>
      <c r="B100" s="0" t="s">
        <v>1038</v>
      </c>
      <c r="C100" s="0" t="s">
        <v>4709</v>
      </c>
      <c r="D100" s="0" t="s">
        <v>4710</v>
      </c>
      <c r="E100" s="0" t="s">
        <v>4312</v>
      </c>
      <c r="F100" s="0" t="s">
        <v>4711</v>
      </c>
      <c r="G100" s="0" t="s">
        <v>1853</v>
      </c>
      <c r="H100" s="5" t="s">
        <v>1802</v>
      </c>
      <c r="J100" s="0" t="s">
        <v>189</v>
      </c>
      <c r="K100" s="5" t="s">
        <v>4360</v>
      </c>
      <c r="L100" s="0" t="s">
        <v>4712</v>
      </c>
    </row>
    <row r="101" customFormat="false" ht="17.15" hidden="false" customHeight="false" outlineLevel="0" collapsed="false">
      <c r="A101" s="0" t="s">
        <v>4713</v>
      </c>
      <c r="B101" s="0" t="s">
        <v>1038</v>
      </c>
      <c r="C101" s="0" t="s">
        <v>4714</v>
      </c>
      <c r="D101" s="0" t="s">
        <v>4715</v>
      </c>
      <c r="E101" s="0" t="s">
        <v>4312</v>
      </c>
      <c r="F101" s="0" t="s">
        <v>4711</v>
      </c>
      <c r="G101" s="0" t="s">
        <v>1853</v>
      </c>
      <c r="H101" s="5" t="s">
        <v>1802</v>
      </c>
      <c r="J101" s="0" t="s">
        <v>644</v>
      </c>
      <c r="K101" s="5" t="s">
        <v>4442</v>
      </c>
      <c r="L101" s="0" t="s">
        <v>4716</v>
      </c>
    </row>
    <row r="102" customFormat="false" ht="17.15" hidden="false" customHeight="false" outlineLevel="0" collapsed="false">
      <c r="A102" s="0" t="s">
        <v>4717</v>
      </c>
      <c r="B102" s="0" t="s">
        <v>1038</v>
      </c>
      <c r="C102" s="0" t="s">
        <v>4718</v>
      </c>
      <c r="D102" s="0" t="s">
        <v>4719</v>
      </c>
      <c r="E102" s="0" t="s">
        <v>4312</v>
      </c>
      <c r="F102" s="0" t="s">
        <v>4711</v>
      </c>
      <c r="G102" s="0" t="s">
        <v>1853</v>
      </c>
      <c r="H102" s="5" t="s">
        <v>1802</v>
      </c>
      <c r="J102" s="0" t="s">
        <v>648</v>
      </c>
      <c r="K102" s="5" t="s">
        <v>4442</v>
      </c>
      <c r="L102" s="0" t="s">
        <v>4716</v>
      </c>
    </row>
    <row r="103" customFormat="false" ht="17.15" hidden="false" customHeight="false" outlineLevel="0" collapsed="false">
      <c r="A103" s="0" t="s">
        <v>4720</v>
      </c>
      <c r="B103" s="0" t="s">
        <v>1038</v>
      </c>
      <c r="C103" s="0" t="s">
        <v>4721</v>
      </c>
      <c r="D103" s="0" t="s">
        <v>4719</v>
      </c>
      <c r="E103" s="0" t="s">
        <v>4312</v>
      </c>
      <c r="F103" s="0" t="s">
        <v>4711</v>
      </c>
      <c r="G103" s="0" t="s">
        <v>1853</v>
      </c>
      <c r="H103" s="5" t="s">
        <v>1802</v>
      </c>
      <c r="J103" s="0" t="s">
        <v>651</v>
      </c>
      <c r="K103" s="5" t="s">
        <v>4442</v>
      </c>
      <c r="L103" s="0" t="s">
        <v>4716</v>
      </c>
    </row>
    <row r="104" customFormat="false" ht="17.15" hidden="false" customHeight="false" outlineLevel="0" collapsed="false">
      <c r="A104" s="0" t="s">
        <v>4722</v>
      </c>
      <c r="B104" s="0" t="s">
        <v>1038</v>
      </c>
      <c r="C104" s="0" t="s">
        <v>4723</v>
      </c>
      <c r="D104" s="0" t="s">
        <v>4724</v>
      </c>
      <c r="E104" s="0" t="s">
        <v>110</v>
      </c>
      <c r="F104" s="0" t="s">
        <v>118</v>
      </c>
      <c r="G104" s="0" t="s">
        <v>1810</v>
      </c>
      <c r="H104" s="5" t="s">
        <v>1802</v>
      </c>
      <c r="K104" s="0" t="s">
        <v>34</v>
      </c>
      <c r="L104" s="0" t="s">
        <v>4361</v>
      </c>
    </row>
    <row r="105" customFormat="false" ht="17.15" hidden="false" customHeight="false" outlineLevel="0" collapsed="false">
      <c r="A105" s="0" t="s">
        <v>4725</v>
      </c>
      <c r="B105" s="0" t="s">
        <v>1038</v>
      </c>
      <c r="C105" s="0" t="s">
        <v>4726</v>
      </c>
      <c r="D105" s="0" t="s">
        <v>4727</v>
      </c>
      <c r="F105" s="0" t="s">
        <v>4706</v>
      </c>
      <c r="G105" s="0" t="s">
        <v>1853</v>
      </c>
      <c r="H105" s="5" t="s">
        <v>1802</v>
      </c>
      <c r="K105" s="0" t="s">
        <v>34</v>
      </c>
      <c r="L105" s="0" t="s">
        <v>4707</v>
      </c>
    </row>
    <row r="106" customFormat="false" ht="17.15" hidden="false" customHeight="false" outlineLevel="0" collapsed="false">
      <c r="A106" s="0" t="s">
        <v>4728</v>
      </c>
      <c r="B106" s="5" t="s">
        <v>4729</v>
      </c>
      <c r="C106" s="5" t="s">
        <v>4730</v>
      </c>
      <c r="D106" s="0" t="s">
        <v>4731</v>
      </c>
      <c r="E106" s="0" t="s">
        <v>110</v>
      </c>
      <c r="F106" s="0" t="s">
        <v>4732</v>
      </c>
      <c r="G106" s="0" t="s">
        <v>1853</v>
      </c>
      <c r="H106" s="5" t="s">
        <v>1648</v>
      </c>
      <c r="J106" s="0" t="s">
        <v>4733</v>
      </c>
      <c r="K106" s="5" t="s">
        <v>1795</v>
      </c>
      <c r="L106" s="0" t="s">
        <v>4734</v>
      </c>
    </row>
    <row r="107" customFormat="false" ht="17.15" hidden="false" customHeight="false" outlineLevel="0" collapsed="false">
      <c r="A107" s="0" t="s">
        <v>4735</v>
      </c>
      <c r="B107" s="5" t="s">
        <v>4729</v>
      </c>
      <c r="C107" s="5" t="s">
        <v>4736</v>
      </c>
      <c r="D107" s="0" t="s">
        <v>4737</v>
      </c>
      <c r="E107" s="0" t="s">
        <v>110</v>
      </c>
      <c r="F107" s="0" t="s">
        <v>4732</v>
      </c>
      <c r="G107" s="0" t="s">
        <v>1853</v>
      </c>
      <c r="H107" s="5" t="s">
        <v>1648</v>
      </c>
      <c r="J107" s="0" t="s">
        <v>622</v>
      </c>
      <c r="K107" s="5" t="s">
        <v>1795</v>
      </c>
      <c r="L107" s="0" t="s">
        <v>4734</v>
      </c>
    </row>
    <row r="108" customFormat="false" ht="17.15" hidden="false" customHeight="false" outlineLevel="0" collapsed="false">
      <c r="A108" s="0" t="s">
        <v>4738</v>
      </c>
      <c r="B108" s="5" t="s">
        <v>4729</v>
      </c>
      <c r="C108" s="5" t="s">
        <v>4739</v>
      </c>
      <c r="D108" s="0" t="s">
        <v>4740</v>
      </c>
      <c r="E108" s="0" t="s">
        <v>110</v>
      </c>
      <c r="F108" s="0" t="s">
        <v>137</v>
      </c>
      <c r="G108" s="0" t="s">
        <v>1853</v>
      </c>
      <c r="H108" s="5" t="s">
        <v>1802</v>
      </c>
      <c r="K108" s="0" t="s">
        <v>34</v>
      </c>
      <c r="L108" s="0" t="s">
        <v>4681</v>
      </c>
    </row>
    <row r="109" customFormat="false" ht="17.15" hidden="false" customHeight="false" outlineLevel="0" collapsed="false">
      <c r="A109" s="0" t="s">
        <v>4741</v>
      </c>
      <c r="B109" s="5" t="s">
        <v>4729</v>
      </c>
      <c r="C109" s="5" t="s">
        <v>4742</v>
      </c>
      <c r="D109" s="0" t="s">
        <v>4743</v>
      </c>
      <c r="E109" s="0" t="s">
        <v>110</v>
      </c>
      <c r="F109" s="0" t="s">
        <v>4744</v>
      </c>
      <c r="G109" s="0" t="s">
        <v>1853</v>
      </c>
      <c r="H109" s="5" t="s">
        <v>1802</v>
      </c>
      <c r="K109" s="0" t="s">
        <v>34</v>
      </c>
      <c r="L109" s="0" t="s">
        <v>4745</v>
      </c>
    </row>
    <row r="110" customFormat="false" ht="17.15" hidden="false" customHeight="false" outlineLevel="0" collapsed="false">
      <c r="A110" s="0" t="s">
        <v>4746</v>
      </c>
      <c r="B110" s="5" t="s">
        <v>4729</v>
      </c>
      <c r="C110" s="5" t="s">
        <v>4747</v>
      </c>
      <c r="D110" s="0" t="s">
        <v>4748</v>
      </c>
      <c r="E110" s="0" t="s">
        <v>4312</v>
      </c>
      <c r="F110" s="0" t="s">
        <v>4749</v>
      </c>
      <c r="G110" s="0" t="s">
        <v>1853</v>
      </c>
      <c r="H110" s="5" t="s">
        <v>1802</v>
      </c>
      <c r="K110" s="0" t="s">
        <v>34</v>
      </c>
      <c r="L110" s="0" t="s">
        <v>4750</v>
      </c>
    </row>
    <row r="111" customFormat="false" ht="17.15" hidden="false" customHeight="false" outlineLevel="0" collapsed="false">
      <c r="A111" s="0" t="s">
        <v>4751</v>
      </c>
      <c r="B111" s="5" t="s">
        <v>4729</v>
      </c>
      <c r="C111" s="5" t="s">
        <v>4752</v>
      </c>
      <c r="D111" s="0" t="s">
        <v>4753</v>
      </c>
      <c r="E111" s="0" t="s">
        <v>4312</v>
      </c>
      <c r="F111" s="0" t="s">
        <v>2031</v>
      </c>
      <c r="G111" s="0" t="s">
        <v>1853</v>
      </c>
      <c r="H111" s="5" t="s">
        <v>1802</v>
      </c>
      <c r="K111" s="0" t="s">
        <v>34</v>
      </c>
      <c r="L111" s="0" t="s">
        <v>4754</v>
      </c>
    </row>
    <row r="112" customFormat="false" ht="17.15" hidden="false" customHeight="false" outlineLevel="0" collapsed="false">
      <c r="A112" s="0" t="s">
        <v>4755</v>
      </c>
      <c r="B112" s="5" t="s">
        <v>4729</v>
      </c>
      <c r="C112" s="5" t="s">
        <v>4756</v>
      </c>
      <c r="D112" s="0" t="s">
        <v>4757</v>
      </c>
      <c r="E112" s="0" t="s">
        <v>4312</v>
      </c>
      <c r="F112" s="0" t="s">
        <v>4758</v>
      </c>
      <c r="G112" s="0" t="s">
        <v>1853</v>
      </c>
      <c r="H112" s="5" t="s">
        <v>1802</v>
      </c>
      <c r="K112" s="0" t="s">
        <v>34</v>
      </c>
      <c r="L112" s="0" t="s">
        <v>4759</v>
      </c>
    </row>
    <row r="113" customFormat="false" ht="17.15" hidden="false" customHeight="false" outlineLevel="0" collapsed="false">
      <c r="A113" s="0" t="s">
        <v>4760</v>
      </c>
      <c r="B113" s="5" t="s">
        <v>4729</v>
      </c>
      <c r="C113" s="5" t="s">
        <v>4761</v>
      </c>
      <c r="D113" s="0" t="s">
        <v>4762</v>
      </c>
      <c r="E113" s="0" t="s">
        <v>4312</v>
      </c>
      <c r="F113" s="0" t="s">
        <v>137</v>
      </c>
      <c r="G113" s="0" t="s">
        <v>1853</v>
      </c>
      <c r="H113" s="5" t="s">
        <v>1802</v>
      </c>
      <c r="K113" s="0" t="s">
        <v>34</v>
      </c>
      <c r="L113" s="0" t="s">
        <v>4763</v>
      </c>
    </row>
    <row r="114" customFormat="false" ht="17.15" hidden="false" customHeight="false" outlineLevel="0" collapsed="false">
      <c r="A114" s="0" t="s">
        <v>4764</v>
      </c>
      <c r="B114" s="5" t="s">
        <v>4729</v>
      </c>
      <c r="C114" s="5" t="s">
        <v>4765</v>
      </c>
      <c r="D114" s="0" t="s">
        <v>4766</v>
      </c>
      <c r="E114" s="0" t="s">
        <v>4312</v>
      </c>
      <c r="F114" s="0" t="s">
        <v>4486</v>
      </c>
      <c r="G114" s="0" t="s">
        <v>1853</v>
      </c>
      <c r="H114" s="5" t="s">
        <v>1802</v>
      </c>
      <c r="K114" s="0" t="s">
        <v>34</v>
      </c>
      <c r="L114" s="0" t="s">
        <v>4767</v>
      </c>
    </row>
    <row r="115" customFormat="false" ht="17.15" hidden="false" customHeight="false" outlineLevel="0" collapsed="false">
      <c r="A115" s="0" t="s">
        <v>4768</v>
      </c>
      <c r="B115" s="5" t="s">
        <v>4729</v>
      </c>
      <c r="C115" s="5" t="s">
        <v>4769</v>
      </c>
      <c r="D115" s="0" t="s">
        <v>4770</v>
      </c>
      <c r="E115" s="0" t="s">
        <v>110</v>
      </c>
      <c r="F115" s="0" t="s">
        <v>4771</v>
      </c>
      <c r="G115" s="0" t="s">
        <v>1810</v>
      </c>
      <c r="H115" s="5" t="s">
        <v>1802</v>
      </c>
      <c r="K115" s="0" t="s">
        <v>34</v>
      </c>
      <c r="L115" s="0" t="s">
        <v>4361</v>
      </c>
    </row>
    <row r="116" customFormat="false" ht="17.15" hidden="false" customHeight="false" outlineLevel="0" collapsed="false">
      <c r="A116" s="0" t="s">
        <v>4772</v>
      </c>
      <c r="B116" s="5" t="s">
        <v>4729</v>
      </c>
      <c r="C116" s="5" t="s">
        <v>4773</v>
      </c>
      <c r="D116" s="0" t="s">
        <v>4774</v>
      </c>
      <c r="E116" s="0" t="s">
        <v>110</v>
      </c>
      <c r="F116" s="0" t="s">
        <v>1669</v>
      </c>
      <c r="G116" s="0" t="s">
        <v>1853</v>
      </c>
      <c r="H116" s="5" t="s">
        <v>1648</v>
      </c>
      <c r="J116" s="0" t="s">
        <v>4775</v>
      </c>
      <c r="K116" s="5" t="s">
        <v>1795</v>
      </c>
      <c r="L116" s="0" t="s">
        <v>4776</v>
      </c>
    </row>
    <row r="117" customFormat="false" ht="17.15" hidden="false" customHeight="false" outlineLevel="0" collapsed="false">
      <c r="A117" s="0" t="s">
        <v>4777</v>
      </c>
      <c r="B117" s="5" t="s">
        <v>4729</v>
      </c>
      <c r="C117" s="5" t="s">
        <v>4778</v>
      </c>
      <c r="D117" s="0" t="s">
        <v>4779</v>
      </c>
      <c r="E117" s="0" t="s">
        <v>4312</v>
      </c>
      <c r="F117" s="0" t="s">
        <v>4758</v>
      </c>
      <c r="G117" s="0" t="s">
        <v>1853</v>
      </c>
      <c r="H117" s="5" t="s">
        <v>1802</v>
      </c>
      <c r="K117" s="0" t="s">
        <v>34</v>
      </c>
      <c r="L117" s="0" t="s">
        <v>4780</v>
      </c>
    </row>
    <row r="118" customFormat="false" ht="17.15" hidden="false" customHeight="false" outlineLevel="0" collapsed="false">
      <c r="A118" s="0" t="s">
        <v>4781</v>
      </c>
      <c r="B118" s="5" t="s">
        <v>4729</v>
      </c>
      <c r="C118" s="5" t="s">
        <v>4782</v>
      </c>
      <c r="D118" s="0" t="s">
        <v>4783</v>
      </c>
      <c r="E118" s="0" t="s">
        <v>4312</v>
      </c>
      <c r="F118" s="0" t="s">
        <v>4353</v>
      </c>
      <c r="G118" s="0" t="s">
        <v>4348</v>
      </c>
      <c r="H118" s="5" t="s">
        <v>1656</v>
      </c>
      <c r="I118" s="5" t="s">
        <v>4784</v>
      </c>
      <c r="J118" s="0" t="s">
        <v>4785</v>
      </c>
      <c r="K118" s="5" t="s">
        <v>1795</v>
      </c>
      <c r="L118" s="0" t="s">
        <v>4349</v>
      </c>
    </row>
    <row r="119" customFormat="false" ht="17.15" hidden="false" customHeight="false" outlineLevel="0" collapsed="false">
      <c r="A119" s="0" t="s">
        <v>4786</v>
      </c>
      <c r="B119" s="5" t="s">
        <v>4787</v>
      </c>
      <c r="C119" s="5" t="s">
        <v>4788</v>
      </c>
      <c r="D119" s="0" t="s">
        <v>4789</v>
      </c>
      <c r="F119" s="0" t="s">
        <v>4353</v>
      </c>
      <c r="G119" s="0" t="s">
        <v>4348</v>
      </c>
      <c r="H119" s="5" t="s">
        <v>1648</v>
      </c>
      <c r="K119" s="0" t="s">
        <v>34</v>
      </c>
      <c r="L119" s="0" t="s">
        <v>4790</v>
      </c>
    </row>
    <row r="120" customFormat="false" ht="17.15" hidden="false" customHeight="false" outlineLevel="0" collapsed="false">
      <c r="A120" s="0" t="s">
        <v>4791</v>
      </c>
      <c r="B120" s="5" t="s">
        <v>4787</v>
      </c>
      <c r="C120" s="5" t="s">
        <v>4792</v>
      </c>
      <c r="D120" s="0" t="s">
        <v>4793</v>
      </c>
      <c r="E120" s="0" t="s">
        <v>4312</v>
      </c>
      <c r="F120" s="0" t="s">
        <v>4486</v>
      </c>
      <c r="G120" s="0" t="s">
        <v>4348</v>
      </c>
      <c r="H120" s="5" t="s">
        <v>1802</v>
      </c>
      <c r="K120" s="0" t="s">
        <v>34</v>
      </c>
      <c r="L120" s="0" t="s">
        <v>4794</v>
      </c>
    </row>
    <row r="121" customFormat="false" ht="17.15" hidden="false" customHeight="false" outlineLevel="0" collapsed="false">
      <c r="A121" s="0" t="s">
        <v>4795</v>
      </c>
      <c r="B121" s="0" t="s">
        <v>1235</v>
      </c>
      <c r="C121" s="0" t="s">
        <v>4796</v>
      </c>
      <c r="D121" s="0" t="s">
        <v>4797</v>
      </c>
      <c r="E121" s="0" t="s">
        <v>4312</v>
      </c>
      <c r="F121" s="0" t="s">
        <v>2144</v>
      </c>
      <c r="G121" s="0" t="s">
        <v>4798</v>
      </c>
      <c r="H121" s="5" t="s">
        <v>1648</v>
      </c>
      <c r="J121" s="0" t="s">
        <v>466</v>
      </c>
      <c r="K121" s="5" t="s">
        <v>1795</v>
      </c>
      <c r="L121" s="0" t="s">
        <v>4799</v>
      </c>
    </row>
    <row r="122" customFormat="false" ht="17.15" hidden="false" customHeight="false" outlineLevel="0" collapsed="false">
      <c r="A122" s="0" t="s">
        <v>4800</v>
      </c>
      <c r="B122" s="0" t="s">
        <v>1235</v>
      </c>
      <c r="C122" s="0" t="s">
        <v>4801</v>
      </c>
      <c r="D122" s="0" t="s">
        <v>4802</v>
      </c>
      <c r="E122" s="0" t="s">
        <v>4312</v>
      </c>
      <c r="F122" s="0" t="s">
        <v>4803</v>
      </c>
      <c r="G122" s="0" t="s">
        <v>4804</v>
      </c>
      <c r="H122" s="5" t="s">
        <v>1656</v>
      </c>
      <c r="I122" s="5" t="s">
        <v>4805</v>
      </c>
      <c r="J122" s="0" t="s">
        <v>182</v>
      </c>
      <c r="K122" s="5" t="s">
        <v>1795</v>
      </c>
      <c r="L122" s="0" t="s">
        <v>4806</v>
      </c>
    </row>
    <row r="123" customFormat="false" ht="17.15" hidden="false" customHeight="false" outlineLevel="0" collapsed="false">
      <c r="A123" s="0" t="s">
        <v>4807</v>
      </c>
      <c r="B123" s="0" t="s">
        <v>1235</v>
      </c>
      <c r="C123" s="0" t="s">
        <v>4808</v>
      </c>
      <c r="D123" s="0" t="s">
        <v>4809</v>
      </c>
      <c r="E123" s="0" t="s">
        <v>4312</v>
      </c>
      <c r="F123" s="0" t="s">
        <v>4569</v>
      </c>
      <c r="G123" s="0" t="s">
        <v>4810</v>
      </c>
      <c r="H123" s="5" t="s">
        <v>1648</v>
      </c>
      <c r="J123" s="0" t="s">
        <v>466</v>
      </c>
      <c r="K123" s="5" t="s">
        <v>1795</v>
      </c>
      <c r="L123" s="0" t="s">
        <v>4811</v>
      </c>
    </row>
    <row r="124" customFormat="false" ht="17.15" hidden="false" customHeight="false" outlineLevel="0" collapsed="false">
      <c r="A124" s="0" t="s">
        <v>4812</v>
      </c>
      <c r="B124" s="0" t="s">
        <v>1235</v>
      </c>
      <c r="C124" s="0" t="s">
        <v>4813</v>
      </c>
      <c r="D124" s="0" t="s">
        <v>4814</v>
      </c>
      <c r="E124" s="0" t="s">
        <v>4815</v>
      </c>
      <c r="F124" s="0" t="s">
        <v>4816</v>
      </c>
      <c r="G124" s="0" t="s">
        <v>4817</v>
      </c>
      <c r="H124" s="5" t="s">
        <v>1802</v>
      </c>
      <c r="K124" s="0" t="s">
        <v>34</v>
      </c>
      <c r="L124" s="0" t="s">
        <v>4818</v>
      </c>
    </row>
    <row r="125" customFormat="false" ht="17.15" hidden="false" customHeight="false" outlineLevel="0" collapsed="false">
      <c r="A125" s="0" t="s">
        <v>4819</v>
      </c>
      <c r="B125" s="0" t="s">
        <v>1235</v>
      </c>
      <c r="C125" s="0" t="s">
        <v>4820</v>
      </c>
      <c r="D125" s="5" t="s">
        <v>4821</v>
      </c>
      <c r="E125" s="0" t="s">
        <v>4312</v>
      </c>
      <c r="F125" s="0" t="s">
        <v>1660</v>
      </c>
      <c r="G125" s="0" t="s">
        <v>4822</v>
      </c>
      <c r="H125" s="5" t="s">
        <v>1648</v>
      </c>
      <c r="J125" s="0" t="s">
        <v>466</v>
      </c>
      <c r="K125" s="5" t="s">
        <v>1795</v>
      </c>
      <c r="L125" s="0" t="s">
        <v>4823</v>
      </c>
    </row>
    <row r="126" customFormat="false" ht="17.15" hidden="false" customHeight="false" outlineLevel="0" collapsed="false">
      <c r="A126" s="0" t="s">
        <v>4824</v>
      </c>
      <c r="B126" s="0" t="s">
        <v>4825</v>
      </c>
      <c r="C126" s="0" t="s">
        <v>4826</v>
      </c>
      <c r="D126" s="0" t="s">
        <v>4827</v>
      </c>
      <c r="E126" s="0" t="s">
        <v>4312</v>
      </c>
      <c r="F126" s="0" t="s">
        <v>137</v>
      </c>
      <c r="G126" s="0" t="s">
        <v>4828</v>
      </c>
      <c r="H126" s="5" t="s">
        <v>1648</v>
      </c>
      <c r="K126" s="0" t="s">
        <v>34</v>
      </c>
      <c r="L126" s="0" t="s">
        <v>4829</v>
      </c>
    </row>
    <row r="127" customFormat="false" ht="17.15" hidden="false" customHeight="false" outlineLevel="0" collapsed="false">
      <c r="A127" s="0" t="s">
        <v>4830</v>
      </c>
      <c r="B127" s="0" t="s">
        <v>4825</v>
      </c>
      <c r="C127" s="0" t="s">
        <v>4831</v>
      </c>
      <c r="D127" s="0" t="s">
        <v>4832</v>
      </c>
      <c r="E127" s="0" t="s">
        <v>4312</v>
      </c>
      <c r="F127" s="0" t="s">
        <v>4609</v>
      </c>
      <c r="G127" s="0" t="s">
        <v>4833</v>
      </c>
      <c r="H127" s="5" t="s">
        <v>1802</v>
      </c>
      <c r="K127" s="0" t="s">
        <v>34</v>
      </c>
      <c r="L127" s="0" t="s">
        <v>4834</v>
      </c>
    </row>
    <row r="128" customFormat="false" ht="17.15" hidden="false" customHeight="false" outlineLevel="0" collapsed="false">
      <c r="A128" s="0" t="s">
        <v>4835</v>
      </c>
      <c r="B128" s="0" t="s">
        <v>4825</v>
      </c>
      <c r="C128" s="0" t="s">
        <v>4836</v>
      </c>
      <c r="D128" s="0" t="s">
        <v>4837</v>
      </c>
      <c r="E128" s="0" t="s">
        <v>4312</v>
      </c>
      <c r="F128" s="0" t="s">
        <v>4838</v>
      </c>
      <c r="G128" s="0" t="s">
        <v>4839</v>
      </c>
      <c r="H128" s="5" t="s">
        <v>1802</v>
      </c>
      <c r="K128" s="0" t="s">
        <v>34</v>
      </c>
      <c r="L128" s="0" t="s">
        <v>4840</v>
      </c>
    </row>
    <row r="129" customFormat="false" ht="17.15" hidden="false" customHeight="false" outlineLevel="0" collapsed="false">
      <c r="A129" s="0" t="s">
        <v>4841</v>
      </c>
      <c r="B129" s="0" t="s">
        <v>4825</v>
      </c>
      <c r="C129" s="0" t="s">
        <v>4842</v>
      </c>
      <c r="D129" s="0" t="s">
        <v>4631</v>
      </c>
      <c r="E129" s="0" t="s">
        <v>110</v>
      </c>
      <c r="F129" s="0" t="s">
        <v>1664</v>
      </c>
      <c r="G129" s="0" t="s">
        <v>4843</v>
      </c>
      <c r="H129" s="5" t="s">
        <v>1802</v>
      </c>
      <c r="J129" s="0" t="s">
        <v>4844</v>
      </c>
      <c r="K129" s="5" t="s">
        <v>4360</v>
      </c>
      <c r="L129" s="0" t="s">
        <v>4845</v>
      </c>
    </row>
    <row r="130" customFormat="false" ht="17.15" hidden="false" customHeight="false" outlineLevel="0" collapsed="false">
      <c r="A130" s="0" t="s">
        <v>4846</v>
      </c>
      <c r="B130" s="0" t="s">
        <v>4825</v>
      </c>
      <c r="C130" s="0" t="s">
        <v>4847</v>
      </c>
      <c r="D130" s="0" t="s">
        <v>4848</v>
      </c>
      <c r="E130" s="0" t="s">
        <v>110</v>
      </c>
      <c r="F130" s="0" t="s">
        <v>4849</v>
      </c>
      <c r="G130" s="0" t="s">
        <v>4850</v>
      </c>
      <c r="H130" s="5" t="s">
        <v>1802</v>
      </c>
      <c r="K130" s="0" t="s">
        <v>34</v>
      </c>
      <c r="L130" s="0" t="s">
        <v>4845</v>
      </c>
    </row>
    <row r="131" customFormat="false" ht="17.15" hidden="false" customHeight="false" outlineLevel="0" collapsed="false">
      <c r="A131" s="0" t="s">
        <v>4851</v>
      </c>
      <c r="B131" s="0" t="s">
        <v>4825</v>
      </c>
      <c r="C131" s="0" t="s">
        <v>4852</v>
      </c>
      <c r="D131" s="0" t="s">
        <v>4853</v>
      </c>
      <c r="E131" s="0" t="s">
        <v>110</v>
      </c>
      <c r="F131" s="0" t="s">
        <v>4854</v>
      </c>
      <c r="G131" s="0" t="s">
        <v>4855</v>
      </c>
      <c r="H131" s="5" t="s">
        <v>1802</v>
      </c>
      <c r="K131" s="0" t="s">
        <v>34</v>
      </c>
      <c r="L131" s="0" t="s">
        <v>4845</v>
      </c>
    </row>
    <row r="132" customFormat="false" ht="17.15" hidden="false" customHeight="false" outlineLevel="0" collapsed="false">
      <c r="A132" s="0" t="s">
        <v>4856</v>
      </c>
      <c r="B132" s="0" t="s">
        <v>4825</v>
      </c>
      <c r="C132" s="0" t="s">
        <v>4857</v>
      </c>
      <c r="D132" s="0" t="s">
        <v>4858</v>
      </c>
      <c r="E132" s="0" t="s">
        <v>110</v>
      </c>
      <c r="F132" s="0" t="s">
        <v>4859</v>
      </c>
      <c r="G132" s="0" t="s">
        <v>4855</v>
      </c>
      <c r="H132" s="5" t="s">
        <v>1802</v>
      </c>
      <c r="K132" s="0" t="s">
        <v>34</v>
      </c>
      <c r="L132" s="0" t="s">
        <v>4845</v>
      </c>
    </row>
    <row r="133" customFormat="false" ht="17.15" hidden="false" customHeight="false" outlineLevel="0" collapsed="false">
      <c r="A133" s="0" t="s">
        <v>4860</v>
      </c>
      <c r="B133" s="0" t="s">
        <v>4861</v>
      </c>
      <c r="C133" s="0" t="s">
        <v>4862</v>
      </c>
      <c r="D133" s="0" t="s">
        <v>4863</v>
      </c>
      <c r="E133" s="0" t="s">
        <v>110</v>
      </c>
      <c r="F133" s="0" t="s">
        <v>4864</v>
      </c>
      <c r="G133" s="0" t="s">
        <v>4855</v>
      </c>
      <c r="H133" s="5" t="s">
        <v>1802</v>
      </c>
      <c r="J133" s="0" t="s">
        <v>4865</v>
      </c>
      <c r="K133" s="5" t="s">
        <v>4360</v>
      </c>
      <c r="L133" s="0" t="s">
        <v>4845</v>
      </c>
    </row>
    <row r="134" customFormat="false" ht="17.15" hidden="false" customHeight="false" outlineLevel="0" collapsed="false">
      <c r="A134" s="0" t="s">
        <v>4866</v>
      </c>
      <c r="B134" s="0" t="s">
        <v>4861</v>
      </c>
      <c r="C134" s="0" t="s">
        <v>4867</v>
      </c>
      <c r="D134" s="0" t="s">
        <v>4868</v>
      </c>
      <c r="E134" s="0" t="s">
        <v>110</v>
      </c>
      <c r="F134" s="0" t="s">
        <v>4471</v>
      </c>
      <c r="G134" s="0" t="s">
        <v>4855</v>
      </c>
      <c r="H134" s="5" t="s">
        <v>1802</v>
      </c>
      <c r="J134" s="0" t="s">
        <v>4869</v>
      </c>
      <c r="K134" s="5" t="s">
        <v>4360</v>
      </c>
      <c r="L134" s="0" t="s">
        <v>4845</v>
      </c>
    </row>
    <row r="135" customFormat="false" ht="17.15" hidden="false" customHeight="false" outlineLevel="0" collapsed="false">
      <c r="A135" s="0" t="s">
        <v>4870</v>
      </c>
      <c r="B135" s="0" t="s">
        <v>4871</v>
      </c>
      <c r="C135" s="0" t="s">
        <v>4872</v>
      </c>
      <c r="D135" s="0" t="s">
        <v>4873</v>
      </c>
      <c r="E135" s="0" t="s">
        <v>110</v>
      </c>
      <c r="F135" s="0" t="s">
        <v>4874</v>
      </c>
      <c r="G135" s="0" t="s">
        <v>4875</v>
      </c>
      <c r="H135" s="5" t="s">
        <v>1656</v>
      </c>
      <c r="I135" s="5" t="s">
        <v>4876</v>
      </c>
      <c r="J135" s="0" t="s">
        <v>4877</v>
      </c>
      <c r="K135" s="5" t="s">
        <v>1795</v>
      </c>
      <c r="L135" s="0" t="s">
        <v>4878</v>
      </c>
    </row>
    <row r="136" customFormat="false" ht="17.15" hidden="false" customHeight="false" outlineLevel="0" collapsed="false">
      <c r="A136" s="0" t="s">
        <v>4879</v>
      </c>
      <c r="B136" s="0" t="s">
        <v>4880</v>
      </c>
      <c r="C136" s="0" t="s">
        <v>4881</v>
      </c>
      <c r="D136" s="0" t="s">
        <v>4882</v>
      </c>
      <c r="E136" s="0" t="s">
        <v>4312</v>
      </c>
      <c r="F136" s="0" t="s">
        <v>1866</v>
      </c>
      <c r="G136" s="0" t="s">
        <v>4883</v>
      </c>
      <c r="H136" s="5" t="s">
        <v>1802</v>
      </c>
      <c r="K136" s="0" t="s">
        <v>34</v>
      </c>
      <c r="L136" s="0" t="s">
        <v>4884</v>
      </c>
    </row>
    <row r="137" customFormat="false" ht="17.15" hidden="false" customHeight="false" outlineLevel="0" collapsed="false">
      <c r="A137" s="0" t="s">
        <v>4885</v>
      </c>
      <c r="B137" s="0" t="s">
        <v>4880</v>
      </c>
      <c r="C137" s="0" t="s">
        <v>4886</v>
      </c>
      <c r="D137" s="0" t="s">
        <v>4887</v>
      </c>
      <c r="E137" s="0" t="s">
        <v>110</v>
      </c>
      <c r="F137" s="0" t="s">
        <v>4368</v>
      </c>
      <c r="G137" s="0" t="s">
        <v>4855</v>
      </c>
      <c r="H137" s="5" t="s">
        <v>1802</v>
      </c>
      <c r="K137" s="0" t="s">
        <v>34</v>
      </c>
      <c r="L137" s="0" t="s">
        <v>4845</v>
      </c>
    </row>
    <row r="138" customFormat="false" ht="17.15" hidden="false" customHeight="false" outlineLevel="0" collapsed="false">
      <c r="A138" s="0" t="s">
        <v>4888</v>
      </c>
      <c r="B138" s="0" t="s">
        <v>4880</v>
      </c>
      <c r="C138" s="0" t="s">
        <v>4889</v>
      </c>
      <c r="D138" s="0" t="s">
        <v>4890</v>
      </c>
      <c r="E138" s="0" t="s">
        <v>110</v>
      </c>
      <c r="F138" s="0" t="s">
        <v>4891</v>
      </c>
      <c r="G138" s="0" t="s">
        <v>4850</v>
      </c>
      <c r="H138" s="5" t="s">
        <v>1802</v>
      </c>
      <c r="K138" s="0" t="s">
        <v>34</v>
      </c>
      <c r="L138" s="0" t="s">
        <v>4845</v>
      </c>
    </row>
    <row r="139" customFormat="false" ht="17.15" hidden="false" customHeight="false" outlineLevel="0" collapsed="false">
      <c r="A139" s="0" t="s">
        <v>4892</v>
      </c>
      <c r="B139" s="0" t="s">
        <v>4893</v>
      </c>
      <c r="C139" s="0" t="s">
        <v>4894</v>
      </c>
      <c r="D139" s="0" t="s">
        <v>4391</v>
      </c>
      <c r="E139" s="0" t="s">
        <v>4312</v>
      </c>
      <c r="F139" s="0" t="s">
        <v>4895</v>
      </c>
      <c r="G139" s="0" t="s">
        <v>4896</v>
      </c>
      <c r="H139" s="5" t="s">
        <v>1802</v>
      </c>
      <c r="K139" s="0" t="s">
        <v>34</v>
      </c>
      <c r="L139" s="0" t="s">
        <v>4834</v>
      </c>
    </row>
    <row r="140" customFormat="false" ht="17.15" hidden="false" customHeight="false" outlineLevel="0" collapsed="false">
      <c r="A140" s="0" t="s">
        <v>4897</v>
      </c>
      <c r="B140" s="0" t="s">
        <v>4898</v>
      </c>
      <c r="C140" s="0" t="s">
        <v>4899</v>
      </c>
      <c r="D140" s="0" t="s">
        <v>4391</v>
      </c>
      <c r="E140" s="0" t="s">
        <v>4312</v>
      </c>
      <c r="F140" s="0" t="s">
        <v>4515</v>
      </c>
      <c r="G140" s="0" t="s">
        <v>4900</v>
      </c>
      <c r="H140" s="5" t="s">
        <v>1802</v>
      </c>
      <c r="K140" s="0" t="s">
        <v>34</v>
      </c>
      <c r="L140" s="0" t="s">
        <v>4516</v>
      </c>
    </row>
    <row r="141" customFormat="false" ht="17.15" hidden="false" customHeight="false" outlineLevel="0" collapsed="false">
      <c r="A141" s="0" t="s">
        <v>4901</v>
      </c>
      <c r="B141" s="0" t="s">
        <v>4898</v>
      </c>
      <c r="C141" s="0" t="s">
        <v>4902</v>
      </c>
      <c r="D141" s="0" t="s">
        <v>4903</v>
      </c>
      <c r="E141" s="0" t="s">
        <v>4312</v>
      </c>
      <c r="F141" s="0" t="s">
        <v>4904</v>
      </c>
      <c r="G141" s="0" t="s">
        <v>4905</v>
      </c>
      <c r="H141" s="5" t="s">
        <v>1648</v>
      </c>
      <c r="K141" s="0" t="s">
        <v>34</v>
      </c>
      <c r="L141" s="0" t="s">
        <v>4906</v>
      </c>
    </row>
    <row r="142" customFormat="false" ht="17.15" hidden="false" customHeight="false" outlineLevel="0" collapsed="false">
      <c r="A142" s="0" t="s">
        <v>4907</v>
      </c>
      <c r="B142" s="0" t="s">
        <v>4908</v>
      </c>
      <c r="C142" s="0" t="s">
        <v>4909</v>
      </c>
      <c r="D142" s="0" t="s">
        <v>4910</v>
      </c>
      <c r="E142" s="0" t="s">
        <v>4312</v>
      </c>
      <c r="F142" s="0" t="s">
        <v>4904</v>
      </c>
      <c r="G142" s="0" t="s">
        <v>4911</v>
      </c>
      <c r="H142" s="5" t="s">
        <v>1648</v>
      </c>
      <c r="K142" s="0" t="s">
        <v>34</v>
      </c>
      <c r="L142" s="0" t="s">
        <v>4906</v>
      </c>
    </row>
    <row r="143" customFormat="false" ht="17.15" hidden="false" customHeight="false" outlineLevel="0" collapsed="false">
      <c r="A143" s="0" t="s">
        <v>4912</v>
      </c>
      <c r="B143" s="0" t="s">
        <v>4913</v>
      </c>
      <c r="C143" s="0" t="s">
        <v>4914</v>
      </c>
      <c r="D143" s="0" t="s">
        <v>4915</v>
      </c>
      <c r="E143" s="0" t="s">
        <v>4312</v>
      </c>
      <c r="F143" s="0" t="s">
        <v>2248</v>
      </c>
      <c r="G143" s="0" t="s">
        <v>4916</v>
      </c>
      <c r="H143" s="5" t="s">
        <v>1648</v>
      </c>
      <c r="K143" s="0" t="s">
        <v>34</v>
      </c>
      <c r="L143" s="0" t="s">
        <v>4917</v>
      </c>
    </row>
    <row r="144" customFormat="false" ht="17.15" hidden="false" customHeight="false" outlineLevel="0" collapsed="false">
      <c r="A144" s="0" t="s">
        <v>4918</v>
      </c>
      <c r="B144" s="0" t="s">
        <v>4919</v>
      </c>
      <c r="C144" s="0" t="s">
        <v>4920</v>
      </c>
      <c r="D144" s="0" t="s">
        <v>4802</v>
      </c>
      <c r="E144" s="0" t="s">
        <v>4312</v>
      </c>
      <c r="F144" s="0" t="s">
        <v>4921</v>
      </c>
      <c r="G144" s="0" t="s">
        <v>4922</v>
      </c>
      <c r="H144" s="5" t="s">
        <v>1802</v>
      </c>
      <c r="K144" s="0" t="s">
        <v>34</v>
      </c>
      <c r="L144" s="0" t="s">
        <v>4923</v>
      </c>
    </row>
    <row r="145" customFormat="false" ht="17.15" hidden="false" customHeight="false" outlineLevel="0" collapsed="false">
      <c r="A145" s="0" t="s">
        <v>4924</v>
      </c>
      <c r="B145" s="0" t="s">
        <v>4925</v>
      </c>
      <c r="C145" s="0" t="s">
        <v>4926</v>
      </c>
      <c r="D145" s="0" t="s">
        <v>4927</v>
      </c>
      <c r="E145" s="0" t="s">
        <v>4928</v>
      </c>
      <c r="F145" s="0" t="s">
        <v>4619</v>
      </c>
      <c r="G145" s="0" t="s">
        <v>4929</v>
      </c>
      <c r="H145" s="5" t="s">
        <v>1802</v>
      </c>
      <c r="J145" s="0" t="s">
        <v>669</v>
      </c>
      <c r="K145" s="5" t="s">
        <v>4442</v>
      </c>
      <c r="L145" s="0" t="s">
        <v>4930</v>
      </c>
    </row>
    <row r="146" customFormat="false" ht="17.15" hidden="false" customHeight="false" outlineLevel="0" collapsed="false">
      <c r="A146" s="0" t="s">
        <v>4931</v>
      </c>
      <c r="B146" s="0" t="s">
        <v>4932</v>
      </c>
      <c r="C146" s="0" t="s">
        <v>4933</v>
      </c>
      <c r="D146" s="0" t="s">
        <v>4934</v>
      </c>
      <c r="E146" s="0" t="s">
        <v>4312</v>
      </c>
      <c r="F146" s="0" t="s">
        <v>4935</v>
      </c>
      <c r="G146" s="0" t="s">
        <v>4936</v>
      </c>
      <c r="H146" s="5" t="s">
        <v>1802</v>
      </c>
      <c r="J146" s="0" t="s">
        <v>672</v>
      </c>
      <c r="K146" s="5" t="s">
        <v>4442</v>
      </c>
      <c r="L146" s="0" t="s">
        <v>4937</v>
      </c>
    </row>
    <row r="147" customFormat="false" ht="17.15" hidden="false" customHeight="false" outlineLevel="0" collapsed="false">
      <c r="A147" s="0" t="s">
        <v>4938</v>
      </c>
      <c r="B147" s="0" t="s">
        <v>1235</v>
      </c>
      <c r="C147" s="0" t="s">
        <v>4939</v>
      </c>
      <c r="D147" s="0" t="s">
        <v>4832</v>
      </c>
      <c r="E147" s="0" t="s">
        <v>4312</v>
      </c>
      <c r="F147" s="0" t="s">
        <v>4940</v>
      </c>
      <c r="G147" s="0" t="s">
        <v>4941</v>
      </c>
      <c r="H147" s="5" t="s">
        <v>1802</v>
      </c>
      <c r="K147" s="0" t="s">
        <v>34</v>
      </c>
      <c r="L147" s="0" t="s">
        <v>4942</v>
      </c>
    </row>
    <row r="148" customFormat="false" ht="17.15" hidden="false" customHeight="false" outlineLevel="0" collapsed="false">
      <c r="A148" s="0" t="s">
        <v>4943</v>
      </c>
      <c r="B148" s="0" t="s">
        <v>4944</v>
      </c>
      <c r="C148" s="0" t="s">
        <v>4945</v>
      </c>
      <c r="D148" s="0" t="s">
        <v>4946</v>
      </c>
      <c r="E148" s="0" t="s">
        <v>4312</v>
      </c>
      <c r="F148" s="0" t="s">
        <v>4429</v>
      </c>
      <c r="G148" s="0" t="s">
        <v>4947</v>
      </c>
      <c r="H148" s="5" t="s">
        <v>1648</v>
      </c>
      <c r="K148" s="0" t="s">
        <v>34</v>
      </c>
      <c r="L148" s="0" t="s">
        <v>4431</v>
      </c>
    </row>
    <row r="149" customFormat="false" ht="17.15" hidden="false" customHeight="false" outlineLevel="0" collapsed="false">
      <c r="A149" s="12" t="s">
        <v>4948</v>
      </c>
      <c r="B149" s="12" t="s">
        <v>4949</v>
      </c>
      <c r="C149" s="12" t="s">
        <v>4950</v>
      </c>
      <c r="D149" s="12" t="s">
        <v>4951</v>
      </c>
      <c r="E149" s="12" t="s">
        <v>4312</v>
      </c>
      <c r="F149" s="12" t="s">
        <v>4435</v>
      </c>
      <c r="G149" s="12" t="s">
        <v>4436</v>
      </c>
      <c r="H149" s="13" t="s">
        <v>1831</v>
      </c>
      <c r="I149" s="13" t="s">
        <v>4952</v>
      </c>
      <c r="J149" s="12"/>
      <c r="K149" s="12" t="s">
        <v>34</v>
      </c>
      <c r="L149" s="12" t="s">
        <v>4438</v>
      </c>
    </row>
    <row r="150" customFormat="false" ht="17.15" hidden="false" customHeight="false" outlineLevel="0" collapsed="false">
      <c r="A150" s="0" t="s">
        <v>4953</v>
      </c>
      <c r="B150" s="0" t="s">
        <v>4954</v>
      </c>
      <c r="C150" s="0" t="s">
        <v>4955</v>
      </c>
      <c r="D150" s="0" t="s">
        <v>4956</v>
      </c>
      <c r="E150" s="0" t="s">
        <v>110</v>
      </c>
      <c r="F150" s="0" t="s">
        <v>4957</v>
      </c>
      <c r="G150" s="0" t="s">
        <v>4855</v>
      </c>
      <c r="H150" s="5" t="s">
        <v>1802</v>
      </c>
      <c r="K150" s="0" t="s">
        <v>34</v>
      </c>
      <c r="L150" s="0" t="s">
        <v>4958</v>
      </c>
    </row>
    <row r="151" customFormat="false" ht="17.15" hidden="false" customHeight="false" outlineLevel="0" collapsed="false">
      <c r="A151" s="0" t="s">
        <v>4959</v>
      </c>
      <c r="B151" s="0" t="s">
        <v>4954</v>
      </c>
      <c r="C151" s="0" t="s">
        <v>4960</v>
      </c>
      <c r="D151" s="0" t="s">
        <v>4910</v>
      </c>
      <c r="E151" s="0" t="s">
        <v>4312</v>
      </c>
      <c r="F151" s="0" t="s">
        <v>4507</v>
      </c>
      <c r="G151" s="0" t="s">
        <v>4961</v>
      </c>
      <c r="H151" s="5" t="s">
        <v>1802</v>
      </c>
      <c r="K151" s="0" t="s">
        <v>34</v>
      </c>
      <c r="L151" s="0" t="s">
        <v>4962</v>
      </c>
    </row>
    <row r="152" customFormat="false" ht="17.15" hidden="false" customHeight="false" outlineLevel="0" collapsed="false">
      <c r="A152" s="0" t="s">
        <v>4963</v>
      </c>
      <c r="B152" s="0" t="s">
        <v>4964</v>
      </c>
      <c r="C152" s="0" t="s">
        <v>4965</v>
      </c>
      <c r="D152" s="0" t="s">
        <v>4966</v>
      </c>
      <c r="E152" s="0" t="s">
        <v>4312</v>
      </c>
      <c r="F152" s="0" t="s">
        <v>2276</v>
      </c>
      <c r="G152" s="0" t="s">
        <v>4967</v>
      </c>
      <c r="H152" s="5" t="s">
        <v>1648</v>
      </c>
      <c r="J152" s="0" t="s">
        <v>199</v>
      </c>
      <c r="K152" s="5" t="s">
        <v>1795</v>
      </c>
      <c r="L152" s="0" t="s">
        <v>2278</v>
      </c>
    </row>
    <row r="153" customFormat="false" ht="17.15" hidden="false" customHeight="false" outlineLevel="0" collapsed="false">
      <c r="A153" s="12" t="s">
        <v>4968</v>
      </c>
      <c r="B153" s="12" t="s">
        <v>4969</v>
      </c>
      <c r="C153" s="12" t="s">
        <v>4970</v>
      </c>
      <c r="D153" s="12" t="s">
        <v>4971</v>
      </c>
      <c r="E153" s="12" t="s">
        <v>4312</v>
      </c>
      <c r="F153" s="12" t="s">
        <v>4972</v>
      </c>
      <c r="G153" s="12" t="s">
        <v>4973</v>
      </c>
      <c r="H153" s="13" t="s">
        <v>1831</v>
      </c>
      <c r="I153" s="12"/>
      <c r="J153" s="12" t="s">
        <v>530</v>
      </c>
      <c r="K153" s="13" t="s">
        <v>4360</v>
      </c>
      <c r="L153" s="12" t="s">
        <v>4974</v>
      </c>
    </row>
    <row r="154" customFormat="false" ht="17.15" hidden="false" customHeight="false" outlineLevel="0" collapsed="false">
      <c r="A154" s="0" t="s">
        <v>4975</v>
      </c>
      <c r="B154" s="0" t="s">
        <v>4976</v>
      </c>
      <c r="C154" s="0" t="s">
        <v>4977</v>
      </c>
      <c r="D154" s="0" t="s">
        <v>4978</v>
      </c>
      <c r="E154" s="0" t="s">
        <v>4312</v>
      </c>
      <c r="F154" s="0" t="s">
        <v>4979</v>
      </c>
      <c r="G154" s="0" t="s">
        <v>140</v>
      </c>
      <c r="H154" s="5" t="s">
        <v>1802</v>
      </c>
      <c r="J154" s="0" t="s">
        <v>681</v>
      </c>
      <c r="K154" s="5" t="s">
        <v>4442</v>
      </c>
      <c r="L154" s="0" t="s">
        <v>4980</v>
      </c>
    </row>
    <row r="155" customFormat="false" ht="17.15" hidden="false" customHeight="false" outlineLevel="0" collapsed="false">
      <c r="A155" s="0" t="s">
        <v>4981</v>
      </c>
      <c r="B155" s="0" t="s">
        <v>4982</v>
      </c>
      <c r="C155" s="0" t="s">
        <v>4983</v>
      </c>
      <c r="D155" s="0" t="s">
        <v>4984</v>
      </c>
      <c r="E155" s="0" t="s">
        <v>110</v>
      </c>
      <c r="F155" s="0" t="s">
        <v>4985</v>
      </c>
      <c r="G155" s="0" t="s">
        <v>4986</v>
      </c>
      <c r="H155" s="5" t="s">
        <v>1656</v>
      </c>
      <c r="I155" s="5" t="s">
        <v>4987</v>
      </c>
      <c r="J155" s="0" t="s">
        <v>4775</v>
      </c>
      <c r="K155" s="5" t="s">
        <v>1795</v>
      </c>
      <c r="L155" s="0" t="s">
        <v>4776</v>
      </c>
    </row>
    <row r="156" customFormat="false" ht="17.15" hidden="false" customHeight="false" outlineLevel="0" collapsed="false">
      <c r="A156" s="0" t="s">
        <v>4988</v>
      </c>
      <c r="B156" s="0" t="s">
        <v>4989</v>
      </c>
      <c r="C156" s="0" t="s">
        <v>4990</v>
      </c>
      <c r="D156" s="0" t="s">
        <v>4991</v>
      </c>
      <c r="E156" s="0" t="s">
        <v>4312</v>
      </c>
      <c r="F156" s="0" t="s">
        <v>4657</v>
      </c>
      <c r="G156" s="0" t="s">
        <v>4941</v>
      </c>
      <c r="H156" s="5" t="s">
        <v>1802</v>
      </c>
      <c r="K156" s="0" t="s">
        <v>34</v>
      </c>
      <c r="L156" s="0" t="s">
        <v>4992</v>
      </c>
    </row>
    <row r="157" customFormat="false" ht="17.15" hidden="false" customHeight="false" outlineLevel="0" collapsed="false">
      <c r="A157" s="0" t="s">
        <v>4993</v>
      </c>
      <c r="B157" s="0" t="s">
        <v>4994</v>
      </c>
      <c r="C157" s="0" t="s">
        <v>4995</v>
      </c>
      <c r="D157" s="0" t="s">
        <v>4996</v>
      </c>
      <c r="E157" s="0" t="s">
        <v>4312</v>
      </c>
      <c r="F157" s="0" t="s">
        <v>4732</v>
      </c>
      <c r="G157" s="0" t="s">
        <v>4997</v>
      </c>
      <c r="H157" s="5" t="s">
        <v>1802</v>
      </c>
      <c r="K157" s="0" t="s">
        <v>34</v>
      </c>
      <c r="L157" s="0" t="s">
        <v>4998</v>
      </c>
    </row>
    <row r="158" customFormat="false" ht="17.15" hidden="false" customHeight="false" outlineLevel="0" collapsed="false">
      <c r="A158" s="0" t="s">
        <v>4999</v>
      </c>
      <c r="B158" s="0" t="s">
        <v>5000</v>
      </c>
      <c r="C158" s="0" t="s">
        <v>5001</v>
      </c>
      <c r="D158" s="0" t="s">
        <v>5002</v>
      </c>
      <c r="E158" s="0" t="s">
        <v>4312</v>
      </c>
      <c r="F158" s="0" t="s">
        <v>4758</v>
      </c>
      <c r="G158" s="0" t="s">
        <v>5003</v>
      </c>
      <c r="H158" s="5" t="s">
        <v>1802</v>
      </c>
      <c r="K158" s="0" t="s">
        <v>34</v>
      </c>
      <c r="L158" s="0" t="s">
        <v>5004</v>
      </c>
    </row>
    <row r="159" customFormat="false" ht="17.15" hidden="false" customHeight="false" outlineLevel="0" collapsed="false">
      <c r="A159" s="0" t="s">
        <v>5005</v>
      </c>
      <c r="B159" s="0" t="s">
        <v>5006</v>
      </c>
      <c r="C159" s="0" t="s">
        <v>5007</v>
      </c>
      <c r="D159" s="0" t="s">
        <v>5008</v>
      </c>
      <c r="E159" s="0" t="s">
        <v>4312</v>
      </c>
      <c r="F159" s="0" t="s">
        <v>4985</v>
      </c>
      <c r="G159" s="0" t="s">
        <v>140</v>
      </c>
      <c r="H159" s="5" t="s">
        <v>1802</v>
      </c>
      <c r="K159" s="0" t="s">
        <v>34</v>
      </c>
      <c r="L159" s="0" t="s">
        <v>5009</v>
      </c>
    </row>
    <row r="160" customFormat="false" ht="17.15" hidden="false" customHeight="false" outlineLevel="0" collapsed="false">
      <c r="A160" s="0" t="s">
        <v>5010</v>
      </c>
      <c r="B160" s="0" t="s">
        <v>5011</v>
      </c>
      <c r="C160" s="0" t="s">
        <v>5012</v>
      </c>
      <c r="D160" s="0" t="s">
        <v>4441</v>
      </c>
      <c r="E160" s="0" t="s">
        <v>4312</v>
      </c>
      <c r="F160" s="0" t="s">
        <v>4382</v>
      </c>
      <c r="G160" s="0" t="s">
        <v>5013</v>
      </c>
      <c r="H160" s="5" t="s">
        <v>1802</v>
      </c>
      <c r="J160" s="0" t="s">
        <v>678</v>
      </c>
      <c r="K160" s="5" t="s">
        <v>4442</v>
      </c>
      <c r="L160" s="0" t="s">
        <v>5014</v>
      </c>
    </row>
    <row r="161" customFormat="false" ht="17.15" hidden="false" customHeight="false" outlineLevel="0" collapsed="false">
      <c r="A161" s="0" t="s">
        <v>5015</v>
      </c>
      <c r="B161" s="0" t="s">
        <v>5016</v>
      </c>
      <c r="C161" s="0" t="s">
        <v>5017</v>
      </c>
      <c r="D161" s="0" t="s">
        <v>4903</v>
      </c>
      <c r="E161" s="0" t="s">
        <v>4312</v>
      </c>
      <c r="F161" s="0" t="s">
        <v>4457</v>
      </c>
      <c r="G161" s="0" t="s">
        <v>5018</v>
      </c>
      <c r="H161" s="5" t="s">
        <v>1802</v>
      </c>
      <c r="K161" s="0" t="s">
        <v>34</v>
      </c>
      <c r="L161" s="0" t="s">
        <v>5019</v>
      </c>
    </row>
    <row r="162" customFormat="false" ht="17.15" hidden="false" customHeight="false" outlineLevel="0" collapsed="false">
      <c r="A162" s="0" t="s">
        <v>5020</v>
      </c>
      <c r="B162" s="0" t="s">
        <v>5021</v>
      </c>
      <c r="C162" s="0" t="s">
        <v>5022</v>
      </c>
      <c r="D162" s="0" t="s">
        <v>4391</v>
      </c>
      <c r="E162" s="0" t="s">
        <v>4312</v>
      </c>
      <c r="F162" s="0" t="s">
        <v>5023</v>
      </c>
      <c r="G162" s="0" t="s">
        <v>5024</v>
      </c>
      <c r="H162" s="5" t="s">
        <v>1802</v>
      </c>
      <c r="K162" s="0" t="s">
        <v>34</v>
      </c>
      <c r="L162" s="0" t="s">
        <v>5025</v>
      </c>
    </row>
    <row r="163" customFormat="false" ht="17.15" hidden="false" customHeight="false" outlineLevel="0" collapsed="false">
      <c r="A163" s="0" t="s">
        <v>5026</v>
      </c>
      <c r="B163" s="0" t="s">
        <v>1236</v>
      </c>
      <c r="C163" s="0" t="s">
        <v>5027</v>
      </c>
      <c r="D163" s="0" t="s">
        <v>5028</v>
      </c>
      <c r="E163" s="0" t="s">
        <v>4312</v>
      </c>
      <c r="F163" s="0" t="s">
        <v>5029</v>
      </c>
      <c r="G163" s="0" t="s">
        <v>5030</v>
      </c>
      <c r="H163" s="5" t="s">
        <v>1648</v>
      </c>
      <c r="K163" s="0" t="s">
        <v>34</v>
      </c>
      <c r="L163" s="0" t="s">
        <v>5031</v>
      </c>
    </row>
    <row r="164" customFormat="false" ht="17.15" hidden="false" customHeight="false" outlineLevel="0" collapsed="false">
      <c r="A164" s="0" t="s">
        <v>5032</v>
      </c>
      <c r="B164" s="0" t="s">
        <v>1236</v>
      </c>
      <c r="C164" s="0" t="s">
        <v>5033</v>
      </c>
      <c r="D164" s="0" t="s">
        <v>4910</v>
      </c>
      <c r="E164" s="0" t="s">
        <v>4312</v>
      </c>
      <c r="F164" s="0" t="s">
        <v>5034</v>
      </c>
      <c r="G164" s="0" t="s">
        <v>5035</v>
      </c>
      <c r="H164" s="5" t="s">
        <v>1648</v>
      </c>
      <c r="J164" s="0" t="s">
        <v>469</v>
      </c>
      <c r="K164" s="5" t="s">
        <v>1795</v>
      </c>
      <c r="L164" s="0" t="s">
        <v>5036</v>
      </c>
    </row>
    <row r="165" customFormat="false" ht="17.15" hidden="false" customHeight="false" outlineLevel="0" collapsed="false">
      <c r="A165" s="0" t="s">
        <v>5037</v>
      </c>
      <c r="B165" s="0" t="s">
        <v>5038</v>
      </c>
      <c r="C165" s="0" t="s">
        <v>5039</v>
      </c>
      <c r="D165" s="0" t="s">
        <v>5040</v>
      </c>
      <c r="E165" s="0" t="s">
        <v>5041</v>
      </c>
      <c r="F165" s="0" t="s">
        <v>118</v>
      </c>
      <c r="G165" s="0" t="s">
        <v>5042</v>
      </c>
      <c r="H165" s="5" t="s">
        <v>1648</v>
      </c>
      <c r="J165" s="0" t="s">
        <v>5043</v>
      </c>
      <c r="K165" s="5" t="s">
        <v>1795</v>
      </c>
      <c r="L165" s="0" t="s">
        <v>5044</v>
      </c>
    </row>
    <row r="166" customFormat="false" ht="17.15" hidden="false" customHeight="false" outlineLevel="0" collapsed="false">
      <c r="A166" s="0" t="s">
        <v>5045</v>
      </c>
      <c r="B166" s="0" t="s">
        <v>5038</v>
      </c>
      <c r="C166" s="0" t="s">
        <v>5046</v>
      </c>
      <c r="D166" s="0" t="s">
        <v>5047</v>
      </c>
      <c r="E166" s="0" t="s">
        <v>110</v>
      </c>
      <c r="F166" s="0" t="s">
        <v>5048</v>
      </c>
      <c r="G166" s="0" t="s">
        <v>4855</v>
      </c>
      <c r="H166" s="5" t="s">
        <v>1656</v>
      </c>
      <c r="I166" s="0" t="s">
        <v>5049</v>
      </c>
      <c r="J166" s="0" t="s">
        <v>5050</v>
      </c>
      <c r="K166" s="5" t="s">
        <v>1795</v>
      </c>
      <c r="L166" s="0" t="s">
        <v>5051</v>
      </c>
    </row>
    <row r="167" customFormat="false" ht="17.15" hidden="false" customHeight="false" outlineLevel="0" collapsed="false">
      <c r="A167" s="0" t="s">
        <v>5052</v>
      </c>
      <c r="B167" s="0" t="s">
        <v>5038</v>
      </c>
      <c r="C167" s="0" t="s">
        <v>5053</v>
      </c>
      <c r="D167" s="0" t="s">
        <v>4691</v>
      </c>
      <c r="E167" s="0" t="s">
        <v>4312</v>
      </c>
      <c r="F167" s="0" t="s">
        <v>2416</v>
      </c>
      <c r="G167" s="0" t="s">
        <v>5054</v>
      </c>
      <c r="H167" s="5" t="s">
        <v>1648</v>
      </c>
      <c r="K167" s="0" t="s">
        <v>34</v>
      </c>
      <c r="L167" s="0" t="s">
        <v>4974</v>
      </c>
    </row>
    <row r="168" customFormat="false" ht="17.15" hidden="false" customHeight="false" outlineLevel="0" collapsed="false">
      <c r="A168" s="0" t="s">
        <v>5055</v>
      </c>
      <c r="B168" s="0" t="s">
        <v>5056</v>
      </c>
      <c r="C168" s="0" t="s">
        <v>5057</v>
      </c>
      <c r="D168" s="0" t="s">
        <v>4391</v>
      </c>
      <c r="E168" s="0" t="s">
        <v>4312</v>
      </c>
      <c r="F168" s="0" t="s">
        <v>5058</v>
      </c>
      <c r="G168" s="0" t="s">
        <v>5059</v>
      </c>
      <c r="H168" s="5" t="s">
        <v>1648</v>
      </c>
      <c r="J168" s="0" t="s">
        <v>530</v>
      </c>
      <c r="K168" s="5" t="s">
        <v>1795</v>
      </c>
      <c r="L168" s="0" t="s">
        <v>5060</v>
      </c>
    </row>
    <row r="169" customFormat="false" ht="17.15" hidden="false" customHeight="false" outlineLevel="0" collapsed="false">
      <c r="A169" s="0" t="s">
        <v>5061</v>
      </c>
      <c r="B169" s="5" t="s">
        <v>5062</v>
      </c>
      <c r="C169" s="5" t="s">
        <v>5063</v>
      </c>
      <c r="D169" s="0" t="s">
        <v>5064</v>
      </c>
      <c r="E169" s="0" t="s">
        <v>4312</v>
      </c>
      <c r="F169" s="0" t="s">
        <v>118</v>
      </c>
      <c r="G169" s="0" t="s">
        <v>5065</v>
      </c>
      <c r="H169" s="5" t="s">
        <v>1802</v>
      </c>
      <c r="K169" s="0" t="s">
        <v>34</v>
      </c>
      <c r="L169" s="0" t="s">
        <v>5066</v>
      </c>
    </row>
    <row r="170" customFormat="false" ht="17.15" hidden="false" customHeight="false" outlineLevel="0" collapsed="false">
      <c r="A170" s="0" t="s">
        <v>5067</v>
      </c>
      <c r="B170" s="5" t="s">
        <v>5062</v>
      </c>
      <c r="C170" s="5" t="s">
        <v>5068</v>
      </c>
      <c r="D170" s="0" t="s">
        <v>5069</v>
      </c>
      <c r="E170" s="0" t="s">
        <v>4312</v>
      </c>
      <c r="F170" s="0" t="s">
        <v>2144</v>
      </c>
      <c r="G170" s="0" t="s">
        <v>5070</v>
      </c>
      <c r="H170" s="5" t="s">
        <v>1648</v>
      </c>
      <c r="J170" s="0" t="s">
        <v>5071</v>
      </c>
      <c r="K170" s="5" t="s">
        <v>1795</v>
      </c>
      <c r="L170" s="0" t="s">
        <v>5072</v>
      </c>
    </row>
    <row r="171" customFormat="false" ht="17.15" hidden="false" customHeight="false" outlineLevel="0" collapsed="false">
      <c r="A171" s="0" t="s">
        <v>5073</v>
      </c>
      <c r="B171" s="5" t="s">
        <v>5074</v>
      </c>
      <c r="C171" s="5" t="s">
        <v>5075</v>
      </c>
      <c r="D171" s="0" t="s">
        <v>5076</v>
      </c>
      <c r="E171" s="0" t="s">
        <v>4312</v>
      </c>
      <c r="F171" s="0" t="s">
        <v>5077</v>
      </c>
      <c r="G171" s="0" t="s">
        <v>5078</v>
      </c>
      <c r="H171" s="5" t="s">
        <v>1802</v>
      </c>
      <c r="K171" s="0" t="s">
        <v>34</v>
      </c>
      <c r="L171" s="0" t="s">
        <v>5079</v>
      </c>
    </row>
    <row r="172" customFormat="false" ht="17.15" hidden="false" customHeight="false" outlineLevel="0" collapsed="false">
      <c r="A172" s="0" t="s">
        <v>5080</v>
      </c>
      <c r="B172" s="5" t="s">
        <v>5081</v>
      </c>
      <c r="C172" s="5" t="s">
        <v>5082</v>
      </c>
      <c r="D172" s="0" t="s">
        <v>5083</v>
      </c>
      <c r="E172" s="0" t="s">
        <v>4312</v>
      </c>
      <c r="F172" s="0" t="s">
        <v>118</v>
      </c>
      <c r="G172" s="0" t="s">
        <v>5084</v>
      </c>
      <c r="H172" s="5" t="s">
        <v>1802</v>
      </c>
      <c r="K172" s="0" t="s">
        <v>34</v>
      </c>
      <c r="L172" s="0" t="s">
        <v>5085</v>
      </c>
    </row>
    <row r="173" customFormat="false" ht="17.15" hidden="false" customHeight="false" outlineLevel="0" collapsed="false">
      <c r="A173" s="0" t="s">
        <v>5086</v>
      </c>
      <c r="B173" s="5" t="s">
        <v>5087</v>
      </c>
      <c r="C173" s="5" t="s">
        <v>5088</v>
      </c>
      <c r="D173" s="0" t="s">
        <v>5089</v>
      </c>
      <c r="E173" s="0" t="s">
        <v>4312</v>
      </c>
      <c r="F173" s="0" t="s">
        <v>118</v>
      </c>
      <c r="G173" s="0" t="s">
        <v>5090</v>
      </c>
      <c r="H173" s="5" t="s">
        <v>1802</v>
      </c>
      <c r="K173" s="0" t="s">
        <v>34</v>
      </c>
      <c r="L173" s="0" t="s">
        <v>5091</v>
      </c>
    </row>
    <row r="174" customFormat="false" ht="17.15" hidden="false" customHeight="false" outlineLevel="0" collapsed="false">
      <c r="A174" s="0" t="s">
        <v>5092</v>
      </c>
      <c r="B174" s="5" t="s">
        <v>5093</v>
      </c>
      <c r="C174" s="5" t="s">
        <v>5094</v>
      </c>
      <c r="D174" s="0" t="s">
        <v>5095</v>
      </c>
      <c r="E174" s="0" t="s">
        <v>4312</v>
      </c>
      <c r="F174" s="0" t="s">
        <v>4382</v>
      </c>
      <c r="G174" s="0" t="s">
        <v>5096</v>
      </c>
      <c r="H174" s="5" t="s">
        <v>1802</v>
      </c>
      <c r="K174" s="0" t="s">
        <v>34</v>
      </c>
      <c r="L174" s="0" t="s">
        <v>5097</v>
      </c>
    </row>
    <row r="175" customFormat="false" ht="17.15" hidden="false" customHeight="false" outlineLevel="0" collapsed="false">
      <c r="A175" s="0" t="s">
        <v>5098</v>
      </c>
      <c r="B175" s="5" t="s">
        <v>5099</v>
      </c>
      <c r="C175" s="5" t="s">
        <v>5100</v>
      </c>
      <c r="D175" s="0" t="s">
        <v>5101</v>
      </c>
      <c r="E175" s="0" t="s">
        <v>5102</v>
      </c>
      <c r="F175" s="0" t="s">
        <v>5103</v>
      </c>
      <c r="G175" s="0" t="s">
        <v>5104</v>
      </c>
      <c r="H175" s="5" t="s">
        <v>1802</v>
      </c>
      <c r="K175" s="0" t="s">
        <v>34</v>
      </c>
      <c r="L175" s="0" t="s">
        <v>5105</v>
      </c>
    </row>
    <row r="176" customFormat="false" ht="17.15" hidden="false" customHeight="false" outlineLevel="0" collapsed="false">
      <c r="A176" s="0" t="s">
        <v>5106</v>
      </c>
      <c r="B176" s="5" t="s">
        <v>5107</v>
      </c>
      <c r="C176" s="5" t="s">
        <v>5108</v>
      </c>
      <c r="D176" s="0" t="s">
        <v>5109</v>
      </c>
      <c r="E176" s="0" t="s">
        <v>5102</v>
      </c>
      <c r="F176" s="0" t="s">
        <v>5110</v>
      </c>
      <c r="G176" s="0" t="s">
        <v>4941</v>
      </c>
      <c r="H176" s="5" t="s">
        <v>1802</v>
      </c>
      <c r="J176" s="0" t="s">
        <v>178</v>
      </c>
      <c r="K176" s="5" t="s">
        <v>4360</v>
      </c>
      <c r="L176" s="0" t="s">
        <v>5111</v>
      </c>
    </row>
    <row r="177" customFormat="false" ht="17.15" hidden="false" customHeight="false" outlineLevel="0" collapsed="false">
      <c r="A177" s="0" t="s">
        <v>5112</v>
      </c>
      <c r="B177" s="0" t="s">
        <v>5113</v>
      </c>
      <c r="C177" s="0" t="s">
        <v>5114</v>
      </c>
      <c r="D177" s="0" t="s">
        <v>4797</v>
      </c>
      <c r="E177" s="0" t="s">
        <v>4312</v>
      </c>
      <c r="F177" s="0" t="s">
        <v>5115</v>
      </c>
      <c r="G177" s="0" t="s">
        <v>5116</v>
      </c>
      <c r="H177" s="5" t="s">
        <v>1648</v>
      </c>
      <c r="J177" s="0" t="s">
        <v>5117</v>
      </c>
      <c r="K177" s="5" t="s">
        <v>1795</v>
      </c>
      <c r="L177" s="0" t="s">
        <v>5118</v>
      </c>
    </row>
    <row r="178" customFormat="false" ht="17.15" hidden="false" customHeight="false" outlineLevel="0" collapsed="false">
      <c r="A178" s="0" t="s">
        <v>5119</v>
      </c>
      <c r="B178" s="0" t="s">
        <v>5120</v>
      </c>
      <c r="C178" s="0" t="s">
        <v>5121</v>
      </c>
      <c r="D178" s="0" t="s">
        <v>4910</v>
      </c>
      <c r="E178" s="0" t="s">
        <v>4312</v>
      </c>
      <c r="F178" s="0" t="s">
        <v>5122</v>
      </c>
      <c r="G178" s="0" t="s">
        <v>140</v>
      </c>
      <c r="H178" s="5" t="s">
        <v>1802</v>
      </c>
      <c r="K178" s="0" t="s">
        <v>34</v>
      </c>
      <c r="L178" s="0" t="s">
        <v>5123</v>
      </c>
    </row>
    <row r="179" customFormat="false" ht="17.15" hidden="false" customHeight="false" outlineLevel="0" collapsed="false">
      <c r="A179" s="0" t="s">
        <v>5124</v>
      </c>
      <c r="B179" s="5" t="s">
        <v>5125</v>
      </c>
      <c r="C179" s="5" t="s">
        <v>5126</v>
      </c>
      <c r="D179" s="0" t="s">
        <v>5127</v>
      </c>
      <c r="E179" s="0" t="s">
        <v>4312</v>
      </c>
      <c r="F179" s="0" t="s">
        <v>4471</v>
      </c>
      <c r="G179" s="0" t="s">
        <v>5128</v>
      </c>
      <c r="H179" s="5" t="s">
        <v>1802</v>
      </c>
      <c r="K179" s="0" t="s">
        <v>34</v>
      </c>
      <c r="L179" s="0" t="s">
        <v>5129</v>
      </c>
    </row>
    <row r="180" customFormat="false" ht="17.15" hidden="false" customHeight="false" outlineLevel="0" collapsed="false">
      <c r="A180" s="0" t="s">
        <v>5130</v>
      </c>
      <c r="B180" s="0" t="s">
        <v>5131</v>
      </c>
      <c r="C180" s="0" t="s">
        <v>5132</v>
      </c>
      <c r="D180" s="0" t="s">
        <v>5040</v>
      </c>
      <c r="E180" s="0" t="s">
        <v>4312</v>
      </c>
      <c r="F180" s="0" t="s">
        <v>4382</v>
      </c>
      <c r="G180" s="0" t="s">
        <v>140</v>
      </c>
      <c r="H180" s="5" t="s">
        <v>1802</v>
      </c>
      <c r="J180" s="0" t="s">
        <v>675</v>
      </c>
      <c r="K180" s="5" t="s">
        <v>4442</v>
      </c>
      <c r="L180" s="0" t="s">
        <v>5133</v>
      </c>
    </row>
    <row r="181" customFormat="false" ht="17.15" hidden="false" customHeight="false" outlineLevel="0" collapsed="false">
      <c r="A181" s="0" t="s">
        <v>5134</v>
      </c>
      <c r="B181" s="0" t="s">
        <v>5135</v>
      </c>
      <c r="C181" s="0" t="s">
        <v>5136</v>
      </c>
      <c r="D181" s="0" t="s">
        <v>4966</v>
      </c>
      <c r="E181" s="0" t="s">
        <v>4312</v>
      </c>
      <c r="F181" s="0" t="s">
        <v>1664</v>
      </c>
      <c r="G181" s="0" t="s">
        <v>140</v>
      </c>
      <c r="H181" s="5" t="s">
        <v>1802</v>
      </c>
      <c r="K181" s="0" t="s">
        <v>34</v>
      </c>
      <c r="L181" s="0" t="s">
        <v>5137</v>
      </c>
    </row>
    <row r="182" customFormat="false" ht="17.15" hidden="false" customHeight="false" outlineLevel="0" collapsed="false">
      <c r="A182" s="0" t="s">
        <v>5138</v>
      </c>
      <c r="B182" s="5" t="s">
        <v>5139</v>
      </c>
      <c r="C182" s="5" t="s">
        <v>5140</v>
      </c>
      <c r="D182" s="0" t="s">
        <v>5141</v>
      </c>
      <c r="E182" s="0" t="s">
        <v>5142</v>
      </c>
      <c r="F182" s="0" t="s">
        <v>2144</v>
      </c>
      <c r="G182" s="0" t="s">
        <v>5143</v>
      </c>
      <c r="H182" s="5" t="s">
        <v>1648</v>
      </c>
      <c r="J182" s="0" t="s">
        <v>473</v>
      </c>
      <c r="K182" s="5" t="s">
        <v>1795</v>
      </c>
      <c r="L182" s="0" t="s">
        <v>5144</v>
      </c>
    </row>
    <row r="183" customFormat="false" ht="17.15" hidden="false" customHeight="false" outlineLevel="0" collapsed="false">
      <c r="A183" s="0" t="s">
        <v>5145</v>
      </c>
      <c r="B183" s="5" t="s">
        <v>5139</v>
      </c>
      <c r="C183" s="5" t="s">
        <v>5146</v>
      </c>
      <c r="D183" s="0" t="s">
        <v>5147</v>
      </c>
      <c r="E183" s="0" t="s">
        <v>5102</v>
      </c>
      <c r="F183" s="0" t="s">
        <v>2144</v>
      </c>
      <c r="G183" s="0" t="s">
        <v>4855</v>
      </c>
      <c r="H183" s="5" t="s">
        <v>1648</v>
      </c>
      <c r="K183" s="0" t="s">
        <v>34</v>
      </c>
      <c r="L183" s="0" t="s">
        <v>4811</v>
      </c>
    </row>
    <row r="184" customFormat="false" ht="17.15" hidden="false" customHeight="false" outlineLevel="0" collapsed="false">
      <c r="A184" s="0" t="s">
        <v>5148</v>
      </c>
      <c r="B184" s="5" t="s">
        <v>5149</v>
      </c>
      <c r="C184" s="5" t="s">
        <v>5150</v>
      </c>
      <c r="D184" s="0" t="s">
        <v>5151</v>
      </c>
      <c r="E184" s="0" t="s">
        <v>5152</v>
      </c>
      <c r="F184" s="0" t="s">
        <v>22</v>
      </c>
      <c r="G184" s="0" t="s">
        <v>5153</v>
      </c>
      <c r="H184" s="5" t="s">
        <v>1648</v>
      </c>
      <c r="K184" s="0" t="s">
        <v>34</v>
      </c>
      <c r="L184" s="0" t="s">
        <v>5154</v>
      </c>
    </row>
    <row r="185" customFormat="false" ht="17.15" hidden="false" customHeight="false" outlineLevel="0" collapsed="false">
      <c r="A185" s="0" t="s">
        <v>5155</v>
      </c>
      <c r="B185" s="5" t="s">
        <v>5156</v>
      </c>
      <c r="C185" s="5" t="s">
        <v>5157</v>
      </c>
      <c r="D185" s="0" t="s">
        <v>5158</v>
      </c>
      <c r="E185" s="0" t="s">
        <v>5152</v>
      </c>
      <c r="F185" s="0" t="s">
        <v>20</v>
      </c>
      <c r="G185" s="0" t="s">
        <v>5159</v>
      </c>
      <c r="H185" s="5" t="s">
        <v>1802</v>
      </c>
      <c r="K185" s="0" t="s">
        <v>34</v>
      </c>
      <c r="L185" s="0" t="s">
        <v>5160</v>
      </c>
    </row>
    <row r="186" customFormat="false" ht="17.15" hidden="false" customHeight="false" outlineLevel="0" collapsed="false">
      <c r="A186" s="0" t="s">
        <v>5161</v>
      </c>
      <c r="B186" s="5" t="s">
        <v>5162</v>
      </c>
      <c r="C186" s="5" t="s">
        <v>5163</v>
      </c>
      <c r="D186" s="5" t="s">
        <v>5164</v>
      </c>
      <c r="E186" s="0" t="s">
        <v>4312</v>
      </c>
      <c r="F186" s="0" t="s">
        <v>5165</v>
      </c>
      <c r="G186" s="0" t="s">
        <v>5166</v>
      </c>
      <c r="H186" s="5" t="s">
        <v>1648</v>
      </c>
      <c r="J186" s="0" t="s">
        <v>476</v>
      </c>
      <c r="K186" s="5" t="s">
        <v>1795</v>
      </c>
      <c r="L186" s="0" t="s">
        <v>5167</v>
      </c>
    </row>
    <row r="187" customFormat="false" ht="17.15" hidden="false" customHeight="false" outlineLevel="0" collapsed="false">
      <c r="A187" s="0" t="s">
        <v>5168</v>
      </c>
      <c r="B187" s="5" t="s">
        <v>5169</v>
      </c>
      <c r="C187" s="5" t="s">
        <v>5170</v>
      </c>
      <c r="D187" s="0" t="s">
        <v>5171</v>
      </c>
      <c r="E187" s="0" t="s">
        <v>5172</v>
      </c>
      <c r="F187" s="0" t="s">
        <v>4457</v>
      </c>
      <c r="G187" s="0" t="s">
        <v>5173</v>
      </c>
      <c r="H187" s="5" t="s">
        <v>1802</v>
      </c>
      <c r="K187" s="0" t="s">
        <v>34</v>
      </c>
      <c r="L187" s="0" t="s">
        <v>5174</v>
      </c>
    </row>
    <row r="188" customFormat="false" ht="17.15" hidden="false" customHeight="false" outlineLevel="0" collapsed="false">
      <c r="A188" s="0" t="s">
        <v>5175</v>
      </c>
      <c r="B188" s="5" t="s">
        <v>5176</v>
      </c>
      <c r="C188" s="5" t="s">
        <v>5177</v>
      </c>
      <c r="D188" s="0" t="s">
        <v>5178</v>
      </c>
      <c r="E188" s="0" t="s">
        <v>5179</v>
      </c>
      <c r="F188" s="0" t="s">
        <v>5180</v>
      </c>
      <c r="G188" s="0" t="s">
        <v>5181</v>
      </c>
      <c r="H188" s="5" t="s">
        <v>1802</v>
      </c>
      <c r="K188" s="0" t="s">
        <v>34</v>
      </c>
      <c r="L188" s="0" t="s">
        <v>5182</v>
      </c>
    </row>
    <row r="189" customFormat="false" ht="17.15" hidden="false" customHeight="false" outlineLevel="0" collapsed="false">
      <c r="A189" s="0" t="s">
        <v>5183</v>
      </c>
      <c r="B189" s="5" t="s">
        <v>5184</v>
      </c>
      <c r="C189" s="5" t="s">
        <v>5185</v>
      </c>
      <c r="D189" s="0" t="s">
        <v>5186</v>
      </c>
      <c r="E189" s="0" t="s">
        <v>4312</v>
      </c>
      <c r="F189" s="0" t="s">
        <v>23</v>
      </c>
      <c r="G189" s="0" t="s">
        <v>5187</v>
      </c>
      <c r="H189" s="5" t="s">
        <v>1648</v>
      </c>
      <c r="K189" s="0" t="s">
        <v>34</v>
      </c>
      <c r="L189" s="0" t="s">
        <v>5188</v>
      </c>
    </row>
    <row r="190" customFormat="false" ht="17.15" hidden="false" customHeight="false" outlineLevel="0" collapsed="false">
      <c r="A190" s="0" t="s">
        <v>5189</v>
      </c>
      <c r="B190" s="5" t="s">
        <v>5190</v>
      </c>
      <c r="C190" s="5" t="s">
        <v>5191</v>
      </c>
      <c r="D190" s="0" t="s">
        <v>5192</v>
      </c>
      <c r="E190" s="0" t="s">
        <v>4312</v>
      </c>
      <c r="F190" s="0" t="s">
        <v>5193</v>
      </c>
      <c r="G190" s="0" t="s">
        <v>5194</v>
      </c>
      <c r="H190" s="5" t="s">
        <v>1802</v>
      </c>
      <c r="K190" s="0" t="s">
        <v>34</v>
      </c>
      <c r="L190" s="0" t="s">
        <v>5195</v>
      </c>
    </row>
    <row r="191" customFormat="false" ht="17.15" hidden="false" customHeight="false" outlineLevel="0" collapsed="false">
      <c r="A191" s="0" t="s">
        <v>5196</v>
      </c>
      <c r="B191" s="5" t="s">
        <v>5197</v>
      </c>
      <c r="C191" s="5" t="s">
        <v>5198</v>
      </c>
      <c r="D191" s="0" t="s">
        <v>5199</v>
      </c>
      <c r="E191" s="0" t="s">
        <v>4312</v>
      </c>
      <c r="F191" s="0" t="s">
        <v>5200</v>
      </c>
      <c r="G191" s="0" t="s">
        <v>5201</v>
      </c>
      <c r="H191" s="5" t="s">
        <v>1648</v>
      </c>
      <c r="K191" s="0" t="s">
        <v>34</v>
      </c>
      <c r="L191" s="0" t="s">
        <v>5202</v>
      </c>
    </row>
    <row r="192" customFormat="false" ht="17.15" hidden="false" customHeight="false" outlineLevel="0" collapsed="false">
      <c r="A192" s="0" t="s">
        <v>5203</v>
      </c>
      <c r="B192" s="5" t="s">
        <v>5204</v>
      </c>
      <c r="C192" s="5" t="s">
        <v>5205</v>
      </c>
      <c r="D192" s="0" t="s">
        <v>5206</v>
      </c>
      <c r="E192" s="0" t="s">
        <v>4312</v>
      </c>
      <c r="F192" s="0" t="s">
        <v>5207</v>
      </c>
      <c r="G192" s="0" t="s">
        <v>5208</v>
      </c>
      <c r="H192" s="5" t="s">
        <v>1802</v>
      </c>
      <c r="K192" s="0" t="s">
        <v>34</v>
      </c>
      <c r="L192" s="0" t="s">
        <v>5209</v>
      </c>
    </row>
    <row r="193" customFormat="false" ht="17.15" hidden="false" customHeight="false" outlineLevel="0" collapsed="false">
      <c r="A193" s="0" t="s">
        <v>5210</v>
      </c>
      <c r="B193" s="5" t="s">
        <v>5211</v>
      </c>
      <c r="C193" s="5" t="s">
        <v>5212</v>
      </c>
      <c r="D193" s="0" t="s">
        <v>5213</v>
      </c>
      <c r="F193" s="0" t="s">
        <v>5214</v>
      </c>
      <c r="G193" s="0" t="s">
        <v>5215</v>
      </c>
      <c r="H193" s="5" t="s">
        <v>1648</v>
      </c>
      <c r="J193" s="0" t="s">
        <v>95</v>
      </c>
      <c r="K193" s="5" t="s">
        <v>1795</v>
      </c>
      <c r="L193" s="0" t="s">
        <v>5216</v>
      </c>
    </row>
    <row r="194" customFormat="false" ht="17.15" hidden="false" customHeight="false" outlineLevel="0" collapsed="false">
      <c r="A194" s="0" t="s">
        <v>5217</v>
      </c>
      <c r="B194" s="5" t="s">
        <v>5218</v>
      </c>
      <c r="C194" s="5" t="s">
        <v>5219</v>
      </c>
      <c r="D194" s="0" t="s">
        <v>5220</v>
      </c>
      <c r="F194" s="0" t="s">
        <v>5214</v>
      </c>
      <c r="G194" s="0" t="s">
        <v>5221</v>
      </c>
      <c r="H194" s="5" t="s">
        <v>1648</v>
      </c>
      <c r="J194" s="0" t="s">
        <v>95</v>
      </c>
      <c r="K194" s="5" t="s">
        <v>1795</v>
      </c>
      <c r="L194" s="0" t="s">
        <v>5216</v>
      </c>
    </row>
    <row r="195" customFormat="false" ht="17.15" hidden="false" customHeight="false" outlineLevel="0" collapsed="false">
      <c r="A195" s="0" t="s">
        <v>5222</v>
      </c>
      <c r="B195" s="5" t="s">
        <v>5223</v>
      </c>
      <c r="C195" s="5" t="s">
        <v>5224</v>
      </c>
      <c r="D195" s="0" t="s">
        <v>5225</v>
      </c>
      <c r="F195" s="0" t="s">
        <v>5226</v>
      </c>
      <c r="G195" s="0" t="s">
        <v>5227</v>
      </c>
      <c r="H195" s="5" t="s">
        <v>1802</v>
      </c>
      <c r="K195" s="0" t="s">
        <v>34</v>
      </c>
      <c r="L195" s="0" t="s">
        <v>5228</v>
      </c>
    </row>
    <row r="196" customFormat="false" ht="17.15" hidden="false" customHeight="false" outlineLevel="0" collapsed="false">
      <c r="A196" s="0" t="s">
        <v>5229</v>
      </c>
      <c r="B196" s="5" t="s">
        <v>5230</v>
      </c>
      <c r="C196" s="5" t="s">
        <v>5231</v>
      </c>
      <c r="D196" s="0" t="s">
        <v>5232</v>
      </c>
      <c r="F196" s="0" t="s">
        <v>5233</v>
      </c>
      <c r="G196" s="0" t="s">
        <v>5234</v>
      </c>
      <c r="H196" s="5" t="s">
        <v>1648</v>
      </c>
      <c r="J196" s="0" t="s">
        <v>95</v>
      </c>
      <c r="K196" s="5" t="s">
        <v>1795</v>
      </c>
      <c r="L196" s="0" t="s">
        <v>5235</v>
      </c>
    </row>
    <row r="197" customFormat="false" ht="17.15" hidden="false" customHeight="false" outlineLevel="0" collapsed="false">
      <c r="A197" s="0" t="s">
        <v>5236</v>
      </c>
      <c r="B197" s="5" t="s">
        <v>5237</v>
      </c>
      <c r="C197" s="5" t="s">
        <v>5238</v>
      </c>
      <c r="D197" s="0" t="s">
        <v>5239</v>
      </c>
      <c r="F197" s="0" t="s">
        <v>5240</v>
      </c>
      <c r="G197" s="0" t="s">
        <v>5241</v>
      </c>
      <c r="H197" s="5" t="s">
        <v>1648</v>
      </c>
      <c r="K197" s="0" t="s">
        <v>34</v>
      </c>
      <c r="L197" s="0" t="s">
        <v>5242</v>
      </c>
    </row>
    <row r="198" customFormat="false" ht="17.15" hidden="false" customHeight="false" outlineLevel="0" collapsed="false">
      <c r="A198" s="0" t="s">
        <v>5243</v>
      </c>
      <c r="B198" s="5" t="s">
        <v>5244</v>
      </c>
      <c r="C198" s="5" t="s">
        <v>5245</v>
      </c>
      <c r="D198" s="0" t="s">
        <v>5246</v>
      </c>
      <c r="F198" s="0" t="s">
        <v>5247</v>
      </c>
      <c r="G198" s="0" t="s">
        <v>5248</v>
      </c>
      <c r="H198" s="5" t="s">
        <v>1656</v>
      </c>
      <c r="I198" s="5" t="s">
        <v>5249</v>
      </c>
      <c r="J198" s="0" t="s">
        <v>95</v>
      </c>
      <c r="K198" s="5" t="s">
        <v>1795</v>
      </c>
      <c r="L198" s="0" t="s">
        <v>5250</v>
      </c>
    </row>
    <row r="199" customFormat="false" ht="17.15" hidden="false" customHeight="false" outlineLevel="0" collapsed="false">
      <c r="A199" s="0" t="s">
        <v>5251</v>
      </c>
      <c r="B199" s="5" t="s">
        <v>5252</v>
      </c>
      <c r="C199" s="5" t="s">
        <v>5253</v>
      </c>
      <c r="D199" s="0" t="s">
        <v>5225</v>
      </c>
      <c r="F199" s="0" t="s">
        <v>1652</v>
      </c>
      <c r="G199" s="0" t="s">
        <v>5254</v>
      </c>
      <c r="H199" s="5" t="s">
        <v>1648</v>
      </c>
      <c r="J199" s="0" t="s">
        <v>95</v>
      </c>
      <c r="K199" s="5" t="s">
        <v>1795</v>
      </c>
      <c r="L199" s="0" t="s">
        <v>5255</v>
      </c>
    </row>
    <row r="200" customFormat="false" ht="17.15" hidden="false" customHeight="false" outlineLevel="0" collapsed="false">
      <c r="A200" s="0" t="s">
        <v>5256</v>
      </c>
      <c r="B200" s="5" t="s">
        <v>5257</v>
      </c>
      <c r="C200" s="5" t="s">
        <v>5258</v>
      </c>
      <c r="D200" s="0" t="s">
        <v>5259</v>
      </c>
      <c r="F200" s="0" t="s">
        <v>5260</v>
      </c>
      <c r="G200" s="0" t="s">
        <v>5261</v>
      </c>
      <c r="H200" s="5" t="s">
        <v>1802</v>
      </c>
      <c r="K200" s="0" t="s">
        <v>34</v>
      </c>
      <c r="L200" s="0" t="s">
        <v>5262</v>
      </c>
    </row>
    <row r="201" customFormat="false" ht="17.15" hidden="false" customHeight="false" outlineLevel="0" collapsed="false">
      <c r="A201" s="0" t="s">
        <v>5263</v>
      </c>
      <c r="B201" s="5" t="s">
        <v>5264</v>
      </c>
      <c r="C201" s="5" t="s">
        <v>5265</v>
      </c>
      <c r="D201" s="0" t="s">
        <v>5266</v>
      </c>
      <c r="F201" s="0" t="s">
        <v>5267</v>
      </c>
      <c r="G201" s="0" t="s">
        <v>5268</v>
      </c>
      <c r="H201" s="5" t="s">
        <v>1802</v>
      </c>
      <c r="K201" s="0" t="s">
        <v>34</v>
      </c>
      <c r="L201" s="0" t="s">
        <v>5269</v>
      </c>
    </row>
    <row r="202" customFormat="false" ht="17.15" hidden="false" customHeight="false" outlineLevel="0" collapsed="false">
      <c r="A202" s="0" t="s">
        <v>5270</v>
      </c>
      <c r="B202" s="5" t="s">
        <v>5271</v>
      </c>
      <c r="C202" s="5" t="s">
        <v>5272</v>
      </c>
      <c r="D202" s="0" t="s">
        <v>5273</v>
      </c>
      <c r="F202" s="0" t="s">
        <v>5274</v>
      </c>
      <c r="G202" s="0" t="s">
        <v>5275</v>
      </c>
      <c r="H202" s="5" t="s">
        <v>1648</v>
      </c>
      <c r="J202" s="0" t="s">
        <v>95</v>
      </c>
      <c r="K202" s="5" t="s">
        <v>1795</v>
      </c>
      <c r="L202" s="0" t="s">
        <v>5276</v>
      </c>
    </row>
    <row r="203" customFormat="false" ht="17.15" hidden="false" customHeight="false" outlineLevel="0" collapsed="false">
      <c r="A203" s="0" t="s">
        <v>5277</v>
      </c>
      <c r="B203" s="5" t="s">
        <v>5271</v>
      </c>
      <c r="C203" s="5" t="s">
        <v>5278</v>
      </c>
      <c r="D203" s="0" t="s">
        <v>5279</v>
      </c>
      <c r="F203" s="0" t="s">
        <v>5280</v>
      </c>
      <c r="G203" s="0" t="s">
        <v>5281</v>
      </c>
      <c r="H203" s="5" t="s">
        <v>1656</v>
      </c>
      <c r="I203" s="5" t="s">
        <v>5282</v>
      </c>
      <c r="K203" s="0" t="s">
        <v>34</v>
      </c>
      <c r="L203" s="0" t="s">
        <v>5283</v>
      </c>
    </row>
    <row r="204" customFormat="false" ht="17.15" hidden="false" customHeight="false" outlineLevel="0" collapsed="false">
      <c r="A204" s="0" t="s">
        <v>5284</v>
      </c>
      <c r="B204" s="5" t="s">
        <v>5271</v>
      </c>
      <c r="C204" s="5" t="s">
        <v>5285</v>
      </c>
      <c r="D204" s="0" t="s">
        <v>5286</v>
      </c>
      <c r="F204" s="0" t="s">
        <v>5274</v>
      </c>
      <c r="G204" s="0" t="s">
        <v>5275</v>
      </c>
      <c r="H204" s="5" t="s">
        <v>1648</v>
      </c>
      <c r="K204" s="0" t="s">
        <v>34</v>
      </c>
      <c r="L204" s="0" t="s">
        <v>5276</v>
      </c>
    </row>
    <row r="205" customFormat="false" ht="17.15" hidden="false" customHeight="false" outlineLevel="0" collapsed="false">
      <c r="A205" s="0" t="s">
        <v>5287</v>
      </c>
      <c r="B205" s="5" t="s">
        <v>5288</v>
      </c>
      <c r="C205" s="5" t="s">
        <v>5289</v>
      </c>
      <c r="D205" s="0" t="s">
        <v>5290</v>
      </c>
      <c r="F205" s="0" t="s">
        <v>5214</v>
      </c>
      <c r="G205" s="0" t="s">
        <v>5291</v>
      </c>
      <c r="H205" s="5" t="s">
        <v>1648</v>
      </c>
      <c r="J205" s="0" t="s">
        <v>5292</v>
      </c>
      <c r="K205" s="5" t="s">
        <v>1795</v>
      </c>
      <c r="L205" s="0" t="s">
        <v>5202</v>
      </c>
    </row>
    <row r="206" customFormat="false" ht="17.15" hidden="false" customHeight="false" outlineLevel="0" collapsed="false">
      <c r="A206" s="0" t="s">
        <v>5293</v>
      </c>
      <c r="B206" s="5" t="s">
        <v>5264</v>
      </c>
      <c r="C206" s="5" t="s">
        <v>5294</v>
      </c>
      <c r="F206" s="0" t="s">
        <v>5200</v>
      </c>
      <c r="G206" s="0" t="s">
        <v>5295</v>
      </c>
      <c r="H206" s="5" t="s">
        <v>1648</v>
      </c>
      <c r="J206" s="0" t="s">
        <v>88</v>
      </c>
      <c r="K206" s="5" t="s">
        <v>1795</v>
      </c>
      <c r="L206" s="0" t="s">
        <v>5202</v>
      </c>
    </row>
    <row r="207" customFormat="false" ht="17.15" hidden="false" customHeight="false" outlineLevel="0" collapsed="false">
      <c r="A207" s="0" t="s">
        <v>5296</v>
      </c>
      <c r="B207" s="5" t="s">
        <v>5297</v>
      </c>
      <c r="C207" s="5" t="s">
        <v>5298</v>
      </c>
      <c r="D207" s="0" t="s">
        <v>5299</v>
      </c>
      <c r="F207" s="0" t="s">
        <v>2119</v>
      </c>
      <c r="G207" s="0" t="s">
        <v>5300</v>
      </c>
      <c r="H207" s="5" t="s">
        <v>1648</v>
      </c>
      <c r="J207" s="0" t="s">
        <v>5301</v>
      </c>
      <c r="K207" s="5" t="s">
        <v>1795</v>
      </c>
      <c r="L207" s="0" t="s">
        <v>5302</v>
      </c>
    </row>
    <row r="208" customFormat="false" ht="17.15" hidden="false" customHeight="false" outlineLevel="0" collapsed="false">
      <c r="A208" s="0" t="s">
        <v>5303</v>
      </c>
      <c r="B208" s="5" t="s">
        <v>5304</v>
      </c>
      <c r="C208" s="5" t="s">
        <v>5305</v>
      </c>
      <c r="D208" s="0" t="s">
        <v>5306</v>
      </c>
      <c r="F208" s="0" t="s">
        <v>5307</v>
      </c>
      <c r="G208" s="0" t="s">
        <v>5308</v>
      </c>
      <c r="H208" s="5" t="s">
        <v>1648</v>
      </c>
      <c r="J208" s="0" t="s">
        <v>606</v>
      </c>
      <c r="K208" s="5" t="s">
        <v>1795</v>
      </c>
      <c r="L208" s="0" t="s">
        <v>5309</v>
      </c>
    </row>
    <row r="209" customFormat="false" ht="17.15" hidden="false" customHeight="false" outlineLevel="0" collapsed="false">
      <c r="A209" s="12" t="s">
        <v>5310</v>
      </c>
      <c r="B209" s="13" t="s">
        <v>5311</v>
      </c>
      <c r="C209" s="13" t="s">
        <v>5312</v>
      </c>
      <c r="D209" s="12" t="s">
        <v>5313</v>
      </c>
      <c r="E209" s="12"/>
      <c r="F209" s="12" t="s">
        <v>5314</v>
      </c>
      <c r="G209" s="12" t="s">
        <v>5315</v>
      </c>
      <c r="H209" s="13" t="s">
        <v>1831</v>
      </c>
      <c r="I209" s="12"/>
      <c r="J209" s="12" t="s">
        <v>92</v>
      </c>
      <c r="K209" s="13" t="s">
        <v>4360</v>
      </c>
      <c r="L209" s="12" t="s">
        <v>5316</v>
      </c>
    </row>
    <row r="210" customFormat="false" ht="17.15" hidden="false" customHeight="false" outlineLevel="0" collapsed="false">
      <c r="A210" s="0" t="s">
        <v>5317</v>
      </c>
      <c r="B210" s="5" t="s">
        <v>5318</v>
      </c>
      <c r="C210" s="5" t="s">
        <v>5319</v>
      </c>
      <c r="D210" s="0" t="s">
        <v>5320</v>
      </c>
      <c r="F210" s="0" t="s">
        <v>5321</v>
      </c>
      <c r="G210" s="0" t="s">
        <v>5322</v>
      </c>
      <c r="H210" s="5" t="s">
        <v>1648</v>
      </c>
      <c r="J210" s="0" t="s">
        <v>92</v>
      </c>
      <c r="K210" s="5" t="s">
        <v>1795</v>
      </c>
      <c r="L210" s="0" t="s">
        <v>5309</v>
      </c>
    </row>
    <row r="211" customFormat="false" ht="17.15" hidden="false" customHeight="false" outlineLevel="0" collapsed="false">
      <c r="A211" s="0" t="s">
        <v>5323</v>
      </c>
      <c r="B211" s="5" t="s">
        <v>5324</v>
      </c>
      <c r="C211" s="5" t="s">
        <v>5325</v>
      </c>
      <c r="F211" s="0" t="s">
        <v>2385</v>
      </c>
      <c r="G211" s="0" t="s">
        <v>5326</v>
      </c>
      <c r="H211" s="5" t="s">
        <v>1648</v>
      </c>
      <c r="K211" s="0" t="s">
        <v>34</v>
      </c>
      <c r="L211" s="0" t="s">
        <v>5327</v>
      </c>
    </row>
    <row r="212" customFormat="false" ht="17.15" hidden="false" customHeight="false" outlineLevel="0" collapsed="false">
      <c r="A212" s="0" t="s">
        <v>5328</v>
      </c>
      <c r="B212" s="0" t="s">
        <v>5329</v>
      </c>
      <c r="C212" s="5" t="s">
        <v>5330</v>
      </c>
      <c r="D212" s="0" t="s">
        <v>5331</v>
      </c>
      <c r="F212" s="0" t="s">
        <v>4935</v>
      </c>
      <c r="G212" s="0" t="s">
        <v>5332</v>
      </c>
      <c r="H212" s="5" t="s">
        <v>1648</v>
      </c>
      <c r="J212" s="0" t="s">
        <v>672</v>
      </c>
      <c r="K212" s="5" t="s">
        <v>4442</v>
      </c>
      <c r="L212" s="0" t="s">
        <v>4937</v>
      </c>
    </row>
    <row r="213" customFormat="false" ht="17.15" hidden="false" customHeight="false" outlineLevel="0" collapsed="false">
      <c r="A213" s="0" t="s">
        <v>5333</v>
      </c>
      <c r="B213" s="0" t="s">
        <v>1627</v>
      </c>
      <c r="C213" s="5" t="s">
        <v>5334</v>
      </c>
      <c r="F213" s="0" t="s">
        <v>5335</v>
      </c>
      <c r="G213" s="0" t="s">
        <v>5336</v>
      </c>
      <c r="H213" s="5" t="s">
        <v>1648</v>
      </c>
      <c r="K213" s="0" t="s">
        <v>34</v>
      </c>
      <c r="L213" s="0" t="s">
        <v>5337</v>
      </c>
    </row>
    <row r="214" customFormat="false" ht="17.15" hidden="false" customHeight="false" outlineLevel="0" collapsed="false">
      <c r="A214" s="0" t="s">
        <v>5338</v>
      </c>
      <c r="B214" s="0" t="s">
        <v>5339</v>
      </c>
      <c r="C214" s="5" t="s">
        <v>5340</v>
      </c>
      <c r="D214" s="0" t="s">
        <v>5341</v>
      </c>
      <c r="F214" s="0" t="s">
        <v>5342</v>
      </c>
      <c r="G214" s="0" t="s">
        <v>5343</v>
      </c>
      <c r="H214" s="5" t="s">
        <v>1648</v>
      </c>
      <c r="K214" s="0" t="s">
        <v>34</v>
      </c>
      <c r="L214" s="0" t="s">
        <v>5344</v>
      </c>
    </row>
    <row r="215" customFormat="false" ht="17.15" hidden="false" customHeight="false" outlineLevel="0" collapsed="false">
      <c r="A215" s="0" t="s">
        <v>5345</v>
      </c>
      <c r="B215" s="0" t="s">
        <v>5346</v>
      </c>
      <c r="C215" s="5" t="s">
        <v>5347</v>
      </c>
      <c r="D215" s="0" t="s">
        <v>5348</v>
      </c>
      <c r="F215" s="0" t="s">
        <v>4935</v>
      </c>
      <c r="G215" s="0" t="s">
        <v>5349</v>
      </c>
      <c r="H215" s="5" t="s">
        <v>1648</v>
      </c>
      <c r="J215" s="0" t="s">
        <v>5350</v>
      </c>
      <c r="K215" s="5" t="s">
        <v>1795</v>
      </c>
      <c r="L215" s="0" t="s">
        <v>5351</v>
      </c>
    </row>
    <row r="216" customFormat="false" ht="17.15" hidden="false" customHeight="false" outlineLevel="0" collapsed="false">
      <c r="A216" s="0" t="s">
        <v>5352</v>
      </c>
      <c r="B216" s="5" t="s">
        <v>5353</v>
      </c>
      <c r="C216" s="5" t="s">
        <v>5354</v>
      </c>
      <c r="F216" s="0" t="s">
        <v>4711</v>
      </c>
      <c r="G216" s="0" t="s">
        <v>5355</v>
      </c>
      <c r="H216" s="5" t="s">
        <v>1648</v>
      </c>
      <c r="J216" s="0" t="s">
        <v>95</v>
      </c>
      <c r="K216" s="5" t="s">
        <v>1795</v>
      </c>
      <c r="L216" s="0" t="s">
        <v>5356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5357</v>
      </c>
    </row>
    <row r="3" customFormat="false" ht="17.15" hidden="false" customHeight="false" outlineLevel="0" collapsed="false">
      <c r="A3" s="6" t="s">
        <v>18</v>
      </c>
      <c r="B3" s="6" t="s">
        <v>5358</v>
      </c>
      <c r="C3" s="6" t="s">
        <v>19</v>
      </c>
    </row>
    <row r="4" customFormat="false" ht="17.15" hidden="false" customHeight="false" outlineLevel="0" collapsed="false">
      <c r="A4" s="0" t="s">
        <v>416</v>
      </c>
      <c r="B4" s="0" t="s">
        <v>34</v>
      </c>
      <c r="C4" s="5" t="s">
        <v>5359</v>
      </c>
    </row>
    <row r="5" customFormat="false" ht="17.15" hidden="false" customHeight="false" outlineLevel="0" collapsed="false">
      <c r="A5" s="0" t="s">
        <v>281</v>
      </c>
      <c r="B5" s="0" t="s">
        <v>5360</v>
      </c>
      <c r="C5" s="0" t="s">
        <v>5361</v>
      </c>
    </row>
    <row r="6" customFormat="false" ht="17.15" hidden="false" customHeight="false" outlineLevel="0" collapsed="false">
      <c r="A6" s="0" t="s">
        <v>5362</v>
      </c>
      <c r="B6" s="0" t="s">
        <v>5363</v>
      </c>
      <c r="C6" s="0" t="s">
        <v>5364</v>
      </c>
    </row>
    <row r="7" customFormat="false" ht="17.15" hidden="false" customHeight="false" outlineLevel="0" collapsed="false">
      <c r="A7" s="0" t="s">
        <v>37</v>
      </c>
      <c r="B7" s="0" t="s">
        <v>5365</v>
      </c>
      <c r="C7" s="0" t="s">
        <v>5366</v>
      </c>
    </row>
    <row r="8" customFormat="false" ht="17.15" hidden="false" customHeight="false" outlineLevel="0" collapsed="false">
      <c r="A8" s="0" t="s">
        <v>47</v>
      </c>
      <c r="B8" s="0" t="s">
        <v>5367</v>
      </c>
      <c r="C8" s="0" t="s">
        <v>5368</v>
      </c>
    </row>
    <row r="9" customFormat="false" ht="17.15" hidden="false" customHeight="false" outlineLevel="0" collapsed="false">
      <c r="A9" s="0" t="s">
        <v>5369</v>
      </c>
      <c r="B9" s="5" t="s">
        <v>5370</v>
      </c>
      <c r="C9" s="0" t="s">
        <v>5371</v>
      </c>
    </row>
    <row r="10" customFormat="false" ht="17.15" hidden="false" customHeight="false" outlineLevel="0" collapsed="false">
      <c r="A10" s="0" t="s">
        <v>113</v>
      </c>
      <c r="B10" s="0" t="s">
        <v>5372</v>
      </c>
      <c r="C10" s="0" t="s">
        <v>5373</v>
      </c>
    </row>
    <row r="11" customFormat="false" ht="17.15" hidden="false" customHeight="false" outlineLevel="0" collapsed="false">
      <c r="A11" s="0" t="s">
        <v>389</v>
      </c>
      <c r="B11" s="0" t="s">
        <v>5374</v>
      </c>
      <c r="C11" s="0" t="s">
        <v>5375</v>
      </c>
    </row>
    <row r="12" customFormat="false" ht="17.15" hidden="false" customHeight="false" outlineLevel="0" collapsed="false">
      <c r="A12" s="0" t="s">
        <v>122</v>
      </c>
      <c r="B12" s="0" t="s">
        <v>5376</v>
      </c>
      <c r="C12" s="0" t="s">
        <v>5377</v>
      </c>
    </row>
    <row r="13" customFormat="false" ht="17.15" hidden="false" customHeight="false" outlineLevel="0" collapsed="false">
      <c r="A13" s="0" t="s">
        <v>393</v>
      </c>
      <c r="B13" s="0" t="s">
        <v>5378</v>
      </c>
      <c r="C13" s="0" t="s">
        <v>5379</v>
      </c>
    </row>
    <row r="14" customFormat="false" ht="17.15" hidden="false" customHeight="false" outlineLevel="0" collapsed="false">
      <c r="A14" s="0" t="s">
        <v>67</v>
      </c>
      <c r="B14" s="0" t="s">
        <v>5380</v>
      </c>
      <c r="C14" s="0" t="s">
        <v>5381</v>
      </c>
    </row>
    <row r="15" customFormat="false" ht="17.15" hidden="false" customHeight="false" outlineLevel="0" collapsed="false">
      <c r="A15" s="0" t="s">
        <v>397</v>
      </c>
      <c r="B15" s="0" t="s">
        <v>5382</v>
      </c>
      <c r="C15" s="0" t="s">
        <v>5383</v>
      </c>
    </row>
    <row r="16" customFormat="false" ht="17.15" hidden="false" customHeight="false" outlineLevel="0" collapsed="false">
      <c r="A16" s="0" t="s">
        <v>133</v>
      </c>
      <c r="B16" s="0" t="s">
        <v>5384</v>
      </c>
      <c r="C16" s="0" t="s">
        <v>5385</v>
      </c>
    </row>
    <row r="17" customFormat="false" ht="17.15" hidden="false" customHeight="false" outlineLevel="0" collapsed="false">
      <c r="A17" s="0" t="s">
        <v>404</v>
      </c>
      <c r="B17" s="0" t="s">
        <v>5386</v>
      </c>
      <c r="C17" s="0" t="s">
        <v>5387</v>
      </c>
    </row>
    <row r="18" customFormat="false" ht="17.15" hidden="false" customHeight="false" outlineLevel="0" collapsed="false">
      <c r="A18" s="0" t="s">
        <v>141</v>
      </c>
      <c r="B18" s="0" t="s">
        <v>5388</v>
      </c>
      <c r="C18" s="0" t="s">
        <v>5389</v>
      </c>
    </row>
    <row r="19" customFormat="false" ht="17.15" hidden="false" customHeight="false" outlineLevel="0" collapsed="false">
      <c r="A19" s="0" t="s">
        <v>408</v>
      </c>
      <c r="B19" s="0" t="s">
        <v>5390</v>
      </c>
      <c r="C19" s="0" t="s">
        <v>5391</v>
      </c>
    </row>
    <row r="20" customFormat="false" ht="17.15" hidden="false" customHeight="false" outlineLevel="0" collapsed="false">
      <c r="A20" s="0" t="s">
        <v>295</v>
      </c>
      <c r="B20" s="0" t="s">
        <v>5392</v>
      </c>
      <c r="C20" s="0" t="s">
        <v>5393</v>
      </c>
    </row>
    <row r="21" customFormat="false" ht="17.15" hidden="false" customHeight="false" outlineLevel="0" collapsed="false">
      <c r="A21" s="0" t="s">
        <v>191</v>
      </c>
      <c r="B21" s="0" t="s">
        <v>5394</v>
      </c>
      <c r="C21" s="0" t="s">
        <v>5395</v>
      </c>
    </row>
    <row r="22" customFormat="false" ht="17.15" hidden="false" customHeight="false" outlineLevel="0" collapsed="false">
      <c r="A22" s="0" t="s">
        <v>298</v>
      </c>
      <c r="B22" s="0" t="s">
        <v>5396</v>
      </c>
      <c r="C22" s="0" t="s">
        <v>5397</v>
      </c>
    </row>
    <row r="23" customFormat="false" ht="17.15" hidden="false" customHeight="false" outlineLevel="0" collapsed="false">
      <c r="A23" s="0" t="s">
        <v>5398</v>
      </c>
      <c r="B23" s="0" t="s">
        <v>5399</v>
      </c>
      <c r="C23" s="0" t="s">
        <v>5400</v>
      </c>
    </row>
    <row r="24" customFormat="false" ht="17.15" hidden="false" customHeight="false" outlineLevel="0" collapsed="false">
      <c r="A24" s="0" t="s">
        <v>5401</v>
      </c>
      <c r="B24" s="0" t="s">
        <v>5402</v>
      </c>
      <c r="C24" s="0" t="s">
        <v>5403</v>
      </c>
    </row>
    <row r="25" customFormat="false" ht="17.15" hidden="false" customHeight="false" outlineLevel="0" collapsed="false">
      <c r="A25" s="0" t="s">
        <v>483</v>
      </c>
      <c r="B25" s="0" t="s">
        <v>5404</v>
      </c>
      <c r="C25" s="5" t="s">
        <v>5405</v>
      </c>
    </row>
    <row r="26" customFormat="false" ht="17.15" hidden="false" customHeight="false" outlineLevel="0" collapsed="false">
      <c r="A26" s="0" t="s">
        <v>5406</v>
      </c>
      <c r="B26" s="0" t="s">
        <v>5407</v>
      </c>
      <c r="C26" s="0" t="s">
        <v>5408</v>
      </c>
    </row>
    <row r="27" customFormat="false" ht="17.15" hidden="false" customHeight="false" outlineLevel="0" collapsed="false">
      <c r="A27" s="0" t="s">
        <v>187</v>
      </c>
      <c r="B27" s="0" t="s">
        <v>5409</v>
      </c>
      <c r="C27" s="0" t="s">
        <v>5410</v>
      </c>
    </row>
    <row r="28" customFormat="false" ht="17.15" hidden="false" customHeight="false" outlineLevel="0" collapsed="false">
      <c r="A28" s="0" t="s">
        <v>77</v>
      </c>
      <c r="B28" s="0" t="s">
        <v>5411</v>
      </c>
      <c r="C28" s="0" t="s">
        <v>5412</v>
      </c>
    </row>
    <row r="29" customFormat="false" ht="17.15" hidden="false" customHeight="false" outlineLevel="0" collapsed="false">
      <c r="A29" s="0" t="s">
        <v>90</v>
      </c>
      <c r="B29" s="0" t="s">
        <v>5413</v>
      </c>
      <c r="C29" s="0" t="s">
        <v>5414</v>
      </c>
    </row>
    <row r="30" customFormat="false" ht="17.15" hidden="false" customHeight="false" outlineLevel="0" collapsed="false">
      <c r="A30" s="0" t="s">
        <v>42</v>
      </c>
      <c r="B30" s="0" t="s">
        <v>5415</v>
      </c>
      <c r="C30" s="0" t="s">
        <v>5416</v>
      </c>
    </row>
    <row r="31" customFormat="false" ht="17.15" hidden="false" customHeight="false" outlineLevel="0" collapsed="false">
      <c r="A31" s="0" t="s">
        <v>370</v>
      </c>
      <c r="B31" s="0" t="s">
        <v>5417</v>
      </c>
      <c r="C31" s="0" t="s">
        <v>5418</v>
      </c>
    </row>
    <row r="32" customFormat="false" ht="17.15" hidden="false" customHeight="false" outlineLevel="0" collapsed="false">
      <c r="A32" s="0" t="s">
        <v>162</v>
      </c>
      <c r="B32" s="0" t="s">
        <v>5419</v>
      </c>
      <c r="C32" s="0" t="s">
        <v>5420</v>
      </c>
    </row>
    <row r="33" customFormat="false" ht="17.15" hidden="false" customHeight="false" outlineLevel="0" collapsed="false">
      <c r="A33" s="0" t="s">
        <v>5421</v>
      </c>
      <c r="B33" s="0" t="s">
        <v>5422</v>
      </c>
      <c r="C33" s="0" t="s">
        <v>5423</v>
      </c>
    </row>
    <row r="34" customFormat="false" ht="17.15" hidden="false" customHeight="false" outlineLevel="0" collapsed="false">
      <c r="A34" s="0" t="s">
        <v>225</v>
      </c>
      <c r="B34" s="0" t="s">
        <v>5424</v>
      </c>
      <c r="C34" s="0" t="s">
        <v>5425</v>
      </c>
    </row>
    <row r="35" customFormat="false" ht="17.15" hidden="false" customHeight="false" outlineLevel="0" collapsed="false">
      <c r="A35" s="0" t="s">
        <v>229</v>
      </c>
      <c r="B35" s="0" t="s">
        <v>5426</v>
      </c>
      <c r="C35" s="0" t="s">
        <v>5427</v>
      </c>
    </row>
    <row r="36" customFormat="false" ht="17.15" hidden="false" customHeight="false" outlineLevel="0" collapsed="false">
      <c r="A36" s="0" t="s">
        <v>5428</v>
      </c>
      <c r="B36" s="0" t="s">
        <v>5429</v>
      </c>
      <c r="C36" s="0" t="s">
        <v>5430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5431</v>
      </c>
    </row>
    <row r="3" customFormat="false" ht="15" hidden="false" customHeight="false" outlineLevel="0" collapsed="false">
      <c r="A3" s="7" t="s">
        <v>1642</v>
      </c>
      <c r="B3" s="6" t="s">
        <v>5432</v>
      </c>
      <c r="C3" s="6" t="s">
        <v>5433</v>
      </c>
      <c r="D3" s="6" t="s">
        <v>5434</v>
      </c>
      <c r="E3" s="6" t="s">
        <v>4183</v>
      </c>
    </row>
    <row r="4" customFormat="false" ht="48.5" hidden="false" customHeight="false" outlineLevel="0" collapsed="false">
      <c r="A4" s="3" t="s">
        <v>5435</v>
      </c>
      <c r="B4" s="3" t="s">
        <v>5436</v>
      </c>
      <c r="C4" s="2" t="s">
        <v>5437</v>
      </c>
      <c r="D4" s="2" t="s">
        <v>5438</v>
      </c>
      <c r="E4" s="2" t="s">
        <v>5439</v>
      </c>
    </row>
    <row r="5" customFormat="false" ht="17.15" hidden="false" customHeight="false" outlineLevel="0" collapsed="false">
      <c r="A5" s="3" t="s">
        <v>5440</v>
      </c>
      <c r="B5" s="3" t="s">
        <v>5441</v>
      </c>
      <c r="C5" s="3" t="s">
        <v>5442</v>
      </c>
      <c r="D5" s="2" t="s">
        <v>5443</v>
      </c>
      <c r="E5" s="2" t="s">
        <v>5444</v>
      </c>
    </row>
    <row r="6" customFormat="false" ht="17.15" hidden="false" customHeight="false" outlineLevel="0" collapsed="false">
      <c r="A6" s="3" t="s">
        <v>5445</v>
      </c>
      <c r="B6" s="3" t="s">
        <v>5436</v>
      </c>
      <c r="C6" s="3" t="s">
        <v>5446</v>
      </c>
      <c r="D6" s="2" t="s">
        <v>5447</v>
      </c>
      <c r="E6" s="3" t="s">
        <v>5448</v>
      </c>
    </row>
    <row r="7" customFormat="false" ht="48.5" hidden="false" customHeight="false" outlineLevel="0" collapsed="false">
      <c r="A7" s="3" t="s">
        <v>5449</v>
      </c>
      <c r="B7" s="2" t="s">
        <v>5450</v>
      </c>
      <c r="C7" s="2" t="s">
        <v>5451</v>
      </c>
      <c r="D7" s="3" t="s">
        <v>5452</v>
      </c>
      <c r="E7" s="3" t="s">
        <v>5448</v>
      </c>
    </row>
    <row r="8" customFormat="false" ht="17.15" hidden="false" customHeight="false" outlineLevel="0" collapsed="false">
      <c r="A8" s="3" t="s">
        <v>5453</v>
      </c>
      <c r="B8" s="3" t="s">
        <v>5436</v>
      </c>
      <c r="C8" s="2" t="s">
        <v>5454</v>
      </c>
      <c r="D8" s="3" t="s">
        <v>5455</v>
      </c>
      <c r="E8" s="2" t="s">
        <v>5456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2026-10-28T07:25:20Z</dcterms:created>
  <dc:creator>openpyxl</dc:creator>
  <dc:description/>
  <dc:language>en-US</dc:language>
  <cp:lastModifiedBy/>
  <dcterms:modified xsi:type="dcterms:W3CDTF">2026-10-28T07:25:21Z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