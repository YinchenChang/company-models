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TK_In" sheetId="3" state="visible" r:id="rId5"/>
    <sheet name="SIL_In" sheetId="4" state="visible" r:id="rId6"/>
    <sheet name="Players" sheetId="5" state="visible" r:id="rId7"/>
    <sheet name="Matrix" sheetId="6" state="visible" r:id="rId8"/>
    <sheet name="Pipeline" sheetId="7" state="visible" r:id="rId9"/>
    <sheet name="CapexGW" sheetId="8" state="visible" r:id="rId10"/>
    <sheet name="Deploy" sheetId="9" state="visible" r:id="rId11"/>
    <sheet name="C0" sheetId="10" state="visible" r:id="rId12"/>
    <sheet name="C1" sheetId="11" state="visible" r:id="rId13"/>
    <sheet name="Compare" sheetId="12" state="visible" r:id="rId14"/>
    <sheet name="Interface" sheetId="13" state="visible" r:id="rId15"/>
    <sheet name="Checks" sheetId="14" state="visible" r:id="rId16"/>
    <sheet name="Decisions" sheetId="15" state="visible" r:id="rId17"/>
    <sheet name="DB_Evidence" sheetId="16" state="visible" r:id="rId18"/>
    <sheet name="Sources" sheetId="17" state="visible" r:id="rId19"/>
    <sheet name="Requests" sheetId="18" state="visible" r:id="rId20"/>
  </sheets>
  <definedNames>
    <definedName function="false" hidden="false" name="ai_amzn" vbProcedure="false">In!$I$14</definedName>
    <definedName function="false" hidden="false" name="ai_amzn_hi" vbProcedure="false">In!$J$14</definedName>
    <definedName function="false" hidden="false" name="ai_amzn_lo" vbProcedure="false">In!$H$14</definedName>
    <definedName function="false" hidden="false" name="ai_sh" vbProcedure="false">In!$I$13</definedName>
    <definedName function="false" hidden="false" name="ai_sh_hi" vbProcedure="false">In!$J$13</definedName>
    <definedName function="false" hidden="false" name="ai_sh_lo" vbProcedure="false">In!$H$13</definedName>
    <definedName function="false" hidden="false" name="asof" vbProcedure="false">In!$I$8</definedName>
    <definedName function="false" hidden="false" name="cap_g_ext" vbProcedure="false">In!$I$15</definedName>
    <definedName function="false" hidden="false" name="cap_g_ext_hi" vbProcedure="false">In!$J$15</definedName>
    <definedName function="false" hidden="false" name="cap_g_ext_lo" vbProcedure="false">In!$H$15</definedName>
    <definedName function="false" hidden="false" name="cn_sh26" vbProcedure="false">In!$I$19</definedName>
    <definedName function="false" hidden="false" name="cn_sh26_hi" vbProcedure="false">In!$J$19</definedName>
    <definedName function="false" hidden="false" name="cn_sh26_lo" vbProcedure="false">In!$H$19</definedName>
    <definedName function="false" hidden="false" name="cn_sh30" vbProcedure="false">In!$I$20</definedName>
    <definedName function="false" hidden="false" name="cn_sh30_hi" vbProcedure="false">In!$J$20</definedName>
    <definedName function="false" hidden="false" name="cn_sh30_lo" vbProcedure="false">In!$H$20</definedName>
    <definedName function="false" hidden="false" name="cn_tot26" vbProcedure="false">In!$I$17</definedName>
    <definedName function="false" hidden="false" name="cn_tot26_hi" vbProcedure="false">In!$J$17</definedName>
    <definedName function="false" hidden="false" name="cn_tot26_lo" vbProcedure="false">In!$H$17</definedName>
    <definedName function="false" hidden="false" name="cn_tot30" vbProcedure="false">In!$I$18</definedName>
    <definedName function="false" hidden="false" name="cn_tot30_hi" vbProcedure="false">In!$J$18</definedName>
    <definedName function="false" hidden="false" name="cn_tot30_lo" vbProcedure="false">In!$H$18</definedName>
    <definedName function="false" hidden="false" name="ctr_amzn_ant" vbProcedure="false">In!$I$56</definedName>
    <definedName function="false" hidden="false" name="ctr_crwv" vbProcedure="false">In!$I$53</definedName>
    <definedName function="false" hidden="false" name="ctr_googl_ant" vbProcedure="false">In!$I$58</definedName>
    <definedName function="false" hidden="false" name="ctr_msft_ant" vbProcedure="false">In!$I$57</definedName>
    <definedName function="false" hidden="false" name="ctr_nbis" vbProcedure="false">In!$I$54</definedName>
    <definedName function="false" hidden="false" name="ctr_oai_90d" vbProcedure="false">In!$I$52</definedName>
    <definedName function="false" hidden="false" name="ctr_orcl_oai" vbProcedure="false">In!$I$55</definedName>
    <definedName function="false" hidden="false" name="dly_d1_m" vbProcedure="false">In!$I$23</definedName>
    <definedName function="false" hidden="false" name="dly_d1_m_hi" vbProcedure="false">In!$J$23</definedName>
    <definedName function="false" hidden="false" name="dly_d1_m_lo" vbProcedure="false">In!$H$23</definedName>
    <definedName function="false" hidden="false" name="dly_d1_s" vbProcedure="false">In!$I$22</definedName>
    <definedName function="false" hidden="false" name="dly_d1_s_hi" vbProcedure="false">In!$J$22</definedName>
    <definedName function="false" hidden="false" name="dly_d1_s_lo" vbProcedure="false">In!$H$22</definedName>
    <definedName function="false" hidden="false" name="dly_d2_bind" vbProcedure="false">In!$I$24</definedName>
    <definedName function="false" hidden="false" name="dly_d2_bind_hi" vbProcedure="false">In!$J$24</definedName>
    <definedName function="false" hidden="false" name="dly_d2_bind_lo" vbProcedure="false">In!$H$24</definedName>
    <definedName function="false" hidden="false" name="dly_d2_m" vbProcedure="false">In!$I$25</definedName>
    <definedName function="false" hidden="false" name="dly_d2_m_hi" vbProcedure="false">In!$J$25</definedName>
    <definedName function="false" hidden="false" name="dly_d2_m_lo" vbProcedure="false">In!$H$25</definedName>
    <definedName function="false" hidden="false" name="dly_d2_y0" vbProcedure="false">In!$I$26</definedName>
    <definedName function="false" hidden="false" name="dly_d2_y1" vbProcedure="false">In!$I$27</definedName>
    <definedName function="false" hidden="false" name="fye_amzn" vbProcedure="false">In!$I$74</definedName>
    <definedName function="false" hidden="false" name="fye_crwv" vbProcedure="false">In!$I$76</definedName>
    <definedName function="false" hidden="false" name="fye_googl" vbProcedure="false">In!$I$73</definedName>
    <definedName function="false" hidden="false" name="fye_meta" vbProcedure="false">In!$I$79</definedName>
    <definedName function="false" hidden="false" name="fye_msft" vbProcedure="false">In!$I$72</definedName>
    <definedName function="false" hidden="false" name="fye_nbis" vbProcedure="false">In!$I$77</definedName>
    <definedName function="false" hidden="false" name="fye_orcl" vbProcedure="false">In!$I$75</definedName>
    <definedName function="false" hidden="false" name="fye_wyfi" vbProcedure="false">In!$I$78</definedName>
    <definedName function="false" hidden="false" name="GGOV_Errors" vbProcedure="false">Checks!$C$123</definedName>
    <definedName function="false" hidden="false" name="GGOV_Warn" vbProcedure="false">Checks!$C$124</definedName>
    <definedName function="false" hidden="false" name="GIF_Coverage_2024" vbProcedure="false">Interface!$D$7</definedName>
    <definedName function="false" hidden="false" name="GIF_Coverage_2025" vbProcedure="false">Interface!$E$7</definedName>
    <definedName function="false" hidden="false" name="GIF_Coverage_2026" vbProcedure="false">Interface!$F$7</definedName>
    <definedName function="false" hidden="false" name="GIF_Coverage_2027" vbProcedure="false">Interface!$G$7</definedName>
    <definedName function="false" hidden="false" name="GIF_Coverage_2028" vbProcedure="false">Interface!$H$7</definedName>
    <definedName function="false" hidden="false" name="GIF_Coverage_2029" vbProcedure="false">Interface!$I$7</definedName>
    <definedName function="false" hidden="false" name="GIF_Coverage_2030" vbProcedure="false">Interface!$J$7</definedName>
    <definedName function="false" hidden="false" name="GIF_Coverage_2031" vbProcedure="false">Interface!$K$7</definedName>
    <definedName function="false" hidden="false" name="GIF_Coverage_2032" vbProcedure="false">Interface!$L$7</definedName>
    <definedName function="false" hidden="false" name="GIF_MktGW_Add_A_D0_2024" vbProcedure="false">Interface!$D$27</definedName>
    <definedName function="false" hidden="false" name="GIF_MktGW_Add_A_D0_2025" vbProcedure="false">Interface!$E$27</definedName>
    <definedName function="false" hidden="false" name="GIF_MktGW_Add_A_D0_2026" vbProcedure="false">Interface!$F$27</definedName>
    <definedName function="false" hidden="false" name="GIF_MktGW_Add_A_D0_2027" vbProcedure="false">Interface!$G$27</definedName>
    <definedName function="false" hidden="false" name="GIF_MktGW_Add_A_D0_2028" vbProcedure="false">Interface!$H$27</definedName>
    <definedName function="false" hidden="false" name="GIF_MktGW_Add_A_D0_2029" vbProcedure="false">Interface!$I$27</definedName>
    <definedName function="false" hidden="false" name="GIF_MktGW_Add_A_D0_2030" vbProcedure="false">Interface!$J$27</definedName>
    <definedName function="false" hidden="false" name="GIF_MktGW_Add_A_D0_2031" vbProcedure="false">Interface!$K$27</definedName>
    <definedName function="false" hidden="false" name="GIF_MktGW_Add_A_D0_2032" vbProcedure="false">Interface!$L$27</definedName>
    <definedName function="false" hidden="false" name="GIF_MktGW_Add_A_D0_SiteOnly_2024" vbProcedure="false">Interface!$D$62</definedName>
    <definedName function="false" hidden="false" name="GIF_MktGW_Add_A_D0_SiteOnly_2025" vbProcedure="false">Interface!$E$62</definedName>
    <definedName function="false" hidden="false" name="GIF_MktGW_Add_A_D0_SiteOnly_2026" vbProcedure="false">Interface!$F$62</definedName>
    <definedName function="false" hidden="false" name="GIF_MktGW_Add_A_D0_SiteOnly_2027" vbProcedure="false">Interface!$G$62</definedName>
    <definedName function="false" hidden="false" name="GIF_MktGW_Add_A_D0_SiteOnly_2028" vbProcedure="false">Interface!$H$62</definedName>
    <definedName function="false" hidden="false" name="GIF_MktGW_Add_A_D0_SiteOnly_2029" vbProcedure="false">Interface!$I$62</definedName>
    <definedName function="false" hidden="false" name="GIF_MktGW_Add_A_D0_SiteOnly_2030" vbProcedure="false">Interface!$J$62</definedName>
    <definedName function="false" hidden="false" name="GIF_MktGW_Add_A_D0_SiteOnly_2031" vbProcedure="false">Interface!$K$62</definedName>
    <definedName function="false" hidden="false" name="GIF_MktGW_Add_A_D0_SiteOnly_2032" vbProcedure="false">Interface!$L$62</definedName>
    <definedName function="false" hidden="false" name="GIF_MktGW_Add_A_D1_2024" vbProcedure="false">Interface!$D$28</definedName>
    <definedName function="false" hidden="false" name="GIF_MktGW_Add_A_D1_2025" vbProcedure="false">Interface!$E$28</definedName>
    <definedName function="false" hidden="false" name="GIF_MktGW_Add_A_D1_2026" vbProcedure="false">Interface!$F$28</definedName>
    <definedName function="false" hidden="false" name="GIF_MktGW_Add_A_D1_2027" vbProcedure="false">Interface!$G$28</definedName>
    <definedName function="false" hidden="false" name="GIF_MktGW_Add_A_D1_2028" vbProcedure="false">Interface!$H$28</definedName>
    <definedName function="false" hidden="false" name="GIF_MktGW_Add_A_D1_2029" vbProcedure="false">Interface!$I$28</definedName>
    <definedName function="false" hidden="false" name="GIF_MktGW_Add_A_D1_2030" vbProcedure="false">Interface!$J$28</definedName>
    <definedName function="false" hidden="false" name="GIF_MktGW_Add_A_D1_2031" vbProcedure="false">Interface!$K$28</definedName>
    <definedName function="false" hidden="false" name="GIF_MktGW_Add_A_D1_2032" vbProcedure="false">Interface!$L$28</definedName>
    <definedName function="false" hidden="false" name="GIF_MktGW_Add_A_D1_SiteOnly_2024" vbProcedure="false">Interface!$D$63</definedName>
    <definedName function="false" hidden="false" name="GIF_MktGW_Add_A_D1_SiteOnly_2025" vbProcedure="false">Interface!$E$63</definedName>
    <definedName function="false" hidden="false" name="GIF_MktGW_Add_A_D1_SiteOnly_2026" vbProcedure="false">Interface!$F$63</definedName>
    <definedName function="false" hidden="false" name="GIF_MktGW_Add_A_D1_SiteOnly_2027" vbProcedure="false">Interface!$G$63</definedName>
    <definedName function="false" hidden="false" name="GIF_MktGW_Add_A_D1_SiteOnly_2028" vbProcedure="false">Interface!$H$63</definedName>
    <definedName function="false" hidden="false" name="GIF_MktGW_Add_A_D1_SiteOnly_2029" vbProcedure="false">Interface!$I$63</definedName>
    <definedName function="false" hidden="false" name="GIF_MktGW_Add_A_D1_SiteOnly_2030" vbProcedure="false">Interface!$J$63</definedName>
    <definedName function="false" hidden="false" name="GIF_MktGW_Add_A_D1_SiteOnly_2031" vbProcedure="false">Interface!$K$63</definedName>
    <definedName function="false" hidden="false" name="GIF_MktGW_Add_A_D1_SiteOnly_2032" vbProcedure="false">Interface!$L$63</definedName>
    <definedName function="false" hidden="false" name="GIF_MktGW_Add_A_D2_2024" vbProcedure="false">Interface!$D$29</definedName>
    <definedName function="false" hidden="false" name="GIF_MktGW_Add_A_D2_2025" vbProcedure="false">Interface!$E$29</definedName>
    <definedName function="false" hidden="false" name="GIF_MktGW_Add_A_D2_2026" vbProcedure="false">Interface!$F$29</definedName>
    <definedName function="false" hidden="false" name="GIF_MktGW_Add_A_D2_2027" vbProcedure="false">Interface!$G$29</definedName>
    <definedName function="false" hidden="false" name="GIF_MktGW_Add_A_D2_2028" vbProcedure="false">Interface!$H$29</definedName>
    <definedName function="false" hidden="false" name="GIF_MktGW_Add_A_D2_2029" vbProcedure="false">Interface!$I$29</definedName>
    <definedName function="false" hidden="false" name="GIF_MktGW_Add_A_D2_2030" vbProcedure="false">Interface!$J$29</definedName>
    <definedName function="false" hidden="false" name="GIF_MktGW_Add_A_D2_2031" vbProcedure="false">Interface!$K$29</definedName>
    <definedName function="false" hidden="false" name="GIF_MktGW_Add_A_D2_2032" vbProcedure="false">Interface!$L$29</definedName>
    <definedName function="false" hidden="false" name="GIF_MktGW_Add_A_D2_SiteOnly_2024" vbProcedure="false">Interface!$D$64</definedName>
    <definedName function="false" hidden="false" name="GIF_MktGW_Add_A_D2_SiteOnly_2025" vbProcedure="false">Interface!$E$64</definedName>
    <definedName function="false" hidden="false" name="GIF_MktGW_Add_A_D2_SiteOnly_2026" vbProcedure="false">Interface!$F$64</definedName>
    <definedName function="false" hidden="false" name="GIF_MktGW_Add_A_D2_SiteOnly_2027" vbProcedure="false">Interface!$G$64</definedName>
    <definedName function="false" hidden="false" name="GIF_MktGW_Add_A_D2_SiteOnly_2028" vbProcedure="false">Interface!$H$64</definedName>
    <definedName function="false" hidden="false" name="GIF_MktGW_Add_A_D2_SiteOnly_2029" vbProcedure="false">Interface!$I$64</definedName>
    <definedName function="false" hidden="false" name="GIF_MktGW_Add_A_D2_SiteOnly_2030" vbProcedure="false">Interface!$J$64</definedName>
    <definedName function="false" hidden="false" name="GIF_MktGW_Add_A_D2_SiteOnly_2031" vbProcedure="false">Interface!$K$64</definedName>
    <definedName function="false" hidden="false" name="GIF_MktGW_Add_A_D2_SiteOnly_2032" vbProcedure="false">Interface!$L$64</definedName>
    <definedName function="false" hidden="false" name="GIF_MktGW_Add_B_D0_2024" vbProcedure="false">Interface!$D$30</definedName>
    <definedName function="false" hidden="false" name="GIF_MktGW_Add_B_D0_2025" vbProcedure="false">Interface!$E$30</definedName>
    <definedName function="false" hidden="false" name="GIF_MktGW_Add_B_D0_2026" vbProcedure="false">Interface!$F$30</definedName>
    <definedName function="false" hidden="false" name="GIF_MktGW_Add_B_D0_2027" vbProcedure="false">Interface!$G$30</definedName>
    <definedName function="false" hidden="false" name="GIF_MktGW_Add_B_D0_2028" vbProcedure="false">Interface!$H$30</definedName>
    <definedName function="false" hidden="false" name="GIF_MktGW_Add_B_D0_2029" vbProcedure="false">Interface!$I$30</definedName>
    <definedName function="false" hidden="false" name="GIF_MktGW_Add_B_D0_2030" vbProcedure="false">Interface!$J$30</definedName>
    <definedName function="false" hidden="false" name="GIF_MktGW_Add_B_D0_2031" vbProcedure="false">Interface!$K$30</definedName>
    <definedName function="false" hidden="false" name="GIF_MktGW_Add_B_D0_2032" vbProcedure="false">Interface!$L$30</definedName>
    <definedName function="false" hidden="false" name="GIF_MktGW_Add_B_D0_SiteOnly_2024" vbProcedure="false">Interface!$D$65</definedName>
    <definedName function="false" hidden="false" name="GIF_MktGW_Add_B_D0_SiteOnly_2025" vbProcedure="false">Interface!$E$65</definedName>
    <definedName function="false" hidden="false" name="GIF_MktGW_Add_B_D0_SiteOnly_2026" vbProcedure="false">Interface!$F$65</definedName>
    <definedName function="false" hidden="false" name="GIF_MktGW_Add_B_D0_SiteOnly_2027" vbProcedure="false">Interface!$G$65</definedName>
    <definedName function="false" hidden="false" name="GIF_MktGW_Add_B_D0_SiteOnly_2028" vbProcedure="false">Interface!$H$65</definedName>
    <definedName function="false" hidden="false" name="GIF_MktGW_Add_B_D0_SiteOnly_2029" vbProcedure="false">Interface!$I$65</definedName>
    <definedName function="false" hidden="false" name="GIF_MktGW_Add_B_D0_SiteOnly_2030" vbProcedure="false">Interface!$J$65</definedName>
    <definedName function="false" hidden="false" name="GIF_MktGW_Add_B_D0_SiteOnly_2031" vbProcedure="false">Interface!$K$65</definedName>
    <definedName function="false" hidden="false" name="GIF_MktGW_Add_B_D0_SiteOnly_2032" vbProcedure="false">Interface!$L$65</definedName>
    <definedName function="false" hidden="false" name="GIF_MktGW_Add_B_D1_2024" vbProcedure="false">Interface!$D$31</definedName>
    <definedName function="false" hidden="false" name="GIF_MktGW_Add_B_D1_2025" vbProcedure="false">Interface!$E$31</definedName>
    <definedName function="false" hidden="false" name="GIF_MktGW_Add_B_D1_2026" vbProcedure="false">Interface!$F$31</definedName>
    <definedName function="false" hidden="false" name="GIF_MktGW_Add_B_D1_2027" vbProcedure="false">Interface!$G$31</definedName>
    <definedName function="false" hidden="false" name="GIF_MktGW_Add_B_D1_2028" vbProcedure="false">Interface!$H$31</definedName>
    <definedName function="false" hidden="false" name="GIF_MktGW_Add_B_D1_2029" vbProcedure="false">Interface!$I$31</definedName>
    <definedName function="false" hidden="false" name="GIF_MktGW_Add_B_D1_2030" vbProcedure="false">Interface!$J$31</definedName>
    <definedName function="false" hidden="false" name="GIF_MktGW_Add_B_D1_2031" vbProcedure="false">Interface!$K$31</definedName>
    <definedName function="false" hidden="false" name="GIF_MktGW_Add_B_D1_2032" vbProcedure="false">Interface!$L$31</definedName>
    <definedName function="false" hidden="false" name="GIF_MktGW_Add_B_D1_SiteOnly_2024" vbProcedure="false">Interface!$D$66</definedName>
    <definedName function="false" hidden="false" name="GIF_MktGW_Add_B_D1_SiteOnly_2025" vbProcedure="false">Interface!$E$66</definedName>
    <definedName function="false" hidden="false" name="GIF_MktGW_Add_B_D1_SiteOnly_2026" vbProcedure="false">Interface!$F$66</definedName>
    <definedName function="false" hidden="false" name="GIF_MktGW_Add_B_D1_SiteOnly_2027" vbProcedure="false">Interface!$G$66</definedName>
    <definedName function="false" hidden="false" name="GIF_MktGW_Add_B_D1_SiteOnly_2028" vbProcedure="false">Interface!$H$66</definedName>
    <definedName function="false" hidden="false" name="GIF_MktGW_Add_B_D1_SiteOnly_2029" vbProcedure="false">Interface!$I$66</definedName>
    <definedName function="false" hidden="false" name="GIF_MktGW_Add_B_D1_SiteOnly_2030" vbProcedure="false">Interface!$J$66</definedName>
    <definedName function="false" hidden="false" name="GIF_MktGW_Add_B_D1_SiteOnly_2031" vbProcedure="false">Interface!$K$66</definedName>
    <definedName function="false" hidden="false" name="GIF_MktGW_Add_B_D1_SiteOnly_2032" vbProcedure="false">Interface!$L$66</definedName>
    <definedName function="false" hidden="false" name="GIF_MktGW_Add_B_D2_2024" vbProcedure="false">Interface!$D$32</definedName>
    <definedName function="false" hidden="false" name="GIF_MktGW_Add_B_D2_2025" vbProcedure="false">Interface!$E$32</definedName>
    <definedName function="false" hidden="false" name="GIF_MktGW_Add_B_D2_2026" vbProcedure="false">Interface!$F$32</definedName>
    <definedName function="false" hidden="false" name="GIF_MktGW_Add_B_D2_2027" vbProcedure="false">Interface!$G$32</definedName>
    <definedName function="false" hidden="false" name="GIF_MktGW_Add_B_D2_2028" vbProcedure="false">Interface!$H$32</definedName>
    <definedName function="false" hidden="false" name="GIF_MktGW_Add_B_D2_2029" vbProcedure="false">Interface!$I$32</definedName>
    <definedName function="false" hidden="false" name="GIF_MktGW_Add_B_D2_2030" vbProcedure="false">Interface!$J$32</definedName>
    <definedName function="false" hidden="false" name="GIF_MktGW_Add_B_D2_2031" vbProcedure="false">Interface!$K$32</definedName>
    <definedName function="false" hidden="false" name="GIF_MktGW_Add_B_D2_2032" vbProcedure="false">Interface!$L$32</definedName>
    <definedName function="false" hidden="false" name="GIF_MktGW_Add_B_D2_SiteOnly_2024" vbProcedure="false">Interface!$D$67</definedName>
    <definedName function="false" hidden="false" name="GIF_MktGW_Add_B_D2_SiteOnly_2025" vbProcedure="false">Interface!$E$67</definedName>
    <definedName function="false" hidden="false" name="GIF_MktGW_Add_B_D2_SiteOnly_2026" vbProcedure="false">Interface!$F$67</definedName>
    <definedName function="false" hidden="false" name="GIF_MktGW_Add_B_D2_SiteOnly_2027" vbProcedure="false">Interface!$G$67</definedName>
    <definedName function="false" hidden="false" name="GIF_MktGW_Add_B_D2_SiteOnly_2028" vbProcedure="false">Interface!$H$67</definedName>
    <definedName function="false" hidden="false" name="GIF_MktGW_Add_B_D2_SiteOnly_2029" vbProcedure="false">Interface!$I$67</definedName>
    <definedName function="false" hidden="false" name="GIF_MktGW_Add_B_D2_SiteOnly_2030" vbProcedure="false">Interface!$J$67</definedName>
    <definedName function="false" hidden="false" name="GIF_MktGW_Add_B_D2_SiteOnly_2031" vbProcedure="false">Interface!$K$67</definedName>
    <definedName function="false" hidden="false" name="GIF_MktGW_Add_B_D2_SiteOnly_2032" vbProcedure="false">Interface!$L$67</definedName>
    <definedName function="false" hidden="false" name="GIF_MktGW_Add_C_D0_2024" vbProcedure="false">Interface!$D$33</definedName>
    <definedName function="false" hidden="false" name="GIF_MktGW_Add_C_D0_2025" vbProcedure="false">Interface!$E$33</definedName>
    <definedName function="false" hidden="false" name="GIF_MktGW_Add_C_D0_2026" vbProcedure="false">Interface!$F$33</definedName>
    <definedName function="false" hidden="false" name="GIF_MktGW_Add_C_D0_2027" vbProcedure="false">Interface!$G$33</definedName>
    <definedName function="false" hidden="false" name="GIF_MktGW_Add_C_D0_2028" vbProcedure="false">Interface!$H$33</definedName>
    <definedName function="false" hidden="false" name="GIF_MktGW_Add_C_D0_2029" vbProcedure="false">Interface!$I$33</definedName>
    <definedName function="false" hidden="false" name="GIF_MktGW_Add_C_D0_2030" vbProcedure="false">Interface!$J$33</definedName>
    <definedName function="false" hidden="false" name="GIF_MktGW_Add_C_D0_2031" vbProcedure="false">Interface!$K$33</definedName>
    <definedName function="false" hidden="false" name="GIF_MktGW_Add_C_D0_2032" vbProcedure="false">Interface!$L$33</definedName>
    <definedName function="false" hidden="false" name="GIF_MktGW_Add_C_D0_SiteOnly_2024" vbProcedure="false">Interface!$D$68</definedName>
    <definedName function="false" hidden="false" name="GIF_MktGW_Add_C_D0_SiteOnly_2025" vbProcedure="false">Interface!$E$68</definedName>
    <definedName function="false" hidden="false" name="GIF_MktGW_Add_C_D0_SiteOnly_2026" vbProcedure="false">Interface!$F$68</definedName>
    <definedName function="false" hidden="false" name="GIF_MktGW_Add_C_D0_SiteOnly_2027" vbProcedure="false">Interface!$G$68</definedName>
    <definedName function="false" hidden="false" name="GIF_MktGW_Add_C_D0_SiteOnly_2028" vbProcedure="false">Interface!$H$68</definedName>
    <definedName function="false" hidden="false" name="GIF_MktGW_Add_C_D0_SiteOnly_2029" vbProcedure="false">Interface!$I$68</definedName>
    <definedName function="false" hidden="false" name="GIF_MktGW_Add_C_D0_SiteOnly_2030" vbProcedure="false">Interface!$J$68</definedName>
    <definedName function="false" hidden="false" name="GIF_MktGW_Add_C_D0_SiteOnly_2031" vbProcedure="false">Interface!$K$68</definedName>
    <definedName function="false" hidden="false" name="GIF_MktGW_Add_C_D0_SiteOnly_2032" vbProcedure="false">Interface!$L$68</definedName>
    <definedName function="false" hidden="false" name="GIF_MktGW_Add_C_D1_2024" vbProcedure="false">Interface!$D$34</definedName>
    <definedName function="false" hidden="false" name="GIF_MktGW_Add_C_D1_2025" vbProcedure="false">Interface!$E$34</definedName>
    <definedName function="false" hidden="false" name="GIF_MktGW_Add_C_D1_2026" vbProcedure="false">Interface!$F$34</definedName>
    <definedName function="false" hidden="false" name="GIF_MktGW_Add_C_D1_2027" vbProcedure="false">Interface!$G$34</definedName>
    <definedName function="false" hidden="false" name="GIF_MktGW_Add_C_D1_2028" vbProcedure="false">Interface!$H$34</definedName>
    <definedName function="false" hidden="false" name="GIF_MktGW_Add_C_D1_2029" vbProcedure="false">Interface!$I$34</definedName>
    <definedName function="false" hidden="false" name="GIF_MktGW_Add_C_D1_2030" vbProcedure="false">Interface!$J$34</definedName>
    <definedName function="false" hidden="false" name="GIF_MktGW_Add_C_D1_2031" vbProcedure="false">Interface!$K$34</definedName>
    <definedName function="false" hidden="false" name="GIF_MktGW_Add_C_D1_2032" vbProcedure="false">Interface!$L$34</definedName>
    <definedName function="false" hidden="false" name="GIF_MktGW_Add_C_D1_SiteOnly_2024" vbProcedure="false">Interface!$D$69</definedName>
    <definedName function="false" hidden="false" name="GIF_MktGW_Add_C_D1_SiteOnly_2025" vbProcedure="false">Interface!$E$69</definedName>
    <definedName function="false" hidden="false" name="GIF_MktGW_Add_C_D1_SiteOnly_2026" vbProcedure="false">Interface!$F$69</definedName>
    <definedName function="false" hidden="false" name="GIF_MktGW_Add_C_D1_SiteOnly_2027" vbProcedure="false">Interface!$G$69</definedName>
    <definedName function="false" hidden="false" name="GIF_MktGW_Add_C_D1_SiteOnly_2028" vbProcedure="false">Interface!$H$69</definedName>
    <definedName function="false" hidden="false" name="GIF_MktGW_Add_C_D1_SiteOnly_2029" vbProcedure="false">Interface!$I$69</definedName>
    <definedName function="false" hidden="false" name="GIF_MktGW_Add_C_D1_SiteOnly_2030" vbProcedure="false">Interface!$J$69</definedName>
    <definedName function="false" hidden="false" name="GIF_MktGW_Add_C_D1_SiteOnly_2031" vbProcedure="false">Interface!$K$69</definedName>
    <definedName function="false" hidden="false" name="GIF_MktGW_Add_C_D1_SiteOnly_2032" vbProcedure="false">Interface!$L$69</definedName>
    <definedName function="false" hidden="false" name="GIF_MktGW_Add_C_D2_2024" vbProcedure="false">Interface!$D$35</definedName>
    <definedName function="false" hidden="false" name="GIF_MktGW_Add_C_D2_2025" vbProcedure="false">Interface!$E$35</definedName>
    <definedName function="false" hidden="false" name="GIF_MktGW_Add_C_D2_2026" vbProcedure="false">Interface!$F$35</definedName>
    <definedName function="false" hidden="false" name="GIF_MktGW_Add_C_D2_2027" vbProcedure="false">Interface!$G$35</definedName>
    <definedName function="false" hidden="false" name="GIF_MktGW_Add_C_D2_2028" vbProcedure="false">Interface!$H$35</definedName>
    <definedName function="false" hidden="false" name="GIF_MktGW_Add_C_D2_2029" vbProcedure="false">Interface!$I$35</definedName>
    <definedName function="false" hidden="false" name="GIF_MktGW_Add_C_D2_2030" vbProcedure="false">Interface!$J$35</definedName>
    <definedName function="false" hidden="false" name="GIF_MktGW_Add_C_D2_2031" vbProcedure="false">Interface!$K$35</definedName>
    <definedName function="false" hidden="false" name="GIF_MktGW_Add_C_D2_2032" vbProcedure="false">Interface!$L$35</definedName>
    <definedName function="false" hidden="false" name="GIF_MktGW_Add_C_D2_SiteOnly_2024" vbProcedure="false">Interface!$D$70</definedName>
    <definedName function="false" hidden="false" name="GIF_MktGW_Add_C_D2_SiteOnly_2025" vbProcedure="false">Interface!$E$70</definedName>
    <definedName function="false" hidden="false" name="GIF_MktGW_Add_C_D2_SiteOnly_2026" vbProcedure="false">Interface!$F$70</definedName>
    <definedName function="false" hidden="false" name="GIF_MktGW_Add_C_D2_SiteOnly_2027" vbProcedure="false">Interface!$G$70</definedName>
    <definedName function="false" hidden="false" name="GIF_MktGW_Add_C_D2_SiteOnly_2028" vbProcedure="false">Interface!$H$70</definedName>
    <definedName function="false" hidden="false" name="GIF_MktGW_Add_C_D2_SiteOnly_2029" vbProcedure="false">Interface!$I$70</definedName>
    <definedName function="false" hidden="false" name="GIF_MktGW_Add_C_D2_SiteOnly_2030" vbProcedure="false">Interface!$J$70</definedName>
    <definedName function="false" hidden="false" name="GIF_MktGW_Add_C_D2_SiteOnly_2031" vbProcedure="false">Interface!$K$70</definedName>
    <definedName function="false" hidden="false" name="GIF_MktGW_Add_C_D2_SiteOnly_2032" vbProcedure="false">Interface!$L$70</definedName>
    <definedName function="false" hidden="false" name="GIF_MktGW_Avg_A_D0_2024" vbProcedure="false">Interface!$D$18</definedName>
    <definedName function="false" hidden="false" name="GIF_MktGW_Avg_A_D0_2025" vbProcedure="false">Interface!$E$18</definedName>
    <definedName function="false" hidden="false" name="GIF_MktGW_Avg_A_D0_2026" vbProcedure="false">Interface!$F$18</definedName>
    <definedName function="false" hidden="false" name="GIF_MktGW_Avg_A_D0_2027" vbProcedure="false">Interface!$G$18</definedName>
    <definedName function="false" hidden="false" name="GIF_MktGW_Avg_A_D0_2028" vbProcedure="false">Interface!$H$18</definedName>
    <definedName function="false" hidden="false" name="GIF_MktGW_Avg_A_D0_2029" vbProcedure="false">Interface!$I$18</definedName>
    <definedName function="false" hidden="false" name="GIF_MktGW_Avg_A_D0_2030" vbProcedure="false">Interface!$J$18</definedName>
    <definedName function="false" hidden="false" name="GIF_MktGW_Avg_A_D0_2031" vbProcedure="false">Interface!$K$18</definedName>
    <definedName function="false" hidden="false" name="GIF_MktGW_Avg_A_D0_2032" vbProcedure="false">Interface!$L$18</definedName>
    <definedName function="false" hidden="false" name="GIF_MktGW_Avg_A_D0_SiteOnly_2024" vbProcedure="false">Interface!$D$53</definedName>
    <definedName function="false" hidden="false" name="GIF_MktGW_Avg_A_D0_SiteOnly_2025" vbProcedure="false">Interface!$E$53</definedName>
    <definedName function="false" hidden="false" name="GIF_MktGW_Avg_A_D0_SiteOnly_2026" vbProcedure="false">Interface!$F$53</definedName>
    <definedName function="false" hidden="false" name="GIF_MktGW_Avg_A_D0_SiteOnly_2027" vbProcedure="false">Interface!$G$53</definedName>
    <definedName function="false" hidden="false" name="GIF_MktGW_Avg_A_D0_SiteOnly_2028" vbProcedure="false">Interface!$H$53</definedName>
    <definedName function="false" hidden="false" name="GIF_MktGW_Avg_A_D0_SiteOnly_2029" vbProcedure="false">Interface!$I$53</definedName>
    <definedName function="false" hidden="false" name="GIF_MktGW_Avg_A_D0_SiteOnly_2030" vbProcedure="false">Interface!$J$53</definedName>
    <definedName function="false" hidden="false" name="GIF_MktGW_Avg_A_D0_SiteOnly_2031" vbProcedure="false">Interface!$K$53</definedName>
    <definedName function="false" hidden="false" name="GIF_MktGW_Avg_A_D0_SiteOnly_2032" vbProcedure="false">Interface!$L$53</definedName>
    <definedName function="false" hidden="false" name="GIF_MktGW_Avg_A_D1_2024" vbProcedure="false">Interface!$D$19</definedName>
    <definedName function="false" hidden="false" name="GIF_MktGW_Avg_A_D1_2025" vbProcedure="false">Interface!$E$19</definedName>
    <definedName function="false" hidden="false" name="GIF_MktGW_Avg_A_D1_2026" vbProcedure="false">Interface!$F$19</definedName>
    <definedName function="false" hidden="false" name="GIF_MktGW_Avg_A_D1_2027" vbProcedure="false">Interface!$G$19</definedName>
    <definedName function="false" hidden="false" name="GIF_MktGW_Avg_A_D1_2028" vbProcedure="false">Interface!$H$19</definedName>
    <definedName function="false" hidden="false" name="GIF_MktGW_Avg_A_D1_2029" vbProcedure="false">Interface!$I$19</definedName>
    <definedName function="false" hidden="false" name="GIF_MktGW_Avg_A_D1_2030" vbProcedure="false">Interface!$J$19</definedName>
    <definedName function="false" hidden="false" name="GIF_MktGW_Avg_A_D1_2031" vbProcedure="false">Interface!$K$19</definedName>
    <definedName function="false" hidden="false" name="GIF_MktGW_Avg_A_D1_2032" vbProcedure="false">Interface!$L$19</definedName>
    <definedName function="false" hidden="false" name="GIF_MktGW_Avg_A_D1_SiteOnly_2024" vbProcedure="false">Interface!$D$54</definedName>
    <definedName function="false" hidden="false" name="GIF_MktGW_Avg_A_D1_SiteOnly_2025" vbProcedure="false">Interface!$E$54</definedName>
    <definedName function="false" hidden="false" name="GIF_MktGW_Avg_A_D1_SiteOnly_2026" vbProcedure="false">Interface!$F$54</definedName>
    <definedName function="false" hidden="false" name="GIF_MktGW_Avg_A_D1_SiteOnly_2027" vbProcedure="false">Interface!$G$54</definedName>
    <definedName function="false" hidden="false" name="GIF_MktGW_Avg_A_D1_SiteOnly_2028" vbProcedure="false">Interface!$H$54</definedName>
    <definedName function="false" hidden="false" name="GIF_MktGW_Avg_A_D1_SiteOnly_2029" vbProcedure="false">Interface!$I$54</definedName>
    <definedName function="false" hidden="false" name="GIF_MktGW_Avg_A_D1_SiteOnly_2030" vbProcedure="false">Interface!$J$54</definedName>
    <definedName function="false" hidden="false" name="GIF_MktGW_Avg_A_D1_SiteOnly_2031" vbProcedure="false">Interface!$K$54</definedName>
    <definedName function="false" hidden="false" name="GIF_MktGW_Avg_A_D1_SiteOnly_2032" vbProcedure="false">Interface!$L$54</definedName>
    <definedName function="false" hidden="false" name="GIF_MktGW_Avg_A_D2_2024" vbProcedure="false">Interface!$D$20</definedName>
    <definedName function="false" hidden="false" name="GIF_MktGW_Avg_A_D2_2025" vbProcedure="false">Interface!$E$20</definedName>
    <definedName function="false" hidden="false" name="GIF_MktGW_Avg_A_D2_2026" vbProcedure="false">Interface!$F$20</definedName>
    <definedName function="false" hidden="false" name="GIF_MktGW_Avg_A_D2_2027" vbProcedure="false">Interface!$G$20</definedName>
    <definedName function="false" hidden="false" name="GIF_MktGW_Avg_A_D2_2028" vbProcedure="false">Interface!$H$20</definedName>
    <definedName function="false" hidden="false" name="GIF_MktGW_Avg_A_D2_2029" vbProcedure="false">Interface!$I$20</definedName>
    <definedName function="false" hidden="false" name="GIF_MktGW_Avg_A_D2_2030" vbProcedure="false">Interface!$J$20</definedName>
    <definedName function="false" hidden="false" name="GIF_MktGW_Avg_A_D2_2031" vbProcedure="false">Interface!$K$20</definedName>
    <definedName function="false" hidden="false" name="GIF_MktGW_Avg_A_D2_2032" vbProcedure="false">Interface!$L$20</definedName>
    <definedName function="false" hidden="false" name="GIF_MktGW_Avg_A_D2_SiteOnly_2024" vbProcedure="false">Interface!$D$55</definedName>
    <definedName function="false" hidden="false" name="GIF_MktGW_Avg_A_D2_SiteOnly_2025" vbProcedure="false">Interface!$E$55</definedName>
    <definedName function="false" hidden="false" name="GIF_MktGW_Avg_A_D2_SiteOnly_2026" vbProcedure="false">Interface!$F$55</definedName>
    <definedName function="false" hidden="false" name="GIF_MktGW_Avg_A_D2_SiteOnly_2027" vbProcedure="false">Interface!$G$55</definedName>
    <definedName function="false" hidden="false" name="GIF_MktGW_Avg_A_D2_SiteOnly_2028" vbProcedure="false">Interface!$H$55</definedName>
    <definedName function="false" hidden="false" name="GIF_MktGW_Avg_A_D2_SiteOnly_2029" vbProcedure="false">Interface!$I$55</definedName>
    <definedName function="false" hidden="false" name="GIF_MktGW_Avg_A_D2_SiteOnly_2030" vbProcedure="false">Interface!$J$55</definedName>
    <definedName function="false" hidden="false" name="GIF_MktGW_Avg_A_D2_SiteOnly_2031" vbProcedure="false">Interface!$K$55</definedName>
    <definedName function="false" hidden="false" name="GIF_MktGW_Avg_A_D2_SiteOnly_2032" vbProcedure="false">Interface!$L$55</definedName>
    <definedName function="false" hidden="false" name="GIF_MktGW_Avg_B_D0_2024" vbProcedure="false">Interface!$D$21</definedName>
    <definedName function="false" hidden="false" name="GIF_MktGW_Avg_B_D0_2025" vbProcedure="false">Interface!$E$21</definedName>
    <definedName function="false" hidden="false" name="GIF_MktGW_Avg_B_D0_2026" vbProcedure="false">Interface!$F$21</definedName>
    <definedName function="false" hidden="false" name="GIF_MktGW_Avg_B_D0_2027" vbProcedure="false">Interface!$G$21</definedName>
    <definedName function="false" hidden="false" name="GIF_MktGW_Avg_B_D0_2028" vbProcedure="false">Interface!$H$21</definedName>
    <definedName function="false" hidden="false" name="GIF_MktGW_Avg_B_D0_2029" vbProcedure="false">Interface!$I$21</definedName>
    <definedName function="false" hidden="false" name="GIF_MktGW_Avg_B_D0_2030" vbProcedure="false">Interface!$J$21</definedName>
    <definedName function="false" hidden="false" name="GIF_MktGW_Avg_B_D0_2031" vbProcedure="false">Interface!$K$21</definedName>
    <definedName function="false" hidden="false" name="GIF_MktGW_Avg_B_D0_2032" vbProcedure="false">Interface!$L$21</definedName>
    <definedName function="false" hidden="false" name="GIF_MktGW_Avg_B_D0_SiteOnly_2024" vbProcedure="false">Interface!$D$56</definedName>
    <definedName function="false" hidden="false" name="GIF_MktGW_Avg_B_D0_SiteOnly_2025" vbProcedure="false">Interface!$E$56</definedName>
    <definedName function="false" hidden="false" name="GIF_MktGW_Avg_B_D0_SiteOnly_2026" vbProcedure="false">Interface!$F$56</definedName>
    <definedName function="false" hidden="false" name="GIF_MktGW_Avg_B_D0_SiteOnly_2027" vbProcedure="false">Interface!$G$56</definedName>
    <definedName function="false" hidden="false" name="GIF_MktGW_Avg_B_D0_SiteOnly_2028" vbProcedure="false">Interface!$H$56</definedName>
    <definedName function="false" hidden="false" name="GIF_MktGW_Avg_B_D0_SiteOnly_2029" vbProcedure="false">Interface!$I$56</definedName>
    <definedName function="false" hidden="false" name="GIF_MktGW_Avg_B_D0_SiteOnly_2030" vbProcedure="false">Interface!$J$56</definedName>
    <definedName function="false" hidden="false" name="GIF_MktGW_Avg_B_D0_SiteOnly_2031" vbProcedure="false">Interface!$K$56</definedName>
    <definedName function="false" hidden="false" name="GIF_MktGW_Avg_B_D0_SiteOnly_2032" vbProcedure="false">Interface!$L$56</definedName>
    <definedName function="false" hidden="false" name="GIF_MktGW_Avg_B_D1_2024" vbProcedure="false">Interface!$D$22</definedName>
    <definedName function="false" hidden="false" name="GIF_MktGW_Avg_B_D1_2025" vbProcedure="false">Interface!$E$22</definedName>
    <definedName function="false" hidden="false" name="GIF_MktGW_Avg_B_D1_2026" vbProcedure="false">Interface!$F$22</definedName>
    <definedName function="false" hidden="false" name="GIF_MktGW_Avg_B_D1_2027" vbProcedure="false">Interface!$G$22</definedName>
    <definedName function="false" hidden="false" name="GIF_MktGW_Avg_B_D1_2028" vbProcedure="false">Interface!$H$22</definedName>
    <definedName function="false" hidden="false" name="GIF_MktGW_Avg_B_D1_2029" vbProcedure="false">Interface!$I$22</definedName>
    <definedName function="false" hidden="false" name="GIF_MktGW_Avg_B_D1_2030" vbProcedure="false">Interface!$J$22</definedName>
    <definedName function="false" hidden="false" name="GIF_MktGW_Avg_B_D1_2031" vbProcedure="false">Interface!$K$22</definedName>
    <definedName function="false" hidden="false" name="GIF_MktGW_Avg_B_D1_2032" vbProcedure="false">Interface!$L$22</definedName>
    <definedName function="false" hidden="false" name="GIF_MktGW_Avg_B_D1_SiteOnly_2024" vbProcedure="false">Interface!$D$57</definedName>
    <definedName function="false" hidden="false" name="GIF_MktGW_Avg_B_D1_SiteOnly_2025" vbProcedure="false">Interface!$E$57</definedName>
    <definedName function="false" hidden="false" name="GIF_MktGW_Avg_B_D1_SiteOnly_2026" vbProcedure="false">Interface!$F$57</definedName>
    <definedName function="false" hidden="false" name="GIF_MktGW_Avg_B_D1_SiteOnly_2027" vbProcedure="false">Interface!$G$57</definedName>
    <definedName function="false" hidden="false" name="GIF_MktGW_Avg_B_D1_SiteOnly_2028" vbProcedure="false">Interface!$H$57</definedName>
    <definedName function="false" hidden="false" name="GIF_MktGW_Avg_B_D1_SiteOnly_2029" vbProcedure="false">Interface!$I$57</definedName>
    <definedName function="false" hidden="false" name="GIF_MktGW_Avg_B_D1_SiteOnly_2030" vbProcedure="false">Interface!$J$57</definedName>
    <definedName function="false" hidden="false" name="GIF_MktGW_Avg_B_D1_SiteOnly_2031" vbProcedure="false">Interface!$K$57</definedName>
    <definedName function="false" hidden="false" name="GIF_MktGW_Avg_B_D1_SiteOnly_2032" vbProcedure="false">Interface!$L$57</definedName>
    <definedName function="false" hidden="false" name="GIF_MktGW_Avg_B_D2_2024" vbProcedure="false">Interface!$D$23</definedName>
    <definedName function="false" hidden="false" name="GIF_MktGW_Avg_B_D2_2025" vbProcedure="false">Interface!$E$23</definedName>
    <definedName function="false" hidden="false" name="GIF_MktGW_Avg_B_D2_2026" vbProcedure="false">Interface!$F$23</definedName>
    <definedName function="false" hidden="false" name="GIF_MktGW_Avg_B_D2_2027" vbProcedure="false">Interface!$G$23</definedName>
    <definedName function="false" hidden="false" name="GIF_MktGW_Avg_B_D2_2028" vbProcedure="false">Interface!$H$23</definedName>
    <definedName function="false" hidden="false" name="GIF_MktGW_Avg_B_D2_2029" vbProcedure="false">Interface!$I$23</definedName>
    <definedName function="false" hidden="false" name="GIF_MktGW_Avg_B_D2_2030" vbProcedure="false">Interface!$J$23</definedName>
    <definedName function="false" hidden="false" name="GIF_MktGW_Avg_B_D2_2031" vbProcedure="false">Interface!$K$23</definedName>
    <definedName function="false" hidden="false" name="GIF_MktGW_Avg_B_D2_2032" vbProcedure="false">Interface!$L$23</definedName>
    <definedName function="false" hidden="false" name="GIF_MktGW_Avg_B_D2_SiteOnly_2024" vbProcedure="false">Interface!$D$58</definedName>
    <definedName function="false" hidden="false" name="GIF_MktGW_Avg_B_D2_SiteOnly_2025" vbProcedure="false">Interface!$E$58</definedName>
    <definedName function="false" hidden="false" name="GIF_MktGW_Avg_B_D2_SiteOnly_2026" vbProcedure="false">Interface!$F$58</definedName>
    <definedName function="false" hidden="false" name="GIF_MktGW_Avg_B_D2_SiteOnly_2027" vbProcedure="false">Interface!$G$58</definedName>
    <definedName function="false" hidden="false" name="GIF_MktGW_Avg_B_D2_SiteOnly_2028" vbProcedure="false">Interface!$H$58</definedName>
    <definedName function="false" hidden="false" name="GIF_MktGW_Avg_B_D2_SiteOnly_2029" vbProcedure="false">Interface!$I$58</definedName>
    <definedName function="false" hidden="false" name="GIF_MktGW_Avg_B_D2_SiteOnly_2030" vbProcedure="false">Interface!$J$58</definedName>
    <definedName function="false" hidden="false" name="GIF_MktGW_Avg_B_D2_SiteOnly_2031" vbProcedure="false">Interface!$K$58</definedName>
    <definedName function="false" hidden="false" name="GIF_MktGW_Avg_B_D2_SiteOnly_2032" vbProcedure="false">Interface!$L$58</definedName>
    <definedName function="false" hidden="false" name="GIF_MktGW_Avg_C_D0_2024" vbProcedure="false">Interface!$D$24</definedName>
    <definedName function="false" hidden="false" name="GIF_MktGW_Avg_C_D0_2025" vbProcedure="false">Interface!$E$24</definedName>
    <definedName function="false" hidden="false" name="GIF_MktGW_Avg_C_D0_2026" vbProcedure="false">Interface!$F$24</definedName>
    <definedName function="false" hidden="false" name="GIF_MktGW_Avg_C_D0_2027" vbProcedure="false">Interface!$G$24</definedName>
    <definedName function="false" hidden="false" name="GIF_MktGW_Avg_C_D0_2028" vbProcedure="false">Interface!$H$24</definedName>
    <definedName function="false" hidden="false" name="GIF_MktGW_Avg_C_D0_2029" vbProcedure="false">Interface!$I$24</definedName>
    <definedName function="false" hidden="false" name="GIF_MktGW_Avg_C_D0_2030" vbProcedure="false">Interface!$J$24</definedName>
    <definedName function="false" hidden="false" name="GIF_MktGW_Avg_C_D0_2031" vbProcedure="false">Interface!$K$24</definedName>
    <definedName function="false" hidden="false" name="GIF_MktGW_Avg_C_D0_2032" vbProcedure="false">Interface!$L$24</definedName>
    <definedName function="false" hidden="false" name="GIF_MktGW_Avg_C_D0_SiteOnly_2024" vbProcedure="false">Interface!$D$59</definedName>
    <definedName function="false" hidden="false" name="GIF_MktGW_Avg_C_D0_SiteOnly_2025" vbProcedure="false">Interface!$E$59</definedName>
    <definedName function="false" hidden="false" name="GIF_MktGW_Avg_C_D0_SiteOnly_2026" vbProcedure="false">Interface!$F$59</definedName>
    <definedName function="false" hidden="false" name="GIF_MktGW_Avg_C_D0_SiteOnly_2027" vbProcedure="false">Interface!$G$59</definedName>
    <definedName function="false" hidden="false" name="GIF_MktGW_Avg_C_D0_SiteOnly_2028" vbProcedure="false">Interface!$H$59</definedName>
    <definedName function="false" hidden="false" name="GIF_MktGW_Avg_C_D0_SiteOnly_2029" vbProcedure="false">Interface!$I$59</definedName>
    <definedName function="false" hidden="false" name="GIF_MktGW_Avg_C_D0_SiteOnly_2030" vbProcedure="false">Interface!$J$59</definedName>
    <definedName function="false" hidden="false" name="GIF_MktGW_Avg_C_D0_SiteOnly_2031" vbProcedure="false">Interface!$K$59</definedName>
    <definedName function="false" hidden="false" name="GIF_MktGW_Avg_C_D0_SiteOnly_2032" vbProcedure="false">Interface!$L$59</definedName>
    <definedName function="false" hidden="false" name="GIF_MktGW_Avg_C_D1_2024" vbProcedure="false">Interface!$D$25</definedName>
    <definedName function="false" hidden="false" name="GIF_MktGW_Avg_C_D1_2025" vbProcedure="false">Interface!$E$25</definedName>
    <definedName function="false" hidden="false" name="GIF_MktGW_Avg_C_D1_2026" vbProcedure="false">Interface!$F$25</definedName>
    <definedName function="false" hidden="false" name="GIF_MktGW_Avg_C_D1_2027" vbProcedure="false">Interface!$G$25</definedName>
    <definedName function="false" hidden="false" name="GIF_MktGW_Avg_C_D1_2028" vbProcedure="false">Interface!$H$25</definedName>
    <definedName function="false" hidden="false" name="GIF_MktGW_Avg_C_D1_2029" vbProcedure="false">Interface!$I$25</definedName>
    <definedName function="false" hidden="false" name="GIF_MktGW_Avg_C_D1_2030" vbProcedure="false">Interface!$J$25</definedName>
    <definedName function="false" hidden="false" name="GIF_MktGW_Avg_C_D1_2031" vbProcedure="false">Interface!$K$25</definedName>
    <definedName function="false" hidden="false" name="GIF_MktGW_Avg_C_D1_2032" vbProcedure="false">Interface!$L$25</definedName>
    <definedName function="false" hidden="false" name="GIF_MktGW_Avg_C_D1_SiteOnly_2024" vbProcedure="false">Interface!$D$60</definedName>
    <definedName function="false" hidden="false" name="GIF_MktGW_Avg_C_D1_SiteOnly_2025" vbProcedure="false">Interface!$E$60</definedName>
    <definedName function="false" hidden="false" name="GIF_MktGW_Avg_C_D1_SiteOnly_2026" vbProcedure="false">Interface!$F$60</definedName>
    <definedName function="false" hidden="false" name="GIF_MktGW_Avg_C_D1_SiteOnly_2027" vbProcedure="false">Interface!$G$60</definedName>
    <definedName function="false" hidden="false" name="GIF_MktGW_Avg_C_D1_SiteOnly_2028" vbProcedure="false">Interface!$H$60</definedName>
    <definedName function="false" hidden="false" name="GIF_MktGW_Avg_C_D1_SiteOnly_2029" vbProcedure="false">Interface!$I$60</definedName>
    <definedName function="false" hidden="false" name="GIF_MktGW_Avg_C_D1_SiteOnly_2030" vbProcedure="false">Interface!$J$60</definedName>
    <definedName function="false" hidden="false" name="GIF_MktGW_Avg_C_D1_SiteOnly_2031" vbProcedure="false">Interface!$K$60</definedName>
    <definedName function="false" hidden="false" name="GIF_MktGW_Avg_C_D1_SiteOnly_2032" vbProcedure="false">Interface!$L$60</definedName>
    <definedName function="false" hidden="false" name="GIF_MktGW_Avg_C_D2_2024" vbProcedure="false">Interface!$D$26</definedName>
    <definedName function="false" hidden="false" name="GIF_MktGW_Avg_C_D2_2025" vbProcedure="false">Interface!$E$26</definedName>
    <definedName function="false" hidden="false" name="GIF_MktGW_Avg_C_D2_2026" vbProcedure="false">Interface!$F$26</definedName>
    <definedName function="false" hidden="false" name="GIF_MktGW_Avg_C_D2_2027" vbProcedure="false">Interface!$G$26</definedName>
    <definedName function="false" hidden="false" name="GIF_MktGW_Avg_C_D2_2028" vbProcedure="false">Interface!$H$26</definedName>
    <definedName function="false" hidden="false" name="GIF_MktGW_Avg_C_D2_2029" vbProcedure="false">Interface!$I$26</definedName>
    <definedName function="false" hidden="false" name="GIF_MktGW_Avg_C_D2_2030" vbProcedure="false">Interface!$J$26</definedName>
    <definedName function="false" hidden="false" name="GIF_MktGW_Avg_C_D2_2031" vbProcedure="false">Interface!$K$26</definedName>
    <definedName function="false" hidden="false" name="GIF_MktGW_Avg_C_D2_2032" vbProcedure="false">Interface!$L$26</definedName>
    <definedName function="false" hidden="false" name="GIF_MktGW_Avg_C_D2_SiteOnly_2024" vbProcedure="false">Interface!$D$61</definedName>
    <definedName function="false" hidden="false" name="GIF_MktGW_Avg_C_D2_SiteOnly_2025" vbProcedure="false">Interface!$E$61</definedName>
    <definedName function="false" hidden="false" name="GIF_MktGW_Avg_C_D2_SiteOnly_2026" vbProcedure="false">Interface!$F$61</definedName>
    <definedName function="false" hidden="false" name="GIF_MktGW_Avg_C_D2_SiteOnly_2027" vbProcedure="false">Interface!$G$61</definedName>
    <definedName function="false" hidden="false" name="GIF_MktGW_Avg_C_D2_SiteOnly_2028" vbProcedure="false">Interface!$H$61</definedName>
    <definedName function="false" hidden="false" name="GIF_MktGW_Avg_C_D2_SiteOnly_2029" vbProcedure="false">Interface!$I$61</definedName>
    <definedName function="false" hidden="false" name="GIF_MktGW_Avg_C_D2_SiteOnly_2030" vbProcedure="false">Interface!$J$61</definedName>
    <definedName function="false" hidden="false" name="GIF_MktGW_Avg_C_D2_SiteOnly_2031" vbProcedure="false">Interface!$K$61</definedName>
    <definedName function="false" hidden="false" name="GIF_MktGW_Avg_C_D2_SiteOnly_2032" vbProcedure="false">Interface!$L$61</definedName>
    <definedName function="false" hidden="false" name="GIF_MktGW_YE_A_D0_2024" vbProcedure="false">Interface!$D$9</definedName>
    <definedName function="false" hidden="false" name="GIF_MktGW_YE_A_D0_2025" vbProcedure="false">Interface!$E$9</definedName>
    <definedName function="false" hidden="false" name="GIF_MktGW_YE_A_D0_2026" vbProcedure="false">Interface!$F$9</definedName>
    <definedName function="false" hidden="false" name="GIF_MktGW_YE_A_D0_2027" vbProcedure="false">Interface!$G$9</definedName>
    <definedName function="false" hidden="false" name="GIF_MktGW_YE_A_D0_2028" vbProcedure="false">Interface!$H$9</definedName>
    <definedName function="false" hidden="false" name="GIF_MktGW_YE_A_D0_2029" vbProcedure="false">Interface!$I$9</definedName>
    <definedName function="false" hidden="false" name="GIF_MktGW_YE_A_D0_2030" vbProcedure="false">Interface!$J$9</definedName>
    <definedName function="false" hidden="false" name="GIF_MktGW_YE_A_D0_2031" vbProcedure="false">Interface!$K$9</definedName>
    <definedName function="false" hidden="false" name="GIF_MktGW_YE_A_D0_2032" vbProcedure="false">Interface!$L$9</definedName>
    <definedName function="false" hidden="false" name="GIF_MktGW_YE_A_D0_SiteOnly_2024" vbProcedure="false">Interface!$D$44</definedName>
    <definedName function="false" hidden="false" name="GIF_MktGW_YE_A_D0_SiteOnly_2025" vbProcedure="false">Interface!$E$44</definedName>
    <definedName function="false" hidden="false" name="GIF_MktGW_YE_A_D0_SiteOnly_2026" vbProcedure="false">Interface!$F$44</definedName>
    <definedName function="false" hidden="false" name="GIF_MktGW_YE_A_D0_SiteOnly_2027" vbProcedure="false">Interface!$G$44</definedName>
    <definedName function="false" hidden="false" name="GIF_MktGW_YE_A_D0_SiteOnly_2028" vbProcedure="false">Interface!$H$44</definedName>
    <definedName function="false" hidden="false" name="GIF_MktGW_YE_A_D0_SiteOnly_2029" vbProcedure="false">Interface!$I$44</definedName>
    <definedName function="false" hidden="false" name="GIF_MktGW_YE_A_D0_SiteOnly_2030" vbProcedure="false">Interface!$J$44</definedName>
    <definedName function="false" hidden="false" name="GIF_MktGW_YE_A_D0_SiteOnly_2031" vbProcedure="false">Interface!$K$44</definedName>
    <definedName function="false" hidden="false" name="GIF_MktGW_YE_A_D0_SiteOnly_2032" vbProcedure="false">Interface!$L$44</definedName>
    <definedName function="false" hidden="false" name="GIF_MktGW_YE_A_D1_2024" vbProcedure="false">Interface!$D$10</definedName>
    <definedName function="false" hidden="false" name="GIF_MktGW_YE_A_D1_2025" vbProcedure="false">Interface!$E$10</definedName>
    <definedName function="false" hidden="false" name="GIF_MktGW_YE_A_D1_2026" vbProcedure="false">Interface!$F$10</definedName>
    <definedName function="false" hidden="false" name="GIF_MktGW_YE_A_D1_2027" vbProcedure="false">Interface!$G$10</definedName>
    <definedName function="false" hidden="false" name="GIF_MktGW_YE_A_D1_2028" vbProcedure="false">Interface!$H$10</definedName>
    <definedName function="false" hidden="false" name="GIF_MktGW_YE_A_D1_2029" vbProcedure="false">Interface!$I$10</definedName>
    <definedName function="false" hidden="false" name="GIF_MktGW_YE_A_D1_2030" vbProcedure="false">Interface!$J$10</definedName>
    <definedName function="false" hidden="false" name="GIF_MktGW_YE_A_D1_2031" vbProcedure="false">Interface!$K$10</definedName>
    <definedName function="false" hidden="false" name="GIF_MktGW_YE_A_D1_2032" vbProcedure="false">Interface!$L$10</definedName>
    <definedName function="false" hidden="false" name="GIF_MktGW_YE_A_D1_SiteOnly_2024" vbProcedure="false">Interface!$D$45</definedName>
    <definedName function="false" hidden="false" name="GIF_MktGW_YE_A_D1_SiteOnly_2025" vbProcedure="false">Interface!$E$45</definedName>
    <definedName function="false" hidden="false" name="GIF_MktGW_YE_A_D1_SiteOnly_2026" vbProcedure="false">Interface!$F$45</definedName>
    <definedName function="false" hidden="false" name="GIF_MktGW_YE_A_D1_SiteOnly_2027" vbProcedure="false">Interface!$G$45</definedName>
    <definedName function="false" hidden="false" name="GIF_MktGW_YE_A_D1_SiteOnly_2028" vbProcedure="false">Interface!$H$45</definedName>
    <definedName function="false" hidden="false" name="GIF_MktGW_YE_A_D1_SiteOnly_2029" vbProcedure="false">Interface!$I$45</definedName>
    <definedName function="false" hidden="false" name="GIF_MktGW_YE_A_D1_SiteOnly_2030" vbProcedure="false">Interface!$J$45</definedName>
    <definedName function="false" hidden="false" name="GIF_MktGW_YE_A_D1_SiteOnly_2031" vbProcedure="false">Interface!$K$45</definedName>
    <definedName function="false" hidden="false" name="GIF_MktGW_YE_A_D1_SiteOnly_2032" vbProcedure="false">Interface!$L$45</definedName>
    <definedName function="false" hidden="false" name="GIF_MktGW_YE_A_D2_2024" vbProcedure="false">Interface!$D$11</definedName>
    <definedName function="false" hidden="false" name="GIF_MktGW_YE_A_D2_2025" vbProcedure="false">Interface!$E$11</definedName>
    <definedName function="false" hidden="false" name="GIF_MktGW_YE_A_D2_2026" vbProcedure="false">Interface!$F$11</definedName>
    <definedName function="false" hidden="false" name="GIF_MktGW_YE_A_D2_2027" vbProcedure="false">Interface!$G$11</definedName>
    <definedName function="false" hidden="false" name="GIF_MktGW_YE_A_D2_2028" vbProcedure="false">Interface!$H$11</definedName>
    <definedName function="false" hidden="false" name="GIF_MktGW_YE_A_D2_2029" vbProcedure="false">Interface!$I$11</definedName>
    <definedName function="false" hidden="false" name="GIF_MktGW_YE_A_D2_2030" vbProcedure="false">Interface!$J$11</definedName>
    <definedName function="false" hidden="false" name="GIF_MktGW_YE_A_D2_2031" vbProcedure="false">Interface!$K$11</definedName>
    <definedName function="false" hidden="false" name="GIF_MktGW_YE_A_D2_2032" vbProcedure="false">Interface!$L$11</definedName>
    <definedName function="false" hidden="false" name="GIF_MktGW_YE_A_D2_SiteOnly_2024" vbProcedure="false">Interface!$D$46</definedName>
    <definedName function="false" hidden="false" name="GIF_MktGW_YE_A_D2_SiteOnly_2025" vbProcedure="false">Interface!$E$46</definedName>
    <definedName function="false" hidden="false" name="GIF_MktGW_YE_A_D2_SiteOnly_2026" vbProcedure="false">Interface!$F$46</definedName>
    <definedName function="false" hidden="false" name="GIF_MktGW_YE_A_D2_SiteOnly_2027" vbProcedure="false">Interface!$G$46</definedName>
    <definedName function="false" hidden="false" name="GIF_MktGW_YE_A_D2_SiteOnly_2028" vbProcedure="false">Interface!$H$46</definedName>
    <definedName function="false" hidden="false" name="GIF_MktGW_YE_A_D2_SiteOnly_2029" vbProcedure="false">Interface!$I$46</definedName>
    <definedName function="false" hidden="false" name="GIF_MktGW_YE_A_D2_SiteOnly_2030" vbProcedure="false">Interface!$J$46</definedName>
    <definedName function="false" hidden="false" name="GIF_MktGW_YE_A_D2_SiteOnly_2031" vbProcedure="false">Interface!$K$46</definedName>
    <definedName function="false" hidden="false" name="GIF_MktGW_YE_A_D2_SiteOnly_2032" vbProcedure="false">Interface!$L$46</definedName>
    <definedName function="false" hidden="false" name="GIF_MktGW_YE_B_D0_2024" vbProcedure="false">Interface!$D$12</definedName>
    <definedName function="false" hidden="false" name="GIF_MktGW_YE_B_D0_2025" vbProcedure="false">Interface!$E$12</definedName>
    <definedName function="false" hidden="false" name="GIF_MktGW_YE_B_D0_2026" vbProcedure="false">Interface!$F$12</definedName>
    <definedName function="false" hidden="false" name="GIF_MktGW_YE_B_D0_2027" vbProcedure="false">Interface!$G$12</definedName>
    <definedName function="false" hidden="false" name="GIF_MktGW_YE_B_D0_2028" vbProcedure="false">Interface!$H$12</definedName>
    <definedName function="false" hidden="false" name="GIF_MktGW_YE_B_D0_2029" vbProcedure="false">Interface!$I$12</definedName>
    <definedName function="false" hidden="false" name="GIF_MktGW_YE_B_D0_2030" vbProcedure="false">Interface!$J$12</definedName>
    <definedName function="false" hidden="false" name="GIF_MktGW_YE_B_D0_2031" vbProcedure="false">Interface!$K$12</definedName>
    <definedName function="false" hidden="false" name="GIF_MktGW_YE_B_D0_2032" vbProcedure="false">Interface!$L$12</definedName>
    <definedName function="false" hidden="false" name="GIF_MktGW_YE_B_D0_SiteOnly_2024" vbProcedure="false">Interface!$D$47</definedName>
    <definedName function="false" hidden="false" name="GIF_MktGW_YE_B_D0_SiteOnly_2025" vbProcedure="false">Interface!$E$47</definedName>
    <definedName function="false" hidden="false" name="GIF_MktGW_YE_B_D0_SiteOnly_2026" vbProcedure="false">Interface!$F$47</definedName>
    <definedName function="false" hidden="false" name="GIF_MktGW_YE_B_D0_SiteOnly_2027" vbProcedure="false">Interface!$G$47</definedName>
    <definedName function="false" hidden="false" name="GIF_MktGW_YE_B_D0_SiteOnly_2028" vbProcedure="false">Interface!$H$47</definedName>
    <definedName function="false" hidden="false" name="GIF_MktGW_YE_B_D0_SiteOnly_2029" vbProcedure="false">Interface!$I$47</definedName>
    <definedName function="false" hidden="false" name="GIF_MktGW_YE_B_D0_SiteOnly_2030" vbProcedure="false">Interface!$J$47</definedName>
    <definedName function="false" hidden="false" name="GIF_MktGW_YE_B_D0_SiteOnly_2031" vbProcedure="false">Interface!$K$47</definedName>
    <definedName function="false" hidden="false" name="GIF_MktGW_YE_B_D0_SiteOnly_2032" vbProcedure="false">Interface!$L$47</definedName>
    <definedName function="false" hidden="false" name="GIF_MktGW_YE_B_D1_2024" vbProcedure="false">Interface!$D$13</definedName>
    <definedName function="false" hidden="false" name="GIF_MktGW_YE_B_D1_2025" vbProcedure="false">Interface!$E$13</definedName>
    <definedName function="false" hidden="false" name="GIF_MktGW_YE_B_D1_2026" vbProcedure="false">Interface!$F$13</definedName>
    <definedName function="false" hidden="false" name="GIF_MktGW_YE_B_D1_2027" vbProcedure="false">Interface!$G$13</definedName>
    <definedName function="false" hidden="false" name="GIF_MktGW_YE_B_D1_2028" vbProcedure="false">Interface!$H$13</definedName>
    <definedName function="false" hidden="false" name="GIF_MktGW_YE_B_D1_2029" vbProcedure="false">Interface!$I$13</definedName>
    <definedName function="false" hidden="false" name="GIF_MktGW_YE_B_D1_2030" vbProcedure="false">Interface!$J$13</definedName>
    <definedName function="false" hidden="false" name="GIF_MktGW_YE_B_D1_2031" vbProcedure="false">Interface!$K$13</definedName>
    <definedName function="false" hidden="false" name="GIF_MktGW_YE_B_D1_2032" vbProcedure="false">Interface!$L$13</definedName>
    <definedName function="false" hidden="false" name="GIF_MktGW_YE_B_D1_SiteOnly_2024" vbProcedure="false">Interface!$D$48</definedName>
    <definedName function="false" hidden="false" name="GIF_MktGW_YE_B_D1_SiteOnly_2025" vbProcedure="false">Interface!$E$48</definedName>
    <definedName function="false" hidden="false" name="GIF_MktGW_YE_B_D1_SiteOnly_2026" vbProcedure="false">Interface!$F$48</definedName>
    <definedName function="false" hidden="false" name="GIF_MktGW_YE_B_D1_SiteOnly_2027" vbProcedure="false">Interface!$G$48</definedName>
    <definedName function="false" hidden="false" name="GIF_MktGW_YE_B_D1_SiteOnly_2028" vbProcedure="false">Interface!$H$48</definedName>
    <definedName function="false" hidden="false" name="GIF_MktGW_YE_B_D1_SiteOnly_2029" vbProcedure="false">Interface!$I$48</definedName>
    <definedName function="false" hidden="false" name="GIF_MktGW_YE_B_D1_SiteOnly_2030" vbProcedure="false">Interface!$J$48</definedName>
    <definedName function="false" hidden="false" name="GIF_MktGW_YE_B_D1_SiteOnly_2031" vbProcedure="false">Interface!$K$48</definedName>
    <definedName function="false" hidden="false" name="GIF_MktGW_YE_B_D1_SiteOnly_2032" vbProcedure="false">Interface!$L$48</definedName>
    <definedName function="false" hidden="false" name="GIF_MktGW_YE_B_D2_2024" vbProcedure="false">Interface!$D$14</definedName>
    <definedName function="false" hidden="false" name="GIF_MktGW_YE_B_D2_2025" vbProcedure="false">Interface!$E$14</definedName>
    <definedName function="false" hidden="false" name="GIF_MktGW_YE_B_D2_2026" vbProcedure="false">Interface!$F$14</definedName>
    <definedName function="false" hidden="false" name="GIF_MktGW_YE_B_D2_2027" vbProcedure="false">Interface!$G$14</definedName>
    <definedName function="false" hidden="false" name="GIF_MktGW_YE_B_D2_2028" vbProcedure="false">Interface!$H$14</definedName>
    <definedName function="false" hidden="false" name="GIF_MktGW_YE_B_D2_2029" vbProcedure="false">Interface!$I$14</definedName>
    <definedName function="false" hidden="false" name="GIF_MktGW_YE_B_D2_2030" vbProcedure="false">Interface!$J$14</definedName>
    <definedName function="false" hidden="false" name="GIF_MktGW_YE_B_D2_2031" vbProcedure="false">Interface!$K$14</definedName>
    <definedName function="false" hidden="false" name="GIF_MktGW_YE_B_D2_2032" vbProcedure="false">Interface!$L$14</definedName>
    <definedName function="false" hidden="false" name="GIF_MktGW_YE_B_D2_SiteOnly_2024" vbProcedure="false">Interface!$D$49</definedName>
    <definedName function="false" hidden="false" name="GIF_MktGW_YE_B_D2_SiteOnly_2025" vbProcedure="false">Interface!$E$49</definedName>
    <definedName function="false" hidden="false" name="GIF_MktGW_YE_B_D2_SiteOnly_2026" vbProcedure="false">Interface!$F$49</definedName>
    <definedName function="false" hidden="false" name="GIF_MktGW_YE_B_D2_SiteOnly_2027" vbProcedure="false">Interface!$G$49</definedName>
    <definedName function="false" hidden="false" name="GIF_MktGW_YE_B_D2_SiteOnly_2028" vbProcedure="false">Interface!$H$49</definedName>
    <definedName function="false" hidden="false" name="GIF_MktGW_YE_B_D2_SiteOnly_2029" vbProcedure="false">Interface!$I$49</definedName>
    <definedName function="false" hidden="false" name="GIF_MktGW_YE_B_D2_SiteOnly_2030" vbProcedure="false">Interface!$J$49</definedName>
    <definedName function="false" hidden="false" name="GIF_MktGW_YE_B_D2_SiteOnly_2031" vbProcedure="false">Interface!$K$49</definedName>
    <definedName function="false" hidden="false" name="GIF_MktGW_YE_B_D2_SiteOnly_2032" vbProcedure="false">Interface!$L$49</definedName>
    <definedName function="false" hidden="false" name="GIF_MktGW_YE_C_D0_2024" vbProcedure="false">Interface!$D$15</definedName>
    <definedName function="false" hidden="false" name="GIF_MktGW_YE_C_D0_2025" vbProcedure="false">Interface!$E$15</definedName>
    <definedName function="false" hidden="false" name="GIF_MktGW_YE_C_D0_2026" vbProcedure="false">Interface!$F$15</definedName>
    <definedName function="false" hidden="false" name="GIF_MktGW_YE_C_D0_2027" vbProcedure="false">Interface!$G$15</definedName>
    <definedName function="false" hidden="false" name="GIF_MktGW_YE_C_D0_2028" vbProcedure="false">Interface!$H$15</definedName>
    <definedName function="false" hidden="false" name="GIF_MktGW_YE_C_D0_2029" vbProcedure="false">Interface!$I$15</definedName>
    <definedName function="false" hidden="false" name="GIF_MktGW_YE_C_D0_2030" vbProcedure="false">Interface!$J$15</definedName>
    <definedName function="false" hidden="false" name="GIF_MktGW_YE_C_D0_2031" vbProcedure="false">Interface!$K$15</definedName>
    <definedName function="false" hidden="false" name="GIF_MktGW_YE_C_D0_2032" vbProcedure="false">Interface!$L$15</definedName>
    <definedName function="false" hidden="false" name="GIF_MktGW_YE_C_D0_SiteOnly_2024" vbProcedure="false">Interface!$D$50</definedName>
    <definedName function="false" hidden="false" name="GIF_MktGW_YE_C_D0_SiteOnly_2025" vbProcedure="false">Interface!$E$50</definedName>
    <definedName function="false" hidden="false" name="GIF_MktGW_YE_C_D0_SiteOnly_2026" vbProcedure="false">Interface!$F$50</definedName>
    <definedName function="false" hidden="false" name="GIF_MktGW_YE_C_D0_SiteOnly_2027" vbProcedure="false">Interface!$G$50</definedName>
    <definedName function="false" hidden="false" name="GIF_MktGW_YE_C_D0_SiteOnly_2028" vbProcedure="false">Interface!$H$50</definedName>
    <definedName function="false" hidden="false" name="GIF_MktGW_YE_C_D0_SiteOnly_2029" vbProcedure="false">Interface!$I$50</definedName>
    <definedName function="false" hidden="false" name="GIF_MktGW_YE_C_D0_SiteOnly_2030" vbProcedure="false">Interface!$J$50</definedName>
    <definedName function="false" hidden="false" name="GIF_MktGW_YE_C_D0_SiteOnly_2031" vbProcedure="false">Interface!$K$50</definedName>
    <definedName function="false" hidden="false" name="GIF_MktGW_YE_C_D0_SiteOnly_2032" vbProcedure="false">Interface!$L$50</definedName>
    <definedName function="false" hidden="false" name="GIF_MktGW_YE_C_D1_2024" vbProcedure="false">Interface!$D$16</definedName>
    <definedName function="false" hidden="false" name="GIF_MktGW_YE_C_D1_2025" vbProcedure="false">Interface!$E$16</definedName>
    <definedName function="false" hidden="false" name="GIF_MktGW_YE_C_D1_2026" vbProcedure="false">Interface!$F$16</definedName>
    <definedName function="false" hidden="false" name="GIF_MktGW_YE_C_D1_2027" vbProcedure="false">Interface!$G$16</definedName>
    <definedName function="false" hidden="false" name="GIF_MktGW_YE_C_D1_2028" vbProcedure="false">Interface!$H$16</definedName>
    <definedName function="false" hidden="false" name="GIF_MktGW_YE_C_D1_2029" vbProcedure="false">Interface!$I$16</definedName>
    <definedName function="false" hidden="false" name="GIF_MktGW_YE_C_D1_2030" vbProcedure="false">Interface!$J$16</definedName>
    <definedName function="false" hidden="false" name="GIF_MktGW_YE_C_D1_2031" vbProcedure="false">Interface!$K$16</definedName>
    <definedName function="false" hidden="false" name="GIF_MktGW_YE_C_D1_2032" vbProcedure="false">Interface!$L$16</definedName>
    <definedName function="false" hidden="false" name="GIF_MktGW_YE_C_D1_SiteOnly_2024" vbProcedure="false">Interface!$D$51</definedName>
    <definedName function="false" hidden="false" name="GIF_MktGW_YE_C_D1_SiteOnly_2025" vbProcedure="false">Interface!$E$51</definedName>
    <definedName function="false" hidden="false" name="GIF_MktGW_YE_C_D1_SiteOnly_2026" vbProcedure="false">Interface!$F$51</definedName>
    <definedName function="false" hidden="false" name="GIF_MktGW_YE_C_D1_SiteOnly_2027" vbProcedure="false">Interface!$G$51</definedName>
    <definedName function="false" hidden="false" name="GIF_MktGW_YE_C_D1_SiteOnly_2028" vbProcedure="false">Interface!$H$51</definedName>
    <definedName function="false" hidden="false" name="GIF_MktGW_YE_C_D1_SiteOnly_2029" vbProcedure="false">Interface!$I$51</definedName>
    <definedName function="false" hidden="false" name="GIF_MktGW_YE_C_D1_SiteOnly_2030" vbProcedure="false">Interface!$J$51</definedName>
    <definedName function="false" hidden="false" name="GIF_MktGW_YE_C_D1_SiteOnly_2031" vbProcedure="false">Interface!$K$51</definedName>
    <definedName function="false" hidden="false" name="GIF_MktGW_YE_C_D1_SiteOnly_2032" vbProcedure="false">Interface!$L$51</definedName>
    <definedName function="false" hidden="false" name="GIF_MktGW_YE_C_D2_2024" vbProcedure="false">Interface!$D$17</definedName>
    <definedName function="false" hidden="false" name="GIF_MktGW_YE_C_D2_2025" vbProcedure="false">Interface!$E$17</definedName>
    <definedName function="false" hidden="false" name="GIF_MktGW_YE_C_D2_2026" vbProcedure="false">Interface!$F$17</definedName>
    <definedName function="false" hidden="false" name="GIF_MktGW_YE_C_D2_2027" vbProcedure="false">Interface!$G$17</definedName>
    <definedName function="false" hidden="false" name="GIF_MktGW_YE_C_D2_2028" vbProcedure="false">Interface!$H$17</definedName>
    <definedName function="false" hidden="false" name="GIF_MktGW_YE_C_D2_2029" vbProcedure="false">Interface!$I$17</definedName>
    <definedName function="false" hidden="false" name="GIF_MktGW_YE_C_D2_2030" vbProcedure="false">Interface!$J$17</definedName>
    <definedName function="false" hidden="false" name="GIF_MktGW_YE_C_D2_2031" vbProcedure="false">Interface!$K$17</definedName>
    <definedName function="false" hidden="false" name="GIF_MktGW_YE_C_D2_2032" vbProcedure="false">Interface!$L$17</definedName>
    <definedName function="false" hidden="false" name="GIF_MktGW_YE_C_D2_SiteOnly_2024" vbProcedure="false">Interface!$D$52</definedName>
    <definedName function="false" hidden="false" name="GIF_MktGW_YE_C_D2_SiteOnly_2025" vbProcedure="false">Interface!$E$52</definedName>
    <definedName function="false" hidden="false" name="GIF_MktGW_YE_C_D2_SiteOnly_2026" vbProcedure="false">Interface!$F$52</definedName>
    <definedName function="false" hidden="false" name="GIF_MktGW_YE_C_D2_SiteOnly_2027" vbProcedure="false">Interface!$G$52</definedName>
    <definedName function="false" hidden="false" name="GIF_MktGW_YE_C_D2_SiteOnly_2028" vbProcedure="false">Interface!$H$52</definedName>
    <definedName function="false" hidden="false" name="GIF_MktGW_YE_C_D2_SiteOnly_2029" vbProcedure="false">Interface!$I$52</definedName>
    <definedName function="false" hidden="false" name="GIF_MktGW_YE_C_D2_SiteOnly_2030" vbProcedure="false">Interface!$J$52</definedName>
    <definedName function="false" hidden="false" name="GIF_MktGW_YE_C_D2_SiteOnly_2031" vbProcedure="false">Interface!$K$52</definedName>
    <definedName function="false" hidden="false" name="GIF_MktGW_YE_C_D2_SiteOnly_2032" vbProcedure="false">Interface!$L$52</definedName>
    <definedName function="false" hidden="false" name="GIF_PlayerGW_YE_amzn_2024" vbProcedure="false">Interface!$D$81</definedName>
    <definedName function="false" hidden="false" name="GIF_PlayerGW_YE_amzn_2025" vbProcedure="false">Interface!$E$81</definedName>
    <definedName function="false" hidden="false" name="GIF_PlayerGW_YE_amzn_2026" vbProcedure="false">Interface!$F$81</definedName>
    <definedName function="false" hidden="false" name="GIF_PlayerGW_YE_amzn_2027" vbProcedure="false">Interface!$G$81</definedName>
    <definedName function="false" hidden="false" name="GIF_PlayerGW_YE_amzn_2028" vbProcedure="false">Interface!$H$81</definedName>
    <definedName function="false" hidden="false" name="GIF_PlayerGW_YE_amzn_2029" vbProcedure="false">Interface!$I$81</definedName>
    <definedName function="false" hidden="false" name="GIF_PlayerGW_YE_amzn_2030" vbProcedure="false">Interface!$J$81</definedName>
    <definedName function="false" hidden="false" name="GIF_PlayerGW_YE_amzn_2031" vbProcedure="false">Interface!$K$81</definedName>
    <definedName function="false" hidden="false" name="GIF_PlayerGW_YE_amzn_2032" vbProcedure="false">Interface!$L$81</definedName>
    <definedName function="false" hidden="false" name="GIF_PlayerGW_YE_amzn_SiteOnly_2024" vbProcedure="false">Interface!$D$97</definedName>
    <definedName function="false" hidden="false" name="GIF_PlayerGW_YE_amzn_SiteOnly_2025" vbProcedure="false">Interface!$E$97</definedName>
    <definedName function="false" hidden="false" name="GIF_PlayerGW_YE_amzn_SiteOnly_2026" vbProcedure="false">Interface!$F$97</definedName>
    <definedName function="false" hidden="false" name="GIF_PlayerGW_YE_amzn_SiteOnly_2027" vbProcedure="false">Interface!$G$97</definedName>
    <definedName function="false" hidden="false" name="GIF_PlayerGW_YE_amzn_SiteOnly_2028" vbProcedure="false">Interface!$H$97</definedName>
    <definedName function="false" hidden="false" name="GIF_PlayerGW_YE_amzn_SiteOnly_2029" vbProcedure="false">Interface!$I$97</definedName>
    <definedName function="false" hidden="false" name="GIF_PlayerGW_YE_amzn_SiteOnly_2030" vbProcedure="false">Interface!$J$97</definedName>
    <definedName function="false" hidden="false" name="GIF_PlayerGW_YE_amzn_SiteOnly_2031" vbProcedure="false">Interface!$K$97</definedName>
    <definedName function="false" hidden="false" name="GIF_PlayerGW_YE_amzn_SiteOnly_2032" vbProcedure="false">Interface!$L$97</definedName>
    <definedName function="false" hidden="false" name="GIF_PlayerGW_YE_ant_2024" vbProcedure="false">Interface!$D$89</definedName>
    <definedName function="false" hidden="false" name="GIF_PlayerGW_YE_ant_2025" vbProcedure="false">Interface!$E$89</definedName>
    <definedName function="false" hidden="false" name="GIF_PlayerGW_YE_ant_2026" vbProcedure="false">Interface!$F$89</definedName>
    <definedName function="false" hidden="false" name="GIF_PlayerGW_YE_ant_2027" vbProcedure="false">Interface!$G$89</definedName>
    <definedName function="false" hidden="false" name="GIF_PlayerGW_YE_ant_2028" vbProcedure="false">Interface!$H$89</definedName>
    <definedName function="false" hidden="false" name="GIF_PlayerGW_YE_ant_2029" vbProcedure="false">Interface!$I$89</definedName>
    <definedName function="false" hidden="false" name="GIF_PlayerGW_YE_ant_2030" vbProcedure="false">Interface!$J$89</definedName>
    <definedName function="false" hidden="false" name="GIF_PlayerGW_YE_ant_2031" vbProcedure="false">Interface!$K$89</definedName>
    <definedName function="false" hidden="false" name="GIF_PlayerGW_YE_ant_2032" vbProcedure="false">Interface!$L$89</definedName>
    <definedName function="false" hidden="false" name="GIF_PlayerGW_YE_ant_SiteOnly_2024" vbProcedure="false">Interface!$D$105</definedName>
    <definedName function="false" hidden="false" name="GIF_PlayerGW_YE_ant_SiteOnly_2025" vbProcedure="false">Interface!$E$105</definedName>
    <definedName function="false" hidden="false" name="GIF_PlayerGW_YE_ant_SiteOnly_2026" vbProcedure="false">Interface!$F$105</definedName>
    <definedName function="false" hidden="false" name="GIF_PlayerGW_YE_ant_SiteOnly_2027" vbProcedure="false">Interface!$G$105</definedName>
    <definedName function="false" hidden="false" name="GIF_PlayerGW_YE_ant_SiteOnly_2028" vbProcedure="false">Interface!$H$105</definedName>
    <definedName function="false" hidden="false" name="GIF_PlayerGW_YE_ant_SiteOnly_2029" vbProcedure="false">Interface!$I$105</definedName>
    <definedName function="false" hidden="false" name="GIF_PlayerGW_YE_ant_SiteOnly_2030" vbProcedure="false">Interface!$J$105</definedName>
    <definedName function="false" hidden="false" name="GIF_PlayerGW_YE_ant_SiteOnly_2031" vbProcedure="false">Interface!$K$105</definedName>
    <definedName function="false" hidden="false" name="GIF_PlayerGW_YE_ant_SiteOnly_2032" vbProcedure="false">Interface!$L$105</definedName>
    <definedName function="false" hidden="false" name="GIF_PlayerGW_YE_cn_2024" vbProcedure="false">Interface!$D$92</definedName>
    <definedName function="false" hidden="false" name="GIF_PlayerGW_YE_cn_2025" vbProcedure="false">Interface!$E$92</definedName>
    <definedName function="false" hidden="false" name="GIF_PlayerGW_YE_cn_2026" vbProcedure="false">Interface!$F$92</definedName>
    <definedName function="false" hidden="false" name="GIF_PlayerGW_YE_cn_2027" vbProcedure="false">Interface!$G$92</definedName>
    <definedName function="false" hidden="false" name="GIF_PlayerGW_YE_cn_2028" vbProcedure="false">Interface!$H$92</definedName>
    <definedName function="false" hidden="false" name="GIF_PlayerGW_YE_cn_2029" vbProcedure="false">Interface!$I$92</definedName>
    <definedName function="false" hidden="false" name="GIF_PlayerGW_YE_cn_2030" vbProcedure="false">Interface!$J$92</definedName>
    <definedName function="false" hidden="false" name="GIF_PlayerGW_YE_cn_2031" vbProcedure="false">Interface!$K$92</definedName>
    <definedName function="false" hidden="false" name="GIF_PlayerGW_YE_cn_2032" vbProcedure="false">Interface!$L$92</definedName>
    <definedName function="false" hidden="false" name="GIF_PlayerGW_YE_cn_SiteOnly_2024" vbProcedure="false">Interface!$D$108</definedName>
    <definedName function="false" hidden="false" name="GIF_PlayerGW_YE_cn_SiteOnly_2025" vbProcedure="false">Interface!$E$108</definedName>
    <definedName function="false" hidden="false" name="GIF_PlayerGW_YE_cn_SiteOnly_2026" vbProcedure="false">Interface!$F$108</definedName>
    <definedName function="false" hidden="false" name="GIF_PlayerGW_YE_cn_SiteOnly_2027" vbProcedure="false">Interface!$G$108</definedName>
    <definedName function="false" hidden="false" name="GIF_PlayerGW_YE_cn_SiteOnly_2028" vbProcedure="false">Interface!$H$108</definedName>
    <definedName function="false" hidden="false" name="GIF_PlayerGW_YE_cn_SiteOnly_2029" vbProcedure="false">Interface!$I$108</definedName>
    <definedName function="false" hidden="false" name="GIF_PlayerGW_YE_cn_SiteOnly_2030" vbProcedure="false">Interface!$J$108</definedName>
    <definedName function="false" hidden="false" name="GIF_PlayerGW_YE_cn_SiteOnly_2031" vbProcedure="false">Interface!$K$108</definedName>
    <definedName function="false" hidden="false" name="GIF_PlayerGW_YE_cn_SiteOnly_2032" vbProcedure="false">Interface!$L$108</definedName>
    <definedName function="false" hidden="false" name="GIF_PlayerGW_YE_crwv_2024" vbProcedure="false">Interface!$D$84</definedName>
    <definedName function="false" hidden="false" name="GIF_PlayerGW_YE_crwv_2025" vbProcedure="false">Interface!$E$84</definedName>
    <definedName function="false" hidden="false" name="GIF_PlayerGW_YE_crwv_2026" vbProcedure="false">Interface!$F$84</definedName>
    <definedName function="false" hidden="false" name="GIF_PlayerGW_YE_crwv_2027" vbProcedure="false">Interface!$G$84</definedName>
    <definedName function="false" hidden="false" name="GIF_PlayerGW_YE_crwv_2028" vbProcedure="false">Interface!$H$84</definedName>
    <definedName function="false" hidden="false" name="GIF_PlayerGW_YE_crwv_2029" vbProcedure="false">Interface!$I$84</definedName>
    <definedName function="false" hidden="false" name="GIF_PlayerGW_YE_crwv_2030" vbProcedure="false">Interface!$J$84</definedName>
    <definedName function="false" hidden="false" name="GIF_PlayerGW_YE_crwv_2031" vbProcedure="false">Interface!$K$84</definedName>
    <definedName function="false" hidden="false" name="GIF_PlayerGW_YE_crwv_2032" vbProcedure="false">Interface!$L$84</definedName>
    <definedName function="false" hidden="false" name="GIF_PlayerGW_YE_crwv_SiteOnly_2024" vbProcedure="false">Interface!$D$100</definedName>
    <definedName function="false" hidden="false" name="GIF_PlayerGW_YE_crwv_SiteOnly_2025" vbProcedure="false">Interface!$E$100</definedName>
    <definedName function="false" hidden="false" name="GIF_PlayerGW_YE_crwv_SiteOnly_2026" vbProcedure="false">Interface!$F$100</definedName>
    <definedName function="false" hidden="false" name="GIF_PlayerGW_YE_crwv_SiteOnly_2027" vbProcedure="false">Interface!$G$100</definedName>
    <definedName function="false" hidden="false" name="GIF_PlayerGW_YE_crwv_SiteOnly_2028" vbProcedure="false">Interface!$H$100</definedName>
    <definedName function="false" hidden="false" name="GIF_PlayerGW_YE_crwv_SiteOnly_2029" vbProcedure="false">Interface!$I$100</definedName>
    <definedName function="false" hidden="false" name="GIF_PlayerGW_YE_crwv_SiteOnly_2030" vbProcedure="false">Interface!$J$100</definedName>
    <definedName function="false" hidden="false" name="GIF_PlayerGW_YE_crwv_SiteOnly_2031" vbProcedure="false">Interface!$K$100</definedName>
    <definedName function="false" hidden="false" name="GIF_PlayerGW_YE_crwv_SiteOnly_2032" vbProcedure="false">Interface!$L$100</definedName>
    <definedName function="false" hidden="false" name="GIF_PlayerGW_YE_googl_2024" vbProcedure="false">Interface!$D$80</definedName>
    <definedName function="false" hidden="false" name="GIF_PlayerGW_YE_googl_2025" vbProcedure="false">Interface!$E$80</definedName>
    <definedName function="false" hidden="false" name="GIF_PlayerGW_YE_googl_2026" vbProcedure="false">Interface!$F$80</definedName>
    <definedName function="false" hidden="false" name="GIF_PlayerGW_YE_googl_2027" vbProcedure="false">Interface!$G$80</definedName>
    <definedName function="false" hidden="false" name="GIF_PlayerGW_YE_googl_2028" vbProcedure="false">Interface!$H$80</definedName>
    <definedName function="false" hidden="false" name="GIF_PlayerGW_YE_googl_2029" vbProcedure="false">Interface!$I$80</definedName>
    <definedName function="false" hidden="false" name="GIF_PlayerGW_YE_googl_2030" vbProcedure="false">Interface!$J$80</definedName>
    <definedName function="false" hidden="false" name="GIF_PlayerGW_YE_googl_2031" vbProcedure="false">Interface!$K$80</definedName>
    <definedName function="false" hidden="false" name="GIF_PlayerGW_YE_googl_2032" vbProcedure="false">Interface!$L$80</definedName>
    <definedName function="false" hidden="false" name="GIF_PlayerGW_YE_googl_SiteOnly_2024" vbProcedure="false">Interface!$D$96</definedName>
    <definedName function="false" hidden="false" name="GIF_PlayerGW_YE_googl_SiteOnly_2025" vbProcedure="false">Interface!$E$96</definedName>
    <definedName function="false" hidden="false" name="GIF_PlayerGW_YE_googl_SiteOnly_2026" vbProcedure="false">Interface!$F$96</definedName>
    <definedName function="false" hidden="false" name="GIF_PlayerGW_YE_googl_SiteOnly_2027" vbProcedure="false">Interface!$G$96</definedName>
    <definedName function="false" hidden="false" name="GIF_PlayerGW_YE_googl_SiteOnly_2028" vbProcedure="false">Interface!$H$96</definedName>
    <definedName function="false" hidden="false" name="GIF_PlayerGW_YE_googl_SiteOnly_2029" vbProcedure="false">Interface!$I$96</definedName>
    <definedName function="false" hidden="false" name="GIF_PlayerGW_YE_googl_SiteOnly_2030" vbProcedure="false">Interface!$J$96</definedName>
    <definedName function="false" hidden="false" name="GIF_PlayerGW_YE_googl_SiteOnly_2031" vbProcedure="false">Interface!$K$96</definedName>
    <definedName function="false" hidden="false" name="GIF_PlayerGW_YE_googl_SiteOnly_2032" vbProcedure="false">Interface!$L$96</definedName>
    <definedName function="false" hidden="false" name="GIF_PlayerGW_YE_meta_2024" vbProcedure="false">Interface!$D$82</definedName>
    <definedName function="false" hidden="false" name="GIF_PlayerGW_YE_meta_2025" vbProcedure="false">Interface!$E$82</definedName>
    <definedName function="false" hidden="false" name="GIF_PlayerGW_YE_meta_2026" vbProcedure="false">Interface!$F$82</definedName>
    <definedName function="false" hidden="false" name="GIF_PlayerGW_YE_meta_2027" vbProcedure="false">Interface!$G$82</definedName>
    <definedName function="false" hidden="false" name="GIF_PlayerGW_YE_meta_2028" vbProcedure="false">Interface!$H$82</definedName>
    <definedName function="false" hidden="false" name="GIF_PlayerGW_YE_meta_2029" vbProcedure="false">Interface!$I$82</definedName>
    <definedName function="false" hidden="false" name="GIF_PlayerGW_YE_meta_2030" vbProcedure="false">Interface!$J$82</definedName>
    <definedName function="false" hidden="false" name="GIF_PlayerGW_YE_meta_2031" vbProcedure="false">Interface!$K$82</definedName>
    <definedName function="false" hidden="false" name="GIF_PlayerGW_YE_meta_2032" vbProcedure="false">Interface!$L$82</definedName>
    <definedName function="false" hidden="false" name="GIF_PlayerGW_YE_meta_SiteOnly_2024" vbProcedure="false">Interface!$D$98</definedName>
    <definedName function="false" hidden="false" name="GIF_PlayerGW_YE_meta_SiteOnly_2025" vbProcedure="false">Interface!$E$98</definedName>
    <definedName function="false" hidden="false" name="GIF_PlayerGW_YE_meta_SiteOnly_2026" vbProcedure="false">Interface!$F$98</definedName>
    <definedName function="false" hidden="false" name="GIF_PlayerGW_YE_meta_SiteOnly_2027" vbProcedure="false">Interface!$G$98</definedName>
    <definedName function="false" hidden="false" name="GIF_PlayerGW_YE_meta_SiteOnly_2028" vbProcedure="false">Interface!$H$98</definedName>
    <definedName function="false" hidden="false" name="GIF_PlayerGW_YE_meta_SiteOnly_2029" vbProcedure="false">Interface!$I$98</definedName>
    <definedName function="false" hidden="false" name="GIF_PlayerGW_YE_meta_SiteOnly_2030" vbProcedure="false">Interface!$J$98</definedName>
    <definedName function="false" hidden="false" name="GIF_PlayerGW_YE_meta_SiteOnly_2031" vbProcedure="false">Interface!$K$98</definedName>
    <definedName function="false" hidden="false" name="GIF_PlayerGW_YE_meta_SiteOnly_2032" vbProcedure="false">Interface!$L$98</definedName>
    <definedName function="false" hidden="false" name="GIF_PlayerGW_YE_msft_2024" vbProcedure="false">Interface!$D$79</definedName>
    <definedName function="false" hidden="false" name="GIF_PlayerGW_YE_msft_2025" vbProcedure="false">Interface!$E$79</definedName>
    <definedName function="false" hidden="false" name="GIF_PlayerGW_YE_msft_2026" vbProcedure="false">Interface!$F$79</definedName>
    <definedName function="false" hidden="false" name="GIF_PlayerGW_YE_msft_2027" vbProcedure="false">Interface!$G$79</definedName>
    <definedName function="false" hidden="false" name="GIF_PlayerGW_YE_msft_2028" vbProcedure="false">Interface!$H$79</definedName>
    <definedName function="false" hidden="false" name="GIF_PlayerGW_YE_msft_2029" vbProcedure="false">Interface!$I$79</definedName>
    <definedName function="false" hidden="false" name="GIF_PlayerGW_YE_msft_2030" vbProcedure="false">Interface!$J$79</definedName>
    <definedName function="false" hidden="false" name="GIF_PlayerGW_YE_msft_2031" vbProcedure="false">Interface!$K$79</definedName>
    <definedName function="false" hidden="false" name="GIF_PlayerGW_YE_msft_2032" vbProcedure="false">Interface!$L$79</definedName>
    <definedName function="false" hidden="false" name="GIF_PlayerGW_YE_msft_SiteOnly_2024" vbProcedure="false">Interface!$D$95</definedName>
    <definedName function="false" hidden="false" name="GIF_PlayerGW_YE_msft_SiteOnly_2025" vbProcedure="false">Interface!$E$95</definedName>
    <definedName function="false" hidden="false" name="GIF_PlayerGW_YE_msft_SiteOnly_2026" vbProcedure="false">Interface!$F$95</definedName>
    <definedName function="false" hidden="false" name="GIF_PlayerGW_YE_msft_SiteOnly_2027" vbProcedure="false">Interface!$G$95</definedName>
    <definedName function="false" hidden="false" name="GIF_PlayerGW_YE_msft_SiteOnly_2028" vbProcedure="false">Interface!$H$95</definedName>
    <definedName function="false" hidden="false" name="GIF_PlayerGW_YE_msft_SiteOnly_2029" vbProcedure="false">Interface!$I$95</definedName>
    <definedName function="false" hidden="false" name="GIF_PlayerGW_YE_msft_SiteOnly_2030" vbProcedure="false">Interface!$J$95</definedName>
    <definedName function="false" hidden="false" name="GIF_PlayerGW_YE_msft_SiteOnly_2031" vbProcedure="false">Interface!$K$95</definedName>
    <definedName function="false" hidden="false" name="GIF_PlayerGW_YE_msft_SiteOnly_2032" vbProcedure="false">Interface!$L$95</definedName>
    <definedName function="false" hidden="false" name="GIF_PlayerGW_YE_nbis_2024" vbProcedure="false">Interface!$D$85</definedName>
    <definedName function="false" hidden="false" name="GIF_PlayerGW_YE_nbis_2025" vbProcedure="false">Interface!$E$85</definedName>
    <definedName function="false" hidden="false" name="GIF_PlayerGW_YE_nbis_2026" vbProcedure="false">Interface!$F$85</definedName>
    <definedName function="false" hidden="false" name="GIF_PlayerGW_YE_nbis_2027" vbProcedure="false">Interface!$G$85</definedName>
    <definedName function="false" hidden="false" name="GIF_PlayerGW_YE_nbis_2028" vbProcedure="false">Interface!$H$85</definedName>
    <definedName function="false" hidden="false" name="GIF_PlayerGW_YE_nbis_2029" vbProcedure="false">Interface!$I$85</definedName>
    <definedName function="false" hidden="false" name="GIF_PlayerGW_YE_nbis_2030" vbProcedure="false">Interface!$J$85</definedName>
    <definedName function="false" hidden="false" name="GIF_PlayerGW_YE_nbis_2031" vbProcedure="false">Interface!$K$85</definedName>
    <definedName function="false" hidden="false" name="GIF_PlayerGW_YE_nbis_2032" vbProcedure="false">Interface!$L$85</definedName>
    <definedName function="false" hidden="false" name="GIF_PlayerGW_YE_nbis_SiteOnly_2024" vbProcedure="false">Interface!$D$101</definedName>
    <definedName function="false" hidden="false" name="GIF_PlayerGW_YE_nbis_SiteOnly_2025" vbProcedure="false">Interface!$E$101</definedName>
    <definedName function="false" hidden="false" name="GIF_PlayerGW_YE_nbis_SiteOnly_2026" vbProcedure="false">Interface!$F$101</definedName>
    <definedName function="false" hidden="false" name="GIF_PlayerGW_YE_nbis_SiteOnly_2027" vbProcedure="false">Interface!$G$101</definedName>
    <definedName function="false" hidden="false" name="GIF_PlayerGW_YE_nbis_SiteOnly_2028" vbProcedure="false">Interface!$H$101</definedName>
    <definedName function="false" hidden="false" name="GIF_PlayerGW_YE_nbis_SiteOnly_2029" vbProcedure="false">Interface!$I$101</definedName>
    <definedName function="false" hidden="false" name="GIF_PlayerGW_YE_nbis_SiteOnly_2030" vbProcedure="false">Interface!$J$101</definedName>
    <definedName function="false" hidden="false" name="GIF_PlayerGW_YE_nbis_SiteOnly_2031" vbProcedure="false">Interface!$K$101</definedName>
    <definedName function="false" hidden="false" name="GIF_PlayerGW_YE_nbis_SiteOnly_2032" vbProcedure="false">Interface!$L$101</definedName>
    <definedName function="false" hidden="false" name="GIF_PlayerGW_YE_neo_2024" vbProcedure="false">Interface!$D$90</definedName>
    <definedName function="false" hidden="false" name="GIF_PlayerGW_YE_neo_2025" vbProcedure="false">Interface!$E$90</definedName>
    <definedName function="false" hidden="false" name="GIF_PlayerGW_YE_neo_2026" vbProcedure="false">Interface!$F$90</definedName>
    <definedName function="false" hidden="false" name="GIF_PlayerGW_YE_neo_2027" vbProcedure="false">Interface!$G$90</definedName>
    <definedName function="false" hidden="false" name="GIF_PlayerGW_YE_neo_2028" vbProcedure="false">Interface!$H$90</definedName>
    <definedName function="false" hidden="false" name="GIF_PlayerGW_YE_neo_2029" vbProcedure="false">Interface!$I$90</definedName>
    <definedName function="false" hidden="false" name="GIF_PlayerGW_YE_neo_2030" vbProcedure="false">Interface!$J$90</definedName>
    <definedName function="false" hidden="false" name="GIF_PlayerGW_YE_neo_2031" vbProcedure="false">Interface!$K$90</definedName>
    <definedName function="false" hidden="false" name="GIF_PlayerGW_YE_neo_2032" vbProcedure="false">Interface!$L$90</definedName>
    <definedName function="false" hidden="false" name="GIF_PlayerGW_YE_neo_SiteOnly_2024" vbProcedure="false">Interface!$D$106</definedName>
    <definedName function="false" hidden="false" name="GIF_PlayerGW_YE_neo_SiteOnly_2025" vbProcedure="false">Interface!$E$106</definedName>
    <definedName function="false" hidden="false" name="GIF_PlayerGW_YE_neo_SiteOnly_2026" vbProcedure="false">Interface!$F$106</definedName>
    <definedName function="false" hidden="false" name="GIF_PlayerGW_YE_neo_SiteOnly_2027" vbProcedure="false">Interface!$G$106</definedName>
    <definedName function="false" hidden="false" name="GIF_PlayerGW_YE_neo_SiteOnly_2028" vbProcedure="false">Interface!$H$106</definedName>
    <definedName function="false" hidden="false" name="GIF_PlayerGW_YE_neo_SiteOnly_2029" vbProcedure="false">Interface!$I$106</definedName>
    <definedName function="false" hidden="false" name="GIF_PlayerGW_YE_neo_SiteOnly_2030" vbProcedure="false">Interface!$J$106</definedName>
    <definedName function="false" hidden="false" name="GIF_PlayerGW_YE_neo_SiteOnly_2031" vbProcedure="false">Interface!$K$106</definedName>
    <definedName function="false" hidden="false" name="GIF_PlayerGW_YE_neo_SiteOnly_2032" vbProcedure="false">Interface!$L$106</definedName>
    <definedName function="false" hidden="false" name="GIF_PlayerGW_YE_oai_2024" vbProcedure="false">Interface!$D$88</definedName>
    <definedName function="false" hidden="false" name="GIF_PlayerGW_YE_oai_2025" vbProcedure="false">Interface!$E$88</definedName>
    <definedName function="false" hidden="false" name="GIF_PlayerGW_YE_oai_2026" vbProcedure="false">Interface!$F$88</definedName>
    <definedName function="false" hidden="false" name="GIF_PlayerGW_YE_oai_2027" vbProcedure="false">Interface!$G$88</definedName>
    <definedName function="false" hidden="false" name="GIF_PlayerGW_YE_oai_2028" vbProcedure="false">Interface!$H$88</definedName>
    <definedName function="false" hidden="false" name="GIF_PlayerGW_YE_oai_2029" vbProcedure="false">Interface!$I$88</definedName>
    <definedName function="false" hidden="false" name="GIF_PlayerGW_YE_oai_2030" vbProcedure="false">Interface!$J$88</definedName>
    <definedName function="false" hidden="false" name="GIF_PlayerGW_YE_oai_2031" vbProcedure="false">Interface!$K$88</definedName>
    <definedName function="false" hidden="false" name="GIF_PlayerGW_YE_oai_2032" vbProcedure="false">Interface!$L$88</definedName>
    <definedName function="false" hidden="false" name="GIF_PlayerGW_YE_oai_SiteOnly_2024" vbProcedure="false">Interface!$D$104</definedName>
    <definedName function="false" hidden="false" name="GIF_PlayerGW_YE_oai_SiteOnly_2025" vbProcedure="false">Interface!$E$104</definedName>
    <definedName function="false" hidden="false" name="GIF_PlayerGW_YE_oai_SiteOnly_2026" vbProcedure="false">Interface!$F$104</definedName>
    <definedName function="false" hidden="false" name="GIF_PlayerGW_YE_oai_SiteOnly_2027" vbProcedure="false">Interface!$G$104</definedName>
    <definedName function="false" hidden="false" name="GIF_PlayerGW_YE_oai_SiteOnly_2028" vbProcedure="false">Interface!$H$104</definedName>
    <definedName function="false" hidden="false" name="GIF_PlayerGW_YE_oai_SiteOnly_2029" vbProcedure="false">Interface!$I$104</definedName>
    <definedName function="false" hidden="false" name="GIF_PlayerGW_YE_oai_SiteOnly_2030" vbProcedure="false">Interface!$J$104</definedName>
    <definedName function="false" hidden="false" name="GIF_PlayerGW_YE_oai_SiteOnly_2031" vbProcedure="false">Interface!$K$104</definedName>
    <definedName function="false" hidden="false" name="GIF_PlayerGW_YE_oai_SiteOnly_2032" vbProcedure="false">Interface!$L$104</definedName>
    <definedName function="false" hidden="false" name="GIF_PlayerGW_YE_orcl_2024" vbProcedure="false">Interface!$D$83</definedName>
    <definedName function="false" hidden="false" name="GIF_PlayerGW_YE_orcl_2025" vbProcedure="false">Interface!$E$83</definedName>
    <definedName function="false" hidden="false" name="GIF_PlayerGW_YE_orcl_2026" vbProcedure="false">Interface!$F$83</definedName>
    <definedName function="false" hidden="false" name="GIF_PlayerGW_YE_orcl_2027" vbProcedure="false">Interface!$G$83</definedName>
    <definedName function="false" hidden="false" name="GIF_PlayerGW_YE_orcl_2028" vbProcedure="false">Interface!$H$83</definedName>
    <definedName function="false" hidden="false" name="GIF_PlayerGW_YE_orcl_2029" vbProcedure="false">Interface!$I$83</definedName>
    <definedName function="false" hidden="false" name="GIF_PlayerGW_YE_orcl_2030" vbProcedure="false">Interface!$J$83</definedName>
    <definedName function="false" hidden="false" name="GIF_PlayerGW_YE_orcl_2031" vbProcedure="false">Interface!$K$83</definedName>
    <definedName function="false" hidden="false" name="GIF_PlayerGW_YE_orcl_2032" vbProcedure="false">Interface!$L$83</definedName>
    <definedName function="false" hidden="false" name="GIF_PlayerGW_YE_orcl_SiteOnly_2024" vbProcedure="false">Interface!$D$99</definedName>
    <definedName function="false" hidden="false" name="GIF_PlayerGW_YE_orcl_SiteOnly_2025" vbProcedure="false">Interface!$E$99</definedName>
    <definedName function="false" hidden="false" name="GIF_PlayerGW_YE_orcl_SiteOnly_2026" vbProcedure="false">Interface!$F$99</definedName>
    <definedName function="false" hidden="false" name="GIF_PlayerGW_YE_orcl_SiteOnly_2027" vbProcedure="false">Interface!$G$99</definedName>
    <definedName function="false" hidden="false" name="GIF_PlayerGW_YE_orcl_SiteOnly_2028" vbProcedure="false">Interface!$H$99</definedName>
    <definedName function="false" hidden="false" name="GIF_PlayerGW_YE_orcl_SiteOnly_2029" vbProcedure="false">Interface!$I$99</definedName>
    <definedName function="false" hidden="false" name="GIF_PlayerGW_YE_orcl_SiteOnly_2030" vbProcedure="false">Interface!$J$99</definedName>
    <definedName function="false" hidden="false" name="GIF_PlayerGW_YE_orcl_SiteOnly_2031" vbProcedure="false">Interface!$K$99</definedName>
    <definedName function="false" hidden="false" name="GIF_PlayerGW_YE_orcl_SiteOnly_2032" vbProcedure="false">Interface!$L$99</definedName>
    <definedName function="false" hidden="false" name="GIF_PlayerGW_YE_oth_2024" vbProcedure="false">Interface!$D$93</definedName>
    <definedName function="false" hidden="false" name="GIF_PlayerGW_YE_oth_2025" vbProcedure="false">Interface!$E$93</definedName>
    <definedName function="false" hidden="false" name="GIF_PlayerGW_YE_oth_2026" vbProcedure="false">Interface!$F$93</definedName>
    <definedName function="false" hidden="false" name="GIF_PlayerGW_YE_oth_2027" vbProcedure="false">Interface!$G$93</definedName>
    <definedName function="false" hidden="false" name="GIF_PlayerGW_YE_oth_2028" vbProcedure="false">Interface!$H$93</definedName>
    <definedName function="false" hidden="false" name="GIF_PlayerGW_YE_oth_2029" vbProcedure="false">Interface!$I$93</definedName>
    <definedName function="false" hidden="false" name="GIF_PlayerGW_YE_oth_2030" vbProcedure="false">Interface!$J$93</definedName>
    <definedName function="false" hidden="false" name="GIF_PlayerGW_YE_oth_2031" vbProcedure="false">Interface!$K$93</definedName>
    <definedName function="false" hidden="false" name="GIF_PlayerGW_YE_oth_2032" vbProcedure="false">Interface!$L$93</definedName>
    <definedName function="false" hidden="false" name="GIF_PlayerGW_YE_oth_SiteOnly_2024" vbProcedure="false">Interface!$D$109</definedName>
    <definedName function="false" hidden="false" name="GIF_PlayerGW_YE_oth_SiteOnly_2025" vbProcedure="false">Interface!$E$109</definedName>
    <definedName function="false" hidden="false" name="GIF_PlayerGW_YE_oth_SiteOnly_2026" vbProcedure="false">Interface!$F$109</definedName>
    <definedName function="false" hidden="false" name="GIF_PlayerGW_YE_oth_SiteOnly_2027" vbProcedure="false">Interface!$G$109</definedName>
    <definedName function="false" hidden="false" name="GIF_PlayerGW_YE_oth_SiteOnly_2028" vbProcedure="false">Interface!$H$109</definedName>
    <definedName function="false" hidden="false" name="GIF_PlayerGW_YE_oth_SiteOnly_2029" vbProcedure="false">Interface!$I$109</definedName>
    <definedName function="false" hidden="false" name="GIF_PlayerGW_YE_oth_SiteOnly_2030" vbProcedure="false">Interface!$J$109</definedName>
    <definedName function="false" hidden="false" name="GIF_PlayerGW_YE_oth_SiteOnly_2031" vbProcedure="false">Interface!$K$109</definedName>
    <definedName function="false" hidden="false" name="GIF_PlayerGW_YE_oth_SiteOnly_2032" vbProcedure="false">Interface!$L$109</definedName>
    <definedName function="false" hidden="false" name="GIF_PlayerGW_YE_sov_2024" vbProcedure="false">Interface!$D$91</definedName>
    <definedName function="false" hidden="false" name="GIF_PlayerGW_YE_sov_2025" vbProcedure="false">Interface!$E$91</definedName>
    <definedName function="false" hidden="false" name="GIF_PlayerGW_YE_sov_2026" vbProcedure="false">Interface!$F$91</definedName>
    <definedName function="false" hidden="false" name="GIF_PlayerGW_YE_sov_2027" vbProcedure="false">Interface!$G$91</definedName>
    <definedName function="false" hidden="false" name="GIF_PlayerGW_YE_sov_2028" vbProcedure="false">Interface!$H$91</definedName>
    <definedName function="false" hidden="false" name="GIF_PlayerGW_YE_sov_2029" vbProcedure="false">Interface!$I$91</definedName>
    <definedName function="false" hidden="false" name="GIF_PlayerGW_YE_sov_2030" vbProcedure="false">Interface!$J$91</definedName>
    <definedName function="false" hidden="false" name="GIF_PlayerGW_YE_sov_2031" vbProcedure="false">Interface!$K$91</definedName>
    <definedName function="false" hidden="false" name="GIF_PlayerGW_YE_sov_2032" vbProcedure="false">Interface!$L$91</definedName>
    <definedName function="false" hidden="false" name="GIF_PlayerGW_YE_sov_SiteOnly_2024" vbProcedure="false">Interface!$D$107</definedName>
    <definedName function="false" hidden="false" name="GIF_PlayerGW_YE_sov_SiteOnly_2025" vbProcedure="false">Interface!$E$107</definedName>
    <definedName function="false" hidden="false" name="GIF_PlayerGW_YE_sov_SiteOnly_2026" vbProcedure="false">Interface!$F$107</definedName>
    <definedName function="false" hidden="false" name="GIF_PlayerGW_YE_sov_SiteOnly_2027" vbProcedure="false">Interface!$G$107</definedName>
    <definedName function="false" hidden="false" name="GIF_PlayerGW_YE_sov_SiteOnly_2028" vbProcedure="false">Interface!$H$107</definedName>
    <definedName function="false" hidden="false" name="GIF_PlayerGW_YE_sov_SiteOnly_2029" vbProcedure="false">Interface!$I$107</definedName>
    <definedName function="false" hidden="false" name="GIF_PlayerGW_YE_sov_SiteOnly_2030" vbProcedure="false">Interface!$J$107</definedName>
    <definedName function="false" hidden="false" name="GIF_PlayerGW_YE_sov_SiteOnly_2031" vbProcedure="false">Interface!$K$107</definedName>
    <definedName function="false" hidden="false" name="GIF_PlayerGW_YE_sov_SiteOnly_2032" vbProcedure="false">Interface!$L$107</definedName>
    <definedName function="false" hidden="false" name="GIF_PlayerGW_YE_wyfi_2024" vbProcedure="false">Interface!$D$86</definedName>
    <definedName function="false" hidden="false" name="GIF_PlayerGW_YE_wyfi_2025" vbProcedure="false">Interface!$E$86</definedName>
    <definedName function="false" hidden="false" name="GIF_PlayerGW_YE_wyfi_2026" vbProcedure="false">Interface!$F$86</definedName>
    <definedName function="false" hidden="false" name="GIF_PlayerGW_YE_wyfi_2027" vbProcedure="false">Interface!$G$86</definedName>
    <definedName function="false" hidden="false" name="GIF_PlayerGW_YE_wyfi_2028" vbProcedure="false">Interface!$H$86</definedName>
    <definedName function="false" hidden="false" name="GIF_PlayerGW_YE_wyfi_2029" vbProcedure="false">Interface!$I$86</definedName>
    <definedName function="false" hidden="false" name="GIF_PlayerGW_YE_wyfi_2030" vbProcedure="false">Interface!$J$86</definedName>
    <definedName function="false" hidden="false" name="GIF_PlayerGW_YE_wyfi_2031" vbProcedure="false">Interface!$K$86</definedName>
    <definedName function="false" hidden="false" name="GIF_PlayerGW_YE_wyfi_2032" vbProcedure="false">Interface!$L$86</definedName>
    <definedName function="false" hidden="false" name="GIF_PlayerGW_YE_wyfi_SiteOnly_2024" vbProcedure="false">Interface!$D$102</definedName>
    <definedName function="false" hidden="false" name="GIF_PlayerGW_YE_wyfi_SiteOnly_2025" vbProcedure="false">Interface!$E$102</definedName>
    <definedName function="false" hidden="false" name="GIF_PlayerGW_YE_wyfi_SiteOnly_2026" vbProcedure="false">Interface!$F$102</definedName>
    <definedName function="false" hidden="false" name="GIF_PlayerGW_YE_wyfi_SiteOnly_2027" vbProcedure="false">Interface!$G$102</definedName>
    <definedName function="false" hidden="false" name="GIF_PlayerGW_YE_wyfi_SiteOnly_2028" vbProcedure="false">Interface!$H$102</definedName>
    <definedName function="false" hidden="false" name="GIF_PlayerGW_YE_wyfi_SiteOnly_2029" vbProcedure="false">Interface!$I$102</definedName>
    <definedName function="false" hidden="false" name="GIF_PlayerGW_YE_wyfi_SiteOnly_2030" vbProcedure="false">Interface!$J$102</definedName>
    <definedName function="false" hidden="false" name="GIF_PlayerGW_YE_wyfi_SiteOnly_2031" vbProcedure="false">Interface!$K$102</definedName>
    <definedName function="false" hidden="false" name="GIF_PlayerGW_YE_wyfi_SiteOnly_2032" vbProcedure="false">Interface!$L$102</definedName>
    <definedName function="false" hidden="false" name="GIF_PlayerGW_YE_xai_2024" vbProcedure="false">Interface!$D$87</definedName>
    <definedName function="false" hidden="false" name="GIF_PlayerGW_YE_xai_2025" vbProcedure="false">Interface!$E$87</definedName>
    <definedName function="false" hidden="false" name="GIF_PlayerGW_YE_xai_2026" vbProcedure="false">Interface!$F$87</definedName>
    <definedName function="false" hidden="false" name="GIF_PlayerGW_YE_xai_2027" vbProcedure="false">Interface!$G$87</definedName>
    <definedName function="false" hidden="false" name="GIF_PlayerGW_YE_xai_2028" vbProcedure="false">Interface!$H$87</definedName>
    <definedName function="false" hidden="false" name="GIF_PlayerGW_YE_xai_2029" vbProcedure="false">Interface!$I$87</definedName>
    <definedName function="false" hidden="false" name="GIF_PlayerGW_YE_xai_2030" vbProcedure="false">Interface!$J$87</definedName>
    <definedName function="false" hidden="false" name="GIF_PlayerGW_YE_xai_2031" vbProcedure="false">Interface!$K$87</definedName>
    <definedName function="false" hidden="false" name="GIF_PlayerGW_YE_xai_2032" vbProcedure="false">Interface!$L$87</definedName>
    <definedName function="false" hidden="false" name="GIF_PlayerGW_YE_xai_SiteOnly_2024" vbProcedure="false">Interface!$D$103</definedName>
    <definedName function="false" hidden="false" name="GIF_PlayerGW_YE_xai_SiteOnly_2025" vbProcedure="false">Interface!$E$103</definedName>
    <definedName function="false" hidden="false" name="GIF_PlayerGW_YE_xai_SiteOnly_2026" vbProcedure="false">Interface!$F$103</definedName>
    <definedName function="false" hidden="false" name="GIF_PlayerGW_YE_xai_SiteOnly_2027" vbProcedure="false">Interface!$G$103</definedName>
    <definedName function="false" hidden="false" name="GIF_PlayerGW_YE_xai_SiteOnly_2028" vbProcedure="false">Interface!$H$103</definedName>
    <definedName function="false" hidden="false" name="GIF_PlayerGW_YE_xai_SiteOnly_2029" vbProcedure="false">Interface!$I$103</definedName>
    <definedName function="false" hidden="false" name="GIF_PlayerGW_YE_xai_SiteOnly_2030" vbProcedure="false">Interface!$J$103</definedName>
    <definedName function="false" hidden="false" name="GIF_PlayerGW_YE_xai_SiteOnly_2031" vbProcedure="false">Interface!$K$103</definedName>
    <definedName function="false" hidden="false" name="GIF_PlayerGW_YE_xai_SiteOnly_2032" vbProcedure="false">Interface!$L$103</definedName>
    <definedName function="false" hidden="false" name="GIF_ShippedNotOnline_A_D1_2024" vbProcedure="false">Interface!$D$37</definedName>
    <definedName function="false" hidden="false" name="GIF_ShippedNotOnline_A_D1_2025" vbProcedure="false">Interface!$E$37</definedName>
    <definedName function="false" hidden="false" name="GIF_ShippedNotOnline_A_D1_2026" vbProcedure="false">Interface!$F$37</definedName>
    <definedName function="false" hidden="false" name="GIF_ShippedNotOnline_A_D1_2027" vbProcedure="false">Interface!$G$37</definedName>
    <definedName function="false" hidden="false" name="GIF_ShippedNotOnline_A_D1_2028" vbProcedure="false">Interface!$H$37</definedName>
    <definedName function="false" hidden="false" name="GIF_ShippedNotOnline_A_D1_2029" vbProcedure="false">Interface!$I$37</definedName>
    <definedName function="false" hidden="false" name="GIF_ShippedNotOnline_A_D1_2030" vbProcedure="false">Interface!$J$37</definedName>
    <definedName function="false" hidden="false" name="GIF_ShippedNotOnline_A_D1_2031" vbProcedure="false">Interface!$K$37</definedName>
    <definedName function="false" hidden="false" name="GIF_ShippedNotOnline_A_D1_2032" vbProcedure="false">Interface!$L$37</definedName>
    <definedName function="false" hidden="false" name="GIF_ShippedNotOnline_A_D1_SiteOnly_2024" vbProcedure="false">Interface!$D$72</definedName>
    <definedName function="false" hidden="false" name="GIF_ShippedNotOnline_A_D1_SiteOnly_2025" vbProcedure="false">Interface!$E$72</definedName>
    <definedName function="false" hidden="false" name="GIF_ShippedNotOnline_A_D1_SiteOnly_2026" vbProcedure="false">Interface!$F$72</definedName>
    <definedName function="false" hidden="false" name="GIF_ShippedNotOnline_A_D1_SiteOnly_2027" vbProcedure="false">Interface!$G$72</definedName>
    <definedName function="false" hidden="false" name="GIF_ShippedNotOnline_A_D1_SiteOnly_2028" vbProcedure="false">Interface!$H$72</definedName>
    <definedName function="false" hidden="false" name="GIF_ShippedNotOnline_A_D1_SiteOnly_2029" vbProcedure="false">Interface!$I$72</definedName>
    <definedName function="false" hidden="false" name="GIF_ShippedNotOnline_A_D1_SiteOnly_2030" vbProcedure="false">Interface!$J$72</definedName>
    <definedName function="false" hidden="false" name="GIF_ShippedNotOnline_A_D1_SiteOnly_2031" vbProcedure="false">Interface!$K$72</definedName>
    <definedName function="false" hidden="false" name="GIF_ShippedNotOnline_A_D1_SiteOnly_2032" vbProcedure="false">Interface!$L$72</definedName>
    <definedName function="false" hidden="false" name="GIF_ShippedNotOnline_A_D2_2024" vbProcedure="false">Interface!$D$38</definedName>
    <definedName function="false" hidden="false" name="GIF_ShippedNotOnline_A_D2_2025" vbProcedure="false">Interface!$E$38</definedName>
    <definedName function="false" hidden="false" name="GIF_ShippedNotOnline_A_D2_2026" vbProcedure="false">Interface!$F$38</definedName>
    <definedName function="false" hidden="false" name="GIF_ShippedNotOnline_A_D2_2027" vbProcedure="false">Interface!$G$38</definedName>
    <definedName function="false" hidden="false" name="GIF_ShippedNotOnline_A_D2_2028" vbProcedure="false">Interface!$H$38</definedName>
    <definedName function="false" hidden="false" name="GIF_ShippedNotOnline_A_D2_2029" vbProcedure="false">Interface!$I$38</definedName>
    <definedName function="false" hidden="false" name="GIF_ShippedNotOnline_A_D2_2030" vbProcedure="false">Interface!$J$38</definedName>
    <definedName function="false" hidden="false" name="GIF_ShippedNotOnline_A_D2_2031" vbProcedure="false">Interface!$K$38</definedName>
    <definedName function="false" hidden="false" name="GIF_ShippedNotOnline_A_D2_2032" vbProcedure="false">Interface!$L$38</definedName>
    <definedName function="false" hidden="false" name="GIF_ShippedNotOnline_A_D2_SiteOnly_2024" vbProcedure="false">Interface!$D$73</definedName>
    <definedName function="false" hidden="false" name="GIF_ShippedNotOnline_A_D2_SiteOnly_2025" vbProcedure="false">Interface!$E$73</definedName>
    <definedName function="false" hidden="false" name="GIF_ShippedNotOnline_A_D2_SiteOnly_2026" vbProcedure="false">Interface!$F$73</definedName>
    <definedName function="false" hidden="false" name="GIF_ShippedNotOnline_A_D2_SiteOnly_2027" vbProcedure="false">Interface!$G$73</definedName>
    <definedName function="false" hidden="false" name="GIF_ShippedNotOnline_A_D2_SiteOnly_2028" vbProcedure="false">Interface!$H$73</definedName>
    <definedName function="false" hidden="false" name="GIF_ShippedNotOnline_A_D2_SiteOnly_2029" vbProcedure="false">Interface!$I$73</definedName>
    <definedName function="false" hidden="false" name="GIF_ShippedNotOnline_A_D2_SiteOnly_2030" vbProcedure="false">Interface!$J$73</definedName>
    <definedName function="false" hidden="false" name="GIF_ShippedNotOnline_A_D2_SiteOnly_2031" vbProcedure="false">Interface!$K$73</definedName>
    <definedName function="false" hidden="false" name="GIF_ShippedNotOnline_A_D2_SiteOnly_2032" vbProcedure="false">Interface!$L$73</definedName>
    <definedName function="false" hidden="false" name="GIF_ShippedNotOnline_B_D1_2024" vbProcedure="false">Interface!$D$39</definedName>
    <definedName function="false" hidden="false" name="GIF_ShippedNotOnline_B_D1_2025" vbProcedure="false">Interface!$E$39</definedName>
    <definedName function="false" hidden="false" name="GIF_ShippedNotOnline_B_D1_2026" vbProcedure="false">Interface!$F$39</definedName>
    <definedName function="false" hidden="false" name="GIF_ShippedNotOnline_B_D1_2027" vbProcedure="false">Interface!$G$39</definedName>
    <definedName function="false" hidden="false" name="GIF_ShippedNotOnline_B_D1_2028" vbProcedure="false">Interface!$H$39</definedName>
    <definedName function="false" hidden="false" name="GIF_ShippedNotOnline_B_D1_2029" vbProcedure="false">Interface!$I$39</definedName>
    <definedName function="false" hidden="false" name="GIF_ShippedNotOnline_B_D1_2030" vbProcedure="false">Interface!$J$39</definedName>
    <definedName function="false" hidden="false" name="GIF_ShippedNotOnline_B_D1_2031" vbProcedure="false">Interface!$K$39</definedName>
    <definedName function="false" hidden="false" name="GIF_ShippedNotOnline_B_D1_2032" vbProcedure="false">Interface!$L$39</definedName>
    <definedName function="false" hidden="false" name="GIF_ShippedNotOnline_B_D1_SiteOnly_2024" vbProcedure="false">Interface!$D$74</definedName>
    <definedName function="false" hidden="false" name="GIF_ShippedNotOnline_B_D1_SiteOnly_2025" vbProcedure="false">Interface!$E$74</definedName>
    <definedName function="false" hidden="false" name="GIF_ShippedNotOnline_B_D1_SiteOnly_2026" vbProcedure="false">Interface!$F$74</definedName>
    <definedName function="false" hidden="false" name="GIF_ShippedNotOnline_B_D1_SiteOnly_2027" vbProcedure="false">Interface!$G$74</definedName>
    <definedName function="false" hidden="false" name="GIF_ShippedNotOnline_B_D1_SiteOnly_2028" vbProcedure="false">Interface!$H$74</definedName>
    <definedName function="false" hidden="false" name="GIF_ShippedNotOnline_B_D1_SiteOnly_2029" vbProcedure="false">Interface!$I$74</definedName>
    <definedName function="false" hidden="false" name="GIF_ShippedNotOnline_B_D1_SiteOnly_2030" vbProcedure="false">Interface!$J$74</definedName>
    <definedName function="false" hidden="false" name="GIF_ShippedNotOnline_B_D1_SiteOnly_2031" vbProcedure="false">Interface!$K$74</definedName>
    <definedName function="false" hidden="false" name="GIF_ShippedNotOnline_B_D1_SiteOnly_2032" vbProcedure="false">Interface!$L$74</definedName>
    <definedName function="false" hidden="false" name="GIF_ShippedNotOnline_B_D2_2024" vbProcedure="false">Interface!$D$40</definedName>
    <definedName function="false" hidden="false" name="GIF_ShippedNotOnline_B_D2_2025" vbProcedure="false">Interface!$E$40</definedName>
    <definedName function="false" hidden="false" name="GIF_ShippedNotOnline_B_D2_2026" vbProcedure="false">Interface!$F$40</definedName>
    <definedName function="false" hidden="false" name="GIF_ShippedNotOnline_B_D2_2027" vbProcedure="false">Interface!$G$40</definedName>
    <definedName function="false" hidden="false" name="GIF_ShippedNotOnline_B_D2_2028" vbProcedure="false">Interface!$H$40</definedName>
    <definedName function="false" hidden="false" name="GIF_ShippedNotOnline_B_D2_2029" vbProcedure="false">Interface!$I$40</definedName>
    <definedName function="false" hidden="false" name="GIF_ShippedNotOnline_B_D2_2030" vbProcedure="false">Interface!$J$40</definedName>
    <definedName function="false" hidden="false" name="GIF_ShippedNotOnline_B_D2_2031" vbProcedure="false">Interface!$K$40</definedName>
    <definedName function="false" hidden="false" name="GIF_ShippedNotOnline_B_D2_2032" vbProcedure="false">Interface!$L$40</definedName>
    <definedName function="false" hidden="false" name="GIF_ShippedNotOnline_B_D2_SiteOnly_2024" vbProcedure="false">Interface!$D$75</definedName>
    <definedName function="false" hidden="false" name="GIF_ShippedNotOnline_B_D2_SiteOnly_2025" vbProcedure="false">Interface!$E$75</definedName>
    <definedName function="false" hidden="false" name="GIF_ShippedNotOnline_B_D2_SiteOnly_2026" vbProcedure="false">Interface!$F$75</definedName>
    <definedName function="false" hidden="false" name="GIF_ShippedNotOnline_B_D2_SiteOnly_2027" vbProcedure="false">Interface!$G$75</definedName>
    <definedName function="false" hidden="false" name="GIF_ShippedNotOnline_B_D2_SiteOnly_2028" vbProcedure="false">Interface!$H$75</definedName>
    <definedName function="false" hidden="false" name="GIF_ShippedNotOnline_B_D2_SiteOnly_2029" vbProcedure="false">Interface!$I$75</definedName>
    <definedName function="false" hidden="false" name="GIF_ShippedNotOnline_B_D2_SiteOnly_2030" vbProcedure="false">Interface!$J$75</definedName>
    <definedName function="false" hidden="false" name="GIF_ShippedNotOnline_B_D2_SiteOnly_2031" vbProcedure="false">Interface!$K$75</definedName>
    <definedName function="false" hidden="false" name="GIF_ShippedNotOnline_B_D2_SiteOnly_2032" vbProcedure="false">Interface!$L$75</definedName>
    <definedName function="false" hidden="false" name="GIF_ShippedNotOnline_C_D1_2024" vbProcedure="false">Interface!$D$41</definedName>
    <definedName function="false" hidden="false" name="GIF_ShippedNotOnline_C_D1_2025" vbProcedure="false">Interface!$E$41</definedName>
    <definedName function="false" hidden="false" name="GIF_ShippedNotOnline_C_D1_2026" vbProcedure="false">Interface!$F$41</definedName>
    <definedName function="false" hidden="false" name="GIF_ShippedNotOnline_C_D1_2027" vbProcedure="false">Interface!$G$41</definedName>
    <definedName function="false" hidden="false" name="GIF_ShippedNotOnline_C_D1_2028" vbProcedure="false">Interface!$H$41</definedName>
    <definedName function="false" hidden="false" name="GIF_ShippedNotOnline_C_D1_2029" vbProcedure="false">Interface!$I$41</definedName>
    <definedName function="false" hidden="false" name="GIF_ShippedNotOnline_C_D1_2030" vbProcedure="false">Interface!$J$41</definedName>
    <definedName function="false" hidden="false" name="GIF_ShippedNotOnline_C_D1_2031" vbProcedure="false">Interface!$K$41</definedName>
    <definedName function="false" hidden="false" name="GIF_ShippedNotOnline_C_D1_2032" vbProcedure="false">Interface!$L$41</definedName>
    <definedName function="false" hidden="false" name="GIF_ShippedNotOnline_C_D1_SiteOnly_2024" vbProcedure="false">Interface!$D$76</definedName>
    <definedName function="false" hidden="false" name="GIF_ShippedNotOnline_C_D1_SiteOnly_2025" vbProcedure="false">Interface!$E$76</definedName>
    <definedName function="false" hidden="false" name="GIF_ShippedNotOnline_C_D1_SiteOnly_2026" vbProcedure="false">Interface!$F$76</definedName>
    <definedName function="false" hidden="false" name="GIF_ShippedNotOnline_C_D1_SiteOnly_2027" vbProcedure="false">Interface!$G$76</definedName>
    <definedName function="false" hidden="false" name="GIF_ShippedNotOnline_C_D1_SiteOnly_2028" vbProcedure="false">Interface!$H$76</definedName>
    <definedName function="false" hidden="false" name="GIF_ShippedNotOnline_C_D1_SiteOnly_2029" vbProcedure="false">Interface!$I$76</definedName>
    <definedName function="false" hidden="false" name="GIF_ShippedNotOnline_C_D1_SiteOnly_2030" vbProcedure="false">Interface!$J$76</definedName>
    <definedName function="false" hidden="false" name="GIF_ShippedNotOnline_C_D1_SiteOnly_2031" vbProcedure="false">Interface!$K$76</definedName>
    <definedName function="false" hidden="false" name="GIF_ShippedNotOnline_C_D1_SiteOnly_2032" vbProcedure="false">Interface!$L$76</definedName>
    <definedName function="false" hidden="false" name="GIF_ShippedNotOnline_C_D2_2024" vbProcedure="false">Interface!$D$42</definedName>
    <definedName function="false" hidden="false" name="GIF_ShippedNotOnline_C_D2_2025" vbProcedure="false">Interface!$E$42</definedName>
    <definedName function="false" hidden="false" name="GIF_ShippedNotOnline_C_D2_2026" vbProcedure="false">Interface!$F$42</definedName>
    <definedName function="false" hidden="false" name="GIF_ShippedNotOnline_C_D2_2027" vbProcedure="false">Interface!$G$42</definedName>
    <definedName function="false" hidden="false" name="GIF_ShippedNotOnline_C_D2_2028" vbProcedure="false">Interface!$H$42</definedName>
    <definedName function="false" hidden="false" name="GIF_ShippedNotOnline_C_D2_2029" vbProcedure="false">Interface!$I$42</definedName>
    <definedName function="false" hidden="false" name="GIF_ShippedNotOnline_C_D2_2030" vbProcedure="false">Interface!$J$42</definedName>
    <definedName function="false" hidden="false" name="GIF_ShippedNotOnline_C_D2_2031" vbProcedure="false">Interface!$K$42</definedName>
    <definedName function="false" hidden="false" name="GIF_ShippedNotOnline_C_D2_2032" vbProcedure="false">Interface!$L$42</definedName>
    <definedName function="false" hidden="false" name="GIF_ShippedNotOnline_C_D2_SiteOnly_2024" vbProcedure="false">Interface!$D$77</definedName>
    <definedName function="false" hidden="false" name="GIF_ShippedNotOnline_C_D2_SiteOnly_2025" vbProcedure="false">Interface!$E$77</definedName>
    <definedName function="false" hidden="false" name="GIF_ShippedNotOnline_C_D2_SiteOnly_2026" vbProcedure="false">Interface!$F$77</definedName>
    <definedName function="false" hidden="false" name="GIF_ShippedNotOnline_C_D2_SiteOnly_2027" vbProcedure="false">Interface!$G$77</definedName>
    <definedName function="false" hidden="false" name="GIF_ShippedNotOnline_C_D2_SiteOnly_2028" vbProcedure="false">Interface!$H$77</definedName>
    <definedName function="false" hidden="false" name="GIF_ShippedNotOnline_C_D2_SiteOnly_2029" vbProcedure="false">Interface!$I$77</definedName>
    <definedName function="false" hidden="false" name="GIF_ShippedNotOnline_C_D2_SiteOnly_2030" vbProcedure="false">Interface!$J$77</definedName>
    <definedName function="false" hidden="false" name="GIF_ShippedNotOnline_C_D2_SiteOnly_2031" vbProcedure="false">Interface!$K$77</definedName>
    <definedName function="false" hidden="false" name="GIF_ShippedNotOnline_C_D2_SiteOnly_2032" vbProcedure="false">Interface!$L$77</definedName>
    <definedName function="false" hidden="false" name="g_ITtoFac" vbProcedure="false">In!$I$6</definedName>
    <definedName function="false" hidden="false" name="g_lt" vbProcedure="false">In!$I$11</definedName>
    <definedName function="false" hidden="false" name="g_lt_hi" vbProcedure="false">In!$J$11</definedName>
    <definedName function="false" hidden="false" name="g_lt_lo" vbProcedure="false">In!$H$11</definedName>
    <definedName function="false" hidden="false" name="k_chip2it" vbProcedure="false">In!$I$7</definedName>
    <definedName function="false" hidden="false" name="k_chip2it_hi" vbProcedure="false">In!$J$7</definedName>
    <definedName function="false" hidden="false" name="k_chip2it_lo" vbProcedure="false">In!$H$7</definedName>
    <definedName function="false" hidden="false" name="lag_bldg" vbProcedure="false">In!$I$10</definedName>
    <definedName function="false" hidden="false" name="lag_bldg_hi" vbProcedure="false">In!$J$10</definedName>
    <definedName function="false" hidden="false" name="lag_bldg_lo" vbProcedure="false">In!$H$10</definedName>
    <definedName function="false" hidden="false" name="lease_nc_amzn" vbProcedure="false">In!$I$63</definedName>
    <definedName function="false" hidden="false" name="lease_nc_googl" vbProcedure="false">In!$I$62</definedName>
    <definedName function="false" hidden="false" name="lease_nc_msft" vbProcedure="false">In!$I$61</definedName>
    <definedName function="false" hidden="false" name="msft_guardian" vbProcedure="false">In!$I$44</definedName>
    <definedName function="false" hidden="false" name="msft_guardian_hi" vbProcedure="false">In!$J$44</definedName>
    <definedName function="false" hidden="false" name="msft_guardian_lo" vbProcedure="false">In!$H$44</definedName>
    <definedName function="false" hidden="false" name="nnv_amzn" vbProcedure="false">In!$I$66</definedName>
    <definedName function="false" hidden="false" name="nnv_crwv" vbProcedure="false">In!$I$67</definedName>
    <definedName function="false" hidden="false" name="nnv_googl" vbProcedure="false">In!$I$65</definedName>
    <definedName function="false" hidden="false" name="nnv_nbis" vbProcedure="false">In!$I$68</definedName>
    <definedName function="false" hidden="false" name="nnv_wyfi" vbProcedure="false">In!$I$69</definedName>
    <definedName function="false" hidden="false" name="nnv_xai" vbProcedure="false">In!$I$70</definedName>
    <definedName function="false" hidden="false" name="obschip_googl" vbProcedure="false">In!$I$31</definedName>
    <definedName function="false" hidden="false" name="obsd_amzn" vbProcedure="false">In!$I$34</definedName>
    <definedName function="false" hidden="false" name="obsd_crwv" vbProcedure="false">In!$I$38</definedName>
    <definedName function="false" hidden="false" name="obsd_googl" vbProcedure="false">In!$I$32</definedName>
    <definedName function="false" hidden="false" name="obsd_msft" vbProcedure="false">In!$I$30</definedName>
    <definedName function="false" hidden="false" name="obsd_orcl" vbProcedure="false">In!$I$36</definedName>
    <definedName function="false" hidden="false" name="obsd_xai" vbProcedure="false">In!$I$40</definedName>
    <definedName function="false" hidden="false" name="obs_amzn" vbProcedure="false">In!$I$33</definedName>
    <definedName function="false" hidden="false" name="obs_amzn_hi" vbProcedure="false">In!$J$33</definedName>
    <definedName function="false" hidden="false" name="obs_amzn_lo" vbProcedure="false">In!$H$33</definedName>
    <definedName function="false" hidden="false" name="obs_crwv" vbProcedure="false">In!$I$37</definedName>
    <definedName function="false" hidden="false" name="obs_msft" vbProcedure="false">In!$I$29</definedName>
    <definedName function="false" hidden="false" name="obs_msft_hi" vbProcedure="false">In!$J$29</definedName>
    <definedName function="false" hidden="false" name="obs_msft_lo" vbProcedure="false">In!$H$29</definedName>
    <definedName function="false" hidden="false" name="obs_orcl" vbProcedure="false">In!$I$35</definedName>
    <definedName function="false" hidden="false" name="obs_xai" vbProcedure="false">In!$I$39</definedName>
    <definedName function="false" hidden="false" name="other_incl_china" vbProcedure="false">In!$I$48</definedName>
    <definedName function="false" hidden="false" name="other_incl_china_hi" vbProcedure="false">In!$J$48</definedName>
    <definedName function="false" hidden="false" name="other_incl_china_lo" vbProcedure="false">In!$H$48</definedName>
    <definedName function="false" hidden="false" name="oth_excn" vbProcedure="false">In!$I$50</definedName>
    <definedName function="false" hidden="false" name="oth_excn_hi" vbProcedure="false">In!$J$50</definedName>
    <definedName function="false" hidden="false" name="oth_excn_lo" vbProcedure="false">In!$H$50</definedName>
    <definedName function="false" hidden="false" name="oth_full" vbProcedure="false">In!$I$49</definedName>
    <definedName function="false" hidden="false" name="oth_full_hi" vbProcedure="false">In!$J$49</definedName>
    <definedName function="false" hidden="false" name="oth_full_lo" vbProcedure="false">In!$H$49</definedName>
    <definedName function="false" hidden="false" name="ovr25_amzn" vbProcedure="false">In!$I$43</definedName>
    <definedName function="false" hidden="false" name="ovr25_amzn_hi" vbProcedure="false">In!$J$43</definedName>
    <definedName function="false" hidden="false" name="ovr25_amzn_lo" vbProcedure="false">In!$H$43</definedName>
    <definedName function="false" hidden="false" name="ovr25_googl" vbProcedure="false">In!$I$42</definedName>
    <definedName function="false" hidden="false" name="ovr25_googl_hi" vbProcedure="false">In!$J$42</definedName>
    <definedName function="false" hidden="false" name="ovr25_googl_lo" vbProcedure="false">In!$H$42</definedName>
    <definedName function="false" hidden="false" name="rng25_cn" vbProcedure="false">In!$I$46</definedName>
    <definedName function="false" hidden="false" name="rng25_cn_hi" vbProcedure="false">In!$J$46</definedName>
    <definedName function="false" hidden="false" name="rng25_cn_lo" vbProcedure="false">In!$H$46</definedName>
    <definedName function="false" hidden="false" name="rng25_neo" vbProcedure="false">In!$I$45</definedName>
    <definedName function="false" hidden="false" name="rng25_neo_hi" vbProcedure="false">In!$J$45</definedName>
    <definedName function="false" hidden="false" name="rng25_neo_lo" vbProcedure="false">In!$H$45</definedName>
    <definedName function="false" hidden="false" name="rng26_cn" vbProcedure="false">In!$I$47</definedName>
    <definedName function="false" hidden="false" name="rng26_cn_hi" vbProcedure="false">In!$J$47</definedName>
    <definedName function="false" hidden="false" name="rng26_cn_lo" vbProcedure="false">In!$H$47</definedName>
    <definedName function="false" hidden="false" name="SIL_it_AMD8" vbProcedure="false">SIL_In!$D$12</definedName>
    <definedName function="false" hidden="false" name="SIL_it_AMDR" vbProcedure="false">SIL_In!$D$13</definedName>
    <definedName function="false" hidden="false" name="SIL_it_ASIC" vbProcedure="false">SIL_In!$D$16</definedName>
    <definedName function="false" hidden="false" name="SIL_it_GB" vbProcedure="false">SIL_In!$D$8</definedName>
    <definedName function="false" hidden="false" name="SIL_it_HP" vbProcedure="false">SIL_In!$D$11</definedName>
    <definedName function="false" hidden="false" name="SIL_it_RU" vbProcedure="false">SIL_In!$D$10</definedName>
    <definedName function="false" hidden="false" name="SIL_it_TPU" vbProcedure="false">SIL_In!$D$14</definedName>
    <definedName function="false" hidden="false" name="SIL_it_TRN" vbProcedure="false">SIL_In!$D$15</definedName>
    <definedName function="false" hidden="false" name="SIL_it_VR" vbProcedure="false">SIL_In!$D$9</definedName>
    <definedName function="false" hidden="false" name="SIL_vr26" vbProcedure="false">SIL_In!$D$5</definedName>
    <definedName function="false" hidden="false" name="SIL_vr26_hi" vbProcedure="false">SIL_In!$D$7</definedName>
    <definedName function="false" hidden="false" name="SIL_vr26_lo" vbProcedure="false">SIL_In!$D$6</definedName>
    <definedName function="false" hidden="false" name="tgt_msft_32" vbProcedure="false">In!$I$60</definedName>
    <definedName function="false" hidden="false" name="tgt_xai_27" vbProcedure="false">In!$I$59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FacilityGW_GB200" vbProcedure="false">TK_In!$E$60</definedName>
    <definedName function="false" hidden="false" name="TK_FacilityGW_GB200_hi" vbProcedure="false">TK_In!$F$60</definedName>
    <definedName function="false" hidden="false" name="TK_FacilityGW_GB200_lo" vbProcedure="false">TK_In!$D$60</definedName>
    <definedName function="false" hidden="false" name="TK_FacilityGW_GB300" vbProcedure="false">TK_In!$E$61</definedName>
    <definedName function="false" hidden="false" name="TK_FacilityGW_GB300_hi" vbProcedure="false">TK_In!$F$61</definedName>
    <definedName function="false" hidden="false" name="TK_FacilityGW_GB300_lo" vbProcedure="false">TK_In!$D$61</definedName>
    <definedName function="false" hidden="false" name="TK_FacilityGW_H100" vbProcedure="false">TK_In!$E$59</definedName>
    <definedName function="false" hidden="false" name="TK_FacilityGW_H100_hi" vbProcedure="false">TK_In!$F$59</definedName>
    <definedName function="false" hidden="false" name="TK_FacilityGW_H100_lo" vbProcedure="false">TK_In!$D$59</definedName>
    <definedName function="false" hidden="false" name="TK_FacilityGW_RU" vbProcedure="false">TK_In!$E$63</definedName>
    <definedName function="false" hidden="false" name="TK_FacilityGW_RU_hi" vbProcedure="false">TK_In!$F$63</definedName>
    <definedName function="false" hidden="false" name="TK_FacilityGW_RU_lo" vbProcedure="false">TK_In!$D$63</definedName>
    <definedName function="false" hidden="false" name="TK_FacilityGW_VR200" vbProcedure="false">TK_In!$E$62</definedName>
    <definedName function="false" hidden="false" name="TK_FacilityGW_VR200_hi" vbProcedure="false">TK_In!$F$62</definedName>
    <definedName function="false" hidden="false" name="TK_FacilityGW_VR200_lo" vbProcedure="false">TK_In!$D$62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olband" vbProcedure="false">In!$I$9</definedName>
    <definedName function="false" hidden="false" name="tolband_hi" vbProcedure="false">In!$J$9</definedName>
    <definedName function="false" hidden="false" name="tolband_lo" vbProcedure="false">In!$H$9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<sst xmlns="http://schemas.openxmlformats.org/spreadsheetml/2006/main" count="7695" uniqueCount="3349">
  <si>
    <r>
      <rPr>
        <b val="true"/>
        <sz val="13"/>
        <rFont val="Cambria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帳 </t>
    </r>
    <r>
      <rPr>
        <b val="true"/>
        <sz val="13"/>
        <rFont val="Cambria"/>
        <family val="0"/>
        <charset val="1"/>
      </rPr>
      <t xml:space="preserve">v0.1 — </t>
    </r>
    <r>
      <rPr>
        <b val="true"/>
        <sz val="13"/>
        <rFont val="Noto Sans CJK SC"/>
        <family val="2"/>
      </rPr>
      <t xml:space="preserve">全市場 </t>
    </r>
    <r>
      <rPr>
        <b val="true"/>
        <sz val="13"/>
        <rFont val="Cambria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資料中心 </t>
    </r>
    <r>
      <rPr>
        <b val="true"/>
        <sz val="13"/>
        <rFont val="Cambria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唯一基準事實（</t>
    </r>
    <r>
      <rPr>
        <b val="true"/>
        <sz val="13"/>
        <rFont val="Cambria"/>
        <family val="0"/>
        <charset val="1"/>
      </rPr>
      <t xml:space="preserve">20261028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</si>
  <si>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要與主要玩家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對得上，再與資本支出、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顆數、記憶體、電廠與發電機組、電源散熱、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投資地圖個股逐環對得上；並加入與需求情景正交的基建延遲情景。</t>
    </r>
  </si>
  <si>
    <r>
      <rPr>
        <sz val="11"/>
        <color theme="1"/>
        <rFont val="Noto Sans CJK SC"/>
        <family val="2"/>
      </rPr>
      <t xml:space="preserve">驅動 → 推導：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晶片功耗、玩家年底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、觀測、園區管線、延遲 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、世代組合、使用者分配）＋ 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係數、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（顆數、情景係數）→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（玩家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Matrix</t>
    </r>
    <r>
      <rPr>
        <sz val="11"/>
        <color theme="1"/>
        <rFont val="Noto Sans CJK SC"/>
        <family val="2"/>
      </rPr>
      <t xml:space="preserve">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使用者）→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延遲）→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（需求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3×3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Compare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GIF_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GGOV_Errors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</si>
  <si>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單位（規劃書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）：主口徑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IT × TK IF_FacilityGW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）。公司標設施者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；口徑未說明者基準取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讀法，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</si>
  <si>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輸入｜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鏡像（綠字）｜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使用者｜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園區管線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第三方｜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資本支出對帳｜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Interface GIF_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DB_Evidence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Requests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</si>
  <si>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、延遲管線（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GIF_ </t>
    </r>
    <r>
      <rPr>
        <sz val="11"/>
        <color theme="1"/>
        <rFont val="Noto Sans CJK SC"/>
        <family val="2"/>
      </rPr>
      <t xml:space="preserve">輸出；</t>
    </r>
    <r>
      <rPr>
        <sz val="11"/>
        <color theme="1"/>
        <rFont val="Calibri"/>
        <family val="2"/>
        <charset val="1"/>
      </rPr>
      <t xml:space="preserve">C2–C7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起。第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階段：填入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證據（只用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段判屬實或已更正的列；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頁列全部證據與判定），延遲參數依 </t>
    </r>
    <r>
      <rPr>
        <sz val="11"/>
        <color theme="1"/>
        <rFont val="Calibri"/>
        <family val="2"/>
        <charset val="1"/>
      </rPr>
      <t xml:space="preserve">B_delay </t>
    </r>
    <r>
      <rPr>
        <sz val="11"/>
        <color theme="1"/>
        <rFont val="Noto Sans CJK SC"/>
        <family val="2"/>
      </rPr>
      <t xml:space="preserve">校準。</t>
    </r>
  </si>
  <si>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階段：新增 </t>
    </r>
    <r>
      <rPr>
        <b val="true"/>
        <sz val="13"/>
        <rFont val="Cambria"/>
        <family val="0"/>
        <charset val="1"/>
      </rPr>
      <t xml:space="preserve">CapexGW </t>
    </r>
    <r>
      <rPr>
        <b val="true"/>
        <sz val="13"/>
        <rFont val="Noto Sans CJK SC"/>
        <family val="2"/>
      </rPr>
      <t xml:space="preserve">頁（甲</t>
    </r>
    <r>
      <rPr>
        <b val="true"/>
        <sz val="13"/>
        <rFont val="Cambria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：資本支出推得 </t>
    </r>
    <r>
      <rPr>
        <b val="true"/>
        <sz val="13"/>
        <rFont val="Cambria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MSFT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AMZN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META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ORCL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CRWV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NBIS 2027 </t>
    </r>
    <r>
      <rPr>
        <b val="true"/>
        <sz val="13"/>
        <rFont val="Noto Sans CJK SC"/>
        <family val="2"/>
      </rPr>
      <t xml:space="preserve">起進主路徑）；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另出 </t>
    </r>
    <r>
      <rPr>
        <b val="true"/>
        <sz val="13"/>
        <rFont val="Cambria"/>
        <family val="0"/>
        <charset val="1"/>
      </rPr>
      <t xml:space="preserve">_SiteOnly</t>
    </r>
    <r>
      <rPr>
        <b val="true"/>
        <sz val="13"/>
        <rFont val="Noto Sans CJK SC"/>
        <family val="2"/>
      </rPr>
      <t xml:space="preserve">（只有 甲）；</t>
    </r>
    <r>
      <rPr>
        <b val="true"/>
        <sz val="13"/>
        <rFont val="Cambria"/>
        <family val="0"/>
        <charset val="1"/>
      </rPr>
      <t xml:space="preserve">GIF_Coverage_&lt;yyyy&gt;</t>
    </r>
    <r>
      <rPr>
        <b val="true"/>
        <sz val="13"/>
        <rFont val="Noto Sans CJK SC"/>
        <family val="2"/>
      </rPr>
      <t xml:space="preserve">。下游取用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年後數值前看覆蓋率。</t>
    </r>
  </si>
  <si>
    <t xml:space="preserve">顏色：藍字＝輸入；黑字＝公式；綠字＝跨頁或外部鏡像；淡黃底＝關鍵輸出；亮黃底＝待證據或預設待決。</t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</si>
  <si>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）。公式頁不要手改。下游只讀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GIF_ </t>
    </r>
    <r>
      <rPr>
        <sz val="11"/>
        <color theme="1"/>
        <rFont val="Noto Sans CJK SC"/>
        <family val="2"/>
      </rPr>
      <t xml:space="preserve">名稱（經快照）。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</si>
  <si>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YYYYMMDD_GWLedger_vX.Y.xlsx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記錄現行檔名；</t>
    </r>
    <r>
      <rPr>
        <sz val="11"/>
        <color theme="1"/>
        <rFont val="Calibri"/>
        <family val="2"/>
        <charset val="1"/>
      </rPr>
      <t xml:space="preserve">data/CURRENT_SNAPSHOT </t>
    </r>
    <r>
      <rPr>
        <sz val="11"/>
        <color theme="1"/>
        <rFont val="Noto Sans CJK SC"/>
        <family val="2"/>
      </rPr>
      <t xml:space="preserve">指向現行快照。</t>
    </r>
  </si>
  <si>
    <r>
      <rPr>
        <sz val="11"/>
        <color theme="1"/>
        <rFont val="Calibri"/>
        <family val="2"/>
        <charset val="1"/>
      </rPr>
      <t xml:space="preserve">In — GW </t>
    </r>
    <r>
      <rPr>
        <sz val="11"/>
        <color theme="1"/>
        <rFont val="Noto Sans CJK SC"/>
        <family val="2"/>
      </rPr>
      <t xml:space="preserve">帳輸入（藍字＝輸入，由本活頁簿擁有；要改值直接改本頁，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讀回）。純量列：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＝低／基準／高，具名範圍＝鍵（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欄）；年度列：</t>
    </r>
    <r>
      <rPr>
        <sz val="11"/>
        <color theme="1"/>
        <rFont val="Calibri"/>
        <family val="2"/>
        <charset val="1"/>
      </rPr>
      <t xml:space="preserve">H–Q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分配表、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園區表見節標題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</si>
  <si>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（寫明換算）／待證據（值留空）。來源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頁；說明欄的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列號（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頁，含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段判定）。口徑：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／設施／未說明／晶片（主口徑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讀法）。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欄＝輸入列類型（治理檢查用）</t>
    </r>
  </si>
  <si>
    <t xml:space="preserve">鍵</t>
  </si>
  <si>
    <t xml:space="preserve">項目</t>
  </si>
  <si>
    <t xml:space="preserve">口徑</t>
  </si>
  <si>
    <t xml:space="preserve">單位</t>
  </si>
  <si>
    <t xml:space="preserve">標記</t>
  </si>
  <si>
    <r>
      <rPr>
        <b val="true"/>
        <sz val="11"/>
        <rFont val="Noto Sans CJK SC"/>
        <family val="2"/>
      </rPr>
      <t xml:space="preserve">來源 </t>
    </r>
    <r>
      <rPr>
        <b val="true"/>
        <sz val="11"/>
        <rFont val="Cambria"/>
        <family val="0"/>
        <charset val="1"/>
      </rPr>
      <t xml:space="preserve">ID</t>
    </r>
  </si>
  <si>
    <t xml:space="preserve">說明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</si>
  <si>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</si>
  <si>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</si>
  <si>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</si>
  <si>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</si>
  <si>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</si>
  <si>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</si>
  <si>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</si>
  <si>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</si>
  <si>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</si>
  <si>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</si>
  <si>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類型</t>
  </si>
  <si>
    <r>
      <rPr>
        <b val="true"/>
        <sz val="11"/>
        <rFont val="Cambria"/>
        <family val="0"/>
        <charset val="1"/>
      </rPr>
      <t xml:space="preserve">S1. </t>
    </r>
    <r>
      <rPr>
        <b val="true"/>
        <sz val="11"/>
        <rFont val="Noto Sans CJK SC"/>
        <family val="2"/>
      </rPr>
      <t xml:space="preserve">單位換算與共用參數（主口徑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TK GW</t>
    </r>
    <r>
      <rPr>
        <b val="true"/>
        <sz val="11"/>
        <rFont val="Noto Sans CJK SC"/>
        <family val="2"/>
      </rPr>
      <t xml:space="preserve">；設施電力＝</t>
    </r>
    <r>
      <rPr>
        <b val="true"/>
        <sz val="11"/>
        <rFont val="Cambria"/>
        <family val="0"/>
        <charset val="1"/>
      </rPr>
      <t xml:space="preserve">IT × TK IF_FacilityGW</t>
    </r>
    <r>
      <rPr>
        <b val="true"/>
        <sz val="11"/>
        <rFont val="Noto Sans CJK SC"/>
        <family val="2"/>
      </rPr>
      <t xml:space="preserve">）</t>
    </r>
  </si>
  <si>
    <t xml:space="preserve">g_ITtoFac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</si>
  <si>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值 →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帳主口徑（</t>
    </r>
    <r>
      <rPr>
        <sz val="11"/>
        <color theme="1"/>
        <rFont val="Calibri"/>
        <family val="2"/>
        <charset val="1"/>
      </rPr>
      <t xml:space="preserve">IT→IT</t>
    </r>
    <r>
      <rPr>
        <sz val="11"/>
        <color theme="1"/>
        <rFont val="Noto Sans CJK SC"/>
        <family val="2"/>
      </rPr>
      <t xml:space="preserve">）換算係數</t>
    </r>
  </si>
  <si>
    <t xml:space="preserve">—</t>
  </si>
  <si>
    <t xml:space="preserve">x</t>
  </si>
  <si>
    <t xml:space="preserve">Derived</t>
  </si>
  <si>
    <t xml:space="preserve">SRC_GL_003</t>
  </si>
  <si>
    <r>
      <rPr>
        <sz val="11"/>
        <color theme="1"/>
        <rFont val="Calibri"/>
        <family val="2"/>
        <charset val="1"/>
      </rPr>
      <t xml:space="preserve">Requests R1 </t>
    </r>
    <r>
      <rPr>
        <sz val="11"/>
        <color theme="1"/>
        <rFont val="Noto Sans CJK SC"/>
        <family val="2"/>
      </rPr>
      <t xml:space="preserve">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關鍵電力，主口徑＝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，係數＝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</si>
  <si>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t xml:space="preserve">k_chip2it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</si>
  <si>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電力換算係數</t>
    </r>
  </si>
  <si>
    <t xml:space="preserve">Analogy</t>
  </si>
  <si>
    <t xml:space="preserve">SRC_GL_203</t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</si>
  <si>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repo mw.conv.itPerTdp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2.08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設施係數 </t>
    </r>
    <r>
      <rPr>
        <sz val="11"/>
        <color theme="1"/>
        <rFont val="Calibri"/>
        <family val="2"/>
        <charset val="1"/>
      </rPr>
      <t xml:space="preserve">2.5 ÷ 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× 1.98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× 2.5 </t>
    </r>
    <r>
      <rPr>
        <sz val="11"/>
        <color theme="1"/>
        <rFont val="Noto Sans CJK SC"/>
        <family val="2"/>
      </rPr>
      <t xml:space="preserve">不一致</t>
    </r>
  </si>
  <si>
    <t xml:space="preserve">asof</t>
  </si>
  <si>
    <r>
      <rPr>
        <sz val="11"/>
        <color theme="1"/>
        <rFont val="Noto Sans CJK SC"/>
        <family val="2"/>
      </rPr>
      <t xml:space="preserve">評價時點（小數年；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</si>
  <si>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年</t>
  </si>
  <si>
    <t xml:space="preserve">SRC_GL_004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</si>
  <si>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28/31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12</t>
    </r>
    <r>
      <rPr>
        <sz val="11"/>
        <color theme="1"/>
        <rFont val="Noto Sans CJK SC"/>
        <family val="2"/>
      </rPr>
      <t xml:space="preserve">；延遲只作用於此時點之後的上線量</t>
    </r>
  </si>
  <si>
    <t xml:space="preserve">tolband</t>
  </si>
  <si>
    <r>
      <rPr>
        <sz val="11"/>
        <color theme="1"/>
        <rFont val="Noto Sans CJK SC"/>
        <family val="2"/>
      </rPr>
      <t xml:space="preserve">對帳容許帶（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</si>
  <si>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</si>
  <si>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</si>
  <si>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±15%</t>
    </r>
  </si>
  <si>
    <t xml:space="preserve">lag_bldg</t>
  </si>
  <si>
    <t xml:space="preserve">建物資本支出提前入帳月數</t>
  </si>
  <si>
    <t xml:space="preserve">月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</si>
  <si>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D#14 </t>
    </r>
    <r>
      <rPr>
        <sz val="11"/>
        <color theme="1"/>
        <rFont val="Noto Sans CJK SC"/>
        <family val="2"/>
      </rPr>
      <t xml:space="preserve">建物工期 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月（屬實）</t>
    </r>
  </si>
  <si>
    <t xml:space="preserve">g_lt</t>
  </si>
  <si>
    <r>
      <rPr>
        <sz val="11"/>
        <color theme="1"/>
        <rFont val="Noto Sans CJK SC"/>
        <family val="2"/>
      </rPr>
      <t xml:space="preserve">長期年新增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收斂目標）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</si>
  <si>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年增率線性收斂到長期成長率（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階段指示）</t>
    </r>
  </si>
  <si>
    <r>
      <rPr>
        <b val="true"/>
        <sz val="11"/>
        <rFont val="Cambria"/>
        <family val="0"/>
        <charset val="1"/>
      </rPr>
      <t xml:space="preserve">S1b. </t>
    </r>
    <r>
      <rPr>
        <b val="true"/>
        <sz val="11"/>
        <rFont val="Noto Sans CJK SC"/>
        <family val="2"/>
      </rPr>
      <t xml:space="preserve">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資本支出推得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AMZN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ORCL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CRWV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NBIS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起主路徑）</t>
    </r>
  </si>
  <si>
    <t xml:space="preserve">ai_sh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</si>
  <si>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占比（全公司資本支出中用於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資料中心的比例；各家未覆寫者）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</si>
  <si>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；依證據逐家覆寫見 </t>
    </r>
    <r>
      <rPr>
        <sz val="11"/>
        <color theme="1"/>
        <rFont val="Calibri"/>
        <family val="2"/>
        <charset val="1"/>
      </rPr>
      <t xml:space="preserve">ai_&lt;</t>
    </r>
    <r>
      <rPr>
        <sz val="11"/>
        <color theme="1"/>
        <rFont val="Noto Sans CJK SC"/>
        <family val="2"/>
      </rPr>
      <t xml:space="preserve">玩家</t>
    </r>
    <r>
      <rPr>
        <sz val="11"/>
        <color theme="1"/>
        <rFont val="Calibri"/>
        <family val="2"/>
        <charset val="1"/>
      </rPr>
      <t xml:space="preserve">&gt;</t>
    </r>
  </si>
  <si>
    <t xml:space="preserve">ai_amzn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</si>
  <si>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占比覆寫（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占淨增加比）</t>
    </r>
  </si>
  <si>
    <t xml:space="preserve">SRC_GL_030</t>
  </si>
  <si>
    <r>
      <rPr>
        <sz val="11"/>
        <color theme="1"/>
        <rFont val="Calibri"/>
        <family val="2"/>
        <charset val="1"/>
      </rPr>
      <t xml:space="preserve">amazon/company.json mag.capex.netAddBySegFY 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96.5 ÷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142.4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（零售物流非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占比未知，以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占比代（偏高）</t>
    </r>
  </si>
  <si>
    <t xml:space="preserve">cap_g_ext</t>
  </si>
  <si>
    <r>
      <rPr>
        <sz val="11"/>
        <color theme="1"/>
        <rFont val="Noto Sans CJK SC"/>
        <family val="2"/>
      </rPr>
      <t xml:space="preserve">個股模型最後一年之後的資本支出年增（甲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外推）</t>
    </r>
  </si>
  <si>
    <r>
      <rPr>
        <sz val="11"/>
        <color theme="1"/>
        <rFont val="Noto Sans CJK SC"/>
        <family val="2"/>
      </rPr>
      <t xml:space="preserve">共識只到 </t>
    </r>
    <r>
      <rPr>
        <sz val="11"/>
        <color theme="1"/>
        <rFont val="Calibri"/>
        <family val="2"/>
        <charset val="1"/>
      </rPr>
      <t xml:space="preserve">FY28–FY29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指引）；之後以本值外推，基準＝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；最早一年之前取最早值</t>
    </r>
  </si>
  <si>
    <r>
      <rPr>
        <b val="true"/>
        <sz val="11"/>
        <rFont val="Cambria"/>
        <family val="0"/>
        <charset val="1"/>
      </rPr>
      <t xml:space="preserve">S1c. </t>
    </r>
    <r>
      <rPr>
        <b val="true"/>
        <sz val="11"/>
        <rFont val="Noto Sans CJK SC"/>
        <family val="2"/>
      </rPr>
      <t xml:space="preserve">中國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年後路徑（</t>
    </r>
    <r>
      <rPr>
        <b val="true"/>
        <sz val="11"/>
        <rFont val="Cambria"/>
        <family val="0"/>
        <charset val="1"/>
      </rPr>
      <t xml:space="preserve">Rystad</t>
    </r>
    <r>
      <rPr>
        <b val="true"/>
        <sz val="11"/>
        <rFont val="Noto Sans CJK SC"/>
        <family val="2"/>
      </rPr>
      <t xml:space="preserve">：容量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占比，幾何／線性內插；</t>
    </r>
    <r>
      <rPr>
        <b val="true"/>
        <sz val="11"/>
        <rFont val="Cambria"/>
        <family val="0"/>
        <charset val="1"/>
      </rPr>
      <t xml:space="preserve">2031–32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g_lt</t>
    </r>
    <r>
      <rPr>
        <b val="true"/>
        <sz val="11"/>
        <rFont val="Noto Sans CJK SC"/>
        <family val="2"/>
      </rPr>
      <t xml:space="preserve">）</t>
    </r>
  </si>
  <si>
    <t xml:space="preserve">cn_tot26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</si>
  <si>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</si>
  <si>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t xml:space="preserve">未說明</t>
  </si>
  <si>
    <t xml:space="preserve">GW</t>
  </si>
  <si>
    <t xml:space="preserve">SRC_GL_201</t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</si>
  <si>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</si>
  <si>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cn_tot30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</si>
  <si>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</si>
  <si>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 &gt;60 GW </t>
    </r>
    <r>
      <rPr>
        <sz val="11"/>
        <color theme="1"/>
        <rFont val="Noto Sans CJK SC"/>
        <family val="2"/>
      </rPr>
      <t xml:space="preserve">取下限）；單一來源（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60–70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」）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</si>
  <si>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cn_sh26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</si>
  <si>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2026</t>
    </r>
  </si>
  <si>
    <t xml:space="preserve">cn_sh30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</si>
  <si>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</si>
  <si>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）。中國 </t>
    </r>
    <r>
      <rPr>
        <sz val="11"/>
        <color theme="1"/>
        <rFont val="Calibri"/>
        <family val="2"/>
        <charset val="1"/>
      </rPr>
      <t xml:space="preserve">2027–30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× (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比值，容量幾何內插、占比線性內插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</si>
  <si>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r>
      <rPr>
        <b val="true"/>
        <sz val="11"/>
        <rFont val="Cambria"/>
        <family val="0"/>
        <charset val="1"/>
      </rPr>
      <t xml:space="preserve">S2. </t>
    </r>
    <r>
      <rPr>
        <b val="true"/>
        <sz val="11"/>
        <rFont val="Noto Sans CJK SC"/>
        <family val="2"/>
      </rPr>
      <t xml:space="preserve">基建延遲參數（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準時；</t>
    </r>
    <r>
      <rPr>
        <b val="true"/>
        <sz val="11"/>
        <rFont val="Cambria"/>
        <family val="0"/>
        <charset val="1"/>
      </rPr>
      <t xml:space="preserve">D1 </t>
    </r>
    <r>
      <rPr>
        <b val="true"/>
        <sz val="11"/>
        <rFont val="Noto Sans CJK SC"/>
        <family val="2"/>
      </rPr>
      <t xml:space="preserve">基準延遲；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嚴重延遲）</t>
    </r>
  </si>
  <si>
    <t xml:space="preserve">dly_d1_s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</si>
  <si>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：每年排定新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延後的比例</t>
    </r>
  </si>
  <si>
    <t xml:space="preserve">SRC_GL_202</t>
  </si>
  <si>
    <r>
      <rPr>
        <sz val="11"/>
        <color theme="1"/>
        <rFont val="Calibri"/>
        <family val="2"/>
        <charset val="1"/>
      </rPr>
      <t xml:space="preserve">D#15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，屬實）：</t>
    </r>
    <r>
      <rPr>
        <sz val="11"/>
        <color theme="1"/>
        <rFont val="Calibri"/>
        <family val="2"/>
        <charset val="1"/>
      </rPr>
      <t xml:space="preserve">2025 26%</t>
    </r>
    <r>
      <rPr>
        <sz val="11"/>
        <color theme="1"/>
        <rFont val="Noto Sans CJK SC"/>
        <family val="2"/>
      </rPr>
      <t xml:space="preserve">（容量）延遲；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30–50%</t>
    </r>
    <r>
      <rPr>
        <sz val="11"/>
        <color theme="1"/>
        <rFont val="Noto Sans CJK SC"/>
        <family val="2"/>
      </rPr>
      <t xml:space="preserve">；取中下。另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（專案數）延後商轉，單位不同不可相加（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</t>
    </r>
  </si>
  <si>
    <t xml:space="preserve">dly_d1_m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</si>
  <si>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：延後量的延遲月數</t>
    </r>
  </si>
  <si>
    <r>
      <rPr>
        <sz val="11"/>
        <color theme="1"/>
        <rFont val="Calibri"/>
        <family val="2"/>
        <charset val="1"/>
      </rPr>
      <t xml:space="preserve">D#16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D#19</t>
    </r>
    <r>
      <rPr>
        <sz val="11"/>
        <color theme="1"/>
        <rFont val="Noto Sans CJK SC"/>
        <family val="2"/>
      </rPr>
      <t xml:space="preserve">（已排定案例 </t>
    </r>
    <r>
      <rPr>
        <sz val="11"/>
        <color theme="1"/>
        <rFont val="Calibri"/>
        <family val="2"/>
        <charset val="1"/>
      </rPr>
      <t xml:space="preserve">3–12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部分站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Denton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〔無法核對〕、</t>
    </r>
    <r>
      <rPr>
        <sz val="11"/>
        <color theme="1"/>
        <rFont val="Calibri"/>
        <family val="2"/>
        <charset val="1"/>
      </rPr>
      <t xml:space="preserve">Nebius NJ 6–7</t>
    </r>
    <r>
      <rPr>
        <sz val="11"/>
        <color theme="1"/>
        <rFont val="Noto Sans CJK SC"/>
        <family val="2"/>
      </rPr>
      <t xml:space="preserve">）</t>
    </r>
  </si>
  <si>
    <t xml:space="preserve">dly_d2_bind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</si>
  <si>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未確保電力的新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再延比例</t>
    </r>
  </si>
  <si>
    <r>
      <rPr>
        <sz val="11"/>
        <color theme="1"/>
        <rFont val="Calibri"/>
        <family val="2"/>
        <charset val="1"/>
      </rPr>
      <t xml:space="preserve">D#2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D#5</t>
    </r>
    <r>
      <rPr>
        <sz val="11"/>
        <color theme="1"/>
        <rFont val="Noto Sans CJK SC"/>
        <family val="2"/>
      </rPr>
      <t xml:space="preserve">（併網 </t>
    </r>
    <r>
      <rPr>
        <sz val="11"/>
        <color theme="1"/>
        <rFont val="Calibri"/>
        <family val="2"/>
        <charset val="1"/>
      </rPr>
      <t xml:space="preserve">48–60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D#8</t>
    </r>
    <r>
      <rPr>
        <sz val="11"/>
        <color theme="1"/>
        <rFont val="Noto Sans CJK SC"/>
        <family val="2"/>
      </rPr>
      <t xml:space="preserve">（渦輪 ≥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D#11</t>
    </r>
    <r>
      <rPr>
        <sz val="11"/>
        <color theme="1"/>
        <rFont val="Noto Sans CJK SC"/>
        <family val="2"/>
      </rPr>
      <t xml:space="preserve">（升壓變壓器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月）長於建物工期 </t>
    </r>
    <r>
      <rPr>
        <sz val="11"/>
        <color theme="1"/>
        <rFont val="Calibri"/>
        <family val="2"/>
        <charset val="1"/>
      </rPr>
      <t xml:space="preserve">D#14</t>
    </r>
    <r>
      <rPr>
        <sz val="11"/>
        <color theme="1"/>
        <rFont val="Noto Sans CJK SC"/>
        <family val="2"/>
      </rPr>
      <t xml:space="preserve">；反證 </t>
    </r>
    <r>
      <rPr>
        <sz val="11"/>
        <color theme="1"/>
        <rFont val="Calibri"/>
        <family val="2"/>
        <charset val="1"/>
      </rPr>
      <t xml:space="preserve">D#25</t>
    </r>
    <r>
      <rPr>
        <sz val="11"/>
        <color theme="1"/>
        <rFont val="Noto Sans CJK SC"/>
        <family val="2"/>
      </rPr>
      <t xml:space="preserve">（表後發電）、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（許多案子渦輪不卡關）→ 不高於 </t>
    </r>
    <r>
      <rPr>
        <sz val="11"/>
        <color theme="1"/>
        <rFont val="Calibri"/>
        <family val="2"/>
        <charset val="1"/>
      </rPr>
      <t xml:space="preserve">50%</t>
    </r>
  </si>
  <si>
    <t xml:space="preserve">dly_d2_m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</si>
  <si>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：綁定部分再延月數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</si>
  <si>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</si>
  <si>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t xml:space="preserve">dly_d2_y0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</si>
  <si>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適用起年（原排定上線年）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</si>
  <si>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</si>
  <si>
    <t xml:space="preserve">dly_d2_y1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</si>
  <si>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適用迄年（原排定上線年）</t>
    </r>
  </si>
  <si>
    <t xml:space="preserve">同上</t>
  </si>
  <si>
    <r>
      <rPr>
        <b val="true"/>
        <sz val="11"/>
        <rFont val="Cambria"/>
        <family val="0"/>
        <charset val="1"/>
      </rPr>
      <t xml:space="preserve">S3. </t>
    </r>
    <r>
      <rPr>
        <b val="true"/>
        <sz val="11"/>
        <rFont val="Noto Sans CJK SC"/>
        <family val="2"/>
      </rPr>
      <t xml:space="preserve">玩家最新觀測（觀測年：年底值＝觀測值＋觀測後至年底的園區上線量）</t>
    </r>
  </si>
  <si>
    <t xml:space="preserve">obs_msft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</si>
  <si>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</si>
  <si>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IT</t>
  </si>
  <si>
    <t xml:space="preserve">MW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</si>
  <si>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</si>
  <si>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SRC_GL_010</t>
  </si>
  <si>
    <r>
      <rPr>
        <sz val="11"/>
        <color theme="1"/>
        <rFont val="Calibri"/>
        <family val="2"/>
        <charset val="1"/>
      </rPr>
      <t xml:space="preserve">microsoft/company.json mag.mw.aiOpenIT</t>
    </r>
    <r>
      <rPr>
        <sz val="11"/>
        <color theme="1"/>
        <rFont val="Noto Sans CJK SC"/>
        <family val="2"/>
      </rPr>
      <t xml:space="preserve">（三法交叉，未用營收）；</t>
    </r>
    <r>
      <rPr>
        <sz val="11"/>
        <color theme="1"/>
        <rFont val="Calibri"/>
        <family val="2"/>
        <charset val="1"/>
      </rPr>
      <t xml:space="preserve">A#13 </t>
    </r>
    <r>
      <rPr>
        <sz val="11"/>
        <color theme="1"/>
        <rFont val="Noto Sans CJK SC"/>
        <family val="2"/>
      </rPr>
      <t xml:space="preserve">同值</t>
    </r>
  </si>
  <si>
    <t xml:space="preserve">obsd_msft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</si>
  <si>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觀測時點</t>
    </r>
  </si>
  <si>
    <t xml:space="preserve">Verified</t>
  </si>
  <si>
    <t xml:space="preserve">2026-06-30</t>
  </si>
  <si>
    <t xml:space="preserve">obschip_googl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</si>
  <si>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</si>
  <si>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t xml:space="preserve">晶片</t>
  </si>
  <si>
    <t xml:space="preserve">SRC_GL_020</t>
  </si>
  <si>
    <r>
      <rPr>
        <sz val="11"/>
        <color theme="1"/>
        <rFont val="Calibri"/>
        <family val="2"/>
        <charset val="1"/>
      </rPr>
      <t xml:space="preserve">alphabet/company.json scenarios.mwPath.note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Epoch AI Chip Owners </t>
    </r>
    <r>
      <rPr>
        <sz val="11"/>
        <color theme="1"/>
        <rFont val="Noto Sans CJK SC"/>
        <family val="2"/>
      </rPr>
      <t xml:space="preserve">晶片功耗整理 </t>
    </r>
    <r>
      <rPr>
        <sz val="11"/>
        <color theme="1"/>
        <rFont val="Calibri"/>
        <family val="2"/>
        <charset val="1"/>
      </rPr>
      <t xml:space="preserve">3,841 MW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＝本值 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晶片功耗），原 </t>
    </r>
    <r>
      <rPr>
        <sz val="11"/>
        <color theme="1"/>
        <rFont val="Calibri"/>
        <family val="2"/>
        <charset val="1"/>
      </rPr>
      <t xml:space="preserve">× 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6,338</t>
    </r>
  </si>
  <si>
    <t xml:space="preserve">obsd_googl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</si>
  <si>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觀測時點</t>
    </r>
  </si>
  <si>
    <t xml:space="preserve">obs_amzn</t>
  </si>
  <si>
    <r>
      <rPr>
        <sz val="11"/>
        <color theme="1"/>
        <rFont val="Calibri"/>
        <family val="2"/>
        <charset val="1"/>
      </rPr>
      <t xml:space="preserve">Amazon 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</si>
  <si>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mag.mw.aiInServiceIT</t>
    </r>
    <r>
      <rPr>
        <sz val="11"/>
        <color theme="1"/>
        <rFont val="Noto Sans CJK SC"/>
        <family val="2"/>
      </rPr>
      <t xml:space="preserve">（第三方估計）；</t>
    </r>
    <r>
      <rPr>
        <sz val="11"/>
        <color theme="1"/>
        <rFont val="Calibri"/>
        <family val="2"/>
        <charset val="1"/>
      </rPr>
      <t xml:space="preserve">A#40 </t>
    </r>
    <r>
      <rPr>
        <sz val="11"/>
        <color theme="1"/>
        <rFont val="Noto Sans CJK SC"/>
        <family val="2"/>
      </rPr>
      <t xml:space="preserve">同值</t>
    </r>
  </si>
  <si>
    <t xml:space="preserve">obsd_amzn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</si>
  <si>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觀測時點</t>
    </r>
  </si>
  <si>
    <t xml:space="preserve">obs_orcl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</si>
  <si>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</si>
  <si>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t xml:space="preserve">SRC_GL_040</t>
  </si>
  <si>
    <r>
      <rPr>
        <sz val="11"/>
        <color theme="1"/>
        <rFont val="Calibri"/>
        <family val="2"/>
        <charset val="1"/>
      </rPr>
      <t xml:space="preserve">oracle/company.json fleet.openMw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1,835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÷ 1.2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A#65</t>
    </r>
    <r>
      <rPr>
        <sz val="11"/>
        <color theme="1"/>
        <rFont val="Noto Sans CJK SC"/>
        <family val="2"/>
      </rPr>
      <t xml:space="preserve">（屬實）</t>
    </r>
  </si>
  <si>
    <t xml:space="preserve">obsd_orcl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</si>
  <si>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觀測時點</t>
    </r>
  </si>
  <si>
    <t xml:space="preserve">2026-08-31</t>
  </si>
  <si>
    <t xml:space="preserve">obs_crwv</t>
  </si>
  <si>
    <r>
      <rPr>
        <sz val="11"/>
        <color theme="1"/>
        <rFont val="Calibri"/>
        <family val="2"/>
        <charset val="1"/>
      </rPr>
      <t xml:space="preserve">CoreWeave active power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</si>
  <si>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</si>
  <si>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t xml:space="preserve">SRC_GL_050</t>
  </si>
  <si>
    <r>
      <rPr>
        <sz val="11"/>
        <color theme="1"/>
        <rFont val="Calibri"/>
        <family val="2"/>
        <charset val="1"/>
      </rPr>
      <t xml:space="preserve">A#81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年底已有指引值，本觀測不進計算</t>
    </r>
  </si>
  <si>
    <t xml:space="preserve">obsd_crwv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</si>
  <si>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觀測時點</t>
    </r>
  </si>
  <si>
    <t xml:space="preserve">obs_xai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</si>
  <si>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nameplate compute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</si>
  <si>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季報，剛上市）；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年底已有目標值，本觀測不進計算</t>
    </r>
  </si>
  <si>
    <t xml:space="preserve">obsd_xai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</si>
  <si>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觀測時點</t>
    </r>
  </si>
  <si>
    <r>
      <rPr>
        <b val="true"/>
        <sz val="11"/>
        <rFont val="Cambria"/>
        <family val="0"/>
        <charset val="1"/>
      </rPr>
      <t xml:space="preserve">S3b. 2025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覆寫與區間（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段更正；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推得者另依 </t>
    </r>
    <r>
      <rPr>
        <b val="true"/>
        <sz val="11"/>
        <rFont val="Cambria"/>
        <family val="0"/>
        <charset val="1"/>
      </rPr>
      <t xml:space="preserve">k_chip2it </t>
    </r>
    <r>
      <rPr>
        <b val="true"/>
        <sz val="11"/>
        <rFont val="Noto Sans CJK SC"/>
        <family val="2"/>
      </rPr>
      <t xml:space="preserve">區間）</t>
    </r>
  </si>
  <si>
    <t xml:space="preserve">ovr25_googl</t>
  </si>
  <si>
    <r>
      <rPr>
        <sz val="11"/>
        <color theme="1"/>
        <rFont val="Calibri"/>
        <family val="2"/>
        <charset val="1"/>
      </rPr>
      <t xml:space="preserve">Google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</si>
  <si>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× 1.65 </t>
    </r>
    <r>
      <rPr>
        <sz val="11"/>
        <color theme="1"/>
        <rFont val="Noto Sans CJK SC"/>
        <family val="2"/>
      </rPr>
      <t xml:space="preserve">再酌減部署落差；</t>
    </r>
    <r>
      <rPr>
        <sz val="11"/>
        <color theme="1"/>
        <rFont val="Calibri"/>
        <family val="2"/>
        <charset val="1"/>
      </rPr>
      <t xml:space="preserve">4.9 </t>
    </r>
    <r>
      <rPr>
        <sz val="11"/>
        <color theme="1"/>
        <rFont val="Noto Sans CJK SC"/>
        <family val="2"/>
      </rPr>
      <t xml:space="preserve">只作上緣。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晶片功耗，用於 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觀測</t>
    </r>
  </si>
  <si>
    <t xml:space="preserve">ovr25_amzn</t>
  </si>
  <si>
    <r>
      <rPr>
        <sz val="11"/>
        <color theme="1"/>
        <rFont val="Calibri"/>
        <family val="2"/>
        <charset val="1"/>
      </rPr>
      <t xml:space="preserve">Amazon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</si>
  <si>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0.7–1.4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</t>
    </r>
  </si>
  <si>
    <t xml:space="preserve">msft_guardian</t>
  </si>
  <si>
    <r>
      <rPr>
        <sz val="11"/>
        <color theme="1"/>
        <rFont val="Calibri"/>
        <family val="2"/>
        <charset val="1"/>
      </rPr>
      <t xml:space="preserve">Microsoft AI </t>
    </r>
    <r>
      <rPr>
        <sz val="11"/>
        <color theme="1"/>
        <rFont val="Noto Sans CJK SC"/>
        <family val="2"/>
      </rPr>
      <t xml:space="preserve">容量反證（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估，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</si>
  <si>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D#24 </t>
    </r>
    <r>
      <rPr>
        <sz val="11"/>
        <color theme="1"/>
        <rFont val="Noto Sans CJK SC"/>
        <family val="2"/>
      </rPr>
      <t xml:space="preserve">補充（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段屬實）：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估約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，對照公司稱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稱估計不準。單點報導，區間 </t>
    </r>
    <r>
      <rPr>
        <sz val="11"/>
        <color theme="1"/>
        <rFont val="Calibri"/>
        <family val="2"/>
        <charset val="1"/>
      </rPr>
      <t xml:space="preserve">1.0–1.5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以基準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放寬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區間下緣，不改基準</t>
    </r>
  </si>
  <si>
    <t xml:space="preserve">rng25_neo</t>
  </si>
  <si>
    <r>
      <rPr>
        <sz val="11"/>
        <color theme="1"/>
        <rFont val="Noto Sans CJK SC"/>
        <family val="2"/>
      </rPr>
      <t xml:space="preserve">其他新雲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年底區間</t>
    </r>
  </si>
  <si>
    <t xml:space="preserve">SRC_GL_205</t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</si>
  <si>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加總採用）；基準須＝</t>
    </r>
    <r>
      <rPr>
        <sz val="11"/>
        <color theme="1"/>
        <rFont val="Calibri"/>
        <family val="2"/>
        <charset val="1"/>
      </rPr>
      <t xml:space="preserve">Y1 mw_neo 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Checks K11</t>
    </r>
    <r>
      <rPr>
        <sz val="11"/>
        <color theme="1"/>
        <rFont val="Noto Sans CJK SC"/>
        <family val="2"/>
      </rPr>
      <t xml:space="preserve">）</t>
    </r>
  </si>
  <si>
    <t xml:space="preserve">rng25_cn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</si>
  <si>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</si>
  <si>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t xml:space="preserve">設施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</si>
  <si>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Rystad 32 GW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0.3–0.35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未給）；基準須＝</t>
    </r>
    <r>
      <rPr>
        <sz val="11"/>
        <color theme="1"/>
        <rFont val="Calibri"/>
        <family val="2"/>
        <charset val="1"/>
      </rPr>
      <t xml:space="preserve">Y1 mw_cn 2025</t>
    </r>
  </si>
  <si>
    <t xml:space="preserve">rng26_cn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</si>
  <si>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</si>
  <si>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12–16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B#51 Rystad 40 GW × 39%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SemiAnalysis &gt;24 GW </t>
    </r>
    <r>
      <rPr>
        <sz val="11"/>
        <color theme="1"/>
        <rFont val="Noto Sans CJK SC"/>
        <family val="2"/>
      </rPr>
      <t xml:space="preserve">總量只佐證）；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端指示基準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；基準須＝</t>
    </r>
    <r>
      <rPr>
        <sz val="11"/>
        <color theme="1"/>
        <rFont val="Calibri"/>
        <family val="2"/>
        <charset val="1"/>
      </rPr>
      <t xml:space="preserve">Y1 mw_cn 2026</t>
    </r>
  </si>
  <si>
    <t xml:space="preserve">other_incl_china</t>
  </si>
  <si>
    <r>
      <rPr>
        <sz val="11"/>
        <color theme="1"/>
        <rFont val="Noto Sans CJK SC"/>
        <family val="2"/>
      </rPr>
      <t xml:space="preserve">開關：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』是否含中國買家晶片（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＝含 → 『其他』用扣除中國後的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＝不含 → 用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）</t>
    </r>
  </si>
  <si>
    <t xml:space="preserve">開關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</si>
  <si>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擁有者表沒有中國類，中國買家的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晶片很可能在 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帳另有中國列（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），不扣會重複。</t>
    </r>
    <r>
      <rPr>
        <sz val="11"/>
        <color theme="1"/>
        <rFont val="Calibri"/>
        <family val="2"/>
        <charset val="1"/>
      </rPr>
      <t xml:space="preserve">Decisions GL01-22</t>
    </r>
  </si>
  <si>
    <t xml:space="preserve">oth_full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</si>
  <si>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扣新雲；不扣中國）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</si>
  <si>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1.8–3.0 GW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1.5–2.5 IT</t>
    </r>
    <r>
      <rPr>
        <sz val="11"/>
        <color theme="1"/>
        <rFont val="Noto Sans CJK SC"/>
        <family val="2"/>
      </rPr>
      <t xml:space="preserve">（原基準 </t>
    </r>
    <r>
      <rPr>
        <sz val="11"/>
        <color theme="1"/>
        <rFont val="Calibri"/>
        <family val="2"/>
        <charset val="1"/>
      </rPr>
      <t xml:space="preserve">2.4 </t>
    </r>
    <r>
      <rPr>
        <sz val="11"/>
        <color theme="1"/>
        <rFont val="Noto Sans CJK SC"/>
        <family val="2"/>
      </rPr>
      <t xml:space="preserve">設施＝</t>
    </r>
    <r>
      <rPr>
        <sz val="11"/>
        <color theme="1"/>
        <rFont val="Calibri"/>
        <family val="2"/>
        <charset val="1"/>
      </rPr>
      <t xml:space="preserve">2.0 IT</t>
    </r>
    <r>
      <rPr>
        <sz val="11"/>
        <color theme="1"/>
        <rFont val="Noto Sans CJK SC"/>
        <family val="2"/>
      </rPr>
      <t xml:space="preserve">）</t>
    </r>
  </si>
  <si>
    <t xml:space="preserve">oth_excn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</si>
  <si>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年底（扣除中國部分；無法拆分，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</si>
  <si>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中的中國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部分無證據可拆（已搜尋：中國 </t>
    </r>
    <r>
      <rPr>
        <sz val="11"/>
        <color theme="1"/>
        <rFont val="Calibri"/>
        <family val="2"/>
        <charset val="1"/>
      </rPr>
      <t xml:space="preserve">2025 NVIDIA </t>
    </r>
    <r>
      <rPr>
        <sz val="11"/>
        <color theme="1"/>
        <rFont val="Noto Sans CJK SC"/>
        <family val="2"/>
      </rPr>
      <t xml:space="preserve">晶片功耗未找到；</t>
    </r>
    <r>
      <rPr>
        <sz val="11"/>
        <color theme="1"/>
        <rFont val="Calibri"/>
        <family val="2"/>
        <charset val="1"/>
      </rPr>
      <t xml:space="preserve">B#57 H200 40 </t>
    </r>
    <r>
      <rPr>
        <sz val="11"/>
        <color theme="1"/>
        <rFont val="Noto Sans CJK SC"/>
        <family val="2"/>
      </rPr>
      <t xml:space="preserve">萬顆為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許可）。基準降為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端核對指示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</si>
  <si>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S4. </t>
    </r>
    <r>
      <rPr>
        <b val="true"/>
        <sz val="11"/>
        <rFont val="Noto Sans CJK SC"/>
        <family val="2"/>
      </rPr>
      <t xml:space="preserve">合約與目標（對照用，不進加總）</t>
    </r>
  </si>
  <si>
    <t xml:space="preserve">ctr_oai_90d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</si>
  <si>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天新簽容量（含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</si>
  <si>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Three of those 10 gigawatts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GW </t>
    </r>
    <r>
      <rPr>
        <sz val="11"/>
        <color theme="1"/>
        <rFont val="Noto Sans CJK SC"/>
        <family val="2"/>
      </rPr>
      <t xml:space="preserve">簽約總量為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</t>
    </r>
  </si>
  <si>
    <t xml:space="preserve">ctr_crwv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</si>
  <si>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）</t>
    </r>
  </si>
  <si>
    <t xml:space="preserve">SRC_GL_200</t>
  </si>
  <si>
    <r>
      <rPr>
        <sz val="11"/>
        <color theme="1"/>
        <rFont val="Calibri"/>
        <family val="2"/>
        <charset val="1"/>
      </rPr>
      <t xml:space="preserve">A#85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法說）</t>
    </r>
  </si>
  <si>
    <t xml:space="preserve">ctr_nbis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</si>
  <si>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</si>
  <si>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SRC_GL_061</t>
  </si>
  <si>
    <r>
      <rPr>
        <sz val="11"/>
        <color theme="1"/>
        <rFont val="Calibri"/>
        <family val="2"/>
        <charset val="1"/>
      </rPr>
      <t xml:space="preserve">nebius consensus companyGuidance.FY26.contractedPowerGW 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A#98 &gt;3.5 GW</t>
    </r>
    <r>
      <rPr>
        <sz val="11"/>
        <color theme="1"/>
        <rFont val="Noto Sans CJK SC"/>
        <family val="2"/>
      </rPr>
      <t xml:space="preserve">（未抽查）</t>
    </r>
  </si>
  <si>
    <t xml:space="preserve">ctr_orcl_oai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</si>
  <si>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</si>
  <si>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A#71</t>
    </r>
    <r>
      <rPr>
        <sz val="11"/>
        <color theme="1"/>
        <rFont val="Noto Sans CJK SC"/>
        <family val="2"/>
      </rPr>
      <t xml:space="preserve">（未抽查）；四站設施 </t>
    </r>
    <r>
      <rPr>
        <sz val="11"/>
        <color theme="1"/>
        <rFont val="Calibri"/>
        <family val="2"/>
        <charset val="1"/>
      </rPr>
      <t xml:space="preserve">6.9 GW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T2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A#72–75 </t>
    </r>
    <r>
      <rPr>
        <sz val="11"/>
        <color theme="1"/>
        <rFont val="Noto Sans CJK SC"/>
        <family val="2"/>
      </rPr>
      <t xml:space="preserve">屬實）</t>
    </r>
  </si>
  <si>
    <t xml:space="preserve">ctr_amzn_ant</t>
  </si>
  <si>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</si>
  <si>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段更正標記）；不進加總（園區列 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已計）</t>
    </r>
  </si>
  <si>
    <t xml:space="preserve">ctr_msft_ant</t>
  </si>
  <si>
    <r>
      <rPr>
        <sz val="11"/>
        <color theme="1"/>
        <rFont val="Calibri"/>
        <family val="2"/>
        <charset val="1"/>
      </rPr>
      <t xml:space="preserve">Anthropic–Azure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</si>
  <si>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B#33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2033-05 </t>
    </r>
    <r>
      <rPr>
        <sz val="11"/>
        <color theme="1"/>
        <rFont val="Noto Sans CJK SC"/>
        <family val="2"/>
      </rPr>
      <t xml:space="preserve">付款；上線量未揭露</t>
    </r>
  </si>
  <si>
    <t xml:space="preserve">ctr_googl_ant</t>
  </si>
  <si>
    <r>
      <rPr>
        <sz val="11"/>
        <color theme="1"/>
        <rFont val="Calibri"/>
        <family val="2"/>
        <charset val="1"/>
      </rPr>
      <t xml:space="preserve">Anthropic–Google Cloud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上線）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</si>
  <si>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</si>
  <si>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tgt_xai_27</t>
  </si>
  <si>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年底宣稱（</t>
    </r>
    <r>
      <rPr>
        <sz val="11"/>
        <color theme="1"/>
        <rFont val="Calibri"/>
        <family val="2"/>
        <charset val="1"/>
      </rPr>
      <t xml:space="preserve">Musk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」；不入主路徑，只作 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敏感度）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</si>
  <si>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（屬實為引述正確；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剛上市；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自稱 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不會達成）。主路徑 </t>
    </r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園區（無）；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頁列『主路徑＋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宣稱增量』</t>
    </r>
  </si>
  <si>
    <t xml:space="preserve">tgt_msft_32</t>
  </si>
  <si>
    <r>
      <rPr>
        <sz val="11"/>
        <color theme="1"/>
        <rFont val="Calibri"/>
        <family val="2"/>
        <charset val="1"/>
      </rPr>
      <t xml:space="preserve">Microsoft 2032 </t>
    </r>
    <r>
      <rPr>
        <sz val="11"/>
        <color theme="1"/>
        <rFont val="Noto Sans CJK SC"/>
        <family val="2"/>
      </rPr>
      <t xml:space="preserve">全公司容量（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1/3 AI</t>
    </r>
    <r>
      <rPr>
        <sz val="11"/>
        <color theme="1"/>
        <rFont val="Noto Sans CJK SC"/>
        <family val="2"/>
      </rPr>
      <t xml:space="preserve">；未納入）</t>
    </r>
  </si>
  <si>
    <r>
      <rPr>
        <sz val="11"/>
        <color theme="1"/>
        <rFont val="Calibri"/>
        <family val="2"/>
        <charset val="1"/>
      </rPr>
      <t xml:space="preserve">A#7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</t>
    </r>
    <r>
      <rPr>
        <sz val="11"/>
        <color theme="1"/>
        <rFont val="Noto Sans CJK SC"/>
        <family val="2"/>
      </rPr>
      <t xml:space="preserve">（屬實；記者引知情人士，全部負載）</t>
    </r>
  </si>
  <si>
    <t xml:space="preserve">lease_nc_msft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</si>
  <si>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</si>
  <si>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</si>
  <si>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microsoft/company.json mag.leases.notCommenced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</si>
  <si>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lease_nc_googl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</si>
  <si>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</si>
  <si>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alphabet/company.json mag.balance.leases.uncommenced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</si>
  <si>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lease_nc_amzn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</si>
  <si>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</si>
  <si>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leases.facts.notCommenced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</si>
  <si>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S5. </t>
    </r>
    <r>
      <rPr>
        <b val="true"/>
        <sz val="11"/>
        <rFont val="Noto Sans CJK SC"/>
        <family val="2"/>
      </rPr>
      <t xml:space="preserve">玩家非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占比覆寫（未列者＝市場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比例）</t>
    </r>
  </si>
  <si>
    <t xml:space="preserve">nnv_googl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</si>
  <si>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</si>
  <si>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TPU 2,223 MW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2,223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730</t>
    </r>
    <r>
      <rPr>
        <sz val="11"/>
        <color theme="1"/>
        <rFont val="Noto Sans CJK SC"/>
        <family val="2"/>
      </rPr>
      <t xml:space="preserve">）</t>
    </r>
  </si>
  <si>
    <t xml:space="preserve">nnv_amzn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</si>
  <si>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</si>
  <si>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1,220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1,220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）</t>
    </r>
  </si>
  <si>
    <t xml:space="preserve">nnv_crwv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</si>
  <si>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</si>
  <si>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fleet.generations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</t>
    </r>
  </si>
  <si>
    <t xml:space="preserve">nnv_nbis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</si>
  <si>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</si>
  <si>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SRC_GL_060</t>
  </si>
  <si>
    <t xml:space="preserve">nnv_wyfi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</si>
  <si>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</si>
  <si>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SRC_GL_070</t>
  </si>
  <si>
    <t xml:space="preserve">nnv_xai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</si>
  <si>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</si>
  <si>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Colossus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</si>
  <si>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S6. </t>
    </r>
    <r>
      <rPr>
        <b val="true"/>
        <sz val="11"/>
        <rFont val="Noto Sans CJK SC"/>
        <family val="2"/>
      </rPr>
      <t xml:space="preserve">個股模型財年結束月（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曆年→財年換算）</t>
    </r>
  </si>
  <si>
    <t xml:space="preserve">fye_msft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</si>
  <si>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財年結束月</t>
    </r>
  </si>
  <si>
    <t xml:space="preserve">company.json calendar.fiscalYearEndMonth</t>
  </si>
  <si>
    <t xml:space="preserve">fye_googl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</si>
  <si>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</si>
  <si>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</si>
  <si>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</si>
  <si>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</si>
  <si>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財年結束月</t>
    </r>
  </si>
  <si>
    <t xml:space="preserve">fye_crwv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</si>
  <si>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財年結束月</t>
    </r>
  </si>
  <si>
    <t xml:space="preserve">fye_nbis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</si>
  <si>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財年結束月</t>
    </r>
  </si>
  <si>
    <t xml:space="preserve">fye_wyfi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</si>
  <si>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財年結束月</t>
    </r>
  </si>
  <si>
    <t xml:space="preserve">fye_meta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</si>
  <si>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財年結束月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</si>
  <si>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財年＝曆年（</t>
    </r>
    <r>
      <rPr>
        <sz val="11"/>
        <color theme="1"/>
        <rFont val="Calibri"/>
        <family val="2"/>
        <charset val="1"/>
      </rPr>
      <t xml:space="preserve">A#63 8-K Ex.99.1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為第三季）</t>
    </r>
  </si>
  <si>
    <r>
      <rPr>
        <b val="true"/>
        <sz val="11"/>
        <rFont val="Cambria"/>
        <family val="0"/>
        <charset val="1"/>
      </rPr>
      <t xml:space="preserve">Y0. Epoch AI </t>
    </r>
    <r>
      <rPr>
        <b val="true"/>
        <sz val="11"/>
        <rFont val="Noto Sans CJK SC"/>
        <family val="2"/>
      </rPr>
      <t xml:space="preserve">晶片功耗（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，晶片層；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倍數：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Amazon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更正值 </t>
    </r>
    <r>
      <rPr>
        <b val="true"/>
        <sz val="11"/>
        <rFont val="Cambria"/>
        <family val="0"/>
        <charset val="1"/>
      </rPr>
      <t xml:space="preserve">÷ 2025 </t>
    </r>
    <r>
      <rPr>
        <b val="true"/>
        <sz val="11"/>
        <rFont val="Noto Sans CJK SC"/>
        <family val="2"/>
      </rPr>
      <t xml:space="preserve">晶片功耗，其他用 </t>
    </r>
    <r>
      <rPr>
        <b val="true"/>
        <sz val="11"/>
        <rFont val="Cambria"/>
        <family val="0"/>
        <charset val="1"/>
      </rPr>
      <t xml:space="preserve">k_chip2it</t>
    </r>
    <r>
      <rPr>
        <b val="true"/>
        <sz val="11"/>
        <rFont val="Noto Sans CJK SC"/>
        <family val="2"/>
      </rPr>
      <t xml:space="preserve">）</t>
    </r>
  </si>
  <si>
    <t xml:space="preserve">chip_msft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</si>
  <si>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</si>
  <si>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A#11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AI Chip Owners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；累計未扣退役）</t>
    </r>
  </si>
  <si>
    <t xml:space="preserve">chip_googl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</si>
  <si>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</si>
  <si>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A#24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alphabet/company.json texts.mwYearEndNotes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287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98</t>
    </r>
    <r>
      <rPr>
        <sz val="11"/>
        <color theme="1"/>
        <rFont val="Noto Sans CJK SC"/>
        <family val="2"/>
      </rPr>
      <t xml:space="preserve">）</t>
    </r>
  </si>
  <si>
    <t xml:space="preserve">chip_amzn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</si>
  <si>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</si>
  <si>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A#39</t>
    </r>
    <r>
      <rPr>
        <sz val="11"/>
        <color theme="1"/>
        <rFont val="Noto Sans CJK SC"/>
        <family val="2"/>
      </rPr>
      <t xml:space="preserve">（屬實）</t>
    </r>
  </si>
  <si>
    <t xml:space="preserve">chip_meta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</si>
  <si>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</si>
  <si>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A#52</t>
    </r>
    <r>
      <rPr>
        <sz val="11"/>
        <color theme="1"/>
        <rFont val="Noto Sans CJK SC"/>
        <family val="2"/>
      </rPr>
      <t xml:space="preserve">（屬實）；不含 </t>
    </r>
    <r>
      <rPr>
        <sz val="11"/>
        <color theme="1"/>
        <rFont val="Calibri"/>
        <family val="2"/>
        <charset val="1"/>
      </rPr>
      <t xml:space="preserve">MTIA</t>
    </r>
  </si>
  <si>
    <t xml:space="preserve">chip_orcl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</si>
  <si>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</si>
  <si>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A#68</t>
    </r>
    <r>
      <rPr>
        <sz val="11"/>
        <color theme="1"/>
        <rFont val="Noto Sans CJK SC"/>
        <family val="2"/>
      </rPr>
      <t xml:space="preserve">（屬實）</t>
    </r>
  </si>
  <si>
    <t xml:space="preserve">chip_xai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</si>
  <si>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</si>
  <si>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Colossus 308 MW </t>
    </r>
    <r>
      <rPr>
        <sz val="11"/>
        <color theme="1"/>
        <rFont val="Noto Sans CJK SC"/>
        <family val="2"/>
      </rPr>
      <t xml:space="preserve">晶片）</t>
    </r>
  </si>
  <si>
    <r>
      <rPr>
        <b val="true"/>
        <sz val="11"/>
        <rFont val="Cambria"/>
        <family val="0"/>
        <charset val="1"/>
      </rPr>
      <t xml:space="preserve">Y1.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（營運者口徑；輸入優先於晶片換算；空白＝由晶片、觀測、內插或園區延伸補值，見 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Decisions GL01-03</t>
    </r>
    <r>
      <rPr>
        <b val="true"/>
        <sz val="11"/>
        <rFont val="Noto Sans CJK SC"/>
        <family val="2"/>
      </rPr>
      <t xml:space="preserve">）</t>
    </r>
  </si>
  <si>
    <t xml:space="preserve">mw_msft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</si>
  <si>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</si>
  <si>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無直接年底輸入：由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倍數、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觀測與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園區延伸推得（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</si>
  <si>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mw_googl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</si>
  <si>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</si>
  <si>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</si>
  <si>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</si>
  <si>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</si>
  <si>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</si>
  <si>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</si>
  <si>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</si>
  <si>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</si>
  <si>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</si>
  <si>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</si>
  <si>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A#77–79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 GW </t>
    </r>
    <r>
      <rPr>
        <sz val="11"/>
        <color theme="1"/>
        <rFont val="Noto Sans CJK SC"/>
        <family val="2"/>
      </rPr>
      <t xml:space="preserve">為公司目標）；</t>
    </r>
    <r>
      <rPr>
        <sz val="11"/>
        <color theme="1"/>
        <rFont val="Calibri"/>
        <family val="2"/>
        <charset val="1"/>
      </rPr>
      <t xml:space="preserve">mwBasis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[Assumed]</t>
    </r>
  </si>
  <si>
    <t xml:space="preserve">mw_nbis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</si>
  <si>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</si>
  <si>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active 170 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A#95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0.8–1.0 GW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A#97 </t>
    </r>
    <r>
      <rPr>
        <sz val="11"/>
        <color theme="1"/>
        <rFont val="Noto Sans CJK SC"/>
        <family val="2"/>
      </rPr>
      <t xml:space="preserve">未抽查；</t>
    </r>
    <r>
      <rPr>
        <sz val="11"/>
        <color theme="1"/>
        <rFont val="Calibri"/>
        <family val="2"/>
        <charset val="1"/>
      </rPr>
      <t xml:space="preserve">repo nebius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落後折 </t>
    </r>
    <r>
      <rPr>
        <sz val="11"/>
        <color theme="1"/>
        <rFont val="Calibri"/>
        <family val="2"/>
        <charset val="1"/>
      </rPr>
      <t xml:space="preserve">0.65 IT</t>
    </r>
    <r>
      <rPr>
        <sz val="11"/>
        <color theme="1"/>
        <rFont val="Noto Sans CJK SC"/>
        <family val="2"/>
      </rPr>
      <t xml:space="preserve">（未核）</t>
    </r>
  </si>
  <si>
    <t xml:space="preserve">mw_wyfi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</si>
  <si>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</si>
  <si>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whitefiber/company.json scenarios.mwPath</t>
    </r>
    <r>
      <rPr>
        <sz val="11"/>
        <color theme="1"/>
        <rFont val="Noto Sans CJK SC"/>
        <family val="2"/>
      </rPr>
      <t xml:space="preserve">（合約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數換算）</t>
    </r>
  </si>
  <si>
    <t xml:space="preserve">mw_xai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</si>
  <si>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</si>
  <si>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年底由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&gt;2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B#46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」未納入（</t>
    </r>
    <r>
      <rPr>
        <sz val="11"/>
        <color theme="1"/>
        <rFont val="Calibri"/>
        <family val="2"/>
        <charset val="1"/>
      </rPr>
      <t xml:space="preserve">S4 tgt_xai_27</t>
    </r>
    <r>
      <rPr>
        <sz val="11"/>
        <color theme="1"/>
        <rFont val="Noto Sans CJK SC"/>
        <family val="2"/>
      </rPr>
      <t xml:space="preserve">）</t>
    </r>
  </si>
  <si>
    <t xml:space="preserve">mw_oai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</si>
  <si>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</si>
  <si>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Lordstown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B#15 </t>
    </r>
    <r>
      <rPr>
        <sz val="11"/>
        <color theme="1"/>
        <rFont val="Noto Sans CJK SC"/>
        <family val="2"/>
      </rPr>
      <t xml:space="preserve">未抽查）不入；之後由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園區延伸（</t>
    </r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）</t>
    </r>
  </si>
  <si>
    <t xml:space="preserve">mw_ant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</si>
  <si>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</si>
  <si>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SRC_GL_204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</si>
  <si>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無自建在役（</t>
    </r>
    <r>
      <rPr>
        <sz val="11"/>
        <color theme="1"/>
        <rFont val="Calibri"/>
        <family val="2"/>
        <charset val="1"/>
      </rPr>
      <t xml:space="preserve">B_summary 1.2 </t>
    </r>
    <r>
      <rPr>
        <sz val="11"/>
        <color theme="1"/>
        <rFont val="Noto Sans CJK SC"/>
        <family val="2"/>
      </rPr>
      <t xml:space="preserve">全為租用）；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</si>
  <si>
    <t xml:space="preserve">mw_neo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</si>
  <si>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</si>
  <si>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其他新雲最佳估計（不含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；非重複營運者自有雲端）</t>
    </r>
    <r>
      <rPr>
        <sz val="11"/>
        <color theme="1"/>
        <rFont val="Calibri"/>
        <family val="2"/>
        <charset val="1"/>
      </rPr>
      <t xml:space="preserve">2024 0.2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0.1–0.4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2025 0.5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0.3–0.8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2026E 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0.8–1.8</t>
    </r>
    <r>
      <rPr>
        <sz val="11"/>
        <color theme="1"/>
        <rFont val="Noto Sans CJK SC"/>
        <family val="2"/>
      </rPr>
      <t xml:space="preserve">）；未經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段逐項核對（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</t>
    </r>
  </si>
  <si>
    <t xml:space="preserve">mw_sov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</si>
  <si>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</si>
  <si>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B#58 </t>
    </r>
    <r>
      <rPr>
        <sz val="11"/>
        <color theme="1"/>
        <rFont val="Noto Sans CJK SC"/>
        <family val="2"/>
      </rPr>
      <t xml:space="preserve">屬實）前為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；其他主權在『其他』</t>
    </r>
  </si>
  <si>
    <t xml:space="preserve">mw_cn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</si>
  <si>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</si>
  <si>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</si>
  <si>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8–12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設施；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B_summary 12–16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端指示）；</t>
    </r>
    <r>
      <rPr>
        <sz val="11"/>
        <color theme="1"/>
        <rFont val="Calibri"/>
        <family val="2"/>
        <charset val="1"/>
      </rPr>
      <t xml:space="preserve">2027–30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S1c Rystad </t>
    </r>
    <r>
      <rPr>
        <sz val="11"/>
        <color theme="1"/>
        <rFont val="Noto Sans CJK SC"/>
        <family val="2"/>
      </rPr>
      <t xml:space="preserve">路徑、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</si>
  <si>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mw_oth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</si>
  <si>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</si>
  <si>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S3b other_incl_china </t>
    </r>
    <r>
      <rPr>
        <sz val="11"/>
        <color theme="1"/>
        <rFont val="Noto Sans CJK SC"/>
        <family val="2"/>
      </rPr>
      <t xml:space="preserve">開關選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公式）；之後持平（待證據）</t>
    </r>
  </si>
  <si>
    <r>
      <rPr>
        <b val="true"/>
        <sz val="11"/>
        <rFont val="Cambria"/>
        <family val="0"/>
        <charset val="1"/>
      </rPr>
      <t xml:space="preserve">Y2. </t>
    </r>
    <r>
      <rPr>
        <b val="true"/>
        <sz val="11"/>
        <rFont val="Noto Sans CJK SC"/>
        <family val="2"/>
      </rPr>
      <t xml:space="preserve">個股模型資本支出（公司財年；欄＝財年，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PR #190 </t>
    </r>
    <r>
      <rPr>
        <b val="true"/>
        <sz val="11"/>
        <rFont val="Noto Sans CJK SC"/>
        <family val="2"/>
      </rPr>
      <t xml:space="preserve">未合併前讀現行 </t>
    </r>
    <r>
      <rPr>
        <b val="true"/>
        <sz val="11"/>
        <rFont val="Cambria"/>
        <family val="0"/>
        <charset val="1"/>
      </rPr>
      <t xml:space="preserve">company.json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data</t>
    </r>
    <r>
      <rPr>
        <b val="true"/>
        <sz val="11"/>
        <rFont val="Noto Sans CJK SC"/>
        <family val="2"/>
      </rPr>
      <t xml:space="preserve">）</t>
    </r>
  </si>
  <si>
    <t xml:space="preserve">cap_msft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</si>
  <si>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資本支出（財年）</t>
    </r>
  </si>
  <si>
    <t xml:space="preserve">US$B</t>
  </si>
  <si>
    <t xml:space="preserve">SRC_GL_011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</si>
  <si>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增添，不含融資租賃）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115.9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FY27–29 </t>
    </r>
    <r>
      <rPr>
        <sz val="11"/>
        <color theme="1"/>
        <rFont val="Noto Sans CJK SC"/>
        <family val="2"/>
      </rPr>
      <t xml:space="preserve">預估；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 v0.3</t>
    </r>
    <r>
      <rPr>
        <sz val="11"/>
        <color theme="1"/>
        <rFont val="Noto Sans CJK SC"/>
        <family val="2"/>
      </rPr>
      <t xml:space="preserve">）未合併，讀現行 </t>
    </r>
    <r>
      <rPr>
        <sz val="11"/>
        <color theme="1"/>
        <rFont val="Calibri"/>
        <family val="2"/>
        <charset val="1"/>
      </rPr>
      <t xml:space="preserve">company.json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44.477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64.551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</t>
    </r>
    <r>
      <rPr>
        <sz val="11"/>
        <color theme="1"/>
        <rFont val="Calibri"/>
        <family val="2"/>
        <charset val="1"/>
      </rPr>
      <t xml:space="preserve">microsoft/data/microsoft_facts_20261008.json cf.capex.fy2024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</si>
  <si>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</si>
  <si>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</si>
  <si>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SRC_GL_021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</si>
  <si>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91.4</t>
    </r>
    <r>
      <rPr>
        <sz val="11"/>
        <color theme="1"/>
        <rFont val="Noto Sans CJK SC"/>
        <family val="2"/>
      </rPr>
      <t xml:space="preserve">（現金購置）；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（法說）；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</t>
    </r>
  </si>
  <si>
    <t xml:space="preserve">cap_amzn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</si>
  <si>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</si>
  <si>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SRC_GL_031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</si>
  <si>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（現金淨額，法說）；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共識；全公司（含非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128.32</t>
    </r>
    <r>
      <rPr>
        <sz val="11"/>
        <color theme="1"/>
        <rFont val="Noto Sans CJK SC"/>
        <family val="2"/>
      </rPr>
      <t xml:space="preserve">＝現金淨額（</t>
    </r>
    <r>
      <rPr>
        <sz val="11"/>
        <color theme="1"/>
        <rFont val="Calibri"/>
        <family val="2"/>
        <charset val="1"/>
      </rPr>
      <t xml:space="preserve">amazon/company.json mag.cashflow.fy.fy2025.capexNet</t>
    </r>
    <r>
      <rPr>
        <sz val="11"/>
        <color theme="1"/>
        <rFont val="Noto Sans CJK SC"/>
        <family val="2"/>
      </rPr>
      <t xml:space="preserve">，與指引同口徑）</t>
    </r>
  </si>
  <si>
    <t xml:space="preserve">cap_meta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</si>
  <si>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</si>
  <si>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A#63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2026 135–145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（含融資租賃本金）；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</si>
  <si>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</si>
  <si>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資本支出（財年）</t>
    </r>
  </si>
  <si>
    <t xml:space="preserve">SRC_GL_041</t>
  </si>
  <si>
    <r>
      <rPr>
        <sz val="11"/>
        <color theme="1"/>
        <rFont val="Calibri"/>
        <family val="2"/>
        <charset val="1"/>
      </rPr>
      <t xml:space="preserve">FY26 55.7</t>
    </r>
    <r>
      <rPr>
        <sz val="11"/>
        <color theme="1"/>
        <rFont val="Noto Sans CJK SC"/>
        <family val="2"/>
      </rPr>
      <t xml:space="preserve">（共識表實際）；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92.5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FY28–29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 v0.4</t>
    </r>
    <r>
      <rPr>
        <sz val="11"/>
        <color theme="1"/>
        <rFont val="Noto Sans CJK SC"/>
        <family val="2"/>
      </rPr>
      <t xml:space="preserve">）未合併；</t>
    </r>
    <r>
      <rPr>
        <sz val="11"/>
        <color theme="1"/>
        <rFont val="Calibri"/>
        <family val="2"/>
        <charset val="1"/>
      </rPr>
      <t xml:space="preserve">FY2025 21.215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oracle/data/oracle_facts_20261007.json cf.capex.fy2025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</si>
  <si>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</si>
  <si>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資本支出（財年）</t>
    </r>
  </si>
  <si>
    <t xml:space="preserve">SRC_GL_051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</si>
  <si>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10-K </t>
    </r>
    <r>
      <rPr>
        <sz val="11"/>
        <color theme="1"/>
        <rFont val="Noto Sans CJK SC"/>
        <family val="2"/>
      </rPr>
      <t xml:space="preserve">原頁被擋），留空：甲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</si>
  <si>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</si>
  <si>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</si>
  <si>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4.066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20-F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nebius/data/nebius_facts_20261007.json cf.capexCash.fy25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</si>
  <si>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</si>
  <si>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資本支出（財年）</t>
    </r>
  </si>
  <si>
    <t xml:space="preserve">待證據</t>
  </si>
  <si>
    <t xml:space="preserve">SRC_GL_000</t>
  </si>
  <si>
    <r>
      <rPr>
        <sz val="11"/>
        <color theme="1"/>
        <rFont val="Noto Sans CJK SC"/>
        <family val="2"/>
      </rPr>
      <t xml:space="preserve">共識資本支出未取得（</t>
    </r>
    <r>
      <rPr>
        <sz val="11"/>
        <color theme="1"/>
        <rFont val="Calibri"/>
        <family val="2"/>
        <charset val="1"/>
      </rPr>
      <t xml:space="preserve">consensus_wyfi_20261008.json annualEstimates </t>
    </r>
    <r>
      <rPr>
        <sz val="11"/>
        <color theme="1"/>
        <rFont val="Noto Sans CJK SC"/>
        <family val="2"/>
      </rPr>
      <t xml:space="preserve">空白）</t>
    </r>
  </si>
  <si>
    <t xml:space="preserve">cap_xai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</si>
  <si>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資本支出（財年）</t>
    </r>
  </si>
  <si>
    <t xml:space="preserve">待證據（無個股模型或未取得）</t>
  </si>
  <si>
    <t xml:space="preserve">cap_oai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</si>
  <si>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資本支出（財年）</t>
    </r>
  </si>
  <si>
    <t xml:space="preserve">cap_ant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</si>
  <si>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資本支出（財年）</t>
    </r>
  </si>
  <si>
    <t xml:space="preserve">cap_neo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</si>
  <si>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資本支出（財年）</t>
    </r>
  </si>
  <si>
    <t xml:space="preserve">cap_sov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</si>
  <si>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資本支出（財年）</t>
    </r>
  </si>
  <si>
    <t xml:space="preserve">cap_cn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</si>
  <si>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資本支出（財年）</t>
    </r>
  </si>
  <si>
    <t xml:space="preserve">cap_oth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</si>
  <si>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資本支出（財年）</t>
    </r>
  </si>
  <si>
    <r>
      <rPr>
        <b val="true"/>
        <sz val="11"/>
        <rFont val="Cambria"/>
        <family val="0"/>
        <charset val="1"/>
      </rPr>
      <t xml:space="preserve">Y3.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資本支出（公司財年，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加回）</t>
    </r>
  </si>
  <si>
    <t xml:space="preserve">nai_msft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</si>
  <si>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</si>
  <si>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Noto Sans CJK SC"/>
        <family val="2"/>
      </rPr>
      <t xml:space="preserve">待證據；空白視為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推算偏低）</t>
    </r>
  </si>
  <si>
    <t xml:space="preserve">nai_googl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</si>
  <si>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</si>
  <si>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</si>
  <si>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</si>
  <si>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</si>
  <si>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</si>
  <si>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</si>
  <si>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</si>
  <si>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</si>
  <si>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</si>
  <si>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</si>
  <si>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</si>
  <si>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</si>
  <si>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</si>
  <si>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</si>
  <si>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</si>
  <si>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</si>
  <si>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</si>
  <si>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</si>
  <si>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</si>
  <si>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</si>
  <si>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</si>
  <si>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</si>
  <si>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</si>
  <si>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</si>
  <si>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</si>
  <si>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</si>
  <si>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</si>
  <si>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b val="true"/>
        <sz val="11"/>
        <rFont val="Cambria"/>
        <family val="0"/>
        <charset val="1"/>
      </rPr>
      <t xml:space="preserve">Y4. </t>
    </r>
    <r>
      <rPr>
        <b val="true"/>
        <sz val="11"/>
        <rFont val="Noto Sans CJK SC"/>
        <family val="2"/>
      </rPr>
      <t xml:space="preserve">使用者總量（報導或使用者模型；只作 </t>
    </r>
    <r>
      <rPr>
        <b val="true"/>
        <sz val="11"/>
        <rFont val="Cambria"/>
        <family val="0"/>
        <charset val="1"/>
      </rPr>
      <t xml:space="preserve">Matrix </t>
    </r>
    <r>
      <rPr>
        <b val="true"/>
        <sz val="11"/>
        <rFont val="Noto Sans CJK SC"/>
        <family val="2"/>
      </rPr>
      <t xml:space="preserve">欄和對照）</t>
    </r>
  </si>
  <si>
    <t xml:space="preserve">usr_oai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</si>
  <si>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</si>
  <si>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2025 1.9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B#2 Friar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B#6 </t>
    </r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5–6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2027 11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 low double-digit </t>
    </r>
    <r>
      <rPr>
        <sz val="11"/>
        <color theme="1"/>
        <rFont val="Noto Sans CJK SC"/>
        <family val="2"/>
      </rPr>
      <t xml:space="preserve">中點，屬實）</t>
    </r>
  </si>
  <si>
    <t xml:space="preserve">usr_ant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</si>
  <si>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</si>
  <si>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B#45 NYT </t>
    </r>
    <r>
      <rPr>
        <sz val="11"/>
        <color theme="1"/>
        <rFont val="Noto Sans CJK SC"/>
        <family val="2"/>
      </rPr>
      <t xml:space="preserve">轉述，屬實）</t>
    </r>
  </si>
  <si>
    <r>
      <rPr>
        <b val="true"/>
        <sz val="11"/>
        <rFont val="Cambria"/>
        <family val="0"/>
        <charset val="1"/>
      </rPr>
      <t xml:space="preserve">Y5. </t>
    </r>
    <r>
      <rPr>
        <b val="true"/>
        <sz val="11"/>
        <rFont val="Noto Sans CJK SC"/>
        <family val="2"/>
      </rPr>
      <t xml:space="preserve">第三方總量（</t>
    </r>
    <r>
      <rPr>
        <b val="true"/>
        <sz val="11"/>
        <rFont val="Cambria"/>
        <family val="0"/>
        <charset val="1"/>
      </rPr>
      <t xml:space="preserve">C0 </t>
    </r>
    <r>
      <rPr>
        <b val="true"/>
        <sz val="11"/>
        <rFont val="Noto Sans CJK SC"/>
        <family val="2"/>
      </rPr>
      <t xml:space="preserve">佐證；只作佐證，不校準）</t>
    </r>
  </si>
  <si>
    <t xml:space="preserve">tp_epoch</t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</si>
  <si>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資料中心容量（設施；晶片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</si>
  <si>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GW</t>
    </r>
    <r>
      <rPr>
        <sz val="11"/>
        <color theme="1"/>
        <rFont val="Noto Sans CJK SC"/>
        <family val="2"/>
      </rPr>
      <t xml:space="preserve">；未說明是否含中國；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類可能含中國買家晶片（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</t>
    </r>
  </si>
  <si>
    <t xml:space="preserve">tp_mck</t>
  </si>
  <si>
    <r>
      <rPr>
        <sz val="11"/>
        <color theme="1"/>
        <rFont val="Calibri"/>
        <family val="2"/>
        <charset val="1"/>
      </rPr>
      <t xml:space="preserve">McKinsey AI </t>
    </r>
    <r>
      <rPr>
        <sz val="11"/>
        <color theme="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</si>
  <si>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B#67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156−125 </t>
    </r>
    <r>
      <rPr>
        <sz val="11"/>
        <color theme="1"/>
        <rFont val="Noto Sans CJK SC"/>
        <family val="2"/>
      </rPr>
      <t xml:space="preserve">推）；需求基期，非實際裝機；口徑未說明，比照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讀為設施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（待決）</t>
    </r>
  </si>
  <si>
    <r>
      <rPr>
        <b val="true"/>
        <sz val="11"/>
        <rFont val="Cambria"/>
        <family val="0"/>
        <charset val="1"/>
      </rPr>
      <t xml:space="preserve">Y6. </t>
    </r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內部占比；空白年＝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頁由 </t>
    </r>
    <r>
      <rPr>
        <b val="true"/>
        <sz val="11"/>
        <rFont val="Cambria"/>
        <family val="0"/>
        <charset val="1"/>
      </rPr>
      <t xml:space="preserve">SIL_In </t>
    </r>
    <r>
      <rPr>
        <b val="true"/>
        <sz val="11"/>
        <rFont val="Noto Sans CJK SC"/>
        <family val="2"/>
      </rPr>
      <t xml:space="preserve">推導〔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〕）</t>
    </r>
  </si>
  <si>
    <t xml:space="preserve">mix_H100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</si>
  <si>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</si>
  <si>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</si>
  <si>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SRC_GL_100</t>
  </si>
  <si>
    <r>
      <rPr>
        <sz val="11"/>
        <color theme="1"/>
        <rFont val="Calibri"/>
        <family val="2"/>
        <charset val="1"/>
      </rPr>
      <t xml:space="preserve">2023–24 Hopper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新增組合 </t>
    </r>
    <r>
      <rPr>
        <sz val="11"/>
        <color theme="1"/>
        <rFont val="Calibri"/>
        <family val="2"/>
        <charset val="1"/>
      </rPr>
      <t xml:space="preserve">GB200 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 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1−SIL_vr26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SIL_vr26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2027–29 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</si>
  <si>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t xml:space="preserve">mix_GB200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</si>
  <si>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</si>
  <si>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t xml:space="preserve">mix_GB300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</si>
  <si>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</si>
  <si>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t xml:space="preserve">mix_VR200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</si>
  <si>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</si>
  <si>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t xml:space="preserve">mix_RU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</si>
  <si>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</si>
  <si>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nnv_mkt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</si>
  <si>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占比（覆寫；空白＝</t>
    </r>
    <r>
      <rPr>
        <sz val="11"/>
        <color theme="1"/>
        <rFont val="Calibri"/>
        <family val="2"/>
        <charset val="1"/>
      </rPr>
      <t xml:space="preserve">SIL </t>
    </r>
    <r>
      <rPr>
        <sz val="11"/>
        <color theme="1"/>
        <rFont val="Noto Sans CJK SC"/>
        <family val="2"/>
      </rPr>
      <t xml:space="preserve">推導，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</si>
  <si>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預設由 </t>
    </r>
    <r>
      <rPr>
        <sz val="11"/>
        <color theme="1"/>
        <rFont val="Calibri"/>
        <family val="2"/>
        <charset val="1"/>
      </rPr>
      <t xml:space="preserve">Siliconomics Units 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推導（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無來源，沿用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值待決</t>
    </r>
  </si>
  <si>
    <r>
      <rPr>
        <b val="true"/>
        <sz val="11"/>
        <rFont val="Cambria"/>
        <family val="0"/>
        <charset val="1"/>
      </rPr>
      <t xml:space="preserve">T1. </t>
    </r>
    <r>
      <rPr>
        <b val="true"/>
        <sz val="11"/>
        <rFont val="Noto Sans CJK SC"/>
        <family val="2"/>
      </rPr>
      <t xml:space="preserve">營運者 → 使用者分配（每列一筆：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使用者鍵〔</t>
    </r>
    <r>
      <rPr>
        <b val="true"/>
        <sz val="11"/>
        <rFont val="Cambria"/>
        <family val="0"/>
        <charset val="1"/>
      </rPr>
      <t xml:space="preserve">self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ant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oth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形式〔比＝占營運者年底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比例；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＝絕對值〕、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年底；未列＝未分配）</t>
    </r>
  </si>
  <si>
    <t xml:space="preserve">營運者</t>
  </si>
  <si>
    <t xml:space="preserve">使用者</t>
  </si>
  <si>
    <t xml:space="preserve">形式</t>
  </si>
  <si>
    <t xml:space="preserve">al_msft_self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</si>
  <si>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→ 自用</t>
    </r>
  </si>
  <si>
    <t xml:space="preserve">比</t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</si>
  <si>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0.5–0.75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占比不可分離（</t>
    </r>
    <r>
      <rPr>
        <sz val="11"/>
        <color theme="1"/>
        <rFont val="Calibri"/>
        <family val="2"/>
        <charset val="1"/>
      </rPr>
      <t xml:space="preserve">B_summary 1.4</t>
    </r>
    <r>
      <rPr>
        <sz val="11"/>
        <color theme="1"/>
        <rFont val="Noto Sans CJK SC"/>
        <family val="2"/>
      </rPr>
      <t xml:space="preserve">）→ 對外部分未分配</t>
    </r>
  </si>
  <si>
    <t xml:space="preserve">msft</t>
  </si>
  <si>
    <t xml:space="preserve">self</t>
  </si>
  <si>
    <t xml:space="preserve">al_googl_self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</si>
  <si>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</si>
  <si>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scenarios.mwPath.note</t>
    </r>
    <r>
      <rPr>
        <sz val="11"/>
        <color theme="1"/>
        <rFont val="Noto Sans CJK SC"/>
        <family val="2"/>
      </rPr>
      <t xml:space="preserve">）</t>
    </r>
  </si>
  <si>
    <t xml:space="preserve">googl</t>
  </si>
  <si>
    <t xml:space="preserve">al_googl_ant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</si>
  <si>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</si>
  <si>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TPU well over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上線（下限）；</t>
    </r>
    <r>
      <rPr>
        <sz val="11"/>
        <color theme="1"/>
        <rFont val="Calibri"/>
        <family val="2"/>
        <charset val="1"/>
      </rPr>
      <t xml:space="preserve">Broadcom 3.5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A#30 </t>
    </r>
    <r>
      <rPr>
        <sz val="11"/>
        <color theme="1"/>
        <rFont val="Noto Sans CJK SC"/>
        <family val="2"/>
      </rPr>
      <t xml:space="preserve">無法核對、設施由他方營運）不入</t>
    </r>
  </si>
  <si>
    <t xml:space="preserve">ant</t>
  </si>
  <si>
    <t xml:space="preserve">al_amzn_self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</si>
  <si>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</si>
  <si>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0.8</t>
    </r>
  </si>
  <si>
    <t xml:space="preserve">amzn</t>
  </si>
  <si>
    <t xml:space="preserve">al_amzn_ant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</si>
  <si>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</si>
  <si>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New Carlisle 2025-12 626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 1,037 MW-IT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Madison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A#43–44 </t>
    </r>
    <r>
      <rPr>
        <sz val="11"/>
        <color theme="1"/>
        <rFont val="Noto Sans CJK SC"/>
        <family val="2"/>
      </rPr>
      <t xml:space="preserve">推測、未抽查）不入</t>
    </r>
  </si>
  <si>
    <t xml:space="preserve">al_meta_self</t>
  </si>
  <si>
    <t xml:space="preserve">Meta → Meta</t>
  </si>
  <si>
    <r>
      <rPr>
        <sz val="11"/>
        <color theme="1"/>
        <rFont val="Noto Sans CJK SC"/>
        <family val="2"/>
      </rPr>
      <t xml:space="preserve">結構：自建自用（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租用在營運者列）</t>
    </r>
  </si>
  <si>
    <t xml:space="preserve">meta</t>
  </si>
  <si>
    <t xml:space="preserve">al_orcl_oai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</si>
  <si>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</si>
  <si>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Abilene 618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75% → </t>
    </r>
    <r>
      <rPr>
        <sz val="11"/>
        <color theme="1"/>
        <rFont val="Noto Sans CJK SC"/>
        <family val="2"/>
      </rPr>
      <t xml:space="preserve">全場 </t>
    </r>
    <r>
      <rPr>
        <sz val="11"/>
        <color theme="1"/>
        <rFont val="Calibri"/>
        <family val="2"/>
        <charset val="1"/>
      </rPr>
      <t xml:space="preserve">824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首棟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更正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Abilene </t>
    </r>
    <r>
      <rPr>
        <sz val="11"/>
        <color theme="1"/>
        <rFont val="Noto Sans CJK SC"/>
        <family val="2"/>
      </rPr>
      <t xml:space="preserve">上線量未揭露 → 未分配</t>
    </r>
  </si>
  <si>
    <t xml:space="preserve">orcl</t>
  </si>
  <si>
    <t xml:space="preserve">oai</t>
  </si>
  <si>
    <t xml:space="preserve">al_xai_googl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</si>
  <si>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</si>
  <si>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段更正方向）、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 MW-IT </t>
    </r>
    <r>
      <rPr>
        <sz val="11"/>
        <color theme="1"/>
        <rFont val="Noto Sans CJK SC"/>
        <family val="2"/>
      </rPr>
      <t xml:space="preserve">取中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起；使用者＝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Anthropic &gt;300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無法核對）未分配</t>
    </r>
  </si>
  <si>
    <t xml:space="preserve">xai</t>
  </si>
  <si>
    <t xml:space="preserve">al_oai_self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</si>
  <si>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</si>
  <si>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站點使用者為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B#16 </t>
    </r>
    <r>
      <rPr>
        <sz val="11"/>
        <color theme="1"/>
        <rFont val="Noto Sans CJK SC"/>
        <family val="2"/>
      </rPr>
      <t xml:space="preserve">更正）</t>
    </r>
  </si>
  <si>
    <t xml:space="preserve">al_ant_self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</si>
  <si>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→ </t>
    </r>
    <r>
      <rPr>
        <sz val="11"/>
        <color theme="1"/>
        <rFont val="Calibri"/>
        <family val="2"/>
        <charset val="1"/>
      </rPr>
      <t xml:space="preserve">Anthropic</t>
    </r>
  </si>
  <si>
    <t xml:space="preserve">結構：自建自用</t>
  </si>
  <si>
    <t xml:space="preserve">al_neo_msft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</si>
  <si>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</si>
  <si>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IREN Childress 4 × 50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H3–4 2026Q4</t>
    </r>
    <r>
      <rPr>
        <sz val="11"/>
        <color theme="1"/>
        <rFont val="Noto Sans CJK SC"/>
        <family val="2"/>
      </rPr>
      <t xml:space="preserve">）</t>
    </r>
  </si>
  <si>
    <t xml:space="preserve">neo</t>
  </si>
  <si>
    <t xml:space="preserve">al_neo_ant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</si>
  <si>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</si>
  <si>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（更正）：</t>
    </r>
    <r>
      <rPr>
        <sz val="11"/>
        <color theme="1"/>
        <rFont val="Calibri"/>
        <family val="2"/>
        <charset val="1"/>
      </rPr>
      <t xml:space="preserve">TeraWulf Kentucky 401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，首期 </t>
    </r>
    <r>
      <rPr>
        <sz val="11"/>
        <color theme="1"/>
        <rFont val="Calibri"/>
        <family val="2"/>
        <charset val="1"/>
      </rPr>
      <t xml:space="preserve">2027H2</t>
    </r>
  </si>
  <si>
    <t xml:space="preserve">al_cn_self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</si>
  <si>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→ 自用</t>
    </r>
  </si>
  <si>
    <t xml:space="preserve">結構：中國國內自用</t>
  </si>
  <si>
    <t xml:space="preserve">cn</t>
  </si>
  <si>
    <r>
      <rPr>
        <b val="true"/>
        <sz val="11"/>
        <rFont val="Cambria"/>
        <family val="0"/>
        <charset val="1"/>
      </rPr>
      <t xml:space="preserve">T2. </t>
    </r>
    <r>
      <rPr>
        <b val="true"/>
        <sz val="11"/>
        <rFont val="Noto Sans CJK SC"/>
        <family val="2"/>
      </rPr>
      <t xml:space="preserve">園區管線（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使用者鍵、</t>
    </r>
    <r>
      <rPr>
        <b val="true"/>
        <sz val="11"/>
        <rFont val="Cambria"/>
        <family val="0"/>
        <charset val="1"/>
      </rPr>
      <t xml:space="preserve">J MW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公告上線年、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公告上線月、</t>
    </r>
    <r>
      <rPr>
        <b val="true"/>
        <sz val="11"/>
        <rFont val="Cambria"/>
        <family val="0"/>
        <charset val="1"/>
      </rPr>
      <t xml:space="preserve">M </t>
    </r>
    <r>
      <rPr>
        <b val="true"/>
        <sz val="11"/>
        <rFont val="Noto Sans CJK SC"/>
        <family val="2"/>
      </rPr>
      <t xml:space="preserve">已知延遲〔月〕、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納入〔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＝計入〕、</t>
    </r>
    <r>
      <rPr>
        <b val="true"/>
        <sz val="11"/>
        <rFont val="Cambria"/>
        <family val="0"/>
        <charset val="1"/>
      </rPr>
      <t xml:space="preserve">O </t>
    </r>
    <r>
      <rPr>
        <b val="true"/>
        <sz val="11"/>
        <rFont val="Noto Sans CJK SC"/>
        <family val="2"/>
      </rPr>
      <t xml:space="preserve">已確保電力〔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＝是；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不適用〕）</t>
    </r>
  </si>
  <si>
    <t xml:space="preserve">園區</t>
  </si>
  <si>
    <t xml:space="preserve">上線年</t>
  </si>
  <si>
    <t xml:space="preserve">上線月</t>
  </si>
  <si>
    <t xml:space="preserve">已知延遲月</t>
  </si>
  <si>
    <t xml:space="preserve">納入</t>
  </si>
  <si>
    <t xml:space="preserve">已確保電力</t>
  </si>
  <si>
    <t xml:space="preserve">cp_msft_atl</t>
  </si>
  <si>
    <t xml:space="preserve">Fairwater Atlanta</t>
  </si>
  <si>
    <r>
      <rPr>
        <sz val="11"/>
        <color theme="1"/>
        <rFont val="Calibri"/>
        <family val="2"/>
        <charset val="1"/>
      </rPr>
      <t xml:space="preserve">A#15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636 MW-IT 2026-06-14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宣布上線；使用者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等（不可分離）</t>
    </r>
  </si>
  <si>
    <t xml:space="preserve">cp_msft_wi1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</si>
  <si>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</si>
  <si>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 </t>
    </r>
    <r>
      <rPr>
        <sz val="11"/>
        <color theme="1"/>
        <rFont val="Calibri"/>
        <family val="2"/>
        <charset val="1"/>
      </rPr>
      <t xml:space="preserve">as_of 2026-05-15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起分棟、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一期完工；</t>
    </r>
    <r>
      <rPr>
        <sz val="11"/>
        <color theme="1"/>
        <rFont val="Calibri"/>
        <family val="2"/>
        <charset val="1"/>
      </rPr>
      <t xml:space="preserve">D#24</t>
    </r>
    <r>
      <rPr>
        <sz val="11"/>
        <color theme="1"/>
        <rFont val="Noto Sans CJK SC"/>
        <family val="2"/>
      </rPr>
      <t xml:space="preserve">：宣布與實際落差 </t>
    </r>
    <r>
      <rPr>
        <sz val="11"/>
        <color theme="1"/>
        <rFont val="Calibri"/>
        <family val="2"/>
        <charset val="1"/>
      </rPr>
      <t xml:space="preserve">0–2 </t>
    </r>
    <r>
      <rPr>
        <sz val="11"/>
        <color theme="1"/>
        <rFont val="Noto Sans CJK SC"/>
        <family val="2"/>
      </rPr>
      <t xml:space="preserve">月</t>
    </r>
  </si>
  <si>
    <t xml:space="preserve">cp_msft_wi2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</si>
  <si>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全站餘量（</t>
    </r>
    <r>
      <rPr>
        <sz val="11"/>
        <color theme="1"/>
        <rFont val="Calibri"/>
        <family val="2"/>
        <charset val="1"/>
      </rPr>
      <t xml:space="preserve">2,263 − 369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</si>
  <si>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2028-05-13</t>
    </r>
    <r>
      <rPr>
        <sz val="11"/>
        <color theme="1"/>
        <rFont val="Noto Sans CJK SC"/>
        <family val="2"/>
      </rPr>
      <t xml:space="preserve">）</t>
    </r>
  </si>
  <si>
    <t xml:space="preserve">cp_msft_abl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</si>
  <si>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</si>
  <si>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（屬實；首棟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年中）；全站分期未揭露，整筆放首棟月（偏早）；另有 </t>
    </r>
    <r>
      <rPr>
        <sz val="11"/>
        <color theme="1"/>
        <rFont val="Calibri"/>
        <family val="2"/>
        <charset val="1"/>
      </rPr>
      <t xml:space="preserve">700 MW </t>
    </r>
    <r>
      <rPr>
        <sz val="11"/>
        <color theme="1"/>
        <rFont val="Noto Sans CJK SC"/>
        <family val="2"/>
      </rPr>
      <t xml:space="preserve">報導</t>
    </r>
  </si>
  <si>
    <t xml:space="preserve">cp_amzn_nc1</t>
  </si>
  <si>
    <r>
      <rPr>
        <sz val="11"/>
        <color theme="1"/>
        <rFont val="Calibri"/>
        <family val="2"/>
        <charset val="1"/>
      </rPr>
      <t xml:space="preserve">New Carlisle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Rainier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2026-03→10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</si>
  <si>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910→1,037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2026-03→06 </t>
    </r>
    <r>
      <rPr>
        <sz val="11"/>
        <color theme="1"/>
        <rFont val="Noto Sans CJK SC"/>
        <family val="2"/>
      </rPr>
      <t xml:space="preserve">部分已含在觀測值，略重複（</t>
    </r>
    <r>
      <rPr>
        <sz val="11"/>
        <color theme="1"/>
        <rFont val="Calibri"/>
        <family val="2"/>
        <charset val="1"/>
      </rPr>
      <t xml:space="preserve">&lt; 0.08 GW</t>
    </r>
    <r>
      <rPr>
        <sz val="11"/>
        <color theme="1"/>
        <rFont val="Noto Sans CJK SC"/>
        <family val="2"/>
      </rPr>
      <t xml:space="preserve">）</t>
    </r>
  </si>
  <si>
    <t xml:space="preserve">cp_amzn_nc2</t>
  </si>
  <si>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1,925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</si>
  <si>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2028 </t>
    </r>
    <r>
      <rPr>
        <sz val="11"/>
        <color theme="1"/>
        <rFont val="Noto Sans CJK SC"/>
        <family val="2"/>
      </rPr>
      <t xml:space="preserve">預測；月份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</si>
  <si>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cp_meta_pro1</t>
  </si>
  <si>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</t>
    </r>
    <r>
      <rPr>
        <sz val="11"/>
        <color theme="1"/>
        <rFont val="Noto Sans CJK SC"/>
        <family val="2"/>
      </rPr>
      <t xml:space="preserve">）至 </t>
    </r>
    <r>
      <rPr>
        <sz val="11"/>
        <color theme="1"/>
        <rFont val="Calibri"/>
        <family val="2"/>
        <charset val="1"/>
      </rPr>
      <t xml:space="preserve">2026-08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</si>
  <si>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</si>
  <si>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cp_meta_pro2</t>
  </si>
  <si>
    <r>
      <rPr>
        <sz val="11"/>
        <color theme="1"/>
        <rFont val="Calibri"/>
        <family val="2"/>
        <charset val="1"/>
      </rPr>
      <t xml:space="preserve">Prometheus 2026-11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</si>
  <si>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676</t>
    </r>
    <r>
      <rPr>
        <sz val="11"/>
        <color theme="1"/>
        <rFont val="Noto Sans CJK SC"/>
        <family val="2"/>
      </rPr>
      <t xml:space="preserve">）</t>
    </r>
  </si>
  <si>
    <t xml:space="preserve">cp_meta_pro3</t>
  </si>
  <si>
    <r>
      <rPr>
        <sz val="11"/>
        <color theme="1"/>
        <rFont val="Calibri"/>
        <family val="2"/>
        <charset val="1"/>
      </rPr>
      <t xml:space="preserve">Prometheus 2027-07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</si>
  <si>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868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</si>
  <si>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cp_meta_pro4</t>
  </si>
  <si>
    <r>
      <rPr>
        <sz val="11"/>
        <color theme="1"/>
        <rFont val="Calibri"/>
        <family val="2"/>
        <charset val="1"/>
      </rPr>
      <t xml:space="preserve">Prometheus 2028Q3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</si>
  <si>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1,022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</si>
  <si>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cp_meta_hyp1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</si>
  <si>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</si>
  <si>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A#57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2028-01-01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帳上；已確保電力：</t>
    </r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座燃氣電廠（</t>
    </r>
    <r>
      <rPr>
        <sz val="11"/>
        <color theme="1"/>
        <rFont val="Calibri"/>
        <family val="2"/>
        <charset val="1"/>
      </rPr>
      <t xml:space="preserve">A#58 </t>
    </r>
    <r>
      <rPr>
        <sz val="11"/>
        <color theme="1"/>
        <rFont val="Noto Sans CJK SC"/>
        <family val="2"/>
      </rPr>
      <t xml:space="preserve">更正）</t>
    </r>
  </si>
  <si>
    <t xml:space="preserve">cp_meta_hyp2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</si>
  <si>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</si>
  <si>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Calibri"/>
        <family val="2"/>
        <charset val="1"/>
      </rPr>
      <t xml:space="preserve">A#58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前達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無完成日</t>
    </r>
  </si>
  <si>
    <t xml:space="preserve">cp_meta_elp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</si>
  <si>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80%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</si>
  <si>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A#59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compute capacity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起分批）；整筆放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</si>
  <si>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t xml:space="preserve">cp_orcl_abl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</si>
  <si>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824 − 618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</si>
  <si>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（屬實；全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</si>
  <si>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t xml:space="preserve">cp_orcl_shk1</t>
  </si>
  <si>
    <r>
      <rPr>
        <sz val="11"/>
        <color theme="1"/>
        <rFont val="Calibri"/>
        <family val="2"/>
        <charset val="1"/>
      </rPr>
      <t xml:space="preserve">Shackelford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）首棟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</si>
  <si>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（屬實，設施 </t>
    </r>
    <r>
      <rPr>
        <sz val="11"/>
        <color theme="1"/>
        <rFont val="Calibri"/>
        <family val="2"/>
        <charset val="1"/>
      </rPr>
      <t xml:space="preserve">2.0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段更正首棟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棟之 </t>
    </r>
    <r>
      <rPr>
        <sz val="11"/>
        <color theme="1"/>
        <rFont val="Calibri"/>
        <family val="2"/>
        <charset val="1"/>
      </rPr>
      <t xml:space="preserve">1 [Derived]</t>
    </r>
  </si>
  <si>
    <t xml:space="preserve">cp_orcl_shk2</t>
  </si>
  <si>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</si>
  <si>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全站 </t>
    </r>
    <r>
      <rPr>
        <sz val="11"/>
        <color theme="1"/>
        <rFont val="Calibri"/>
        <family val="2"/>
        <charset val="1"/>
      </rPr>
      <t xml:space="preserve">2028-11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</si>
  <si>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cp_orcl_jup</t>
  </si>
  <si>
    <r>
      <rPr>
        <sz val="11"/>
        <color theme="1"/>
        <rFont val="Calibri"/>
        <family val="2"/>
        <charset val="1"/>
      </rPr>
      <t xml:space="preserve">Doña 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</si>
  <si>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A#73</t>
    </r>
    <r>
      <rPr>
        <sz val="11"/>
        <color theme="1"/>
        <rFont val="Noto Sans CJK SC"/>
        <family val="2"/>
      </rPr>
      <t xml:space="preserve">（屬實，設施）；已知延遲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D#17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只佐證：首次供電 </t>
    </r>
    <r>
      <rPr>
        <sz val="11"/>
        <color theme="1"/>
        <rFont val="Calibri"/>
        <family val="2"/>
        <charset val="1"/>
      </rPr>
      <t xml:space="preserve">2027→2029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稱照時程）、</t>
    </r>
    <r>
      <rPr>
        <sz val="11"/>
        <color theme="1"/>
        <rFont val="Calibri"/>
        <family val="2"/>
        <charset val="1"/>
      </rPr>
      <t xml:space="preserve">D#16</t>
    </r>
  </si>
  <si>
    <t xml:space="preserve">cp_orcl_pw</t>
  </si>
  <si>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</si>
  <si>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A#74</t>
    </r>
    <r>
      <rPr>
        <sz val="11"/>
        <color theme="1"/>
        <rFont val="Noto Sans CJK SC"/>
        <family val="2"/>
      </rPr>
      <t xml:space="preserve">（屬實，設施）</t>
    </r>
  </si>
  <si>
    <t xml:space="preserve">cp_orcl_sal</t>
  </si>
  <si>
    <r>
      <rPr>
        <sz val="11"/>
        <color theme="1"/>
        <rFont val="Calibri"/>
        <family val="2"/>
        <charset val="1"/>
      </rPr>
      <t xml:space="preserve">Saline Township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</si>
  <si>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A#75</t>
    </r>
    <r>
      <rPr>
        <sz val="11"/>
        <color theme="1"/>
        <rFont val="Noto Sans CJK SC"/>
        <family val="2"/>
      </rPr>
      <t xml:space="preserve">（屬實，設施）</t>
    </r>
  </si>
  <si>
    <t xml:space="preserve">cp_crwv_hel2</t>
  </si>
  <si>
    <r>
      <rPr>
        <sz val="11"/>
        <color theme="1"/>
        <rFont val="Calibri"/>
        <family val="2"/>
        <charset val="1"/>
      </rPr>
      <t xml:space="preserve">Helios Phase 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Galaxy </t>
    </r>
    <r>
      <rPr>
        <sz val="11"/>
        <color theme="1"/>
        <rFont val="Noto Sans CJK SC"/>
        <family val="2"/>
      </rPr>
      <t xml:space="preserve">房東）</t>
    </r>
  </si>
  <si>
    <r>
      <rPr>
        <sz val="11"/>
        <color theme="1"/>
        <rFont val="Calibri"/>
        <family val="2"/>
        <charset val="1"/>
      </rPr>
      <t xml:space="preserve">A#87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Phase II 2027H1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III 133 MW </t>
    </r>
    <r>
      <rPr>
        <sz val="11"/>
        <color theme="1"/>
        <rFont val="Noto Sans CJK SC"/>
        <family val="2"/>
      </rPr>
      <t xml:space="preserve">時程未揭露</t>
    </r>
  </si>
  <si>
    <t xml:space="preserve">crwv</t>
  </si>
  <si>
    <t xml:space="preserve">cp_neo_iren</t>
  </si>
  <si>
    <r>
      <rPr>
        <sz val="11"/>
        <color theme="1"/>
        <rFont val="Calibri"/>
        <family val="2"/>
        <charset val="1"/>
      </rPr>
      <t xml:space="preserve">IREN Childress H3–4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</si>
  <si>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目標）；使用者＝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T1 al_neo_msft </t>
    </r>
    <r>
      <rPr>
        <sz val="11"/>
        <color theme="1"/>
        <rFont val="Noto Sans CJK SC"/>
        <family val="2"/>
      </rPr>
      <t xml:space="preserve">一致）</t>
    </r>
  </si>
  <si>
    <t xml:space="preserve">cp_neo_iren27</t>
  </si>
  <si>
    <r>
      <rPr>
        <sz val="11"/>
        <color theme="1"/>
        <rFont val="Calibri"/>
        <family val="2"/>
        <charset val="1"/>
      </rPr>
      <t xml:space="preserve">IREN 2027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0.8 GW </t>
    </r>
    <r>
      <rPr>
        <sz val="11"/>
        <color theme="1"/>
        <rFont val="Noto Sans CJK SC"/>
        <family val="2"/>
      </rPr>
      <t xml:space="preserve">目標增量</t>
    </r>
  </si>
  <si>
    <r>
      <rPr>
        <sz val="11"/>
        <color theme="1"/>
        <rFont val="Calibri"/>
        <family val="2"/>
        <charset val="1"/>
      </rPr>
      <t xml:space="preserve">A#105</t>
    </r>
    <r>
      <rPr>
        <sz val="11"/>
        <color theme="1"/>
        <rFont val="Noto Sans CJK SC"/>
        <family val="2"/>
      </rPr>
      <t xml:space="preserve">（屬實；累計交付目標 </t>
    </r>
    <r>
      <rPr>
        <sz val="11"/>
        <color theme="1"/>
        <rFont val="Calibri"/>
        <family val="2"/>
        <charset val="1"/>
      </rPr>
      <t xml:space="preserve">2026 0.3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0.8 GW IT</t>
    </r>
    <r>
      <rPr>
        <sz val="11"/>
        <color theme="1"/>
        <rFont val="Noto Sans CJK SC"/>
        <family val="2"/>
      </rPr>
      <t xml:space="preserve">）</t>
    </r>
  </si>
  <si>
    <t xml:space="preserve">cp_neo_twf1</t>
  </si>
  <si>
    <r>
      <rPr>
        <sz val="11"/>
        <color theme="1"/>
        <rFont val="Calibri"/>
        <family val="2"/>
        <charset val="1"/>
      </rPr>
      <t xml:space="preserve">TeraWulf Kentucky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）首期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</si>
  <si>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初全部）；首期規模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約一半</t>
    </r>
  </si>
  <si>
    <t xml:space="preserve">cp_neo_twf2</t>
  </si>
  <si>
    <r>
      <rPr>
        <sz val="11"/>
        <color theme="1"/>
        <rFont val="Calibri"/>
        <family val="2"/>
        <charset val="1"/>
      </rPr>
      <t xml:space="preserve">TeraWulf Kentucky </t>
    </r>
    <r>
      <rPr>
        <sz val="11"/>
        <color theme="1"/>
        <rFont val="Noto Sans CJK SC"/>
        <family val="2"/>
      </rPr>
      <t xml:space="preserve">其餘</t>
    </r>
  </si>
  <si>
    <t xml:space="preserve">cp_oai_pp1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</si>
  <si>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</si>
  <si>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B#16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起分期）；三年均分 </t>
    </r>
    <r>
      <rPr>
        <sz val="11"/>
        <color theme="1"/>
        <rFont val="Calibri"/>
        <family val="2"/>
        <charset val="1"/>
      </rPr>
      <t xml:space="preserve">[Assumed]</t>
    </r>
  </si>
  <si>
    <t xml:space="preserve">cp_oai_pp2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</si>
  <si>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段</t>
    </r>
  </si>
  <si>
    <t xml:space="preserve">cp_oai_pp3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</si>
  <si>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</t>
    </r>
  </si>
  <si>
    <t xml:space="preserve">cp_sov_hum1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</si>
  <si>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首期（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</si>
  <si>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需美方許可）</t>
    </r>
  </si>
  <si>
    <t xml:space="preserve">sov</t>
  </si>
  <si>
    <t xml:space="preserve">cp_sov_hum2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</si>
  <si>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</si>
  <si>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（屬實）</t>
    </r>
  </si>
  <si>
    <t xml:space="preserve">cpx_nbis_lpr</t>
  </si>
  <si>
    <t xml:space="preserve">Nebius Lappeenranta</t>
  </si>
  <si>
    <r>
      <rPr>
        <sz val="11"/>
        <color rgb="FF808080"/>
        <rFont val="Cambria"/>
        <family val="0"/>
        <charset val="1"/>
      </rPr>
      <t xml:space="preserve">A#99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</si>
  <si>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nbis</t>
  </si>
  <si>
    <t xml:space="preserve">cpx_nbis_mo</t>
  </si>
  <si>
    <t xml:space="preserve">Nebius Independence, Missouri</t>
  </si>
  <si>
    <r>
      <rPr>
        <sz val="11"/>
        <color rgb="FF808080"/>
        <rFont val="Cambria"/>
        <family val="0"/>
        <charset val="1"/>
      </rPr>
      <t xml:space="preserve">A#100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</si>
  <si>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cpx_nbis_pa</t>
  </si>
  <si>
    <t xml:space="preserve">Nebius Pennsylvania</t>
  </si>
  <si>
    <r>
      <rPr>
        <sz val="11"/>
        <color rgb="FF808080"/>
        <rFont val="Cambria"/>
        <family val="0"/>
        <charset val="1"/>
      </rPr>
      <t xml:space="preserve">A#101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</si>
  <si>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cpx_crwv_lan</t>
  </si>
  <si>
    <t xml:space="preserve">CoreWeave Lancaster PA</t>
  </si>
  <si>
    <r>
      <rPr>
        <sz val="11"/>
        <color rgb="FF808080"/>
        <rFont val="Cambria"/>
        <family val="0"/>
        <charset val="1"/>
      </rPr>
      <t xml:space="preserve">A#92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</si>
  <si>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cpx_amzn_cip</t>
  </si>
  <si>
    <r>
      <rPr>
        <sz val="11"/>
        <color rgb="FF808080"/>
        <rFont val="Cambria"/>
        <family val="0"/>
        <charset val="1"/>
      </rPr>
      <t xml:space="preserve">Cipher Black Pearl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Amazon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</si>
  <si>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A#48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</si>
  <si>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cpx_googl_bx</t>
  </si>
  <si>
    <r>
      <rPr>
        <sz val="11"/>
        <color rgb="FF808080"/>
        <rFont val="Cambria"/>
        <family val="0"/>
        <charset val="1"/>
      </rPr>
      <t xml:space="preserve">Google–Blackstone TPU </t>
    </r>
    <r>
      <rPr>
        <sz val="11"/>
        <color rgb="FF808080"/>
        <rFont val="Noto Sans CJK SC"/>
        <family val="2"/>
      </rPr>
      <t xml:space="preserve">雲合資</t>
    </r>
  </si>
  <si>
    <r>
      <rPr>
        <sz val="11"/>
        <color rgb="FF808080"/>
        <rFont val="Cambria"/>
        <family val="0"/>
        <charset val="1"/>
      </rPr>
      <t xml:space="preserve">A#31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</si>
  <si>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cpx_oai_milam</t>
  </si>
  <si>
    <t xml:space="preserve">Stargate Milam County</t>
  </si>
  <si>
    <r>
      <rPr>
        <sz val="11"/>
        <color rgb="FF808080"/>
        <rFont val="Cambria"/>
        <family val="0"/>
        <charset val="1"/>
      </rPr>
      <t xml:space="preserve">B#14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</si>
  <si>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cpx_oai_lord</t>
  </si>
  <si>
    <t xml:space="preserve">Stargate Lordstown</t>
  </si>
  <si>
    <r>
      <rPr>
        <sz val="11"/>
        <color rgb="FF808080"/>
        <rFont val="Cambria"/>
        <family val="0"/>
        <charset val="1"/>
      </rPr>
      <t xml:space="preserve">B#15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</si>
  <si>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cpx_neo_cer</t>
  </si>
  <si>
    <r>
      <rPr>
        <sz val="11"/>
        <color rgb="FF808080"/>
        <rFont val="Cambria"/>
        <family val="0"/>
        <charset val="1"/>
      </rPr>
      <t xml:space="preserve">Cerebras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OpenAI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</si>
  <si>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B#26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</si>
  <si>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cpx_sov_uae</t>
  </si>
  <si>
    <r>
      <rPr>
        <sz val="11"/>
        <color rgb="FF808080"/>
        <rFont val="Cambria"/>
        <family val="0"/>
        <charset val="1"/>
      </rPr>
      <t xml:space="preserve">Stargate UAE </t>
    </r>
    <r>
      <rPr>
        <sz val="11"/>
        <color rgb="FF808080"/>
        <rFont val="Noto Sans CJK SC"/>
        <family val="2"/>
      </rPr>
      <t xml:space="preserve">第一期</t>
    </r>
  </si>
  <si>
    <r>
      <rPr>
        <sz val="11"/>
        <color rgb="FF808080"/>
        <rFont val="Cambria"/>
        <family val="0"/>
        <charset val="1"/>
      </rPr>
      <t xml:space="preserve">B#27</t>
    </r>
    <r>
      <rPr>
        <sz val="11"/>
        <color rgb="FF808080"/>
        <rFont val="Noto Sans CJK SC"/>
        <family val="2"/>
      </rPr>
      <t xml:space="preserve">（未抽查）；</t>
    </r>
    <r>
      <rPr>
        <sz val="11"/>
        <color rgb="FF808080"/>
        <rFont val="Cambria"/>
        <family val="0"/>
        <charset val="1"/>
      </rPr>
      <t xml:space="preserve">D#21 </t>
    </r>
    <r>
      <rPr>
        <sz val="11"/>
        <color rgb="FF808080"/>
        <rFont val="Noto Sans CJK SC"/>
        <family val="2"/>
      </rPr>
      <t xml:space="preserve">未見上線；不入（只用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</si>
  <si>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cpx_sov_mis</t>
  </si>
  <si>
    <r>
      <rPr>
        <sz val="11"/>
        <color rgb="FF808080"/>
        <rFont val="Cambria"/>
        <family val="0"/>
        <charset val="1"/>
      </rPr>
      <t xml:space="preserve">Mistral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MGX </t>
    </r>
    <r>
      <rPr>
        <sz val="11"/>
        <color rgb="FF808080"/>
        <rFont val="Noto Sans CJK SC"/>
        <family val="2"/>
      </rPr>
      <t xml:space="preserve">法國</t>
    </r>
  </si>
  <si>
    <r>
      <rPr>
        <sz val="11"/>
        <color rgb="FF808080"/>
        <rFont val="Cambria"/>
        <family val="0"/>
        <charset val="1"/>
      </rPr>
      <t xml:space="preserve">B#61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</si>
  <si>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cpx_neo_nexus</t>
  </si>
  <si>
    <r>
      <rPr>
        <sz val="11"/>
        <color rgb="FF808080"/>
        <rFont val="Cambria"/>
        <family val="0"/>
        <charset val="1"/>
      </rPr>
      <t xml:space="preserve">Nexus Hubbard TX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</si>
  <si>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</si>
  <si>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cpx_neo_hut8</t>
  </si>
  <si>
    <r>
      <rPr>
        <sz val="11"/>
        <color rgb="FF808080"/>
        <rFont val="Cambria"/>
        <family val="0"/>
        <charset val="1"/>
      </rPr>
      <t xml:space="preserve">Hut 8 River Bend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Fluidstack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</si>
  <si>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B#35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</si>
  <si>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cpx_xai_c2</t>
  </si>
  <si>
    <r>
      <rPr>
        <sz val="11"/>
        <color rgb="FF808080"/>
        <rFont val="Cambria"/>
        <family val="0"/>
        <charset val="1"/>
      </rPr>
      <t xml:space="preserve">Colossus 2 </t>
    </r>
    <r>
      <rPr>
        <sz val="11"/>
        <color rgb="FF808080"/>
        <rFont val="Noto Sans CJK SC"/>
        <family val="2"/>
      </rPr>
      <t xml:space="preserve">增量（</t>
    </r>
    <r>
      <rPr>
        <sz val="11"/>
        <color rgb="FF808080"/>
        <rFont val="Cambria"/>
        <family val="0"/>
        <charset val="1"/>
      </rPr>
      <t xml:space="preserve">1,531 MW-IT 2027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</si>
  <si>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B#47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段刪除 </t>
    </r>
    <r>
      <rPr>
        <sz val="11"/>
        <color rgb="FF808080"/>
        <rFont val="Cambria"/>
        <family val="0"/>
        <charset val="1"/>
      </rPr>
      <t xml:space="preserve">1,531 MW</t>
    </r>
    <r>
      <rPr>
        <sz val="11"/>
        <color rgb="FF808080"/>
        <rFont val="Noto Sans CJK SC"/>
        <family val="2"/>
      </rPr>
      <t xml:space="preserve">（無出處）；不入（只用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</si>
  <si>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）。同一份快照與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siliconomics/data/tokenomics_snapshot_v21.7.json</t>
    </r>
    <r>
      <rPr>
        <sz val="11"/>
        <color theme="1"/>
        <rFont val="Noto Sans CJK SC"/>
        <family val="2"/>
      </rPr>
      <t xml:space="preserve">），不另抽；綠字不得修改</t>
    </r>
  </si>
  <si>
    <r>
      <rPr>
        <sz val="11"/>
        <color theme="1"/>
        <rFont val="Noto Sans CJK SC"/>
        <family val="2"/>
      </rPr>
      <t xml:space="preserve">快照註記：主值取「基準」成本情境；低成本／高成本只作敏感度。每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關鍵電力（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列）。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</si>
  <si>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</si>
  <si>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</si>
  <si>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</si>
  <si>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t xml:space="preserve">低</t>
  </si>
  <si>
    <t xml:space="preserve">基準</t>
  </si>
  <si>
    <t xml:space="preserve">高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</si>
  <si>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</si>
  <si>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</si>
  <si>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</si>
  <si>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</si>
  <si>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</si>
  <si>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</si>
  <si>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</si>
  <si>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</si>
  <si>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</si>
  <si>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</si>
  <si>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</si>
  <si>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</si>
  <si>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</si>
  <si>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</si>
  <si>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</si>
  <si>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</si>
  <si>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</si>
  <si>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</si>
  <si>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</si>
  <si>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</si>
  <si>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</si>
  <si>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</si>
  <si>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</si>
  <si>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</si>
  <si>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</si>
  <si>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</si>
  <si>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</si>
  <si>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</si>
  <si>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</si>
  <si>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</si>
  <si>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</si>
  <si>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</si>
  <si>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</si>
  <si>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</si>
  <si>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</si>
  <si>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</si>
  <si>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</si>
  <si>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</si>
  <si>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</si>
  <si>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</si>
  <si>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</si>
  <si>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</si>
  <si>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</si>
  <si>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</si>
  <si>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</si>
  <si>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</si>
  <si>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</si>
  <si>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</si>
  <si>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</si>
  <si>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</si>
  <si>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</si>
  <si>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</si>
  <si>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</si>
  <si>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</si>
  <si>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</si>
  <si>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</si>
  <si>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</si>
  <si>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</si>
  <si>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</si>
  <si>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</si>
  <si>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</si>
  <si>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</si>
  <si>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</si>
  <si>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</si>
  <si>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</si>
  <si>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</si>
  <si>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</si>
  <si>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</si>
  <si>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</si>
  <si>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</si>
  <si>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</si>
  <si>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</si>
  <si>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</si>
  <si>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</si>
  <si>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</si>
  <si>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</si>
  <si>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</si>
  <si>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</si>
  <si>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</si>
  <si>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</si>
  <si>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</si>
  <si>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</si>
  <si>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</si>
  <si>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</si>
  <si>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</si>
  <si>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</si>
  <si>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</si>
  <si>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</si>
  <si>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</si>
  <si>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</si>
  <si>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</si>
  <si>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</si>
  <si>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</si>
  <si>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</si>
  <si>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</si>
  <si>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</si>
  <si>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</si>
  <si>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</si>
  <si>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</si>
  <si>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</si>
  <si>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</si>
  <si>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</si>
  <si>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</si>
  <si>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</si>
  <si>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</si>
  <si>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</si>
  <si>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</si>
  <si>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</si>
  <si>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</si>
  <si>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</si>
  <si>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</si>
  <si>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</si>
  <si>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</si>
  <si>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</si>
  <si>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</si>
  <si>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</si>
  <si>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</si>
  <si>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</si>
  <si>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</si>
  <si>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</si>
  <si>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</si>
  <si>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</si>
  <si>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</si>
  <si>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</si>
  <si>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t xml:space="preserve">IF_FacilityGW</t>
  </si>
  <si>
    <t xml:space="preserve">TK_FacilityGW_H100</t>
  </si>
  <si>
    <r>
      <rPr>
        <sz val="11"/>
        <color theme="1"/>
        <rFont val="Calibri"/>
        <family val="2"/>
        <charset val="1"/>
      </rPr>
      <t xml:space="preserve">model/20261025_Tokenomics_v21.7.xlsx Interface!C8:Q8</t>
    </r>
    <r>
      <rPr>
        <sz val="11"/>
        <color theme="1"/>
        <rFont val="Noto Sans CJK SC"/>
        <family val="2"/>
      </rPr>
      <t xml:space="preserve">（快照未含；直接讀活頁簿，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</si>
  <si>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t xml:space="preserve">TK_FacilityGW_GB200</t>
  </si>
  <si>
    <t xml:space="preserve">TK_FacilityGW_GB300</t>
  </si>
  <si>
    <t xml:space="preserve">TK_FacilityGW_VR200</t>
  </si>
  <si>
    <t xml:space="preserve">TK_FacilityGW_RU</t>
  </si>
  <si>
    <r>
      <rPr>
        <sz val="11"/>
        <color theme="1"/>
        <rFont val="Calibri"/>
        <family val="2"/>
        <charset val="1"/>
      </rPr>
      <t xml:space="preserve">SIL_In — Siliconomics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20261028_Siliconomics_v0.7.1.xlsx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sha256 54b59045b9ac</t>
    </r>
    <r>
      <rPr>
        <sz val="11"/>
        <color theme="1"/>
        <rFont val="Noto Sans CJK SC"/>
        <family val="2"/>
      </rPr>
      <t xml:space="preserve">）。由 </t>
    </r>
    <r>
      <rPr>
        <sz val="11"/>
        <color theme="1"/>
        <rFont val="Calibri"/>
        <family val="2"/>
        <charset val="1"/>
      </rPr>
      <t xml:space="preserve">siliconomics/data/CURRENT_SNAPSHOT </t>
    </r>
    <r>
      <rPr>
        <sz val="11"/>
        <color theme="1"/>
        <rFont val="Noto Sans CJK SC"/>
        <family val="2"/>
      </rPr>
      <t xml:space="preserve">指向；綠字不得修改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</si>
  <si>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SIF_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</si>
  <si>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值（純量）／</t>
    </r>
    <r>
      <rPr>
        <b val="true"/>
        <sz val="11"/>
        <rFont val="Cambria"/>
        <family val="0"/>
        <charset val="1"/>
      </rPr>
      <t xml:space="preserve">2023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</si>
  <si>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純量</t>
    </r>
  </si>
  <si>
    <t xml:space="preserve">SIF_vr26</t>
  </si>
  <si>
    <t xml:space="preserve">SIL_vr26</t>
  </si>
  <si>
    <t xml:space="preserve">SIF_vr26_lo</t>
  </si>
  <si>
    <t xml:space="preserve">SIL_vr26_lo</t>
  </si>
  <si>
    <t xml:space="preserve">SIF_vr26_hi</t>
  </si>
  <si>
    <t xml:space="preserve">SIL_vr26_hi</t>
  </si>
  <si>
    <t xml:space="preserve">SIF_it_GB</t>
  </si>
  <si>
    <t xml:space="preserve">SIL_it_GB</t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</si>
  <si>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</t>
    </r>
  </si>
  <si>
    <t xml:space="preserve">SIF_it_VR</t>
  </si>
  <si>
    <t xml:space="preserve">SIL_it_VR</t>
  </si>
  <si>
    <t xml:space="preserve">SIF_it_RU</t>
  </si>
  <si>
    <t xml:space="preserve">SIL_it_RU</t>
  </si>
  <si>
    <t xml:space="preserve">SIF_it_HP</t>
  </si>
  <si>
    <t xml:space="preserve">SIL_it_HP</t>
  </si>
  <si>
    <t xml:space="preserve">SIF_it_AMD8</t>
  </si>
  <si>
    <t xml:space="preserve">SIL_it_AMD8</t>
  </si>
  <si>
    <t xml:space="preserve">SIF_it_AMDR</t>
  </si>
  <si>
    <t xml:space="preserve">SIL_it_AMDR</t>
  </si>
  <si>
    <t xml:space="preserve">SIF_it_TPU</t>
  </si>
  <si>
    <t xml:space="preserve">SIL_it_TPU</t>
  </si>
  <si>
    <t xml:space="preserve">SIF_it_TRN</t>
  </si>
  <si>
    <t xml:space="preserve">SIL_it_TRN</t>
  </si>
  <si>
    <t xml:space="preserve">SIF_it_ASIC</t>
  </si>
  <si>
    <t xml:space="preserve">SIL_it_ASIC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</si>
  <si>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年度（欄 </t>
    </r>
    <r>
      <rPr>
        <b val="true"/>
        <sz val="11"/>
        <rFont val="Cambria"/>
        <family val="0"/>
        <charset val="1"/>
      </rPr>
      <t xml:space="preserve">D–M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2023–2032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只到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</t>
    </r>
  </si>
  <si>
    <t xml:space="preserve">SIF_UnitsPlat_bw</t>
  </si>
  <si>
    <t xml:space="preserve">百萬顆</t>
  </si>
  <si>
    <t xml:space="preserve">SIF_UnitsPlat_rb</t>
  </si>
  <si>
    <t xml:space="preserve">SIF_UnitsPlat_ru</t>
  </si>
  <si>
    <t xml:space="preserve">SIF_UnitsPlat_hp</t>
  </si>
  <si>
    <t xml:space="preserve">SIF_UnitsPlat_amd</t>
  </si>
  <si>
    <t xml:space="preserve">SIF_UnitsPlat_tpu</t>
  </si>
  <si>
    <t xml:space="preserve">SIF_UnitsPlat_trn</t>
  </si>
  <si>
    <t xml:space="preserve">SIF_UnitsPlat_oth</t>
  </si>
  <si>
    <t xml:space="preserve">SIF_UnitsCoef_A</t>
  </si>
  <si>
    <t xml:space="preserve">SIF_UnitsCoef_B</t>
  </si>
  <si>
    <t xml:space="preserve">SIF_UnitsCoef_C</t>
  </si>
  <si>
    <t xml:space="preserve">SIF_DeployGW_A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</si>
  <si>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</si>
  <si>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t xml:space="preserve">SIF_DeployGW_B</t>
  </si>
  <si>
    <t xml:space="preserve">SIF_DeployGW_C</t>
  </si>
  <si>
    <t xml:space="preserve">SIF_AIITCapex_A</t>
  </si>
  <si>
    <t xml:space="preserve">SIF_AIITCapex_B</t>
  </si>
  <si>
    <t xml:space="preserve">SIF_AIITCapex_C</t>
  </si>
  <si>
    <t xml:space="preserve">SIF_ITCapexPerGW</t>
  </si>
  <si>
    <t xml:space="preserve">US$B/GW</t>
  </si>
  <si>
    <r>
      <rPr>
        <sz val="11"/>
        <color theme="1"/>
        <rFont val="Calibri"/>
        <family val="2"/>
        <charset val="1"/>
      </rPr>
      <t xml:space="preserve">Players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）年底上線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；甲：公告路徑；營運者口徑）。已知值優先序：</t>
    </r>
    <r>
      <rPr>
        <sz val="11"/>
        <color theme="1"/>
        <rFont val="Calibri"/>
        <family val="2"/>
        <charset val="1"/>
      </rPr>
      <t xml:space="preserve">In Y1 </t>
    </r>
    <r>
      <rPr>
        <sz val="11"/>
        <color theme="1"/>
        <rFont val="Noto Sans CJK SC"/>
        <family val="2"/>
      </rPr>
      <t xml:space="preserve">輸入（設施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 → 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觀測＋觀測後至年底的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園區上線量；兩已知值間線性內插；最後已知值後＝前年＋當年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）；第一個已知值前留空（</t>
    </r>
    <r>
      <rPr>
        <sz val="11"/>
        <color theme="1"/>
        <rFont val="Calibri"/>
        <family val="2"/>
        <charset val="1"/>
      </rPr>
      <t xml:space="preserve">GL01-03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</si>
  <si>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旗標：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晶片換算／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園區延伸／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未知。年新增＝年底差（第一個已知年為『新納入存量』，不計新增）。低／高列：晶片換算用 </t>
    </r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區間或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段區間，其餘＝基準</t>
    </r>
  </si>
  <si>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內部占比）與換算係數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</si>
  <si>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</si>
  <si>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</si>
  <si>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</si>
  <si>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</si>
  <si>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</si>
  <si>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世代占比合計（須＝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</si>
  <si>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Units 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數）</t>
    </r>
  </si>
  <si>
    <r>
      <rPr>
        <sz val="11"/>
        <color theme="1"/>
        <rFont val="Noto Sans CJK SC"/>
        <family val="2"/>
      </rPr>
      <t xml:space="preserve">工作單：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比例讀 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；以每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GL01-11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Blackwell 2.4M </t>
    </r>
    <r>
      <rPr>
        <sz val="11"/>
        <color theme="1"/>
        <rFont val="Noto Sans CJK SC"/>
        <family val="2"/>
      </rPr>
      <t xml:space="preserve">顆不計（工作單：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</si>
  <si>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</si>
  <si>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Siliconomics Units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占比（工作單第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（待決）、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</si>
  <si>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對應設施電力（</t>
    </r>
    <r>
      <rPr>
        <sz val="11"/>
        <color theme="1"/>
        <rFont val="Calibri"/>
        <family val="2"/>
        <charset val="1"/>
      </rPr>
      <t xml:space="preserve">TK IF_FacilityGW</t>
    </r>
    <r>
      <rPr>
        <sz val="11"/>
        <color theme="1"/>
        <rFont val="Noto Sans CJK SC"/>
        <family val="2"/>
      </rPr>
      <t xml:space="preserve">，世代加權）</t>
    </r>
  </si>
  <si>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v21.7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列；快照未含，直接讀活頁簿，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世代加權近似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</si>
  <si>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</si>
  <si>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t xml:space="preserve">mult_msft</t>
  </si>
  <si>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</si>
  <si>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</si>
  <si>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mult_googl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</si>
  <si>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</si>
  <si>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</si>
  <si>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mult_amzn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</si>
  <si>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ovr25_amzn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</si>
  <si>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Meta</t>
    </r>
  </si>
  <si>
    <t xml:space="preserve">mult_meta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</si>
  <si>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</si>
  <si>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t xml:space="preserve">mult_orcl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</si>
  <si>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</si>
  <si>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t xml:space="preserve">mult_xai</t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</si>
  <si>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（自有＋融資租賃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</si>
  <si>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In!C88</t>
    </r>
  </si>
  <si>
    <r>
      <rPr>
        <sz val="11"/>
        <color theme="1"/>
        <rFont val="Noto Sans CJK SC"/>
        <family val="2"/>
      </rPr>
      <t xml:space="preserve">　輸入（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</si>
  <si>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msft_in</t>
  </si>
  <si>
    <r>
      <rPr>
        <sz val="11"/>
        <color theme="1"/>
        <rFont val="Noto Sans CJK SC"/>
        <family val="2"/>
      </rPr>
      <t xml:space="preserve">　晶片換算 </t>
    </r>
    <r>
      <rPr>
        <sz val="11"/>
        <color theme="1"/>
        <rFont val="Calibri"/>
        <family val="2"/>
        <charset val="1"/>
      </rPr>
      <t xml:space="preserve">IT GW</t>
    </r>
  </si>
  <si>
    <t xml:space="preserve">msft_chip</t>
  </si>
  <si>
    <t xml:space="preserve">　已知值</t>
  </si>
  <si>
    <t xml:space="preserve">msft_k</t>
  </si>
  <si>
    <t xml:space="preserve">　前一已知值</t>
  </si>
  <si>
    <t xml:space="preserve">msft_L</t>
  </si>
  <si>
    <t xml:space="preserve">　前一已知年</t>
  </si>
  <si>
    <t xml:space="preserve">msft_LY</t>
  </si>
  <si>
    <t xml:space="preserve">　下一已知值</t>
  </si>
  <si>
    <t xml:space="preserve">msft_N</t>
  </si>
  <si>
    <t xml:space="preserve">　下一已知年</t>
  </si>
  <si>
    <t xml:space="preserve">msft_NY</t>
  </si>
  <si>
    <r>
      <rPr>
        <sz val="11"/>
        <color theme="1"/>
        <rFont val="Noto Sans CJK SC"/>
        <family val="2"/>
      </rPr>
      <t xml:space="preserve">　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</si>
  <si>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msft_cp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</si>
  <si>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</si>
  <si>
    <t xml:space="preserve">msft_tk</t>
  </si>
  <si>
    <t xml:space="preserve">　旗標</t>
  </si>
  <si>
    <t xml:space="preserve">msft_f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</si>
  <si>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</si>
  <si>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msft_lo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</si>
  <si>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</si>
  <si>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msft_hi</t>
  </si>
  <si>
    <r>
      <rPr>
        <sz val="11"/>
        <color theme="1"/>
        <rFont val="Noto Sans CJK SC"/>
        <family val="2"/>
      </rPr>
      <t xml:space="preserve">　另讀（口徑未說明者讀為設施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</si>
  <si>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msft_alt</t>
  </si>
  <si>
    <r>
      <rPr>
        <sz val="11"/>
        <color theme="1"/>
        <rFont val="Noto Sans CJK SC"/>
        <family val="2"/>
      </rPr>
      <t xml:space="preserve">　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</si>
  <si>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msft_avg</t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</si>
  <si>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</si>
  <si>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msft_add</t>
  </si>
  <si>
    <r>
      <rPr>
        <sz val="11"/>
        <color theme="1"/>
        <rFont val="Noto Sans CJK SC"/>
        <family val="2"/>
      </rPr>
      <t xml:space="preserve">　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</si>
  <si>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msft_stk</t>
  </si>
  <si>
    <r>
      <rPr>
        <sz val="11"/>
        <color theme="1"/>
        <rFont val="Noto Sans CJK SC"/>
        <family val="2"/>
      </rPr>
      <t xml:space="preserve">　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</si>
  <si>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msft_nnv</t>
  </si>
  <si>
    <r>
      <rPr>
        <b val="true"/>
        <sz val="11"/>
        <rFont val="Cambria"/>
        <family val="0"/>
        <charset val="1"/>
      </rPr>
      <t xml:space="preserve">Alphabet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</si>
  <si>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In!C89</t>
    </r>
  </si>
  <si>
    <t xml:space="preserve">googl_in</t>
  </si>
  <si>
    <t xml:space="preserve">googl_chip</t>
  </si>
  <si>
    <t xml:space="preserve">googl_k</t>
  </si>
  <si>
    <t xml:space="preserve">googl_L</t>
  </si>
  <si>
    <t xml:space="preserve">googl_LY</t>
  </si>
  <si>
    <t xml:space="preserve">googl_N</t>
  </si>
  <si>
    <t xml:space="preserve">googl_NY</t>
  </si>
  <si>
    <t xml:space="preserve">googl_cp</t>
  </si>
  <si>
    <t xml:space="preserve">googl_tk</t>
  </si>
  <si>
    <t xml:space="preserve">googl_f</t>
  </si>
  <si>
    <t xml:space="preserve">googl_lo</t>
  </si>
  <si>
    <t xml:space="preserve">googl_hi</t>
  </si>
  <si>
    <t xml:space="preserve">googl_alt</t>
  </si>
  <si>
    <t xml:space="preserve">googl_avg</t>
  </si>
  <si>
    <t xml:space="preserve">googl_add</t>
  </si>
  <si>
    <t xml:space="preserve">googl_stk</t>
  </si>
  <si>
    <t xml:space="preserve">googl_nnv</t>
  </si>
  <si>
    <r>
      <rPr>
        <b val="true"/>
        <sz val="11"/>
        <rFont val="Cambria"/>
        <family val="0"/>
        <charset val="1"/>
      </rPr>
      <t xml:space="preserve">Amazon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</si>
  <si>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In!C90</t>
    </r>
  </si>
  <si>
    <t xml:space="preserve">amzn_in</t>
  </si>
  <si>
    <t xml:space="preserve">amzn_chip</t>
  </si>
  <si>
    <t xml:space="preserve">amzn_k</t>
  </si>
  <si>
    <t xml:space="preserve">amzn_L</t>
  </si>
  <si>
    <t xml:space="preserve">amzn_LY</t>
  </si>
  <si>
    <t xml:space="preserve">amzn_N</t>
  </si>
  <si>
    <t xml:space="preserve">amzn_NY</t>
  </si>
  <si>
    <t xml:space="preserve">amzn_cp</t>
  </si>
  <si>
    <t xml:space="preserve">amzn_tk</t>
  </si>
  <si>
    <t xml:space="preserve">amzn_f</t>
  </si>
  <si>
    <t xml:space="preserve">amzn_lo</t>
  </si>
  <si>
    <t xml:space="preserve">amzn_hi</t>
  </si>
  <si>
    <t xml:space="preserve">amzn_alt</t>
  </si>
  <si>
    <t xml:space="preserve">amzn_avg</t>
  </si>
  <si>
    <t xml:space="preserve">amzn_add</t>
  </si>
  <si>
    <t xml:space="preserve">amzn_stk</t>
  </si>
  <si>
    <t xml:space="preserve">amzn_nnv</t>
  </si>
  <si>
    <t xml:space="preserve">Meta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</si>
  <si>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In!C91</t>
    </r>
  </si>
  <si>
    <t xml:space="preserve">meta_in</t>
  </si>
  <si>
    <t xml:space="preserve">meta_chip</t>
  </si>
  <si>
    <t xml:space="preserve">meta_k</t>
  </si>
  <si>
    <t xml:space="preserve">meta_L</t>
  </si>
  <si>
    <t xml:space="preserve">meta_LY</t>
  </si>
  <si>
    <t xml:space="preserve">meta_N</t>
  </si>
  <si>
    <t xml:space="preserve">meta_NY</t>
  </si>
  <si>
    <t xml:space="preserve">meta_cp</t>
  </si>
  <si>
    <t xml:space="preserve">meta_tk</t>
  </si>
  <si>
    <t xml:space="preserve">meta_f</t>
  </si>
  <si>
    <t xml:space="preserve">meta_lo</t>
  </si>
  <si>
    <t xml:space="preserve">meta_hi</t>
  </si>
  <si>
    <t xml:space="preserve">meta_alt</t>
  </si>
  <si>
    <t xml:space="preserve">meta_avg</t>
  </si>
  <si>
    <t xml:space="preserve">meta_add</t>
  </si>
  <si>
    <t xml:space="preserve">meta_stk</t>
  </si>
  <si>
    <t xml:space="preserve">meta_nnv</t>
  </si>
  <si>
    <r>
      <rPr>
        <b val="true"/>
        <sz val="11"/>
        <rFont val="Cambria"/>
        <family val="0"/>
        <charset val="1"/>
      </rPr>
      <t xml:space="preserve">Oracle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OCI</t>
    </r>
    <r>
      <rPr>
        <b val="true"/>
        <sz val="11"/>
        <rFont val="Noto Sans CJK SC"/>
        <family val="2"/>
      </rPr>
      <t xml:space="preserve">；含承租 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</si>
  <si>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In!C92</t>
    </r>
  </si>
  <si>
    <t xml:space="preserve">orcl_in</t>
  </si>
  <si>
    <t xml:space="preserve">orcl_chip</t>
  </si>
  <si>
    <t xml:space="preserve">orcl_k</t>
  </si>
  <si>
    <t xml:space="preserve">orcl_L</t>
  </si>
  <si>
    <t xml:space="preserve">orcl_LY</t>
  </si>
  <si>
    <t xml:space="preserve">orcl_N</t>
  </si>
  <si>
    <t xml:space="preserve">orcl_NY</t>
  </si>
  <si>
    <t xml:space="preserve">orcl_cp</t>
  </si>
  <si>
    <t xml:space="preserve">orcl_tk</t>
  </si>
  <si>
    <t xml:space="preserve">orcl_f</t>
  </si>
  <si>
    <t xml:space="preserve">orcl_lo</t>
  </si>
  <si>
    <t xml:space="preserve">orcl_hi</t>
  </si>
  <si>
    <t xml:space="preserve">orcl_alt</t>
  </si>
  <si>
    <t xml:space="preserve">orcl_avg</t>
  </si>
  <si>
    <t xml:space="preserve">orcl_add</t>
  </si>
  <si>
    <t xml:space="preserve">orcl_stk</t>
  </si>
  <si>
    <t xml:space="preserve">orcl_nnv</t>
  </si>
  <si>
    <t xml:space="preserve">CoreWeave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</si>
  <si>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93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In!C93</t>
    </r>
  </si>
  <si>
    <t xml:space="preserve">crwv_in</t>
  </si>
  <si>
    <t xml:space="preserve">crwv_chip</t>
  </si>
  <si>
    <t xml:space="preserve">crwv_k</t>
  </si>
  <si>
    <t xml:space="preserve">crwv_L</t>
  </si>
  <si>
    <t xml:space="preserve">crwv_LY</t>
  </si>
  <si>
    <t xml:space="preserve">crwv_N</t>
  </si>
  <si>
    <t xml:space="preserve">crwv_NY</t>
  </si>
  <si>
    <t xml:space="preserve">crwv_cp</t>
  </si>
  <si>
    <t xml:space="preserve">crwv_tk</t>
  </si>
  <si>
    <t xml:space="preserve">crwv_f</t>
  </si>
  <si>
    <t xml:space="preserve">crwv_lo</t>
  </si>
  <si>
    <t xml:space="preserve">crwv_hi</t>
  </si>
  <si>
    <t xml:space="preserve">crwv_alt</t>
  </si>
  <si>
    <t xml:space="preserve">crwv_avg</t>
  </si>
  <si>
    <t xml:space="preserve">crwv_add</t>
  </si>
  <si>
    <t xml:space="preserve">crwv_stk</t>
  </si>
  <si>
    <t xml:space="preserve">crwv_nnv</t>
  </si>
  <si>
    <t xml:space="preserve">Nebius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</si>
  <si>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94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In!C94</t>
    </r>
  </si>
  <si>
    <t xml:space="preserve">nbis_in</t>
  </si>
  <si>
    <t xml:space="preserve">nbis_chip</t>
  </si>
  <si>
    <t xml:space="preserve">nbis_k</t>
  </si>
  <si>
    <t xml:space="preserve">nbis_L</t>
  </si>
  <si>
    <t xml:space="preserve">nbis_LY</t>
  </si>
  <si>
    <t xml:space="preserve">nbis_N</t>
  </si>
  <si>
    <t xml:space="preserve">nbis_NY</t>
  </si>
  <si>
    <t xml:space="preserve">nbis_cp</t>
  </si>
  <si>
    <t xml:space="preserve">nbis_tk</t>
  </si>
  <si>
    <t xml:space="preserve">nbis_f</t>
  </si>
  <si>
    <t xml:space="preserve">nbis_lo</t>
  </si>
  <si>
    <t xml:space="preserve">nbis_hi</t>
  </si>
  <si>
    <t xml:space="preserve">nbis_alt</t>
  </si>
  <si>
    <t xml:space="preserve">nbis_avg</t>
  </si>
  <si>
    <t xml:space="preserve">nbis_add</t>
  </si>
  <si>
    <t xml:space="preserve">nbis_stk</t>
  </si>
  <si>
    <t xml:space="preserve">nbis_nnv</t>
  </si>
  <si>
    <r>
      <rPr>
        <b val="true"/>
        <sz val="11"/>
        <rFont val="Cambria"/>
        <family val="0"/>
        <charset val="1"/>
      </rPr>
      <t xml:space="preserve">WhiteFiber</t>
    </r>
    <r>
      <rPr>
        <b val="true"/>
        <sz val="11"/>
        <rFont val="Noto Sans CJK SC"/>
        <family val="2"/>
      </rPr>
      <t xml:space="preserve">（雲端）</t>
    </r>
  </si>
  <si>
    <t xml:space="preserve">wyfi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</si>
  <si>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95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In!C95</t>
    </r>
  </si>
  <si>
    <t xml:space="preserve">wyfi_in</t>
  </si>
  <si>
    <t xml:space="preserve">wyfi_chip</t>
  </si>
  <si>
    <t xml:space="preserve">wyfi_k</t>
  </si>
  <si>
    <t xml:space="preserve">wyfi_L</t>
  </si>
  <si>
    <t xml:space="preserve">wyfi_LY</t>
  </si>
  <si>
    <t xml:space="preserve">wyfi_N</t>
  </si>
  <si>
    <t xml:space="preserve">wyfi_NY</t>
  </si>
  <si>
    <t xml:space="preserve">wyfi_cp</t>
  </si>
  <si>
    <t xml:space="preserve">wyfi_tk</t>
  </si>
  <si>
    <t xml:space="preserve">wyfi_f</t>
  </si>
  <si>
    <t xml:space="preserve">wyfi_lo</t>
  </si>
  <si>
    <t xml:space="preserve">wyfi_hi</t>
  </si>
  <si>
    <t xml:space="preserve">wyfi_alt</t>
  </si>
  <si>
    <t xml:space="preserve">wyfi_avg</t>
  </si>
  <si>
    <t xml:space="preserve">wyfi_add</t>
  </si>
  <si>
    <t xml:space="preserve">wyfi_stk</t>
  </si>
  <si>
    <t xml:space="preserve">wyfi_nnv</t>
  </si>
  <si>
    <r>
      <rPr>
        <b val="true"/>
        <sz val="11"/>
        <rFont val="Cambria"/>
        <family val="0"/>
        <charset val="1"/>
      </rPr>
      <t xml:space="preserve">SpaceX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Colossus</t>
    </r>
    <r>
      <rPr>
        <b val="true"/>
        <sz val="1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</si>
  <si>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96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In!C96</t>
    </r>
  </si>
  <si>
    <t xml:space="preserve">xai_in</t>
  </si>
  <si>
    <t xml:space="preserve">xai_chip</t>
  </si>
  <si>
    <t xml:space="preserve">xai_k</t>
  </si>
  <si>
    <t xml:space="preserve">xai_L</t>
  </si>
  <si>
    <t xml:space="preserve">xai_LY</t>
  </si>
  <si>
    <t xml:space="preserve">xai_N</t>
  </si>
  <si>
    <t xml:space="preserve">xai_NY</t>
  </si>
  <si>
    <t xml:space="preserve">xai_cp</t>
  </si>
  <si>
    <t xml:space="preserve">xai_tk</t>
  </si>
  <si>
    <t xml:space="preserve">xai_f</t>
  </si>
  <si>
    <t xml:space="preserve">xai_lo</t>
  </si>
  <si>
    <t xml:space="preserve">xai_hi</t>
  </si>
  <si>
    <t xml:space="preserve">xai_alt</t>
  </si>
  <si>
    <t xml:space="preserve">xai_avg</t>
  </si>
  <si>
    <t xml:space="preserve">xai_add</t>
  </si>
  <si>
    <t xml:space="preserve">xai_stk</t>
  </si>
  <si>
    <t xml:space="preserve">xai_nnv</t>
  </si>
  <si>
    <r>
      <rPr>
        <b val="true"/>
        <sz val="11"/>
        <rFont val="Cambria"/>
        <family val="0"/>
        <charset val="1"/>
      </rPr>
      <t xml:space="preserve">OpenAI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自建（</t>
    </r>
    <r>
      <rPr>
        <b val="true"/>
        <sz val="11"/>
        <rFont val="Cambria"/>
        <family val="0"/>
        <charset val="1"/>
      </rPr>
      <t xml:space="preserve">SoftBank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SB Energy </t>
    </r>
    <r>
      <rPr>
        <b val="true"/>
        <sz val="1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</si>
  <si>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97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In!C97</t>
    </r>
  </si>
  <si>
    <t xml:space="preserve">oai_in</t>
  </si>
  <si>
    <t xml:space="preserve">oai_chip</t>
  </si>
  <si>
    <t xml:space="preserve">oai_k</t>
  </si>
  <si>
    <t xml:space="preserve">oai_L</t>
  </si>
  <si>
    <t xml:space="preserve">oai_LY</t>
  </si>
  <si>
    <t xml:space="preserve">oai_N</t>
  </si>
  <si>
    <t xml:space="preserve">oai_NY</t>
  </si>
  <si>
    <t xml:space="preserve">oai_cp</t>
  </si>
  <si>
    <t xml:space="preserve">oai_tk</t>
  </si>
  <si>
    <t xml:space="preserve">oai_f</t>
  </si>
  <si>
    <t xml:space="preserve">oai_lo</t>
  </si>
  <si>
    <t xml:space="preserve">oai_hi</t>
  </si>
  <si>
    <t xml:space="preserve">oai_alt</t>
  </si>
  <si>
    <t xml:space="preserve">oai_avg</t>
  </si>
  <si>
    <t xml:space="preserve">oai_add</t>
  </si>
  <si>
    <t xml:space="preserve">oai_stk</t>
  </si>
  <si>
    <t xml:space="preserve">oai_nnv</t>
  </si>
  <si>
    <r>
      <rPr>
        <b val="true"/>
        <sz val="11"/>
        <rFont val="Cambria"/>
        <family val="0"/>
        <charset val="1"/>
      </rPr>
      <t xml:space="preserve">Anthropic </t>
    </r>
    <r>
      <rPr>
        <b val="true"/>
        <sz val="11"/>
        <rFont val="Noto Sans CJK SC"/>
        <family val="2"/>
      </rPr>
      <t xml:space="preserve">自建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</si>
  <si>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In!C98</t>
    </r>
  </si>
  <si>
    <t xml:space="preserve">ant_in</t>
  </si>
  <si>
    <t xml:space="preserve">ant_chip</t>
  </si>
  <si>
    <t xml:space="preserve">ant_k</t>
  </si>
  <si>
    <t xml:space="preserve">ant_L</t>
  </si>
  <si>
    <t xml:space="preserve">ant_LY</t>
  </si>
  <si>
    <t xml:space="preserve">ant_N</t>
  </si>
  <si>
    <t xml:space="preserve">ant_NY</t>
  </si>
  <si>
    <t xml:space="preserve">ant_cp</t>
  </si>
  <si>
    <t xml:space="preserve">ant_tk</t>
  </si>
  <si>
    <t xml:space="preserve">ant_f</t>
  </si>
  <si>
    <t xml:space="preserve">ant_lo</t>
  </si>
  <si>
    <t xml:space="preserve">ant_hi</t>
  </si>
  <si>
    <t xml:space="preserve">ant_alt</t>
  </si>
  <si>
    <t xml:space="preserve">ant_avg</t>
  </si>
  <si>
    <t xml:space="preserve">ant_add</t>
  </si>
  <si>
    <t xml:space="preserve">ant_stk</t>
  </si>
  <si>
    <t xml:space="preserve">ant_nnv</t>
  </si>
  <si>
    <r>
      <rPr>
        <b val="true"/>
        <sz val="11"/>
        <rFont val="Noto Sans CJK SC"/>
        <family val="2"/>
      </rPr>
      <t xml:space="preserve">其他新雲合計（</t>
    </r>
    <r>
      <rPr>
        <b val="true"/>
        <sz val="11"/>
        <rFont val="Cambria"/>
        <family val="0"/>
        <charset val="1"/>
      </rPr>
      <t xml:space="preserve">IREN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TeraWulf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Lambda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Nscale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Crusoe </t>
    </r>
    <r>
      <rPr>
        <b val="true"/>
        <sz val="11"/>
        <rFont val="Noto Sans CJK SC"/>
        <family val="2"/>
      </rPr>
      <t xml:space="preserve">雲等）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</si>
  <si>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In!C99</t>
    </r>
  </si>
  <si>
    <t xml:space="preserve">neo_in</t>
  </si>
  <si>
    <t xml:space="preserve">neo_chip</t>
  </si>
  <si>
    <t xml:space="preserve">neo_k</t>
  </si>
  <si>
    <t xml:space="preserve">neo_L</t>
  </si>
  <si>
    <t xml:space="preserve">neo_LY</t>
  </si>
  <si>
    <t xml:space="preserve">neo_N</t>
  </si>
  <si>
    <t xml:space="preserve">neo_NY</t>
  </si>
  <si>
    <t xml:space="preserve">neo_cp</t>
  </si>
  <si>
    <t xml:space="preserve">neo_tk</t>
  </si>
  <si>
    <t xml:space="preserve">neo_f</t>
  </si>
  <si>
    <t xml:space="preserve">neo_lo</t>
  </si>
  <si>
    <t xml:space="preserve">neo_hi</t>
  </si>
  <si>
    <t xml:space="preserve">neo_alt</t>
  </si>
  <si>
    <t xml:space="preserve">neo_avg</t>
  </si>
  <si>
    <t xml:space="preserve">neo_add</t>
  </si>
  <si>
    <t xml:space="preserve">neo_stk</t>
  </si>
  <si>
    <t xml:space="preserve">neo_nnv</t>
  </si>
  <si>
    <r>
      <rPr>
        <b val="true"/>
        <sz val="11"/>
        <rFont val="Noto Sans CJK SC"/>
        <family val="2"/>
      </rPr>
      <t xml:space="preserve">主權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（中國以外；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只含 </t>
    </r>
    <r>
      <rPr>
        <b val="true"/>
        <sz val="11"/>
        <rFont val="Cambria"/>
        <family val="0"/>
        <charset val="1"/>
      </rPr>
      <t xml:space="preserve">Humain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</si>
  <si>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In!C100</t>
    </r>
  </si>
  <si>
    <t xml:space="preserve">sov_in</t>
  </si>
  <si>
    <t xml:space="preserve">sov_chip</t>
  </si>
  <si>
    <t xml:space="preserve">sov_k</t>
  </si>
  <si>
    <t xml:space="preserve">sov_L</t>
  </si>
  <si>
    <t xml:space="preserve">sov_LY</t>
  </si>
  <si>
    <t xml:space="preserve">sov_N</t>
  </si>
  <si>
    <t xml:space="preserve">sov_NY</t>
  </si>
  <si>
    <t xml:space="preserve">sov_cp</t>
  </si>
  <si>
    <t xml:space="preserve">sov_tk</t>
  </si>
  <si>
    <t xml:space="preserve">sov_f</t>
  </si>
  <si>
    <t xml:space="preserve">sov_lo</t>
  </si>
  <si>
    <t xml:space="preserve">sov_hi</t>
  </si>
  <si>
    <t xml:space="preserve">sov_alt</t>
  </si>
  <si>
    <t xml:space="preserve">sov_avg</t>
  </si>
  <si>
    <t xml:space="preserve">sov_add</t>
  </si>
  <si>
    <t xml:space="preserve">sov_stk</t>
  </si>
  <si>
    <t xml:space="preserve">sov_nnv</t>
  </si>
  <si>
    <r>
      <rPr>
        <b val="true"/>
        <sz val="11"/>
        <rFont val="Noto Sans CJK SC"/>
        <family val="2"/>
      </rPr>
      <t xml:space="preserve">中國合計（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Rystad </t>
    </r>
    <r>
      <rPr>
        <b val="true"/>
        <sz val="11"/>
        <rFont val="Noto Sans CJK SC"/>
        <family val="2"/>
      </rPr>
      <t xml:space="preserve">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</si>
  <si>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In!C101</t>
    </r>
  </si>
  <si>
    <t xml:space="preserve">cn_in</t>
  </si>
  <si>
    <t xml:space="preserve">cn_chip</t>
  </si>
  <si>
    <t xml:space="preserve">cn_k</t>
  </si>
  <si>
    <t xml:space="preserve">cn_L</t>
  </si>
  <si>
    <t xml:space="preserve">cn_LY</t>
  </si>
  <si>
    <t xml:space="preserve">cn_N</t>
  </si>
  <si>
    <t xml:space="preserve">cn_NY</t>
  </si>
  <si>
    <t xml:space="preserve">cn_cp</t>
  </si>
  <si>
    <t xml:space="preserve">cn_tk</t>
  </si>
  <si>
    <t xml:space="preserve">cn_f</t>
  </si>
  <si>
    <t xml:space="preserve">cn_lo</t>
  </si>
  <si>
    <t xml:space="preserve">cn_hi</t>
  </si>
  <si>
    <t xml:space="preserve">cn_alt</t>
  </si>
  <si>
    <t xml:space="preserve">cn_avg</t>
  </si>
  <si>
    <t xml:space="preserve">cn_add</t>
  </si>
  <si>
    <t xml:space="preserve">cn_stk</t>
  </si>
  <si>
    <t xml:space="preserve">cn_nnv</t>
  </si>
  <si>
    <r>
      <rPr>
        <b val="true"/>
        <sz val="11"/>
        <rFont val="Noto Sans CJK SC"/>
        <family val="2"/>
      </rPr>
      <t xml:space="preserve">其他（主權、企業、學研；</t>
    </r>
    <r>
      <rPr>
        <b val="true"/>
        <sz val="11"/>
        <rFont val="Cambria"/>
        <family val="0"/>
        <charset val="1"/>
      </rPr>
      <t xml:space="preserve">Epoch Other </t>
    </r>
    <r>
      <rPr>
        <b val="true"/>
        <sz val="11"/>
        <rFont val="Noto Sans CJK SC"/>
        <family val="2"/>
      </rPr>
      <t xml:space="preserve">扣新雲）</t>
    </r>
  </si>
  <si>
    <t xml:space="preserve">oth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</si>
  <si>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In!C102</t>
    </r>
  </si>
  <si>
    <t xml:space="preserve">oth_in</t>
  </si>
  <si>
    <t xml:space="preserve">oth_chip</t>
  </si>
  <si>
    <t xml:space="preserve">oth_k</t>
  </si>
  <si>
    <t xml:space="preserve">oth_L</t>
  </si>
  <si>
    <t xml:space="preserve">oth_LY</t>
  </si>
  <si>
    <t xml:space="preserve">oth_N</t>
  </si>
  <si>
    <t xml:space="preserve">oth_NY</t>
  </si>
  <si>
    <t xml:space="preserve">oth_cp</t>
  </si>
  <si>
    <t xml:space="preserve">oth_tk</t>
  </si>
  <si>
    <t xml:space="preserve">oth_f</t>
  </si>
  <si>
    <t xml:space="preserve">oth_lo</t>
  </si>
  <si>
    <t xml:space="preserve">oth_hi</t>
  </si>
  <si>
    <t xml:space="preserve">oth_alt</t>
  </si>
  <si>
    <t xml:space="preserve">oth_avg</t>
  </si>
  <si>
    <t xml:space="preserve">oth_add</t>
  </si>
  <si>
    <t xml:space="preserve">oth_stk</t>
  </si>
  <si>
    <t xml:space="preserve">oth_nnv</t>
  </si>
  <si>
    <r>
      <rPr>
        <b val="true"/>
        <sz val="11"/>
        <rFont val="Noto Sans CJK SC"/>
        <family val="2"/>
      </rPr>
      <t xml:space="preserve">市場合計（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營運者；主要玩家＋其他）</t>
    </r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</si>
  <si>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）</t>
    </r>
  </si>
  <si>
    <t xml:space="preserve">mkt_ye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</si>
  <si>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</si>
  <si>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mkt_lo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</si>
  <si>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</si>
  <si>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mkt_hi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</si>
  <si>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（另讀：口徑未說明者讀為設施）</t>
    </r>
  </si>
  <si>
    <t xml:space="preserve">mkt_alt</t>
  </si>
  <si>
    <r>
      <rPr>
        <sz val="11"/>
        <color theme="1"/>
        <rFont val="Noto Sans CJK SC"/>
        <family val="2"/>
      </rPr>
      <t xml:space="preserve">年底上線 設施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× IF_FacilityGW</t>
    </r>
    <r>
      <rPr>
        <sz val="11"/>
        <color theme="1"/>
        <rFont val="Noto Sans CJK SC"/>
        <family val="2"/>
      </rPr>
      <t xml:space="preserve">）</t>
    </r>
  </si>
  <si>
    <t xml:space="preserve">mkt_fac</t>
  </si>
  <si>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</si>
  <si>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mkt_avg</t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</si>
  <si>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</si>
  <si>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mkt_add</t>
  </si>
  <si>
    <r>
      <rPr>
        <sz val="11"/>
        <color theme="1"/>
        <rFont val="Noto Sans CJK SC"/>
        <family val="2"/>
      </rPr>
      <t xml:space="preserve">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</si>
  <si>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mkt_stk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</si>
  <si>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（不含中國）</t>
    </r>
  </si>
  <si>
    <t xml:space="preserve">mkt_cnx</t>
  </si>
  <si>
    <t xml:space="preserve">有值玩家數</t>
  </si>
  <si>
    <t xml:space="preserve">mkt_cnt</t>
  </si>
  <si>
    <r>
      <rPr>
        <sz val="11"/>
        <color theme="1"/>
        <rFont val="Calibri"/>
        <family val="2"/>
        <charset val="1"/>
      </rPr>
      <t xml:space="preserve">Matrix —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使用者（年底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）。列＝營運者（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年底值），欄＝使用者：</t>
    </r>
    <r>
      <rPr>
        <sz val="11"/>
        <color theme="1"/>
        <rFont val="Calibri"/>
        <family val="2"/>
        <charset val="1"/>
      </rPr>
      <t xml:space="preserve">In T1 </t>
    </r>
    <r>
      <rPr>
        <sz val="11"/>
        <color theme="1"/>
        <rFont val="Noto Sans CJK SC"/>
        <family val="2"/>
      </rPr>
      <t xml:space="preserve">每筆分配（比＝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＝絕對值）加總；『未分配』＝列和缺口（無揭露者；</t>
    </r>
    <r>
      <rPr>
        <sz val="11"/>
        <color theme="1"/>
        <rFont val="Calibri"/>
        <family val="2"/>
        <charset val="1"/>
      </rPr>
      <t xml:space="preserve">Decisions GL01-15</t>
    </r>
    <r>
      <rPr>
        <sz val="11"/>
        <color theme="1"/>
        <rFont val="Noto Sans CJK SC"/>
        <family val="2"/>
      </rPr>
      <t xml:space="preserve">）。列和＝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；欄和合計＝總量（市場總量只按營運者加總一次）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</si>
  <si>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年底</t>
    </r>
  </si>
  <si>
    <t xml:space="preserve">自用</t>
  </si>
  <si>
    <t xml:space="preserve">OpenAI</t>
  </si>
  <si>
    <t xml:space="preserve">Anthropic</t>
  </si>
  <si>
    <t xml:space="preserve">xAI</t>
  </si>
  <si>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（租用）</t>
    </r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</si>
  <si>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（租用）</t>
    </r>
  </si>
  <si>
    <t xml:space="preserve">其他</t>
  </si>
  <si>
    <t xml:space="preserve">未分配</t>
  </si>
  <si>
    <t xml:space="preserve">列和</t>
  </si>
  <si>
    <t xml:space="preserve">Players</t>
  </si>
  <si>
    <t xml:space="preserve">差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</si>
  <si>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</si>
  <si>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</si>
  <si>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</si>
  <si>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</si>
  <si>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</si>
  <si>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</si>
  <si>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</si>
  <si>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</t>
    </r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</si>
  <si>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</t>
    </r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</si>
  <si>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</si>
  <si>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</si>
  <si>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</t>
    </r>
  </si>
  <si>
    <t xml:space="preserve">欄和（使用者合計）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</si>
  <si>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usr_oai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In!C136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</si>
  <si>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← 矩陣欄和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＝揭露不足，差額在『未分配』）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</si>
  <si>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usr_ant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In!C137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</si>
  <si>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</si>
  <si>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</si>
  <si>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Pipeline — </t>
    </r>
    <r>
      <rPr>
        <sz val="11"/>
        <color theme="1"/>
        <rFont val="Noto Sans CJK SC"/>
        <family val="2"/>
      </rPr>
      <t xml:space="preserve">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延遲情景（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）。事件＝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，有上線年月且納入＝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各玩家各年『未分園區殘差』＝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 − 該年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園區；＋新納入存量（不延遲）。時間為小數年（年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M/12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）。延遲只作用於評價時點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之後：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＝每筆排定量的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dly_d2_y0–dly_d2_y1 </t>
    </r>
    <r>
      <rPr>
        <sz val="11"/>
        <color theme="1"/>
        <rFont val="Noto Sans CJK SC"/>
        <family val="2"/>
      </rPr>
      <t xml:space="preserve">且未確保電力者，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月（殘差視為未確保電力）。殘差在年內均勻上線（觀測年在觀測時點前已上線）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</si>
  <si>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In T2 </t>
    </r>
    <r>
      <rPr>
        <b val="true"/>
        <sz val="11"/>
        <rFont val="Noto Sans CJK SC"/>
        <family val="2"/>
      </rPr>
      <t xml:space="preserve">鏡像與上線時點）</t>
    </r>
  </si>
  <si>
    <t xml:space="preserve">園區鍵</t>
  </si>
  <si>
    <t xml:space="preserve">名稱</t>
  </si>
  <si>
    <r>
      <rPr>
        <b val="true"/>
        <sz val="11"/>
        <rFont val="Cambria"/>
        <family val="0"/>
        <charset val="1"/>
      </rPr>
      <t xml:space="preserve">t </t>
    </r>
    <r>
      <rPr>
        <b val="true"/>
        <sz val="11"/>
        <rFont val="Noto Sans CJK SC"/>
        <family val="2"/>
      </rPr>
      <t xml:space="preserve">公告</t>
    </r>
  </si>
  <si>
    <t xml:space="preserve">IT GW</t>
  </si>
  <si>
    <t xml:space="preserve">t D0</t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</si>
  <si>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未延</t>
    </r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</si>
  <si>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延後</t>
    </r>
  </si>
  <si>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</t>
    </r>
  </si>
  <si>
    <t xml:space="preserve">有效納入</t>
  </si>
  <si>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適用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</si>
  <si>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未分園區殘差（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 − 該營運者該年 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上線的 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園區）</t>
    </r>
  </si>
  <si>
    <t xml:space="preserve">玩家</t>
  </si>
  <si>
    <t xml:space="preserve">類別</t>
  </si>
  <si>
    <t xml:space="preserve">殘差合計</t>
  </si>
  <si>
    <t xml:space="preserve">觀測型（不延遲）</t>
  </si>
  <si>
    <t xml:space="preserve">均勻型（延遲適用）</t>
  </si>
  <si>
    <t xml:space="preserve">觀測型殘差合計</t>
  </si>
  <si>
    <t xml:space="preserve">均勻型殘差合計</t>
  </si>
  <si>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上線年）合計</t>
    </r>
  </si>
  <si>
    <r>
      <rPr>
        <b val="true"/>
        <sz val="11"/>
        <rFont val="Noto Sans CJK SC"/>
        <family val="2"/>
      </rPr>
      <t xml:space="preserve">新納入存量（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</si>
  <si>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殘差＋園區（須＝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</si>
  <si>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均勻型事件的年底上線比例矩陣（列＝年底 </t>
    </r>
    <r>
      <rPr>
        <b val="true"/>
        <sz val="11"/>
        <rFont val="Cambria"/>
        <family val="0"/>
        <charset val="1"/>
      </rPr>
      <t xml:space="preserve">z</t>
    </r>
    <r>
      <rPr>
        <b val="true"/>
        <sz val="11"/>
        <rFont val="Noto Sans CJK SC"/>
        <family val="2"/>
      </rPr>
      <t xml:space="preserve">，欄＝事件年 </t>
    </r>
    <r>
      <rPr>
        <b val="true"/>
        <sz val="11"/>
        <rFont val="Cambria"/>
        <family val="0"/>
        <charset val="1"/>
      </rPr>
      <t xml:space="preserve">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前部分不延遲，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後部分依情景延後）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</si>
  <si>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D0</t>
    </r>
  </si>
  <si>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z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</si>
  <si>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</si>
  <si>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</si>
  <si>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</si>
  <si>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</si>
  <si>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</si>
  <si>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</si>
  <si>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</si>
  <si>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</si>
  <si>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</si>
  <si>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</si>
  <si>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D1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</si>
  <si>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</si>
  <si>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</si>
  <si>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</si>
  <si>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</si>
  <si>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</si>
  <si>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</si>
  <si>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</si>
  <si>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</si>
  <si>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</si>
  <si>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</si>
  <si>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D2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</si>
  <si>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</si>
  <si>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</si>
  <si>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</si>
  <si>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</si>
  <si>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</si>
  <si>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</si>
  <si>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</si>
  <si>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</si>
  <si>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</si>
  <si>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</si>
  <si>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（延遲情景）</t>
    </r>
  </si>
  <si>
    <t xml:space="preserve">情景</t>
  </si>
  <si>
    <t xml:space="preserve">新納入存量累計</t>
  </si>
  <si>
    <t xml:space="preserve">觀測型殘差累計（不延遲）</t>
  </si>
  <si>
    <t xml:space="preserve">均勻型殘差（延遲後）</t>
  </si>
  <si>
    <t xml:space="preserve">D0</t>
  </si>
  <si>
    <t xml:space="preserve">D1</t>
  </si>
  <si>
    <t xml:space="preserve">D2</t>
  </si>
  <si>
    <t xml:space="preserve">園區（延遲後）</t>
  </si>
  <si>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</si>
  <si>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（淨，不含新納入存量）</t>
    </r>
  </si>
  <si>
    <r>
      <rPr>
        <sz val="11"/>
        <color theme="1"/>
        <rFont val="Noto Sans CJK SC"/>
        <family val="2"/>
      </rPr>
      <t xml:space="preserve">已出貨未上線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</si>
  <si>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CapexGW —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：資本支出推得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</t>
    </r>
    <r>
      <rPr>
        <sz val="11"/>
        <color theme="1"/>
        <rFont val="Noto Sans CJK SC"/>
        <family val="2"/>
      </rPr>
      <t xml:space="preserve">）。財年資本支出（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；個股模型 </t>
    </r>
    <r>
      <rPr>
        <sz val="11"/>
        <color theme="1"/>
        <rFont val="Calibri"/>
        <family val="2"/>
        <charset val="1"/>
      </rPr>
      <t xml:space="preserve">annualEstimates</t>
    </r>
    <r>
      <rPr>
        <sz val="11"/>
        <color theme="1"/>
        <rFont val="Noto Sans CJK SC"/>
        <family val="2"/>
      </rPr>
      <t xml:space="preserve">／指引，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讀現行檔：</t>
    </r>
    <r>
      <rPr>
        <sz val="11"/>
        <color theme="1"/>
        <rFont val="Calibri"/>
        <family val="2"/>
        <charset val="1"/>
      </rPr>
      <t xml:space="preserve">microsoft 2026-10-11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2026-10-09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2026-10-08 </t>
    </r>
    <r>
      <rPr>
        <sz val="11"/>
        <color theme="1"/>
        <rFont val="Noto Sans CJK SC"/>
        <family val="2"/>
      </rPr>
      <t xml:space="preserve">版，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未合併）→ 補值（最早已知年之前不回填，留空並跳過該年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；最後年後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））→ 曆年（財年結束月拆分）→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→ 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資金＝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當年＋廠房占比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</t>
    </r>
    <r>
      <rPr>
        <sz val="11"/>
        <color theme="1"/>
        <rFont val="Noto Sans CJK SC"/>
        <family val="2"/>
      </rPr>
      <t xml:space="preserve">前兩年；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世代加權；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）＝年新增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；輸入為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／共識</t>
    </r>
  </si>
  <si>
    <r>
      <rPr>
        <sz val="11"/>
        <color theme="1"/>
        <rFont val="Noto Sans CJK SC"/>
        <family val="2"/>
      </rPr>
      <t xml:space="preserve">主路徑：</t>
    </r>
    <r>
      <rPr>
        <sz val="11"/>
        <color theme="1"/>
        <rFont val="Calibri"/>
        <family val="2"/>
        <charset val="1"/>
      </rPr>
      <t xml:space="preserve">2024–2026 </t>
    </r>
    <r>
      <rPr>
        <sz val="11"/>
        <color theme="1"/>
        <rFont val="Noto Sans CJK SC"/>
        <family val="2"/>
      </rPr>
      <t xml:space="preserve">用 甲（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：園區＋實測）；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起本頁七家改用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，其餘玩家仍用 甲。</t>
    </r>
    <r>
      <rPr>
        <sz val="11"/>
        <color theme="1"/>
        <rFont val="Calibri"/>
        <family val="2"/>
        <charset val="1"/>
      </rPr>
      <t xml:space="preserve">Decisions GL01-19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GL01-21</t>
    </r>
    <r>
      <rPr>
        <sz val="11"/>
        <color theme="1"/>
        <rFont val="Noto Sans CJK SC"/>
        <family val="2"/>
      </rPr>
      <t xml:space="preserve">（廠房多由房東出資者可能低估）</t>
    </r>
  </si>
  <si>
    <r>
      <rPr>
        <sz val="11"/>
        <color theme="1"/>
        <rFont val="Noto Sans CJK SC"/>
        <family val="2"/>
      </rPr>
      <t xml:space="preserve">廠房提前入帳權重 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</si>
  <si>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lag_bldg_lo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</si>
  <si>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</si>
  <si>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</si>
  <si>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</si>
  <si>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104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fye_msft</t>
    </r>
  </si>
  <si>
    <r>
      <rPr>
        <sz val="11"/>
        <color theme="1"/>
        <rFont val="Noto Sans CJK SC"/>
        <family val="2"/>
      </rPr>
      <t xml:space="preserve">　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</si>
  <si>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　　已知值累計個數</t>
  </si>
  <si>
    <t xml:space="preserve">msft_cnt</t>
  </si>
  <si>
    <t xml:space="preserve">　　下一已知值</t>
  </si>
  <si>
    <t xml:space="preserve">　財年資本支出（補值）</t>
  </si>
  <si>
    <t xml:space="preserve">msft_fy</t>
  </si>
  <si>
    <t xml:space="preserve">　曆年資本支出</t>
  </si>
  <si>
    <t xml:space="preserve">msft_cy</t>
  </si>
  <si>
    <r>
      <rPr>
        <sz val="11"/>
        <color theme="1"/>
        <rFont val="Noto Sans CJK SC"/>
        <family val="2"/>
      </rPr>
      <t xml:space="preserve">　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</si>
  <si>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msft_ai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</si>
  <si>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</si>
  <si>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msft_pit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</si>
  <si>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</si>
  <si>
    <t xml:space="preserve">msft_pfac</t>
  </si>
  <si>
    <r>
      <rPr>
        <sz val="11"/>
        <color theme="1"/>
        <rFont val="Noto Sans CJK SC"/>
        <family val="2"/>
      </rPr>
      <t xml:space="preserve">　當年上線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的資金（廠房提前入帳）</t>
    </r>
  </si>
  <si>
    <t xml:space="preserve">msft_fund</t>
  </si>
  <si>
    <r>
      <rPr>
        <sz val="11"/>
        <color theme="1"/>
        <rFont val="Noto Sans CJK SC"/>
        <family val="2"/>
      </rPr>
      <t xml:space="preserve">　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</si>
  <si>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msft_gw</t>
  </si>
  <si>
    <r>
      <rPr>
        <sz val="11"/>
        <color theme="1"/>
        <rFont val="Noto Sans CJK SC"/>
        <family val="2"/>
      </rPr>
      <t xml:space="preserve">　甲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</si>
  <si>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msft_site</t>
  </si>
  <si>
    <r>
      <rPr>
        <sz val="11"/>
        <color theme="1"/>
        <rFont val="Noto Sans CJK SC"/>
        <family val="2"/>
      </rPr>
      <t xml:space="preserve">　主路徑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起＝甲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</si>
  <si>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msft_main</t>
  </si>
  <si>
    <r>
      <rPr>
        <sz val="11"/>
        <color theme="1"/>
        <rFont val="Noto Sans CJK SC"/>
        <family val="2"/>
      </rPr>
      <t xml:space="preserve">　主路徑 年底 </t>
    </r>
    <r>
      <rPr>
        <sz val="11"/>
        <color theme="1"/>
        <rFont val="Calibri"/>
        <family val="2"/>
        <charset val="1"/>
      </rPr>
      <t xml:space="preserve">IT GW</t>
    </r>
  </si>
  <si>
    <t xml:space="preserve">msft_ye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</si>
  <si>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</si>
  <si>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t xml:space="preserve">msft_s_ailo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</si>
  <si>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</si>
  <si>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t xml:space="preserve">msft_s_aihi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</si>
  <si>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</si>
  <si>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t xml:space="preserve">msft_s_laglo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</si>
  <si>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</si>
  <si>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t xml:space="preserve">msft_s_laghi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</si>
  <si>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105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fye_googl</t>
    </r>
  </si>
  <si>
    <t xml:space="preserve">googl_cnt</t>
  </si>
  <si>
    <t xml:space="preserve">googl_fy</t>
  </si>
  <si>
    <t xml:space="preserve">googl_cy</t>
  </si>
  <si>
    <t xml:space="preserve">googl_ai</t>
  </si>
  <si>
    <t xml:space="preserve">googl_pit</t>
  </si>
  <si>
    <t xml:space="preserve">googl_pfac</t>
  </si>
  <si>
    <t xml:space="preserve">googl_fund</t>
  </si>
  <si>
    <t xml:space="preserve">googl_gw</t>
  </si>
  <si>
    <t xml:space="preserve">googl_site</t>
  </si>
  <si>
    <t xml:space="preserve">googl_main</t>
  </si>
  <si>
    <t xml:space="preserve">googl_ye</t>
  </si>
  <si>
    <t xml:space="preserve">googl_s_ailo</t>
  </si>
  <si>
    <t xml:space="preserve">googl_s_aihi</t>
  </si>
  <si>
    <t xml:space="preserve">googl_s_laglo</t>
  </si>
  <si>
    <t xml:space="preserve">googl_s_laghi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</si>
  <si>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106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ai_amzn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fye_amzn</t>
    </r>
  </si>
  <si>
    <t xml:space="preserve">amzn_cnt</t>
  </si>
  <si>
    <t xml:space="preserve">amzn_fy</t>
  </si>
  <si>
    <t xml:space="preserve">amzn_cy</t>
  </si>
  <si>
    <t xml:space="preserve">amzn_ai</t>
  </si>
  <si>
    <t xml:space="preserve">amzn_pit</t>
  </si>
  <si>
    <t xml:space="preserve">amzn_pfac</t>
  </si>
  <si>
    <t xml:space="preserve">amzn_fund</t>
  </si>
  <si>
    <t xml:space="preserve">amzn_gw</t>
  </si>
  <si>
    <t xml:space="preserve">amzn_site</t>
  </si>
  <si>
    <t xml:space="preserve">amzn_main</t>
  </si>
  <si>
    <t xml:space="preserve">amzn_ye</t>
  </si>
  <si>
    <t xml:space="preserve">amzn_s_ailo</t>
  </si>
  <si>
    <t xml:space="preserve">amzn_s_aihi</t>
  </si>
  <si>
    <t xml:space="preserve">amzn_s_laglo</t>
  </si>
  <si>
    <t xml:space="preserve">amzn_s_laghi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</si>
  <si>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107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fye_meta</t>
    </r>
  </si>
  <si>
    <t xml:space="preserve">meta_cnt</t>
  </si>
  <si>
    <t xml:space="preserve">meta_fy</t>
  </si>
  <si>
    <t xml:space="preserve">meta_cy</t>
  </si>
  <si>
    <t xml:space="preserve">meta_ai</t>
  </si>
  <si>
    <t xml:space="preserve">meta_pit</t>
  </si>
  <si>
    <t xml:space="preserve">meta_pfac</t>
  </si>
  <si>
    <t xml:space="preserve">meta_fund</t>
  </si>
  <si>
    <t xml:space="preserve">meta_gw</t>
  </si>
  <si>
    <t xml:space="preserve">meta_site</t>
  </si>
  <si>
    <t xml:space="preserve">meta_main</t>
  </si>
  <si>
    <t xml:space="preserve">meta_ye</t>
  </si>
  <si>
    <t xml:space="preserve">meta_s_ailo</t>
  </si>
  <si>
    <t xml:space="preserve">meta_s_aihi</t>
  </si>
  <si>
    <t xml:space="preserve">meta_s_laglo</t>
  </si>
  <si>
    <t xml:space="preserve">meta_s_laghi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</si>
  <si>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fye_orcl</t>
    </r>
  </si>
  <si>
    <t xml:space="preserve">orcl_cnt</t>
  </si>
  <si>
    <t xml:space="preserve">orcl_fy</t>
  </si>
  <si>
    <t xml:space="preserve">orcl_cy</t>
  </si>
  <si>
    <t xml:space="preserve">orcl_ai</t>
  </si>
  <si>
    <t xml:space="preserve">orcl_pit</t>
  </si>
  <si>
    <t xml:space="preserve">orcl_pfac</t>
  </si>
  <si>
    <t xml:space="preserve">orcl_fund</t>
  </si>
  <si>
    <t xml:space="preserve">orcl_gw</t>
  </si>
  <si>
    <t xml:space="preserve">orcl_site</t>
  </si>
  <si>
    <t xml:space="preserve">orcl_main</t>
  </si>
  <si>
    <t xml:space="preserve">orcl_ye</t>
  </si>
  <si>
    <t xml:space="preserve">orcl_s_ailo</t>
  </si>
  <si>
    <t xml:space="preserve">orcl_s_aihi</t>
  </si>
  <si>
    <t xml:space="preserve">orcl_s_laglo</t>
  </si>
  <si>
    <t xml:space="preserve">orcl_s_laghi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</si>
  <si>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fye_crwv</t>
    </r>
  </si>
  <si>
    <t xml:space="preserve">crwv_cnt</t>
  </si>
  <si>
    <t xml:space="preserve">crwv_fy</t>
  </si>
  <si>
    <t xml:space="preserve">crwv_cy</t>
  </si>
  <si>
    <t xml:space="preserve">crwv_ai</t>
  </si>
  <si>
    <t xml:space="preserve">crwv_pit</t>
  </si>
  <si>
    <t xml:space="preserve">crwv_pfac</t>
  </si>
  <si>
    <t xml:space="preserve">crwv_fund</t>
  </si>
  <si>
    <t xml:space="preserve">crwv_gw</t>
  </si>
  <si>
    <t xml:space="preserve">crwv_site</t>
  </si>
  <si>
    <t xml:space="preserve">crwv_main</t>
  </si>
  <si>
    <t xml:space="preserve">crwv_ye</t>
  </si>
  <si>
    <t xml:space="preserve">crwv_s_ailo</t>
  </si>
  <si>
    <t xml:space="preserve">crwv_s_aihi</t>
  </si>
  <si>
    <t xml:space="preserve">crwv_s_laglo</t>
  </si>
  <si>
    <t xml:space="preserve">crwv_s_laghi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</si>
  <si>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fye_nbis</t>
    </r>
  </si>
  <si>
    <t xml:space="preserve">nbis_cnt</t>
  </si>
  <si>
    <t xml:space="preserve">nbis_fy</t>
  </si>
  <si>
    <t xml:space="preserve">nbis_cy</t>
  </si>
  <si>
    <t xml:space="preserve">nbis_ai</t>
  </si>
  <si>
    <t xml:space="preserve">nbis_pit</t>
  </si>
  <si>
    <t xml:space="preserve">nbis_pfac</t>
  </si>
  <si>
    <t xml:space="preserve">nbis_fund</t>
  </si>
  <si>
    <t xml:space="preserve">nbis_gw</t>
  </si>
  <si>
    <t xml:space="preserve">nbis_site</t>
  </si>
  <si>
    <t xml:space="preserve">nbis_main</t>
  </si>
  <si>
    <t xml:space="preserve">nbis_ye</t>
  </si>
  <si>
    <t xml:space="preserve">nbis_s_ailo</t>
  </si>
  <si>
    <t xml:space="preserve">nbis_s_aihi</t>
  </si>
  <si>
    <t xml:space="preserve">nbis_s_laglo</t>
  </si>
  <si>
    <t xml:space="preserve">nbis_s_laghi</t>
  </si>
  <si>
    <t xml:space="preserve">七家合計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</si>
  <si>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（缺值以 甲 代入）</t>
    </r>
  </si>
  <si>
    <r>
      <rPr>
        <sz val="11"/>
        <color theme="1"/>
        <rFont val="Noto Sans CJK SC"/>
        <family val="2"/>
      </rPr>
      <t xml:space="preserve">甲 年新增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</si>
  <si>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主路徑調整（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：甲</t>
    </r>
    <r>
      <rPr>
        <sz val="11"/>
        <color theme="1"/>
        <rFont val="Calibri"/>
        <family val="2"/>
        <charset val="1"/>
      </rPr>
      <t xml:space="preserve">2 − </t>
    </r>
    <r>
      <rPr>
        <sz val="11"/>
        <color theme="1"/>
        <rFont val="Noto Sans CJK SC"/>
        <family val="2"/>
      </rPr>
      <t xml:space="preserve">甲）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</si>
  <si>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</si>
  <si>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</si>
  <si>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</si>
  <si>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</si>
  <si>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Deploy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（年底、年平均、年新增）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需求情景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。主路徑：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（甲：園區＋實測）；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，差額視為年內均勻上線並套用 </t>
    </r>
    <r>
      <rPr>
        <sz val="11"/>
        <color theme="1"/>
        <rFont val="Calibri"/>
        <family val="2"/>
        <charset val="1"/>
      </rPr>
      <t xml:space="preserve">Pipeline C </t>
    </r>
    <r>
      <rPr>
        <sz val="11"/>
        <color theme="1"/>
        <rFont val="Noto Sans CJK SC"/>
        <family val="2"/>
      </rPr>
      <t xml:space="preserve">節延遲比例）；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＝只有 甲。需求情景：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年新增＝前年年底 </t>
    </r>
    <r>
      <rPr>
        <sz val="11"/>
        <color theme="1"/>
        <rFont val="Calibri"/>
        <family val="2"/>
        <charset val="1"/>
      </rPr>
      <t xml:space="preserve">× 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GL01-07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</si>
  <si>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下游取用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年後數值前看覆蓋率（</t>
    </r>
    <r>
      <rPr>
        <sz val="11"/>
        <color theme="1"/>
        <rFont val="Calibri"/>
        <family val="2"/>
        <charset val="1"/>
      </rPr>
      <t xml:space="preserve">GIF_Coverage_&lt;yyyy&gt;</t>
    </r>
    <r>
      <rPr>
        <sz val="11"/>
        <color theme="1"/>
        <rFont val="Noto Sans CJK SC"/>
        <family val="2"/>
      </rPr>
      <t xml:space="preserve">：有證據支撐的新增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Noto Sans CJK SC"/>
        <family val="2"/>
      </rPr>
      <t xml:space="preserve">主路徑新增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</si>
  <si>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延遲</t>
  </si>
  <si>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年新增（淨；甲）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</si>
  <si>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</t>
    </r>
  </si>
  <si>
    <t xml:space="preserve">新納入存量</t>
  </si>
  <si>
    <t xml:space="preserve">■ 主路徑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</si>
  <si>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（主路徑）</t>
    </r>
  </si>
  <si>
    <r>
      <rPr>
        <sz val="11"/>
        <color theme="1"/>
        <rFont val="Noto Sans CJK SC"/>
        <family val="2"/>
      </rPr>
      <t xml:space="preserve">年新增（需求情景，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</si>
  <si>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A</t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</si>
  <si>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＝情景年新增 </t>
    </r>
    <r>
      <rPr>
        <sz val="11"/>
        <color theme="1"/>
        <rFont val="Calibri"/>
        <family val="2"/>
        <charset val="1"/>
      </rPr>
      <t xml:space="preserve">÷ 2028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</si>
  <si>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差額（相對 </t>
    </r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年新增；均勻上線）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</si>
  <si>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（主路徑）</t>
    </r>
  </si>
  <si>
    <t xml:space="preserve">B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</si>
  <si>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（主路徑）</t>
    </r>
  </si>
  <si>
    <t xml:space="preserve">C</t>
  </si>
  <si>
    <r>
      <rPr>
        <b val="true"/>
        <sz val="12"/>
        <rFont val="Cambria"/>
        <family val="0"/>
        <charset val="1"/>
      </rPr>
      <t xml:space="preserve">■ SiteOnly</t>
    </r>
    <r>
      <rPr>
        <b val="true"/>
        <sz val="12"/>
        <rFont val="Noto Sans CJK SC"/>
        <family val="2"/>
      </rPr>
      <t xml:space="preserve">（只有 甲）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</si>
  <si>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</si>
  <si>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</si>
  <si>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</si>
  <si>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MIN 1</t>
    </r>
    <r>
      <rPr>
        <b val="true"/>
        <sz val="11"/>
        <rFont val="Noto Sans CJK SC"/>
        <family val="2"/>
      </rPr>
      <t xml:space="preserve">；主路徑 ≤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</si>
  <si>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對外發布：</t>
    </r>
    <r>
      <rPr>
        <b val="true"/>
        <sz val="11"/>
        <rFont val="Cambria"/>
        <family val="0"/>
        <charset val="1"/>
      </rPr>
      <t xml:space="preserve">A-D0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B-D1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C-D2 </t>
    </r>
    <r>
      <rPr>
        <b val="true"/>
        <sz val="11"/>
        <rFont val="Noto Sans CJK SC"/>
        <family val="2"/>
      </rPr>
      <t xml:space="preserve">三條與基準 </t>
    </r>
    <r>
      <rPr>
        <b val="true"/>
        <sz val="11"/>
        <rFont val="Cambria"/>
        <family val="0"/>
        <charset val="1"/>
      </rPr>
      <t xml:space="preserve">A-D1</t>
    </r>
    <r>
      <rPr>
        <b val="true"/>
        <sz val="11"/>
        <rFont val="Noto Sans CJK SC"/>
        <family val="2"/>
      </rPr>
      <t xml:space="preserve">（規劃書第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節）；</t>
    </r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主路徑與 </t>
    </r>
    <r>
      <rPr>
        <b val="true"/>
        <sz val="11"/>
        <rFont val="Cambria"/>
        <family val="0"/>
        <charset val="1"/>
      </rPr>
      <t xml:space="preserve">SiteOnly </t>
    </r>
    <r>
      <rPr>
        <b val="true"/>
        <sz val="11"/>
        <rFont val="Noto Sans CJK SC"/>
        <family val="2"/>
      </rPr>
      <t xml:space="preserve">各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組皆輸出</t>
    </r>
  </si>
  <si>
    <r>
      <rPr>
        <sz val="11"/>
        <color theme="1"/>
        <rFont val="Calibri"/>
        <family val="2"/>
        <charset val="1"/>
      </rPr>
      <t xml:space="preserve">C0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：由下而上（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營運者，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第三方總量（設施 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換成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）。兩讀並列：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由下而上含中國；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不含中國（假設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』已含中國買家晶片，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）。第三方只作佐證、不校準；雙方皆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才判『對得上／偏差』，否則『證據不足（帶內／帶外）』</t>
    </r>
  </si>
  <si>
    <r>
      <rPr>
        <sz val="11"/>
        <color theme="1"/>
        <rFont val="Noto Sans CJK SC"/>
        <family val="2"/>
      </rPr>
      <t xml:space="preserve">注意（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由晶片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到設施；本庫晶片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2.22</t>
    </r>
    <r>
      <rPr>
        <sz val="11"/>
        <color theme="1"/>
        <rFont val="Noto Sans CJK SC"/>
        <family val="2"/>
      </rPr>
      <t xml:space="preserve">。倍數未統一前，比值接近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不代表由下而上與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吻合。晶片合約（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Requests R4</t>
    </r>
    <r>
      <rPr>
        <sz val="11"/>
        <color theme="1"/>
        <rFont val="Noto Sans CJK SC"/>
        <family val="2"/>
      </rPr>
      <t xml:space="preserve">）</t>
    </r>
  </si>
  <si>
    <t xml:space="preserve">來源鍵</t>
  </si>
  <si>
    <r>
      <rPr>
        <b val="true"/>
        <sz val="11"/>
        <rFont val="Cambria"/>
        <family val="0"/>
        <charset val="1"/>
      </rPr>
      <t xml:space="preserve">(a)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（含中國；</t>
    </r>
    <r>
      <rPr>
        <b val="true"/>
        <sz val="11"/>
        <rFont val="Cambria"/>
        <family val="0"/>
        <charset val="1"/>
      </rPr>
      <t xml:space="preserve">Pipeline D0</t>
    </r>
    <r>
      <rPr>
        <b val="true"/>
        <sz val="11"/>
        <rFont val="Noto Sans CJK SC"/>
        <family val="2"/>
      </rPr>
      <t xml:space="preserve">）</t>
    </r>
  </si>
  <si>
    <t xml:space="preserve">BUa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</si>
  <si>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低列合計）</t>
    </r>
  </si>
  <si>
    <t xml:space="preserve">BUalo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</si>
  <si>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高列合計）</t>
    </r>
  </si>
  <si>
    <t xml:space="preserve">BUahi</t>
  </si>
  <si>
    <r>
      <rPr>
        <b val="true"/>
        <sz val="11"/>
        <rFont val="Cambria"/>
        <family val="0"/>
        <charset val="1"/>
      </rPr>
      <t xml:space="preserve">(b)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（不含中國）</t>
    </r>
  </si>
  <si>
    <t xml:space="preserve">BUb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</si>
  <si>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低</t>
    </r>
  </si>
  <si>
    <t xml:space="preserve">BUblo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</si>
  <si>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高</t>
    </r>
  </si>
  <si>
    <t xml:space="preserve">BUbhi</t>
  </si>
  <si>
    <r>
      <rPr>
        <sz val="11"/>
        <color theme="1"/>
        <rFont val="Noto Sans CJK SC"/>
        <family val="2"/>
      </rPr>
      <t xml:space="preserve">有值玩家數（共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</si>
  <si>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Epoch AI </t>
    </r>
    <r>
      <rPr>
        <b val="true"/>
        <sz val="11"/>
        <rFont val="Noto Sans CJK SC"/>
        <family val="2"/>
      </rPr>
      <t xml:space="preserve">全球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資料中心容量（設施；晶片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2.5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</si>
  <si>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原值（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</si>
  <si>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換算後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</si>
  <si>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</si>
  <si>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</si>
  <si>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</si>
  <si>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由下而上為混合標記（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一律不判『對得上』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</si>
  <si>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</si>
  <si>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</si>
  <si>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</si>
  <si>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b val="true"/>
        <sz val="11"/>
        <rFont val="Cambria"/>
        <family val="0"/>
        <charset val="1"/>
      </rPr>
      <t xml:space="preserve">McKinsey AI </t>
    </r>
    <r>
      <rPr>
        <b val="true"/>
        <sz val="1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</si>
  <si>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C1 — </t>
    </r>
    <r>
      <rPr>
        <sz val="11"/>
        <color theme="1"/>
        <rFont val="Noto Sans CJK SC"/>
        <family val="2"/>
      </rPr>
      <t xml:space="preserve">資本支出對帳：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帳推算＝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世代 新增 </t>
    </r>
    <r>
      <rPr>
        <sz val="11"/>
        <color theme="1"/>
        <rFont val="Calibri"/>
        <family val="2"/>
        <charset val="1"/>
      </rPr>
      <t xml:space="preserve">IT GW × TK IF_CapexIT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；上線年入帳）＋ 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月入帳）；非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部分＝持有比 </t>
    </r>
    <r>
      <rPr>
        <sz val="11"/>
        <color theme="1"/>
        <rFont val="Calibri"/>
        <family val="2"/>
        <charset val="1"/>
      </rPr>
      <t xml:space="preserve">IF_NonNV_Hold_* ×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Y3</t>
    </r>
    <r>
      <rPr>
        <sz val="11"/>
        <color theme="1"/>
        <rFont val="Noto Sans CJK SC"/>
        <family val="2"/>
      </rPr>
      <t xml:space="preserve">）；曆年按財年結束月換算成財年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）。第一個已知年的存量不計資本支出；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廠房缺次年上線量，偏低</t>
    </r>
  </si>
  <si>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2027 </t>
    </r>
    <r>
      <rPr>
        <sz val="11"/>
        <color theme="1"/>
        <rFont val="Noto Sans CJK SC"/>
        <family val="2"/>
      </rPr>
      <t xml:space="preserve">起標『同源（不對帳）』：主路徑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由同一份資本支出推得（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），再與資本支出比對是循環；只有 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來自園區與實測）做真對帳。本頁比值仍以 甲（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）計算，供參考</t>
    </r>
  </si>
  <si>
    <t xml:space="preserve">可能原因／說明</t>
  </si>
  <si>
    <r>
      <rPr>
        <b val="true"/>
        <sz val="11"/>
        <rFont val="Noto Sans CJK SC"/>
        <family val="2"/>
      </rPr>
      <t xml:space="preserve">廠房提前入帳權重（</t>
    </r>
    <r>
      <rPr>
        <b val="true"/>
        <sz val="11"/>
        <rFont val="Cambria"/>
        <family val="0"/>
        <charset val="1"/>
      </rPr>
      <t xml:space="preserve">lag_bldg </t>
    </r>
    <r>
      <rPr>
        <b val="true"/>
        <sz val="11"/>
        <rFont val="Noto Sans CJK SC"/>
        <family val="2"/>
      </rPr>
      <t xml:space="preserve">月 →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＝月</t>
    </r>
    <r>
      <rPr>
        <b val="true"/>
        <sz val="11"/>
        <rFont val="Cambria"/>
        <family val="0"/>
        <charset val="1"/>
      </rPr>
      <t xml:space="preserve">/12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0≤l≤2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</si>
  <si>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（上線當年）</t>
    </r>
  </si>
  <si>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（前一年）</t>
    </r>
  </si>
  <si>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（前兩年）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</si>
  <si>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</si>
  <si>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</si>
  <si>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未含融資租賃（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另計）；租用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容量（約 </t>
    </r>
    <r>
      <rPr>
        <sz val="11"/>
        <color theme="1"/>
        <rFont val="Calibri"/>
        <family val="2"/>
        <charset val="1"/>
      </rPr>
      <t xml:space="preserve">1.1 GW</t>
    </r>
    <r>
      <rPr>
        <sz val="11"/>
        <color theme="1"/>
        <rFont val="Noto Sans CJK SC"/>
        <family val="2"/>
      </rPr>
      <t xml:space="preserve">）不在資本支出；非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待證據；財年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置於曆年（</t>
    </r>
    <r>
      <rPr>
        <sz val="11"/>
        <color theme="1"/>
        <rFont val="Calibri"/>
        <family val="2"/>
        <charset val="1"/>
      </rPr>
      <t xml:space="preserve">GL01-04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</si>
  <si>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資本支出（上線年）</t>
    </r>
  </si>
  <si>
    <t xml:space="preserve">　廠房資本支出（按上線年）</t>
  </si>
  <si>
    <r>
      <rPr>
        <sz val="11"/>
        <color theme="1"/>
        <rFont val="Noto Sans CJK SC"/>
        <family val="2"/>
      </rPr>
      <t xml:space="preserve">　廠房資本支出（入帳曆年，提前 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</si>
  <si>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帳推算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</si>
  <si>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帳推算資本支出（財年；含非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</si>
  <si>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個股模型資本支出（財年；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</si>
  <si>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個股模型）</t>
    </r>
  </si>
  <si>
    <t xml:space="preserve">　狀態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</si>
  <si>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（搜尋、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等）；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</si>
  <si>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資本支出含零售物流（非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</t>
    </r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</si>
  <si>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帳上；含融資租賃本金；租用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不在資本支出</t>
    </r>
  </si>
  <si>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站點多為承租（房東資本支出）；財年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為模型路徑</t>
    </r>
  </si>
  <si>
    <r>
      <rPr>
        <sz val="11"/>
        <color theme="1"/>
        <rFont val="Noto Sans CJK SC"/>
        <family val="2"/>
      </rPr>
      <t xml:space="preserve">建物多為房東（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Galaxy</t>
    </r>
    <r>
      <rPr>
        <sz val="11"/>
        <color theme="1"/>
        <rFont val="Noto Sans CJK SC"/>
        <family val="2"/>
      </rPr>
      <t xml:space="preserve">）承租；公司資本支出含預付</t>
    </r>
  </si>
  <si>
    <r>
      <rPr>
        <sz val="11"/>
        <color theme="1"/>
        <rFont val="Noto Sans CJK SC"/>
        <family val="2"/>
      </rPr>
      <t xml:space="preserve">自建＋承租混合；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口徑未說明</t>
    </r>
  </si>
  <si>
    <t xml:space="preserve">共識資本支出未取得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</si>
  <si>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合併報表未取得；表後發電資本支出另計</t>
    </r>
  </si>
  <si>
    <t xml:space="preserve">個股模型待證據</t>
  </si>
  <si>
    <r>
      <rPr>
        <sz val="11"/>
        <color theme="1"/>
        <rFont val="Calibri"/>
        <family val="2"/>
        <charset val="1"/>
      </rPr>
      <t xml:space="preserve">Compare — GW </t>
    </r>
    <r>
      <rPr>
        <sz val="11"/>
        <color theme="1"/>
        <rFont val="Noto Sans CJK SC"/>
        <family val="2"/>
      </rPr>
      <t xml:space="preserve">帳年新增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（主路徑與 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Siliconomics SIF_DeployGW_A/B/C</t>
    </r>
    <r>
      <rPr>
        <sz val="11"/>
        <color theme="1"/>
        <rFont val="Noto Sans CJK SC"/>
        <family val="2"/>
      </rPr>
      <t xml:space="preserve">（成本等值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；出貨年）。兩者口徑不同，只並列、不校準。下半部為敏感度（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</si>
  <si>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</si>
  <si>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電力；規劃書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</si>
  <si>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（淨；主路徑）</t>
    </r>
  </si>
  <si>
    <r>
      <rPr>
        <sz val="11"/>
        <color theme="1"/>
        <rFont val="Noto Sans CJK SC"/>
        <family val="2"/>
      </rPr>
      <t xml:space="preserve">比值（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÷ 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</si>
  <si>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</si>
  <si>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比值（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</t>
    </r>
    <r>
      <rPr>
        <sz val="11"/>
        <color theme="1"/>
        <rFont val="Calibri"/>
        <family val="2"/>
        <charset val="1"/>
      </rPr>
      <t xml:space="preserve">D0 SiteOnly ÷ Siliconomics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</si>
  <si>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敏感度（需求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；主路徑）</t>
    </r>
  </si>
  <si>
    <r>
      <rPr>
        <sz val="11"/>
        <color theme="1"/>
        <rFont val="Noto Sans CJK SC"/>
        <family val="2"/>
      </rPr>
      <t xml:space="preserve">主路徑 年底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</si>
  <si>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 ＋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10 GW −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起持平）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</si>
  <si>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單一說法，不入主路徑）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</si>
  <si>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低（</t>
    </r>
    <r>
      <rPr>
        <sz val="11"/>
        <color theme="1"/>
        <rFont val="Calibri"/>
        <family val="2"/>
        <charset val="1"/>
      </rPr>
      <t xml:space="preserve">ai_sh_lo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ai_amzn_lo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</si>
  <si>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年新增差額累加（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起不再傳遞到收斂規則，近似）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</si>
  <si>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</si>
  <si>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</si>
  <si>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</si>
  <si>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差額原因（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階段）：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</si>
  <si>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出貨年 ≠ 上線年：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是出貨（資本支出）年的成本等值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帳是上線年，建物提前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</si>
  <si>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覆蓋：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只有站點證據（雲端大廠不公布遠期園區；『未找到』不等於『不存在』），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起主路徑七家改用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）。其餘玩家（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、新雲、主權、其他）仍只有 甲。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</si>
  <si>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實體：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成本換算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支出，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實體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被低估約 </t>
    </r>
    <r>
      <rPr>
        <sz val="11"/>
        <color theme="1"/>
        <rFont val="Calibri"/>
        <family val="2"/>
        <charset val="1"/>
      </rPr>
      <t xml:space="preserve">0.3–4.3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</si>
  <si>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中國：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顆數含中國出貨（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等），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帳中國為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占比。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</si>
  <si>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</t>
    </r>
    <r>
      <rPr>
        <sz val="11"/>
        <color theme="1"/>
        <rFont val="Calibri"/>
        <family val="2"/>
        <charset val="1"/>
      </rPr>
      <t xml:space="preserve">GIF_ </t>
    </r>
    <r>
      <rPr>
        <sz val="11"/>
        <color theme="1"/>
        <rFont val="Noto Sans CJK SC"/>
        <family val="2"/>
      </rPr>
      <t xml:space="preserve">具名範圍；經 </t>
    </r>
    <r>
      <rPr>
        <sz val="11"/>
        <color theme="1"/>
        <rFont val="Calibri"/>
        <family val="2"/>
        <charset val="1"/>
      </rPr>
      <t xml:space="preserve">gwledger/tools/export_snapshot.py </t>
    </r>
    <r>
      <rPr>
        <sz val="11"/>
        <color theme="1"/>
        <rFont val="Noto Sans CJK SC"/>
        <family val="2"/>
      </rPr>
      <t xml:space="preserve">匯成快照）。每格一個名稱：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前綴</t>
    </r>
    <r>
      <rPr>
        <sz val="11"/>
        <color theme="1"/>
        <rFont val="Calibri"/>
        <family val="2"/>
        <charset val="1"/>
      </rPr>
      <t xml:space="preserve">&gt;_&lt;yyyy&gt;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。單位一律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× IF_FacilityGW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</si>
  <si>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v0.7.1</t>
    </r>
  </si>
  <si>
    <r>
      <rPr>
        <b val="true"/>
        <sz val="11"/>
        <color rgb="FFC00000"/>
        <rFont val="Noto Sans CJK SC"/>
        <family val="2"/>
      </rPr>
      <t xml:space="preserve">下游取用 </t>
    </r>
    <r>
      <rPr>
        <b val="true"/>
        <sz val="11"/>
        <color rgb="FFC00000"/>
        <rFont val="Cambria"/>
        <family val="0"/>
        <charset val="1"/>
      </rPr>
      <t xml:space="preserve">2027 </t>
    </r>
    <r>
      <rPr>
        <b val="true"/>
        <sz val="11"/>
        <color rgb="FFC00000"/>
        <rFont val="Noto Sans CJK SC"/>
        <family val="2"/>
      </rPr>
      <t xml:space="preserve">年後數值前看覆蓋率（</t>
    </r>
    <r>
      <rPr>
        <b val="true"/>
        <sz val="11"/>
        <color rgb="FFC00000"/>
        <rFont val="Cambria"/>
        <family val="0"/>
        <charset val="1"/>
      </rPr>
      <t xml:space="preserve">GIF_Coverage_&lt;yyyy&gt;</t>
    </r>
    <r>
      <rPr>
        <b val="true"/>
        <sz val="11"/>
        <color rgb="FFC00000"/>
        <rFont val="Noto Sans CJK SC"/>
        <family val="2"/>
      </rPr>
      <t xml:space="preserve">）</t>
    </r>
  </si>
  <si>
    <t xml:space="preserve">名稱前綴</t>
  </si>
  <si>
    <t xml:space="preserve">來源位置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</si>
  <si>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主路徑年新增）</t>
    </r>
  </si>
  <si>
    <t xml:space="preserve">GIF_Coverage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</si>
  <si>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</si>
  <si>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Deploy!E106:M106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</si>
  <si>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（主路徑；需求情景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</si>
  <si>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GIF_MktGW_YE_A_D0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</si>
  <si>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</si>
  <si>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Deploy!E13:M13</t>
  </si>
  <si>
    <t xml:space="preserve">GIF_MktGW_YE_A_D1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</si>
  <si>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</si>
  <si>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Deploy!E14:M14</t>
  </si>
  <si>
    <t xml:space="preserve">GIF_MktGW_YE_A_D2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</si>
  <si>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</si>
  <si>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Deploy!E15:M15</t>
  </si>
  <si>
    <t xml:space="preserve">GIF_MktGW_YE_B_D0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</si>
  <si>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</si>
  <si>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Deploy!E29:M29</t>
  </si>
  <si>
    <t xml:space="preserve">GIF_MktGW_YE_B_D1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</si>
  <si>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</si>
  <si>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Deploy!E30:M30</t>
  </si>
  <si>
    <t xml:space="preserve">GIF_MktGW_YE_B_D2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</si>
  <si>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</si>
  <si>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Deploy!E31:M31</t>
  </si>
  <si>
    <t xml:space="preserve">GIF_MktGW_YE_C_D0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</si>
  <si>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</si>
  <si>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Deploy!E45:M45</t>
  </si>
  <si>
    <t xml:space="preserve">GIF_MktGW_YE_C_D1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</si>
  <si>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</si>
  <si>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Deploy!E46:M46</t>
  </si>
  <si>
    <t xml:space="preserve">GIF_MktGW_YE_C_D2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</si>
  <si>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</si>
  <si>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Deploy!E47:M47</t>
  </si>
  <si>
    <t xml:space="preserve">GIF_MktGW_Avg_A_D0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</si>
  <si>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</si>
  <si>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Deploy!E16:M16</t>
  </si>
  <si>
    <t xml:space="preserve">GIF_MktGW_Avg_A_D1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</si>
  <si>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</si>
  <si>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Deploy!E17:M17</t>
  </si>
  <si>
    <t xml:space="preserve">GIF_MktGW_Avg_A_D2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</si>
  <si>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</si>
  <si>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Deploy!E18:M18</t>
  </si>
  <si>
    <t xml:space="preserve">GIF_MktGW_Avg_B_D0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</si>
  <si>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</si>
  <si>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Deploy!E32:M32</t>
  </si>
  <si>
    <t xml:space="preserve">GIF_MktGW_Avg_B_D1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</si>
  <si>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</si>
  <si>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Deploy!E33:M33</t>
  </si>
  <si>
    <t xml:space="preserve">GIF_MktGW_Avg_B_D2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</si>
  <si>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</si>
  <si>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Deploy!E34:M34</t>
  </si>
  <si>
    <t xml:space="preserve">GIF_MktGW_Avg_C_D0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</si>
  <si>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</si>
  <si>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Deploy!E48:M48</t>
  </si>
  <si>
    <t xml:space="preserve">GIF_MktGW_Avg_C_D1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</si>
  <si>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</si>
  <si>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Deploy!E49:M49</t>
  </si>
  <si>
    <t xml:space="preserve">GIF_MktGW_Avg_C_D2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</si>
  <si>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</si>
  <si>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Deploy!E50:M50</t>
  </si>
  <si>
    <t xml:space="preserve">GIF_MktGW_Add_A_D0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</si>
  <si>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</si>
  <si>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Deploy!E19:M19</t>
  </si>
  <si>
    <t xml:space="preserve">GIF_MktGW_Add_A_D1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</si>
  <si>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</si>
  <si>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Deploy!E20:M20</t>
  </si>
  <si>
    <t xml:space="preserve">GIF_MktGW_Add_A_D2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</si>
  <si>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</si>
  <si>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Deploy!E21:M21</t>
  </si>
  <si>
    <t xml:space="preserve">GIF_MktGW_Add_B_D0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</si>
  <si>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</si>
  <si>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Deploy!E35:M35</t>
  </si>
  <si>
    <t xml:space="preserve">GIF_MktGW_Add_B_D1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</si>
  <si>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</si>
  <si>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Deploy!E36:M36</t>
  </si>
  <si>
    <t xml:space="preserve">GIF_MktGW_Add_B_D2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</si>
  <si>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</si>
  <si>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Deploy!E37:M37</t>
  </si>
  <si>
    <t xml:space="preserve">GIF_MktGW_Add_C_D0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</si>
  <si>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</si>
  <si>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Deploy!E51:M51</t>
  </si>
  <si>
    <t xml:space="preserve">GIF_MktGW_Add_C_D1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</si>
  <si>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</si>
  <si>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Deploy!E52:M52</t>
  </si>
  <si>
    <t xml:space="preserve">GIF_MktGW_Add_C_D2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</si>
  <si>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</si>
  <si>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Deploy!E53:M53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</si>
  <si>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已出貨未上線（主路徑；相對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</si>
  <si>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GIF_ShippedNotOnline_A_D1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</si>
  <si>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</si>
  <si>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Deploy!E22:M22</t>
  </si>
  <si>
    <t xml:space="preserve">GIF_ShippedNotOnline_A_D2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</si>
  <si>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</si>
  <si>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Deploy!E23:M23</t>
  </si>
  <si>
    <t xml:space="preserve">GIF_ShippedNotOnline_B_D1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</si>
  <si>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</si>
  <si>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Deploy!E38:M38</t>
  </si>
  <si>
    <t xml:space="preserve">GIF_ShippedNotOnline_B_D2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</si>
  <si>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</si>
  <si>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Deploy!E39:M39</t>
  </si>
  <si>
    <t xml:space="preserve">GIF_ShippedNotOnline_C_D1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</si>
  <si>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</si>
  <si>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Deploy!E54:M54</t>
  </si>
  <si>
    <t xml:space="preserve">GIF_ShippedNotOnline_C_D2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</si>
  <si>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</si>
  <si>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Deploy!E55:M55</t>
  </si>
  <si>
    <r>
      <rPr>
        <b val="true"/>
        <sz val="11"/>
        <rFont val="Cambria"/>
        <family val="0"/>
        <charset val="1"/>
      </rPr>
      <t xml:space="preserve">A_SiteOnly.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</si>
  <si>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GIF_MktGW_YE_A_D0_SiteOnly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</si>
  <si>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</si>
  <si>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Deploy!E62:M62</t>
  </si>
  <si>
    <t xml:space="preserve">GIF_MktGW_YE_A_D1_SiteOnly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</si>
  <si>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</si>
  <si>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Deploy!E63:M63</t>
  </si>
  <si>
    <t xml:space="preserve">GIF_MktGW_YE_A_D2_SiteOnly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</si>
  <si>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</si>
  <si>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Deploy!E64:M64</t>
  </si>
  <si>
    <t xml:space="preserve">GIF_MktGW_YE_B_D0_SiteOnly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</si>
  <si>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</si>
  <si>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Deploy!E78:M78</t>
  </si>
  <si>
    <t xml:space="preserve">GIF_MktGW_YE_B_D1_SiteOnly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</si>
  <si>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</si>
  <si>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Deploy!E79:M79</t>
  </si>
  <si>
    <t xml:space="preserve">GIF_MktGW_YE_B_D2_SiteOnly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</si>
  <si>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</si>
  <si>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Deploy!E80:M80</t>
  </si>
  <si>
    <t xml:space="preserve">GIF_MktGW_YE_C_D0_SiteOnly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</si>
  <si>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</si>
  <si>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Deploy!E94:M94</t>
  </si>
  <si>
    <t xml:space="preserve">GIF_MktGW_YE_C_D1_SiteOnly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</si>
  <si>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</si>
  <si>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Deploy!E95:M95</t>
  </si>
  <si>
    <t xml:space="preserve">GIF_MktGW_YE_C_D2_SiteOnly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</si>
  <si>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</si>
  <si>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Deploy!E96:M96</t>
  </si>
  <si>
    <t xml:space="preserve">GIF_MktGW_Avg_A_D0_SiteOnly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</si>
  <si>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</si>
  <si>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Deploy!E65:M65</t>
  </si>
  <si>
    <t xml:space="preserve">GIF_MktGW_Avg_A_D1_SiteOnly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</si>
  <si>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</si>
  <si>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Deploy!E66:M66</t>
  </si>
  <si>
    <t xml:space="preserve">GIF_MktGW_Avg_A_D2_SiteOnly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</si>
  <si>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</si>
  <si>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Deploy!E67:M67</t>
  </si>
  <si>
    <t xml:space="preserve">GIF_MktGW_Avg_B_D0_SiteOnly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</si>
  <si>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</si>
  <si>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Deploy!E81:M81</t>
  </si>
  <si>
    <t xml:space="preserve">GIF_MktGW_Avg_B_D1_SiteOnly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</si>
  <si>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</si>
  <si>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Deploy!E82:M82</t>
  </si>
  <si>
    <t xml:space="preserve">GIF_MktGW_Avg_B_D2_SiteOnly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</si>
  <si>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</si>
  <si>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Deploy!E83:M83</t>
  </si>
  <si>
    <t xml:space="preserve">GIF_MktGW_Avg_C_D0_SiteOnly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</si>
  <si>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</si>
  <si>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Deploy!E97:M97</t>
  </si>
  <si>
    <t xml:space="preserve">GIF_MktGW_Avg_C_D1_SiteOnly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</si>
  <si>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</si>
  <si>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Deploy!E98:M98</t>
  </si>
  <si>
    <t xml:space="preserve">GIF_MktGW_Avg_C_D2_SiteOnly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</si>
  <si>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</si>
  <si>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Deploy!E99:M99</t>
  </si>
  <si>
    <t xml:space="preserve">GIF_MktGW_Add_A_D0_SiteOnly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</si>
  <si>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</si>
  <si>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Deploy!E68:M68</t>
  </si>
  <si>
    <t xml:space="preserve">GIF_MktGW_Add_A_D1_SiteOnly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</si>
  <si>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</si>
  <si>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Deploy!E69:M69</t>
  </si>
  <si>
    <t xml:space="preserve">GIF_MktGW_Add_A_D2_SiteOnly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</si>
  <si>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</si>
  <si>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Deploy!E70:M70</t>
  </si>
  <si>
    <t xml:space="preserve">GIF_MktGW_Add_B_D0_SiteOnly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</si>
  <si>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</si>
  <si>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Deploy!E84:M84</t>
  </si>
  <si>
    <t xml:space="preserve">GIF_MktGW_Add_B_D1_SiteOnly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</si>
  <si>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</si>
  <si>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Deploy!E85:M85</t>
  </si>
  <si>
    <t xml:space="preserve">GIF_MktGW_Add_B_D2_SiteOnly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</si>
  <si>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</si>
  <si>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Deploy!E86:M86</t>
  </si>
  <si>
    <t xml:space="preserve">GIF_MktGW_Add_C_D0_SiteOnly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</si>
  <si>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</si>
  <si>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Deploy!E100:M100</t>
  </si>
  <si>
    <t xml:space="preserve">GIF_MktGW_Add_C_D1_SiteOnly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</si>
  <si>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</si>
  <si>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Deploy!E101:M101</t>
  </si>
  <si>
    <t xml:space="preserve">GIF_MktGW_Add_C_D2_SiteOnly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</si>
  <si>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</si>
  <si>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Deploy!E102:M102</t>
  </si>
  <si>
    <r>
      <rPr>
        <b val="true"/>
        <sz val="11"/>
        <rFont val="Cambria"/>
        <family val="0"/>
        <charset val="1"/>
      </rPr>
      <t xml:space="preserve">B_SiteOnly. </t>
    </r>
    <r>
      <rPr>
        <b val="true"/>
        <sz val="11"/>
        <rFont val="Noto Sans CJK SC"/>
        <family val="2"/>
      </rPr>
      <t xml:space="preserve">已出貨未上線（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</si>
  <si>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GIF_ShippedNotOnline_A_D1_SiteOnly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</si>
  <si>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</si>
  <si>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Deploy!E71:M71</t>
  </si>
  <si>
    <t xml:space="preserve">GIF_ShippedNotOnline_A_D2_SiteOnly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</si>
  <si>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</si>
  <si>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Deploy!E72:M72</t>
  </si>
  <si>
    <t xml:space="preserve">GIF_ShippedNotOnline_B_D1_SiteOnly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</si>
  <si>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</si>
  <si>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Deploy!E87:M87</t>
  </si>
  <si>
    <t xml:space="preserve">GIF_ShippedNotOnline_B_D2_SiteOnly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</si>
  <si>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</si>
  <si>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Deploy!E88:M88</t>
  </si>
  <si>
    <t xml:space="preserve">GIF_ShippedNotOnline_C_D1_SiteOnly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</si>
  <si>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</si>
  <si>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Deploy!E103:M103</t>
  </si>
  <si>
    <t xml:space="preserve">GIF_ShippedNotOnline_C_D2_SiteOnly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</si>
  <si>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</si>
  <si>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Deploy!E104:M104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</si>
  <si>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（主路徑：七家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起＝甲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累加；營運者口徑；空白＝未知）</t>
    </r>
  </si>
  <si>
    <t xml:space="preserve">GIF_PlayerGW_YE_msft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</si>
  <si>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在役）（主路徑）</t>
    </r>
  </si>
  <si>
    <t xml:space="preserve">CapexGW!E23:M23</t>
  </si>
  <si>
    <t xml:space="preserve">GIF_PlayerGW_YE_googl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</si>
  <si>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</si>
  <si>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CapexGW!E42:M42</t>
  </si>
  <si>
    <t xml:space="preserve">GIF_PlayerGW_YE_amzn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</si>
  <si>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</si>
  <si>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CapexGW!E61:M61</t>
  </si>
  <si>
    <t xml:space="preserve">GIF_PlayerGW_YE_meta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</si>
  <si>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（主路徑）</t>
    </r>
  </si>
  <si>
    <t xml:space="preserve">CapexGW!E80:M80</t>
  </si>
  <si>
    <t xml:space="preserve">GIF_PlayerGW_YE_orcl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</si>
  <si>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站點）（主路徑）</t>
    </r>
  </si>
  <si>
    <t xml:space="preserve">CapexGW!E99:M99</t>
  </si>
  <si>
    <t xml:space="preserve">GIF_PlayerGW_YE_crwv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</si>
  <si>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（主路徑）</t>
    </r>
  </si>
  <si>
    <t xml:space="preserve">CapexGW!E118:M118</t>
  </si>
  <si>
    <t xml:space="preserve">GIF_PlayerGW_YE_nbis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</si>
  <si>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（主路徑）</t>
    </r>
  </si>
  <si>
    <t xml:space="preserve">CapexGW!E137:M137</t>
  </si>
  <si>
    <t xml:space="preserve">GIF_PlayerGW_YE_wyfi</t>
  </si>
  <si>
    <t xml:space="preserve">Players!E163:M163</t>
  </si>
  <si>
    <t xml:space="preserve">GIF_PlayerGW_YE_xai</t>
  </si>
  <si>
    <t xml:space="preserve">Players!E182:M182</t>
  </si>
  <si>
    <t xml:space="preserve">GIF_PlayerGW_YE_oai</t>
  </si>
  <si>
    <t xml:space="preserve">Players!E201:M201</t>
  </si>
  <si>
    <t xml:space="preserve">GIF_PlayerGW_YE_ant</t>
  </si>
  <si>
    <t xml:space="preserve">Players!E220:M220</t>
  </si>
  <si>
    <t xml:space="preserve">GIF_PlayerGW_YE_neo</t>
  </si>
  <si>
    <t xml:space="preserve">Players!E239:M239</t>
  </si>
  <si>
    <t xml:space="preserve">GIF_PlayerGW_YE_sov</t>
  </si>
  <si>
    <t xml:space="preserve">Players!E258:M258</t>
  </si>
  <si>
    <t xml:space="preserve">GIF_PlayerGW_YE_cn</t>
  </si>
  <si>
    <t xml:space="preserve">Players!E277:M277</t>
  </si>
  <si>
    <t xml:space="preserve">GIF_PlayerGW_YE_oth</t>
  </si>
  <si>
    <t xml:space="preserve">Players!E296:M296</t>
  </si>
  <si>
    <r>
      <rPr>
        <b val="true"/>
        <sz val="11"/>
        <rFont val="Cambria"/>
        <family val="0"/>
        <charset val="1"/>
      </rPr>
      <t xml:space="preserve">C_SiteOnly.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（只有 甲）</t>
    </r>
  </si>
  <si>
    <t xml:space="preserve">GIF_PlayerGW_YE_msft_SiteOnly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</si>
  <si>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</si>
  <si>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Players!E30:M30</t>
  </si>
  <si>
    <t xml:space="preserve">GIF_PlayerGW_YE_googl_SiteOnly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</si>
  <si>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</si>
  <si>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Players!E49:M49</t>
  </si>
  <si>
    <t xml:space="preserve">GIF_PlayerGW_YE_amzn_SiteOnly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</si>
  <si>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</si>
  <si>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Players!E68:M68</t>
  </si>
  <si>
    <t xml:space="preserve">GIF_PlayerGW_YE_meta_SiteOnly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</si>
  <si>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</si>
  <si>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Players!E87:M87</t>
  </si>
  <si>
    <t xml:space="preserve">GIF_PlayerGW_YE_orcl_SiteOnly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</si>
  <si>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</si>
  <si>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Players!E106:M106</t>
  </si>
  <si>
    <t xml:space="preserve">GIF_PlayerGW_YE_crwv_SiteOnly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</si>
  <si>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</si>
  <si>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Players!E125:M125</t>
  </si>
  <si>
    <t xml:space="preserve">GIF_PlayerGW_YE_nbis_SiteOnly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</si>
  <si>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</si>
  <si>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Players!E144:M144</t>
  </si>
  <si>
    <t xml:space="preserve">GIF_PlayerGW_YE_wyfi_SiteOnly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</si>
  <si>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</si>
  <si>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GIF_PlayerGW_YE_xai_SiteOnly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</si>
  <si>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</si>
  <si>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GIF_PlayerGW_YE_oai_SiteOnly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</si>
  <si>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</si>
  <si>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GIF_PlayerGW_YE_ant_SiteOnly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</si>
  <si>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</si>
  <si>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GIF_PlayerGW_YE_neo_SiteOnly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</si>
  <si>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</si>
  <si>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GIF_PlayerGW_YE_sov_SiteOnly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</si>
  <si>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</si>
  <si>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GIF_PlayerGW_YE_cn_SiteOnly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</si>
  <si>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</si>
  <si>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GIF_PlayerGW_YE_oth_SiteOnly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</si>
  <si>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</si>
  <si>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恆等式與治理（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GGOV_Errors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GGOV_Warn</t>
    </r>
    <r>
      <rPr>
        <sz val="11"/>
        <color theme="1"/>
        <rFont val="Noto Sans CJK SC"/>
        <family val="2"/>
      </rPr>
      <t xml:space="preserve">，列為待補）</t>
    </r>
  </si>
  <si>
    <t xml:space="preserve">ID</t>
  </si>
  <si>
    <t xml:space="preserve">本庫值</t>
  </si>
  <si>
    <t xml:space="preserve">參照值</t>
  </si>
  <si>
    <t xml:space="preserve">判讀</t>
  </si>
  <si>
    <t xml:space="preserve">性質</t>
  </si>
  <si>
    <t xml:space="preserve">E-In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</si>
  <si>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頁錯誤格數</t>
    </r>
  </si>
  <si>
    <t xml:space="preserve">結構</t>
  </si>
  <si>
    <t xml:space="preserve">E-TK_In</t>
  </si>
  <si>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頁錯誤格數</t>
    </r>
  </si>
  <si>
    <t xml:space="preserve">E-SIL_In</t>
  </si>
  <si>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頁錯誤格數</t>
    </r>
  </si>
  <si>
    <t xml:space="preserve">E-Players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</si>
  <si>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頁錯誤格數</t>
    </r>
  </si>
  <si>
    <t xml:space="preserve">E-Matrix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</si>
  <si>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頁錯誤格數</t>
    </r>
  </si>
  <si>
    <t xml:space="preserve">E-Pipeline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</si>
  <si>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頁錯誤格數</t>
    </r>
  </si>
  <si>
    <t xml:space="preserve">E-Deploy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</si>
  <si>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頁錯誤格數</t>
    </r>
  </si>
  <si>
    <t xml:space="preserve">E-C0</t>
  </si>
  <si>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頁錯誤格數</t>
    </r>
  </si>
  <si>
    <t xml:space="preserve">E-C1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</si>
  <si>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頁錯誤格數</t>
    </r>
  </si>
  <si>
    <t xml:space="preserve">E-Compare</t>
  </si>
  <si>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頁錯誤格數</t>
    </r>
  </si>
  <si>
    <t xml:space="preserve">E-Interface</t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</si>
  <si>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頁錯誤格數</t>
    </r>
  </si>
  <si>
    <t xml:space="preserve">E-CapexGW</t>
  </si>
  <si>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頁錯誤格數</t>
    </r>
  </si>
  <si>
    <t xml:space="preserve">K1-2025a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</si>
  <si>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</si>
  <si>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恆等式</t>
  </si>
  <si>
    <t xml:space="preserve">K1-2025b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</si>
  <si>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</si>
  <si>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K1-2026a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</si>
  <si>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</si>
  <si>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K1-2026b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</si>
  <si>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</si>
  <si>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K1-2027a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</si>
  <si>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</si>
  <si>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K1-2027b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</si>
  <si>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</si>
  <si>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K2-2023</t>
  </si>
  <si>
    <r>
      <rPr>
        <sz val="11"/>
        <color theme="1"/>
        <rFont val="Calibri"/>
        <family val="2"/>
        <charset val="1"/>
      </rPr>
      <t xml:space="preserve">Pipeline D0 2023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</si>
  <si>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K2-2024</t>
  </si>
  <si>
    <r>
      <rPr>
        <sz val="11"/>
        <color theme="1"/>
        <rFont val="Calibri"/>
        <family val="2"/>
        <charset val="1"/>
      </rPr>
      <t xml:space="preserve">Pipeline D0 2024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</si>
  <si>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K2-2025</t>
  </si>
  <si>
    <r>
      <rPr>
        <sz val="11"/>
        <color theme="1"/>
        <rFont val="Calibri"/>
        <family val="2"/>
        <charset val="1"/>
      </rPr>
      <t xml:space="preserve">Pipeline D0 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</si>
  <si>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K2-2026</t>
  </si>
  <si>
    <r>
      <rPr>
        <sz val="11"/>
        <color theme="1"/>
        <rFont val="Calibri"/>
        <family val="2"/>
        <charset val="1"/>
      </rPr>
      <t xml:space="preserve">Pipeline D0 2026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</si>
  <si>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K2-2027</t>
  </si>
  <si>
    <r>
      <rPr>
        <sz val="11"/>
        <color theme="1"/>
        <rFont val="Calibri"/>
        <family val="2"/>
        <charset val="1"/>
      </rPr>
      <t xml:space="preserve">Pipeline D0 2027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</si>
  <si>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K2-2028</t>
  </si>
  <si>
    <r>
      <rPr>
        <sz val="11"/>
        <color theme="1"/>
        <rFont val="Calibri"/>
        <family val="2"/>
        <charset val="1"/>
      </rPr>
      <t xml:space="preserve">Pipeline D0 2028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</si>
  <si>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K2-2029</t>
  </si>
  <si>
    <r>
      <rPr>
        <sz val="11"/>
        <color theme="1"/>
        <rFont val="Calibri"/>
        <family val="2"/>
        <charset val="1"/>
      </rPr>
      <t xml:space="preserve">Pipeline D0 2029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</si>
  <si>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K2-2030</t>
  </si>
  <si>
    <r>
      <rPr>
        <sz val="11"/>
        <color theme="1"/>
        <rFont val="Calibri"/>
        <family val="2"/>
        <charset val="1"/>
      </rPr>
      <t xml:space="preserve">Pipeline D0 2030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</si>
  <si>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K2-2031</t>
  </si>
  <si>
    <r>
      <rPr>
        <sz val="11"/>
        <color theme="1"/>
        <rFont val="Calibri"/>
        <family val="2"/>
        <charset val="1"/>
      </rPr>
      <t xml:space="preserve">Pipeline D0 2031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</si>
  <si>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K2-2032</t>
  </si>
  <si>
    <r>
      <rPr>
        <sz val="11"/>
        <color theme="1"/>
        <rFont val="Calibri"/>
        <family val="2"/>
        <charset val="1"/>
      </rPr>
      <t xml:space="preserve">Pipeline D0 2032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</si>
  <si>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K3-2024</t>
  </si>
  <si>
    <r>
      <rPr>
        <sz val="11"/>
        <color theme="1"/>
        <rFont val="Calibri"/>
        <family val="2"/>
        <charset val="1"/>
      </rPr>
      <t xml:space="preserve">Pipeline 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</si>
  <si>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驗證</t>
  </si>
  <si>
    <t xml:space="preserve">K3-2025</t>
  </si>
  <si>
    <r>
      <rPr>
        <sz val="11"/>
        <color theme="1"/>
        <rFont val="Calibri"/>
        <family val="2"/>
        <charset val="1"/>
      </rPr>
      <t xml:space="preserve">Pipeline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</si>
  <si>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K3-2026</t>
  </si>
  <si>
    <r>
      <rPr>
        <sz val="11"/>
        <color theme="1"/>
        <rFont val="Calibri"/>
        <family val="2"/>
        <charset val="1"/>
      </rPr>
      <t xml:space="preserve">Pipeline 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</si>
  <si>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K3-2027</t>
  </si>
  <si>
    <r>
      <rPr>
        <sz val="11"/>
        <color theme="1"/>
        <rFont val="Calibri"/>
        <family val="2"/>
        <charset val="1"/>
      </rPr>
      <t xml:space="preserve">Pipeline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</si>
  <si>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K3-2028</t>
  </si>
  <si>
    <r>
      <rPr>
        <sz val="11"/>
        <color theme="1"/>
        <rFont val="Calibri"/>
        <family val="2"/>
        <charset val="1"/>
      </rPr>
      <t xml:space="preserve">Pipeline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</si>
  <si>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K3-2029</t>
  </si>
  <si>
    <r>
      <rPr>
        <sz val="11"/>
        <color theme="1"/>
        <rFont val="Calibri"/>
        <family val="2"/>
        <charset val="1"/>
      </rPr>
      <t xml:space="preserve">Pipeline 2029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</si>
  <si>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K3-2030</t>
  </si>
  <si>
    <r>
      <rPr>
        <sz val="11"/>
        <color theme="1"/>
        <rFont val="Calibri"/>
        <family val="2"/>
        <charset val="1"/>
      </rPr>
      <t xml:space="preserve">Pipeline 2030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</si>
  <si>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K3-2031</t>
  </si>
  <si>
    <r>
      <rPr>
        <sz val="11"/>
        <color theme="1"/>
        <rFont val="Calibri"/>
        <family val="2"/>
        <charset val="1"/>
      </rPr>
      <t xml:space="preserve">Pipeline 2031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</si>
  <si>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</t>
  </si>
  <si>
    <r>
      <rPr>
        <sz val="11"/>
        <color theme="1"/>
        <rFont val="Calibri"/>
        <family val="2"/>
        <charset val="1"/>
      </rPr>
      <t xml:space="preserve">Pipeline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</si>
  <si>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K3-2032eq</t>
  </si>
  <si>
    <r>
      <rPr>
        <sz val="11"/>
        <color theme="1"/>
        <rFont val="Noto Sans CJK SC"/>
        <family val="2"/>
      </rPr>
      <t xml:space="preserve">延遲只移動時點：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年底差 ≤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後才上線的部分（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均勻型殘差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比例）＋園區）</t>
    </r>
  </si>
  <si>
    <t xml:space="preserve">K4-2023</t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</si>
  <si>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</si>
  <si>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</si>
  <si>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</si>
  <si>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</si>
  <si>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</si>
  <si>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</si>
  <si>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</si>
  <si>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</si>
  <si>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</si>
  <si>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</si>
  <si>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</si>
  <si>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</si>
  <si>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</si>
  <si>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</si>
  <si>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</si>
  <si>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</si>
  <si>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</si>
  <si>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</si>
  <si>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</si>
  <si>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K5-2024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</si>
  <si>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</si>
  <si>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</si>
  <si>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</si>
  <si>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</si>
  <si>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</si>
  <si>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</si>
  <si>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</si>
  <si>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</si>
  <si>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</si>
  <si>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</si>
  <si>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</si>
  <si>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</si>
  <si>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</si>
  <si>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</si>
  <si>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</si>
  <si>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</si>
  <si>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</si>
  <si>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K6-lag_bldg</t>
  </si>
  <si>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</si>
  <si>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0–24</t>
  </si>
  <si>
    <t xml:space="preserve">K6-lag_bldg_lo</t>
  </si>
  <si>
    <r>
      <rPr>
        <sz val="11"/>
        <color theme="1"/>
        <rFont val="Calibri"/>
        <family val="2"/>
        <charset val="1"/>
      </rPr>
      <t xml:space="preserve">lag_bldg_lo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</si>
  <si>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K6-lag_bldg_hi</t>
  </si>
  <si>
    <r>
      <rPr>
        <sz val="11"/>
        <color theme="1"/>
        <rFont val="Calibri"/>
        <family val="2"/>
        <charset val="1"/>
      </rPr>
      <t xml:space="preserve">lag_bldg_hi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</si>
  <si>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K6-dly_d1_m</t>
  </si>
  <si>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</si>
  <si>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0–36</t>
  </si>
  <si>
    <t xml:space="preserve">K6-dly_d1_m_lo</t>
  </si>
  <si>
    <r>
      <rPr>
        <sz val="11"/>
        <color theme="1"/>
        <rFont val="Calibri"/>
        <family val="2"/>
        <charset val="1"/>
      </rPr>
      <t xml:space="preserve">dly_d1_m_lo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</si>
  <si>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K6-dly_d1_m_hi</t>
  </si>
  <si>
    <r>
      <rPr>
        <sz val="11"/>
        <color theme="1"/>
        <rFont val="Calibri"/>
        <family val="2"/>
        <charset val="1"/>
      </rPr>
      <t xml:space="preserve">dly_d1_m_hi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</si>
  <si>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K6-dly_d1_s</t>
  </si>
  <si>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</si>
  <si>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0–1</t>
  </si>
  <si>
    <t xml:space="preserve">K6-dly_d1_s_lo</t>
  </si>
  <si>
    <r>
      <rPr>
        <sz val="11"/>
        <color theme="1"/>
        <rFont val="Calibri"/>
        <family val="2"/>
        <charset val="1"/>
      </rPr>
      <t xml:space="preserve">dly_d1_s_lo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</si>
  <si>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K6-dly_d1_s_hi</t>
  </si>
  <si>
    <r>
      <rPr>
        <sz val="11"/>
        <color theme="1"/>
        <rFont val="Calibri"/>
        <family val="2"/>
        <charset val="1"/>
      </rPr>
      <t xml:space="preserve">dly_d1_s_hi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</si>
  <si>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K6-dly_d2_m</t>
  </si>
  <si>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</si>
  <si>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K6-dly_d2_m_lo</t>
  </si>
  <si>
    <r>
      <rPr>
        <sz val="11"/>
        <color theme="1"/>
        <rFont val="Calibri"/>
        <family val="2"/>
        <charset val="1"/>
      </rPr>
      <t xml:space="preserve">dly_d2_m_lo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</si>
  <si>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K6-dly_d2_m_hi</t>
  </si>
  <si>
    <r>
      <rPr>
        <sz val="11"/>
        <color theme="1"/>
        <rFont val="Calibri"/>
        <family val="2"/>
        <charset val="1"/>
      </rPr>
      <t xml:space="preserve">dly_d2_m_hi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</si>
  <si>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K6-dly_d2_bind</t>
  </si>
  <si>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</si>
  <si>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K6-dly_d2_bind_lo</t>
  </si>
  <si>
    <r>
      <rPr>
        <sz val="11"/>
        <color theme="1"/>
        <rFont val="Calibri"/>
        <family val="2"/>
        <charset val="1"/>
      </rPr>
      <t xml:space="preserve">dly_d2_bind_lo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</si>
  <si>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K6-dly_d2_bind_hi</t>
  </si>
  <si>
    <r>
      <rPr>
        <sz val="11"/>
        <color theme="1"/>
        <rFont val="Calibri"/>
        <family val="2"/>
        <charset val="1"/>
      </rPr>
      <t xml:space="preserve">dly_d2_bind_hi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</si>
  <si>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</t>
  </si>
  <si>
    <r>
      <rPr>
        <sz val="11"/>
        <color theme="1"/>
        <rFont val="Calibri"/>
        <family val="2"/>
        <charset val="1"/>
      </rPr>
      <t xml:space="preserve">tolband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</si>
  <si>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K6-tolband_lo</t>
  </si>
  <si>
    <r>
      <rPr>
        <sz val="11"/>
        <color theme="1"/>
        <rFont val="Calibri"/>
        <family val="2"/>
        <charset val="1"/>
      </rPr>
      <t xml:space="preserve">tolband_lo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</si>
  <si>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K6-tolband_hi</t>
  </si>
  <si>
    <r>
      <rPr>
        <sz val="11"/>
        <color theme="1"/>
        <rFont val="Calibri"/>
        <family val="2"/>
        <charset val="1"/>
      </rPr>
      <t xml:space="preserve">tolband_hi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</si>
  <si>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K6-k_chip2it</t>
  </si>
  <si>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</si>
  <si>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1–3</t>
  </si>
  <si>
    <t xml:space="preserve">K6-k_chip2it_lo</t>
  </si>
  <si>
    <r>
      <rPr>
        <sz val="11"/>
        <color theme="1"/>
        <rFont val="Calibri"/>
        <family val="2"/>
        <charset val="1"/>
      </rPr>
      <t xml:space="preserve">k_chip2it_lo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</si>
  <si>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K6-k_chip2it_hi</t>
  </si>
  <si>
    <r>
      <rPr>
        <sz val="11"/>
        <color theme="1"/>
        <rFont val="Calibri"/>
        <family val="2"/>
        <charset val="1"/>
      </rPr>
      <t xml:space="preserve">k_chip2it_hi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</si>
  <si>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K6-g_lt</t>
  </si>
  <si>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</si>
  <si>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-0.2–0.5</t>
  </si>
  <si>
    <t xml:space="preserve">K6-g_lt_lo</t>
  </si>
  <si>
    <r>
      <rPr>
        <sz val="11"/>
        <color theme="1"/>
        <rFont val="Calibri"/>
        <family val="2"/>
        <charset val="1"/>
      </rPr>
      <t xml:space="preserve">g_lt_lo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</si>
  <si>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K6-g_lt_hi</t>
  </si>
  <si>
    <r>
      <rPr>
        <sz val="11"/>
        <color theme="1"/>
        <rFont val="Calibri"/>
        <family val="2"/>
        <charset val="1"/>
      </rPr>
      <t xml:space="preserve">g_lt_hi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</si>
  <si>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K7</t>
  </si>
  <si>
    <r>
      <rPr>
        <sz val="11"/>
        <color theme="1"/>
        <rFont val="Noto Sans CJK SC"/>
        <family val="2"/>
      </rPr>
      <t xml:space="preserve">未分園區殘差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的格數（園區合計超過玩家路徑）</t>
    </r>
  </si>
  <si>
    <t xml:space="preserve">K8</t>
  </si>
  <si>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快照提供（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＝快照未含，直接讀活頁簿 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</si>
  <si>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</si>
  <si>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Requests R5</t>
    </r>
    <r>
      <rPr>
        <sz val="11"/>
        <color theme="1"/>
        <rFont val="Noto Sans CJK SC"/>
        <family val="2"/>
      </rPr>
      <t xml:space="preserve">：請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快照加入 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；值相同（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</t>
    </r>
  </si>
  <si>
    <t xml:space="preserve">K10-2025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</si>
  <si>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</si>
  <si>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K10-2026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</si>
  <si>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</si>
  <si>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K10-2027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</si>
  <si>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</si>
  <si>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K11-rng25_neo</t>
  </si>
  <si>
    <r>
      <rPr>
        <sz val="11"/>
        <color theme="1"/>
        <rFont val="Calibri"/>
        <family val="2"/>
        <charset val="1"/>
      </rPr>
      <t xml:space="preserve">rng25_neo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neo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</si>
  <si>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K11-rng25_cn</t>
  </si>
  <si>
    <r>
      <rPr>
        <sz val="11"/>
        <color theme="1"/>
        <rFont val="Calibri"/>
        <family val="2"/>
        <charset val="1"/>
      </rPr>
      <t xml:space="preserve">rng25_cn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</si>
  <si>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K11-rng26_cn</t>
  </si>
  <si>
    <r>
      <rPr>
        <sz val="11"/>
        <color theme="1"/>
        <rFont val="Calibri"/>
        <family val="2"/>
        <charset val="1"/>
      </rPr>
      <t xml:space="preserve">rng26_cn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2026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</si>
  <si>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K11-ovr25_googl</t>
  </si>
  <si>
    <r>
      <rPr>
        <sz val="11"/>
        <color theme="1"/>
        <rFont val="Calibri"/>
        <family val="2"/>
        <charset val="1"/>
      </rPr>
      <t xml:space="preserve">ovr25_googl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googl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</si>
  <si>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K11-ovr25_amzn</t>
  </si>
  <si>
    <r>
      <rPr>
        <sz val="11"/>
        <color theme="1"/>
        <rFont val="Calibri"/>
        <family val="2"/>
        <charset val="1"/>
      </rPr>
      <t xml:space="preserve">ovr25_amzn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amzn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</si>
  <si>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K12-2024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</si>
  <si>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</si>
  <si>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</si>
  <si>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</si>
  <si>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</si>
  <si>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</si>
  <si>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</si>
  <si>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</si>
  <si>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</si>
  <si>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</si>
  <si>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</si>
  <si>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</si>
  <si>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</si>
  <si>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</si>
  <si>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</si>
  <si>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</si>
  <si>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</si>
  <si>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</si>
  <si>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K13</t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</si>
  <si>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的園區，引用的證據列在 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判『錯誤』或『無法核對』的數</t>
    </r>
  </si>
  <si>
    <t xml:space="preserve">治理（證據）</t>
  </si>
  <si>
    <t xml:space="preserve">只檢查說明欄第一個引用（主要依據）</t>
  </si>
  <si>
    <t xml:space="preserve">K14</t>
  </si>
  <si>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列數（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全部列）</t>
    </r>
  </si>
  <si>
    <t xml:space="preserve">K15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</si>
  <si>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GIF_Coverage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的年數（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）</t>
    </r>
  </si>
  <si>
    <t xml:space="preserve">治理（覆蓋）</t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</si>
  <si>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＝該年主路徑新增多半無站點證據（甲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或收斂規則推得）；下游取用前看覆蓋率</t>
    </r>
  </si>
  <si>
    <t xml:space="preserve">K16-2024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</si>
  <si>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</si>
  <si>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K16-2025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</si>
  <si>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</si>
  <si>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</si>
  <si>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</si>
  <si>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K17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</si>
  <si>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的格數（七家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年）</t>
    </r>
  </si>
  <si>
    <t xml:space="preserve">K18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</si>
  <si>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園區延遲總量（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納入且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後上線的園區 </t>
    </r>
    <r>
      <rPr>
        <sz val="11"/>
        <color theme="1"/>
        <rFont val="Calibri"/>
        <family val="2"/>
        <charset val="1"/>
      </rPr>
      <t xml:space="preserve">GW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 D1 </t>
    </r>
    <r>
      <rPr>
        <sz val="11"/>
        <color theme="1"/>
        <rFont val="Noto Sans CJK SC"/>
        <family val="2"/>
      </rPr>
      <t xml:space="preserve">延後 − </t>
    </r>
    <r>
      <rPr>
        <sz val="11"/>
        <color theme="1"/>
        <rFont val="Calibri"/>
        <family val="2"/>
        <charset val="1"/>
      </rPr>
      <t xml:space="preserve">t D0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（防延遲失效；獨立核對第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</si>
  <si>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欄為文字的格數（須為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</si>
  <si>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K19-2027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</si>
  <si>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</si>
  <si>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K19-2029</t>
  </si>
  <si>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</si>
  <si>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K9</t>
  </si>
  <si>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：各需求情景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  <r>
      <rPr>
        <sz val="11"/>
        <color theme="1"/>
        <rFont val="Noto Sans CJK SC"/>
        <family val="2"/>
      </rPr>
      <t xml:space="preserve">（情景差額為負時可能不成立）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</si>
  <si>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</si>
  <si>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</si>
  <si>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</si>
  <si>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</si>
  <si>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 </t>
    </r>
    <r>
      <rPr>
        <sz val="11"/>
        <color theme="1"/>
        <rFont val="Calibri"/>
        <family val="2"/>
        <charset val="1"/>
      </rPr>
      <t xml:space="preserve">ID</t>
    </r>
  </si>
  <si>
    <t xml:space="preserve">G3</t>
  </si>
  <si>
    <r>
      <rPr>
        <sz val="11"/>
        <color theme="1"/>
        <rFont val="Noto Sans CJK SC"/>
        <family val="2"/>
      </rPr>
      <t xml:space="preserve">純量列標記含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</t>
    </r>
  </si>
  <si>
    <t xml:space="preserve">G3b</t>
  </si>
  <si>
    <r>
      <rPr>
        <sz val="11"/>
        <color theme="1"/>
        <rFont val="Noto Sans CJK SC"/>
        <family val="2"/>
      </rPr>
      <t xml:space="preserve">年度／分攤列標記含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（年度列無低／高欄，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補區間列）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</si>
  <si>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</si>
  <si>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</si>
  <si>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</si>
  <si>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t xml:space="preserve">標『待證據』的輸入列數</t>
  </si>
  <si>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，逐步歸零</t>
    </r>
  </si>
  <si>
    <t xml:space="preserve">G6</t>
  </si>
  <si>
    <t xml:space="preserve">延遲參數仍為佔位值（說明含【佔位】）</t>
  </si>
  <si>
    <t xml:space="preserve">GGOV_Errors</t>
  </si>
  <si>
    <t xml:space="preserve">GGOV_Warn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</si>
  <si>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GL01-01 </t>
    </r>
    <r>
      <rPr>
        <sz val="11"/>
        <color theme="1"/>
        <rFont val="Noto Sans CJK SC"/>
        <family val="2"/>
      </rPr>
      <t xml:space="preserve">起）。判斷類由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決定；工程細節依預設執行者標『預設、可撤回』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</si>
  <si>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</si>
  <si>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決議</t>
  </si>
  <si>
    <t xml:space="preserve">日期</t>
  </si>
  <si>
    <t xml:space="preserve">依據</t>
  </si>
  <si>
    <t xml:space="preserve">狀態</t>
  </si>
  <si>
    <t xml:space="preserve">GL01-01</t>
  </si>
  <si>
    <t xml:space="preserve">工程</t>
  </si>
  <si>
    <r>
      <rPr>
        <sz val="11"/>
        <color theme="1"/>
        <rFont val="Noto Sans CJK SC"/>
        <family val="2"/>
      </rPr>
      <t xml:space="preserve">主口徑（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裁定後）</t>
    </r>
  </si>
  <si>
    <r>
      <rPr>
        <sz val="11"/>
        <color theme="1"/>
        <rFont val="Noto Sans CJK SC"/>
        <family val="2"/>
      </rPr>
      <t xml:space="preserve">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各世代皆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</si>
  <si>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</si>
  <si>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；規劃書 </t>
    </r>
    <r>
      <rPr>
        <sz val="11"/>
        <color theme="1"/>
        <rFont val="Calibri"/>
        <family val="2"/>
        <charset val="1"/>
      </rPr>
      <t xml:space="preserve">r1</t>
    </r>
  </si>
  <si>
    <t xml:space="preserve">執行</t>
  </si>
  <si>
    <t xml:space="preserve">GL01-02</t>
  </si>
  <si>
    <t xml:space="preserve">口徑未說明的兩讀</t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</si>
  <si>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讀法（不換算）；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另列設施讀法（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得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）；公司標設施者一律 </t>
    </r>
    <r>
      <rPr>
        <sz val="11"/>
        <color theme="1"/>
        <rFont val="Calibri"/>
        <family val="2"/>
        <charset val="1"/>
      </rPr>
      <t xml:space="preserve">÷ IF_FacilityGW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</si>
  <si>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</si>
  <si>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t xml:space="preserve">GL01-03</t>
  </si>
  <si>
    <r>
      <rPr>
        <sz val="11"/>
        <color theme="1"/>
        <rFont val="Noto Sans CJK SC"/>
        <family val="2"/>
      </rPr>
      <t xml:space="preserve">年底值補法（第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</si>
  <si>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優先序：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年底輸入；</t>
    </r>
    <r>
      <rPr>
        <sz val="11"/>
        <color theme="1"/>
        <rFont val="Calibri"/>
        <family val="2"/>
        <charset val="1"/>
      </rPr>
      <t xml:space="preserve">(2) 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，或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觀測年＝觀測值＋觀測後至年底的園區上線量；兩已知值間線性內插；最後已知值後＝前年＋當年園區上線量（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）；第一個已知值前留空。旗標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</si>
  <si>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</si>
  <si>
    <t xml:space="preserve">預設、可撤回</t>
  </si>
  <si>
    <t xml:space="preserve">GL01-04</t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</si>
  <si>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時點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</si>
  <si>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月）財年末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置於該財年結束的曆年欄，年底值偏低；資本支出則以財年月數拆成曆年</t>
    </r>
  </si>
  <si>
    <t xml:space="preserve">工作單未規定</t>
  </si>
  <si>
    <t xml:space="preserve">GL01-05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</si>
  <si>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結構</t>
    </r>
  </si>
  <si>
    <r>
      <rPr>
        <sz val="11"/>
        <color theme="1"/>
        <rFont val="Noto Sans CJK SC"/>
        <family val="2"/>
      </rPr>
      <t xml:space="preserve">事件＝園區（</t>
    </r>
    <r>
      <rPr>
        <sz val="11"/>
        <color theme="1"/>
        <rFont val="Calibri"/>
        <family val="2"/>
        <charset val="1"/>
      </rPr>
      <t xml:space="preserve">In 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）＋各玩家各年『未分園區殘差』＋新納入存量（不延遲）；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彙總與 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恆等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</si>
  <si>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</si>
  <si>
    <t xml:space="preserve">GL01-06</t>
  </si>
  <si>
    <r>
      <rPr>
        <sz val="11"/>
        <color theme="1"/>
        <rFont val="Noto Sans CJK SC"/>
        <family val="2"/>
      </rPr>
      <t xml:space="preserve">延遲情景機制（第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</si>
  <si>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只作用於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之後的上線量。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：每筆排定上線量的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dly_d2_y0–y1 </t>
    </r>
    <r>
      <rPr>
        <sz val="11"/>
        <color theme="1"/>
        <rFont val="Noto Sans CJK SC"/>
        <family val="2"/>
      </rPr>
      <t xml:space="preserve">且未確保電力（</t>
    </r>
    <r>
      <rPr>
        <sz val="11"/>
        <color theme="1"/>
        <rFont val="Calibri"/>
        <family val="2"/>
        <charset val="1"/>
      </rPr>
      <t xml:space="preserve">T2 O </t>
    </r>
    <r>
      <rPr>
        <sz val="11"/>
        <color theme="1"/>
        <rFont val="Noto Sans CJK SC"/>
        <family val="2"/>
      </rPr>
      <t xml:space="preserve">欄≠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</si>
  <si>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5.3</t>
    </r>
  </si>
  <si>
    <t xml:space="preserve">GL01-07</t>
  </si>
  <si>
    <r>
      <rPr>
        <sz val="11"/>
        <color theme="1"/>
        <rFont val="Noto Sans CJK SC"/>
        <family val="2"/>
      </rPr>
      <t xml:space="preserve">需求情景與 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規則</t>
    </r>
  </si>
  <si>
    <r>
      <rPr>
        <sz val="11"/>
        <color theme="1"/>
        <rFont val="Calibri"/>
        <family val="2"/>
        <charset val="1"/>
      </rPr>
      <t xml:space="preserve">2024–2027 </t>
    </r>
    <r>
      <rPr>
        <sz val="11"/>
        <color theme="1"/>
        <rFont val="Noto Sans CJK SC"/>
        <family val="2"/>
      </rPr>
      <t xml:space="preserve">各情景同 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以『年底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年增率』由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），取代 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年後站點與目標（</t>
    </r>
    <r>
      <rPr>
        <sz val="11"/>
        <color theme="1"/>
        <rFont val="Calibri"/>
        <family val="2"/>
        <charset val="1"/>
      </rPr>
      <t xml:space="preserve">CoreWeave 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Humain 2030</t>
    </r>
    <r>
      <rPr>
        <sz val="11"/>
        <color theme="1"/>
        <rFont val="Noto Sans CJK SC"/>
        <family val="2"/>
      </rPr>
      <t xml:space="preserve">）。以年新增成長率收斂時，</t>
    </r>
    <r>
      <rPr>
        <sz val="11"/>
        <color theme="1"/>
        <rFont val="Calibri"/>
        <family val="2"/>
        <charset val="1"/>
      </rPr>
      <t xml:space="preserve">2028 Stargate </t>
    </r>
    <r>
      <rPr>
        <sz val="11"/>
        <color theme="1"/>
        <rFont val="Noto Sans CJK SC"/>
        <family val="2"/>
      </rPr>
      <t xml:space="preserve">集中上線使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 −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，故改用年底存量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</si>
  <si>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</si>
  <si>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GL01-08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</si>
  <si>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推算資本支出</t>
    </r>
  </si>
  <si>
    <r>
      <rPr>
        <sz val="11"/>
        <color theme="1"/>
        <rFont val="Calibri"/>
        <family val="2"/>
        <charset val="1"/>
      </rPr>
      <t xml:space="preserve">IF_CapexTotal </t>
    </r>
    <r>
      <rPr>
        <sz val="11"/>
        <color theme="1"/>
        <rFont val="Noto Sans CJK SC"/>
        <family val="2"/>
      </rPr>
      <t xml:space="preserve">拆為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（上線年入帳）與廠房（提前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月，按月數比例分攤到前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年）；非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＝持有比 </t>
    </r>
    <r>
      <rPr>
        <sz val="11"/>
        <color theme="1"/>
        <rFont val="Calibri"/>
        <family val="2"/>
        <charset val="1"/>
      </rPr>
      <t xml:space="preserve">× VR200 IT capex</t>
    </r>
    <r>
      <rPr>
        <sz val="11"/>
        <color theme="1"/>
        <rFont val="Noto Sans CJK SC"/>
        <family val="2"/>
      </rPr>
      <t xml:space="preserve">（借用持有比，近似）；第一個已知年的存量不計資本支出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</si>
  <si>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</t>
    </r>
  </si>
  <si>
    <t xml:space="preserve">GL01-09</t>
  </si>
  <si>
    <t xml:space="preserve">Matrix</t>
  </si>
  <si>
    <r>
      <rPr>
        <sz val="11"/>
        <color theme="1"/>
        <rFont val="Noto Sans CJK SC"/>
        <family val="2"/>
      </rPr>
      <t xml:space="preserve">加『未分配』欄，使列和恆等於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；使用者合計與報導值（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）只作對照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</si>
  <si>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Matrix</t>
    </r>
  </si>
  <si>
    <t xml:space="preserve">GL01-10</t>
  </si>
  <si>
    <t xml:space="preserve">對帳狀態</t>
  </si>
  <si>
    <r>
      <rPr>
        <sz val="11"/>
        <color theme="1"/>
        <rFont val="Noto Sans CJK SC"/>
        <family val="2"/>
      </rPr>
      <t xml:space="preserve">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才判『對得上／偏差』，否則『證據不足』並附比值是否在容許帶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</si>
  <si>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</t>
    </r>
  </si>
  <si>
    <t xml:space="preserve">GL01-13</t>
  </si>
  <si>
    <t xml:space="preserve">園區與合約的取捨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</si>
  <si>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延伸只用有站點與上線年月的機房／雲容量（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）；無站點的合約總量（</t>
    </r>
    <r>
      <rPr>
        <sz val="11"/>
        <color theme="1"/>
        <rFont val="Calibri"/>
        <family val="2"/>
        <charset val="1"/>
      </rPr>
      <t xml:space="preserve">Oracle 4.5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Anthropic–AWS 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Azure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3.5 GW</t>
    </r>
    <r>
      <rPr>
        <sz val="11"/>
        <color theme="1"/>
        <rFont val="Noto Sans CJK SC"/>
        <family val="2"/>
      </rPr>
      <t xml:space="preserve">）只放 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對照，避免與站點重複；晶片合約（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）不入，列 </t>
    </r>
    <r>
      <rPr>
        <sz val="11"/>
        <color theme="1"/>
        <rFont val="Calibri"/>
        <family val="2"/>
        <charset val="1"/>
      </rPr>
      <t xml:space="preserve">Requests R4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</si>
  <si>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</t>
    </r>
  </si>
  <si>
    <t xml:space="preserve">GL01-14</t>
  </si>
  <si>
    <t xml:space="preserve">證據取用</t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</si>
  <si>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段判『屬實』或已更正的列；『錯誤』『無法核對』『未抽查』的站點列在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但納入＝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其他新雲估計與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個股模型值例外採用並標明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</si>
  <si>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2</t>
    </r>
  </si>
  <si>
    <t xml:space="preserve">GL01-15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</si>
  <si>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分配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</si>
  <si>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每列為營運者 → 使用者的比例或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；無揭露者落在『未分配』：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對外（含 </t>
    </r>
    <r>
      <rPr>
        <sz val="11"/>
        <color theme="1"/>
        <rFont val="Calibri"/>
        <family val="2"/>
        <charset val="1"/>
      </rPr>
      <t xml:space="preserve">OpenAI Fairwater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Azure </t>
    </r>
    <r>
      <rPr>
        <sz val="11"/>
        <color theme="1"/>
        <rFont val="Noto Sans CJK SC"/>
        <family val="2"/>
      </rPr>
      <t xml:space="preserve">上線量未揭露）、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全部（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未揭露）、</t>
    </r>
    <r>
      <rPr>
        <sz val="11"/>
        <color theme="1"/>
        <rFont val="Calibri"/>
        <family val="2"/>
        <charset val="1"/>
      </rPr>
      <t xml:space="preserve">Oracle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自用與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、新雲其餘、主權、其他；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（使用者）放『其他』欄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</si>
  <si>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7</t>
    </r>
  </si>
  <si>
    <t xml:space="preserve">GL01-16</t>
  </si>
  <si>
    <r>
      <rPr>
        <sz val="11"/>
        <color theme="1"/>
        <rFont val="Calibri"/>
        <family val="2"/>
        <charset val="1"/>
      </rPr>
      <t xml:space="preserve">Microsoft 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</si>
  <si>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段方法）；區間下緣放寬為 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 </t>
    </r>
    <r>
      <rPr>
        <sz val="11"/>
        <color theme="1"/>
        <rFont val="Noto Sans CJK SC"/>
        <family val="2"/>
      </rPr>
      <t xml:space="preserve">低</t>
    </r>
    <r>
      <rPr>
        <sz val="11"/>
        <color theme="1"/>
        <rFont val="Calibri"/>
        <family val="2"/>
        <charset val="1"/>
      </rPr>
      <t xml:space="preserve">, Guardian 1.2 GW)</t>
    </r>
  </si>
  <si>
    <t xml:space="preserve">GL01-17</t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</si>
  <si>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階段由種子重建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</si>
  <si>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尚在建置，第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階段輸入改寫種子後重建（不以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階段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，否則佔位值會覆蓋證據值）；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起恢復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</t>
    </r>
  </si>
  <si>
    <t xml:space="preserve">GL01-19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</si>
  <si>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資本支出推得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</si>
  <si>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曆年資本支出＝財年值依財年結束月拆分（缺值：最早年之前取最早值；最後年之後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所需資金＝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IT </t>
    </r>
    <r>
      <rPr>
        <sz val="11"/>
        <color theme="1"/>
        <rFont val="Noto Sans CJK SC"/>
        <family val="2"/>
      </rPr>
      <t xml:space="preserve">占比 ＋ 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×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× </t>
    </r>
    <r>
      <rPr>
        <sz val="11"/>
        <color theme="1"/>
        <rFont val="Noto Sans CJK SC"/>
        <family val="2"/>
      </rPr>
      <t xml:space="preserve">前兩年）（建物提前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入帳）；年新增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＝上述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世代加權，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）。主路徑：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七家年新增改用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（差額套用均勻型延遲比例），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收斂規則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</si>
  <si>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</si>
  <si>
    <t xml:space="preserve">GL01-20</t>
  </si>
  <si>
    <t xml:space="preserve">覆蓋率</t>
  </si>
  <si>
    <r>
      <rPr>
        <sz val="11"/>
        <color theme="1"/>
        <rFont val="Calibri"/>
        <family val="2"/>
        <charset val="1"/>
      </rPr>
      <t xml:space="preserve">GIF_Coverage_&lt;yyyy&gt;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MIN(1, </t>
    </r>
    <r>
      <rPr>
        <sz val="11"/>
        <color theme="1"/>
        <rFont val="Noto Sans CJK SC"/>
        <family val="2"/>
      </rPr>
      <t xml:space="preserve">有證據支撐的年新增〔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路徑：輸入、晶片、觀測、內插、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園區、中國 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主路徑年新增〔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；主路徑年新增 ≤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</si>
  <si>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</si>
  <si>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GL01-21</t>
  </si>
  <si>
    <t xml:space="preserve">待決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</si>
  <si>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的廠房與租賃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</si>
  <si>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÷ IF_CapexTotal</t>
    </r>
    <r>
      <rPr>
        <sz val="11"/>
        <color theme="1"/>
        <rFont val="Noto Sans CJK SC"/>
        <family val="2"/>
      </rPr>
      <t xml:space="preserve">（含廠房）。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的建物多由房東出資、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融資租賃不在資本支出：這些公司的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可能低估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（若只 </t>
    </r>
    <r>
      <rPr>
        <sz val="11"/>
        <color theme="1"/>
        <rFont val="Calibri"/>
        <family val="2"/>
        <charset val="1"/>
      </rPr>
      <t xml:space="preserve">÷ IF_CapexIT</t>
    </r>
    <r>
      <rPr>
        <sz val="11"/>
        <color theme="1"/>
        <rFont val="Noto Sans CJK SC"/>
        <family val="2"/>
      </rPr>
      <t xml:space="preserve">，約高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倍）。是否按公司設定廠房自有比例，待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</si>
  <si>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t xml:space="preserve">工程發現</t>
  </si>
  <si>
    <t xml:space="preserve">GL01-22</t>
  </si>
  <si>
    <t xml:space="preserve">『其他』與中國重複</t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</si>
  <si>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）；中國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部分無證據可拆，開關 </t>
    </r>
    <r>
      <rPr>
        <sz val="11"/>
        <color theme="1"/>
        <rFont val="Calibri"/>
        <family val="2"/>
        <charset val="1"/>
      </rPr>
      <t xml:space="preserve">other_incl_china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年底取 </t>
    </r>
    <r>
      <rPr>
        <sz val="11"/>
        <color theme="1"/>
        <rFont val="Calibri"/>
        <family val="2"/>
        <charset val="1"/>
      </rPr>
      <t xml:space="preserve">oth_excn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 [Assumed]</t>
    </r>
    <r>
      <rPr>
        <sz val="11"/>
        <color theme="1"/>
        <rFont val="Noto Sans CJK SC"/>
        <family val="2"/>
      </rPr>
      <t xml:space="preserve">；設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時回到 </t>
    </r>
    <r>
      <rPr>
        <sz val="11"/>
        <color theme="1"/>
        <rFont val="Calibri"/>
        <family val="2"/>
        <charset val="1"/>
      </rPr>
      <t xml:space="preserve">oth_full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1.5–2.5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</si>
  <si>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</si>
  <si>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GL01-23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</si>
  <si>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缺值年份</t>
    </r>
  </si>
  <si>
    <r>
      <rPr>
        <sz val="11"/>
        <color theme="1"/>
        <rFont val="Noto Sans CJK SC"/>
        <family val="2"/>
      </rPr>
      <t xml:space="preserve">資本支出最早已知年之前不回填：曆年資本支出所需財年值缺漏即留空，該年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跳過（主路徑改用 甲）。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FY2024–25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事實總帳補入；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未有，留空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</si>
  <si>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</si>
  <si>
    <t xml:space="preserve">GL01-24</t>
  </si>
  <si>
    <t xml:space="preserve">修正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</si>
  <si>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已知延遲月空白</t>
    </r>
  </si>
  <si>
    <r>
      <rPr>
        <sz val="11"/>
        <color theme="1"/>
        <rFont val="Calibri"/>
        <family val="2"/>
        <charset val="1"/>
      </rPr>
      <t xml:space="preserve">Pipeline J </t>
    </r>
    <r>
      <rPr>
        <sz val="11"/>
        <color theme="1"/>
        <rFont val="Noto Sans CJK SC"/>
        <family val="2"/>
      </rPr>
      <t xml:space="preserve">欄改 </t>
    </r>
    <r>
      <rPr>
        <sz val="11"/>
        <color theme="1"/>
        <rFont val="Calibri"/>
        <family val="2"/>
        <charset val="1"/>
      </rPr>
      <t xml:space="preserve">=N(In!M…)</t>
    </r>
    <r>
      <rPr>
        <sz val="11"/>
        <color theme="1"/>
        <rFont val="Noto Sans CJK SC"/>
        <family val="2"/>
      </rPr>
      <t xml:space="preserve">；原公式空白回傳文字 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SUMPRODUCT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(J&gt;0) </t>
    </r>
    <r>
      <rPr>
        <sz val="11"/>
        <color theme="1"/>
        <rFont val="Noto Sans CJK SC"/>
        <family val="2"/>
      </rPr>
      <t xml:space="preserve">判為 </t>
    </r>
    <r>
      <rPr>
        <sz val="11"/>
        <color theme="1"/>
        <rFont val="Calibri"/>
        <family val="2"/>
        <charset val="1"/>
      </rPr>
      <t xml:space="preserve">TRUE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園區延遲從未套用（獨立核對第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Checks K18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&gt; 0</t>
    </r>
  </si>
  <si>
    <r>
      <rPr>
        <sz val="11"/>
        <color theme="1"/>
        <rFont val="Noto Sans CJK SC"/>
        <family val="2"/>
      </rPr>
      <t xml:space="preserve">獨立核對 </t>
    </r>
    <r>
      <rPr>
        <sz val="11"/>
        <color theme="1"/>
        <rFont val="Calibri"/>
        <family val="2"/>
        <charset val="1"/>
      </rPr>
      <t xml:space="preserve">/tmp/claude-0/gw_review_excel.md</t>
    </r>
  </si>
  <si>
    <t xml:space="preserve">GL01-11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</si>
  <si>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</si>
  <si>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不計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</si>
  <si>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</t>
    </r>
  </si>
  <si>
    <t xml:space="preserve">GL01-12</t>
  </si>
  <si>
    <r>
      <rPr>
        <sz val="11"/>
        <color theme="1"/>
        <rFont val="Noto Sans CJK SC"/>
        <family val="2"/>
      </rPr>
      <t xml:space="preserve">延遲參數 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2023–25 NonNV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</si>
  <si>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佔位值（</t>
    </r>
    <r>
      <rPr>
        <sz val="11"/>
        <color theme="1"/>
        <rFont val="Calibri"/>
        <family val="2"/>
        <charset val="1"/>
      </rPr>
      <t xml:space="preserve">In S1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Y6 nnv_mkt</t>
    </r>
    <r>
      <rPr>
        <sz val="11"/>
        <color theme="1"/>
        <rFont val="Noto Sans CJK SC"/>
        <family val="2"/>
      </rPr>
      <t xml:space="preserve">）；待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</si>
  <si>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端建置指示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</si>
  <si>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</t>
    </r>
    <r>
      <rPr>
        <sz val="11"/>
        <color theme="1"/>
        <rFont val="Calibri"/>
        <family val="2"/>
        <charset val="1"/>
      </rPr>
      <t xml:space="preserve">gwledger/evidence_raw/*.csv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端複核後整理入本頁；含不採納者）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</si>
  <si>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tools/import_evidence.py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產生；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段判定以 </t>
    </r>
    <r>
      <rPr>
        <sz val="11"/>
        <color theme="1"/>
        <rFont val="Calibri"/>
        <family val="2"/>
        <charset val="1"/>
      </rPr>
      <t xml:space="preserve">C_review.md </t>
    </r>
    <r>
      <rPr>
        <sz val="11"/>
        <color theme="1"/>
        <rFont val="Noto Sans CJK SC"/>
        <family val="2"/>
      </rPr>
      <t xml:space="preserve">為準。只有『屬實』與『小誤（已更正）』可入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；『錯誤』『無法核對』『未抽查』只列於此（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或只作說明）。對應鍵＝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頁說明欄引用本列的鍵</t>
    </r>
  </si>
  <si>
    <t xml:space="preserve">玩家／範圍</t>
  </si>
  <si>
    <t xml:space="preserve">主張（摘要）</t>
  </si>
  <si>
    <t xml:space="preserve">值</t>
  </si>
  <si>
    <t xml:space="preserve">as_of</t>
  </si>
  <si>
    <t xml:space="preserve">標記（原檔）</t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</si>
  <si>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段判定</t>
    </r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</si>
  <si>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段說明／更正</t>
    </r>
  </si>
  <si>
    <r>
      <rPr>
        <b val="true"/>
        <sz val="11"/>
        <rFont val="Noto Sans CJK SC"/>
        <family val="2"/>
      </rPr>
      <t xml:space="preserve">對應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鍵</t>
    </r>
  </si>
  <si>
    <t xml:space="preserve">採用</t>
  </si>
  <si>
    <t xml:space="preserve">網址</t>
  </si>
  <si>
    <t xml:space="preserve">A#2</t>
  </si>
  <si>
    <t xml:space="preserve">Microsoft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</si>
  <si>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新增產能（全部負載）｜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</si>
  <si>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（下限，年增量）</t>
    </r>
  </si>
  <si>
    <t xml:space="preserve">unknown</t>
  </si>
  <si>
    <t xml:space="preserve">2025-06-30</t>
  </si>
  <si>
    <t xml:space="preserve">[Interested-party]</t>
  </si>
  <si>
    <t xml:space="preserve">無法核對</t>
  </si>
  <si>
    <t xml:space="preserve">https://www.microsoft.com/en-us/investor/events/fy-2025/earnings-fy-2025-q4</t>
  </si>
  <si>
    <t xml:space="preserve">A#3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</si>
  <si>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FY26Q2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</si>
  <si>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（約，季增量）</t>
    </r>
  </si>
  <si>
    <t xml:space="preserve">FY26Q2</t>
  </si>
  <si>
    <t xml:space="preserve">屬實</t>
  </si>
  <si>
    <t xml:space="preserve">https://www.microsoft.com/en-us/investor/events/fy-2026/earnings-fy-2026-q2</t>
  </si>
  <si>
    <t xml:space="preserve">A#4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</si>
  <si>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</si>
  <si>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FY26Q3</t>
  </si>
  <si>
    <t xml:space="preserve">https://www.microsoft.com/en-us/investor/events/fy-2026/earnings-fy-2026-q3</t>
  </si>
  <si>
    <t xml:space="preserve">A#5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</si>
  <si>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</si>
  <si>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FY26Q4</t>
  </si>
  <si>
    <t xml:space="preserve">https://www.microsoft.com/en-us/investor/events/fy-2026/earnings-fy-2026-q4</t>
  </si>
  <si>
    <t xml:space="preserve">A#6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</si>
  <si>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法說：兩年容量翻倍｜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</si>
  <si>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FY26→FY28</t>
    </r>
    <r>
      <rPr>
        <sz val="11"/>
        <color theme="1"/>
        <rFont val="Noto Sans CJK SC"/>
        <family val="2"/>
      </rPr>
      <t xml:space="preserve">）</t>
    </r>
  </si>
  <si>
    <t xml:space="preserve">2026-07-29</t>
  </si>
  <si>
    <t xml:space="preserve">https://www.marketbeat.com/instant-alerts/microsoft-q4-earnings-call-highlights-2026-07-29/</t>
  </si>
  <si>
    <t xml:space="preserve">A#7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</si>
  <si>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｜全公司自有＋租賃總容量（不含 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</si>
  <si>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12000 MW</t>
    </r>
    <r>
      <rPr>
        <sz val="11"/>
        <color theme="1"/>
        <rFont val="Noto Sans CJK SC"/>
        <family val="2"/>
      </rPr>
      <t xml:space="preserve">（約）</t>
    </r>
  </si>
  <si>
    <t xml:space="preserve">2026-09</t>
  </si>
  <si>
    <t xml:space="preserve">https://aiweekly.co/alerts/microsoft-plans-to-grow-data-center-capacity-from-12gw-to-38gw-by-2032-a-third</t>
  </si>
  <si>
    <t xml:space="preserve">A#8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</si>
  <si>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</si>
  <si>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38000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）</t>
    </r>
  </si>
  <si>
    <t xml:space="preserve">A#9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</si>
  <si>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｜全公司已安裝容量（賣方估）｜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</si>
  <si>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，約）</t>
    </r>
  </si>
  <si>
    <t xml:space="preserve">2024-06-30</t>
  </si>
  <si>
    <t xml:space="preserve">未抽查</t>
  </si>
  <si>
    <t xml:space="preserve">https://finance.yahoo.com/markets/stocks/articles/morgan-stanley-resets-microsoft-stock-231700522.html</t>
  </si>
  <si>
    <t xml:space="preserve">A#10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</si>
  <si>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</si>
  <si>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861.5 MW</t>
    </r>
    <r>
      <rPr>
        <sz val="11"/>
        <color theme="1"/>
        <rFont val="Noto Sans CJK SC"/>
        <family val="2"/>
      </rPr>
      <t xml:space="preserve">（晶片功耗）</t>
    </r>
  </si>
  <si>
    <t xml:space="preserve">2024Q4</t>
  </si>
  <si>
    <t xml:space="preserve">[Analogy]</t>
  </si>
  <si>
    <t xml:space="preserve">https://epoch.ai/data/ai_chip_owners_cumulative_by_designer.csv</t>
  </si>
  <si>
    <t xml:space="preserve">A#11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</si>
  <si>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</si>
  <si>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2015.7 MW</t>
    </r>
    <r>
      <rPr>
        <sz val="11"/>
        <color theme="1"/>
        <rFont val="Noto Sans CJK SC"/>
        <family val="2"/>
      </rPr>
      <t xml:space="preserve">（晶片功耗）</t>
    </r>
  </si>
  <si>
    <t xml:space="preserve">2025Q4</t>
  </si>
  <si>
    <t xml:space="preserve">A#12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</si>
  <si>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</si>
  <si>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1955.22 MW</t>
    </r>
    <r>
      <rPr>
        <sz val="11"/>
        <color theme="1"/>
        <rFont val="Noto Sans CJK SC"/>
        <family val="2"/>
      </rPr>
      <t xml:space="preserve">（晶片功耗）</t>
    </r>
  </si>
  <si>
    <t xml:space="preserve">2026Q1</t>
  </si>
  <si>
    <t xml:space="preserve">A#13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</si>
  <si>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在役（不含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</si>
  <si>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4500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3,500–5,500</t>
    </r>
    <r>
      <rPr>
        <sz val="11"/>
        <color theme="1"/>
        <rFont val="Noto Sans CJK SC"/>
        <family val="2"/>
      </rPr>
      <t xml:space="preserve">）</t>
    </r>
  </si>
  <si>
    <t xml:space="preserve">[Derived]</t>
  </si>
  <si>
    <r>
      <rPr>
        <sz val="11"/>
        <color theme="1"/>
        <rFont val="Noto Sans CJK SC"/>
        <family val="2"/>
      </rPr>
      <t xml:space="preserve">引用（見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說明：值另有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來源，或為更正／排除註記）</t>
    </r>
  </si>
  <si>
    <t xml:space="preserve">/root/company-models/microsoft/data/microsoft_facts_20261008.json</t>
  </si>
  <si>
    <t xml:space="preserve">A#14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</si>
  <si>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</si>
  <si>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800–1,500</t>
    </r>
    <r>
      <rPr>
        <sz val="11"/>
        <color theme="1"/>
        <rFont val="Noto Sans CJK SC"/>
        <family val="2"/>
      </rPr>
      <t xml:space="preserve">）</t>
    </r>
  </si>
  <si>
    <t xml:space="preserve">A#15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</si>
  <si>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</si>
  <si>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MW-IT</t>
  </si>
  <si>
    <t xml:space="preserve">2026-06-14</t>
  </si>
  <si>
    <t xml:space="preserve">https://epoch.ai/data/ai-data-centers/directory/microsoft-fairwater-atlanta</t>
  </si>
  <si>
    <t xml:space="preserve">A#16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</si>
  <si>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Mount Pleasant</t>
    </r>
    <r>
      <rPr>
        <sz val="11"/>
        <color theme="1"/>
        <rFont val="Noto Sans CJK SC"/>
        <family val="2"/>
      </rPr>
      <t xml:space="preserve">）一期｜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</si>
  <si>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MW-IT</t>
  </si>
  <si>
    <t xml:space="preserve">2026-10-05</t>
  </si>
  <si>
    <t xml:space="preserve">小誤（已更正）</t>
  </si>
  <si>
    <t xml:space="preserve">as_of 2026-05-15</t>
  </si>
  <si>
    <t xml:space="preserve">https://epoch.ai/data/ai-data-centers/directory/microsoft-fairwater-wisconsin</t>
  </si>
  <si>
    <t xml:space="preserve">A#17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</si>
  <si>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</si>
  <si>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2263 MW-IT</t>
  </si>
  <si>
    <t xml:space="preserve">A#18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</si>
  <si>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鄰近園區）｜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</si>
  <si>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900 MW</t>
  </si>
  <si>
    <t xml:space="preserve">2026-03-30</t>
  </si>
  <si>
    <t xml:space="preserve">https://w.media/microsoft-to-add-900-mw-to-ai-campus-in-abilene-texas/</t>
  </si>
  <si>
    <t xml:space="preserve">A#19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</si>
  <si>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的算力承諾｜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</si>
  <si>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（上限，另有選擇權再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</t>
    </r>
  </si>
  <si>
    <t xml:space="preserve">2025-11-18</t>
  </si>
  <si>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（無再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選擇權）</t>
    </r>
  </si>
  <si>
    <t xml:space="preserve">https://computeprices.com/deals/anthropic-microsoft-azure-2025-11</t>
  </si>
  <si>
    <t xml:space="preserve">A#20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</si>
  <si>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</si>
  <si>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（未揭露）</t>
    </r>
  </si>
  <si>
    <t xml:space="preserve">2025-10-28</t>
  </si>
  <si>
    <t xml:space="preserve">[Verified]</t>
  </si>
  <si>
    <t xml:space="preserve">https://www.sec.gov/Archives/edgar/data/789019/000119312525256321/msft-20250930.htm</t>
  </si>
  <si>
    <t xml:space="preserve">A#21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</si>
  <si>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資本支出預期｜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</si>
  <si>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175 US$B</t>
    </r>
    <r>
      <rPr>
        <sz val="11"/>
        <color theme="1"/>
        <rFont val="Noto Sans CJK SC"/>
        <family val="2"/>
      </rPr>
      <t xml:space="preserve">（約；租賃改分類後）</t>
    </r>
  </si>
  <si>
    <r>
      <rPr>
        <sz val="11"/>
        <color theme="1"/>
        <rFont val="Noto Sans CJK SC"/>
        <family val="2"/>
      </rPr>
      <t xml:space="preserve">差額原因另含耐用年限 </t>
    </r>
    <r>
      <rPr>
        <sz val="11"/>
        <color theme="1"/>
        <rFont val="Calibri"/>
        <family val="2"/>
        <charset val="1"/>
      </rPr>
      <t xml:space="preserve">15→25 </t>
    </r>
    <r>
      <rPr>
        <sz val="11"/>
        <color theme="1"/>
        <rFont val="Noto Sans CJK SC"/>
        <family val="2"/>
      </rPr>
      <t xml:space="preserve">年</t>
    </r>
  </si>
  <si>
    <t xml:space="preserve">https://www.cfodive.com/news/microsoft-holds-line-ai-spending-plans/826648/</t>
  </si>
  <si>
    <t xml:space="preserve">A#22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</si>
  <si>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法說｜</t>
    </r>
    <r>
      <rPr>
        <sz val="11"/>
        <color theme="1"/>
        <rFont val="Calibri"/>
        <family val="2"/>
        <charset val="1"/>
      </rPr>
      <t xml:space="preserve">capex</t>
    </r>
  </si>
  <si>
    <t xml:space="preserve">[Assumed]</t>
  </si>
  <si>
    <t xml:space="preserve">https://finviz.com/news/400058/microsoft-announces-quarterly-earnings-release-date</t>
  </si>
  <si>
    <t xml:space="preserve">A#23</t>
  </si>
  <si>
    <t xml:space="preserve">Alphabet/Google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</si>
  <si>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</si>
  <si>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1298.3 MW</t>
    </r>
    <r>
      <rPr>
        <sz val="11"/>
        <color theme="1"/>
        <rFont val="Noto Sans CJK SC"/>
        <family val="2"/>
      </rPr>
      <t xml:space="preserve">（晶片功耗）</t>
    </r>
  </si>
  <si>
    <t xml:space="preserve">A#24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</si>
  <si>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</si>
  <si>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2953.2 MW</t>
    </r>
    <r>
      <rPr>
        <sz val="11"/>
        <color theme="1"/>
        <rFont val="Noto Sans CJK SC"/>
        <family val="2"/>
      </rPr>
      <t xml:space="preserve">（晶片功耗）</t>
    </r>
  </si>
  <si>
    <t xml:space="preserve">A#25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</si>
  <si>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</si>
  <si>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4873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4,134–5,611</t>
    </r>
    <r>
      <rPr>
        <sz val="11"/>
        <color theme="1"/>
        <rFont val="Noto Sans CJK SC"/>
        <family val="2"/>
      </rPr>
      <t xml:space="preserve">）</t>
    </r>
  </si>
  <si>
    <t xml:space="preserve">2025-12-31</t>
  </si>
  <si>
    <t xml:space="preserve">/root/company-models/alphabet/data/alphabet_facts_20261008.json</t>
  </si>
  <si>
    <t xml:space="preserve">A#26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</si>
  <si>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</si>
  <si>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6337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5,012–7,891</t>
    </r>
    <r>
      <rPr>
        <sz val="11"/>
        <color theme="1"/>
        <rFont val="Noto Sans CJK SC"/>
        <family val="2"/>
      </rPr>
      <t xml:space="preserve">）</t>
    </r>
  </si>
  <si>
    <t xml:space="preserve">A#27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</si>
  <si>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｜全公司資料中心平均負載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</si>
  <si>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4840 MW</t>
    </r>
    <r>
      <rPr>
        <sz val="11"/>
        <color theme="1"/>
        <rFont val="Noto Sans CJK SC"/>
        <family val="2"/>
      </rPr>
      <t xml:space="preserve">（設施，年平均）</t>
    </r>
  </si>
  <si>
    <t xml:space="preserve">facility</t>
  </si>
  <si>
    <t xml:space="preserve">https://en.paperjam.lu/article/googles-electricity-consumption-rose-by-37-in-2025</t>
  </si>
  <si>
    <t xml:space="preserve">A#28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</si>
  <si>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Mesa, AZ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</si>
  <si>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183 MW-IT</t>
  </si>
  <si>
    <t xml:space="preserve">2026-08-15</t>
  </si>
  <si>
    <t xml:space="preserve">https://epoch.ai/data/ai-data-centers/directory/google-mesa</t>
  </si>
  <si>
    <t xml:space="preserve">A#29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</si>
  <si>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</si>
  <si>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（下限，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</si>
  <si>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2025-10-23</t>
  </si>
  <si>
    <r>
      <rPr>
        <sz val="11"/>
        <color theme="1"/>
        <rFont val="Calibri"/>
        <family val="2"/>
        <charset val="1"/>
      </rPr>
      <t xml:space="preserve">ctr_googl_ant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al_googl_ant</t>
    </r>
  </si>
  <si>
    <t xml:space="preserve">https://www.anthropic.com/news/expanding-our-use-of-google-cloud-tpus-and-services</t>
  </si>
  <si>
    <t xml:space="preserve">A#30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</si>
  <si>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次世代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</si>
  <si>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3500 MW</t>
  </si>
  <si>
    <t xml:space="preserve">2026-04-06</t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</si>
  <si>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（統一；原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</si>
  <si>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原頁被擋；標記統一為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兩段原不一致）</t>
    </r>
  </si>
  <si>
    <t xml:space="preserve">https://www.boardroomalpha.com/sec/avgo-8-k-2026-04-06-0001193125-26-144028</t>
  </si>
  <si>
    <t xml:space="preserve">A#31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</si>
  <si>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Google–Blackstone TPU </t>
    </r>
    <r>
      <rPr>
        <sz val="11"/>
        <color theme="1"/>
        <rFont val="Noto Sans CJK SC"/>
        <family val="2"/>
      </rPr>
      <t xml:space="preserve">雲合資｜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</si>
  <si>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 MW</t>
  </si>
  <si>
    <t xml:space="preserve">2026-05</t>
  </si>
  <si>
    <t xml:space="preserve">引用（未入值）</t>
  </si>
  <si>
    <t xml:space="preserve">https://xenospectrum.com/en/google-tpu-agi-allocation/</t>
  </si>
  <si>
    <t xml:space="preserve">A#32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</si>
  <si>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系統銷售給客戶自建機房｜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</si>
  <si>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multiple GW</t>
    </r>
    <r>
      <rPr>
        <sz val="11"/>
        <color theme="1"/>
        <rFont val="Noto Sans CJK SC"/>
        <family val="2"/>
      </rPr>
      <t xml:space="preserve">，未量化）</t>
    </r>
  </si>
  <si>
    <t xml:space="preserve">https://www.sec.gov/Archives/edgar/data/1652044/000165204426000071/goog-20260630.htm</t>
  </si>
  <si>
    <t xml:space="preserve">A#33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</si>
  <si>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</si>
  <si>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226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</si>
  <si>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</t>
    </r>
  </si>
  <si>
    <t xml:space="preserve">錯誤</t>
  </si>
  <si>
    <r>
      <rPr>
        <sz val="11"/>
        <color theme="1"/>
        <rFont val="Noto Sans CJK SC"/>
        <family val="2"/>
      </rPr>
      <t xml:space="preserve">方向寫反：營運者＝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）；不計入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GW</t>
    </r>
  </si>
  <si>
    <t xml:space="preserve">https://www.sec.gov/Archives/edgar/data/1181412/000162828026041150/spacexagreementfwp.htm</t>
  </si>
  <si>
    <t xml:space="preserve">A#34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</si>
  <si>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</si>
  <si>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195–205 US$B</t>
  </si>
  <si>
    <t xml:space="preserve">2026-07-22</t>
  </si>
  <si>
    <t xml:space="preserve">https://w.media/ai-infrastructure-demand-pushes-alphabets-2026-capex-guidance-to-us-205-billion/</t>
  </si>
  <si>
    <t xml:space="preserve">A#35</t>
  </si>
  <si>
    <t xml:space="preserve">Amazon/AWS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</si>
  <si>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截至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</si>
  <si>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3800 MW</t>
    </r>
    <r>
      <rPr>
        <sz val="11"/>
        <color theme="1"/>
        <rFont val="Noto Sans CJK SC"/>
        <family val="2"/>
      </rPr>
      <t xml:space="preserve">（年增量）</t>
    </r>
  </si>
  <si>
    <t xml:space="preserve">2025-09-30</t>
  </si>
  <si>
    <t xml:space="preserve">https://www.sec.gov/Archives/edgar/data/1018724/000101872425000121/amzn-20250930xex991.htm</t>
  </si>
  <si>
    <t xml:space="preserve">A#36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</si>
  <si>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</si>
  <si>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3900 MW</t>
    </r>
    <r>
      <rPr>
        <sz val="11"/>
        <color theme="1"/>
        <rFont val="Noto Sans CJK SC"/>
        <family val="2"/>
      </rPr>
      <t xml:space="preserve">（年增量）</t>
    </r>
  </si>
  <si>
    <t xml:space="preserve">https://www.aol.com/finance/amazon-amzn-q4-2025-earnings-005233264.html</t>
  </si>
  <si>
    <t xml:space="preserve">A#37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</si>
  <si>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｜全公司電力容量目標｜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</si>
  <si>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年底）</t>
    </r>
  </si>
  <si>
    <t xml:space="preserve">2026-07-30</t>
  </si>
  <si>
    <t xml:space="preserve">https://fortune.com/2026/07/30/andy-jassy-amazon-capex-demand-aws-pga-tour/</t>
  </si>
  <si>
    <t xml:space="preserve">A#38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</si>
  <si>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</si>
  <si>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616.0 MW</t>
    </r>
    <r>
      <rPr>
        <sz val="11"/>
        <color theme="1"/>
        <rFont val="Noto Sans CJK SC"/>
        <family val="2"/>
      </rPr>
      <t xml:space="preserve">（晶片功耗）</t>
    </r>
  </si>
  <si>
    <t xml:space="preserve">A#39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</si>
  <si>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</si>
  <si>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1672.5 MW</t>
    </r>
    <r>
      <rPr>
        <sz val="11"/>
        <color theme="1"/>
        <rFont val="Noto Sans CJK SC"/>
        <family val="2"/>
      </rPr>
      <t xml:space="preserve">（晶片功耗）</t>
    </r>
  </si>
  <si>
    <t xml:space="preserve">A#40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</si>
  <si>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</si>
  <si>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2600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2,000–3,300</t>
    </r>
    <r>
      <rPr>
        <sz val="11"/>
        <color theme="1"/>
        <rFont val="Noto Sans CJK SC"/>
        <family val="2"/>
      </rPr>
      <t xml:space="preserve">）</t>
    </r>
  </si>
  <si>
    <t xml:space="preserve">/root/company-models/amazon/data/amazon_facts_20261008.json</t>
  </si>
  <si>
    <t xml:space="preserve">A#41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</si>
  <si>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Carlisle, 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Rainier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</si>
  <si>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MW-IT</t>
  </si>
  <si>
    <t xml:space="preserve">2026-10-19</t>
  </si>
  <si>
    <r>
      <rPr>
        <sz val="11"/>
        <color theme="1"/>
        <rFont val="Calibri"/>
        <family val="2"/>
        <charset val="1"/>
      </rPr>
      <t xml:space="preserve">al_amzn_ant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cp_amzn_nc2</t>
    </r>
  </si>
  <si>
    <t xml:space="preserve">https://epoch.ai/data/ai-data-centers/directory/anthropic-amazon-new-carlisle</t>
  </si>
  <si>
    <t xml:space="preserve">A#42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</si>
  <si>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</si>
  <si>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2200 MW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棟）</t>
    </r>
  </si>
  <si>
    <t xml:space="preserve">2025-10-29</t>
  </si>
  <si>
    <t xml:space="preserve">https://convergedigest.com/aws-activates-project-rainier-data-center-campus/</t>
  </si>
  <si>
    <t xml:space="preserve">A#43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</si>
  <si>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Ridgeland,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</si>
  <si>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228 MW-IT</t>
  </si>
  <si>
    <t xml:space="preserve">2026-05-15</t>
  </si>
  <si>
    <t xml:space="preserve">https://epoch.ai/data/ai-data-centers/directory/amazon-ridgeland</t>
  </si>
  <si>
    <t xml:space="preserve">A#44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</si>
  <si>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Mega Site,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</si>
  <si>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284 MW-IT</t>
  </si>
  <si>
    <t xml:space="preserve">2025-06-23</t>
  </si>
  <si>
    <t xml:space="preserve">https://epoch.ai/data/ai-data-centers/directory/amazon-madison-mega-site</t>
  </si>
  <si>
    <t xml:space="preserve">A#45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</si>
  <si>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擴大合約｜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</si>
  <si>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（上限）</t>
    </r>
  </si>
  <si>
    <t xml:space="preserve">2026-04-20</t>
  </si>
  <si>
    <r>
      <rPr>
        <sz val="11"/>
        <color theme="1"/>
        <rFont val="Noto Sans CJK SC"/>
        <family val="2"/>
      </rPr>
      <t xml:space="preserve">標記改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數為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自述／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</si>
  <si>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https://www.sec.gov/Archives/edgar/data/1018724/000101872426000026/amzn-20260630.htm</t>
  </si>
  <si>
    <t xml:space="preserve">A#46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</si>
  <si>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Trainium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</si>
  <si>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（約）</t>
    </r>
  </si>
  <si>
    <t xml:space="preserve">2026-04-30</t>
  </si>
  <si>
    <t xml:space="preserve">https://www.sec.gov/Archives/edgar/data/1018724/000101872426000012/amzn-20260331xex991.htm</t>
  </si>
  <si>
    <t xml:space="preserve">A#47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</si>
  <si>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NVIDIA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</si>
  <si>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2025-11-03</t>
  </si>
  <si>
    <t xml:space="preserve">https://www.datacenterdynamics.com/en/news/openai-signs-38bn-multi-year-agreement-with-aws-for-access-to-nvidia-gb200s-and-gb300s/</t>
  </si>
  <si>
    <t xml:space="preserve">A#48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</si>
  <si>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Wink, TX</t>
    </r>
    <r>
      <rPr>
        <sz val="11"/>
        <color theme="1"/>
        <rFont val="Noto Sans CJK SC"/>
        <family val="2"/>
      </rPr>
      <t xml:space="preserve">）租予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</si>
  <si>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216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300 MW gross</t>
    </r>
    <r>
      <rPr>
        <sz val="11"/>
        <color theme="1"/>
        <rFont val="Noto Sans CJK SC"/>
        <family val="2"/>
      </rPr>
      <t xml:space="preserve">）</t>
    </r>
  </si>
  <si>
    <t xml:space="preserve">A#49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</si>
  <si>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新增容量（賣方估）｜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</si>
  <si>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6000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）</t>
    </r>
  </si>
  <si>
    <t xml:space="preserve">2026-08-18</t>
  </si>
  <si>
    <t xml:space="preserve">https://invezz.com/news/2026/08/18/could-amazon-stock-double-by-end-of-next-year-heres-what-morgan-stanley-says/</t>
  </si>
  <si>
    <t xml:space="preserve">A#50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</si>
  <si>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</si>
  <si>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220 US$B</t>
    </r>
    <r>
      <rPr>
        <sz val="11"/>
        <color theme="1"/>
        <rFont val="Noto Sans CJK SC"/>
        <family val="2"/>
      </rPr>
      <t xml:space="preserve">（約）</t>
    </r>
  </si>
  <si>
    <t xml:space="preserve">https://www.marketbeat.com/instant-alerts/amazoncom-q2-earnings-call-highlights-2026-07-30/</t>
  </si>
  <si>
    <t xml:space="preserve">A#51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</si>
  <si>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</si>
  <si>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523.5 MW</t>
    </r>
    <r>
      <rPr>
        <sz val="11"/>
        <color theme="1"/>
        <rFont val="Noto Sans CJK SC"/>
        <family val="2"/>
      </rPr>
      <t xml:space="preserve">（晶片功耗）</t>
    </r>
  </si>
  <si>
    <t xml:space="preserve">A#52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</si>
  <si>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</si>
  <si>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1338.7 MW</t>
    </r>
    <r>
      <rPr>
        <sz val="11"/>
        <color theme="1"/>
        <rFont val="Noto Sans CJK SC"/>
        <family val="2"/>
      </rPr>
      <t xml:space="preserve">（晶片功耗）</t>
    </r>
  </si>
  <si>
    <t xml:space="preserve">A#53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</si>
  <si>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</si>
  <si>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1135.79 MW</t>
    </r>
    <r>
      <rPr>
        <sz val="11"/>
        <color theme="1"/>
        <rFont val="Noto Sans CJK SC"/>
        <family val="2"/>
      </rPr>
      <t xml:space="preserve">（晶片功耗）</t>
    </r>
  </si>
  <si>
    <t xml:space="preserve">A#54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</si>
  <si>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｜全公司資料中心用電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</si>
  <si>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2062 MW</t>
    </r>
    <r>
      <rPr>
        <sz val="11"/>
        <color theme="1"/>
        <rFont val="Noto Sans CJK SC"/>
        <family val="2"/>
      </rPr>
      <t xml:space="preserve">（設施，年平均）</t>
    </r>
  </si>
  <si>
    <t xml:space="preserve">https://sustainability.atmeta.com/asset/2025-environmental-data-index</t>
  </si>
  <si>
    <t xml:space="preserve">A#55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</si>
  <si>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Albany, OH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</si>
  <si>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471 MW-IT</t>
  </si>
  <si>
    <r>
      <rPr>
        <sz val="11"/>
        <color theme="1"/>
        <rFont val="Calibri"/>
        <family val="2"/>
        <charset val="1"/>
      </rPr>
      <t xml:space="preserve">cp_meta_pro1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cp_meta_pro4</t>
    </r>
  </si>
  <si>
    <t xml:space="preserve">https://epoch.ai/data/ai-data-centers/directory/meta-prometheus</t>
  </si>
  <si>
    <t xml:space="preserve">A#56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</si>
  <si>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</si>
  <si>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目標）</t>
    </r>
  </si>
  <si>
    <t xml:space="preserve">https://cryptobriefing.com/meta-prometheus-supercluster-ohio-ai-training/</t>
  </si>
  <si>
    <t xml:space="preserve">A#57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</si>
  <si>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Richland Parish, LA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</si>
  <si>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1632 MW-IT</t>
    </r>
    <r>
      <rPr>
        <sz val="11"/>
        <color theme="1"/>
        <rFont val="Noto Sans CJK SC"/>
        <family val="2"/>
      </rPr>
      <t xml:space="preserve">（一期）</t>
    </r>
  </si>
  <si>
    <t xml:space="preserve">2026-09-21</t>
  </si>
  <si>
    <t xml:space="preserve">https://epoch.ai/data/ai-data-centers/directory/meta-hyperion</t>
  </si>
  <si>
    <t xml:space="preserve">A#58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</si>
  <si>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</si>
  <si>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</si>
  <si>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2026-07-13</t>
  </si>
  <si>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座燃氣電廠；租金起付日不在原文；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屬實</t>
    </r>
  </si>
  <si>
    <r>
      <rPr>
        <sz val="11"/>
        <color theme="1"/>
        <rFont val="Calibri"/>
        <family val="2"/>
        <charset val="1"/>
      </rPr>
      <t xml:space="preserve">cp_meta_hyp1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cp_meta_hyp2</t>
    </r>
  </si>
  <si>
    <t xml:space="preserve">https://qz.com/meta-louisiana-hyperion-data-center-expansion-5-gigawatts-071326</t>
  </si>
  <si>
    <t xml:space="preserve">A#59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</si>
  <si>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Paso,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</si>
  <si>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capacity</t>
    </r>
    <r>
      <rPr>
        <sz val="11"/>
        <color theme="1"/>
        <rFont val="Noto Sans CJK SC"/>
        <family val="2"/>
      </rPr>
      <t xml:space="preserve">）</t>
    </r>
  </si>
  <si>
    <t xml:space="preserve">2026-07-28</t>
  </si>
  <si>
    <t xml:space="preserve">https://s21.q4cdn.com/399680738/files/doc_news/Meta-Announces-New-Strategic-Venture-with-BlackRock-to-Develop-Data-Center-in-El-Paso-2026.pdf</t>
  </si>
  <si>
    <t xml:space="preserve">A#60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</si>
  <si>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合約（兩筆）｜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</si>
  <si>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2026-04-09</t>
  </si>
  <si>
    <t xml:space="preserve">https://www.datacenterdynamics.com/en/news/meta-signs-21bn-ai-infrastructure-contract-with-coreweave/</t>
  </si>
  <si>
    <t xml:space="preserve">A#61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</si>
  <si>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</si>
  <si>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2026-03-16</t>
  </si>
  <si>
    <t xml:space="preserve">https://computeprices.com/deals/meta-nebius-2026-03</t>
  </si>
  <si>
    <t xml:space="preserve">A#62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</si>
  <si>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雲合約（</t>
    </r>
    <r>
      <rPr>
        <sz val="11"/>
        <color theme="1"/>
        <rFont val="Calibri"/>
        <family val="2"/>
        <charset val="1"/>
      </rPr>
      <t xml:space="preserve">Childress TX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MO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</si>
  <si>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1600 MW</t>
    </r>
    <r>
      <rPr>
        <sz val="11"/>
        <color theme="1"/>
        <rFont val="Noto Sans CJK SC"/>
        <family val="2"/>
      </rPr>
      <t xml:space="preserve">（約，合計）</t>
    </r>
  </si>
  <si>
    <t xml:space="preserve">2026-06</t>
  </si>
  <si>
    <t xml:space="preserve">https://explorer.hub71.com/news/note/crusoe-sidelined-at-1-8gw-project-jade-data-centre-in-wyoming</t>
  </si>
  <si>
    <t xml:space="preserve">A#63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</si>
  <si>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資本支出指引（含融資租賃本金）｜</t>
    </r>
    <r>
      <rPr>
        <sz val="11"/>
        <color theme="1"/>
        <rFont val="Calibri"/>
        <family val="2"/>
        <charset val="1"/>
      </rPr>
      <t xml:space="preserve">capex</t>
    </r>
  </si>
  <si>
    <t xml:space="preserve">135–145 US$B</t>
  </si>
  <si>
    <t xml:space="preserve">2026-10-21</t>
  </si>
  <si>
    <r>
      <rPr>
        <sz val="11"/>
        <color theme="1"/>
        <rFont val="Calibri"/>
        <family val="2"/>
        <charset val="1"/>
      </rPr>
      <t xml:space="preserve">fye_meta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cap_meta</t>
    </r>
  </si>
  <si>
    <t xml:space="preserve">https://www.sec.gov/Archives/edgar/data/0001326801/000162828026066700/meta-09302026xexhibit991.htm</t>
  </si>
  <si>
    <t xml:space="preserve">A#64</t>
  </si>
  <si>
    <t xml:space="preserve">Oracle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</si>
  <si>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</si>
  <si>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 MW</t>
    </r>
    <r>
      <rPr>
        <sz val="11"/>
        <color theme="1"/>
        <rFont val="Noto Sans CJK SC"/>
        <family val="2"/>
      </rPr>
      <t xml:space="preserve">（年增量）</t>
    </r>
  </si>
  <si>
    <t xml:space="preserve">2026-05-31</t>
  </si>
  <si>
    <t xml:space="preserve">https://s23.q4cdn.com/440135859/files/doc_financials/2026/q4/Q4-FY26-Oracle-Earnings-Slides.pdf</t>
  </si>
  <si>
    <t xml:space="preserve">A#65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</si>
  <si>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</si>
  <si>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（季增量）</t>
    </r>
  </si>
  <si>
    <t xml:space="preserve">https://www.sec.gov/Archives/edgar/data/1341439/000119312526387905/orcl-ex99_1.htm</t>
  </si>
  <si>
    <t xml:space="preserve">A#66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</si>
  <si>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（推估）｜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</si>
  <si>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2543 MW-IT</t>
  </si>
  <si>
    <t xml:space="preserve">/root/company-models/oracle/company.json</t>
  </si>
  <si>
    <t xml:space="preserve">A#67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</si>
  <si>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</si>
  <si>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208.9 MW</t>
    </r>
    <r>
      <rPr>
        <sz val="11"/>
        <color theme="1"/>
        <rFont val="Noto Sans CJK SC"/>
        <family val="2"/>
      </rPr>
      <t xml:space="preserve">（晶片功耗）</t>
    </r>
  </si>
  <si>
    <t xml:space="preserve">A#68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</si>
  <si>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</si>
  <si>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650.2 MW</t>
    </r>
    <r>
      <rPr>
        <sz val="11"/>
        <color theme="1"/>
        <rFont val="Noto Sans CJK SC"/>
        <family val="2"/>
      </rPr>
      <t xml:space="preserve">（晶片功耗）</t>
    </r>
  </si>
  <si>
    <t xml:space="preserve">A#69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</si>
  <si>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一期）｜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</si>
  <si>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618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</si>
  <si>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cp_orcl_abl</t>
    </r>
  </si>
  <si>
    <t xml:space="preserve">https://www.fool.com/earnings/call-transcripts/2026/09/11/oracle-orcl-q1-2027-earnings-call-transcript/</t>
  </si>
  <si>
    <t xml:space="preserve">A#70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</si>
  <si>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擴建（取消）｜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</si>
  <si>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擴建）</t>
    </r>
  </si>
  <si>
    <t xml:space="preserve">2026-03-06</t>
  </si>
  <si>
    <t xml:space="preserve">https://www.techradar.com/pro/oracle-and-openai-drop-plans-for-mega-stargate-ai-us-data-center</t>
  </si>
  <si>
    <t xml:space="preserve">A#71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</si>
  <si>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OpenAI–Oracle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</si>
  <si>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4500 MW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</si>
  <si>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t xml:space="preserve">2025-09-23</t>
  </si>
  <si>
    <t xml:space="preserve">https://openai.com/index/five-new-stargate-sites/</t>
  </si>
  <si>
    <t xml:space="preserve">A#72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</si>
  <si>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Shackelford County,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</si>
  <si>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2000 MW</t>
  </si>
  <si>
    <t xml:space="preserve">2026-04-17</t>
  </si>
  <si>
    <r>
      <rPr>
        <sz val="11"/>
        <color theme="1"/>
        <rFont val="Noto Sans CJK SC"/>
        <family val="2"/>
      </rPr>
      <t xml:space="preserve">屬實（設施）；首棟已延到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</si>
  <si>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ctr_orcl_oai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</si>
  <si>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t xml:space="preserve">https://epoch.ai/publications/openai-stargate-where-the-us-sites-stand</t>
  </si>
  <si>
    <t xml:space="preserve">A#73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</si>
  <si>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Doña Ana County,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</si>
  <si>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2200 MW</t>
  </si>
  <si>
    <t xml:space="preserve">A#74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</si>
  <si>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Washington, WI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</si>
  <si>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1300 MW</t>
  </si>
  <si>
    <t xml:space="preserve">A#75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</si>
  <si>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Saline Township, 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</si>
  <si>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1400 MW</t>
  </si>
  <si>
    <t xml:space="preserve">A#76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</si>
  <si>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）資本支出指引｜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</si>
  <si>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90–95 US$B</t>
  </si>
  <si>
    <t xml:space="preserve">2026-09-10</t>
  </si>
  <si>
    <t xml:space="preserve">A#77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</si>
  <si>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</si>
  <si>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（下限）</t>
    </r>
  </si>
  <si>
    <t xml:space="preserve">2023-12-31</t>
  </si>
  <si>
    <t xml:space="preserve">https://www.sec.gov/Archives/edgar/data/1769628/000176962826000104/crwv-20251231.htm</t>
  </si>
  <si>
    <t xml:space="preserve">A#78</t>
  </si>
  <si>
    <r>
      <rPr>
        <sz val="11"/>
        <color theme="1"/>
        <rFont val="Calibri"/>
        <family val="2"/>
        <charset val="1"/>
      </rPr>
      <t xml:space="preserve">360 MW</t>
    </r>
    <r>
      <rPr>
        <sz val="11"/>
        <color theme="1"/>
        <rFont val="Noto Sans CJK SC"/>
        <family val="2"/>
      </rPr>
      <t xml:space="preserve">（下限）</t>
    </r>
  </si>
  <si>
    <t xml:space="preserve">2024-12-31</t>
  </si>
  <si>
    <t xml:space="preserve">/root/company-models/coreweave/company.json</t>
  </si>
  <si>
    <t xml:space="preserve">A#79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</si>
  <si>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（下限）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</si>
  <si>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交叉屬實；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原頁被擋</t>
    </r>
  </si>
  <si>
    <t xml:space="preserve">A#80</t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</si>
  <si>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（下限）</t>
    </r>
  </si>
  <si>
    <t xml:space="preserve">2026-03-31</t>
  </si>
  <si>
    <t xml:space="preserve">https://www.datacenterdynamics.com/en/news/coreweave-surpasses-1gw-of-data-center-capacity-pushes-more-into-self-builds/</t>
  </si>
  <si>
    <t xml:space="preserve">A#81</t>
  </si>
  <si>
    <r>
      <rPr>
        <sz val="11"/>
        <color theme="1"/>
        <rFont val="Calibri"/>
        <family val="2"/>
        <charset val="1"/>
      </rPr>
      <t xml:space="preserve">1500 MW</t>
    </r>
    <r>
      <rPr>
        <sz val="11"/>
        <color theme="1"/>
        <rFont val="Noto Sans CJK SC"/>
        <family val="2"/>
      </rPr>
      <t xml:space="preserve">（下限）</t>
    </r>
  </si>
  <si>
    <t xml:space="preserve">https://investors.coreweave.com/news/news-details/2026/CoreWeave-Reports-Strong-Second-Quarter-2026-Results/default.aspx</t>
  </si>
  <si>
    <t xml:space="preserve">A#82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</si>
  <si>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</si>
  <si>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1850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）</t>
    </r>
  </si>
  <si>
    <t xml:space="preserve">2026-08-11</t>
  </si>
  <si>
    <t xml:space="preserve">https://www.marketbeat.com/instant-alerts/coreweave-q2-earnings-call-highlights-2026-08-11/</t>
  </si>
  <si>
    <t xml:space="preserve">A#83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</si>
  <si>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</si>
  <si>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3100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</si>
  <si>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被擋</t>
    </r>
  </si>
  <si>
    <t xml:space="preserve">A#84</t>
  </si>
  <si>
    <r>
      <rPr>
        <sz val="11"/>
        <color theme="1"/>
        <rFont val="Calibri"/>
        <family val="2"/>
        <charset val="1"/>
      </rPr>
      <t xml:space="preserve">3700 MW</t>
    </r>
    <r>
      <rPr>
        <sz val="11"/>
        <color theme="1"/>
        <rFont val="Noto Sans CJK SC"/>
        <family val="2"/>
      </rPr>
      <t xml:space="preserve">（約）</t>
    </r>
  </si>
  <si>
    <t xml:space="preserve">A#85</t>
  </si>
  <si>
    <r>
      <rPr>
        <sz val="11"/>
        <color theme="1"/>
        <rFont val="Calibri"/>
        <family val="2"/>
        <charset val="1"/>
      </rPr>
      <t xml:space="preserve">4200 MW</t>
    </r>
    <r>
      <rPr>
        <sz val="11"/>
        <color theme="1"/>
        <rFont val="Noto Sans CJK SC"/>
        <family val="2"/>
      </rPr>
      <t xml:space="preserve">（約）</t>
    </r>
  </si>
  <si>
    <t xml:space="preserve">https://investors.coreweave.com/news/news-details/2026/CoreWeave-Continues-to-Contract-New-Compute-Capacity-at-Higher-Prices/default.aspx</t>
  </si>
  <si>
    <t xml:space="preserve">A#86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</si>
  <si>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</si>
  <si>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8000 MW</t>
    </r>
    <r>
      <rPr>
        <sz val="11"/>
        <color theme="1"/>
        <rFont val="Noto Sans CJK SC"/>
        <family val="2"/>
      </rPr>
      <t xml:space="preserve">（最多 </t>
    </r>
    <r>
      <rPr>
        <sz val="11"/>
        <color theme="1"/>
        <rFont val="Calibri"/>
        <family val="2"/>
        <charset val="1"/>
      </rPr>
      <t xml:space="preserve">8 GW</t>
    </r>
    <r>
      <rPr>
        <sz val="11"/>
        <color theme="1"/>
        <rFont val="Noto Sans CJK SC"/>
        <family val="2"/>
      </rPr>
      <t xml:space="preserve">）</t>
    </r>
  </si>
  <si>
    <t xml:space="preserve">A#87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</si>
  <si>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Dickens County, TX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</si>
  <si>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 MW critical 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MW gross</t>
    </r>
    <r>
      <rPr>
        <sz val="11"/>
        <color theme="1"/>
        <rFont val="Noto Sans CJK SC"/>
        <family val="2"/>
      </rPr>
      <t xml:space="preserve">）</t>
    </r>
  </si>
  <si>
    <t xml:space="preserve">2026-07-06</t>
  </si>
  <si>
    <t xml:space="preserve">https://www.galaxy.com/newsroom/galaxy-completes-phase-i-of-its-helios-data-center-campus</t>
  </si>
  <si>
    <t xml:space="preserve">A#88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</si>
  <si>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全案｜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</si>
  <si>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526 MW critical IT</t>
  </si>
  <si>
    <t xml:space="preserve">A#89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</si>
  <si>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Polaris Forge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Ellendale, ND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</si>
  <si>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250 MW critical IT</t>
  </si>
  <si>
    <t xml:space="preserve">2026-10-01</t>
  </si>
  <si>
    <t xml:space="preserve">https://www.sec.gov/Archives/edgar/data/0001144879/000114487926000057/apldq127earningsrelease.htm</t>
  </si>
  <si>
    <t xml:space="preserve">A#90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</si>
  <si>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多站｜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</si>
  <si>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590 MW critical IT</t>
    </r>
    <r>
      <rPr>
        <sz val="11"/>
        <color theme="1"/>
        <rFont val="Noto Sans CJK SC"/>
        <family val="2"/>
      </rPr>
      <t xml:space="preserve">（約）</t>
    </r>
  </si>
  <si>
    <t xml:space="preserve">2025-02-26</t>
  </si>
  <si>
    <t xml:space="preserve">https://www.sec.gov/Archives/edgar/data/1839341/000162828025008312/ex991-coreweavepressrelease.htm</t>
  </si>
  <si>
    <t xml:space="preserve">A#91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</si>
  <si>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Kenilworth, NJ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</si>
  <si>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A#92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</si>
  <si>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Lancaster, PA</t>
    </r>
    <r>
      <rPr>
        <sz val="11"/>
        <color theme="1"/>
        <rFont val="Noto Sans CJK SC"/>
        <family val="2"/>
      </rPr>
      <t xml:space="preserve">（自建／</t>
    </r>
    <r>
      <rPr>
        <sz val="11"/>
        <color theme="1"/>
        <rFont val="Calibri"/>
        <family val="2"/>
        <charset val="1"/>
      </rPr>
      <t xml:space="preserve">Blue Owl JV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</si>
  <si>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300 MW</t>
  </si>
  <si>
    <t xml:space="preserve">A#93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</si>
  <si>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APAC </t>
    </r>
    <r>
      <rPr>
        <sz val="11"/>
        <color theme="1"/>
        <rFont val="Noto Sans CJK SC"/>
        <family val="2"/>
      </rPr>
      <t xml:space="preserve">首站）｜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</si>
  <si>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360 MW</t>
  </si>
  <si>
    <t xml:space="preserve">A#94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</si>
  <si>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</si>
  <si>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35–39 US$B</t>
  </si>
  <si>
    <t xml:space="preserve">A#95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</si>
  <si>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</si>
  <si>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170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</si>
  <si>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https://www.sec.gov/Archives/edgar/data/1513845/000110465926013946/tm266173d1_ex99-2.htm</t>
  </si>
  <si>
    <t xml:space="preserve">A#96</t>
  </si>
  <si>
    <t xml:space="preserve">A#97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</si>
  <si>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</si>
  <si>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800–1000 MW</t>
  </si>
  <si>
    <t xml:space="preserve">2026-08-12</t>
  </si>
  <si>
    <t xml:space="preserve">https://www.marketbeat.com/instant-alerts/nebius-group-q2-earnings-call-highlights-2026-08-12/?.tsrc=rss</t>
  </si>
  <si>
    <t xml:space="preserve">A#98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</si>
  <si>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</si>
  <si>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&gt;3.5 GW</t>
    </r>
    <r>
      <rPr>
        <sz val="11"/>
        <color theme="1"/>
        <rFont val="Noto Sans CJK SC"/>
        <family val="2"/>
      </rPr>
      <t xml:space="preserve">）</t>
    </r>
  </si>
  <si>
    <t xml:space="preserve">2026-05-13</t>
  </si>
  <si>
    <t xml:space="preserve">https://www.sec.gov/Archives/edgar/data/1513845/000110465926059872/tm2614392d1_ex99-2.htm</t>
  </si>
  <si>
    <t xml:space="preserve">A#99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</si>
  <si>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Lappeenranta,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</si>
  <si>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310 MW</t>
  </si>
  <si>
    <t xml:space="preserve">/root/company-models/nebius/data/nebius_facts_20261007.json</t>
  </si>
  <si>
    <t xml:space="preserve">A#100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</si>
  <si>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Independence, Missouri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</si>
  <si>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1200 MW</t>
  </si>
  <si>
    <t xml:space="preserve">A#101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</si>
  <si>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Pennsylvania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</si>
  <si>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A#102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</si>
  <si>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Vineland, NJ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</si>
  <si>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205 MW-IT</t>
    </r>
    <r>
      <rPr>
        <sz val="11"/>
        <color theme="1"/>
        <rFont val="Noto Sans CJK SC"/>
        <family val="2"/>
      </rPr>
      <t xml:space="preserve">（推估）</t>
    </r>
  </si>
  <si>
    <t xml:space="preserve">A#103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</si>
  <si>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</si>
  <si>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20–25 US$B</t>
  </si>
  <si>
    <t xml:space="preserve">A#104</t>
  </si>
  <si>
    <t xml:space="preserve">其他新雲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</si>
  <si>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Childress,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Horizon 1–4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</si>
  <si>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× 50</t>
    </r>
    <r>
      <rPr>
        <sz val="11"/>
        <color theme="1"/>
        <rFont val="Noto Sans CJK SC"/>
        <family val="2"/>
      </rPr>
      <t xml:space="preserve">）</t>
    </r>
  </si>
  <si>
    <t xml:space="preserve">2026-08-27</t>
  </si>
  <si>
    <r>
      <rPr>
        <sz val="11"/>
        <color theme="1"/>
        <rFont val="Calibri"/>
        <family val="2"/>
        <charset val="1"/>
      </rPr>
      <t xml:space="preserve">al_neo_msft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cp_neo_iren</t>
    </r>
  </si>
  <si>
    <t xml:space="preserve">https://www.sec.gov/Archives/edgar/data/0001878848/000187884826000051/irenreportsfy26results.htm</t>
  </si>
  <si>
    <t xml:space="preserve">A#105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</si>
  <si>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累計交付目標｜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</si>
  <si>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</si>
  <si>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A#106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</si>
  <si>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Applied Digital </t>
    </r>
    <r>
      <rPr>
        <sz val="11"/>
        <color theme="1"/>
        <rFont val="Noto Sans CJK SC"/>
        <family val="2"/>
      </rPr>
      <t xml:space="preserve">全公司租約｜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</si>
  <si>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1410 MW critical IT</t>
  </si>
  <si>
    <t xml:space="preserve">A#107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</si>
  <si>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計費容量｜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</si>
  <si>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437 MW</t>
  </si>
  <si>
    <t xml:space="preserve">2026-07-15</t>
  </si>
  <si>
    <t xml:space="preserve">https://www.sec.gov/Archives/edgar/data/0001839341/000183934126000013/q22026corescientificinc-ea.htm</t>
  </si>
  <si>
    <t xml:space="preserve">A#108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</si>
  <si>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已簽約容量｜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</si>
  <si>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4900 MW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</si>
  <si>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2026-06-09</t>
  </si>
  <si>
    <t xml:space="preserve">https://news.bgov.com/artificial-intelligence/crusoe-touts-5-gigawatts-of-data-centers-pauses-wyoming-site</t>
  </si>
  <si>
    <t xml:space="preserve">A#109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</si>
  <si>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 Kansas City, MO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</si>
  <si>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（首期 </t>
    </r>
    <r>
      <rPr>
        <sz val="11"/>
        <color theme="1"/>
        <rFont val="Calibri"/>
        <family val="2"/>
        <charset val="1"/>
      </rPr>
      <t xml:space="preserve">24 MW</t>
    </r>
    <r>
      <rPr>
        <sz val="11"/>
        <color theme="1"/>
        <rFont val="Noto Sans CJK SC"/>
        <family val="2"/>
      </rPr>
      <t xml:space="preserve">，可擴至 </t>
    </r>
    <r>
      <rPr>
        <sz val="11"/>
        <color theme="1"/>
        <rFont val="Calibri"/>
        <family val="2"/>
        <charset val="1"/>
      </rPr>
      <t xml:space="preserve">100+</t>
    </r>
    <r>
      <rPr>
        <sz val="11"/>
        <color theme="1"/>
        <rFont val="Noto Sans CJK SC"/>
        <family val="2"/>
      </rPr>
      <t xml:space="preserve">）</t>
    </r>
  </si>
  <si>
    <t xml:space="preserve">2025-10-30</t>
  </si>
  <si>
    <t xml:space="preserve">https://convergedigest.com/?p=106817</t>
  </si>
  <si>
    <t xml:space="preserve">A#110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</si>
  <si>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Lambda–Anthropic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</si>
  <si>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（約）</t>
    </r>
  </si>
  <si>
    <t xml:space="preserve">2026-09-01</t>
  </si>
  <si>
    <t xml:space="preserve">https://blog.pebblous.ai/blog/lambda-backlog-anthropic-concentration/en/</t>
  </si>
  <si>
    <t xml:space="preserve">A#111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</si>
  <si>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active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</si>
  <si>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1370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contracted </t>
    </r>
    <r>
      <rPr>
        <sz val="11"/>
        <color theme="1"/>
        <rFont val="Noto Sans CJK SC"/>
        <family val="2"/>
      </rPr>
      <t xml:space="preserve">合計）</t>
    </r>
  </si>
  <si>
    <t xml:space="preserve">https://pulse2.com/nscale-ipo-filing-reveals-103-4-billion-in-active-and-contracted-ai-infrastructure-agreements/</t>
  </si>
  <si>
    <t xml:space="preserve">A#112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</si>
  <si>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Loughton, Essex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</si>
  <si>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50 MW</t>
  </si>
  <si>
    <t xml:space="preserve">https://www.ibtimes.co.uk/microsoft-withdraws-essex-ai-data-centre-deal-1826366</t>
  </si>
  <si>
    <t xml:space="preserve">A#113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</si>
  <si>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Texas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Sines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Narvik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</si>
  <si>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411 MW-IT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200,000 GB300 </t>
    </r>
    <r>
      <rPr>
        <sz val="11"/>
        <color theme="1"/>
        <rFont val="Noto Sans CJK SC"/>
        <family val="2"/>
      </rPr>
      <t xml:space="preserve">換算）</t>
    </r>
  </si>
  <si>
    <t xml:space="preserve">2025-10-15</t>
  </si>
  <si>
    <t xml:space="preserve">A#114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</si>
  <si>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</si>
  <si>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102 MW critical IT</t>
  </si>
  <si>
    <t xml:space="preserve">2026-07</t>
  </si>
  <si>
    <r>
      <rPr>
        <sz val="11"/>
        <color theme="1"/>
        <rFont val="Calibri"/>
        <family val="2"/>
        <charset val="1"/>
      </rPr>
      <t xml:space="preserve">al_neo_ant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cp_neo_twf1</t>
    </r>
  </si>
  <si>
    <t xml:space="preserve">https://investors.terawulf.com/news-events/press-releases/detail/144</t>
  </si>
  <si>
    <t xml:space="preserve">A#115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</si>
  <si>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Together AI × HUMAIN</t>
    </r>
    <r>
      <rPr>
        <sz val="11"/>
        <color theme="1"/>
        <rFont val="Noto Sans CJK SC"/>
        <family val="2"/>
      </rPr>
      <t xml:space="preserve">（沙烏地）｜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</si>
  <si>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250 MW</t>
  </si>
  <si>
    <t xml:space="preserve">https://menastartupdigest.com/?p=50000</t>
  </si>
  <si>
    <t xml:space="preserve">A#116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</si>
  <si>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」擁有者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</si>
  <si>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2074.0 MW</t>
    </r>
    <r>
      <rPr>
        <sz val="11"/>
        <color theme="1"/>
        <rFont val="Noto Sans CJK SC"/>
        <family val="2"/>
      </rPr>
      <t xml:space="preserve">（晶片功耗）</t>
    </r>
  </si>
  <si>
    <r>
      <rPr>
        <sz val="11"/>
        <color theme="1"/>
        <rFont val="Noto Sans CJK SC"/>
        <family val="2"/>
      </rPr>
      <t xml:space="preserve">數值屬實；『不含中國』無出處，中國買家晶片可能在 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內</t>
    </r>
  </si>
  <si>
    <r>
      <rPr>
        <sz val="11"/>
        <color theme="1"/>
        <rFont val="Calibri"/>
        <family val="2"/>
        <charset val="1"/>
      </rPr>
      <t xml:space="preserve">other_incl_china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tp_epoch</t>
    </r>
  </si>
  <si>
    <t xml:space="preserve">A#117</t>
  </si>
  <si>
    <t xml:space="preserve">市場對照</t>
  </si>
  <si>
    <r>
      <rPr>
        <sz val="11"/>
        <color theme="1"/>
        <rFont val="Noto Sans CJK SC"/>
        <family val="2"/>
      </rPr>
      <t xml:space="preserve">市場對照｜五大超大雲占累計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</si>
  <si>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0.71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</si>
  <si>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https://epoch.ai/data-insights/hyperscalers-control-most-compute</t>
  </si>
  <si>
    <t xml:space="preserve">A#118</t>
  </si>
  <si>
    <r>
      <rPr>
        <sz val="11"/>
        <color theme="1"/>
        <rFont val="Noto Sans CJK SC"/>
        <family val="2"/>
      </rPr>
      <t xml:space="preserve">市場對照｜全球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新增資料中心容量｜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</si>
  <si>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50000 MW</t>
  </si>
  <si>
    <t xml:space="preserve">https://aiweekly.co/alerts/semianalysis-50gw-of-new-data-center-capacity-will-come-online-in-2027-matching</t>
  </si>
  <si>
    <t xml:space="preserve">B#2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</si>
  <si>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｜全體（自報）｜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</si>
  <si>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1.9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</si>
  <si>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CFO Friar</t>
    </r>
    <r>
      <rPr>
        <sz val="11"/>
        <color theme="1"/>
        <rFont val="Noto Sans CJK SC"/>
        <family val="2"/>
      </rPr>
      <t xml:space="preserve">；募資</t>
    </r>
    <r>
      <rPr>
        <sz val="11"/>
        <color theme="1"/>
        <rFont val="Calibri"/>
        <family val="2"/>
        <charset val="1"/>
      </rPr>
      <t xml:space="preserve">/IPO </t>
    </r>
    <r>
      <rPr>
        <sz val="11"/>
        <color theme="1"/>
        <rFont val="Noto Sans CJK SC"/>
        <family val="2"/>
      </rPr>
      <t xml:space="preserve">誘因）</t>
    </r>
  </si>
  <si>
    <t xml:space="preserve">https://www.datacenterdynamics.com/en/news/openai-cfo-says-company-ended-2025-with-19gw-of-compute-scaled-revenue-at-same-speed/</t>
  </si>
  <si>
    <t xml:space="preserve">B#3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</si>
  <si>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｜全體（簽約，美國）｜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</si>
  <si>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10 GW</t>
  </si>
  <si>
    <t xml:space="preserve">2026-04-29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</si>
  <si>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</si>
  <si>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天簽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），非 </t>
    </r>
    <r>
      <rPr>
        <sz val="11"/>
        <color theme="1"/>
        <rFont val="Calibri"/>
        <family val="2"/>
        <charset val="1"/>
      </rPr>
      <t xml:space="preserve">&gt;3 GW</t>
    </r>
  </si>
  <si>
    <t xml:space="preserve">https://the-decoder.com/openai-says-it-hit-its-10-gigawatt-compute-goal-years-ahead-of-schedule/</t>
  </si>
  <si>
    <t xml:space="preserve">B#4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</si>
  <si>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</si>
  <si>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low double-digit </t>
    </r>
    <r>
      <rPr>
        <sz val="11"/>
        <color theme="1"/>
        <rFont val="Noto Sans CJK SC"/>
        <family val="2"/>
      </rPr>
      <t xml:space="preserve">中點）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</si>
  <si>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投資人備忘錄，二手：</t>
    </r>
    <r>
      <rPr>
        <sz val="11"/>
        <color theme="1"/>
        <rFont val="Calibri"/>
        <family val="2"/>
        <charset val="1"/>
      </rPr>
      <t xml:space="preserve">Bloomberg/Epoch </t>
    </r>
    <r>
      <rPr>
        <sz val="11"/>
        <color theme="1"/>
        <rFont val="Noto Sans CJK SC"/>
        <family val="2"/>
      </rPr>
      <t xml:space="preserve">引）</t>
    </r>
  </si>
  <si>
    <t xml:space="preserve">https://epoch.ai/gradient-updates/frontier-labs-dont-use-most-ai-compute</t>
  </si>
  <si>
    <t xml:space="preserve">B#5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</si>
  <si>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平均上線（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推估）｜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</si>
  <si>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2.5–3.8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</si>
  <si>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（隨 </t>
    </r>
    <r>
      <rPr>
        <sz val="11"/>
        <color theme="1"/>
        <rFont val="Calibri"/>
        <family val="2"/>
        <charset val="1"/>
      </rPr>
      <t xml:space="preserve">1.9GW </t>
    </r>
    <r>
      <rPr>
        <sz val="11"/>
        <color theme="1"/>
        <rFont val="Noto Sans CJK SC"/>
        <family val="2"/>
      </rPr>
      <t xml:space="preserve">口徑）</t>
    </r>
  </si>
  <si>
    <t xml:space="preserve">2026-10-24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</si>
  <si>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（輸入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</si>
  <si>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repo:/root/Tokenomics/docs/evidence/20261024_OpenAI2026GW_A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/README.md</t>
    </r>
  </si>
  <si>
    <t xml:space="preserve">B#6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</si>
  <si>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｜第三方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年底估｜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</si>
  <si>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GW</t>
    </r>
  </si>
  <si>
    <t xml:space="preserve">2026-08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</si>
  <si>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NextBigFuture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只作佐證）</t>
    </r>
  </si>
  <si>
    <t xml:space="preserve">https://www.nextbigfuture.com/2026/08/tracking-ai-gigawatts-revenue-expenses-and-deep-dive-into-productive-agents.html</t>
  </si>
  <si>
    <t xml:space="preserve">B#7</t>
  </si>
  <si>
    <t xml:space="preserve">Oracle×OpenAI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</si>
  <si>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建、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</si>
  <si>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618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</si>
  <si>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</si>
  <si>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https://www.marketbeat.com/instant-alerts/transcript-oracle-q1-earnings-call-highlights-2026-09-10/</t>
  </si>
  <si>
    <t xml:space="preserve">B#8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</si>
  <si>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 </t>
    </r>
    <r>
      <rPr>
        <sz val="11"/>
        <color theme="1"/>
        <rFont val="Noto Sans CJK SC"/>
        <family val="2"/>
      </rPr>
      <t xml:space="preserve">擴建（約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</si>
  <si>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</si>
  <si>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報導，二手）</t>
    </r>
  </si>
  <si>
    <t xml:space="preserve">https://www.regardsofwallstreet.com/data/ai-deals/entity/openai</t>
  </si>
  <si>
    <t xml:space="preserve">B#9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</si>
  <si>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雲端合約（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擴大）｜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</si>
  <si>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4.5 GW</t>
  </si>
  <si>
    <t xml:space="preserve">2025-07-22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</si>
  <si>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$300B </t>
    </r>
    <r>
      <rPr>
        <sz val="11"/>
        <color theme="1"/>
        <rFont val="Noto Sans CJK SC"/>
        <family val="2"/>
      </rPr>
      <t xml:space="preserve">為報導，雙方未發稿）</t>
    </r>
  </si>
  <si>
    <t xml:space="preserve">https://www.theregister.com/2025/07/22/openai_oracle_gpus/</t>
  </si>
  <si>
    <t xml:space="preserve">B#10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</si>
  <si>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Shackelford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</si>
  <si>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2026-07-08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</si>
  <si>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衛星＋揭露推估）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</si>
  <si>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</si>
  <si>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r>
      <rPr>
        <sz val="11"/>
        <color theme="1"/>
        <rFont val="Calibri"/>
        <family val="2"/>
        <charset val="1"/>
      </rPr>
      <t xml:space="preserve">repo:/root/Tokenomics/docs/evidence/20261024_J7_OpenAI</t>
    </r>
    <r>
      <rPr>
        <sz val="11"/>
        <color theme="1"/>
        <rFont val="Noto Sans CJK SC"/>
        <family val="2"/>
      </rPr>
      <t xml:space="preserve">站點</t>
    </r>
    <r>
      <rPr>
        <sz val="11"/>
        <color theme="1"/>
        <rFont val="Calibri"/>
        <family val="2"/>
        <charset val="1"/>
      </rPr>
      <t xml:space="preserve">MW/epoch_openai_sites_timelines.csv</t>
    </r>
  </si>
  <si>
    <t xml:space="preserve">B#11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</si>
  <si>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Doña Ana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</si>
  <si>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1750 MW</t>
  </si>
  <si>
    <t xml:space="preserve">2026-06-22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</si>
  <si>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）；延遲：報導</t>
    </r>
  </si>
  <si>
    <t xml:space="preserve">B#12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</si>
  <si>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Michigan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</si>
  <si>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988 MW</t>
  </si>
  <si>
    <t xml:space="preserve">2026-03-12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</si>
  <si>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</si>
  <si>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B#13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</si>
  <si>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</si>
  <si>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902 MW</t>
  </si>
  <si>
    <t xml:space="preserve">2026-07-24</t>
  </si>
  <si>
    <t xml:space="preserve">B#14</t>
  </si>
  <si>
    <t xml:space="preserve">SoftBank×OpenAI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</si>
  <si>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</si>
  <si>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857 MW</t>
  </si>
  <si>
    <t xml:space="preserve">2026-03-23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</si>
  <si>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cpx_oai_milam</t>
    </r>
  </si>
  <si>
    <t xml:space="preserve">B#15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</si>
  <si>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OH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</si>
  <si>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214 MW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</si>
  <si>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cpx_oai_lord</t>
    </r>
  </si>
  <si>
    <t xml:space="preserve">B#16</t>
  </si>
  <si>
    <t xml:space="preserve">SB Energy×OpenAI</t>
  </si>
  <si>
    <r>
      <rPr>
        <sz val="11"/>
        <color theme="1"/>
        <rFont val="Calibri"/>
        <family val="2"/>
        <charset val="1"/>
      </rPr>
      <t xml:space="preserve">SB Energy×OpenAI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園區 </t>
    </r>
    <r>
      <rPr>
        <sz val="11"/>
        <color theme="1"/>
        <rFont val="Calibri"/>
        <family val="2"/>
        <charset val="1"/>
      </rPr>
      <t xml:space="preserve">OH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</si>
  <si>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4.25 GW</t>
  </si>
  <si>
    <t xml:space="preserve">2026-08-17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</si>
  <si>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</si>
  <si>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</t>
    </r>
  </si>
  <si>
    <r>
      <rPr>
        <sz val="11"/>
        <color theme="1"/>
        <rFont val="Calibri"/>
        <family val="2"/>
        <charset val="1"/>
      </rPr>
      <t xml:space="preserve">al_oai_self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cp_oai_pp3</t>
    </r>
  </si>
  <si>
    <t xml:space="preserve">https://nvidianews.nvidia.com/news/nvidia-guarantees-sb-energy-s-ports-pike-technology-campus-in-ohio-to-exclusively-host-nvidia-ai-compute</t>
  </si>
  <si>
    <t xml:space="preserve">B#17</t>
  </si>
  <si>
    <t xml:space="preserve">Microsoft×OpenAI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</si>
  <si>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增量承諾 </t>
    </r>
    <r>
      <rPr>
        <sz val="11"/>
        <color theme="1"/>
        <rFont val="Calibri"/>
        <family val="2"/>
        <charset val="1"/>
      </rPr>
      <t xml:space="preserve">$250B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</si>
  <si>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</si>
  <si>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公告）</t>
    </r>
  </si>
  <si>
    <t xml:space="preserve">https://openai.com/index/next-chapter-of-microsoft-openai-partnership/</t>
  </si>
  <si>
    <t xml:space="preserve">B#18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</si>
  <si>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</si>
  <si>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</t>
  </si>
  <si>
    <t xml:space="preserve">B#19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</si>
  <si>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</si>
  <si>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</t>
  </si>
  <si>
    <t xml:space="preserve">2026-04-16</t>
  </si>
  <si>
    <t xml:space="preserve">B#20</t>
  </si>
  <si>
    <t xml:space="preserve">CoreWeave×OpenAI</t>
  </si>
  <si>
    <r>
      <rPr>
        <sz val="11"/>
        <color theme="1"/>
        <rFont val="Calibri"/>
        <family val="2"/>
        <charset val="1"/>
      </rPr>
      <t xml:space="preserve">CoreWeave×OpenAI</t>
    </r>
    <r>
      <rPr>
        <sz val="11"/>
        <color theme="1"/>
        <rFont val="Noto Sans CJK SC"/>
        <family val="2"/>
      </rPr>
      <t xml:space="preserve">｜三份合約 </t>
    </r>
    <r>
      <rPr>
        <sz val="11"/>
        <color theme="1"/>
        <rFont val="Calibri"/>
        <family val="2"/>
        <charset val="1"/>
      </rPr>
      <t xml:space="preserve">$11.9B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$4B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$6.5B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</si>
  <si>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2025-09-25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</si>
  <si>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8-K</t>
    </r>
    <r>
      <rPr>
        <sz val="11"/>
        <color theme="1"/>
        <rFont val="Noto Sans CJK SC"/>
        <family val="2"/>
      </rPr>
      <t xml:space="preserve">）</t>
    </r>
  </si>
  <si>
    <t xml:space="preserve">B#21</t>
  </si>
  <si>
    <t xml:space="preserve">AWS×OpenAI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</si>
  <si>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GB200/GB300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</si>
  <si>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AWS/OpenAI </t>
    </r>
    <r>
      <rPr>
        <sz val="11"/>
        <color theme="1"/>
        <rFont val="Noto Sans CJK SC"/>
        <family val="2"/>
      </rPr>
      <t xml:space="preserve">公告）</t>
    </r>
  </si>
  <si>
    <t xml:space="preserve">B#22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</si>
  <si>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 2GW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</si>
  <si>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 GW</t>
  </si>
  <si>
    <t xml:space="preserve">2026-02-27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</si>
  <si>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OpenAI/Amazon </t>
    </r>
    <r>
      <rPr>
        <sz val="11"/>
        <color theme="1"/>
        <rFont val="Noto Sans CJK SC"/>
        <family val="2"/>
      </rPr>
      <t xml:space="preserve">公告）</t>
    </r>
  </si>
  <si>
    <t xml:space="preserve">https://siliconangle.com/2026/02/27/openai-raises-110b-730b-valuation-expands-aws-nvidia-partnerships/</t>
  </si>
  <si>
    <t xml:space="preserve">B#23</t>
  </si>
  <si>
    <t xml:space="preserve">Nvidia×OpenAI</t>
  </si>
  <si>
    <r>
      <rPr>
        <sz val="11"/>
        <color theme="1"/>
        <rFont val="Calibri"/>
        <family val="2"/>
        <charset val="1"/>
      </rPr>
      <t xml:space="preserve">Nvidia×OpenAI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5GW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新增）｜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</si>
  <si>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</si>
  <si>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（公司公告；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改案為報導）</t>
    </r>
  </si>
  <si>
    <t xml:space="preserve">B#24</t>
  </si>
  <si>
    <t xml:space="preserve">AMD×OpenAI</t>
  </si>
  <si>
    <r>
      <rPr>
        <sz val="11"/>
        <color theme="1"/>
        <rFont val="Calibri"/>
        <family val="2"/>
        <charset val="1"/>
      </rPr>
      <t xml:space="preserve">AMD×OpenAI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6GW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</si>
  <si>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6 GW</t>
  </si>
  <si>
    <t xml:space="preserve">2025-10-06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</si>
  <si>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AMD/OpenAI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</si>
  <si>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https://www.datacenterdynamics.com/en/news/amd-to-supply-openai-with-6gw-worth-of-gpus-plans-1gw-deployment-starting-in-2026/</t>
  </si>
  <si>
    <t xml:space="preserve">B#25</t>
  </si>
  <si>
    <t xml:space="preserve">Broadcom×OpenAI</t>
  </si>
  <si>
    <r>
      <rPr>
        <sz val="11"/>
        <color theme="1"/>
        <rFont val="Calibri"/>
        <family val="2"/>
        <charset val="1"/>
      </rPr>
      <t xml:space="preserve">Broadcom×OpenAI</t>
    </r>
    <r>
      <rPr>
        <sz val="11"/>
        <color theme="1"/>
        <rFont val="Noto Sans CJK SC"/>
        <family val="2"/>
      </rPr>
      <t xml:space="preserve">｜客製加速器 </t>
    </r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</si>
  <si>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2025-10-13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</si>
  <si>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Broadcom/OpenAI</t>
    </r>
    <r>
      <rPr>
        <sz val="11"/>
        <color theme="1"/>
        <rFont val="Noto Sans CJK SC"/>
        <family val="2"/>
      </rPr>
      <t xml:space="preserve">）</t>
    </r>
  </si>
  <si>
    <t xml:space="preserve">https://www.maginative.com/article/openai-and-broadcom-to-co-design-custom-ai-chips-deploy-10-gw-by-2029/</t>
  </si>
  <si>
    <t xml:space="preserve">B#26</t>
  </si>
  <si>
    <t xml:space="preserve">Cerebras×OpenAI</t>
  </si>
  <si>
    <r>
      <rPr>
        <sz val="11"/>
        <color theme="1"/>
        <rFont val="Calibri"/>
        <family val="2"/>
        <charset val="1"/>
      </rPr>
      <t xml:space="preserve">Cerebras×OpenAI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推論容量（＋</t>
    </r>
    <r>
      <rPr>
        <sz val="11"/>
        <color theme="1"/>
        <rFont val="Calibri"/>
        <family val="2"/>
        <charset val="1"/>
      </rPr>
      <t xml:space="preserve">1.25GW 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</si>
  <si>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750 MW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</si>
  <si>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CS-3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</si>
  <si>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Cerebras S-1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</si>
  <si>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https://letsdatascience.com/blog/cerebras-ipo-openai-20-billion-doubled-commitment</t>
  </si>
  <si>
    <t xml:space="preserve">B#27</t>
  </si>
  <si>
    <t xml:space="preserve">G42/Khazna×OpenAI</t>
  </si>
  <si>
    <r>
      <rPr>
        <sz val="11"/>
        <color theme="1"/>
        <rFont val="Calibri"/>
        <family val="2"/>
        <charset val="1"/>
      </rPr>
      <t xml:space="preserve">G42/Khazna×OpenAI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</si>
  <si>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 MW</t>
  </si>
  <si>
    <t xml:space="preserve">2026-09-12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</si>
  <si>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）；延遲：報導</t>
    </r>
  </si>
  <si>
    <t xml:space="preserve">https://thegulftape.com/articles/stargate-uae</t>
  </si>
  <si>
    <t xml:space="preserve">B#28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</si>
  <si>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Norway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</si>
  <si>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2026-04-28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</si>
  <si>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（報導）</t>
    </r>
  </si>
  <si>
    <t xml:space="preserve">https://www.structureresearch.net/2026/04/28/openai-suspends-stargate-uk-norway-projects-microsoft-steps-in-on-one/</t>
  </si>
  <si>
    <t xml:space="preserve">B#29</t>
  </si>
  <si>
    <t xml:space="preserve">Google×Anthropic</t>
  </si>
  <si>
    <r>
      <rPr>
        <sz val="11"/>
        <color theme="1"/>
        <rFont val="Calibri"/>
        <family val="2"/>
        <charset val="1"/>
      </rPr>
      <t xml:space="preserve">Google×Anthropic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Cloud TPU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</si>
  <si>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</si>
  <si>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Anthropic/Google</t>
    </r>
    <r>
      <rPr>
        <sz val="11"/>
        <color theme="1"/>
        <rFont val="Noto Sans CJK SC"/>
        <family val="2"/>
      </rPr>
      <t xml:space="preserve">）</t>
    </r>
  </si>
  <si>
    <t xml:space="preserve">B#30</t>
  </si>
  <si>
    <t xml:space="preserve">Broadcom/Google×Anthropic</t>
  </si>
  <si>
    <r>
      <rPr>
        <sz val="11"/>
        <color theme="1"/>
        <rFont val="Calibri"/>
        <family val="2"/>
        <charset val="1"/>
      </rPr>
      <t xml:space="preserve">Broadcom/Google×Anthropic</t>
    </r>
    <r>
      <rPr>
        <sz val="11"/>
        <color theme="1"/>
        <rFont val="Noto Sans CJK SC"/>
        <family val="2"/>
      </rPr>
      <t xml:space="preserve">｜下一代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</si>
  <si>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3.5 GW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</si>
  <si>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A#30</t>
    </r>
    <r>
      <rPr>
        <sz val="11"/>
        <color theme="1"/>
        <rFont val="Noto Sans CJK SC"/>
        <family val="2"/>
      </rPr>
      <t xml:space="preserve">（標記已統一）</t>
    </r>
  </si>
  <si>
    <t xml:space="preserve">B#31</t>
  </si>
  <si>
    <t xml:space="preserve">AWS×Anthropic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</si>
  <si>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Rainier New Carlisle 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</si>
  <si>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</t>
  </si>
  <si>
    <t xml:space="preserve">2026-10</t>
  </si>
  <si>
    <t xml:space="preserve">https://epoch.ai/graphs/largest-ai-data-centers-by-power-capacity</t>
  </si>
  <si>
    <t xml:space="preserve">B#32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</si>
  <si>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Trainium2–4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</si>
  <si>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</si>
  <si>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https://www.anthropic.com/news/anthropic-amazon-compute</t>
  </si>
  <si>
    <t xml:space="preserve">B#33</t>
  </si>
  <si>
    <t xml:space="preserve">Microsoft×Anthropic</t>
  </si>
  <si>
    <r>
      <rPr>
        <sz val="11"/>
        <color theme="1"/>
        <rFont val="Calibri"/>
        <family val="2"/>
        <charset val="1"/>
      </rPr>
      <t xml:space="preserve">Microsoft×Anthropic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$30B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GB/VR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</si>
  <si>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</si>
  <si>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（公司公告）；招股書金額 </t>
    </r>
    <r>
      <rPr>
        <sz val="11"/>
        <color theme="1"/>
        <rFont val="Calibri"/>
        <family val="2"/>
        <charset val="1"/>
      </rPr>
      <t xml:space="preserve">$31.4B</t>
    </r>
    <r>
      <rPr>
        <sz val="11"/>
        <color theme="1"/>
        <rFont val="Noto Sans CJK SC"/>
        <family val="2"/>
      </rPr>
      <t xml:space="preserve">（報導轉述）</t>
    </r>
  </si>
  <si>
    <t xml:space="preserve">https://www.anthropic.com/news/microsoft-nvidia-anthropic-announce-strategic-partnerships</t>
  </si>
  <si>
    <t xml:space="preserve">B#34</t>
  </si>
  <si>
    <t xml:space="preserve">SpaceX/xAI×Anthropic</t>
  </si>
  <si>
    <r>
      <rPr>
        <sz val="11"/>
        <color theme="1"/>
        <rFont val="Calibri"/>
        <family val="2"/>
        <charset val="1"/>
      </rPr>
      <t xml:space="preserve">SpaceX/xAI×Anthropic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全部＋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部分｜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</si>
  <si>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&gt;300 MW</t>
  </si>
  <si>
    <t xml:space="preserve">2026-05-06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</si>
  <si>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</si>
  <si>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https://www.anthropic.com/news/higher-limits-spacex</t>
  </si>
  <si>
    <t xml:space="preserve">B#35</t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</si>
  <si>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</si>
  <si>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$50B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Hut 8 River Bend 245MW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2.295GW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</si>
  <si>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245 MW</t>
  </si>
  <si>
    <t xml:space="preserve">2025-12-17</t>
  </si>
  <si>
    <t xml:space="preserve">https://www.datacenterdynamics.com/en/news/hut-8-signs-245mw-capacity-deal-with-fluidstack-as-part-of-multi-gigawatt-partnership-with-anthropic</t>
  </si>
  <si>
    <t xml:space="preserve">B#36</t>
  </si>
  <si>
    <t xml:space="preserve">TeraWulf×Anthropic</t>
  </si>
  <si>
    <r>
      <rPr>
        <sz val="11"/>
        <color theme="1"/>
        <rFont val="Calibri"/>
        <family val="2"/>
        <charset val="1"/>
      </rPr>
      <t xml:space="preserve">TeraWulf×Anthropic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Kentucky </t>
    </r>
    <r>
      <rPr>
        <sz val="11"/>
        <color theme="1"/>
        <rFont val="Noto Sans CJK SC"/>
        <family val="2"/>
      </rPr>
      <t xml:space="preserve">機房租約｜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</si>
  <si>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401 MW</t>
  </si>
  <si>
    <t xml:space="preserve">2026-08-05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</si>
  <si>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</si>
  <si>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初全部交付</t>
    </r>
  </si>
  <si>
    <t xml:space="preserve">B#37</t>
  </si>
  <si>
    <t xml:space="preserve">Riot×Anthropic</t>
  </si>
  <si>
    <r>
      <rPr>
        <sz val="11"/>
        <color theme="1"/>
        <rFont val="Calibri"/>
        <family val="2"/>
        <charset val="1"/>
      </rPr>
      <t xml:space="preserve">Riot×Anthropic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Rockdale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</si>
  <si>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191 MW</t>
  </si>
  <si>
    <t xml:space="preserve">https://www.datacenterdynamics.com/en/news/riot-platforms-agrees-191mw-20-year-lease-agreement-with-anthropic-worth-91bn-report/</t>
  </si>
  <si>
    <t xml:space="preserve">B#38</t>
  </si>
  <si>
    <t xml:space="preserve">Nscale×Anthropic</t>
  </si>
  <si>
    <r>
      <rPr>
        <sz val="11"/>
        <color theme="1"/>
        <rFont val="Calibri"/>
        <family val="2"/>
        <charset val="1"/>
      </rPr>
      <t xml:space="preserve">Nscale×Anthropic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Calibri"/>
        <family val="2"/>
        <charset val="1"/>
      </rPr>
      <t xml:space="preserve">$45B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</si>
  <si>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460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</si>
  <si>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</si>
  <si>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https://www.datacenterdynamics.com/en/news/anthropic-signs-45bn-compute-capacity-agreement-with-nscale-report/</t>
  </si>
  <si>
    <t xml:space="preserve">B#39</t>
  </si>
  <si>
    <t xml:space="preserve">Lambda×Anthropic</t>
  </si>
  <si>
    <r>
      <rPr>
        <sz val="11"/>
        <color theme="1"/>
        <rFont val="Calibri"/>
        <family val="2"/>
        <charset val="1"/>
      </rPr>
      <t xml:space="preserve">Lambda×Anthropic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Nueces County TX $35B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</si>
  <si>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</si>
  <si>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</si>
  <si>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</si>
  <si>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t xml:space="preserve">B#40</t>
  </si>
  <si>
    <t xml:space="preserve">Volta×Anthropic</t>
  </si>
  <si>
    <r>
      <rPr>
        <sz val="11"/>
        <color theme="1"/>
        <rFont val="Calibri"/>
        <family val="2"/>
        <charset val="1"/>
      </rPr>
      <t xml:space="preserve">Volta×Anthropic</t>
    </r>
    <r>
      <rPr>
        <sz val="11"/>
        <color theme="1"/>
        <rFont val="Noto Sans CJK SC"/>
        <family val="2"/>
      </rPr>
      <t xml:space="preserve">｜挪威 </t>
    </r>
    <r>
      <rPr>
        <sz val="11"/>
        <color theme="1"/>
        <rFont val="Calibri"/>
        <family val="2"/>
        <charset val="1"/>
      </rPr>
      <t xml:space="preserve">Vera Rubin $10B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</si>
  <si>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133 MW</t>
  </si>
  <si>
    <t xml:space="preserve">https://the-decoder.com/anthropic-locks-in-10-billion-of-compute-from-volta-a-cloud-startup-that-didnt-exist-six-months-ago/</t>
  </si>
  <si>
    <t xml:space="preserve">B#41</t>
  </si>
  <si>
    <t xml:space="preserve">Nexus×Anthropic</t>
  </si>
  <si>
    <r>
      <rPr>
        <sz val="11"/>
        <color theme="1"/>
        <rFont val="Calibri"/>
        <family val="2"/>
        <charset val="1"/>
      </rPr>
      <t xml:space="preserve">Nexus×Anthropic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Hubbard TX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</si>
  <si>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</si>
  <si>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https://www.datacenterdynamics.com/en/news/google-to-provide-financial-backing-for-multi-billion-dollar-anthropic-data-center-in-texas-report/</t>
  </si>
  <si>
    <t xml:space="preserve">B#42</t>
  </si>
  <si>
    <t xml:space="preserve">AMD×Anthropic</t>
  </si>
  <si>
    <r>
      <rPr>
        <sz val="11"/>
        <color theme="1"/>
        <rFont val="Calibri"/>
        <family val="2"/>
        <charset val="1"/>
      </rPr>
      <t xml:space="preserve">AMD×Anthropic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</si>
  <si>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新聞稿）</t>
    </r>
  </si>
  <si>
    <t xml:space="preserve">https://newsroom.amd.com/news/amd-anthropic-strategic-partnership/</t>
  </si>
  <si>
    <t xml:space="preserve">B#43</t>
  </si>
  <si>
    <t xml:space="preserve">CoreWeave×Anthropic</t>
  </si>
  <si>
    <r>
      <rPr>
        <sz val="11"/>
        <color theme="1"/>
        <rFont val="Calibri"/>
        <family val="2"/>
        <charset val="1"/>
      </rPr>
      <t xml:space="preserve">CoreWeave×Anthropic</t>
    </r>
    <r>
      <rPr>
        <sz val="11"/>
        <color theme="1"/>
        <rFont val="Noto Sans CJK SC"/>
        <family val="2"/>
      </rPr>
      <t xml:space="preserve">｜多年合約｜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</si>
  <si>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2026-04-10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</si>
  <si>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）</t>
    </r>
  </si>
  <si>
    <t xml:space="preserve">https://coreweave.com/news/coreweave-announces-multi-year-agreement-with-anthropic</t>
  </si>
  <si>
    <t xml:space="preserve">B#44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</si>
  <si>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｜全體簽約（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</si>
  <si>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&gt;=14.8 GW</t>
  </si>
  <si>
    <t xml:space="preserve">2026-09-06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</si>
  <si>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彙整）</t>
    </r>
  </si>
  <si>
    <t xml:space="preserve">https://dealroom.co/news/info-iclajk-how-anthropic-clinched-517-billion-in-compute-deals-in-11-months/</t>
  </si>
  <si>
    <t xml:space="preserve">B#45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</si>
  <si>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年底計畫｜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</si>
  <si>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2026-09-18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</si>
  <si>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NYT </t>
    </r>
    <r>
      <rPr>
        <sz val="11"/>
        <color theme="1"/>
        <rFont val="Noto Sans CJK SC"/>
        <family val="2"/>
      </rPr>
      <t xml:space="preserve">報導）</t>
    </r>
  </si>
  <si>
    <t xml:space="preserve">https://www.newsquawk.com/headlines/anthropic-reportedly-plans-to-have-5gw-worth-of-compute-by-the-end-of-2026-reports-nyt</t>
  </si>
  <si>
    <t xml:space="preserve">B#46</t>
  </si>
  <si>
    <t xml:space="preserve">SpaceX/xAI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</si>
  <si>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</si>
  <si>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1.4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</si>
  <si>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</t>
    </r>
    <r>
      <rPr>
        <sz val="11"/>
        <color theme="1"/>
        <rFont val="Noto Sans CJK SC"/>
        <family val="2"/>
      </rPr>
      <t xml:space="preserve">銘牌）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</si>
  <si>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季報／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</si>
  <si>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obs_xai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tgt_xai_27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mw_xai</t>
    </r>
  </si>
  <si>
    <t xml:space="preserve">https://www.datacenterdynamics.com/en/news/spacex-earnings-2gw-of-compute-by-year-end-aiming-for-10-20gw-by-end-of-2027/</t>
  </si>
  <si>
    <t xml:space="preserve">B#47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</si>
  <si>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</si>
  <si>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946 MW</t>
  </si>
  <si>
    <t xml:space="preserve">2026-06-15</t>
  </si>
  <si>
    <r>
      <rPr>
        <sz val="11"/>
        <color theme="1"/>
        <rFont val="Calibri"/>
        <family val="2"/>
        <charset val="1"/>
      </rPr>
      <t xml:space="preserve">946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）無出處，刪除</t>
    </r>
  </si>
  <si>
    <r>
      <rPr>
        <sz val="11"/>
        <color theme="1"/>
        <rFont val="Calibri"/>
        <family val="2"/>
        <charset val="1"/>
      </rPr>
      <t xml:space="preserve">nnv_xai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cpx_xai_c2</t>
    </r>
  </si>
  <si>
    <t xml:space="preserve">https://epoch.ai/data/ai-data-centers/directory/colossus-2/satellite-explorer</t>
  </si>
  <si>
    <t xml:space="preserve">B#48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</si>
  <si>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</si>
  <si>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&gt;300MW</t>
    </r>
    <r>
      <rPr>
        <sz val="11"/>
        <color theme="1"/>
        <rFont val="Noto Sans CJK SC"/>
        <family val="2"/>
      </rPr>
      <t xml:space="preserve">）</t>
    </r>
  </si>
  <si>
    <t xml:space="preserve">B#49</t>
  </si>
  <si>
    <t xml:space="preserve">SpaceX/xAI×Google</t>
  </si>
  <si>
    <r>
      <rPr>
        <sz val="11"/>
        <color theme="1"/>
        <rFont val="Calibri"/>
        <family val="2"/>
        <charset val="1"/>
      </rPr>
      <t xml:space="preserve">SpaceX/xAI×Google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租用約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</si>
  <si>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2026-06-05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</si>
  <si>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IPO </t>
    </r>
    <r>
      <rPr>
        <sz val="11"/>
        <color theme="1"/>
        <rFont val="Noto Sans CJK SC"/>
        <family val="2"/>
      </rPr>
      <t xml:space="preserve">申報，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</t>
    </r>
  </si>
  <si>
    <t xml:space="preserve">https://www.datacenterdynamics.com/en/news/google-to-pay-920-million-to-spacex-monthly-for-ai-capacity/</t>
  </si>
  <si>
    <t xml:space="preserve">B#50</t>
  </si>
  <si>
    <t xml:space="preserve">中國（全國）</t>
  </si>
  <si>
    <r>
      <rPr>
        <sz val="11"/>
        <color theme="1"/>
        <rFont val="Noto Sans CJK SC"/>
        <family val="2"/>
      </rPr>
      <t xml:space="preserve">中國（全國）｜智算總量｜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</si>
  <si>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2185 EFLOPS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</si>
  <si>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MIIT </t>
    </r>
    <r>
      <rPr>
        <sz val="11"/>
        <color theme="1"/>
        <rFont val="Noto Sans CJK SC"/>
        <family val="2"/>
      </rPr>
      <t xml:space="preserve">數據；經 </t>
    </r>
    <r>
      <rPr>
        <sz val="11"/>
        <color theme="1"/>
        <rFont val="Calibri"/>
        <family val="2"/>
        <charset val="1"/>
      </rPr>
      <t xml:space="preserve">SCMP/AI Weekly </t>
    </r>
    <r>
      <rPr>
        <sz val="11"/>
        <color theme="1"/>
        <rFont val="Noto Sans CJK SC"/>
        <family val="2"/>
      </rPr>
      <t xml:space="preserve">二手轉述）</t>
    </r>
  </si>
  <si>
    <t xml:space="preserve">https://aiweekly.co/alerts/miit-targets-9800-eflops-of-ai-compute-by-2030-532b-plan</t>
  </si>
  <si>
    <t xml:space="preserve">B#51</t>
  </si>
  <si>
    <r>
      <rPr>
        <sz val="11"/>
        <color theme="1"/>
        <rFont val="Noto Sans CJK SC"/>
        <family val="2"/>
      </rPr>
      <t xml:space="preserve">中國（全國）｜資料中心總容量｜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</si>
  <si>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32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</si>
  <si>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，第三方）</t>
    </r>
  </si>
  <si>
    <r>
      <rPr>
        <sz val="11"/>
        <color theme="1"/>
        <rFont val="Calibri"/>
        <family val="2"/>
        <charset val="1"/>
      </rPr>
      <t xml:space="preserve">cn_tot26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cn_tot30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rng26_cn</t>
    </r>
  </si>
  <si>
    <t xml:space="preserve">https://www.rystadenergy.com/news/chinas-data-center-capacity-doubling-of-power</t>
  </si>
  <si>
    <t xml:space="preserve">B#52</t>
  </si>
  <si>
    <t xml:space="preserve">字節跳動</t>
  </si>
  <si>
    <r>
      <rPr>
        <sz val="11"/>
        <color theme="1"/>
        <rFont val="Noto Sans CJK SC"/>
        <family val="2"/>
      </rPr>
      <t xml:space="preserve">字節跳動｜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</si>
  <si>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1600→&gt;2000</t>
    </r>
    <r>
      <rPr>
        <sz val="11"/>
        <color theme="1"/>
        <rFont val="Noto Sans CJK SC"/>
        <family val="2"/>
      </rPr>
      <t xml:space="preserve">（或至多 </t>
    </r>
    <r>
      <rPr>
        <sz val="11"/>
        <color theme="1"/>
        <rFont val="Calibri"/>
        <family val="2"/>
        <charset val="1"/>
      </rPr>
      <t xml:space="preserve">$70B</t>
    </r>
    <r>
      <rPr>
        <sz val="11"/>
        <color theme="1"/>
        <rFont val="Noto Sans CJK SC"/>
        <family val="2"/>
      </rPr>
      <t xml:space="preserve">） 億人民幣</t>
    </r>
  </si>
  <si>
    <t xml:space="preserve">2026-05-27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</si>
  <si>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SCMP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</si>
  <si>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https://scmp.com/tech/article/3352906/bytedance-raises-2026-capex-least-25-amid-ai-boom-rising-memory-costs-sources-say</t>
  </si>
  <si>
    <t xml:space="preserve">B#53</t>
  </si>
  <si>
    <t xml:space="preserve">阿里巴巴</t>
  </si>
  <si>
    <r>
      <rPr>
        <sz val="11"/>
        <color theme="1"/>
        <rFont val="Noto Sans CJK SC"/>
        <family val="2"/>
      </rPr>
      <t xml:space="preserve">阿里巴巴｜單季資本支出（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</si>
  <si>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677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</si>
  <si>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（財報，</t>
    </r>
    <r>
      <rPr>
        <sz val="11"/>
        <color theme="1"/>
        <rFont val="Calibri"/>
        <family val="2"/>
        <charset val="1"/>
      </rPr>
      <t xml:space="preserve">AP </t>
    </r>
    <r>
      <rPr>
        <sz val="11"/>
        <color theme="1"/>
        <rFont val="Noto Sans CJK SC"/>
        <family val="2"/>
      </rPr>
      <t xml:space="preserve">轉述）</t>
    </r>
  </si>
  <si>
    <t xml:space="preserve">https://ny1.com/nyc/all-boroughs/ap-top-news/2026/08/20/alibaba-quarterly-profit-drops-75-as-ai-investment-spending-grows</t>
  </si>
  <si>
    <t xml:space="preserve">B#54</t>
  </si>
  <si>
    <t xml:space="preserve">騰訊</t>
  </si>
  <si>
    <r>
      <rPr>
        <sz val="11"/>
        <color theme="1"/>
        <rFont val="Noto Sans CJK SC"/>
        <family val="2"/>
      </rPr>
      <t xml:space="preserve">騰訊｜單季資本支出（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</si>
  <si>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528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</si>
  <si>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（騰訊財報新聞稿）</t>
    </r>
  </si>
  <si>
    <t xml:space="preserve">https://www.thailand-business-news.com/pr-news/tencent-announces-2026-second-quarter-results</t>
  </si>
  <si>
    <t xml:space="preserve">B#55</t>
  </si>
  <si>
    <t xml:space="preserve">中國四大（阿里、騰訊、百度、字節）</t>
  </si>
  <si>
    <r>
      <rPr>
        <sz val="11"/>
        <color theme="1"/>
        <rFont val="Noto Sans CJK SC"/>
        <family val="2"/>
      </rPr>
      <t xml:space="preserve">中國四大（阿里、騰訊、百度、字節）｜合計資本支出｜</t>
    </r>
    <r>
      <rPr>
        <sz val="11"/>
        <color theme="1"/>
        <rFont val="Calibri"/>
        <family val="2"/>
        <charset val="1"/>
      </rPr>
      <t xml:space="preserve">capex</t>
    </r>
  </si>
  <si>
    <t xml:space="preserve">84 $B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</si>
  <si>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預測，</t>
    </r>
    <r>
      <rPr>
        <sz val="11"/>
        <color theme="1"/>
        <rFont val="Calibri"/>
        <family val="2"/>
        <charset val="1"/>
      </rPr>
      <t xml:space="preserve">JPR </t>
    </r>
    <r>
      <rPr>
        <sz val="11"/>
        <color theme="1"/>
        <rFont val="Noto Sans CJK SC"/>
        <family val="2"/>
      </rPr>
      <t xml:space="preserve">轉述）</t>
    </r>
  </si>
  <si>
    <t xml:space="preserve">https://www.jonpeddie.com/news/data-center-build-out-in-china/</t>
  </si>
  <si>
    <t xml:space="preserve">B#56</t>
  </si>
  <si>
    <t xml:space="preserve">華為昇騰</t>
  </si>
  <si>
    <r>
      <rPr>
        <sz val="11"/>
        <color theme="1"/>
        <rFont val="Noto Sans CJK SC"/>
        <family val="2"/>
      </rPr>
      <t xml:space="preserve">華為昇騰｜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</si>
  <si>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die</t>
    </r>
  </si>
  <si>
    <t xml:space="preserve">n/a</t>
  </si>
  <si>
    <t xml:space="preserve">2025-09-29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</si>
  <si>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</si>
  <si>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https://gulfnews.com/technology/huawei-to-double-output-of-top-ai-chip-as-nvidia-wavers-in-china-1.500287469</t>
  </si>
  <si>
    <t xml:space="preserve">B#57</t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</si>
  <si>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</t>
    </r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</si>
  <si>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進口）｜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、阿里、騰訊獲准 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</si>
  <si>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</t>
    </r>
  </si>
  <si>
    <t xml:space="preserve">2026-02-02</t>
  </si>
  <si>
    <t xml:space="preserve">https://www.datacenterdynamics.com/en/news/alibaba-considers-increasing-ai-data-center-capex-spend-to-69bn-over-three-years-report/</t>
  </si>
  <si>
    <t xml:space="preserve">B#58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</si>
  <si>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</si>
  <si>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（沙烏地）｜全體目標｜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</si>
  <si>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</si>
  <si>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Humain CEO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</si>
  <si>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mw_sov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cp_sov_hum2</t>
    </r>
  </si>
  <si>
    <t xml:space="preserve">https://www.datacenterdynamics.com/en/news/saudi-arabias-ai-co-humain-looking-for-us-data-center-equity-partner-targets-66gw-by-2034-with-subsidized-electricity</t>
  </si>
  <si>
    <t xml:space="preserve">B#59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</si>
  <si>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</si>
  <si>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UAE-US AI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</si>
  <si>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2025-05-22</t>
  </si>
  <si>
    <t xml:space="preserve">https://openai.com/index/introducing-stargate-uae</t>
  </si>
  <si>
    <t xml:space="preserve">B#60</t>
  </si>
  <si>
    <t xml:space="preserve">歐盟</t>
  </si>
  <si>
    <r>
      <rPr>
        <sz val="11"/>
        <color theme="1"/>
        <rFont val="Noto Sans CJK SC"/>
        <family val="2"/>
      </rPr>
      <t xml:space="preserve">歐盟｜</t>
    </r>
    <r>
      <rPr>
        <sz val="11"/>
        <color theme="1"/>
        <rFont val="Calibri"/>
        <family val="2"/>
        <charset val="1"/>
      </rPr>
      <t xml:space="preserve">AI Gigafactories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座）｜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</si>
  <si>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（未揭露；每座 ≥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</si>
  <si>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（歐盟執委會，報導轉述）</t>
    </r>
  </si>
  <si>
    <t xml:space="preserve">https://brusselssignal.eu/2026/07/european-commission-opens-bidding-to-build-seven-ai-gigafactories/</t>
  </si>
  <si>
    <t xml:space="preserve">B#61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</si>
  <si>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</t>
    </r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</si>
  <si>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（法國）｜巴黎近郊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</si>
  <si>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https://thenextweb.com/news/mistral-ai-830m-debt-data-centre-paris</t>
  </si>
  <si>
    <t xml:space="preserve">B#62</t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</si>
  <si>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</t>
    </r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</si>
  <si>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（印度）｜</t>
    </r>
    <r>
      <rPr>
        <sz val="11"/>
        <color theme="1"/>
        <rFont val="Calibri"/>
        <family val="2"/>
        <charset val="1"/>
      </rPr>
      <t xml:space="preserve">Visakhapatnam AI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</si>
  <si>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https://www.oilandgas360.com/reliance-industries-jv-partners-to-invest-11-billion-in-india-ai-data-capacity/</t>
  </si>
  <si>
    <t xml:space="preserve">B#63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</si>
  <si>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</si>
  <si>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資料中心容量（由晶片銷量推）｜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</si>
  <si>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30 GW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</si>
  <si>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（晶片功率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</si>
  <si>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，獨立研究機構模型）</t>
    </r>
  </si>
  <si>
    <t xml:space="preserve">https://epoch.ai/data-insights/ai-datacenter-power</t>
  </si>
  <si>
    <t xml:space="preserve">B#64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</si>
  <si>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）｜運行中算力｜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</si>
  <si>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1600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H100e</t>
    </r>
  </si>
  <si>
    <t xml:space="preserve">B#65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</si>
  <si>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</si>
  <si>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）｜資料中心用電（全部）｜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</si>
  <si>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485 TWh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</si>
  <si>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（用電量）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</si>
  <si>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</si>
  <si>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t xml:space="preserve">https://www.enlit.world/library/ai-and-data-centre-electricity-use-continue-to-surge-iea-finds</t>
  </si>
  <si>
    <t xml:space="preserve">B#66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</si>
  <si>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</si>
  <si>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）｜資料中心用電｜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</si>
  <si>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176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325–580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TWh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</si>
  <si>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LBNL/DOE</t>
    </r>
    <r>
      <rPr>
        <sz val="11"/>
        <color theme="1"/>
        <rFont val="Noto Sans CJK SC"/>
        <family val="2"/>
      </rPr>
      <t xml:space="preserve">）</t>
    </r>
  </si>
  <si>
    <t xml:space="preserve">https://www.energy.gov/articles/doe-releases-new-report-evaluating-increase-electricity-demand-data-centers</t>
  </si>
  <si>
    <t xml:space="preserve">B#67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</si>
  <si>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</si>
  <si>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</si>
  <si>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，推）；</t>
    </r>
    <r>
      <rPr>
        <sz val="11"/>
        <color theme="1"/>
        <rFont val="Calibri"/>
        <family val="2"/>
        <charset val="1"/>
      </rPr>
      <t xml:space="preserve">156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</si>
  <si>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2025-04-28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</si>
  <si>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</si>
  <si>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t xml:space="preserve">https://www.mckinsey.com/industries/technology-media-and-communications/our-insights/the-cost-of-compute-a-7-trillion-dollar-race-to-scale-data-centers</t>
  </si>
  <si>
    <t xml:space="preserve">B#68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</si>
  <si>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</si>
  <si>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）｜資料中心電力需求｜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</si>
  <si>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106→194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</si>
  <si>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（需求）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</si>
  <si>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BloombergNEF</t>
    </r>
    <r>
      <rPr>
        <sz val="11"/>
        <color theme="1"/>
        <rFont val="Noto Sans CJK SC"/>
        <family val="2"/>
      </rPr>
      <t xml:space="preserve">）</t>
    </r>
  </si>
  <si>
    <t xml:space="preserve">https://baxtel.com/news/us-data-center-power-demand-could-reach-194gw-by-2035</t>
  </si>
  <si>
    <t xml:space="preserve">B#69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</si>
  <si>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</si>
  <si>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）｜資料中心電網需求｜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</si>
  <si>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134.4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</si>
  <si>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（電網需求）</t>
    </r>
  </si>
  <si>
    <t xml:space="preserve">2026-05-14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</si>
  <si>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451 Research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Quartz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</si>
  <si>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https://finance.yahoo.com/sectors/technology/articles/ai-data-centers-pass-1-153946550.html</t>
  </si>
  <si>
    <t xml:space="preserve">B#70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</si>
  <si>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</si>
  <si>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）｜資料中心已裝電力容量（全部）｜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</si>
  <si>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155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</si>
  <si>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</si>
  <si>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https://www.trendforce.com/presscenter/news/20260506-13033.html</t>
  </si>
  <si>
    <t xml:space="preserve">B#71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</si>
  <si>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</si>
  <si>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）｜每年新增資料中心容量（全部）｜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</si>
  <si>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</si>
  <si>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2026-10-20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</si>
  <si>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，只佐證，不可單獨使用）</t>
    </r>
  </si>
  <si>
    <t xml:space="preserve">https://finance.technews.tw/2026/10/20/global-data-center-capacity-will-double-by-2027</t>
  </si>
  <si>
    <t xml:space="preserve">B#72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</si>
  <si>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</si>
  <si>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排定上線（</t>
    </r>
    <r>
      <rPr>
        <sz val="11"/>
        <color theme="1"/>
        <rFont val="Calibri"/>
        <family val="2"/>
        <charset val="1"/>
      </rPr>
      <t xml:space="preserve">&gt;50MW </t>
    </r>
    <r>
      <rPr>
        <sz val="11"/>
        <color theme="1"/>
        <rFont val="Noto Sans CJK SC"/>
        <family val="2"/>
      </rPr>
      <t xml:space="preserve">專案）｜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</si>
  <si>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16 GW</t>
  </si>
  <si>
    <t xml:space="preserve">2026-03-05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</si>
  <si>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 Climate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</si>
  <si>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https://www.utilitydive.com/press-release/20260305-sightline-climate-launches-powerstack-newsletter-with-analysis-finding-30-5-1</t>
  </si>
  <si>
    <t xml:space="preserve">B#73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</si>
  <si>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</si>
  <si>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新增資料中心負載｜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</si>
  <si>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（公用事業預測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</si>
  <si>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2025-12-03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</si>
  <si>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Utility Dive </t>
    </r>
    <r>
      <rPr>
        <sz val="11"/>
        <color theme="1"/>
        <rFont val="Noto Sans CJK SC"/>
        <family val="2"/>
      </rPr>
      <t xml:space="preserve">轉述）</t>
    </r>
  </si>
  <si>
    <t xml:space="preserve">https://www.utilitydive.com/news/us-data-center-power-demand-could-reach-106-gw-by-2035-bloombergnef/806972/</t>
  </si>
  <si>
    <t xml:space="preserve">D#2</t>
  </si>
  <si>
    <r>
      <rPr>
        <sz val="11"/>
        <color theme="1"/>
        <rFont val="Noto Sans CJK SC"/>
        <family val="2"/>
      </rPr>
      <t xml:space="preserve">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</si>
  <si>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併網（大負載）｜美國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）｜約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新負載的接電等待</t>
    </r>
  </si>
  <si>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月</t>
    </r>
  </si>
  <si>
    <t xml:space="preserve">2026-07-01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</si>
  <si>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2026 Outlook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Construction Owners </t>
    </r>
    <r>
      <rPr>
        <sz val="11"/>
        <color theme="1"/>
        <rFont val="Noto Sans CJK SC"/>
        <family val="2"/>
      </rPr>
      <t xml:space="preserve">轉述）；</t>
    </r>
    <r>
      <rPr>
        <sz val="11"/>
        <color theme="1"/>
        <rFont val="Calibri"/>
        <family val="2"/>
        <charset val="1"/>
      </rPr>
      <t xml:space="preserve">IEA 2025 </t>
    </r>
    <r>
      <rPr>
        <sz val="11"/>
        <color theme="1"/>
        <rFont val="Noto Sans CJK SC"/>
        <family val="2"/>
      </rPr>
      <t xml:space="preserve">亦稱北維州最長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</si>
  <si>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https://www.constructionowners.com/insights/how-long-it-actually-takes-to-power-a-data-center-in-2026-a-u-s-market-by-market-reality-check</t>
  </si>
  <si>
    <t xml:space="preserve">D#3</t>
  </si>
  <si>
    <t xml:space="preserve">美國 全國平均</t>
  </si>
  <si>
    <t xml:space="preserve">併網（大負載）｜美國 全國平均｜大負載接電等待（公用事業報價）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</si>
  <si>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</si>
  <si>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</t>
    </r>
    <r>
      <rPr>
        <sz val="11"/>
        <color theme="1"/>
        <rFont val="Noto Sans CJK SC"/>
        <family val="2"/>
      </rPr>
      <t xml:space="preserve">經轉述；多家整理站）</t>
    </r>
  </si>
  <si>
    <t xml:space="preserve">D#4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</si>
  <si>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ERCOT</t>
    </r>
  </si>
  <si>
    <r>
      <rPr>
        <sz val="11"/>
        <color theme="1"/>
        <rFont val="Noto Sans CJK SC"/>
        <family val="2"/>
      </rPr>
      <t xml:space="preserve">併網（大負載）｜美國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&gt;75MW </t>
    </r>
    <r>
      <rPr>
        <sz val="11"/>
        <color theme="1"/>
        <rFont val="Noto Sans CJK SC"/>
        <family val="2"/>
      </rPr>
      <t xml:space="preserve">大負載到商轉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</si>
  <si>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</si>
  <si>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2026-07-25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</si>
  <si>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（整理站，未逐筆標來源；低品質）</t>
    </r>
  </si>
  <si>
    <t xml:space="preserve">https://presenc.ai/research/grid-interconnection-queue-ai-datacenters-2026</t>
  </si>
  <si>
    <t xml:space="preserve">D#5</t>
  </si>
  <si>
    <t xml:space="preserve">美國 全國</t>
  </si>
  <si>
    <r>
      <rPr>
        <sz val="11"/>
        <color theme="1"/>
        <rFont val="Noto Sans CJK SC"/>
        <family val="2"/>
      </rPr>
      <t xml:space="preserve">併網（發電側）｜美國 全國｜併網申請到商轉中位數（發電，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完工案）</t>
    </r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</si>
  <si>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</si>
  <si>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2026-08-04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</si>
  <si>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 Queued Up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Core Insights Review </t>
    </r>
    <r>
      <rPr>
        <sz val="11"/>
        <color theme="1"/>
        <rFont val="Noto Sans CJK SC"/>
        <family val="2"/>
      </rPr>
      <t xml:space="preserve">轉述）</t>
    </r>
  </si>
  <si>
    <t xml:space="preserve">https://www.coradvisors.net/2026/08/data-center-grid-connection-problems.html</t>
  </si>
  <si>
    <t xml:space="preserve">D#6</t>
  </si>
  <si>
    <t xml:space="preserve">歐洲（荷蘭、德國、都柏林）</t>
  </si>
  <si>
    <t xml:space="preserve">併網（大負載）｜歐洲（荷蘭、德國、都柏林）｜資料中心接電等待</t>
  </si>
  <si>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月</t>
    </r>
  </si>
  <si>
    <t xml:space="preserve">2025-04-10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</si>
  <si>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 Energy and AI</t>
    </r>
    <r>
      <rPr>
        <sz val="11"/>
        <color theme="1"/>
        <rFont val="Noto Sans CJK SC"/>
        <family val="2"/>
      </rPr>
      <t xml:space="preserve">）</t>
    </r>
  </si>
  <si>
    <t xml:space="preserve">https://www.latitudemedia.com/news/report-global-grid-congestion-puts-20-of-data-center-projects-at-risk/</t>
  </si>
  <si>
    <t xml:space="preserve">D#7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</si>
  <si>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</si>
  <si>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）｜新訂單交期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</si>
  <si>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</si>
  <si>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2026-04-23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</si>
  <si>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GE Vernova </t>
    </r>
    <r>
      <rPr>
        <sz val="11"/>
        <color theme="1"/>
        <rFont val="Noto Sans CJK SC"/>
        <family val="2"/>
      </rPr>
      <t xml:space="preserve">法說）</t>
    </r>
  </si>
  <si>
    <t xml:space="preserve">措辭：『許多案子』渦輪不是卡關項</t>
  </si>
  <si>
    <t xml:space="preserve">https://www.power-eng.com/gas/turbines/data-centers-drive-record-surge-in-ge-vernova-power-equipment-orders-as-turbine-slots-tighten-through-2030/</t>
  </si>
  <si>
    <t xml:space="preserve">D#8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</si>
  <si>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</si>
  <si>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）｜全公司交期</t>
    </r>
  </si>
  <si>
    <t xml:space="preserve">2026-08-10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</si>
  <si>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Siemens Energy CFO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</si>
  <si>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https://www.utilitydive.com/news/siemens-gas-turbine-backlog-nears-70-gw-as-company-expands-manufacturing/827390/</t>
  </si>
  <si>
    <t xml:space="preserve">D#9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</si>
  <si>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</si>
  <si>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）｜本季訂單交貨年</t>
    </r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</si>
  <si>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</si>
  <si>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2026-08-13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</si>
  <si>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MHI </t>
    </r>
    <r>
      <rPr>
        <sz val="11"/>
        <color theme="1"/>
        <rFont val="Noto Sans CJK SC"/>
        <family val="2"/>
      </rPr>
      <t xml:space="preserve">法說）</t>
    </r>
  </si>
  <si>
    <t xml:space="preserve">https://www.utilitydive.com/news/mitsubishi-gas-turbine-backlog-earnings/827761/</t>
  </si>
  <si>
    <t xml:space="preserve">D#10</t>
  </si>
  <si>
    <t xml:space="preserve">全球</t>
  </si>
  <si>
    <t xml:space="preserve">燃氣渦輪（全產業）｜全球｜平均等待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</si>
  <si>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</si>
  <si>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2025-09-10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</si>
  <si>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EPRI </t>
    </r>
    <r>
      <rPr>
        <sz val="11"/>
        <color theme="1"/>
        <rFont val="Noto Sans CJK SC"/>
        <family val="2"/>
      </rPr>
      <t xml:space="preserve">數據，</t>
    </r>
    <r>
      <rPr>
        <sz val="11"/>
        <color theme="1"/>
        <rFont val="Calibri"/>
        <family val="2"/>
        <charset val="1"/>
      </rPr>
      <t xml:space="preserve">oEnergetice </t>
    </r>
    <r>
      <rPr>
        <sz val="11"/>
        <color theme="1"/>
        <rFont val="Noto Sans CJK SC"/>
        <family val="2"/>
      </rPr>
      <t xml:space="preserve">轉述）</t>
    </r>
  </si>
  <si>
    <t xml:space="preserve">https://oenergetice.cz/en/electricity/gas-turbine-manufacturers-expand-capacity-but-lead-times-continue-to-lengthen</t>
  </si>
  <si>
    <t xml:space="preserve">D#11</t>
  </si>
  <si>
    <t xml:space="preserve">美國</t>
  </si>
  <si>
    <r>
      <rPr>
        <sz val="11"/>
        <color theme="1"/>
        <rFont val="Noto Sans CJK SC"/>
        <family val="2"/>
      </rPr>
      <t xml:space="preserve">變壓器（升壓 </t>
    </r>
    <r>
      <rPr>
        <sz val="11"/>
        <color theme="1"/>
        <rFont val="Calibri"/>
        <family val="2"/>
        <charset val="1"/>
      </rPr>
      <t xml:space="preserve">GSU</t>
    </r>
    <r>
      <rPr>
        <sz val="11"/>
        <color theme="1"/>
        <rFont val="Noto Sans CJK SC"/>
        <family val="2"/>
      </rPr>
      <t xml:space="preserve">）｜美國｜交期</t>
    </r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</si>
  <si>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</si>
  <si>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2026-07-09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</si>
  <si>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</t>
    </r>
  </si>
  <si>
    <t xml:space="preserve">https://www.kitco.com/news/off-the-wire/2026-07-09/us-power-companies-scramble-secure-equipment-surging-data-center</t>
  </si>
  <si>
    <t xml:space="preserve">D#12</t>
  </si>
  <si>
    <t xml:space="preserve">變壓器（電力）｜美國｜交期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</si>
  <si>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</si>
  <si>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2026-01-02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</si>
  <si>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 Q2 2025 </t>
    </r>
    <r>
      <rPr>
        <sz val="11"/>
        <color theme="1"/>
        <rFont val="Noto Sans CJK SC"/>
        <family val="2"/>
      </rPr>
      <t xml:space="preserve">調查，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</si>
  <si>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低值依據不成立；中值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月屬實</t>
    </r>
  </si>
  <si>
    <t xml:space="preserve">https://powermag.com/transformers-in-2026-shortage-scramble-or-self-inflicted-crisis/</t>
  </si>
  <si>
    <t xml:space="preserve">D#13</t>
  </si>
  <si>
    <t xml:space="preserve">高壓斷路器｜美國｜交期</t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</si>
  <si>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月</t>
    </r>
  </si>
  <si>
    <t xml:space="preserve">D#14</t>
  </si>
  <si>
    <t xml:space="preserve">美國／全球</t>
  </si>
  <si>
    <t xml:space="preserve">施工｜美國／全球｜建物（殼）工期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</si>
  <si>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</si>
  <si>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Construction Owners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</si>
  <si>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dly_d2_bind</t>
    </r>
  </si>
  <si>
    <t xml:space="preserve">D#15</t>
  </si>
  <si>
    <r>
      <rPr>
        <sz val="11"/>
        <color theme="1"/>
        <rFont val="Noto Sans CJK SC"/>
        <family val="2"/>
      </rPr>
      <t xml:space="preserve">專案整體延遲（觀察）｜全球｜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排定容量延遲比例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</si>
  <si>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</si>
  <si>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t xml:space="preserve">D#16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</si>
  <si>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</si>
  <si>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部分站點｜延後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</si>
  <si>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</si>
  <si>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2025-12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</si>
  <si>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否認）</t>
    </r>
  </si>
  <si>
    <r>
      <rPr>
        <sz val="11"/>
        <color theme="1"/>
        <rFont val="Calibri"/>
        <family val="2"/>
        <charset val="1"/>
      </rPr>
      <t xml:space="preserve">dly_d1_m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cp_orcl_jup</t>
    </r>
  </si>
  <si>
    <t xml:space="preserve">https://www.datacenterdynamics.com/en/news/oracle-delays-some-of-its-openai-data-centers-from-2027-to-2028-report/</t>
  </si>
  <si>
    <t xml:space="preserve">D#17</t>
  </si>
  <si>
    <r>
      <rPr>
        <sz val="11"/>
        <color theme="1"/>
        <rFont val="Noto Sans CJK SC"/>
        <family val="2"/>
      </rPr>
      <t xml:space="preserve">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</si>
  <si>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）｜首次供電延後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</si>
  <si>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</si>
  <si>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t xml:space="preserve">2026-09-25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</si>
  <si>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只佐證）＋報導（</t>
    </r>
    <r>
      <rPr>
        <sz val="11"/>
        <color theme="1"/>
        <rFont val="Calibri"/>
        <family val="2"/>
        <charset val="1"/>
      </rPr>
      <t xml:space="preserve">Insurance Journal</t>
    </r>
    <r>
      <rPr>
        <sz val="11"/>
        <color theme="1"/>
        <rFont val="Noto Sans CJK SC"/>
        <family val="2"/>
      </rPr>
      <t xml:space="preserve">）</t>
    </r>
  </si>
  <si>
    <t xml:space="preserve">https://newsletter.semianalysis.com/p/stop-saying-half-of-2026-us-datacenter?open=false</t>
  </si>
  <si>
    <t xml:space="preserve">D#18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</si>
  <si>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</si>
  <si>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）｜首期延後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</si>
  <si>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</si>
  <si>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t xml:space="preserve">2026-03-02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</si>
  <si>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法說）＋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</si>
  <si>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https://www.datacenterdynamics.com/en/news/coreweave-deploys-16000-gpus-at-delayed-data-center-in-denton-texas/</t>
  </si>
  <si>
    <t xml:space="preserve">D#19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</si>
  <si>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</si>
  <si>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新澤西｜首期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工期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</si>
  <si>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</t>
    </r>
  </si>
  <si>
    <t xml:space="preserve">2026-06-18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</si>
  <si>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，只佐證，單一來源）</t>
    </r>
  </si>
  <si>
    <t xml:space="preserve">D#20</t>
  </si>
  <si>
    <r>
      <rPr>
        <sz val="11"/>
        <color theme="1"/>
        <rFont val="Noto Sans CJK SC"/>
        <family val="2"/>
      </rPr>
      <t xml:space="preserve">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</t>
    </r>
  </si>
  <si>
    <r>
      <rPr>
        <sz val="11"/>
        <color theme="1"/>
        <rFont val="Noto Sans CJK SC"/>
        <family val="2"/>
      </rPr>
      <t xml:space="preserve">專案整體延遲（案例）｜美國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衛星）｜延至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年底的容量</t>
    </r>
  </si>
  <si>
    <t xml:space="preserve">2026-06-12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</si>
  <si>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衛星追蹤）</t>
    </r>
  </si>
  <si>
    <t xml:space="preserve">https://www.synmax.com/resource-hub/blog/datacenter-delays-are-a-3-billion-earnings-problem-and-most-of-it-hasnt-hit-yet-1</t>
  </si>
  <si>
    <t xml:space="preserve">D#21</t>
  </si>
  <si>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</si>
  <si>
    <r>
      <rPr>
        <sz val="11"/>
        <color theme="1"/>
        <rFont val="Noto Sans CJK SC"/>
        <family val="2"/>
      </rPr>
      <t xml:space="preserve">專案整體延遲（案例）｜</t>
    </r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目標未見上線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</si>
  <si>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</si>
  <si>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目標）＋報導</t>
    </r>
  </si>
  <si>
    <t xml:space="preserve">D#22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</si>
  <si>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｜晶片在庫存無電可插</t>
    </r>
  </si>
  <si>
    <t xml:space="preserve">2025-11-05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</si>
  <si>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本人說，</t>
    </r>
    <r>
      <rPr>
        <sz val="11"/>
        <color theme="1"/>
        <rFont val="Calibri"/>
        <family val="2"/>
        <charset val="1"/>
      </rPr>
      <t xml:space="preserve">BG2 podcast</t>
    </r>
    <r>
      <rPr>
        <sz val="11"/>
        <color theme="1"/>
        <rFont val="Noto Sans CJK SC"/>
        <family val="2"/>
      </rPr>
      <t xml:space="preserve">）</t>
    </r>
  </si>
  <si>
    <t xml:space="preserve">https://www.techradar.com/pro/you-may-actually-have-a-bunch-of-chips-sitting-in-inventory-that-i-cant-plug-in-satya-nadella-admits-an-embarrassing-shortcoming-so-lets-hope-it-doesnt-set-the-company-back-in-the-ai-arms-race</t>
  </si>
  <si>
    <t xml:space="preserve">D#23</t>
  </si>
  <si>
    <t xml:space="preserve">AWS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</si>
  <si>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｜容量短缺解決所需時間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</si>
  <si>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</si>
  <si>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2025-08-05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</si>
  <si>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Jassy </t>
    </r>
    <r>
      <rPr>
        <sz val="11"/>
        <color theme="1"/>
        <rFont val="Noto Sans CJK SC"/>
        <family val="2"/>
      </rPr>
      <t xml:space="preserve">本人說）</t>
    </r>
  </si>
  <si>
    <t xml:space="preserve">https://www.latitudemedia.com/news/power-is-aws-single-biggest-constraint/</t>
  </si>
  <si>
    <t xml:space="preserve">D#24</t>
  </si>
  <si>
    <t xml:space="preserve">Microsoft Fairwater Wisconsin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</si>
  <si>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｜宣布上線與實際上線落差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</si>
  <si>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</si>
  <si>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</si>
  <si>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msft_guardian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cp_msft_wi1</t>
    </r>
  </si>
  <si>
    <t xml:space="preserve">https://aiweekly.co/alerts/microsofts-ai-buildout-stalls-on-power-not-chip-supply</t>
  </si>
  <si>
    <t xml:space="preserve">D#25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</si>
  <si>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xAI Colossus 2</t>
    </r>
  </si>
  <si>
    <r>
      <rPr>
        <sz val="11"/>
        <color theme="1"/>
        <rFont val="Noto Sans CJK SC"/>
        <family val="2"/>
      </rPr>
      <t xml:space="preserve">自建發電（表後）｜美國 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｜以臨時燃氣機組繞過併網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</si>
  <si>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衛星與許可文件）</t>
    </r>
  </si>
  <si>
    <t xml:space="preserve">https://cleanview.co/reports/behind-the-meter-data-centers/full-report/colossus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</si>
  <si>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</si>
  <si>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t xml:space="preserve">路徑</t>
  </si>
  <si>
    <r>
      <rPr>
        <sz val="11"/>
        <color theme="1"/>
        <rFont val="Noto Sans CJK SC"/>
        <family val="2"/>
      </rPr>
      <t xml:space="preserve">待證據（</t>
    </r>
    <r>
      <rPr>
        <sz val="11"/>
        <color theme="1"/>
        <rFont val="Calibri"/>
        <family val="2"/>
        <charset val="1"/>
      </rPr>
      <t xml:space="preserve">gwledger/evidence_raw </t>
    </r>
    <r>
      <rPr>
        <sz val="11"/>
        <color theme="1"/>
        <rFont val="Noto Sans CJK SC"/>
        <family val="2"/>
      </rPr>
      <t xml:space="preserve">由查證代理產出，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</si>
  <si>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t xml:space="preserve">SRC_GL_001</t>
  </si>
  <si>
    <t xml:space="preserve">siliconomics/data/tokenomics_snapshot_v21.7.json</t>
  </si>
  <si>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鏡像）</t>
    </r>
  </si>
  <si>
    <t xml:space="preserve">SRC_GL_002</t>
  </si>
  <si>
    <t xml:space="preserve">siliconomics/data/CURRENT_SNAPSHOT → siliconomics_snapshot_v0.7.1.json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</si>
  <si>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鏡像）</t>
    </r>
  </si>
  <si>
    <r>
      <rPr>
        <sz val="11"/>
        <color theme="1"/>
        <rFont val="Calibri"/>
        <family val="2"/>
        <charset val="1"/>
      </rPr>
      <t xml:space="preserve">docs/plan/20261028_</t>
    </r>
    <r>
      <rPr>
        <sz val="11"/>
        <color theme="1"/>
        <rFont val="Noto Sans CJK SC"/>
        <family val="2"/>
      </rPr>
      <t xml:space="preserve">全市場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帳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</si>
  <si>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帳規劃書（第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節單位、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容許帶）</t>
    </r>
  </si>
  <si>
    <t xml:space="preserve">gwledger/docs/workorders/20261028_GWLedger_v0.1.md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</si>
  <si>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工作單</t>
    </r>
  </si>
  <si>
    <t xml:space="preserve">SRC_GL_005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</si>
  <si>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建置指示：延遲參數佔位值）</t>
    </r>
  </si>
  <si>
    <r>
      <rPr>
        <sz val="11"/>
        <color theme="1"/>
        <rFont val="Calibri"/>
        <family val="2"/>
        <charset val="1"/>
      </rPr>
      <t xml:space="preserve">D1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綁定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、再延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月（佔位，待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校準）</t>
    </r>
  </si>
  <si>
    <t xml:space="preserve">microsoft/company.json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</si>
  <si>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aiOpenIT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mag.leases.notCommenced</t>
    </r>
  </si>
  <si>
    <t xml:space="preserve">microsoft/data/consensus_msft_20261008.json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</si>
  <si>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</si>
  <si>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alphabet/company.json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</si>
  <si>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mag.ai.mwInService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mag.balance.leases</t>
    </r>
  </si>
  <si>
    <t xml:space="preserve">alphabet/data/consensus_googl_20261008.json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</si>
  <si>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companyGuidance.2026</t>
    </r>
  </si>
  <si>
    <t xml:space="preserve">amazon/company.json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</si>
  <si>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aiInServiceIT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epochSites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leases.facts</t>
    </r>
  </si>
  <si>
    <t xml:space="preserve">amazon/data/consensus_amzn_20261008.json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</si>
  <si>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companyGuidance.FY2026.cashCapex</t>
    </r>
  </si>
  <si>
    <t xml:space="preserve">oracle/company.json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</si>
  <si>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fleet.openMw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</si>
  <si>
    <t xml:space="preserve">oracle/data/consensus_orcl_20261022.json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</si>
  <si>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companyGuidance.FY27 capex</t>
    </r>
  </si>
  <si>
    <t xml:space="preserve">coreweave/company.json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</si>
  <si>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callFacts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yeActiveGw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contractedGw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meta.mwBasis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</si>
  <si>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coreweave/data/consensus_crwv_20260925.json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</si>
  <si>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companyGuidance.FY26</t>
    </r>
  </si>
  <si>
    <t xml:space="preserve">nebius/company.json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</si>
  <si>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connectedYE26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</si>
  <si>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nebius/data/consensus_nbis_20261007.json</t>
  </si>
  <si>
    <r>
      <rPr>
        <sz val="11"/>
        <color theme="1"/>
        <rFont val="Calibri"/>
        <family val="2"/>
        <charset val="1"/>
      </rPr>
      <t xml:space="preserve">companyGuidance.FY26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contractedPowerGW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annualEstimates.capex</t>
    </r>
  </si>
  <si>
    <t xml:space="preserve">whitefiber/company.json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</si>
  <si>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</si>
  <si>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SRC_GL_080</t>
  </si>
  <si>
    <t xml:space="preserve">openai/model/20261025_OpenAI_v0.6.3.xlsx</t>
  </si>
  <si>
    <r>
      <rPr>
        <sz val="11"/>
        <color theme="1"/>
        <rFont val="Calibri"/>
        <family val="2"/>
        <charset val="1"/>
      </rPr>
      <t xml:space="preserve">Inputs B284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口徑三）、</t>
    </r>
    <r>
      <rPr>
        <sz val="11"/>
        <color theme="1"/>
        <rFont val="Calibri"/>
        <family val="2"/>
        <charset val="1"/>
      </rPr>
      <t xml:space="preserve">Checks B116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</t>
    </r>
  </si>
  <si>
    <t xml:space="preserve">SRC_GL_090</t>
  </si>
  <si>
    <t xml:space="preserve">anthropic/model/20261024_Anthropic_v0.1.5.xlsx</t>
  </si>
  <si>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（報導年底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</si>
  <si>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coreweave/company.json fleet.openMix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SIF_vr26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SIF_UnitsPlat_*</t>
    </r>
  </si>
  <si>
    <t xml:space="preserve">世代組合</t>
  </si>
  <si>
    <t xml:space="preserve">SRC_GL_006</t>
  </si>
  <si>
    <r>
      <rPr>
        <sz val="11"/>
        <color theme="1"/>
        <rFont val="Calibri"/>
        <family val="2"/>
        <charset val="1"/>
      </rPr>
      <t xml:space="preserve">Tokenomics/model/20261025_Tokenomics_v21.7.xlsx 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</si>
  <si>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對應設施電力）；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未含此名稱，直接讀活頁簿（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裁定）</t>
    </r>
  </si>
  <si>
    <t xml:space="preserve">gwledger/evidence_raw/A_us_cloud.csv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</si>
  <si>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段美國雲與新雲證據（列號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行）</t>
    </r>
  </si>
  <si>
    <t xml:space="preserve">gwledger/evidence_raw/B_labs_china_totals.csv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</si>
  <si>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段實驗室、中國、主權、第三方總量（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）</t>
    </r>
  </si>
  <si>
    <t xml:space="preserve">gwledger/evidence_raw/B_delay.csv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</si>
  <si>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段基建延遲（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）</t>
    </r>
  </si>
  <si>
    <t xml:space="preserve">gwledger/evidence_raw/C_review.md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</si>
  <si>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段獨立核對（判定以此為準）</t>
    </r>
  </si>
  <si>
    <t xml:space="preserve">gwledger/evidence_raw/B_summary.md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</si>
  <si>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段摘要（營運者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使用者關係、延遲建議）</t>
    </r>
  </si>
  <si>
    <t xml:space="preserve">gwledger/evidence_raw/A_us_cloud.md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</si>
  <si>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段摘要（各家最佳估計）</t>
    </r>
  </si>
  <si>
    <r>
      <rPr>
        <sz val="11"/>
        <color theme="1"/>
        <rFont val="Calibri"/>
        <family val="2"/>
        <charset val="1"/>
      </rPr>
      <t xml:space="preserve">Requests —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權威改值或新增名稱的請求（本庫不改其檔案；工作單第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節停止條件）</t>
    </r>
  </si>
  <si>
    <t xml:space="preserve">對象</t>
  </si>
  <si>
    <t xml:space="preserve">請求</t>
  </si>
  <si>
    <t xml:space="preserve">原因</t>
  </si>
  <si>
    <t xml:space="preserve">R1</t>
  </si>
  <si>
    <t xml:space="preserve">Tokenomics</t>
  </si>
  <si>
    <r>
      <rPr>
        <sz val="11"/>
        <color theme="1"/>
        <rFont val="Noto Sans CJK SC"/>
        <family val="2"/>
      </rPr>
      <t xml:space="preserve">確認每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</si>
  <si>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已裁定（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關鍵電力；</t>
    </r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列＝每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帳主口徑改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</si>
  <si>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t xml:space="preserve">已裁定</t>
  </si>
  <si>
    <t xml:space="preserve">R2</t>
  </si>
  <si>
    <t xml:space="preserve">Siliconomics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</si>
  <si>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頁標籤</t>
    </r>
  </si>
  <si>
    <r>
      <rPr>
        <sz val="11"/>
        <color theme="1"/>
        <rFont val="Noto Sans CJK SC"/>
        <family val="2"/>
      </rPr>
      <t xml:space="preserve">撤回（規劃書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電力標籤正確）</t>
    </r>
  </si>
  <si>
    <t xml:space="preserve">撤回</t>
  </si>
  <si>
    <t xml:space="preserve">R3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</si>
  <si>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顆數與每顆功率的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Noto Sans CJK SC"/>
        <family val="2"/>
      </rPr>
      <t xml:space="preserve">名稱（</t>
    </r>
    <r>
      <rPr>
        <sz val="11"/>
        <color theme="1"/>
        <rFont val="Calibri"/>
        <family val="2"/>
        <charset val="1"/>
      </rPr>
      <t xml:space="preserve">v0.2 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</si>
  <si>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</t>
    </r>
  </si>
  <si>
    <t xml:space="preserve">v0.2</t>
  </si>
  <si>
    <t xml:space="preserve">R4</t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</si>
  <si>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</si>
  <si>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晶片合約對帳：</t>
    </r>
    <r>
      <rPr>
        <sz val="11"/>
        <color theme="1"/>
        <rFont val="Calibri"/>
        <family val="2"/>
        <charset val="1"/>
      </rPr>
      <t xml:space="preserve">OpenAI–AMD 6 GW</t>
    </r>
    <r>
      <rPr>
        <sz val="11"/>
        <color theme="1"/>
        <rFont val="Noto Sans CJK SC"/>
        <family val="2"/>
      </rPr>
      <t xml:space="preserve">（晶片功耗）、</t>
    </r>
    <r>
      <rPr>
        <sz val="11"/>
        <color theme="1"/>
        <rFont val="Calibri"/>
        <family val="2"/>
        <charset val="1"/>
      </rPr>
      <t xml:space="preserve">Broadcom 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Vera Rubin 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Anthropic–AMD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TPU 3.5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</si>
  <si>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點：晶片合約與機房合約是同一批容量的兩面，不入 </t>
    </r>
    <r>
      <rPr>
        <sz val="11"/>
        <color theme="1"/>
        <rFont val="Calibri"/>
        <family val="2"/>
        <charset val="1"/>
      </rPr>
      <t xml:space="preserve">C0</t>
    </r>
  </si>
  <si>
    <t xml:space="preserve">R5</t>
  </si>
  <si>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tokenomics_snapshot</t>
    </r>
    <r>
      <rPr>
        <sz val="11"/>
        <color theme="1"/>
        <rFont val="Noto Sans CJK SC"/>
        <family val="2"/>
      </rPr>
      <t xml:space="preserve">）加入 </t>
    </r>
    <r>
      <rPr>
        <sz val="11"/>
        <color theme="1"/>
        <rFont val="Calibri"/>
        <family val="2"/>
        <charset val="1"/>
      </rPr>
      <t xml:space="preserve">IF_FacilityGW</t>
    </r>
  </si>
  <si>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快照未含；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帳暫直接讀活頁簿 </t>
    </r>
    <r>
      <rPr>
        <sz val="11"/>
        <color theme="1"/>
        <rFont val="Calibri"/>
        <family val="2"/>
        <charset val="1"/>
      </rPr>
      <t xml:space="preserve">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</si>
  <si>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TK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</si>
</sst>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.0"/>
    <numFmt numFmtId="167" formatCode="0.00"/>
    <numFmt numFmtId="168" formatCode="0%"/>
    <numFmt numFmtId="169" formatCode="0.000"/>
    <numFmt numFmtId="170" formatCode="0"/>
    <numFmt numFmtId="171" formatCode="0.000000"/>
    <numFmt numFmtId="172" formatCode="0.0"/>
    <numFmt numFmtId="173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CJK SC"/>
      <family val="2"/>
    </font>
    <font>
      <sz val="11"/>
      <color rgb="FF808080"/>
      <name val="Cambria"/>
      <family val="0"/>
      <charset val="1"/>
    </font>
    <font>
      <sz val="11"/>
      <color rgb="FF808080"/>
      <name val="Noto Sans CJK SC"/>
      <family val="2"/>
    </font>
    <font>
      <sz val="11"/>
      <color rgb="FF008000"/>
      <name val="Cambria"/>
      <family val="0"/>
      <charset val="1"/>
    </font>
    <font>
      <b val="true"/>
      <sz val="12"/>
      <name val="Noto Sans CJK SC"/>
      <family val="2"/>
    </font>
    <font>
      <b val="true"/>
      <sz val="12"/>
      <name val="Cambria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2" t="s">
        <v>3</v>
      </c>
    </row>
    <row r="5" customFormat="false" ht="32.8" hidden="false" customHeight="false" outlineLevel="0" collapsed="false">
      <c r="A5" s="2" t="s">
        <v>4</v>
      </c>
    </row>
    <row r="6" customFormat="false" ht="32.8" hidden="false" customHeight="false" outlineLevel="0" collapsed="false">
      <c r="A6" s="3" t="s">
        <v>5</v>
      </c>
    </row>
    <row r="7" customFormat="false" ht="38.8" hidden="false" customHeight="false" outlineLevel="0" collapsed="false">
      <c r="A7" s="4" t="s">
        <v>6</v>
      </c>
    </row>
    <row r="8" customFormat="false" ht="17.15" hidden="false" customHeight="false" outlineLevel="0" collapsed="false">
      <c r="A8" s="2" t="s">
        <v>7</v>
      </c>
    </row>
    <row r="9" customFormat="false" ht="17.15" hidden="false" customHeight="false" outlineLevel="0" collapsed="false">
      <c r="A9" s="3" t="s">
        <v>8</v>
      </c>
    </row>
    <row r="10" customFormat="false" ht="17.15" hidden="false" customHeight="false" outlineLevel="0" collapsed="false">
      <c r="A10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18" min="8" style="0" width="9"/>
    <col collapsed="false" customWidth="true" hidden="false" outlineLevel="0" max="19" min="19" style="0" width="5"/>
  </cols>
  <sheetData>
    <row r="1" customFormat="false" ht="17.15" hidden="false" customHeight="false" outlineLevel="0" collapsed="false">
      <c r="A1" s="0" t="s">
        <v>10</v>
      </c>
    </row>
    <row r="2" customFormat="false" ht="17.15" hidden="false" customHeight="false" outlineLevel="0" collapsed="false">
      <c r="A2" s="5" t="s">
        <v>11</v>
      </c>
    </row>
    <row r="4" customFormat="false" ht="17.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7" t="s">
        <v>19</v>
      </c>
      <c r="I4" s="7" t="s">
        <v>20</v>
      </c>
      <c r="J4" s="7" t="s">
        <v>21</v>
      </c>
      <c r="K4" s="7" t="s">
        <v>22</v>
      </c>
      <c r="L4" s="7" t="s">
        <v>23</v>
      </c>
      <c r="M4" s="7" t="s">
        <v>24</v>
      </c>
      <c r="N4" s="7" t="s">
        <v>25</v>
      </c>
      <c r="O4" s="7" t="s">
        <v>26</v>
      </c>
      <c r="P4" s="7" t="s">
        <v>27</v>
      </c>
      <c r="Q4" s="7" t="s">
        <v>28</v>
      </c>
      <c r="R4" s="6"/>
      <c r="S4" s="6" t="s">
        <v>29</v>
      </c>
    </row>
    <row r="5" customFormat="false" ht="17.15" hidden="false" customHeight="false" outlineLevel="0" collapsed="false">
      <c r="A5" s="8" t="s">
        <v>30</v>
      </c>
    </row>
    <row r="6" customFormat="false" ht="17.15" hidden="false" customHeight="false" outlineLevel="0" collapsed="false">
      <c r="A6" s="0" t="s">
        <v>31</v>
      </c>
      <c r="B6" s="5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0" t="s">
        <v>37</v>
      </c>
      <c r="I6" s="9" t="n">
        <v>1</v>
      </c>
      <c r="S6" s="0" t="n">
        <v>1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0" t="s">
        <v>33</v>
      </c>
      <c r="D7" s="0" t="s">
        <v>34</v>
      </c>
      <c r="E7" s="0" t="s">
        <v>40</v>
      </c>
      <c r="F7" s="0" t="s">
        <v>41</v>
      </c>
      <c r="G7" s="5" t="s">
        <v>42</v>
      </c>
      <c r="H7" s="9" t="n">
        <v>1.65</v>
      </c>
      <c r="I7" s="9" t="n">
        <v>1.85</v>
      </c>
      <c r="J7" s="9" t="n">
        <v>2.08</v>
      </c>
      <c r="S7" s="0" t="n">
        <v>1</v>
      </c>
    </row>
    <row r="8" customFormat="false" ht="17.15" hidden="false" customHeight="false" outlineLevel="0" collapsed="false">
      <c r="A8" s="0" t="s">
        <v>43</v>
      </c>
      <c r="B8" s="5" t="s">
        <v>44</v>
      </c>
      <c r="C8" s="0" t="s">
        <v>33</v>
      </c>
      <c r="D8" s="5" t="s">
        <v>45</v>
      </c>
      <c r="E8" s="0" t="s">
        <v>35</v>
      </c>
      <c r="F8" s="0" t="s">
        <v>46</v>
      </c>
      <c r="G8" s="0" t="s">
        <v>47</v>
      </c>
      <c r="I8" s="9" t="n">
        <v>2026.825</v>
      </c>
      <c r="S8" s="0" t="n">
        <v>1</v>
      </c>
    </row>
    <row r="9" customFormat="false" ht="17.15" hidden="false" customHeight="false" outlineLevel="0" collapsed="false">
      <c r="A9" s="0" t="s">
        <v>48</v>
      </c>
      <c r="B9" s="5" t="s">
        <v>49</v>
      </c>
      <c r="C9" s="0" t="s">
        <v>33</v>
      </c>
      <c r="D9" s="0" t="s">
        <v>50</v>
      </c>
      <c r="E9" s="0" t="s">
        <v>51</v>
      </c>
      <c r="F9" s="0" t="s">
        <v>36</v>
      </c>
      <c r="G9" s="5" t="s">
        <v>52</v>
      </c>
      <c r="H9" s="10" t="n">
        <v>0.1</v>
      </c>
      <c r="I9" s="10" t="n">
        <v>0.15</v>
      </c>
      <c r="J9" s="10" t="n">
        <v>0.2</v>
      </c>
      <c r="S9" s="0" t="n">
        <v>1</v>
      </c>
    </row>
    <row r="10" customFormat="false" ht="17.15" hidden="false" customHeight="false" outlineLevel="0" collapsed="false">
      <c r="A10" s="0" t="s">
        <v>53</v>
      </c>
      <c r="B10" s="5" t="s">
        <v>54</v>
      </c>
      <c r="C10" s="0" t="s">
        <v>33</v>
      </c>
      <c r="D10" s="5" t="s">
        <v>55</v>
      </c>
      <c r="E10" s="0" t="s">
        <v>51</v>
      </c>
      <c r="F10" s="0" t="s">
        <v>46</v>
      </c>
      <c r="G10" s="5" t="s">
        <v>56</v>
      </c>
      <c r="H10" s="9" t="n">
        <v>12</v>
      </c>
      <c r="I10" s="9" t="n">
        <v>18</v>
      </c>
      <c r="J10" s="9" t="n">
        <v>24</v>
      </c>
      <c r="S10" s="0" t="n">
        <v>1</v>
      </c>
    </row>
    <row r="11" customFormat="false" ht="17.15" hidden="false" customHeight="false" outlineLevel="0" collapsed="false">
      <c r="A11" s="0" t="s">
        <v>57</v>
      </c>
      <c r="B11" s="5" t="s">
        <v>58</v>
      </c>
      <c r="C11" s="0" t="s">
        <v>33</v>
      </c>
      <c r="D11" s="0" t="s">
        <v>50</v>
      </c>
      <c r="E11" s="0" t="s">
        <v>51</v>
      </c>
      <c r="F11" s="0" t="s">
        <v>46</v>
      </c>
      <c r="G11" s="5" t="s">
        <v>59</v>
      </c>
      <c r="H11" s="10" t="n">
        <v>0.05</v>
      </c>
      <c r="I11" s="10" t="n">
        <v>0.1</v>
      </c>
      <c r="J11" s="10" t="n">
        <v>0.15</v>
      </c>
      <c r="S11" s="0" t="n">
        <v>1</v>
      </c>
    </row>
    <row r="12" customFormat="false" ht="17.15" hidden="false" customHeight="false" outlineLevel="0" collapsed="false">
      <c r="A12" s="8" t="s">
        <v>60</v>
      </c>
    </row>
    <row r="13" customFormat="false" ht="17.15" hidden="false" customHeight="false" outlineLevel="0" collapsed="false">
      <c r="A13" s="0" t="s">
        <v>61</v>
      </c>
      <c r="B13" s="5" t="s">
        <v>62</v>
      </c>
      <c r="C13" s="0" t="s">
        <v>33</v>
      </c>
      <c r="D13" s="0" t="s">
        <v>50</v>
      </c>
      <c r="E13" s="0" t="s">
        <v>51</v>
      </c>
      <c r="F13" s="0" t="s">
        <v>46</v>
      </c>
      <c r="G13" s="0" t="s">
        <v>63</v>
      </c>
      <c r="H13" s="10" t="n">
        <v>0.75</v>
      </c>
      <c r="I13" s="10" t="n">
        <v>0.85</v>
      </c>
      <c r="J13" s="10" t="n">
        <v>0.95</v>
      </c>
      <c r="S13" s="0" t="n">
        <v>1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0" t="s">
        <v>33</v>
      </c>
      <c r="D14" s="0" t="s">
        <v>50</v>
      </c>
      <c r="E14" s="0" t="s">
        <v>35</v>
      </c>
      <c r="F14" s="0" t="s">
        <v>66</v>
      </c>
      <c r="G14" s="0" t="s">
        <v>67</v>
      </c>
      <c r="H14" s="10" t="n">
        <v>0.6</v>
      </c>
      <c r="I14" s="10" t="n">
        <v>0.68</v>
      </c>
      <c r="J14" s="10" t="n">
        <v>0.75</v>
      </c>
      <c r="S14" s="0" t="n">
        <v>1</v>
      </c>
    </row>
    <row r="15" customFormat="false" ht="17.15" hidden="false" customHeight="false" outlineLevel="0" collapsed="false">
      <c r="A15" s="0" t="s">
        <v>68</v>
      </c>
      <c r="B15" s="5" t="s">
        <v>69</v>
      </c>
      <c r="C15" s="0" t="s">
        <v>33</v>
      </c>
      <c r="D15" s="0" t="s">
        <v>50</v>
      </c>
      <c r="E15" s="0" t="s">
        <v>51</v>
      </c>
      <c r="F15" s="0" t="s">
        <v>46</v>
      </c>
      <c r="G15" s="5" t="s">
        <v>70</v>
      </c>
      <c r="H15" s="10" t="n">
        <v>0</v>
      </c>
      <c r="I15" s="10" t="n">
        <v>0.1</v>
      </c>
      <c r="J15" s="10" t="n">
        <v>0.15</v>
      </c>
      <c r="S15" s="0" t="n">
        <v>1</v>
      </c>
    </row>
    <row r="16" customFormat="false" ht="17.15" hidden="false" customHeight="false" outlineLevel="0" collapsed="false">
      <c r="A16" s="8" t="s">
        <v>71</v>
      </c>
    </row>
    <row r="17" customFormat="false" ht="17.15" hidden="false" customHeight="false" outlineLevel="0" collapsed="false">
      <c r="A17" s="0" t="s">
        <v>72</v>
      </c>
      <c r="B17" s="5" t="s">
        <v>73</v>
      </c>
      <c r="C17" s="5" t="s">
        <v>74</v>
      </c>
      <c r="D17" s="0" t="s">
        <v>75</v>
      </c>
      <c r="E17" s="0" t="s">
        <v>40</v>
      </c>
      <c r="F17" s="0" t="s">
        <v>76</v>
      </c>
      <c r="G17" s="0" t="s">
        <v>77</v>
      </c>
      <c r="H17" s="9" t="n">
        <v>36</v>
      </c>
      <c r="I17" s="9" t="n">
        <v>40</v>
      </c>
      <c r="J17" s="9" t="n">
        <v>44</v>
      </c>
      <c r="S17" s="0" t="n">
        <v>1</v>
      </c>
    </row>
    <row r="18" customFormat="false" ht="17.15" hidden="false" customHeight="false" outlineLevel="0" collapsed="false">
      <c r="A18" s="0" t="s">
        <v>78</v>
      </c>
      <c r="B18" s="5" t="s">
        <v>79</v>
      </c>
      <c r="C18" s="5" t="s">
        <v>74</v>
      </c>
      <c r="D18" s="0" t="s">
        <v>75</v>
      </c>
      <c r="E18" s="0" t="s">
        <v>40</v>
      </c>
      <c r="F18" s="0" t="s">
        <v>76</v>
      </c>
      <c r="G18" s="0" t="s">
        <v>80</v>
      </c>
      <c r="H18" s="9" t="n">
        <v>60</v>
      </c>
      <c r="I18" s="9" t="n">
        <v>60</v>
      </c>
      <c r="J18" s="9" t="n">
        <v>70</v>
      </c>
      <c r="S18" s="0" t="n">
        <v>1</v>
      </c>
    </row>
    <row r="19" customFormat="false" ht="17.15" hidden="false" customHeight="false" outlineLevel="0" collapsed="false">
      <c r="A19" s="0" t="s">
        <v>81</v>
      </c>
      <c r="B19" s="5" t="s">
        <v>82</v>
      </c>
      <c r="C19" s="0" t="s">
        <v>33</v>
      </c>
      <c r="D19" s="0" t="s">
        <v>50</v>
      </c>
      <c r="E19" s="0" t="s">
        <v>40</v>
      </c>
      <c r="F19" s="0" t="s">
        <v>76</v>
      </c>
      <c r="G19" s="0" t="s">
        <v>77</v>
      </c>
      <c r="H19" s="10" t="n">
        <v>0.351</v>
      </c>
      <c r="I19" s="10" t="n">
        <v>0.39</v>
      </c>
      <c r="J19" s="10" t="n">
        <v>0.429</v>
      </c>
      <c r="S19" s="0" t="n">
        <v>1</v>
      </c>
    </row>
    <row r="20" customFormat="false" ht="17.15" hidden="false" customHeight="false" outlineLevel="0" collapsed="false">
      <c r="A20" s="0" t="s">
        <v>83</v>
      </c>
      <c r="B20" s="5" t="s">
        <v>84</v>
      </c>
      <c r="C20" s="0" t="s">
        <v>33</v>
      </c>
      <c r="D20" s="0" t="s">
        <v>50</v>
      </c>
      <c r="E20" s="0" t="s">
        <v>40</v>
      </c>
      <c r="F20" s="0" t="s">
        <v>76</v>
      </c>
      <c r="G20" s="0" t="s">
        <v>85</v>
      </c>
      <c r="H20" s="10" t="n">
        <v>0.432</v>
      </c>
      <c r="I20" s="10" t="n">
        <v>0.48</v>
      </c>
      <c r="J20" s="10" t="n">
        <v>0.528</v>
      </c>
      <c r="S20" s="0" t="n">
        <v>1</v>
      </c>
    </row>
    <row r="21" customFormat="false" ht="17.15" hidden="false" customHeight="false" outlineLevel="0" collapsed="false">
      <c r="A21" s="8" t="s">
        <v>86</v>
      </c>
    </row>
    <row r="22" customFormat="false" ht="17.15" hidden="false" customHeight="false" outlineLevel="0" collapsed="false">
      <c r="A22" s="0" t="s">
        <v>87</v>
      </c>
      <c r="B22" s="0" t="s">
        <v>88</v>
      </c>
      <c r="C22" s="0" t="s">
        <v>33</v>
      </c>
      <c r="D22" s="0" t="s">
        <v>50</v>
      </c>
      <c r="E22" s="0" t="s">
        <v>35</v>
      </c>
      <c r="F22" s="0" t="s">
        <v>89</v>
      </c>
      <c r="G22" s="0" t="s">
        <v>90</v>
      </c>
      <c r="H22" s="10" t="n">
        <v>0.25</v>
      </c>
      <c r="I22" s="10" t="n">
        <v>0.35</v>
      </c>
      <c r="J22" s="10" t="n">
        <v>0.45</v>
      </c>
      <c r="S22" s="0" t="n">
        <v>1</v>
      </c>
    </row>
    <row r="23" customFormat="false" ht="17.15" hidden="false" customHeight="false" outlineLevel="0" collapsed="false">
      <c r="A23" s="0" t="s">
        <v>91</v>
      </c>
      <c r="B23" s="0" t="s">
        <v>92</v>
      </c>
      <c r="C23" s="0" t="s">
        <v>33</v>
      </c>
      <c r="D23" s="5" t="s">
        <v>55</v>
      </c>
      <c r="E23" s="0" t="s">
        <v>35</v>
      </c>
      <c r="F23" s="0" t="s">
        <v>89</v>
      </c>
      <c r="G23" s="0" t="s">
        <v>93</v>
      </c>
      <c r="H23" s="9" t="n">
        <v>3</v>
      </c>
      <c r="I23" s="9" t="n">
        <v>6</v>
      </c>
      <c r="J23" s="9" t="n">
        <v>12</v>
      </c>
      <c r="S23" s="0" t="n">
        <v>1</v>
      </c>
    </row>
    <row r="24" customFormat="false" ht="17.15" hidden="false" customHeight="false" outlineLevel="0" collapsed="false">
      <c r="A24" s="0" t="s">
        <v>94</v>
      </c>
      <c r="B24" s="0" t="s">
        <v>95</v>
      </c>
      <c r="C24" s="0" t="s">
        <v>33</v>
      </c>
      <c r="D24" s="0" t="s">
        <v>50</v>
      </c>
      <c r="E24" s="0" t="s">
        <v>35</v>
      </c>
      <c r="F24" s="0" t="s">
        <v>89</v>
      </c>
      <c r="G24" s="0" t="s">
        <v>96</v>
      </c>
      <c r="H24" s="10" t="n">
        <v>0.3</v>
      </c>
      <c r="I24" s="10" t="n">
        <v>0.4</v>
      </c>
      <c r="J24" s="10" t="n">
        <v>0.5</v>
      </c>
      <c r="S24" s="0" t="n">
        <v>1</v>
      </c>
    </row>
    <row r="25" customFormat="false" ht="17.15" hidden="false" customHeight="false" outlineLevel="0" collapsed="false">
      <c r="A25" s="0" t="s">
        <v>97</v>
      </c>
      <c r="B25" s="0" t="s">
        <v>98</v>
      </c>
      <c r="C25" s="0" t="s">
        <v>33</v>
      </c>
      <c r="D25" s="5" t="s">
        <v>55</v>
      </c>
      <c r="E25" s="0" t="s">
        <v>35</v>
      </c>
      <c r="F25" s="0" t="s">
        <v>89</v>
      </c>
      <c r="G25" s="0" t="s">
        <v>99</v>
      </c>
      <c r="H25" s="9" t="n">
        <v>12</v>
      </c>
      <c r="I25" s="9" t="n">
        <v>12</v>
      </c>
      <c r="J25" s="9" t="n">
        <v>12</v>
      </c>
      <c r="S25" s="0" t="n">
        <v>1</v>
      </c>
    </row>
    <row r="26" customFormat="false" ht="17.15" hidden="false" customHeight="false" outlineLevel="0" collapsed="false">
      <c r="A26" s="0" t="s">
        <v>100</v>
      </c>
      <c r="B26" s="0" t="s">
        <v>101</v>
      </c>
      <c r="C26" s="0" t="s">
        <v>33</v>
      </c>
      <c r="D26" s="5" t="s">
        <v>45</v>
      </c>
      <c r="E26" s="0" t="s">
        <v>35</v>
      </c>
      <c r="F26" s="0" t="s">
        <v>89</v>
      </c>
      <c r="G26" s="0" t="s">
        <v>102</v>
      </c>
      <c r="I26" s="9" t="n">
        <v>2027</v>
      </c>
      <c r="S26" s="0" t="n">
        <v>1</v>
      </c>
    </row>
    <row r="27" customFormat="false" ht="17.15" hidden="false" customHeight="false" outlineLevel="0" collapsed="false">
      <c r="A27" s="0" t="s">
        <v>103</v>
      </c>
      <c r="B27" s="0" t="s">
        <v>104</v>
      </c>
      <c r="C27" s="0" t="s">
        <v>33</v>
      </c>
      <c r="D27" s="5" t="s">
        <v>45</v>
      </c>
      <c r="E27" s="0" t="s">
        <v>35</v>
      </c>
      <c r="F27" s="0" t="s">
        <v>89</v>
      </c>
      <c r="G27" s="5" t="s">
        <v>105</v>
      </c>
      <c r="I27" s="9" t="n">
        <v>2028</v>
      </c>
      <c r="S27" s="0" t="n">
        <v>1</v>
      </c>
    </row>
    <row r="28" customFormat="false" ht="17.15" hidden="false" customHeight="false" outlineLevel="0" collapsed="false">
      <c r="A28" s="8" t="s">
        <v>106</v>
      </c>
    </row>
    <row r="29" customFormat="false" ht="17.15" hidden="false" customHeight="false" outlineLevel="0" collapsed="false">
      <c r="A29" s="0" t="s">
        <v>107</v>
      </c>
      <c r="B29" s="0" t="s">
        <v>108</v>
      </c>
      <c r="C29" s="0" t="s">
        <v>109</v>
      </c>
      <c r="D29" s="0" t="s">
        <v>110</v>
      </c>
      <c r="E29" s="0" t="s">
        <v>111</v>
      </c>
      <c r="F29" s="0" t="s">
        <v>112</v>
      </c>
      <c r="G29" s="0" t="s">
        <v>113</v>
      </c>
      <c r="H29" s="9" t="n">
        <v>3500</v>
      </c>
      <c r="I29" s="9" t="n">
        <v>4500</v>
      </c>
      <c r="J29" s="9" t="n">
        <v>5500</v>
      </c>
      <c r="S29" s="0" t="n">
        <v>1</v>
      </c>
    </row>
    <row r="30" customFormat="false" ht="17.15" hidden="false" customHeight="false" outlineLevel="0" collapsed="false">
      <c r="A30" s="0" t="s">
        <v>114</v>
      </c>
      <c r="B30" s="0" t="s">
        <v>115</v>
      </c>
      <c r="C30" s="0" t="s">
        <v>33</v>
      </c>
      <c r="D30" s="5" t="s">
        <v>45</v>
      </c>
      <c r="E30" s="0" t="s">
        <v>116</v>
      </c>
      <c r="F30" s="0" t="s">
        <v>112</v>
      </c>
      <c r="G30" s="0" t="s">
        <v>117</v>
      </c>
      <c r="I30" s="9" t="n">
        <v>2026.5</v>
      </c>
      <c r="S30" s="0" t="n">
        <v>1</v>
      </c>
    </row>
    <row r="31" customFormat="false" ht="17.15" hidden="false" customHeight="false" outlineLevel="0" collapsed="false">
      <c r="A31" s="0" t="s">
        <v>118</v>
      </c>
      <c r="B31" s="0" t="s">
        <v>119</v>
      </c>
      <c r="C31" s="5" t="s">
        <v>120</v>
      </c>
      <c r="D31" s="0" t="s">
        <v>110</v>
      </c>
      <c r="E31" s="0" t="s">
        <v>35</v>
      </c>
      <c r="F31" s="0" t="s">
        <v>121</v>
      </c>
      <c r="G31" s="0" t="s">
        <v>122</v>
      </c>
      <c r="I31" s="9" t="n">
        <v>3841</v>
      </c>
      <c r="S31" s="0" t="n">
        <v>1</v>
      </c>
    </row>
    <row r="32" customFormat="false" ht="17.15" hidden="false" customHeight="false" outlineLevel="0" collapsed="false">
      <c r="A32" s="0" t="s">
        <v>123</v>
      </c>
      <c r="B32" s="0" t="s">
        <v>124</v>
      </c>
      <c r="C32" s="0" t="s">
        <v>33</v>
      </c>
      <c r="D32" s="5" t="s">
        <v>45</v>
      </c>
      <c r="E32" s="0" t="s">
        <v>116</v>
      </c>
      <c r="F32" s="0" t="s">
        <v>121</v>
      </c>
      <c r="G32" s="0" t="s">
        <v>117</v>
      </c>
      <c r="I32" s="9" t="n">
        <v>2026.5</v>
      </c>
      <c r="S32" s="0" t="n">
        <v>1</v>
      </c>
    </row>
    <row r="33" customFormat="false" ht="17.15" hidden="false" customHeight="false" outlineLevel="0" collapsed="false">
      <c r="A33" s="0" t="s">
        <v>125</v>
      </c>
      <c r="B33" s="0" t="s">
        <v>126</v>
      </c>
      <c r="C33" s="0" t="s">
        <v>109</v>
      </c>
      <c r="D33" s="0" t="s">
        <v>110</v>
      </c>
      <c r="E33" s="0" t="s">
        <v>111</v>
      </c>
      <c r="F33" s="0" t="s">
        <v>66</v>
      </c>
      <c r="G33" s="0" t="s">
        <v>127</v>
      </c>
      <c r="H33" s="9" t="n">
        <v>2000</v>
      </c>
      <c r="I33" s="9" t="n">
        <v>2600</v>
      </c>
      <c r="J33" s="9" t="n">
        <v>3300</v>
      </c>
      <c r="S33" s="0" t="n">
        <v>1</v>
      </c>
    </row>
    <row r="34" customFormat="false" ht="17.15" hidden="false" customHeight="false" outlineLevel="0" collapsed="false">
      <c r="A34" s="0" t="s">
        <v>128</v>
      </c>
      <c r="B34" s="0" t="s">
        <v>129</v>
      </c>
      <c r="C34" s="0" t="s">
        <v>33</v>
      </c>
      <c r="D34" s="5" t="s">
        <v>45</v>
      </c>
      <c r="E34" s="0" t="s">
        <v>116</v>
      </c>
      <c r="F34" s="0" t="s">
        <v>66</v>
      </c>
      <c r="G34" s="0" t="s">
        <v>117</v>
      </c>
      <c r="I34" s="9" t="n">
        <v>2026.5</v>
      </c>
      <c r="S34" s="0" t="n">
        <v>1</v>
      </c>
    </row>
    <row r="35" customFormat="false" ht="17.15" hidden="false" customHeight="false" outlineLevel="0" collapsed="false">
      <c r="A35" s="0" t="s">
        <v>130</v>
      </c>
      <c r="B35" s="0" t="s">
        <v>131</v>
      </c>
      <c r="C35" s="0" t="s">
        <v>109</v>
      </c>
      <c r="D35" s="0" t="s">
        <v>110</v>
      </c>
      <c r="E35" s="0" t="s">
        <v>35</v>
      </c>
      <c r="F35" s="0" t="s">
        <v>132</v>
      </c>
      <c r="G35" s="0" t="s">
        <v>133</v>
      </c>
      <c r="I35" s="9" t="n">
        <v>2543</v>
      </c>
      <c r="S35" s="0" t="n">
        <v>1</v>
      </c>
    </row>
    <row r="36" customFormat="false" ht="17.15" hidden="false" customHeight="false" outlineLevel="0" collapsed="false">
      <c r="A36" s="0" t="s">
        <v>134</v>
      </c>
      <c r="B36" s="0" t="s">
        <v>135</v>
      </c>
      <c r="C36" s="0" t="s">
        <v>33</v>
      </c>
      <c r="D36" s="5" t="s">
        <v>45</v>
      </c>
      <c r="E36" s="0" t="s">
        <v>116</v>
      </c>
      <c r="F36" s="0" t="s">
        <v>132</v>
      </c>
      <c r="G36" s="0" t="s">
        <v>136</v>
      </c>
      <c r="I36" s="9" t="n">
        <v>2026.667</v>
      </c>
      <c r="S36" s="0" t="n">
        <v>1</v>
      </c>
    </row>
    <row r="37" customFormat="false" ht="17.15" hidden="false" customHeight="false" outlineLevel="0" collapsed="false">
      <c r="A37" s="0" t="s">
        <v>137</v>
      </c>
      <c r="B37" s="0" t="s">
        <v>138</v>
      </c>
      <c r="C37" s="0" t="s">
        <v>109</v>
      </c>
      <c r="D37" s="0" t="s">
        <v>110</v>
      </c>
      <c r="E37" s="0" t="s">
        <v>139</v>
      </c>
      <c r="F37" s="0" t="s">
        <v>140</v>
      </c>
      <c r="G37" s="0" t="s">
        <v>141</v>
      </c>
      <c r="I37" s="9" t="n">
        <v>1500</v>
      </c>
      <c r="S37" s="0" t="n">
        <v>1</v>
      </c>
    </row>
    <row r="38" customFormat="false" ht="17.15" hidden="false" customHeight="false" outlineLevel="0" collapsed="false">
      <c r="A38" s="0" t="s">
        <v>142</v>
      </c>
      <c r="B38" s="0" t="s">
        <v>143</v>
      </c>
      <c r="C38" s="0" t="s">
        <v>33</v>
      </c>
      <c r="D38" s="5" t="s">
        <v>45</v>
      </c>
      <c r="E38" s="0" t="s">
        <v>116</v>
      </c>
      <c r="F38" s="0" t="s">
        <v>140</v>
      </c>
      <c r="G38" s="0" t="s">
        <v>117</v>
      </c>
      <c r="I38" s="9" t="n">
        <v>2026.5</v>
      </c>
      <c r="S38" s="0" t="n">
        <v>1</v>
      </c>
    </row>
    <row r="39" customFormat="false" ht="17.15" hidden="false" customHeight="false" outlineLevel="0" collapsed="false">
      <c r="A39" s="0" t="s">
        <v>144</v>
      </c>
      <c r="B39" s="0" t="s">
        <v>145</v>
      </c>
      <c r="C39" s="5" t="s">
        <v>74</v>
      </c>
      <c r="D39" s="0" t="s">
        <v>110</v>
      </c>
      <c r="E39" s="0" t="s">
        <v>139</v>
      </c>
      <c r="F39" s="0" t="s">
        <v>76</v>
      </c>
      <c r="G39" s="0" t="s">
        <v>146</v>
      </c>
      <c r="I39" s="9" t="n">
        <v>1400</v>
      </c>
      <c r="S39" s="0" t="n">
        <v>1</v>
      </c>
    </row>
    <row r="40" customFormat="false" ht="17.15" hidden="false" customHeight="false" outlineLevel="0" collapsed="false">
      <c r="A40" s="0" t="s">
        <v>147</v>
      </c>
      <c r="B40" s="0" t="s">
        <v>148</v>
      </c>
      <c r="C40" s="0" t="s">
        <v>33</v>
      </c>
      <c r="D40" s="5" t="s">
        <v>45</v>
      </c>
      <c r="E40" s="0" t="s">
        <v>116</v>
      </c>
      <c r="F40" s="0" t="s">
        <v>76</v>
      </c>
      <c r="G40" s="0" t="s">
        <v>117</v>
      </c>
      <c r="I40" s="9" t="n">
        <v>2026.5</v>
      </c>
      <c r="S40" s="0" t="n">
        <v>1</v>
      </c>
    </row>
    <row r="41" customFormat="false" ht="17.15" hidden="false" customHeight="false" outlineLevel="0" collapsed="false">
      <c r="A41" s="8" t="s">
        <v>149</v>
      </c>
    </row>
    <row r="42" customFormat="false" ht="17.15" hidden="false" customHeight="false" outlineLevel="0" collapsed="false">
      <c r="A42" s="0" t="s">
        <v>150</v>
      </c>
      <c r="B42" s="0" t="s">
        <v>151</v>
      </c>
      <c r="C42" s="0" t="s">
        <v>109</v>
      </c>
      <c r="D42" s="0" t="s">
        <v>110</v>
      </c>
      <c r="E42" s="0" t="s">
        <v>35</v>
      </c>
      <c r="F42" s="0" t="s">
        <v>41</v>
      </c>
      <c r="G42" s="0" t="s">
        <v>152</v>
      </c>
      <c r="H42" s="9" t="n">
        <v>3900</v>
      </c>
      <c r="I42" s="9" t="n">
        <v>4300</v>
      </c>
      <c r="J42" s="9" t="n">
        <v>4900</v>
      </c>
      <c r="S42" s="0" t="n">
        <v>1</v>
      </c>
    </row>
    <row r="43" customFormat="false" ht="17.15" hidden="false" customHeight="false" outlineLevel="0" collapsed="false">
      <c r="A43" s="0" t="s">
        <v>153</v>
      </c>
      <c r="B43" s="0" t="s">
        <v>154</v>
      </c>
      <c r="C43" s="0" t="s">
        <v>109</v>
      </c>
      <c r="D43" s="0" t="s">
        <v>110</v>
      </c>
      <c r="E43" s="0" t="s">
        <v>35</v>
      </c>
      <c r="F43" s="0" t="s">
        <v>41</v>
      </c>
      <c r="G43" s="0" t="s">
        <v>155</v>
      </c>
      <c r="H43" s="9" t="n">
        <v>1900</v>
      </c>
      <c r="I43" s="9" t="n">
        <v>2200</v>
      </c>
      <c r="J43" s="9" t="n">
        <v>2600</v>
      </c>
      <c r="S43" s="0" t="n">
        <v>1</v>
      </c>
    </row>
    <row r="44" customFormat="false" ht="17.15" hidden="false" customHeight="false" outlineLevel="0" collapsed="false">
      <c r="A44" s="0" t="s">
        <v>156</v>
      </c>
      <c r="B44" s="0" t="s">
        <v>157</v>
      </c>
      <c r="C44" s="5" t="s">
        <v>74</v>
      </c>
      <c r="D44" s="0" t="s">
        <v>110</v>
      </c>
      <c r="E44" s="0" t="s">
        <v>40</v>
      </c>
      <c r="F44" s="0" t="s">
        <v>41</v>
      </c>
      <c r="G44" s="0" t="s">
        <v>158</v>
      </c>
      <c r="H44" s="9" t="n">
        <v>1000</v>
      </c>
      <c r="I44" s="9" t="n">
        <v>1200</v>
      </c>
      <c r="J44" s="9" t="n">
        <v>1500</v>
      </c>
      <c r="S44" s="0" t="n">
        <v>1</v>
      </c>
    </row>
    <row r="45" customFormat="false" ht="17.15" hidden="false" customHeight="false" outlineLevel="0" collapsed="false">
      <c r="A45" s="0" t="s">
        <v>159</v>
      </c>
      <c r="B45" s="5" t="s">
        <v>160</v>
      </c>
      <c r="C45" s="0" t="s">
        <v>109</v>
      </c>
      <c r="D45" s="0" t="s">
        <v>110</v>
      </c>
      <c r="E45" s="0" t="s">
        <v>51</v>
      </c>
      <c r="F45" s="0" t="s">
        <v>161</v>
      </c>
      <c r="G45" s="0" t="s">
        <v>162</v>
      </c>
      <c r="H45" s="9" t="n">
        <v>300</v>
      </c>
      <c r="I45" s="9" t="n">
        <v>500</v>
      </c>
      <c r="J45" s="9" t="n">
        <v>800</v>
      </c>
      <c r="S45" s="0" t="n">
        <v>1</v>
      </c>
    </row>
    <row r="46" customFormat="false" ht="17.15" hidden="false" customHeight="false" outlineLevel="0" collapsed="false">
      <c r="A46" s="0" t="s">
        <v>163</v>
      </c>
      <c r="B46" s="5" t="s">
        <v>164</v>
      </c>
      <c r="C46" s="5" t="s">
        <v>165</v>
      </c>
      <c r="D46" s="0" t="s">
        <v>110</v>
      </c>
      <c r="E46" s="0" t="s">
        <v>51</v>
      </c>
      <c r="F46" s="0" t="s">
        <v>41</v>
      </c>
      <c r="G46" s="0" t="s">
        <v>166</v>
      </c>
      <c r="H46" s="9" t="n">
        <v>8000</v>
      </c>
      <c r="I46" s="9" t="n">
        <v>10000</v>
      </c>
      <c r="J46" s="9" t="n">
        <v>12000</v>
      </c>
      <c r="S46" s="0" t="n">
        <v>1</v>
      </c>
    </row>
    <row r="47" customFormat="false" ht="17.15" hidden="false" customHeight="false" outlineLevel="0" collapsed="false">
      <c r="A47" s="0" t="s">
        <v>167</v>
      </c>
      <c r="B47" s="5" t="s">
        <v>168</v>
      </c>
      <c r="C47" s="5" t="s">
        <v>165</v>
      </c>
      <c r="D47" s="0" t="s">
        <v>110</v>
      </c>
      <c r="E47" s="0" t="s">
        <v>35</v>
      </c>
      <c r="F47" s="0" t="s">
        <v>76</v>
      </c>
      <c r="G47" s="0" t="s">
        <v>169</v>
      </c>
      <c r="H47" s="9" t="n">
        <v>12000</v>
      </c>
      <c r="I47" s="9" t="n">
        <v>14000</v>
      </c>
      <c r="J47" s="9" t="n">
        <v>16000</v>
      </c>
      <c r="S47" s="0" t="n">
        <v>1</v>
      </c>
    </row>
    <row r="48" customFormat="false" ht="17.15" hidden="false" customHeight="false" outlineLevel="0" collapsed="false">
      <c r="A48" s="0" t="s">
        <v>170</v>
      </c>
      <c r="B48" s="5" t="s">
        <v>171</v>
      </c>
      <c r="C48" s="0" t="s">
        <v>33</v>
      </c>
      <c r="D48" s="5" t="s">
        <v>172</v>
      </c>
      <c r="E48" s="0" t="s">
        <v>51</v>
      </c>
      <c r="F48" s="0" t="s">
        <v>41</v>
      </c>
      <c r="G48" s="0" t="s">
        <v>173</v>
      </c>
      <c r="H48" s="9" t="n">
        <v>0</v>
      </c>
      <c r="I48" s="9" t="n">
        <v>1</v>
      </c>
      <c r="J48" s="9" t="n">
        <v>1</v>
      </c>
      <c r="S48" s="0" t="n">
        <v>1</v>
      </c>
    </row>
    <row r="49" customFormat="false" ht="17.15" hidden="false" customHeight="false" outlineLevel="0" collapsed="false">
      <c r="A49" s="0" t="s">
        <v>174</v>
      </c>
      <c r="B49" s="5" t="s">
        <v>175</v>
      </c>
      <c r="C49" s="0" t="s">
        <v>109</v>
      </c>
      <c r="D49" s="0" t="s">
        <v>110</v>
      </c>
      <c r="E49" s="0" t="s">
        <v>51</v>
      </c>
      <c r="F49" s="0" t="s">
        <v>41</v>
      </c>
      <c r="G49" s="0" t="s">
        <v>176</v>
      </c>
      <c r="H49" s="9" t="n">
        <v>1500</v>
      </c>
      <c r="I49" s="9" t="n">
        <v>2000</v>
      </c>
      <c r="J49" s="9" t="n">
        <v>2500</v>
      </c>
      <c r="S49" s="0" t="n">
        <v>1</v>
      </c>
    </row>
    <row r="50" customFormat="false" ht="17.15" hidden="false" customHeight="false" outlineLevel="0" collapsed="false">
      <c r="A50" s="0" t="s">
        <v>177</v>
      </c>
      <c r="B50" s="5" t="s">
        <v>178</v>
      </c>
      <c r="C50" s="0" t="s">
        <v>109</v>
      </c>
      <c r="D50" s="0" t="s">
        <v>110</v>
      </c>
      <c r="E50" s="0" t="s">
        <v>51</v>
      </c>
      <c r="F50" s="0" t="s">
        <v>41</v>
      </c>
      <c r="G50" s="0" t="s">
        <v>179</v>
      </c>
      <c r="H50" s="9" t="n">
        <v>500</v>
      </c>
      <c r="I50" s="9" t="n">
        <v>1000</v>
      </c>
      <c r="J50" s="9" t="n">
        <v>2000</v>
      </c>
      <c r="S50" s="0" t="n">
        <v>1</v>
      </c>
    </row>
    <row r="51" customFormat="false" ht="17.15" hidden="false" customHeight="false" outlineLevel="0" collapsed="false">
      <c r="A51" s="8" t="s">
        <v>180</v>
      </c>
    </row>
    <row r="52" customFormat="false" ht="17.15" hidden="false" customHeight="false" outlineLevel="0" collapsed="false">
      <c r="A52" s="0" t="s">
        <v>181</v>
      </c>
      <c r="B52" s="0" t="s">
        <v>182</v>
      </c>
      <c r="C52" s="5" t="s">
        <v>74</v>
      </c>
      <c r="D52" s="0" t="s">
        <v>75</v>
      </c>
      <c r="E52" s="0" t="s">
        <v>139</v>
      </c>
      <c r="F52" s="0" t="s">
        <v>76</v>
      </c>
      <c r="G52" s="0" t="s">
        <v>183</v>
      </c>
      <c r="I52" s="9" t="n">
        <v>3</v>
      </c>
      <c r="S52" s="0" t="n">
        <v>1</v>
      </c>
    </row>
    <row r="53" customFormat="false" ht="17.15" hidden="false" customHeight="false" outlineLevel="0" collapsed="false">
      <c r="A53" s="0" t="s">
        <v>184</v>
      </c>
      <c r="B53" s="0" t="s">
        <v>185</v>
      </c>
      <c r="C53" s="5" t="s">
        <v>74</v>
      </c>
      <c r="D53" s="0" t="s">
        <v>75</v>
      </c>
      <c r="E53" s="0" t="s">
        <v>139</v>
      </c>
      <c r="F53" s="0" t="s">
        <v>186</v>
      </c>
      <c r="G53" s="0" t="s">
        <v>187</v>
      </c>
      <c r="I53" s="9" t="n">
        <v>4.2</v>
      </c>
      <c r="S53" s="0" t="n">
        <v>1</v>
      </c>
    </row>
    <row r="54" customFormat="false" ht="17.15" hidden="false" customHeight="false" outlineLevel="0" collapsed="false">
      <c r="A54" s="0" t="s">
        <v>188</v>
      </c>
      <c r="B54" s="0" t="s">
        <v>189</v>
      </c>
      <c r="C54" s="5" t="s">
        <v>74</v>
      </c>
      <c r="D54" s="0" t="s">
        <v>75</v>
      </c>
      <c r="E54" s="0" t="s">
        <v>139</v>
      </c>
      <c r="F54" s="0" t="s">
        <v>190</v>
      </c>
      <c r="G54" s="0" t="s">
        <v>191</v>
      </c>
      <c r="I54" s="9" t="n">
        <v>3.5</v>
      </c>
      <c r="S54" s="0" t="n">
        <v>1</v>
      </c>
    </row>
    <row r="55" customFormat="false" ht="17.15" hidden="false" customHeight="false" outlineLevel="0" collapsed="false">
      <c r="A55" s="0" t="s">
        <v>192</v>
      </c>
      <c r="B55" s="0" t="s">
        <v>193</v>
      </c>
      <c r="C55" s="5" t="s">
        <v>74</v>
      </c>
      <c r="D55" s="0" t="s">
        <v>75</v>
      </c>
      <c r="E55" s="0" t="s">
        <v>139</v>
      </c>
      <c r="F55" s="0" t="s">
        <v>186</v>
      </c>
      <c r="G55" s="0" t="s">
        <v>194</v>
      </c>
      <c r="I55" s="9" t="n">
        <v>4.5</v>
      </c>
      <c r="S55" s="0" t="n">
        <v>1</v>
      </c>
    </row>
    <row r="56" customFormat="false" ht="17.15" hidden="false" customHeight="false" outlineLevel="0" collapsed="false">
      <c r="A56" s="0" t="s">
        <v>195</v>
      </c>
      <c r="B56" s="0" t="s">
        <v>196</v>
      </c>
      <c r="C56" s="5" t="s">
        <v>74</v>
      </c>
      <c r="D56" s="0" t="s">
        <v>75</v>
      </c>
      <c r="E56" s="0" t="s">
        <v>139</v>
      </c>
      <c r="F56" s="0" t="s">
        <v>186</v>
      </c>
      <c r="G56" s="0" t="s">
        <v>197</v>
      </c>
      <c r="I56" s="9" t="n">
        <v>5</v>
      </c>
      <c r="S56" s="0" t="n">
        <v>1</v>
      </c>
    </row>
    <row r="57" customFormat="false" ht="17.15" hidden="false" customHeight="false" outlineLevel="0" collapsed="false">
      <c r="A57" s="0" t="s">
        <v>198</v>
      </c>
      <c r="B57" s="0" t="s">
        <v>199</v>
      </c>
      <c r="C57" s="5" t="s">
        <v>74</v>
      </c>
      <c r="D57" s="0" t="s">
        <v>75</v>
      </c>
      <c r="E57" s="0" t="s">
        <v>139</v>
      </c>
      <c r="F57" s="0" t="s">
        <v>186</v>
      </c>
      <c r="G57" s="0" t="s">
        <v>200</v>
      </c>
      <c r="I57" s="9" t="n">
        <v>1</v>
      </c>
      <c r="S57" s="0" t="n">
        <v>1</v>
      </c>
    </row>
    <row r="58" customFormat="false" ht="17.15" hidden="false" customHeight="false" outlineLevel="0" collapsed="false">
      <c r="A58" s="0" t="s">
        <v>201</v>
      </c>
      <c r="B58" s="0" t="s">
        <v>202</v>
      </c>
      <c r="C58" s="5" t="s">
        <v>74</v>
      </c>
      <c r="D58" s="0" t="s">
        <v>75</v>
      </c>
      <c r="E58" s="0" t="s">
        <v>139</v>
      </c>
      <c r="F58" s="0" t="s">
        <v>186</v>
      </c>
      <c r="G58" s="0" t="s">
        <v>203</v>
      </c>
      <c r="I58" s="9" t="n">
        <v>1</v>
      </c>
      <c r="S58" s="0" t="n">
        <v>1</v>
      </c>
    </row>
    <row r="59" customFormat="false" ht="17.15" hidden="false" customHeight="false" outlineLevel="0" collapsed="false">
      <c r="A59" s="0" t="s">
        <v>204</v>
      </c>
      <c r="B59" s="0" t="s">
        <v>205</v>
      </c>
      <c r="C59" s="5" t="s">
        <v>74</v>
      </c>
      <c r="D59" s="0" t="s">
        <v>75</v>
      </c>
      <c r="E59" s="0" t="s">
        <v>139</v>
      </c>
      <c r="F59" s="0" t="s">
        <v>76</v>
      </c>
      <c r="G59" s="0" t="s">
        <v>206</v>
      </c>
      <c r="I59" s="9" t="n">
        <v>10</v>
      </c>
      <c r="S59" s="0" t="n">
        <v>1</v>
      </c>
    </row>
    <row r="60" customFormat="false" ht="17.15" hidden="false" customHeight="false" outlineLevel="0" collapsed="false">
      <c r="A60" s="0" t="s">
        <v>207</v>
      </c>
      <c r="B60" s="0" t="s">
        <v>208</v>
      </c>
      <c r="C60" s="5" t="s">
        <v>74</v>
      </c>
      <c r="D60" s="0" t="s">
        <v>75</v>
      </c>
      <c r="E60" s="0" t="s">
        <v>139</v>
      </c>
      <c r="F60" s="0" t="s">
        <v>186</v>
      </c>
      <c r="G60" s="0" t="s">
        <v>209</v>
      </c>
      <c r="I60" s="9" t="n">
        <v>38</v>
      </c>
      <c r="S60" s="0" t="n">
        <v>1</v>
      </c>
    </row>
    <row r="61" customFormat="false" ht="17.15" hidden="false" customHeight="false" outlineLevel="0" collapsed="false">
      <c r="A61" s="0" t="s">
        <v>210</v>
      </c>
      <c r="B61" s="0" t="s">
        <v>211</v>
      </c>
      <c r="C61" s="0" t="s">
        <v>33</v>
      </c>
      <c r="D61" s="0" t="s">
        <v>212</v>
      </c>
      <c r="E61" s="0" t="s">
        <v>116</v>
      </c>
      <c r="F61" s="0" t="s">
        <v>112</v>
      </c>
      <c r="G61" s="0" t="s">
        <v>213</v>
      </c>
      <c r="I61" s="9" t="n">
        <v>329.1</v>
      </c>
      <c r="S61" s="0" t="n">
        <v>1</v>
      </c>
    </row>
    <row r="62" customFormat="false" ht="17.15" hidden="false" customHeight="false" outlineLevel="0" collapsed="false">
      <c r="A62" s="0" t="s">
        <v>214</v>
      </c>
      <c r="B62" s="0" t="s">
        <v>215</v>
      </c>
      <c r="C62" s="0" t="s">
        <v>33</v>
      </c>
      <c r="D62" s="0" t="s">
        <v>212</v>
      </c>
      <c r="E62" s="0" t="s">
        <v>116</v>
      </c>
      <c r="F62" s="0" t="s">
        <v>121</v>
      </c>
      <c r="G62" s="0" t="s">
        <v>216</v>
      </c>
      <c r="I62" s="9" t="n">
        <v>85.2</v>
      </c>
      <c r="S62" s="0" t="n">
        <v>1</v>
      </c>
    </row>
    <row r="63" customFormat="false" ht="17.15" hidden="false" customHeight="false" outlineLevel="0" collapsed="false">
      <c r="A63" s="0" t="s">
        <v>217</v>
      </c>
      <c r="B63" s="0" t="s">
        <v>218</v>
      </c>
      <c r="C63" s="0" t="s">
        <v>33</v>
      </c>
      <c r="D63" s="0" t="s">
        <v>212</v>
      </c>
      <c r="E63" s="0" t="s">
        <v>116</v>
      </c>
      <c r="F63" s="0" t="s">
        <v>66</v>
      </c>
      <c r="G63" s="0" t="s">
        <v>219</v>
      </c>
      <c r="I63" s="9" t="n">
        <v>137.214</v>
      </c>
      <c r="S63" s="0" t="n">
        <v>1</v>
      </c>
    </row>
    <row r="64" customFormat="false" ht="17.15" hidden="false" customHeight="false" outlineLevel="0" collapsed="false">
      <c r="A64" s="8" t="s">
        <v>220</v>
      </c>
    </row>
    <row r="65" customFormat="false" ht="17.15" hidden="false" customHeight="false" outlineLevel="0" collapsed="false">
      <c r="A65" s="0" t="s">
        <v>221</v>
      </c>
      <c r="B65" s="0" t="s">
        <v>222</v>
      </c>
      <c r="C65" s="0" t="s">
        <v>33</v>
      </c>
      <c r="D65" s="0" t="s">
        <v>50</v>
      </c>
      <c r="E65" s="0" t="s">
        <v>35</v>
      </c>
      <c r="F65" s="0" t="s">
        <v>121</v>
      </c>
      <c r="G65" s="0" t="s">
        <v>223</v>
      </c>
      <c r="I65" s="10" t="n">
        <v>0.753</v>
      </c>
      <c r="S65" s="0" t="n">
        <v>1</v>
      </c>
    </row>
    <row r="66" customFormat="false" ht="17.15" hidden="false" customHeight="false" outlineLevel="0" collapsed="false">
      <c r="A66" s="0" t="s">
        <v>224</v>
      </c>
      <c r="B66" s="0" t="s">
        <v>225</v>
      </c>
      <c r="C66" s="0" t="s">
        <v>33</v>
      </c>
      <c r="D66" s="0" t="s">
        <v>50</v>
      </c>
      <c r="E66" s="0" t="s">
        <v>35</v>
      </c>
      <c r="F66" s="0" t="s">
        <v>66</v>
      </c>
      <c r="G66" s="0" t="s">
        <v>226</v>
      </c>
      <c r="I66" s="10" t="n">
        <v>0.67</v>
      </c>
      <c r="S66" s="0" t="n">
        <v>1</v>
      </c>
    </row>
    <row r="67" customFormat="false" ht="17.15" hidden="false" customHeight="false" outlineLevel="0" collapsed="false">
      <c r="A67" s="0" t="s">
        <v>227</v>
      </c>
      <c r="B67" s="0" t="s">
        <v>228</v>
      </c>
      <c r="C67" s="0" t="s">
        <v>33</v>
      </c>
      <c r="D67" s="0" t="s">
        <v>50</v>
      </c>
      <c r="E67" s="0" t="s">
        <v>35</v>
      </c>
      <c r="F67" s="0" t="s">
        <v>140</v>
      </c>
      <c r="G67" s="0" t="s">
        <v>229</v>
      </c>
      <c r="I67" s="10" t="n">
        <v>0</v>
      </c>
      <c r="S67" s="0" t="n">
        <v>1</v>
      </c>
    </row>
    <row r="68" customFormat="false" ht="17.15" hidden="false" customHeight="false" outlineLevel="0" collapsed="false">
      <c r="A68" s="0" t="s">
        <v>230</v>
      </c>
      <c r="B68" s="0" t="s">
        <v>231</v>
      </c>
      <c r="C68" s="0" t="s">
        <v>33</v>
      </c>
      <c r="D68" s="0" t="s">
        <v>50</v>
      </c>
      <c r="E68" s="0" t="s">
        <v>35</v>
      </c>
      <c r="F68" s="0" t="s">
        <v>232</v>
      </c>
      <c r="G68" s="0" t="s">
        <v>229</v>
      </c>
      <c r="I68" s="10" t="n">
        <v>0</v>
      </c>
      <c r="S68" s="0" t="n">
        <v>1</v>
      </c>
    </row>
    <row r="69" customFormat="false" ht="17.15" hidden="false" customHeight="false" outlineLevel="0" collapsed="false">
      <c r="A69" s="0" t="s">
        <v>233</v>
      </c>
      <c r="B69" s="0" t="s">
        <v>234</v>
      </c>
      <c r="C69" s="0" t="s">
        <v>33</v>
      </c>
      <c r="D69" s="0" t="s">
        <v>50</v>
      </c>
      <c r="E69" s="0" t="s">
        <v>35</v>
      </c>
      <c r="F69" s="0" t="s">
        <v>235</v>
      </c>
      <c r="G69" s="0" t="s">
        <v>229</v>
      </c>
      <c r="I69" s="10" t="n">
        <v>0</v>
      </c>
      <c r="S69" s="0" t="n">
        <v>1</v>
      </c>
    </row>
    <row r="70" customFormat="false" ht="17.15" hidden="false" customHeight="false" outlineLevel="0" collapsed="false">
      <c r="A70" s="0" t="s">
        <v>236</v>
      </c>
      <c r="B70" s="0" t="s">
        <v>237</v>
      </c>
      <c r="C70" s="0" t="s">
        <v>33</v>
      </c>
      <c r="D70" s="0" t="s">
        <v>50</v>
      </c>
      <c r="E70" s="0" t="s">
        <v>35</v>
      </c>
      <c r="F70" s="0" t="s">
        <v>76</v>
      </c>
      <c r="G70" s="0" t="s">
        <v>238</v>
      </c>
      <c r="I70" s="10" t="n">
        <v>0</v>
      </c>
      <c r="S70" s="0" t="n">
        <v>1</v>
      </c>
    </row>
    <row r="71" customFormat="false" ht="17.15" hidden="false" customHeight="false" outlineLevel="0" collapsed="false">
      <c r="A71" s="8" t="s">
        <v>239</v>
      </c>
    </row>
    <row r="72" customFormat="false" ht="17.15" hidden="false" customHeight="false" outlineLevel="0" collapsed="false">
      <c r="A72" s="0" t="s">
        <v>240</v>
      </c>
      <c r="B72" s="0" t="s">
        <v>241</v>
      </c>
      <c r="C72" s="0" t="s">
        <v>33</v>
      </c>
      <c r="D72" s="5" t="s">
        <v>55</v>
      </c>
      <c r="E72" s="0" t="s">
        <v>116</v>
      </c>
      <c r="F72" s="0" t="s">
        <v>112</v>
      </c>
      <c r="G72" s="0" t="s">
        <v>242</v>
      </c>
      <c r="I72" s="9" t="n">
        <v>6</v>
      </c>
      <c r="S72" s="0" t="n">
        <v>1</v>
      </c>
    </row>
    <row r="73" customFormat="false" ht="17.15" hidden="false" customHeight="false" outlineLevel="0" collapsed="false">
      <c r="A73" s="0" t="s">
        <v>243</v>
      </c>
      <c r="B73" s="0" t="s">
        <v>244</v>
      </c>
      <c r="C73" s="0" t="s">
        <v>33</v>
      </c>
      <c r="D73" s="5" t="s">
        <v>55</v>
      </c>
      <c r="E73" s="0" t="s">
        <v>116</v>
      </c>
      <c r="F73" s="0" t="s">
        <v>121</v>
      </c>
      <c r="G73" s="0" t="s">
        <v>242</v>
      </c>
      <c r="I73" s="9" t="n">
        <v>12</v>
      </c>
      <c r="S73" s="0" t="n">
        <v>1</v>
      </c>
    </row>
    <row r="74" customFormat="false" ht="17.15" hidden="false" customHeight="false" outlineLevel="0" collapsed="false">
      <c r="A74" s="0" t="s">
        <v>245</v>
      </c>
      <c r="B74" s="0" t="s">
        <v>246</v>
      </c>
      <c r="C74" s="0" t="s">
        <v>33</v>
      </c>
      <c r="D74" s="5" t="s">
        <v>55</v>
      </c>
      <c r="E74" s="0" t="s">
        <v>116</v>
      </c>
      <c r="F74" s="0" t="s">
        <v>66</v>
      </c>
      <c r="G74" s="0" t="s">
        <v>242</v>
      </c>
      <c r="I74" s="9" t="n">
        <v>12</v>
      </c>
      <c r="S74" s="0" t="n">
        <v>1</v>
      </c>
    </row>
    <row r="75" customFormat="false" ht="17.15" hidden="false" customHeight="false" outlineLevel="0" collapsed="false">
      <c r="A75" s="0" t="s">
        <v>247</v>
      </c>
      <c r="B75" s="0" t="s">
        <v>248</v>
      </c>
      <c r="C75" s="0" t="s">
        <v>33</v>
      </c>
      <c r="D75" s="5" t="s">
        <v>55</v>
      </c>
      <c r="E75" s="0" t="s">
        <v>116</v>
      </c>
      <c r="F75" s="0" t="s">
        <v>132</v>
      </c>
      <c r="G75" s="0" t="s">
        <v>242</v>
      </c>
      <c r="I75" s="9" t="n">
        <v>5</v>
      </c>
      <c r="S75" s="0" t="n">
        <v>1</v>
      </c>
    </row>
    <row r="76" customFormat="false" ht="17.15" hidden="false" customHeight="false" outlineLevel="0" collapsed="false">
      <c r="A76" s="0" t="s">
        <v>249</v>
      </c>
      <c r="B76" s="0" t="s">
        <v>250</v>
      </c>
      <c r="C76" s="0" t="s">
        <v>33</v>
      </c>
      <c r="D76" s="5" t="s">
        <v>55</v>
      </c>
      <c r="E76" s="0" t="s">
        <v>116</v>
      </c>
      <c r="F76" s="0" t="s">
        <v>140</v>
      </c>
      <c r="G76" s="0" t="s">
        <v>242</v>
      </c>
      <c r="I76" s="9" t="n">
        <v>12</v>
      </c>
      <c r="S76" s="0" t="n">
        <v>1</v>
      </c>
    </row>
    <row r="77" customFormat="false" ht="17.15" hidden="false" customHeight="false" outlineLevel="0" collapsed="false">
      <c r="A77" s="0" t="s">
        <v>251</v>
      </c>
      <c r="B77" s="0" t="s">
        <v>252</v>
      </c>
      <c r="C77" s="0" t="s">
        <v>33</v>
      </c>
      <c r="D77" s="5" t="s">
        <v>55</v>
      </c>
      <c r="E77" s="0" t="s">
        <v>116</v>
      </c>
      <c r="F77" s="0" t="s">
        <v>232</v>
      </c>
      <c r="G77" s="0" t="s">
        <v>242</v>
      </c>
      <c r="I77" s="9" t="n">
        <v>12</v>
      </c>
      <c r="S77" s="0" t="n">
        <v>1</v>
      </c>
    </row>
    <row r="78" customFormat="false" ht="17.15" hidden="false" customHeight="false" outlineLevel="0" collapsed="false">
      <c r="A78" s="0" t="s">
        <v>253</v>
      </c>
      <c r="B78" s="0" t="s">
        <v>254</v>
      </c>
      <c r="C78" s="0" t="s">
        <v>33</v>
      </c>
      <c r="D78" s="5" t="s">
        <v>55</v>
      </c>
      <c r="E78" s="0" t="s">
        <v>116</v>
      </c>
      <c r="F78" s="0" t="s">
        <v>235</v>
      </c>
      <c r="G78" s="0" t="s">
        <v>242</v>
      </c>
      <c r="I78" s="9" t="n">
        <v>12</v>
      </c>
      <c r="S78" s="0" t="n">
        <v>1</v>
      </c>
    </row>
    <row r="79" customFormat="false" ht="17.15" hidden="false" customHeight="false" outlineLevel="0" collapsed="false">
      <c r="A79" s="0" t="s">
        <v>255</v>
      </c>
      <c r="B79" s="0" t="s">
        <v>256</v>
      </c>
      <c r="C79" s="0" t="s">
        <v>33</v>
      </c>
      <c r="D79" s="5" t="s">
        <v>55</v>
      </c>
      <c r="E79" s="0" t="s">
        <v>116</v>
      </c>
      <c r="F79" s="0" t="s">
        <v>186</v>
      </c>
      <c r="G79" s="0" t="s">
        <v>257</v>
      </c>
      <c r="I79" s="9" t="n">
        <v>12</v>
      </c>
      <c r="S79" s="0" t="n">
        <v>1</v>
      </c>
    </row>
    <row r="80" customFormat="false" ht="17.15" hidden="false" customHeight="false" outlineLevel="0" collapsed="false">
      <c r="A80" s="8" t="s">
        <v>258</v>
      </c>
    </row>
    <row r="81" customFormat="false" ht="17.15" hidden="false" customHeight="false" outlineLevel="0" collapsed="false">
      <c r="A81" s="0" t="s">
        <v>259</v>
      </c>
      <c r="B81" s="0" t="s">
        <v>260</v>
      </c>
      <c r="C81" s="5" t="s">
        <v>120</v>
      </c>
      <c r="D81" s="0" t="s">
        <v>110</v>
      </c>
      <c r="E81" s="0" t="s">
        <v>40</v>
      </c>
      <c r="F81" s="0" t="s">
        <v>186</v>
      </c>
      <c r="G81" s="0" t="s">
        <v>261</v>
      </c>
      <c r="I81" s="11" t="n">
        <v>861.5</v>
      </c>
      <c r="J81" s="11" t="n">
        <v>2015.7</v>
      </c>
      <c r="S81" s="0" t="n">
        <v>2</v>
      </c>
    </row>
    <row r="82" customFormat="false" ht="17.15" hidden="false" customHeight="false" outlineLevel="0" collapsed="false">
      <c r="A82" s="0" t="s">
        <v>262</v>
      </c>
      <c r="B82" s="0" t="s">
        <v>263</v>
      </c>
      <c r="C82" s="5" t="s">
        <v>120</v>
      </c>
      <c r="D82" s="0" t="s">
        <v>110</v>
      </c>
      <c r="E82" s="0" t="s">
        <v>40</v>
      </c>
      <c r="F82" s="0" t="s">
        <v>186</v>
      </c>
      <c r="G82" s="0" t="s">
        <v>264</v>
      </c>
      <c r="H82" s="11" t="n">
        <v>385</v>
      </c>
      <c r="I82" s="11" t="n">
        <v>1298.3</v>
      </c>
      <c r="J82" s="11" t="n">
        <v>2953.2</v>
      </c>
      <c r="S82" s="0" t="n">
        <v>2</v>
      </c>
    </row>
    <row r="83" customFormat="false" ht="17.15" hidden="false" customHeight="false" outlineLevel="0" collapsed="false">
      <c r="A83" s="0" t="s">
        <v>265</v>
      </c>
      <c r="B83" s="0" t="s">
        <v>266</v>
      </c>
      <c r="C83" s="5" t="s">
        <v>120</v>
      </c>
      <c r="D83" s="0" t="s">
        <v>110</v>
      </c>
      <c r="E83" s="0" t="s">
        <v>40</v>
      </c>
      <c r="F83" s="0" t="s">
        <v>186</v>
      </c>
      <c r="G83" s="0" t="s">
        <v>267</v>
      </c>
      <c r="I83" s="11" t="n">
        <v>616</v>
      </c>
      <c r="J83" s="11" t="n">
        <v>1672.5</v>
      </c>
      <c r="S83" s="0" t="n">
        <v>2</v>
      </c>
    </row>
    <row r="84" customFormat="false" ht="17.15" hidden="false" customHeight="false" outlineLevel="0" collapsed="false">
      <c r="A84" s="0" t="s">
        <v>268</v>
      </c>
      <c r="B84" s="0" t="s">
        <v>269</v>
      </c>
      <c r="C84" s="5" t="s">
        <v>120</v>
      </c>
      <c r="D84" s="0" t="s">
        <v>110</v>
      </c>
      <c r="E84" s="0" t="s">
        <v>40</v>
      </c>
      <c r="F84" s="0" t="s">
        <v>186</v>
      </c>
      <c r="G84" s="0" t="s">
        <v>270</v>
      </c>
      <c r="I84" s="11" t="n">
        <v>523.5</v>
      </c>
      <c r="J84" s="11" t="n">
        <v>1338.7</v>
      </c>
      <c r="S84" s="0" t="n">
        <v>2</v>
      </c>
    </row>
    <row r="85" customFormat="false" ht="17.15" hidden="false" customHeight="false" outlineLevel="0" collapsed="false">
      <c r="A85" s="0" t="s">
        <v>271</v>
      </c>
      <c r="B85" s="0" t="s">
        <v>272</v>
      </c>
      <c r="C85" s="5" t="s">
        <v>120</v>
      </c>
      <c r="D85" s="0" t="s">
        <v>110</v>
      </c>
      <c r="E85" s="0" t="s">
        <v>40</v>
      </c>
      <c r="F85" s="0" t="s">
        <v>186</v>
      </c>
      <c r="G85" s="0" t="s">
        <v>273</v>
      </c>
      <c r="I85" s="11" t="n">
        <v>208.9</v>
      </c>
      <c r="J85" s="11" t="n">
        <v>650.2</v>
      </c>
      <c r="S85" s="0" t="n">
        <v>2</v>
      </c>
    </row>
    <row r="86" customFormat="false" ht="17.15" hidden="false" customHeight="false" outlineLevel="0" collapsed="false">
      <c r="A86" s="0" t="s">
        <v>274</v>
      </c>
      <c r="B86" s="0" t="s">
        <v>275</v>
      </c>
      <c r="C86" s="5" t="s">
        <v>120</v>
      </c>
      <c r="D86" s="0" t="s">
        <v>110</v>
      </c>
      <c r="E86" s="0" t="s">
        <v>40</v>
      </c>
      <c r="F86" s="0" t="s">
        <v>41</v>
      </c>
      <c r="G86" s="0" t="s">
        <v>276</v>
      </c>
      <c r="J86" s="11" t="n">
        <v>308</v>
      </c>
      <c r="S86" s="0" t="n">
        <v>2</v>
      </c>
    </row>
    <row r="87" customFormat="false" ht="17.15" hidden="false" customHeight="false" outlineLevel="0" collapsed="false">
      <c r="A87" s="8" t="s">
        <v>277</v>
      </c>
    </row>
    <row r="88" customFormat="false" ht="17.15" hidden="false" customHeight="false" outlineLevel="0" collapsed="false">
      <c r="A88" s="0" t="s">
        <v>278</v>
      </c>
      <c r="B88" s="0" t="s">
        <v>279</v>
      </c>
      <c r="C88" s="0" t="s">
        <v>109</v>
      </c>
      <c r="D88" s="0" t="s">
        <v>110</v>
      </c>
      <c r="E88" s="0" t="s">
        <v>35</v>
      </c>
      <c r="F88" s="0" t="s">
        <v>41</v>
      </c>
      <c r="G88" s="5" t="s">
        <v>280</v>
      </c>
      <c r="S88" s="0" t="n">
        <v>2</v>
      </c>
    </row>
    <row r="89" customFormat="false" ht="17.15" hidden="false" customHeight="false" outlineLevel="0" collapsed="false">
      <c r="A89" s="0" t="s">
        <v>281</v>
      </c>
      <c r="B89" s="0" t="s">
        <v>282</v>
      </c>
      <c r="C89" s="0" t="s">
        <v>109</v>
      </c>
      <c r="D89" s="0" t="s">
        <v>110</v>
      </c>
      <c r="E89" s="0" t="s">
        <v>35</v>
      </c>
      <c r="F89" s="0" t="s">
        <v>41</v>
      </c>
      <c r="G89" s="5" t="s">
        <v>280</v>
      </c>
      <c r="S89" s="0" t="n">
        <v>2</v>
      </c>
    </row>
    <row r="90" customFormat="false" ht="17.15" hidden="false" customHeight="false" outlineLevel="0" collapsed="false">
      <c r="A90" s="0" t="s">
        <v>283</v>
      </c>
      <c r="B90" s="0" t="s">
        <v>284</v>
      </c>
      <c r="C90" s="0" t="s">
        <v>109</v>
      </c>
      <c r="D90" s="0" t="s">
        <v>110</v>
      </c>
      <c r="E90" s="0" t="s">
        <v>35</v>
      </c>
      <c r="F90" s="0" t="s">
        <v>41</v>
      </c>
      <c r="G90" s="5" t="s">
        <v>280</v>
      </c>
      <c r="S90" s="0" t="n">
        <v>2</v>
      </c>
    </row>
    <row r="91" customFormat="false" ht="17.15" hidden="false" customHeight="false" outlineLevel="0" collapsed="false">
      <c r="A91" s="0" t="s">
        <v>285</v>
      </c>
      <c r="B91" s="0" t="s">
        <v>286</v>
      </c>
      <c r="C91" s="0" t="s">
        <v>109</v>
      </c>
      <c r="D91" s="0" t="s">
        <v>110</v>
      </c>
      <c r="E91" s="0" t="s">
        <v>35</v>
      </c>
      <c r="F91" s="0" t="s">
        <v>41</v>
      </c>
      <c r="G91" s="5" t="s">
        <v>280</v>
      </c>
      <c r="S91" s="0" t="n">
        <v>2</v>
      </c>
    </row>
    <row r="92" customFormat="false" ht="17.15" hidden="false" customHeight="false" outlineLevel="0" collapsed="false">
      <c r="A92" s="0" t="s">
        <v>287</v>
      </c>
      <c r="B92" s="0" t="s">
        <v>288</v>
      </c>
      <c r="C92" s="0" t="s">
        <v>109</v>
      </c>
      <c r="D92" s="0" t="s">
        <v>110</v>
      </c>
      <c r="E92" s="0" t="s">
        <v>35</v>
      </c>
      <c r="F92" s="0" t="s">
        <v>41</v>
      </c>
      <c r="G92" s="5" t="s">
        <v>280</v>
      </c>
      <c r="S92" s="0" t="n">
        <v>2</v>
      </c>
    </row>
    <row r="93" customFormat="false" ht="17.15" hidden="false" customHeight="false" outlineLevel="0" collapsed="false">
      <c r="A93" s="0" t="s">
        <v>289</v>
      </c>
      <c r="B93" s="0" t="s">
        <v>290</v>
      </c>
      <c r="C93" s="0" t="s">
        <v>109</v>
      </c>
      <c r="D93" s="0" t="s">
        <v>110</v>
      </c>
      <c r="E93" s="0" t="s">
        <v>291</v>
      </c>
      <c r="F93" s="0" t="s">
        <v>186</v>
      </c>
      <c r="G93" s="0" t="s">
        <v>292</v>
      </c>
      <c r="H93" s="11" t="n">
        <v>70</v>
      </c>
      <c r="I93" s="11" t="n">
        <v>360</v>
      </c>
      <c r="J93" s="11" t="n">
        <v>850</v>
      </c>
      <c r="K93" s="11" t="n">
        <v>1850</v>
      </c>
      <c r="O93" s="11" t="n">
        <v>8000</v>
      </c>
      <c r="S93" s="0" t="n">
        <v>2</v>
      </c>
    </row>
    <row r="94" customFormat="false" ht="17.15" hidden="false" customHeight="false" outlineLevel="0" collapsed="false">
      <c r="A94" s="0" t="s">
        <v>293</v>
      </c>
      <c r="B94" s="0" t="s">
        <v>294</v>
      </c>
      <c r="C94" s="5" t="s">
        <v>74</v>
      </c>
      <c r="D94" s="0" t="s">
        <v>110</v>
      </c>
      <c r="E94" s="0" t="s">
        <v>139</v>
      </c>
      <c r="F94" s="0" t="s">
        <v>232</v>
      </c>
      <c r="G94" s="0" t="s">
        <v>295</v>
      </c>
      <c r="J94" s="11" t="n">
        <v>170</v>
      </c>
      <c r="K94" s="11" t="n">
        <v>900</v>
      </c>
      <c r="S94" s="0" t="n">
        <v>2</v>
      </c>
    </row>
    <row r="95" customFormat="false" ht="17.15" hidden="false" customHeight="false" outlineLevel="0" collapsed="false">
      <c r="A95" s="0" t="s">
        <v>296</v>
      </c>
      <c r="B95" s="0" t="s">
        <v>297</v>
      </c>
      <c r="C95" s="0" t="s">
        <v>109</v>
      </c>
      <c r="D95" s="0" t="s">
        <v>110</v>
      </c>
      <c r="E95" s="0" t="s">
        <v>35</v>
      </c>
      <c r="F95" s="0" t="s">
        <v>235</v>
      </c>
      <c r="G95" s="0" t="s">
        <v>298</v>
      </c>
      <c r="J95" s="11" t="n">
        <v>5.5</v>
      </c>
      <c r="K95" s="11" t="n">
        <v>14.574</v>
      </c>
      <c r="L95" s="11" t="n">
        <v>16.548</v>
      </c>
      <c r="S95" s="0" t="n">
        <v>2</v>
      </c>
    </row>
    <row r="96" customFormat="false" ht="17.15" hidden="false" customHeight="false" outlineLevel="0" collapsed="false">
      <c r="A96" s="0" t="s">
        <v>299</v>
      </c>
      <c r="B96" s="0" t="s">
        <v>300</v>
      </c>
      <c r="C96" s="5" t="s">
        <v>74</v>
      </c>
      <c r="D96" s="0" t="s">
        <v>110</v>
      </c>
      <c r="E96" s="0" t="s">
        <v>139</v>
      </c>
      <c r="F96" s="0" t="s">
        <v>76</v>
      </c>
      <c r="G96" s="0" t="s">
        <v>301</v>
      </c>
      <c r="K96" s="11" t="n">
        <v>2000</v>
      </c>
      <c r="S96" s="0" t="n">
        <v>2</v>
      </c>
    </row>
    <row r="97" customFormat="false" ht="17.15" hidden="false" customHeight="false" outlineLevel="0" collapsed="false">
      <c r="A97" s="0" t="s">
        <v>302</v>
      </c>
      <c r="B97" s="0" t="s">
        <v>303</v>
      </c>
      <c r="C97" s="0" t="s">
        <v>109</v>
      </c>
      <c r="D97" s="0" t="s">
        <v>110</v>
      </c>
      <c r="E97" s="0" t="s">
        <v>35</v>
      </c>
      <c r="F97" s="0" t="s">
        <v>76</v>
      </c>
      <c r="G97" s="0" t="s">
        <v>304</v>
      </c>
      <c r="J97" s="11" t="n">
        <v>0</v>
      </c>
      <c r="S97" s="0" t="n">
        <v>2</v>
      </c>
    </row>
    <row r="98" customFormat="false" ht="17.15" hidden="false" customHeight="false" outlineLevel="0" collapsed="false">
      <c r="A98" s="0" t="s">
        <v>305</v>
      </c>
      <c r="B98" s="0" t="s">
        <v>306</v>
      </c>
      <c r="C98" s="0" t="s">
        <v>109</v>
      </c>
      <c r="D98" s="0" t="s">
        <v>110</v>
      </c>
      <c r="E98" s="0" t="s">
        <v>35</v>
      </c>
      <c r="F98" s="0" t="s">
        <v>307</v>
      </c>
      <c r="G98" s="0" t="s">
        <v>308</v>
      </c>
      <c r="J98" s="11" t="n">
        <v>0</v>
      </c>
      <c r="S98" s="0" t="n">
        <v>2</v>
      </c>
    </row>
    <row r="99" customFormat="false" ht="17.15" hidden="false" customHeight="false" outlineLevel="0" collapsed="false">
      <c r="A99" s="0" t="s">
        <v>309</v>
      </c>
      <c r="B99" s="5" t="s">
        <v>310</v>
      </c>
      <c r="C99" s="0" t="s">
        <v>109</v>
      </c>
      <c r="D99" s="0" t="s">
        <v>110</v>
      </c>
      <c r="E99" s="0" t="s">
        <v>51</v>
      </c>
      <c r="F99" s="0" t="s">
        <v>161</v>
      </c>
      <c r="G99" s="0" t="s">
        <v>311</v>
      </c>
      <c r="I99" s="11" t="n">
        <v>200</v>
      </c>
      <c r="J99" s="11" t="n">
        <v>500</v>
      </c>
      <c r="K99" s="11" t="n">
        <v>1300</v>
      </c>
      <c r="S99" s="0" t="n">
        <v>2</v>
      </c>
    </row>
    <row r="100" customFormat="false" ht="17.15" hidden="false" customHeight="false" outlineLevel="0" collapsed="false">
      <c r="A100" s="0" t="s">
        <v>312</v>
      </c>
      <c r="B100" s="5" t="s">
        <v>313</v>
      </c>
      <c r="C100" s="5" t="s">
        <v>74</v>
      </c>
      <c r="D100" s="0" t="s">
        <v>110</v>
      </c>
      <c r="E100" s="0" t="s">
        <v>35</v>
      </c>
      <c r="F100" s="0" t="s">
        <v>76</v>
      </c>
      <c r="G100" s="0" t="s">
        <v>314</v>
      </c>
      <c r="J100" s="11" t="n">
        <v>0</v>
      </c>
      <c r="S100" s="0" t="n">
        <v>2</v>
      </c>
    </row>
    <row r="101" customFormat="false" ht="17.15" hidden="false" customHeight="false" outlineLevel="0" collapsed="false">
      <c r="A101" s="0" t="s">
        <v>315</v>
      </c>
      <c r="B101" s="5" t="s">
        <v>316</v>
      </c>
      <c r="C101" s="5" t="s">
        <v>165</v>
      </c>
      <c r="D101" s="0" t="s">
        <v>110</v>
      </c>
      <c r="E101" s="0" t="s">
        <v>317</v>
      </c>
      <c r="F101" s="0" t="s">
        <v>41</v>
      </c>
      <c r="G101" s="0" t="s">
        <v>318</v>
      </c>
      <c r="J101" s="11" t="n">
        <v>10000</v>
      </c>
      <c r="K101" s="11" t="n">
        <v>14000</v>
      </c>
      <c r="S101" s="0" t="n">
        <v>2</v>
      </c>
    </row>
    <row r="102" customFormat="false" ht="17.15" hidden="false" customHeight="false" outlineLevel="0" collapsed="false">
      <c r="A102" s="0" t="s">
        <v>319</v>
      </c>
      <c r="B102" s="5" t="s">
        <v>320</v>
      </c>
      <c r="C102" s="0" t="s">
        <v>109</v>
      </c>
      <c r="D102" s="0" t="s">
        <v>110</v>
      </c>
      <c r="E102" s="0" t="s">
        <v>51</v>
      </c>
      <c r="F102" s="0" t="s">
        <v>41</v>
      </c>
      <c r="G102" s="0" t="s">
        <v>321</v>
      </c>
      <c r="S102" s="0" t="n">
        <v>2</v>
      </c>
    </row>
    <row r="103" customFormat="false" ht="17.15" hidden="false" customHeight="false" outlineLevel="0" collapsed="false">
      <c r="A103" s="8" t="s">
        <v>322</v>
      </c>
    </row>
    <row r="104" customFormat="false" ht="17.15" hidden="false" customHeight="false" outlineLevel="0" collapsed="false">
      <c r="A104" s="0" t="s">
        <v>323</v>
      </c>
      <c r="B104" s="0" t="s">
        <v>324</v>
      </c>
      <c r="C104" s="0" t="s">
        <v>33</v>
      </c>
      <c r="D104" s="0" t="s">
        <v>325</v>
      </c>
      <c r="E104" s="0" t="s">
        <v>139</v>
      </c>
      <c r="F104" s="0" t="s">
        <v>326</v>
      </c>
      <c r="G104" s="0" t="s">
        <v>327</v>
      </c>
      <c r="I104" s="11" t="n">
        <v>44.477</v>
      </c>
      <c r="J104" s="11" t="n">
        <v>64.551</v>
      </c>
      <c r="K104" s="11" t="n">
        <v>115.948</v>
      </c>
      <c r="L104" s="11" t="n">
        <v>192.827</v>
      </c>
      <c r="M104" s="11" t="n">
        <v>216.787</v>
      </c>
      <c r="N104" s="11" t="n">
        <v>251.173</v>
      </c>
      <c r="S104" s="0" t="n">
        <v>2</v>
      </c>
    </row>
    <row r="105" customFormat="false" ht="17.15" hidden="false" customHeight="false" outlineLevel="0" collapsed="false">
      <c r="A105" s="0" t="s">
        <v>328</v>
      </c>
      <c r="B105" s="0" t="s">
        <v>329</v>
      </c>
      <c r="C105" s="0" t="s">
        <v>33</v>
      </c>
      <c r="D105" s="0" t="s">
        <v>325</v>
      </c>
      <c r="E105" s="0" t="s">
        <v>139</v>
      </c>
      <c r="F105" s="0" t="s">
        <v>330</v>
      </c>
      <c r="G105" s="0" t="s">
        <v>331</v>
      </c>
      <c r="J105" s="11" t="n">
        <v>91.447</v>
      </c>
      <c r="K105" s="11" t="n">
        <v>200</v>
      </c>
      <c r="L105" s="11" t="n">
        <v>300.979</v>
      </c>
      <c r="M105" s="11" t="n">
        <v>339.451</v>
      </c>
      <c r="S105" s="0" t="n">
        <v>2</v>
      </c>
    </row>
    <row r="106" customFormat="false" ht="17.15" hidden="false" customHeight="false" outlineLevel="0" collapsed="false">
      <c r="A106" s="0" t="s">
        <v>332</v>
      </c>
      <c r="B106" s="0" t="s">
        <v>333</v>
      </c>
      <c r="C106" s="0" t="s">
        <v>33</v>
      </c>
      <c r="D106" s="0" t="s">
        <v>325</v>
      </c>
      <c r="E106" s="0" t="s">
        <v>139</v>
      </c>
      <c r="F106" s="0" t="s">
        <v>334</v>
      </c>
      <c r="G106" s="0" t="s">
        <v>335</v>
      </c>
      <c r="J106" s="11" t="n">
        <v>128.32</v>
      </c>
      <c r="K106" s="11" t="n">
        <v>220</v>
      </c>
      <c r="L106" s="11" t="n">
        <v>275.063</v>
      </c>
      <c r="M106" s="11" t="n">
        <v>292.927</v>
      </c>
      <c r="S106" s="0" t="n">
        <v>2</v>
      </c>
    </row>
    <row r="107" customFormat="false" ht="17.15" hidden="false" customHeight="false" outlineLevel="0" collapsed="false">
      <c r="A107" s="0" t="s">
        <v>336</v>
      </c>
      <c r="B107" s="0" t="s">
        <v>337</v>
      </c>
      <c r="C107" s="0" t="s">
        <v>33</v>
      </c>
      <c r="D107" s="0" t="s">
        <v>325</v>
      </c>
      <c r="E107" s="0" t="s">
        <v>139</v>
      </c>
      <c r="F107" s="0" t="s">
        <v>186</v>
      </c>
      <c r="G107" s="0" t="s">
        <v>338</v>
      </c>
      <c r="K107" s="11" t="n">
        <v>140</v>
      </c>
      <c r="S107" s="0" t="n">
        <v>2</v>
      </c>
    </row>
    <row r="108" customFormat="false" ht="17.15" hidden="false" customHeight="false" outlineLevel="0" collapsed="false">
      <c r="A108" s="0" t="s">
        <v>339</v>
      </c>
      <c r="B108" s="0" t="s">
        <v>340</v>
      </c>
      <c r="C108" s="0" t="s">
        <v>33</v>
      </c>
      <c r="D108" s="0" t="s">
        <v>325</v>
      </c>
      <c r="E108" s="0" t="s">
        <v>139</v>
      </c>
      <c r="F108" s="0" t="s">
        <v>341</v>
      </c>
      <c r="G108" s="0" t="s">
        <v>342</v>
      </c>
      <c r="J108" s="11" t="n">
        <v>21.215</v>
      </c>
      <c r="K108" s="11" t="n">
        <v>55.663</v>
      </c>
      <c r="L108" s="11" t="n">
        <v>92.5</v>
      </c>
      <c r="M108" s="11" t="n">
        <v>100.962</v>
      </c>
      <c r="N108" s="11" t="n">
        <v>84.848</v>
      </c>
      <c r="S108" s="0" t="n">
        <v>2</v>
      </c>
    </row>
    <row r="109" customFormat="false" ht="17.15" hidden="false" customHeight="false" outlineLevel="0" collapsed="false">
      <c r="A109" s="0" t="s">
        <v>343</v>
      </c>
      <c r="B109" s="0" t="s">
        <v>344</v>
      </c>
      <c r="C109" s="0" t="s">
        <v>33</v>
      </c>
      <c r="D109" s="0" t="s">
        <v>325</v>
      </c>
      <c r="E109" s="0" t="s">
        <v>139</v>
      </c>
      <c r="F109" s="0" t="s">
        <v>345</v>
      </c>
      <c r="G109" s="0" t="s">
        <v>346</v>
      </c>
      <c r="K109" s="11" t="n">
        <v>37</v>
      </c>
      <c r="L109" s="11" t="n">
        <v>46.476</v>
      </c>
      <c r="M109" s="11" t="n">
        <v>50.129</v>
      </c>
      <c r="S109" s="0" t="n">
        <v>2</v>
      </c>
    </row>
    <row r="110" customFormat="false" ht="17.15" hidden="false" customHeight="false" outlineLevel="0" collapsed="false">
      <c r="A110" s="0" t="s">
        <v>347</v>
      </c>
      <c r="B110" s="0" t="s">
        <v>348</v>
      </c>
      <c r="C110" s="0" t="s">
        <v>33</v>
      </c>
      <c r="D110" s="0" t="s">
        <v>325</v>
      </c>
      <c r="E110" s="0" t="s">
        <v>139</v>
      </c>
      <c r="F110" s="0" t="s">
        <v>190</v>
      </c>
      <c r="G110" s="0" t="s">
        <v>349</v>
      </c>
      <c r="J110" s="11" t="n">
        <v>4.066</v>
      </c>
      <c r="K110" s="11" t="n">
        <v>22.5</v>
      </c>
      <c r="L110" s="11" t="n">
        <v>27.243</v>
      </c>
      <c r="M110" s="11" t="n">
        <v>38.39</v>
      </c>
      <c r="S110" s="0" t="n">
        <v>2</v>
      </c>
    </row>
    <row r="111" customFormat="false" ht="17.15" hidden="false" customHeight="false" outlineLevel="0" collapsed="false">
      <c r="A111" s="12" t="s">
        <v>350</v>
      </c>
      <c r="B111" s="12" t="s">
        <v>351</v>
      </c>
      <c r="C111" s="12" t="s">
        <v>33</v>
      </c>
      <c r="D111" s="12" t="s">
        <v>325</v>
      </c>
      <c r="E111" s="13" t="s">
        <v>352</v>
      </c>
      <c r="F111" s="12" t="s">
        <v>353</v>
      </c>
      <c r="G111" s="13" t="s">
        <v>354</v>
      </c>
      <c r="S111" s="0" t="n">
        <v>2</v>
      </c>
    </row>
    <row r="112" customFormat="false" ht="17.15" hidden="false" customHeight="false" outlineLevel="0" collapsed="false">
      <c r="A112" s="12" t="s">
        <v>355</v>
      </c>
      <c r="B112" s="12" t="s">
        <v>356</v>
      </c>
      <c r="C112" s="12" t="s">
        <v>33</v>
      </c>
      <c r="D112" s="12" t="s">
        <v>325</v>
      </c>
      <c r="E112" s="13" t="s">
        <v>352</v>
      </c>
      <c r="F112" s="12" t="s">
        <v>353</v>
      </c>
      <c r="G112" s="13" t="s">
        <v>357</v>
      </c>
      <c r="S112" s="0" t="n">
        <v>2</v>
      </c>
    </row>
    <row r="113" customFormat="false" ht="17.15" hidden="false" customHeight="false" outlineLevel="0" collapsed="false">
      <c r="A113" s="12" t="s">
        <v>358</v>
      </c>
      <c r="B113" s="12" t="s">
        <v>359</v>
      </c>
      <c r="C113" s="12" t="s">
        <v>33</v>
      </c>
      <c r="D113" s="12" t="s">
        <v>325</v>
      </c>
      <c r="E113" s="13" t="s">
        <v>352</v>
      </c>
      <c r="F113" s="12" t="s">
        <v>353</v>
      </c>
      <c r="G113" s="13" t="s">
        <v>357</v>
      </c>
      <c r="S113" s="0" t="n">
        <v>2</v>
      </c>
    </row>
    <row r="114" customFormat="false" ht="17.15" hidden="false" customHeight="false" outlineLevel="0" collapsed="false">
      <c r="A114" s="12" t="s">
        <v>360</v>
      </c>
      <c r="B114" s="12" t="s">
        <v>361</v>
      </c>
      <c r="C114" s="12" t="s">
        <v>33</v>
      </c>
      <c r="D114" s="12" t="s">
        <v>325</v>
      </c>
      <c r="E114" s="13" t="s">
        <v>352</v>
      </c>
      <c r="F114" s="12" t="s">
        <v>353</v>
      </c>
      <c r="G114" s="13" t="s">
        <v>357</v>
      </c>
      <c r="S114" s="0" t="n">
        <v>2</v>
      </c>
    </row>
    <row r="115" customFormat="false" ht="17.15" hidden="false" customHeight="false" outlineLevel="0" collapsed="false">
      <c r="A115" s="12" t="s">
        <v>362</v>
      </c>
      <c r="B115" s="13" t="s">
        <v>363</v>
      </c>
      <c r="C115" s="12" t="s">
        <v>33</v>
      </c>
      <c r="D115" s="12" t="s">
        <v>325</v>
      </c>
      <c r="E115" s="13" t="s">
        <v>352</v>
      </c>
      <c r="F115" s="12" t="s">
        <v>353</v>
      </c>
      <c r="G115" s="13" t="s">
        <v>357</v>
      </c>
      <c r="S115" s="0" t="n">
        <v>2</v>
      </c>
    </row>
    <row r="116" customFormat="false" ht="17.15" hidden="false" customHeight="false" outlineLevel="0" collapsed="false">
      <c r="A116" s="12" t="s">
        <v>364</v>
      </c>
      <c r="B116" s="13" t="s">
        <v>365</v>
      </c>
      <c r="C116" s="12" t="s">
        <v>33</v>
      </c>
      <c r="D116" s="12" t="s">
        <v>325</v>
      </c>
      <c r="E116" s="13" t="s">
        <v>352</v>
      </c>
      <c r="F116" s="12" t="s">
        <v>353</v>
      </c>
      <c r="G116" s="13" t="s">
        <v>357</v>
      </c>
      <c r="S116" s="0" t="n">
        <v>2</v>
      </c>
    </row>
    <row r="117" customFormat="false" ht="17.15" hidden="false" customHeight="false" outlineLevel="0" collapsed="false">
      <c r="A117" s="12" t="s">
        <v>366</v>
      </c>
      <c r="B117" s="13" t="s">
        <v>367</v>
      </c>
      <c r="C117" s="12" t="s">
        <v>33</v>
      </c>
      <c r="D117" s="12" t="s">
        <v>325</v>
      </c>
      <c r="E117" s="13" t="s">
        <v>352</v>
      </c>
      <c r="F117" s="12" t="s">
        <v>353</v>
      </c>
      <c r="G117" s="13" t="s">
        <v>357</v>
      </c>
      <c r="S117" s="0" t="n">
        <v>2</v>
      </c>
    </row>
    <row r="118" customFormat="false" ht="17.15" hidden="false" customHeight="false" outlineLevel="0" collapsed="false">
      <c r="A118" s="12" t="s">
        <v>368</v>
      </c>
      <c r="B118" s="13" t="s">
        <v>369</v>
      </c>
      <c r="C118" s="12" t="s">
        <v>33</v>
      </c>
      <c r="D118" s="12" t="s">
        <v>325</v>
      </c>
      <c r="E118" s="13" t="s">
        <v>352</v>
      </c>
      <c r="F118" s="12" t="s">
        <v>353</v>
      </c>
      <c r="G118" s="13" t="s">
        <v>357</v>
      </c>
      <c r="S118" s="0" t="n">
        <v>2</v>
      </c>
    </row>
    <row r="119" customFormat="false" ht="17.15" hidden="false" customHeight="false" outlineLevel="0" collapsed="false">
      <c r="A119" s="8" t="s">
        <v>370</v>
      </c>
    </row>
    <row r="120" customFormat="false" ht="17.15" hidden="false" customHeight="false" outlineLevel="0" collapsed="false">
      <c r="A120" s="12" t="s">
        <v>371</v>
      </c>
      <c r="B120" s="12" t="s">
        <v>372</v>
      </c>
      <c r="C120" s="12" t="s">
        <v>33</v>
      </c>
      <c r="D120" s="12" t="s">
        <v>325</v>
      </c>
      <c r="E120" s="13" t="s">
        <v>352</v>
      </c>
      <c r="F120" s="12" t="s">
        <v>353</v>
      </c>
      <c r="G120" s="13" t="s">
        <v>373</v>
      </c>
      <c r="S120" s="0" t="n">
        <v>2</v>
      </c>
    </row>
    <row r="121" customFormat="false" ht="17.15" hidden="false" customHeight="false" outlineLevel="0" collapsed="false">
      <c r="A121" s="12" t="s">
        <v>374</v>
      </c>
      <c r="B121" s="12" t="s">
        <v>375</v>
      </c>
      <c r="C121" s="12" t="s">
        <v>33</v>
      </c>
      <c r="D121" s="12" t="s">
        <v>325</v>
      </c>
      <c r="E121" s="13" t="s">
        <v>352</v>
      </c>
      <c r="F121" s="12" t="s">
        <v>353</v>
      </c>
      <c r="G121" s="13" t="s">
        <v>373</v>
      </c>
      <c r="S121" s="0" t="n">
        <v>2</v>
      </c>
    </row>
    <row r="122" customFormat="false" ht="17.15" hidden="false" customHeight="false" outlineLevel="0" collapsed="false">
      <c r="A122" s="12" t="s">
        <v>376</v>
      </c>
      <c r="B122" s="12" t="s">
        <v>377</v>
      </c>
      <c r="C122" s="12" t="s">
        <v>33</v>
      </c>
      <c r="D122" s="12" t="s">
        <v>325</v>
      </c>
      <c r="E122" s="13" t="s">
        <v>352</v>
      </c>
      <c r="F122" s="12" t="s">
        <v>353</v>
      </c>
      <c r="G122" s="13" t="s">
        <v>373</v>
      </c>
      <c r="S122" s="0" t="n">
        <v>2</v>
      </c>
    </row>
    <row r="123" customFormat="false" ht="17.15" hidden="false" customHeight="false" outlineLevel="0" collapsed="false">
      <c r="A123" s="12" t="s">
        <v>378</v>
      </c>
      <c r="B123" s="12" t="s">
        <v>379</v>
      </c>
      <c r="C123" s="12" t="s">
        <v>33</v>
      </c>
      <c r="D123" s="12" t="s">
        <v>325</v>
      </c>
      <c r="E123" s="13" t="s">
        <v>352</v>
      </c>
      <c r="F123" s="12" t="s">
        <v>353</v>
      </c>
      <c r="G123" s="13" t="s">
        <v>373</v>
      </c>
      <c r="S123" s="0" t="n">
        <v>2</v>
      </c>
    </row>
    <row r="124" customFormat="false" ht="17.15" hidden="false" customHeight="false" outlineLevel="0" collapsed="false">
      <c r="A124" s="12" t="s">
        <v>380</v>
      </c>
      <c r="B124" s="12" t="s">
        <v>381</v>
      </c>
      <c r="C124" s="12" t="s">
        <v>33</v>
      </c>
      <c r="D124" s="12" t="s">
        <v>325</v>
      </c>
      <c r="E124" s="13" t="s">
        <v>352</v>
      </c>
      <c r="F124" s="12" t="s">
        <v>353</v>
      </c>
      <c r="G124" s="13" t="s">
        <v>373</v>
      </c>
      <c r="S124" s="0" t="n">
        <v>2</v>
      </c>
    </row>
    <row r="125" customFormat="false" ht="17.15" hidden="false" customHeight="false" outlineLevel="0" collapsed="false">
      <c r="A125" s="12" t="s">
        <v>382</v>
      </c>
      <c r="B125" s="12" t="s">
        <v>383</v>
      </c>
      <c r="C125" s="12" t="s">
        <v>33</v>
      </c>
      <c r="D125" s="12" t="s">
        <v>325</v>
      </c>
      <c r="E125" s="13" t="s">
        <v>352</v>
      </c>
      <c r="F125" s="12" t="s">
        <v>353</v>
      </c>
      <c r="G125" s="13" t="s">
        <v>373</v>
      </c>
      <c r="S125" s="0" t="n">
        <v>2</v>
      </c>
    </row>
    <row r="126" customFormat="false" ht="17.15" hidden="false" customHeight="false" outlineLevel="0" collapsed="false">
      <c r="A126" s="12" t="s">
        <v>384</v>
      </c>
      <c r="B126" s="12" t="s">
        <v>385</v>
      </c>
      <c r="C126" s="12" t="s">
        <v>33</v>
      </c>
      <c r="D126" s="12" t="s">
        <v>325</v>
      </c>
      <c r="E126" s="13" t="s">
        <v>352</v>
      </c>
      <c r="F126" s="12" t="s">
        <v>353</v>
      </c>
      <c r="G126" s="13" t="s">
        <v>373</v>
      </c>
      <c r="S126" s="0" t="n">
        <v>2</v>
      </c>
    </row>
    <row r="127" customFormat="false" ht="17.15" hidden="false" customHeight="false" outlineLevel="0" collapsed="false">
      <c r="A127" s="12" t="s">
        <v>386</v>
      </c>
      <c r="B127" s="12" t="s">
        <v>387</v>
      </c>
      <c r="C127" s="12" t="s">
        <v>33</v>
      </c>
      <c r="D127" s="12" t="s">
        <v>325</v>
      </c>
      <c r="E127" s="13" t="s">
        <v>352</v>
      </c>
      <c r="F127" s="12" t="s">
        <v>353</v>
      </c>
      <c r="G127" s="13" t="s">
        <v>373</v>
      </c>
      <c r="S127" s="0" t="n">
        <v>2</v>
      </c>
    </row>
    <row r="128" customFormat="false" ht="17.15" hidden="false" customHeight="false" outlineLevel="0" collapsed="false">
      <c r="A128" s="12" t="s">
        <v>388</v>
      </c>
      <c r="B128" s="12" t="s">
        <v>389</v>
      </c>
      <c r="C128" s="12" t="s">
        <v>33</v>
      </c>
      <c r="D128" s="12" t="s">
        <v>325</v>
      </c>
      <c r="E128" s="13" t="s">
        <v>352</v>
      </c>
      <c r="F128" s="12" t="s">
        <v>353</v>
      </c>
      <c r="G128" s="13" t="s">
        <v>373</v>
      </c>
      <c r="S128" s="0" t="n">
        <v>2</v>
      </c>
    </row>
    <row r="129" customFormat="false" ht="17.15" hidden="false" customHeight="false" outlineLevel="0" collapsed="false">
      <c r="A129" s="12" t="s">
        <v>390</v>
      </c>
      <c r="B129" s="12" t="s">
        <v>391</v>
      </c>
      <c r="C129" s="12" t="s">
        <v>33</v>
      </c>
      <c r="D129" s="12" t="s">
        <v>325</v>
      </c>
      <c r="E129" s="13" t="s">
        <v>352</v>
      </c>
      <c r="F129" s="12" t="s">
        <v>353</v>
      </c>
      <c r="G129" s="13" t="s">
        <v>373</v>
      </c>
      <c r="S129" s="0" t="n">
        <v>2</v>
      </c>
    </row>
    <row r="130" customFormat="false" ht="17.15" hidden="false" customHeight="false" outlineLevel="0" collapsed="false">
      <c r="A130" s="12" t="s">
        <v>392</v>
      </c>
      <c r="B130" s="12" t="s">
        <v>393</v>
      </c>
      <c r="C130" s="12" t="s">
        <v>33</v>
      </c>
      <c r="D130" s="12" t="s">
        <v>325</v>
      </c>
      <c r="E130" s="13" t="s">
        <v>352</v>
      </c>
      <c r="F130" s="12" t="s">
        <v>353</v>
      </c>
      <c r="G130" s="13" t="s">
        <v>373</v>
      </c>
      <c r="S130" s="0" t="n">
        <v>2</v>
      </c>
    </row>
    <row r="131" customFormat="false" ht="17.15" hidden="false" customHeight="false" outlineLevel="0" collapsed="false">
      <c r="A131" s="12" t="s">
        <v>394</v>
      </c>
      <c r="B131" s="13" t="s">
        <v>395</v>
      </c>
      <c r="C131" s="12" t="s">
        <v>33</v>
      </c>
      <c r="D131" s="12" t="s">
        <v>325</v>
      </c>
      <c r="E131" s="13" t="s">
        <v>352</v>
      </c>
      <c r="F131" s="12" t="s">
        <v>353</v>
      </c>
      <c r="G131" s="13" t="s">
        <v>373</v>
      </c>
      <c r="S131" s="0" t="n">
        <v>2</v>
      </c>
    </row>
    <row r="132" customFormat="false" ht="17.15" hidden="false" customHeight="false" outlineLevel="0" collapsed="false">
      <c r="A132" s="12" t="s">
        <v>396</v>
      </c>
      <c r="B132" s="13" t="s">
        <v>397</v>
      </c>
      <c r="C132" s="12" t="s">
        <v>33</v>
      </c>
      <c r="D132" s="12" t="s">
        <v>325</v>
      </c>
      <c r="E132" s="13" t="s">
        <v>352</v>
      </c>
      <c r="F132" s="12" t="s">
        <v>353</v>
      </c>
      <c r="G132" s="13" t="s">
        <v>373</v>
      </c>
      <c r="S132" s="0" t="n">
        <v>2</v>
      </c>
    </row>
    <row r="133" customFormat="false" ht="17.15" hidden="false" customHeight="false" outlineLevel="0" collapsed="false">
      <c r="A133" s="12" t="s">
        <v>398</v>
      </c>
      <c r="B133" s="13" t="s">
        <v>399</v>
      </c>
      <c r="C133" s="12" t="s">
        <v>33</v>
      </c>
      <c r="D133" s="12" t="s">
        <v>325</v>
      </c>
      <c r="E133" s="13" t="s">
        <v>352</v>
      </c>
      <c r="F133" s="12" t="s">
        <v>353</v>
      </c>
      <c r="G133" s="13" t="s">
        <v>373</v>
      </c>
      <c r="S133" s="0" t="n">
        <v>2</v>
      </c>
    </row>
    <row r="134" customFormat="false" ht="17.15" hidden="false" customHeight="false" outlineLevel="0" collapsed="false">
      <c r="A134" s="12" t="s">
        <v>400</v>
      </c>
      <c r="B134" s="13" t="s">
        <v>401</v>
      </c>
      <c r="C134" s="12" t="s">
        <v>33</v>
      </c>
      <c r="D134" s="12" t="s">
        <v>325</v>
      </c>
      <c r="E134" s="13" t="s">
        <v>352</v>
      </c>
      <c r="F134" s="12" t="s">
        <v>353</v>
      </c>
      <c r="G134" s="13" t="s">
        <v>373</v>
      </c>
      <c r="S134" s="0" t="n">
        <v>2</v>
      </c>
    </row>
    <row r="135" customFormat="false" ht="17.15" hidden="false" customHeight="false" outlineLevel="0" collapsed="false">
      <c r="A135" s="8" t="s">
        <v>402</v>
      </c>
    </row>
    <row r="136" customFormat="false" ht="17.15" hidden="false" customHeight="false" outlineLevel="0" collapsed="false">
      <c r="A136" s="0" t="s">
        <v>403</v>
      </c>
      <c r="B136" s="0" t="s">
        <v>404</v>
      </c>
      <c r="C136" s="5" t="s">
        <v>74</v>
      </c>
      <c r="D136" s="0" t="s">
        <v>75</v>
      </c>
      <c r="E136" s="0" t="s">
        <v>139</v>
      </c>
      <c r="F136" s="0" t="s">
        <v>76</v>
      </c>
      <c r="G136" s="0" t="s">
        <v>405</v>
      </c>
      <c r="J136" s="14" t="n">
        <v>1.9</v>
      </c>
      <c r="K136" s="14" t="n">
        <v>5</v>
      </c>
      <c r="L136" s="14" t="n">
        <v>11</v>
      </c>
      <c r="S136" s="0" t="n">
        <v>2</v>
      </c>
    </row>
    <row r="137" customFormat="false" ht="17.15" hidden="false" customHeight="false" outlineLevel="0" collapsed="false">
      <c r="A137" s="0" t="s">
        <v>406</v>
      </c>
      <c r="B137" s="0" t="s">
        <v>407</v>
      </c>
      <c r="C137" s="5" t="s">
        <v>74</v>
      </c>
      <c r="D137" s="0" t="s">
        <v>75</v>
      </c>
      <c r="E137" s="0" t="s">
        <v>139</v>
      </c>
      <c r="F137" s="0" t="s">
        <v>76</v>
      </c>
      <c r="G137" s="0" t="s">
        <v>408</v>
      </c>
      <c r="J137" s="14" t="n">
        <v>1.4</v>
      </c>
      <c r="K137" s="14" t="n">
        <v>5</v>
      </c>
      <c r="L137" s="14" t="n">
        <v>10</v>
      </c>
      <c r="S137" s="0" t="n">
        <v>2</v>
      </c>
    </row>
    <row r="138" customFormat="false" ht="17.15" hidden="false" customHeight="false" outlineLevel="0" collapsed="false">
      <c r="A138" s="8" t="s">
        <v>409</v>
      </c>
    </row>
    <row r="139" customFormat="false" ht="17.15" hidden="false" customHeight="false" outlineLevel="0" collapsed="false">
      <c r="A139" s="0" t="s">
        <v>410</v>
      </c>
      <c r="B139" s="0" t="s">
        <v>411</v>
      </c>
      <c r="C139" s="5" t="s">
        <v>165</v>
      </c>
      <c r="D139" s="0" t="s">
        <v>75</v>
      </c>
      <c r="E139" s="0" t="s">
        <v>40</v>
      </c>
      <c r="F139" s="0" t="s">
        <v>76</v>
      </c>
      <c r="G139" s="0" t="s">
        <v>412</v>
      </c>
      <c r="J139" s="14" t="n">
        <v>30</v>
      </c>
      <c r="S139" s="0" t="n">
        <v>2</v>
      </c>
    </row>
    <row r="140" customFormat="false" ht="17.15" hidden="false" customHeight="false" outlineLevel="0" collapsed="false">
      <c r="A140" s="0" t="s">
        <v>413</v>
      </c>
      <c r="B140" s="0" t="s">
        <v>414</v>
      </c>
      <c r="C140" s="5" t="s">
        <v>165</v>
      </c>
      <c r="D140" s="0" t="s">
        <v>75</v>
      </c>
      <c r="E140" s="0" t="s">
        <v>40</v>
      </c>
      <c r="F140" s="0" t="s">
        <v>76</v>
      </c>
      <c r="G140" s="0" t="s">
        <v>415</v>
      </c>
      <c r="J140" s="14" t="n">
        <v>31</v>
      </c>
      <c r="S140" s="0" t="n">
        <v>2</v>
      </c>
    </row>
    <row r="141" customFormat="false" ht="17.15" hidden="false" customHeight="false" outlineLevel="0" collapsed="false">
      <c r="A141" s="8" t="s">
        <v>416</v>
      </c>
    </row>
    <row r="142" customFormat="false" ht="17.15" hidden="false" customHeight="false" outlineLevel="0" collapsed="false">
      <c r="A142" s="0" t="s">
        <v>417</v>
      </c>
      <c r="B142" s="5" t="s">
        <v>418</v>
      </c>
      <c r="C142" s="0" t="s">
        <v>33</v>
      </c>
      <c r="D142" s="0" t="s">
        <v>50</v>
      </c>
      <c r="E142" s="0" t="s">
        <v>419</v>
      </c>
      <c r="F142" s="0" t="s">
        <v>420</v>
      </c>
      <c r="G142" s="0" t="s">
        <v>421</v>
      </c>
      <c r="H142" s="15" t="n">
        <v>1</v>
      </c>
      <c r="I142" s="15" t="n">
        <v>1</v>
      </c>
      <c r="J142" s="15" t="n">
        <v>0.1</v>
      </c>
      <c r="S142" s="0" t="n">
        <v>2</v>
      </c>
    </row>
    <row r="143" customFormat="false" ht="17.15" hidden="false" customHeight="false" outlineLevel="0" collapsed="false">
      <c r="A143" s="0" t="s">
        <v>422</v>
      </c>
      <c r="B143" s="5" t="s">
        <v>423</v>
      </c>
      <c r="C143" s="0" t="s">
        <v>33</v>
      </c>
      <c r="D143" s="0" t="s">
        <v>50</v>
      </c>
      <c r="E143" s="0" t="s">
        <v>419</v>
      </c>
      <c r="F143" s="0" t="s">
        <v>420</v>
      </c>
      <c r="G143" s="0" t="s">
        <v>421</v>
      </c>
      <c r="J143" s="15" t="n">
        <v>0.7</v>
      </c>
      <c r="S143" s="0" t="n">
        <v>2</v>
      </c>
    </row>
    <row r="144" customFormat="false" ht="17.15" hidden="false" customHeight="false" outlineLevel="0" collapsed="false">
      <c r="A144" s="0" t="s">
        <v>424</v>
      </c>
      <c r="B144" s="5" t="s">
        <v>425</v>
      </c>
      <c r="C144" s="0" t="s">
        <v>33</v>
      </c>
      <c r="D144" s="0" t="s">
        <v>50</v>
      </c>
      <c r="E144" s="0" t="s">
        <v>419</v>
      </c>
      <c r="F144" s="0" t="s">
        <v>420</v>
      </c>
      <c r="G144" s="0" t="s">
        <v>421</v>
      </c>
      <c r="J144" s="15" t="n">
        <v>0.2</v>
      </c>
      <c r="S144" s="0" t="n">
        <v>2</v>
      </c>
    </row>
    <row r="145" customFormat="false" ht="17.15" hidden="false" customHeight="false" outlineLevel="0" collapsed="false">
      <c r="A145" s="0" t="s">
        <v>426</v>
      </c>
      <c r="B145" s="5" t="s">
        <v>427</v>
      </c>
      <c r="C145" s="0" t="s">
        <v>33</v>
      </c>
      <c r="D145" s="0" t="s">
        <v>50</v>
      </c>
      <c r="E145" s="0" t="s">
        <v>419</v>
      </c>
      <c r="F145" s="0" t="s">
        <v>420</v>
      </c>
      <c r="G145" s="0" t="s">
        <v>421</v>
      </c>
      <c r="S145" s="0" t="n">
        <v>2</v>
      </c>
    </row>
    <row r="146" customFormat="false" ht="17.15" hidden="false" customHeight="false" outlineLevel="0" collapsed="false">
      <c r="A146" s="0" t="s">
        <v>428</v>
      </c>
      <c r="B146" s="5" t="s">
        <v>429</v>
      </c>
      <c r="C146" s="0" t="s">
        <v>33</v>
      </c>
      <c r="D146" s="0" t="s">
        <v>50</v>
      </c>
      <c r="E146" s="0" t="s">
        <v>419</v>
      </c>
      <c r="F146" s="0" t="s">
        <v>420</v>
      </c>
      <c r="G146" s="0" t="s">
        <v>421</v>
      </c>
      <c r="S146" s="0" t="n">
        <v>2</v>
      </c>
    </row>
    <row r="147" customFormat="false" ht="17.15" hidden="false" customHeight="false" outlineLevel="0" collapsed="false">
      <c r="A147" s="12" t="s">
        <v>430</v>
      </c>
      <c r="B147" s="13" t="s">
        <v>431</v>
      </c>
      <c r="C147" s="12" t="s">
        <v>33</v>
      </c>
      <c r="D147" s="12" t="s">
        <v>50</v>
      </c>
      <c r="E147" s="13" t="s">
        <v>352</v>
      </c>
      <c r="F147" s="12" t="s">
        <v>353</v>
      </c>
      <c r="G147" s="12" t="s">
        <v>432</v>
      </c>
      <c r="S147" s="0" t="n">
        <v>2</v>
      </c>
    </row>
    <row r="148" customFormat="false" ht="17.15" hidden="false" customHeight="false" outlineLevel="0" collapsed="false">
      <c r="A148" s="8" t="s">
        <v>433</v>
      </c>
    </row>
    <row r="149" customFormat="false" ht="17.15" hidden="false" customHeight="false" outlineLevel="0" collapsed="false">
      <c r="A149" s="6" t="s">
        <v>12</v>
      </c>
      <c r="B149" s="6" t="s">
        <v>13</v>
      </c>
      <c r="C149" s="6" t="s">
        <v>14</v>
      </c>
      <c r="D149" s="6" t="s">
        <v>15</v>
      </c>
      <c r="E149" s="6" t="s">
        <v>16</v>
      </c>
      <c r="F149" s="6" t="s">
        <v>17</v>
      </c>
      <c r="G149" s="6" t="s">
        <v>18</v>
      </c>
      <c r="H149" s="6" t="s">
        <v>434</v>
      </c>
      <c r="I149" s="6" t="s">
        <v>435</v>
      </c>
      <c r="J149" s="6" t="s">
        <v>436</v>
      </c>
      <c r="K149" s="7" t="s">
        <v>21</v>
      </c>
      <c r="L149" s="7" t="s">
        <v>22</v>
      </c>
      <c r="M149" s="7" t="s">
        <v>23</v>
      </c>
    </row>
    <row r="150" customFormat="false" ht="17.15" hidden="false" customHeight="false" outlineLevel="0" collapsed="false">
      <c r="A150" s="0" t="s">
        <v>437</v>
      </c>
      <c r="B150" s="0" t="s">
        <v>438</v>
      </c>
      <c r="C150" s="0" t="s">
        <v>109</v>
      </c>
      <c r="D150" s="5" t="s">
        <v>439</v>
      </c>
      <c r="E150" s="0" t="s">
        <v>51</v>
      </c>
      <c r="F150" s="0" t="s">
        <v>112</v>
      </c>
      <c r="G150" s="5" t="s">
        <v>440</v>
      </c>
      <c r="H150" s="9" t="s">
        <v>441</v>
      </c>
      <c r="I150" s="9" t="s">
        <v>442</v>
      </c>
      <c r="J150" s="16" t="s">
        <v>439</v>
      </c>
      <c r="K150" s="9" t="n">
        <v>0.4</v>
      </c>
      <c r="L150" s="9" t="n">
        <v>0.4</v>
      </c>
      <c r="M150" s="9" t="n">
        <v>0.4</v>
      </c>
      <c r="S150" s="0" t="n">
        <v>3</v>
      </c>
    </row>
    <row r="151" customFormat="false" ht="17.15" hidden="false" customHeight="false" outlineLevel="0" collapsed="false">
      <c r="A151" s="0" t="s">
        <v>443</v>
      </c>
      <c r="B151" s="0" t="s">
        <v>444</v>
      </c>
      <c r="C151" s="0" t="s">
        <v>109</v>
      </c>
      <c r="D151" s="5" t="s">
        <v>439</v>
      </c>
      <c r="E151" s="0" t="s">
        <v>51</v>
      </c>
      <c r="F151" s="0" t="s">
        <v>121</v>
      </c>
      <c r="G151" s="5" t="s">
        <v>445</v>
      </c>
      <c r="H151" s="9" t="s">
        <v>446</v>
      </c>
      <c r="I151" s="9" t="s">
        <v>442</v>
      </c>
      <c r="J151" s="16" t="s">
        <v>439</v>
      </c>
      <c r="K151" s="9" t="n">
        <v>0.7</v>
      </c>
      <c r="L151" s="9" t="n">
        <v>0.7</v>
      </c>
      <c r="M151" s="9" t="n">
        <v>0.7</v>
      </c>
      <c r="S151" s="0" t="n">
        <v>3</v>
      </c>
    </row>
    <row r="152" customFormat="false" ht="17.15" hidden="false" customHeight="false" outlineLevel="0" collapsed="false">
      <c r="A152" s="0" t="s">
        <v>447</v>
      </c>
      <c r="B152" s="0" t="s">
        <v>448</v>
      </c>
      <c r="C152" s="0" t="s">
        <v>109</v>
      </c>
      <c r="D152" s="0" t="s">
        <v>75</v>
      </c>
      <c r="E152" s="0" t="s">
        <v>139</v>
      </c>
      <c r="F152" s="0" t="s">
        <v>186</v>
      </c>
      <c r="G152" s="0" t="s">
        <v>449</v>
      </c>
      <c r="H152" s="9" t="s">
        <v>446</v>
      </c>
      <c r="I152" s="9" t="s">
        <v>450</v>
      </c>
      <c r="J152" s="9" t="s">
        <v>75</v>
      </c>
      <c r="L152" s="9" t="n">
        <v>1</v>
      </c>
      <c r="M152" s="9" t="n">
        <v>1</v>
      </c>
      <c r="S152" s="0" t="n">
        <v>3</v>
      </c>
    </row>
    <row r="153" customFormat="false" ht="17.15" hidden="false" customHeight="false" outlineLevel="0" collapsed="false">
      <c r="A153" s="0" t="s">
        <v>451</v>
      </c>
      <c r="B153" s="0" t="s">
        <v>452</v>
      </c>
      <c r="C153" s="0" t="s">
        <v>109</v>
      </c>
      <c r="D153" s="5" t="s">
        <v>439</v>
      </c>
      <c r="E153" s="0" t="s">
        <v>51</v>
      </c>
      <c r="F153" s="0" t="s">
        <v>66</v>
      </c>
      <c r="G153" s="5" t="s">
        <v>453</v>
      </c>
      <c r="H153" s="9" t="s">
        <v>454</v>
      </c>
      <c r="I153" s="9" t="s">
        <v>442</v>
      </c>
      <c r="J153" s="16" t="s">
        <v>439</v>
      </c>
      <c r="K153" s="9" t="n">
        <v>0.2</v>
      </c>
      <c r="L153" s="9" t="n">
        <v>0.2</v>
      </c>
      <c r="M153" s="9" t="n">
        <v>0.2</v>
      </c>
      <c r="S153" s="0" t="n">
        <v>3</v>
      </c>
    </row>
    <row r="154" customFormat="false" ht="17.15" hidden="false" customHeight="false" outlineLevel="0" collapsed="false">
      <c r="A154" s="0" t="s">
        <v>455</v>
      </c>
      <c r="B154" s="0" t="s">
        <v>456</v>
      </c>
      <c r="C154" s="0" t="s">
        <v>109</v>
      </c>
      <c r="D154" s="0" t="s">
        <v>75</v>
      </c>
      <c r="E154" s="0" t="s">
        <v>40</v>
      </c>
      <c r="F154" s="0" t="s">
        <v>186</v>
      </c>
      <c r="G154" s="0" t="s">
        <v>457</v>
      </c>
      <c r="H154" s="9" t="s">
        <v>454</v>
      </c>
      <c r="I154" s="9" t="s">
        <v>450</v>
      </c>
      <c r="J154" s="9" t="s">
        <v>75</v>
      </c>
      <c r="K154" s="9" t="n">
        <v>0.626</v>
      </c>
      <c r="L154" s="9" t="n">
        <v>1.037</v>
      </c>
      <c r="M154" s="9" t="n">
        <v>1.037</v>
      </c>
      <c r="S154" s="0" t="n">
        <v>3</v>
      </c>
    </row>
    <row r="155" customFormat="false" ht="17.15" hidden="false" customHeight="false" outlineLevel="0" collapsed="false">
      <c r="A155" s="0" t="s">
        <v>458</v>
      </c>
      <c r="B155" s="0" t="s">
        <v>459</v>
      </c>
      <c r="C155" s="0" t="s">
        <v>109</v>
      </c>
      <c r="D155" s="5" t="s">
        <v>439</v>
      </c>
      <c r="E155" s="0" t="s">
        <v>35</v>
      </c>
      <c r="F155" s="0" t="s">
        <v>46</v>
      </c>
      <c r="G155" s="5" t="s">
        <v>460</v>
      </c>
      <c r="H155" s="9" t="s">
        <v>461</v>
      </c>
      <c r="I155" s="9" t="s">
        <v>461</v>
      </c>
      <c r="J155" s="16" t="s">
        <v>439</v>
      </c>
      <c r="K155" s="9" t="n">
        <v>1</v>
      </c>
      <c r="L155" s="9" t="n">
        <v>1</v>
      </c>
      <c r="M155" s="9" t="n">
        <v>1</v>
      </c>
      <c r="S155" s="0" t="n">
        <v>3</v>
      </c>
    </row>
    <row r="156" customFormat="false" ht="17.15" hidden="false" customHeight="false" outlineLevel="0" collapsed="false">
      <c r="A156" s="0" t="s">
        <v>462</v>
      </c>
      <c r="B156" s="0" t="s">
        <v>463</v>
      </c>
      <c r="C156" s="0" t="s">
        <v>109</v>
      </c>
      <c r="D156" s="0" t="s">
        <v>75</v>
      </c>
      <c r="E156" s="0" t="s">
        <v>139</v>
      </c>
      <c r="F156" s="0" t="s">
        <v>186</v>
      </c>
      <c r="G156" s="0" t="s">
        <v>464</v>
      </c>
      <c r="H156" s="9" t="s">
        <v>465</v>
      </c>
      <c r="I156" s="9" t="s">
        <v>466</v>
      </c>
      <c r="J156" s="9" t="s">
        <v>75</v>
      </c>
      <c r="L156" s="9" t="n">
        <v>0.824</v>
      </c>
      <c r="M156" s="9" t="n">
        <v>0.991</v>
      </c>
      <c r="S156" s="0" t="n">
        <v>3</v>
      </c>
    </row>
    <row r="157" customFormat="false" ht="17.15" hidden="false" customHeight="false" outlineLevel="0" collapsed="false">
      <c r="A157" s="0" t="s">
        <v>467</v>
      </c>
      <c r="B157" s="0" t="s">
        <v>468</v>
      </c>
      <c r="C157" s="0" t="s">
        <v>109</v>
      </c>
      <c r="D157" s="0" t="s">
        <v>75</v>
      </c>
      <c r="E157" s="0" t="s">
        <v>35</v>
      </c>
      <c r="F157" s="0" t="s">
        <v>76</v>
      </c>
      <c r="G157" s="0" t="s">
        <v>469</v>
      </c>
      <c r="H157" s="9" t="s">
        <v>470</v>
      </c>
      <c r="I157" s="9" t="s">
        <v>446</v>
      </c>
      <c r="J157" s="9" t="s">
        <v>75</v>
      </c>
      <c r="L157" s="9" t="n">
        <v>0.19</v>
      </c>
      <c r="M157" s="9" t="n">
        <v>0.19</v>
      </c>
      <c r="S157" s="0" t="n">
        <v>3</v>
      </c>
    </row>
    <row r="158" customFormat="false" ht="17.15" hidden="false" customHeight="false" outlineLevel="0" collapsed="false">
      <c r="A158" s="0" t="s">
        <v>471</v>
      </c>
      <c r="B158" s="0" t="s">
        <v>472</v>
      </c>
      <c r="C158" s="0" t="s">
        <v>109</v>
      </c>
      <c r="D158" s="5" t="s">
        <v>439</v>
      </c>
      <c r="E158" s="0" t="s">
        <v>35</v>
      </c>
      <c r="F158" s="0" t="s">
        <v>76</v>
      </c>
      <c r="G158" s="0" t="s">
        <v>473</v>
      </c>
      <c r="H158" s="9" t="s">
        <v>466</v>
      </c>
      <c r="I158" s="9" t="s">
        <v>466</v>
      </c>
      <c r="J158" s="16" t="s">
        <v>439</v>
      </c>
      <c r="K158" s="9" t="n">
        <v>1</v>
      </c>
      <c r="L158" s="9" t="n">
        <v>1</v>
      </c>
      <c r="M158" s="9" t="n">
        <v>1</v>
      </c>
      <c r="S158" s="0" t="n">
        <v>3</v>
      </c>
    </row>
    <row r="159" customFormat="false" ht="17.15" hidden="false" customHeight="false" outlineLevel="0" collapsed="false">
      <c r="A159" s="0" t="s">
        <v>474</v>
      </c>
      <c r="B159" s="0" t="s">
        <v>475</v>
      </c>
      <c r="C159" s="0" t="s">
        <v>109</v>
      </c>
      <c r="D159" s="5" t="s">
        <v>439</v>
      </c>
      <c r="E159" s="0" t="s">
        <v>35</v>
      </c>
      <c r="F159" s="0" t="s">
        <v>46</v>
      </c>
      <c r="G159" s="5" t="s">
        <v>476</v>
      </c>
      <c r="H159" s="9" t="s">
        <v>450</v>
      </c>
      <c r="I159" s="9" t="s">
        <v>450</v>
      </c>
      <c r="J159" s="16" t="s">
        <v>439</v>
      </c>
      <c r="K159" s="9" t="n">
        <v>1</v>
      </c>
      <c r="L159" s="9" t="n">
        <v>1</v>
      </c>
      <c r="M159" s="9" t="n">
        <v>1</v>
      </c>
      <c r="S159" s="0" t="n">
        <v>3</v>
      </c>
    </row>
    <row r="160" customFormat="false" ht="17.15" hidden="false" customHeight="false" outlineLevel="0" collapsed="false">
      <c r="A160" s="0" t="s">
        <v>477</v>
      </c>
      <c r="B160" s="5" t="s">
        <v>478</v>
      </c>
      <c r="C160" s="0" t="s">
        <v>109</v>
      </c>
      <c r="D160" s="0" t="s">
        <v>75</v>
      </c>
      <c r="E160" s="0" t="s">
        <v>139</v>
      </c>
      <c r="F160" s="0" t="s">
        <v>186</v>
      </c>
      <c r="G160" s="0" t="s">
        <v>479</v>
      </c>
      <c r="H160" s="9" t="s">
        <v>480</v>
      </c>
      <c r="I160" s="9" t="s">
        <v>441</v>
      </c>
      <c r="J160" s="9" t="s">
        <v>75</v>
      </c>
      <c r="L160" s="9" t="n">
        <v>0.2</v>
      </c>
      <c r="M160" s="9" t="n">
        <v>0.2</v>
      </c>
      <c r="S160" s="0" t="n">
        <v>3</v>
      </c>
    </row>
    <row r="161" customFormat="false" ht="17.15" hidden="false" customHeight="false" outlineLevel="0" collapsed="false">
      <c r="A161" s="0" t="s">
        <v>481</v>
      </c>
      <c r="B161" s="5" t="s">
        <v>482</v>
      </c>
      <c r="C161" s="0" t="s">
        <v>109</v>
      </c>
      <c r="D161" s="0" t="s">
        <v>75</v>
      </c>
      <c r="E161" s="0" t="s">
        <v>139</v>
      </c>
      <c r="F161" s="0" t="s">
        <v>186</v>
      </c>
      <c r="G161" s="0" t="s">
        <v>483</v>
      </c>
      <c r="H161" s="9" t="s">
        <v>480</v>
      </c>
      <c r="I161" s="9" t="s">
        <v>450</v>
      </c>
      <c r="J161" s="9" t="s">
        <v>75</v>
      </c>
      <c r="M161" s="9" t="n">
        <v>0.2</v>
      </c>
      <c r="S161" s="0" t="n">
        <v>3</v>
      </c>
    </row>
    <row r="162" customFormat="false" ht="17.15" hidden="false" customHeight="false" outlineLevel="0" collapsed="false">
      <c r="A162" s="0" t="s">
        <v>484</v>
      </c>
      <c r="B162" s="5" t="s">
        <v>485</v>
      </c>
      <c r="C162" s="0" t="s">
        <v>109</v>
      </c>
      <c r="D162" s="5" t="s">
        <v>439</v>
      </c>
      <c r="E162" s="0" t="s">
        <v>35</v>
      </c>
      <c r="F162" s="0" t="s">
        <v>46</v>
      </c>
      <c r="G162" s="5" t="s">
        <v>486</v>
      </c>
      <c r="H162" s="9" t="s">
        <v>487</v>
      </c>
      <c r="I162" s="9" t="s">
        <v>442</v>
      </c>
      <c r="J162" s="16" t="s">
        <v>439</v>
      </c>
      <c r="K162" s="9" t="n">
        <v>1</v>
      </c>
      <c r="L162" s="9" t="n">
        <v>1</v>
      </c>
      <c r="M162" s="9" t="n">
        <v>1</v>
      </c>
      <c r="S162" s="0" t="n">
        <v>3</v>
      </c>
    </row>
    <row r="164" customFormat="false" ht="17.15" hidden="false" customHeight="false" outlineLevel="0" collapsed="false">
      <c r="A164" s="8" t="s">
        <v>488</v>
      </c>
    </row>
    <row r="165" customFormat="false" ht="17.15" hidden="false" customHeight="false" outlineLevel="0" collapsed="false">
      <c r="A165" s="6" t="s">
        <v>12</v>
      </c>
      <c r="B165" s="6" t="s">
        <v>489</v>
      </c>
      <c r="C165" s="6" t="s">
        <v>14</v>
      </c>
      <c r="D165" s="6" t="s">
        <v>15</v>
      </c>
      <c r="E165" s="6" t="s">
        <v>16</v>
      </c>
      <c r="F165" s="6" t="s">
        <v>17</v>
      </c>
      <c r="G165" s="6" t="s">
        <v>18</v>
      </c>
      <c r="H165" s="6" t="s">
        <v>434</v>
      </c>
      <c r="I165" s="6" t="s">
        <v>435</v>
      </c>
      <c r="J165" s="7" t="s">
        <v>110</v>
      </c>
      <c r="K165" s="6" t="s">
        <v>490</v>
      </c>
      <c r="L165" s="6" t="s">
        <v>491</v>
      </c>
      <c r="M165" s="6" t="s">
        <v>492</v>
      </c>
      <c r="N165" s="6" t="s">
        <v>493</v>
      </c>
      <c r="O165" s="6" t="s">
        <v>494</v>
      </c>
    </row>
    <row r="166" customFormat="false" ht="17.15" hidden="false" customHeight="false" outlineLevel="0" collapsed="false">
      <c r="A166" s="0" t="s">
        <v>495</v>
      </c>
      <c r="B166" s="0" t="s">
        <v>496</v>
      </c>
      <c r="C166" s="0" t="s">
        <v>109</v>
      </c>
      <c r="D166" s="0" t="s">
        <v>110</v>
      </c>
      <c r="E166" s="0" t="s">
        <v>40</v>
      </c>
      <c r="F166" s="0" t="s">
        <v>186</v>
      </c>
      <c r="G166" s="0" t="s">
        <v>497</v>
      </c>
      <c r="H166" s="9" t="s">
        <v>441</v>
      </c>
      <c r="J166" s="9" t="n">
        <v>636</v>
      </c>
      <c r="K166" s="9" t="n">
        <v>2025</v>
      </c>
      <c r="L166" s="9" t="n">
        <v>11</v>
      </c>
      <c r="N166" s="9" t="n">
        <v>1</v>
      </c>
      <c r="O166" s="9" t="n">
        <v>0</v>
      </c>
      <c r="S166" s="0" t="n">
        <v>4</v>
      </c>
    </row>
    <row r="167" customFormat="false" ht="17.15" hidden="false" customHeight="false" outlineLevel="0" collapsed="false">
      <c r="A167" s="0" t="s">
        <v>498</v>
      </c>
      <c r="B167" s="0" t="s">
        <v>499</v>
      </c>
      <c r="C167" s="0" t="s">
        <v>109</v>
      </c>
      <c r="D167" s="0" t="s">
        <v>110</v>
      </c>
      <c r="E167" s="0" t="s">
        <v>40</v>
      </c>
      <c r="F167" s="0" t="s">
        <v>186</v>
      </c>
      <c r="G167" s="0" t="s">
        <v>500</v>
      </c>
      <c r="H167" s="9" t="s">
        <v>441</v>
      </c>
      <c r="J167" s="9" t="n">
        <v>369</v>
      </c>
      <c r="K167" s="9" t="n">
        <v>2026</v>
      </c>
      <c r="L167" s="9" t="n">
        <v>6</v>
      </c>
      <c r="N167" s="9" t="n">
        <v>1</v>
      </c>
      <c r="O167" s="9" t="n">
        <v>0</v>
      </c>
      <c r="S167" s="0" t="n">
        <v>4</v>
      </c>
    </row>
    <row r="168" customFormat="false" ht="17.15" hidden="false" customHeight="false" outlineLevel="0" collapsed="false">
      <c r="A168" s="0" t="s">
        <v>501</v>
      </c>
      <c r="B168" s="0" t="s">
        <v>502</v>
      </c>
      <c r="C168" s="0" t="s">
        <v>109</v>
      </c>
      <c r="D168" s="0" t="s">
        <v>110</v>
      </c>
      <c r="E168" s="0" t="s">
        <v>40</v>
      </c>
      <c r="F168" s="0" t="s">
        <v>186</v>
      </c>
      <c r="G168" s="0" t="s">
        <v>503</v>
      </c>
      <c r="H168" s="9" t="s">
        <v>441</v>
      </c>
      <c r="J168" s="9" t="n">
        <v>1894</v>
      </c>
      <c r="K168" s="9" t="n">
        <v>2028</v>
      </c>
      <c r="L168" s="9" t="n">
        <v>5</v>
      </c>
      <c r="N168" s="9" t="n">
        <v>1</v>
      </c>
      <c r="O168" s="9" t="n">
        <v>0</v>
      </c>
      <c r="S168" s="0" t="n">
        <v>4</v>
      </c>
    </row>
    <row r="169" customFormat="false" ht="17.15" hidden="false" customHeight="false" outlineLevel="0" collapsed="false">
      <c r="A169" s="0" t="s">
        <v>504</v>
      </c>
      <c r="B169" s="0" t="s">
        <v>505</v>
      </c>
      <c r="C169" s="5" t="s">
        <v>74</v>
      </c>
      <c r="D169" s="0" t="s">
        <v>110</v>
      </c>
      <c r="E169" s="0" t="s">
        <v>139</v>
      </c>
      <c r="F169" s="0" t="s">
        <v>186</v>
      </c>
      <c r="G169" s="0" t="s">
        <v>506</v>
      </c>
      <c r="H169" s="9" t="s">
        <v>441</v>
      </c>
      <c r="I169" s="9" t="s">
        <v>442</v>
      </c>
      <c r="J169" s="9" t="n">
        <v>900</v>
      </c>
      <c r="K169" s="9" t="n">
        <v>2027</v>
      </c>
      <c r="L169" s="9" t="n">
        <v>6</v>
      </c>
      <c r="N169" s="9" t="n">
        <v>1</v>
      </c>
      <c r="O169" s="9" t="n">
        <v>0</v>
      </c>
      <c r="S169" s="0" t="n">
        <v>4</v>
      </c>
    </row>
    <row r="170" customFormat="false" ht="17.15" hidden="false" customHeight="false" outlineLevel="0" collapsed="false">
      <c r="A170" s="0" t="s">
        <v>507</v>
      </c>
      <c r="B170" s="0" t="s">
        <v>508</v>
      </c>
      <c r="C170" s="0" t="s">
        <v>109</v>
      </c>
      <c r="D170" s="0" t="s">
        <v>110</v>
      </c>
      <c r="E170" s="0" t="s">
        <v>40</v>
      </c>
      <c r="F170" s="0" t="s">
        <v>186</v>
      </c>
      <c r="G170" s="0" t="s">
        <v>509</v>
      </c>
      <c r="H170" s="9" t="s">
        <v>454</v>
      </c>
      <c r="I170" s="9" t="s">
        <v>450</v>
      </c>
      <c r="J170" s="9" t="n">
        <v>127</v>
      </c>
      <c r="K170" s="9" t="n">
        <v>2026</v>
      </c>
      <c r="L170" s="9" t="n">
        <v>10</v>
      </c>
      <c r="N170" s="9" t="n">
        <v>1</v>
      </c>
      <c r="O170" s="9" t="n">
        <v>0</v>
      </c>
      <c r="S170" s="0" t="n">
        <v>4</v>
      </c>
    </row>
    <row r="171" customFormat="false" ht="17.15" hidden="false" customHeight="false" outlineLevel="0" collapsed="false">
      <c r="A171" s="0" t="s">
        <v>510</v>
      </c>
      <c r="B171" s="0" t="s">
        <v>511</v>
      </c>
      <c r="C171" s="0" t="s">
        <v>109</v>
      </c>
      <c r="D171" s="0" t="s">
        <v>110</v>
      </c>
      <c r="E171" s="0" t="s">
        <v>40</v>
      </c>
      <c r="F171" s="0" t="s">
        <v>186</v>
      </c>
      <c r="G171" s="0" t="s">
        <v>512</v>
      </c>
      <c r="H171" s="9" t="s">
        <v>454</v>
      </c>
      <c r="I171" s="9" t="s">
        <v>450</v>
      </c>
      <c r="J171" s="9" t="n">
        <v>888</v>
      </c>
      <c r="K171" s="9" t="n">
        <v>2028</v>
      </c>
      <c r="L171" s="9" t="n">
        <v>6</v>
      </c>
      <c r="N171" s="9" t="n">
        <v>1</v>
      </c>
      <c r="O171" s="9" t="n">
        <v>0</v>
      </c>
      <c r="S171" s="0" t="n">
        <v>4</v>
      </c>
    </row>
    <row r="172" customFormat="false" ht="17.15" hidden="false" customHeight="false" outlineLevel="0" collapsed="false">
      <c r="A172" s="0" t="s">
        <v>513</v>
      </c>
      <c r="B172" s="0" t="s">
        <v>514</v>
      </c>
      <c r="C172" s="0" t="s">
        <v>109</v>
      </c>
      <c r="D172" s="0" t="s">
        <v>110</v>
      </c>
      <c r="E172" s="0" t="s">
        <v>40</v>
      </c>
      <c r="F172" s="0" t="s">
        <v>186</v>
      </c>
      <c r="G172" s="0" t="s">
        <v>515</v>
      </c>
      <c r="H172" s="9" t="s">
        <v>461</v>
      </c>
      <c r="I172" s="9" t="s">
        <v>461</v>
      </c>
      <c r="J172" s="9" t="n">
        <v>471</v>
      </c>
      <c r="K172" s="9" t="n">
        <v>2026</v>
      </c>
      <c r="L172" s="9" t="n">
        <v>8</v>
      </c>
      <c r="N172" s="9" t="n">
        <v>1</v>
      </c>
      <c r="O172" s="9" t="n">
        <v>0</v>
      </c>
      <c r="S172" s="0" t="n">
        <v>4</v>
      </c>
    </row>
    <row r="173" customFormat="false" ht="17.15" hidden="false" customHeight="false" outlineLevel="0" collapsed="false">
      <c r="A173" s="0" t="s">
        <v>516</v>
      </c>
      <c r="B173" s="0" t="s">
        <v>517</v>
      </c>
      <c r="C173" s="0" t="s">
        <v>109</v>
      </c>
      <c r="D173" s="0" t="s">
        <v>110</v>
      </c>
      <c r="E173" s="0" t="s">
        <v>40</v>
      </c>
      <c r="F173" s="0" t="s">
        <v>186</v>
      </c>
      <c r="G173" s="0" t="s">
        <v>518</v>
      </c>
      <c r="H173" s="9" t="s">
        <v>461</v>
      </c>
      <c r="I173" s="9" t="s">
        <v>461</v>
      </c>
      <c r="J173" s="9" t="n">
        <v>205</v>
      </c>
      <c r="K173" s="9" t="n">
        <v>2026</v>
      </c>
      <c r="L173" s="9" t="n">
        <v>11</v>
      </c>
      <c r="N173" s="9" t="n">
        <v>1</v>
      </c>
      <c r="O173" s="9" t="n">
        <v>0</v>
      </c>
      <c r="S173" s="0" t="n">
        <v>4</v>
      </c>
    </row>
    <row r="174" customFormat="false" ht="17.15" hidden="false" customHeight="false" outlineLevel="0" collapsed="false">
      <c r="A174" s="0" t="s">
        <v>519</v>
      </c>
      <c r="B174" s="0" t="s">
        <v>520</v>
      </c>
      <c r="C174" s="0" t="s">
        <v>109</v>
      </c>
      <c r="D174" s="0" t="s">
        <v>110</v>
      </c>
      <c r="E174" s="0" t="s">
        <v>40</v>
      </c>
      <c r="F174" s="0" t="s">
        <v>186</v>
      </c>
      <c r="G174" s="0" t="s">
        <v>521</v>
      </c>
      <c r="H174" s="9" t="s">
        <v>461</v>
      </c>
      <c r="I174" s="9" t="s">
        <v>461</v>
      </c>
      <c r="J174" s="9" t="n">
        <v>192</v>
      </c>
      <c r="K174" s="9" t="n">
        <v>2027</v>
      </c>
      <c r="L174" s="9" t="n">
        <v>7</v>
      </c>
      <c r="N174" s="9" t="n">
        <v>1</v>
      </c>
      <c r="O174" s="9" t="n">
        <v>1</v>
      </c>
      <c r="S174" s="0" t="n">
        <v>4</v>
      </c>
    </row>
    <row r="175" customFormat="false" ht="17.15" hidden="false" customHeight="false" outlineLevel="0" collapsed="false">
      <c r="A175" s="0" t="s">
        <v>522</v>
      </c>
      <c r="B175" s="0" t="s">
        <v>523</v>
      </c>
      <c r="C175" s="0" t="s">
        <v>109</v>
      </c>
      <c r="D175" s="0" t="s">
        <v>110</v>
      </c>
      <c r="E175" s="0" t="s">
        <v>40</v>
      </c>
      <c r="F175" s="0" t="s">
        <v>186</v>
      </c>
      <c r="G175" s="0" t="s">
        <v>524</v>
      </c>
      <c r="H175" s="9" t="s">
        <v>461</v>
      </c>
      <c r="I175" s="9" t="s">
        <v>461</v>
      </c>
      <c r="J175" s="9" t="n">
        <v>154</v>
      </c>
      <c r="K175" s="9" t="n">
        <v>2028</v>
      </c>
      <c r="L175" s="9" t="n">
        <v>9</v>
      </c>
      <c r="N175" s="9" t="n">
        <v>1</v>
      </c>
      <c r="O175" s="9" t="n">
        <v>1</v>
      </c>
      <c r="S175" s="0" t="n">
        <v>4</v>
      </c>
    </row>
    <row r="176" customFormat="false" ht="17.15" hidden="false" customHeight="false" outlineLevel="0" collapsed="false">
      <c r="A176" s="0" t="s">
        <v>525</v>
      </c>
      <c r="B176" s="0" t="s">
        <v>526</v>
      </c>
      <c r="C176" s="0" t="s">
        <v>109</v>
      </c>
      <c r="D176" s="0" t="s">
        <v>110</v>
      </c>
      <c r="E176" s="0" t="s">
        <v>40</v>
      </c>
      <c r="F176" s="0" t="s">
        <v>186</v>
      </c>
      <c r="G176" s="0" t="s">
        <v>527</v>
      </c>
      <c r="H176" s="9" t="s">
        <v>461</v>
      </c>
      <c r="I176" s="9" t="s">
        <v>461</v>
      </c>
      <c r="J176" s="9" t="n">
        <v>1632</v>
      </c>
      <c r="K176" s="9" t="n">
        <v>2028</v>
      </c>
      <c r="L176" s="9" t="n">
        <v>1</v>
      </c>
      <c r="N176" s="9" t="n">
        <v>1</v>
      </c>
      <c r="O176" s="9" t="n">
        <v>1</v>
      </c>
      <c r="S176" s="0" t="n">
        <v>4</v>
      </c>
    </row>
    <row r="177" customFormat="false" ht="17.15" hidden="false" customHeight="false" outlineLevel="0" collapsed="false">
      <c r="A177" s="0" t="s">
        <v>528</v>
      </c>
      <c r="B177" s="0" t="s">
        <v>529</v>
      </c>
      <c r="C177" s="5" t="s">
        <v>74</v>
      </c>
      <c r="D177" s="0" t="s">
        <v>110</v>
      </c>
      <c r="E177" s="0" t="s">
        <v>139</v>
      </c>
      <c r="F177" s="0" t="s">
        <v>186</v>
      </c>
      <c r="G177" s="0" t="s">
        <v>530</v>
      </c>
      <c r="H177" s="9" t="s">
        <v>461</v>
      </c>
      <c r="I177" s="9" t="s">
        <v>461</v>
      </c>
      <c r="J177" s="9" t="n">
        <v>368</v>
      </c>
      <c r="K177" s="9" t="n">
        <v>2029</v>
      </c>
      <c r="L177" s="9" t="n">
        <v>12</v>
      </c>
      <c r="N177" s="9" t="n">
        <v>1</v>
      </c>
      <c r="O177" s="9" t="n">
        <v>0</v>
      </c>
      <c r="S177" s="0" t="n">
        <v>4</v>
      </c>
    </row>
    <row r="178" customFormat="false" ht="17.15" hidden="false" customHeight="false" outlineLevel="0" collapsed="false">
      <c r="A178" s="0" t="s">
        <v>531</v>
      </c>
      <c r="B178" s="0" t="s">
        <v>532</v>
      </c>
      <c r="C178" s="5" t="s">
        <v>74</v>
      </c>
      <c r="D178" s="0" t="s">
        <v>110</v>
      </c>
      <c r="E178" s="0" t="s">
        <v>139</v>
      </c>
      <c r="F178" s="0" t="s">
        <v>186</v>
      </c>
      <c r="G178" s="0" t="s">
        <v>533</v>
      </c>
      <c r="H178" s="9" t="s">
        <v>461</v>
      </c>
      <c r="I178" s="9" t="s">
        <v>461</v>
      </c>
      <c r="J178" s="9" t="n">
        <v>1000</v>
      </c>
      <c r="K178" s="9" t="n">
        <v>2028</v>
      </c>
      <c r="L178" s="9" t="n">
        <v>12</v>
      </c>
      <c r="N178" s="9" t="n">
        <v>1</v>
      </c>
      <c r="O178" s="9" t="n">
        <v>0</v>
      </c>
      <c r="S178" s="0" t="n">
        <v>4</v>
      </c>
    </row>
    <row r="179" customFormat="false" ht="17.15" hidden="false" customHeight="false" outlineLevel="0" collapsed="false">
      <c r="A179" s="0" t="s">
        <v>534</v>
      </c>
      <c r="B179" s="0" t="s">
        <v>535</v>
      </c>
      <c r="C179" s="5" t="s">
        <v>74</v>
      </c>
      <c r="D179" s="0" t="s">
        <v>110</v>
      </c>
      <c r="E179" s="0" t="s">
        <v>139</v>
      </c>
      <c r="F179" s="0" t="s">
        <v>186</v>
      </c>
      <c r="G179" s="0" t="s">
        <v>536</v>
      </c>
      <c r="H179" s="9" t="s">
        <v>465</v>
      </c>
      <c r="I179" s="9" t="s">
        <v>466</v>
      </c>
      <c r="J179" s="9" t="n">
        <v>206</v>
      </c>
      <c r="K179" s="9" t="n">
        <v>2026</v>
      </c>
      <c r="L179" s="9" t="n">
        <v>12</v>
      </c>
      <c r="N179" s="9" t="n">
        <v>1</v>
      </c>
      <c r="O179" s="9" t="n">
        <v>0</v>
      </c>
      <c r="S179" s="0" t="n">
        <v>4</v>
      </c>
    </row>
    <row r="180" customFormat="false" ht="17.15" hidden="false" customHeight="false" outlineLevel="0" collapsed="false">
      <c r="A180" s="0" t="s">
        <v>537</v>
      </c>
      <c r="B180" s="0" t="s">
        <v>538</v>
      </c>
      <c r="C180" s="5" t="s">
        <v>165</v>
      </c>
      <c r="D180" s="0" t="s">
        <v>110</v>
      </c>
      <c r="E180" s="0" t="s">
        <v>40</v>
      </c>
      <c r="F180" s="0" t="s">
        <v>186</v>
      </c>
      <c r="G180" s="0" t="s">
        <v>539</v>
      </c>
      <c r="H180" s="9" t="s">
        <v>465</v>
      </c>
      <c r="I180" s="9" t="s">
        <v>466</v>
      </c>
      <c r="J180" s="9" t="n">
        <v>200</v>
      </c>
      <c r="K180" s="9" t="n">
        <v>2027</v>
      </c>
      <c r="L180" s="9" t="n">
        <v>8</v>
      </c>
      <c r="N180" s="9" t="n">
        <v>1</v>
      </c>
      <c r="O180" s="9" t="n">
        <v>0</v>
      </c>
      <c r="S180" s="0" t="n">
        <v>4</v>
      </c>
    </row>
    <row r="181" customFormat="false" ht="17.15" hidden="false" customHeight="false" outlineLevel="0" collapsed="false">
      <c r="A181" s="0" t="s">
        <v>540</v>
      </c>
      <c r="B181" s="0" t="s">
        <v>541</v>
      </c>
      <c r="C181" s="5" t="s">
        <v>165</v>
      </c>
      <c r="D181" s="0" t="s">
        <v>110</v>
      </c>
      <c r="E181" s="0" t="s">
        <v>40</v>
      </c>
      <c r="F181" s="0" t="s">
        <v>186</v>
      </c>
      <c r="G181" s="0" t="s">
        <v>542</v>
      </c>
      <c r="H181" s="9" t="s">
        <v>465</v>
      </c>
      <c r="I181" s="9" t="s">
        <v>466</v>
      </c>
      <c r="J181" s="9" t="n">
        <v>1800</v>
      </c>
      <c r="K181" s="9" t="n">
        <v>2028</v>
      </c>
      <c r="L181" s="9" t="n">
        <v>11</v>
      </c>
      <c r="N181" s="9" t="n">
        <v>1</v>
      </c>
      <c r="O181" s="9" t="n">
        <v>0</v>
      </c>
      <c r="S181" s="0" t="n">
        <v>4</v>
      </c>
    </row>
    <row r="182" customFormat="false" ht="17.15" hidden="false" customHeight="false" outlineLevel="0" collapsed="false">
      <c r="A182" s="0" t="s">
        <v>543</v>
      </c>
      <c r="B182" s="0" t="s">
        <v>544</v>
      </c>
      <c r="C182" s="5" t="s">
        <v>165</v>
      </c>
      <c r="D182" s="0" t="s">
        <v>110</v>
      </c>
      <c r="E182" s="0" t="s">
        <v>40</v>
      </c>
      <c r="F182" s="0" t="s">
        <v>186</v>
      </c>
      <c r="G182" s="0" t="s">
        <v>545</v>
      </c>
      <c r="H182" s="9" t="s">
        <v>465</v>
      </c>
      <c r="I182" s="9" t="s">
        <v>466</v>
      </c>
      <c r="J182" s="9" t="n">
        <v>2200</v>
      </c>
      <c r="K182" s="9" t="n">
        <v>2028</v>
      </c>
      <c r="L182" s="9" t="n">
        <v>12</v>
      </c>
      <c r="M182" s="9" t="n">
        <v>12</v>
      </c>
      <c r="N182" s="9" t="n">
        <v>1</v>
      </c>
      <c r="O182" s="9" t="n">
        <v>0</v>
      </c>
      <c r="S182" s="0" t="n">
        <v>4</v>
      </c>
    </row>
    <row r="183" customFormat="false" ht="17.15" hidden="false" customHeight="false" outlineLevel="0" collapsed="false">
      <c r="A183" s="0" t="s">
        <v>546</v>
      </c>
      <c r="B183" s="0" t="s">
        <v>547</v>
      </c>
      <c r="C183" s="5" t="s">
        <v>165</v>
      </c>
      <c r="D183" s="0" t="s">
        <v>110</v>
      </c>
      <c r="E183" s="0" t="s">
        <v>40</v>
      </c>
      <c r="F183" s="0" t="s">
        <v>186</v>
      </c>
      <c r="G183" s="0" t="s">
        <v>548</v>
      </c>
      <c r="H183" s="9" t="s">
        <v>465</v>
      </c>
      <c r="I183" s="9" t="s">
        <v>466</v>
      </c>
      <c r="J183" s="9" t="n">
        <v>1300</v>
      </c>
      <c r="K183" s="9" t="n">
        <v>2028</v>
      </c>
      <c r="L183" s="9" t="n">
        <v>12</v>
      </c>
      <c r="N183" s="9" t="n">
        <v>1</v>
      </c>
      <c r="O183" s="9" t="n">
        <v>0</v>
      </c>
      <c r="S183" s="0" t="n">
        <v>4</v>
      </c>
    </row>
    <row r="184" customFormat="false" ht="17.15" hidden="false" customHeight="false" outlineLevel="0" collapsed="false">
      <c r="A184" s="0" t="s">
        <v>549</v>
      </c>
      <c r="B184" s="0" t="s">
        <v>550</v>
      </c>
      <c r="C184" s="5" t="s">
        <v>165</v>
      </c>
      <c r="D184" s="0" t="s">
        <v>110</v>
      </c>
      <c r="E184" s="0" t="s">
        <v>40</v>
      </c>
      <c r="F184" s="0" t="s">
        <v>186</v>
      </c>
      <c r="G184" s="0" t="s">
        <v>551</v>
      </c>
      <c r="H184" s="9" t="s">
        <v>465</v>
      </c>
      <c r="I184" s="9" t="s">
        <v>466</v>
      </c>
      <c r="J184" s="9" t="n">
        <v>1400</v>
      </c>
      <c r="K184" s="9" t="n">
        <v>2028</v>
      </c>
      <c r="L184" s="9" t="n">
        <v>12</v>
      </c>
      <c r="N184" s="9" t="n">
        <v>1</v>
      </c>
      <c r="O184" s="9" t="n">
        <v>0</v>
      </c>
      <c r="S184" s="0" t="n">
        <v>4</v>
      </c>
    </row>
    <row r="185" customFormat="false" ht="17.15" hidden="false" customHeight="false" outlineLevel="0" collapsed="false">
      <c r="A185" s="0" t="s">
        <v>552</v>
      </c>
      <c r="B185" s="0" t="s">
        <v>553</v>
      </c>
      <c r="C185" s="0" t="s">
        <v>109</v>
      </c>
      <c r="D185" s="0" t="s">
        <v>110</v>
      </c>
      <c r="E185" s="0" t="s">
        <v>139</v>
      </c>
      <c r="F185" s="0" t="s">
        <v>186</v>
      </c>
      <c r="G185" s="0" t="s">
        <v>554</v>
      </c>
      <c r="H185" s="9" t="s">
        <v>555</v>
      </c>
      <c r="J185" s="9" t="n">
        <v>260</v>
      </c>
      <c r="K185" s="9" t="n">
        <v>2027</v>
      </c>
      <c r="L185" s="9" t="n">
        <v>6</v>
      </c>
      <c r="N185" s="9" t="n">
        <v>1</v>
      </c>
      <c r="O185" s="9" t="n">
        <v>0</v>
      </c>
      <c r="S185" s="0" t="n">
        <v>4</v>
      </c>
    </row>
    <row r="186" customFormat="false" ht="17.15" hidden="false" customHeight="false" outlineLevel="0" collapsed="false">
      <c r="A186" s="0" t="s">
        <v>556</v>
      </c>
      <c r="B186" s="0" t="s">
        <v>557</v>
      </c>
      <c r="C186" s="0" t="s">
        <v>109</v>
      </c>
      <c r="D186" s="0" t="s">
        <v>110</v>
      </c>
      <c r="E186" s="0" t="s">
        <v>139</v>
      </c>
      <c r="F186" s="0" t="s">
        <v>186</v>
      </c>
      <c r="G186" s="0" t="s">
        <v>558</v>
      </c>
      <c r="H186" s="9" t="s">
        <v>480</v>
      </c>
      <c r="I186" s="9" t="s">
        <v>441</v>
      </c>
      <c r="J186" s="9" t="n">
        <v>100</v>
      </c>
      <c r="K186" s="9" t="n">
        <v>2026</v>
      </c>
      <c r="L186" s="9" t="n">
        <v>12</v>
      </c>
      <c r="N186" s="9" t="n">
        <v>1</v>
      </c>
      <c r="O186" s="9" t="n">
        <v>0</v>
      </c>
      <c r="S186" s="0" t="n">
        <v>4</v>
      </c>
    </row>
    <row r="187" customFormat="false" ht="17.15" hidden="false" customHeight="false" outlineLevel="0" collapsed="false">
      <c r="A187" s="0" t="s">
        <v>559</v>
      </c>
      <c r="B187" s="0" t="s">
        <v>560</v>
      </c>
      <c r="C187" s="0" t="s">
        <v>109</v>
      </c>
      <c r="D187" s="0" t="s">
        <v>110</v>
      </c>
      <c r="E187" s="0" t="s">
        <v>139</v>
      </c>
      <c r="F187" s="0" t="s">
        <v>186</v>
      </c>
      <c r="G187" s="0" t="s">
        <v>561</v>
      </c>
      <c r="H187" s="9" t="s">
        <v>480</v>
      </c>
      <c r="J187" s="9" t="n">
        <v>500</v>
      </c>
      <c r="K187" s="9" t="n">
        <v>2027</v>
      </c>
      <c r="L187" s="9" t="n">
        <v>12</v>
      </c>
      <c r="N187" s="9" t="n">
        <v>1</v>
      </c>
      <c r="O187" s="9" t="n">
        <v>0</v>
      </c>
      <c r="S187" s="0" t="n">
        <v>4</v>
      </c>
    </row>
    <row r="188" customFormat="false" ht="17.15" hidden="false" customHeight="false" outlineLevel="0" collapsed="false">
      <c r="A188" s="0" t="s">
        <v>562</v>
      </c>
      <c r="B188" s="0" t="s">
        <v>563</v>
      </c>
      <c r="C188" s="0" t="s">
        <v>109</v>
      </c>
      <c r="D188" s="0" t="s">
        <v>110</v>
      </c>
      <c r="E188" s="0" t="s">
        <v>139</v>
      </c>
      <c r="F188" s="0" t="s">
        <v>186</v>
      </c>
      <c r="G188" s="0" t="s">
        <v>564</v>
      </c>
      <c r="H188" s="9" t="s">
        <v>480</v>
      </c>
      <c r="I188" s="9" t="s">
        <v>450</v>
      </c>
      <c r="J188" s="9" t="n">
        <v>200</v>
      </c>
      <c r="K188" s="9" t="n">
        <v>2027</v>
      </c>
      <c r="L188" s="9" t="n">
        <v>9</v>
      </c>
      <c r="N188" s="9" t="n">
        <v>1</v>
      </c>
      <c r="O188" s="9" t="n">
        <v>0</v>
      </c>
      <c r="S188" s="0" t="n">
        <v>4</v>
      </c>
    </row>
    <row r="189" customFormat="false" ht="17.15" hidden="false" customHeight="false" outlineLevel="0" collapsed="false">
      <c r="A189" s="0" t="s">
        <v>565</v>
      </c>
      <c r="B189" s="0" t="s">
        <v>566</v>
      </c>
      <c r="C189" s="0" t="s">
        <v>109</v>
      </c>
      <c r="D189" s="0" t="s">
        <v>110</v>
      </c>
      <c r="E189" s="0" t="s">
        <v>139</v>
      </c>
      <c r="F189" s="0" t="s">
        <v>186</v>
      </c>
      <c r="G189" s="5" t="s">
        <v>105</v>
      </c>
      <c r="H189" s="9" t="s">
        <v>480</v>
      </c>
      <c r="I189" s="9" t="s">
        <v>450</v>
      </c>
      <c r="J189" s="9" t="n">
        <v>201</v>
      </c>
      <c r="K189" s="9" t="n">
        <v>2028</v>
      </c>
      <c r="L189" s="9" t="n">
        <v>2</v>
      </c>
      <c r="N189" s="9" t="n">
        <v>1</v>
      </c>
      <c r="O189" s="9" t="n">
        <v>0</v>
      </c>
      <c r="S189" s="0" t="n">
        <v>4</v>
      </c>
    </row>
    <row r="190" customFormat="false" ht="17.15" hidden="false" customHeight="false" outlineLevel="0" collapsed="false">
      <c r="A190" s="0" t="s">
        <v>567</v>
      </c>
      <c r="B190" s="0" t="s">
        <v>568</v>
      </c>
      <c r="C190" s="0" t="s">
        <v>109</v>
      </c>
      <c r="D190" s="0" t="s">
        <v>110</v>
      </c>
      <c r="E190" s="0" t="s">
        <v>139</v>
      </c>
      <c r="F190" s="0" t="s">
        <v>76</v>
      </c>
      <c r="G190" s="0" t="s">
        <v>569</v>
      </c>
      <c r="H190" s="9" t="s">
        <v>466</v>
      </c>
      <c r="I190" s="9" t="s">
        <v>466</v>
      </c>
      <c r="J190" s="9" t="n">
        <v>1417</v>
      </c>
      <c r="K190" s="9" t="n">
        <v>2028</v>
      </c>
      <c r="L190" s="9" t="n">
        <v>12</v>
      </c>
      <c r="N190" s="9" t="n">
        <v>1</v>
      </c>
      <c r="O190" s="9" t="n">
        <v>0</v>
      </c>
      <c r="S190" s="0" t="n">
        <v>4</v>
      </c>
    </row>
    <row r="191" customFormat="false" ht="17.15" hidden="false" customHeight="false" outlineLevel="0" collapsed="false">
      <c r="A191" s="0" t="s">
        <v>570</v>
      </c>
      <c r="B191" s="0" t="s">
        <v>571</v>
      </c>
      <c r="C191" s="0" t="s">
        <v>109</v>
      </c>
      <c r="D191" s="0" t="s">
        <v>110</v>
      </c>
      <c r="E191" s="0" t="s">
        <v>139</v>
      </c>
      <c r="F191" s="0" t="s">
        <v>76</v>
      </c>
      <c r="G191" s="0" t="s">
        <v>569</v>
      </c>
      <c r="H191" s="9" t="s">
        <v>466</v>
      </c>
      <c r="I191" s="9" t="s">
        <v>466</v>
      </c>
      <c r="J191" s="9" t="n">
        <v>1417</v>
      </c>
      <c r="K191" s="9" t="n">
        <v>2029</v>
      </c>
      <c r="L191" s="9" t="n">
        <v>12</v>
      </c>
      <c r="N191" s="9" t="n">
        <v>1</v>
      </c>
      <c r="O191" s="9" t="n">
        <v>0</v>
      </c>
      <c r="S191" s="0" t="n">
        <v>4</v>
      </c>
    </row>
    <row r="192" customFormat="false" ht="17.15" hidden="false" customHeight="false" outlineLevel="0" collapsed="false">
      <c r="A192" s="0" t="s">
        <v>572</v>
      </c>
      <c r="B192" s="0" t="s">
        <v>573</v>
      </c>
      <c r="C192" s="0" t="s">
        <v>109</v>
      </c>
      <c r="D192" s="0" t="s">
        <v>110</v>
      </c>
      <c r="E192" s="0" t="s">
        <v>139</v>
      </c>
      <c r="F192" s="0" t="s">
        <v>76</v>
      </c>
      <c r="G192" s="0" t="s">
        <v>569</v>
      </c>
      <c r="H192" s="9" t="s">
        <v>466</v>
      </c>
      <c r="I192" s="9" t="s">
        <v>466</v>
      </c>
      <c r="J192" s="9" t="n">
        <v>1416</v>
      </c>
      <c r="K192" s="9" t="n">
        <v>2030</v>
      </c>
      <c r="L192" s="9" t="n">
        <v>12</v>
      </c>
      <c r="N192" s="9" t="n">
        <v>1</v>
      </c>
      <c r="O192" s="9" t="n">
        <v>0</v>
      </c>
      <c r="S192" s="0" t="n">
        <v>4</v>
      </c>
    </row>
    <row r="193" customFormat="false" ht="17.15" hidden="false" customHeight="false" outlineLevel="0" collapsed="false">
      <c r="A193" s="0" t="s">
        <v>574</v>
      </c>
      <c r="B193" s="0" t="s">
        <v>575</v>
      </c>
      <c r="C193" s="5" t="s">
        <v>74</v>
      </c>
      <c r="D193" s="0" t="s">
        <v>110</v>
      </c>
      <c r="E193" s="0" t="s">
        <v>139</v>
      </c>
      <c r="F193" s="0" t="s">
        <v>76</v>
      </c>
      <c r="G193" s="0" t="s">
        <v>576</v>
      </c>
      <c r="H193" s="9" t="s">
        <v>577</v>
      </c>
      <c r="J193" s="9" t="n">
        <v>200</v>
      </c>
      <c r="K193" s="9" t="n">
        <v>2026</v>
      </c>
      <c r="L193" s="9" t="n">
        <v>6</v>
      </c>
      <c r="N193" s="9" t="n">
        <v>1</v>
      </c>
      <c r="O193" s="9" t="n">
        <v>0</v>
      </c>
      <c r="S193" s="0" t="n">
        <v>4</v>
      </c>
    </row>
    <row r="194" customFormat="false" ht="17.15" hidden="false" customHeight="false" outlineLevel="0" collapsed="false">
      <c r="A194" s="0" t="s">
        <v>578</v>
      </c>
      <c r="B194" s="0" t="s">
        <v>579</v>
      </c>
      <c r="C194" s="5" t="s">
        <v>74</v>
      </c>
      <c r="D194" s="0" t="s">
        <v>110</v>
      </c>
      <c r="E194" s="0" t="s">
        <v>139</v>
      </c>
      <c r="F194" s="0" t="s">
        <v>76</v>
      </c>
      <c r="G194" s="0" t="s">
        <v>580</v>
      </c>
      <c r="H194" s="9" t="s">
        <v>577</v>
      </c>
      <c r="J194" s="9" t="n">
        <v>1700</v>
      </c>
      <c r="K194" s="9" t="n">
        <v>2030</v>
      </c>
      <c r="L194" s="9" t="n">
        <v>12</v>
      </c>
      <c r="N194" s="9" t="n">
        <v>1</v>
      </c>
      <c r="O194" s="9" t="n">
        <v>0</v>
      </c>
      <c r="S194" s="0" t="n">
        <v>4</v>
      </c>
    </row>
    <row r="195" customFormat="false" ht="17.15" hidden="false" customHeight="false" outlineLevel="0" collapsed="false">
      <c r="A195" s="17" t="s">
        <v>581</v>
      </c>
      <c r="B195" s="17" t="s">
        <v>582</v>
      </c>
      <c r="C195" s="18" t="s">
        <v>74</v>
      </c>
      <c r="D195" s="17" t="s">
        <v>110</v>
      </c>
      <c r="E195" s="17" t="s">
        <v>139</v>
      </c>
      <c r="F195" s="17" t="s">
        <v>186</v>
      </c>
      <c r="G195" s="17" t="s">
        <v>583</v>
      </c>
      <c r="H195" s="9" t="s">
        <v>584</v>
      </c>
      <c r="J195" s="9" t="n">
        <v>310</v>
      </c>
      <c r="K195" s="9" t="n">
        <v>2027</v>
      </c>
      <c r="L195" s="9" t="n">
        <v>12</v>
      </c>
      <c r="N195" s="9" t="n">
        <v>0</v>
      </c>
      <c r="O195" s="9" t="n">
        <v>0</v>
      </c>
      <c r="S195" s="0" t="n">
        <v>4</v>
      </c>
    </row>
    <row r="196" customFormat="false" ht="17.15" hidden="false" customHeight="false" outlineLevel="0" collapsed="false">
      <c r="A196" s="17" t="s">
        <v>585</v>
      </c>
      <c r="B196" s="17" t="s">
        <v>586</v>
      </c>
      <c r="C196" s="18" t="s">
        <v>74</v>
      </c>
      <c r="D196" s="17" t="s">
        <v>110</v>
      </c>
      <c r="E196" s="17" t="s">
        <v>139</v>
      </c>
      <c r="F196" s="17" t="s">
        <v>186</v>
      </c>
      <c r="G196" s="17" t="s">
        <v>587</v>
      </c>
      <c r="H196" s="9" t="s">
        <v>584</v>
      </c>
      <c r="J196" s="9" t="n">
        <v>1200</v>
      </c>
      <c r="K196" s="9" t="n">
        <v>2027</v>
      </c>
      <c r="L196" s="9" t="n">
        <v>12</v>
      </c>
      <c r="N196" s="9" t="n">
        <v>0</v>
      </c>
      <c r="O196" s="9" t="n">
        <v>0</v>
      </c>
      <c r="S196" s="0" t="n">
        <v>4</v>
      </c>
    </row>
    <row r="197" customFormat="false" ht="17.15" hidden="false" customHeight="false" outlineLevel="0" collapsed="false">
      <c r="A197" s="17" t="s">
        <v>588</v>
      </c>
      <c r="B197" s="17" t="s">
        <v>589</v>
      </c>
      <c r="C197" s="18" t="s">
        <v>74</v>
      </c>
      <c r="D197" s="17" t="s">
        <v>110</v>
      </c>
      <c r="E197" s="17" t="s">
        <v>139</v>
      </c>
      <c r="F197" s="17" t="s">
        <v>186</v>
      </c>
      <c r="G197" s="17" t="s">
        <v>590</v>
      </c>
      <c r="H197" s="9" t="s">
        <v>584</v>
      </c>
      <c r="J197" s="9" t="n">
        <v>1200</v>
      </c>
      <c r="K197" s="9" t="n">
        <v>2027</v>
      </c>
      <c r="L197" s="9" t="n">
        <v>12</v>
      </c>
      <c r="N197" s="9" t="n">
        <v>0</v>
      </c>
      <c r="O197" s="9" t="n">
        <v>0</v>
      </c>
      <c r="S197" s="0" t="n">
        <v>4</v>
      </c>
    </row>
    <row r="198" customFormat="false" ht="17.15" hidden="false" customHeight="false" outlineLevel="0" collapsed="false">
      <c r="A198" s="17" t="s">
        <v>591</v>
      </c>
      <c r="B198" s="17" t="s">
        <v>592</v>
      </c>
      <c r="C198" s="18" t="s">
        <v>74</v>
      </c>
      <c r="D198" s="17" t="s">
        <v>110</v>
      </c>
      <c r="E198" s="17" t="s">
        <v>139</v>
      </c>
      <c r="F198" s="17" t="s">
        <v>186</v>
      </c>
      <c r="G198" s="17" t="s">
        <v>593</v>
      </c>
      <c r="H198" s="9" t="s">
        <v>555</v>
      </c>
      <c r="J198" s="9" t="n">
        <v>300</v>
      </c>
      <c r="K198" s="9" t="n">
        <v>2027</v>
      </c>
      <c r="L198" s="9" t="n">
        <v>12</v>
      </c>
      <c r="N198" s="9" t="n">
        <v>0</v>
      </c>
      <c r="O198" s="9" t="n">
        <v>0</v>
      </c>
      <c r="S198" s="0" t="n">
        <v>4</v>
      </c>
    </row>
    <row r="199" customFormat="false" ht="17.15" hidden="false" customHeight="false" outlineLevel="0" collapsed="false">
      <c r="A199" s="17" t="s">
        <v>594</v>
      </c>
      <c r="B199" s="17" t="s">
        <v>595</v>
      </c>
      <c r="C199" s="17" t="s">
        <v>109</v>
      </c>
      <c r="D199" s="17" t="s">
        <v>110</v>
      </c>
      <c r="E199" s="17" t="s">
        <v>139</v>
      </c>
      <c r="F199" s="17" t="s">
        <v>186</v>
      </c>
      <c r="G199" s="17" t="s">
        <v>596</v>
      </c>
      <c r="H199" s="9" t="s">
        <v>454</v>
      </c>
      <c r="J199" s="9" t="n">
        <v>216</v>
      </c>
      <c r="K199" s="9" t="n">
        <v>2026</v>
      </c>
      <c r="L199" s="9" t="n">
        <v>10</v>
      </c>
      <c r="N199" s="9" t="n">
        <v>0</v>
      </c>
      <c r="O199" s="9" t="n">
        <v>0</v>
      </c>
      <c r="S199" s="0" t="n">
        <v>4</v>
      </c>
    </row>
    <row r="200" customFormat="false" ht="17.15" hidden="false" customHeight="false" outlineLevel="0" collapsed="false">
      <c r="A200" s="17" t="s">
        <v>597</v>
      </c>
      <c r="B200" s="17" t="s">
        <v>598</v>
      </c>
      <c r="C200" s="18" t="s">
        <v>74</v>
      </c>
      <c r="D200" s="17" t="s">
        <v>110</v>
      </c>
      <c r="E200" s="17" t="s">
        <v>139</v>
      </c>
      <c r="F200" s="17" t="s">
        <v>186</v>
      </c>
      <c r="G200" s="17" t="s">
        <v>599</v>
      </c>
      <c r="H200" s="9" t="s">
        <v>446</v>
      </c>
      <c r="J200" s="9" t="n">
        <v>500</v>
      </c>
      <c r="K200" s="9" t="n">
        <v>2027</v>
      </c>
      <c r="L200" s="9" t="n">
        <v>12</v>
      </c>
      <c r="N200" s="9" t="n">
        <v>0</v>
      </c>
      <c r="O200" s="9" t="n">
        <v>0</v>
      </c>
      <c r="S200" s="0" t="n">
        <v>4</v>
      </c>
    </row>
    <row r="201" customFormat="false" ht="17.15" hidden="false" customHeight="false" outlineLevel="0" collapsed="false">
      <c r="A201" s="17" t="s">
        <v>600</v>
      </c>
      <c r="B201" s="17" t="s">
        <v>601</v>
      </c>
      <c r="C201" s="17" t="s">
        <v>109</v>
      </c>
      <c r="D201" s="17" t="s">
        <v>110</v>
      </c>
      <c r="E201" s="17" t="s">
        <v>139</v>
      </c>
      <c r="F201" s="17" t="s">
        <v>76</v>
      </c>
      <c r="G201" s="17" t="s">
        <v>602</v>
      </c>
      <c r="H201" s="9" t="s">
        <v>466</v>
      </c>
      <c r="I201" s="9" t="s">
        <v>466</v>
      </c>
      <c r="J201" s="9" t="n">
        <v>857</v>
      </c>
      <c r="K201" s="9" t="n">
        <v>2026</v>
      </c>
      <c r="L201" s="9" t="n">
        <v>10</v>
      </c>
      <c r="N201" s="9" t="n">
        <v>0</v>
      </c>
      <c r="O201" s="9" t="n">
        <v>0</v>
      </c>
      <c r="S201" s="0" t="n">
        <v>4</v>
      </c>
    </row>
    <row r="202" customFormat="false" ht="17.15" hidden="false" customHeight="false" outlineLevel="0" collapsed="false">
      <c r="A202" s="17" t="s">
        <v>603</v>
      </c>
      <c r="B202" s="17" t="s">
        <v>604</v>
      </c>
      <c r="C202" s="17" t="s">
        <v>109</v>
      </c>
      <c r="D202" s="17" t="s">
        <v>110</v>
      </c>
      <c r="E202" s="17" t="s">
        <v>139</v>
      </c>
      <c r="F202" s="17" t="s">
        <v>76</v>
      </c>
      <c r="G202" s="17" t="s">
        <v>605</v>
      </c>
      <c r="H202" s="9" t="s">
        <v>466</v>
      </c>
      <c r="I202" s="9" t="s">
        <v>466</v>
      </c>
      <c r="J202" s="9" t="n">
        <v>214</v>
      </c>
      <c r="K202" s="9" t="n">
        <v>2027</v>
      </c>
      <c r="L202" s="9" t="n">
        <v>3</v>
      </c>
      <c r="N202" s="9" t="n">
        <v>0</v>
      </c>
      <c r="O202" s="9" t="n">
        <v>0</v>
      </c>
      <c r="S202" s="0" t="n">
        <v>4</v>
      </c>
    </row>
    <row r="203" customFormat="false" ht="17.15" hidden="false" customHeight="false" outlineLevel="0" collapsed="false">
      <c r="A203" s="17" t="s">
        <v>606</v>
      </c>
      <c r="B203" s="17" t="s">
        <v>607</v>
      </c>
      <c r="C203" s="17" t="s">
        <v>109</v>
      </c>
      <c r="D203" s="17" t="s">
        <v>110</v>
      </c>
      <c r="E203" s="17" t="s">
        <v>139</v>
      </c>
      <c r="F203" s="17" t="s">
        <v>76</v>
      </c>
      <c r="G203" s="17" t="s">
        <v>608</v>
      </c>
      <c r="H203" s="9" t="s">
        <v>480</v>
      </c>
      <c r="I203" s="9" t="s">
        <v>466</v>
      </c>
      <c r="J203" s="9" t="n">
        <v>750</v>
      </c>
      <c r="K203" s="9" t="n">
        <v>2028</v>
      </c>
      <c r="L203" s="9" t="n">
        <v>12</v>
      </c>
      <c r="N203" s="9" t="n">
        <v>0</v>
      </c>
      <c r="O203" s="9" t="n">
        <v>0</v>
      </c>
      <c r="S203" s="0" t="n">
        <v>4</v>
      </c>
    </row>
    <row r="204" customFormat="false" ht="17.15" hidden="false" customHeight="false" outlineLevel="0" collapsed="false">
      <c r="A204" s="17" t="s">
        <v>609</v>
      </c>
      <c r="B204" s="17" t="s">
        <v>610</v>
      </c>
      <c r="C204" s="18" t="s">
        <v>74</v>
      </c>
      <c r="D204" s="17" t="s">
        <v>110</v>
      </c>
      <c r="E204" s="17" t="s">
        <v>139</v>
      </c>
      <c r="F204" s="17" t="s">
        <v>76</v>
      </c>
      <c r="G204" s="17" t="s">
        <v>611</v>
      </c>
      <c r="H204" s="9" t="s">
        <v>577</v>
      </c>
      <c r="I204" s="9" t="s">
        <v>466</v>
      </c>
      <c r="J204" s="9" t="n">
        <v>200</v>
      </c>
      <c r="K204" s="9" t="n">
        <v>2026</v>
      </c>
      <c r="L204" s="9" t="n">
        <v>9</v>
      </c>
      <c r="N204" s="9" t="n">
        <v>0</v>
      </c>
      <c r="O204" s="9" t="n">
        <v>0</v>
      </c>
      <c r="S204" s="0" t="n">
        <v>4</v>
      </c>
    </row>
    <row r="205" customFormat="false" ht="17.15" hidden="false" customHeight="false" outlineLevel="0" collapsed="false">
      <c r="A205" s="17" t="s">
        <v>612</v>
      </c>
      <c r="B205" s="17" t="s">
        <v>613</v>
      </c>
      <c r="C205" s="18" t="s">
        <v>74</v>
      </c>
      <c r="D205" s="17" t="s">
        <v>110</v>
      </c>
      <c r="E205" s="17" t="s">
        <v>139</v>
      </c>
      <c r="F205" s="17" t="s">
        <v>76</v>
      </c>
      <c r="G205" s="17" t="s">
        <v>614</v>
      </c>
      <c r="H205" s="9" t="s">
        <v>577</v>
      </c>
      <c r="J205" s="9" t="n">
        <v>1400</v>
      </c>
      <c r="K205" s="9" t="n">
        <v>2028</v>
      </c>
      <c r="L205" s="9" t="n">
        <v>12</v>
      </c>
      <c r="N205" s="9" t="n">
        <v>0</v>
      </c>
      <c r="O205" s="9" t="n">
        <v>0</v>
      </c>
      <c r="S205" s="0" t="n">
        <v>4</v>
      </c>
    </row>
    <row r="206" customFormat="false" ht="17.15" hidden="false" customHeight="false" outlineLevel="0" collapsed="false">
      <c r="A206" s="17" t="s">
        <v>615</v>
      </c>
      <c r="B206" s="17" t="s">
        <v>616</v>
      </c>
      <c r="C206" s="18" t="s">
        <v>74</v>
      </c>
      <c r="D206" s="17" t="s">
        <v>110</v>
      </c>
      <c r="E206" s="17" t="s">
        <v>139</v>
      </c>
      <c r="F206" s="17" t="s">
        <v>76</v>
      </c>
      <c r="G206" s="17" t="s">
        <v>617</v>
      </c>
      <c r="H206" s="9" t="s">
        <v>480</v>
      </c>
      <c r="I206" s="9" t="s">
        <v>450</v>
      </c>
      <c r="J206" s="9" t="n">
        <v>500</v>
      </c>
      <c r="K206" s="9" t="n">
        <v>2026</v>
      </c>
      <c r="L206" s="9" t="n">
        <v>12</v>
      </c>
      <c r="N206" s="9" t="n">
        <v>0</v>
      </c>
      <c r="O206" s="9" t="n">
        <v>0</v>
      </c>
      <c r="S206" s="0" t="n">
        <v>4</v>
      </c>
    </row>
    <row r="207" customFormat="false" ht="17.15" hidden="false" customHeight="false" outlineLevel="0" collapsed="false">
      <c r="A207" s="17" t="s">
        <v>618</v>
      </c>
      <c r="B207" s="17" t="s">
        <v>619</v>
      </c>
      <c r="C207" s="18" t="s">
        <v>74</v>
      </c>
      <c r="D207" s="17" t="s">
        <v>110</v>
      </c>
      <c r="E207" s="17" t="s">
        <v>139</v>
      </c>
      <c r="F207" s="17" t="s">
        <v>76</v>
      </c>
      <c r="G207" s="17" t="s">
        <v>620</v>
      </c>
      <c r="H207" s="9" t="s">
        <v>480</v>
      </c>
      <c r="I207" s="9" t="s">
        <v>450</v>
      </c>
      <c r="J207" s="9" t="n">
        <v>245</v>
      </c>
      <c r="K207" s="9" t="n">
        <v>2027</v>
      </c>
      <c r="L207" s="9" t="n">
        <v>6</v>
      </c>
      <c r="N207" s="9" t="n">
        <v>0</v>
      </c>
      <c r="O207" s="9" t="n">
        <v>0</v>
      </c>
      <c r="S207" s="0" t="n">
        <v>4</v>
      </c>
    </row>
    <row r="208" customFormat="false" ht="17.15" hidden="false" customHeight="false" outlineLevel="0" collapsed="false">
      <c r="A208" s="17" t="s">
        <v>621</v>
      </c>
      <c r="B208" s="17" t="s">
        <v>622</v>
      </c>
      <c r="C208" s="17" t="s">
        <v>109</v>
      </c>
      <c r="D208" s="17" t="s">
        <v>110</v>
      </c>
      <c r="E208" s="17" t="s">
        <v>40</v>
      </c>
      <c r="F208" s="17" t="s">
        <v>76</v>
      </c>
      <c r="G208" s="17" t="s">
        <v>623</v>
      </c>
      <c r="H208" s="9" t="s">
        <v>470</v>
      </c>
      <c r="J208" s="9" t="n">
        <v>585</v>
      </c>
      <c r="K208" s="9" t="n">
        <v>2027</v>
      </c>
      <c r="L208" s="9" t="n">
        <v>12</v>
      </c>
      <c r="N208" s="9" t="n">
        <v>0</v>
      </c>
      <c r="O208" s="9" t="n">
        <v>0</v>
      </c>
      <c r="S208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7.15" hidden="false" customHeight="false" outlineLevel="0" collapsed="false">
      <c r="A1" s="0" t="s">
        <v>624</v>
      </c>
    </row>
    <row r="2" customFormat="false" ht="17.15" hidden="false" customHeight="false" outlineLevel="0" collapsed="false">
      <c r="A2" s="5" t="s">
        <v>625</v>
      </c>
    </row>
    <row r="4" customFormat="false" ht="17.15" hidden="false" customHeight="false" outlineLevel="0" collapsed="false">
      <c r="A4" s="6" t="s">
        <v>626</v>
      </c>
      <c r="B4" s="6" t="s">
        <v>627</v>
      </c>
      <c r="C4" s="6" t="s">
        <v>628</v>
      </c>
      <c r="D4" s="6" t="s">
        <v>629</v>
      </c>
      <c r="E4" s="6" t="s">
        <v>630</v>
      </c>
      <c r="F4" s="6" t="s">
        <v>631</v>
      </c>
      <c r="G4" s="6" t="s">
        <v>15</v>
      </c>
      <c r="H4" s="7" t="s">
        <v>632</v>
      </c>
    </row>
    <row r="5" customFormat="false" ht="15" hidden="false" customHeight="false" outlineLevel="0" collapsed="false">
      <c r="A5" s="0" t="s">
        <v>633</v>
      </c>
      <c r="B5" s="0" t="s">
        <v>634</v>
      </c>
      <c r="C5" s="0" t="s">
        <v>635</v>
      </c>
      <c r="D5" s="19" t="n">
        <v>22439</v>
      </c>
      <c r="E5" s="19" t="n">
        <v>22439</v>
      </c>
      <c r="F5" s="19" t="n">
        <v>22439</v>
      </c>
      <c r="G5" s="5" t="s">
        <v>636</v>
      </c>
      <c r="H5" s="20" t="s">
        <v>637</v>
      </c>
    </row>
    <row r="6" customFormat="false" ht="15" hidden="false" customHeight="false" outlineLevel="0" collapsed="false">
      <c r="A6" s="0" t="s">
        <v>633</v>
      </c>
      <c r="B6" s="0" t="s">
        <v>638</v>
      </c>
      <c r="C6" s="0" t="s">
        <v>639</v>
      </c>
      <c r="D6" s="19" t="n">
        <v>6969</v>
      </c>
      <c r="E6" s="19" t="n">
        <v>6969</v>
      </c>
      <c r="F6" s="19" t="n">
        <v>6969</v>
      </c>
      <c r="G6" s="5" t="s">
        <v>636</v>
      </c>
      <c r="H6" s="20" t="s">
        <v>637</v>
      </c>
    </row>
    <row r="7" customFormat="false" ht="15" hidden="false" customHeight="false" outlineLevel="0" collapsed="false">
      <c r="A7" s="0" t="s">
        <v>633</v>
      </c>
      <c r="B7" s="0" t="s">
        <v>640</v>
      </c>
      <c r="C7" s="0" t="s">
        <v>641</v>
      </c>
      <c r="D7" s="19" t="n">
        <v>6764</v>
      </c>
      <c r="E7" s="19" t="n">
        <v>6764</v>
      </c>
      <c r="F7" s="19" t="n">
        <v>6764</v>
      </c>
      <c r="G7" s="5" t="s">
        <v>636</v>
      </c>
      <c r="H7" s="20" t="s">
        <v>637</v>
      </c>
    </row>
    <row r="8" customFormat="false" ht="15" hidden="false" customHeight="false" outlineLevel="0" collapsed="false">
      <c r="A8" s="0" t="s">
        <v>633</v>
      </c>
      <c r="B8" s="0" t="s">
        <v>642</v>
      </c>
      <c r="C8" s="0" t="s">
        <v>643</v>
      </c>
      <c r="D8" s="19" t="n">
        <v>4052</v>
      </c>
      <c r="E8" s="19" t="n">
        <v>4052</v>
      </c>
      <c r="F8" s="19" t="n">
        <v>4052</v>
      </c>
      <c r="G8" s="5" t="s">
        <v>636</v>
      </c>
      <c r="H8" s="20" t="s">
        <v>637</v>
      </c>
    </row>
    <row r="9" customFormat="false" ht="17.15" hidden="false" customHeight="false" outlineLevel="0" collapsed="false">
      <c r="A9" s="0" t="s">
        <v>633</v>
      </c>
      <c r="B9" s="0" t="s">
        <v>644</v>
      </c>
      <c r="C9" s="0" t="s">
        <v>645</v>
      </c>
      <c r="D9" s="19" t="n">
        <v>2705</v>
      </c>
      <c r="E9" s="19" t="n">
        <v>2705</v>
      </c>
      <c r="F9" s="19" t="n">
        <v>2705</v>
      </c>
      <c r="G9" s="5" t="s">
        <v>636</v>
      </c>
      <c r="H9" s="20" t="s">
        <v>637</v>
      </c>
    </row>
    <row r="10" customFormat="false" ht="15" hidden="false" customHeight="false" outlineLevel="0" collapsed="false">
      <c r="A10" s="0" t="s">
        <v>646</v>
      </c>
      <c r="B10" s="0" t="s">
        <v>634</v>
      </c>
      <c r="C10" s="0" t="s">
        <v>647</v>
      </c>
      <c r="D10" s="19" t="n">
        <v>718048</v>
      </c>
      <c r="E10" s="19" t="n">
        <v>718048</v>
      </c>
      <c r="F10" s="19" t="n">
        <v>718048</v>
      </c>
      <c r="G10" s="5" t="s">
        <v>648</v>
      </c>
      <c r="H10" s="20" t="s">
        <v>649</v>
      </c>
    </row>
    <row r="11" customFormat="false" ht="15" hidden="false" customHeight="false" outlineLevel="0" collapsed="false">
      <c r="A11" s="0" t="s">
        <v>646</v>
      </c>
      <c r="B11" s="0" t="s">
        <v>638</v>
      </c>
      <c r="C11" s="0" t="s">
        <v>650</v>
      </c>
      <c r="D11" s="19" t="n">
        <v>501768</v>
      </c>
      <c r="E11" s="19" t="n">
        <v>501768</v>
      </c>
      <c r="F11" s="19" t="n">
        <v>501768</v>
      </c>
      <c r="G11" s="5" t="s">
        <v>648</v>
      </c>
      <c r="H11" s="20" t="s">
        <v>649</v>
      </c>
    </row>
    <row r="12" customFormat="false" ht="15" hidden="false" customHeight="false" outlineLevel="0" collapsed="false">
      <c r="A12" s="0" t="s">
        <v>646</v>
      </c>
      <c r="B12" s="0" t="s">
        <v>640</v>
      </c>
      <c r="C12" s="0" t="s">
        <v>651</v>
      </c>
      <c r="D12" s="19" t="n">
        <v>487008</v>
      </c>
      <c r="E12" s="19" t="n">
        <v>487008</v>
      </c>
      <c r="F12" s="19" t="n">
        <v>487008</v>
      </c>
      <c r="G12" s="5" t="s">
        <v>648</v>
      </c>
      <c r="H12" s="20" t="s">
        <v>649</v>
      </c>
    </row>
    <row r="13" customFormat="false" ht="15" hidden="false" customHeight="false" outlineLevel="0" collapsed="false">
      <c r="A13" s="0" t="s">
        <v>646</v>
      </c>
      <c r="B13" s="0" t="s">
        <v>642</v>
      </c>
      <c r="C13" s="0" t="s">
        <v>652</v>
      </c>
      <c r="D13" s="19" t="n">
        <v>291744</v>
      </c>
      <c r="E13" s="19" t="n">
        <v>291744</v>
      </c>
      <c r="F13" s="19" t="n">
        <v>291744</v>
      </c>
      <c r="G13" s="5" t="s">
        <v>648</v>
      </c>
      <c r="H13" s="20" t="s">
        <v>649</v>
      </c>
    </row>
    <row r="14" customFormat="false" ht="17.15" hidden="false" customHeight="false" outlineLevel="0" collapsed="false">
      <c r="A14" s="0" t="s">
        <v>646</v>
      </c>
      <c r="B14" s="0" t="s">
        <v>644</v>
      </c>
      <c r="C14" s="0" t="s">
        <v>653</v>
      </c>
      <c r="D14" s="19" t="n">
        <v>194760</v>
      </c>
      <c r="E14" s="19" t="n">
        <v>194760</v>
      </c>
      <c r="F14" s="19" t="n">
        <v>194760</v>
      </c>
      <c r="G14" s="5" t="s">
        <v>648</v>
      </c>
      <c r="H14" s="20" t="s">
        <v>649</v>
      </c>
    </row>
    <row r="15" customFormat="false" ht="15" hidden="false" customHeight="false" outlineLevel="0" collapsed="false">
      <c r="A15" s="0" t="s">
        <v>654</v>
      </c>
      <c r="B15" s="0" t="s">
        <v>634</v>
      </c>
      <c r="C15" s="0" t="s">
        <v>655</v>
      </c>
      <c r="D15" s="19" t="n">
        <v>21.4202694</v>
      </c>
      <c r="E15" s="19" t="n">
        <v>27.510214</v>
      </c>
      <c r="F15" s="19" t="n">
        <v>34.1207434</v>
      </c>
      <c r="G15" s="20" t="s">
        <v>212</v>
      </c>
      <c r="H15" s="20" t="s">
        <v>656</v>
      </c>
    </row>
    <row r="16" customFormat="false" ht="15" hidden="false" customHeight="false" outlineLevel="0" collapsed="false">
      <c r="A16" s="0" t="s">
        <v>654</v>
      </c>
      <c r="B16" s="0" t="s">
        <v>638</v>
      </c>
      <c r="C16" s="0" t="s">
        <v>657</v>
      </c>
      <c r="D16" s="19" t="n">
        <v>20.6393904</v>
      </c>
      <c r="E16" s="19" t="n">
        <v>24.015174</v>
      </c>
      <c r="F16" s="19" t="n">
        <v>27.6502044</v>
      </c>
      <c r="G16" s="20" t="s">
        <v>212</v>
      </c>
      <c r="H16" s="20" t="s">
        <v>656</v>
      </c>
    </row>
    <row r="17" customFormat="false" ht="15" hidden="false" customHeight="false" outlineLevel="0" collapsed="false">
      <c r="A17" s="0" t="s">
        <v>654</v>
      </c>
      <c r="B17" s="0" t="s">
        <v>640</v>
      </c>
      <c r="C17" s="0" t="s">
        <v>658</v>
      </c>
      <c r="D17" s="19" t="n">
        <v>28.5549024</v>
      </c>
      <c r="E17" s="19" t="n">
        <v>32.237224</v>
      </c>
      <c r="F17" s="19" t="n">
        <v>39.2826064</v>
      </c>
      <c r="G17" s="20" t="s">
        <v>212</v>
      </c>
      <c r="H17" s="20" t="s">
        <v>656</v>
      </c>
    </row>
    <row r="18" customFormat="false" ht="15" hidden="false" customHeight="false" outlineLevel="0" collapsed="false">
      <c r="A18" s="0" t="s">
        <v>654</v>
      </c>
      <c r="B18" s="0" t="s">
        <v>642</v>
      </c>
      <c r="C18" s="0" t="s">
        <v>659</v>
      </c>
      <c r="D18" s="19" t="n">
        <v>31.9970232</v>
      </c>
      <c r="E18" s="19" t="n">
        <v>37.586352</v>
      </c>
      <c r="F18" s="19" t="n">
        <v>42.6375752</v>
      </c>
      <c r="G18" s="20" t="s">
        <v>212</v>
      </c>
      <c r="H18" s="20" t="s">
        <v>656</v>
      </c>
    </row>
    <row r="19" customFormat="false" ht="17.15" hidden="false" customHeight="false" outlineLevel="0" collapsed="false">
      <c r="A19" s="0" t="s">
        <v>654</v>
      </c>
      <c r="B19" s="0" t="s">
        <v>644</v>
      </c>
      <c r="C19" s="0" t="s">
        <v>660</v>
      </c>
      <c r="D19" s="19" t="n">
        <v>35.845578</v>
      </c>
      <c r="E19" s="19" t="n">
        <v>50.08578</v>
      </c>
      <c r="F19" s="19" t="n">
        <v>65.481558</v>
      </c>
      <c r="G19" s="20" t="s">
        <v>212</v>
      </c>
      <c r="H19" s="20" t="s">
        <v>656</v>
      </c>
    </row>
    <row r="20" customFormat="false" ht="15" hidden="false" customHeight="false" outlineLevel="0" collapsed="false">
      <c r="A20" s="0" t="s">
        <v>661</v>
      </c>
      <c r="B20" s="0" t="s">
        <v>634</v>
      </c>
      <c r="C20" s="0" t="s">
        <v>662</v>
      </c>
      <c r="D20" s="19" t="n">
        <v>10.212</v>
      </c>
      <c r="E20" s="19" t="n">
        <v>12.67</v>
      </c>
      <c r="F20" s="19" t="n">
        <v>16.186</v>
      </c>
      <c r="G20" s="20" t="s">
        <v>212</v>
      </c>
      <c r="H20" s="20" t="s">
        <v>663</v>
      </c>
    </row>
    <row r="21" customFormat="false" ht="15" hidden="false" customHeight="false" outlineLevel="0" collapsed="false">
      <c r="A21" s="0" t="s">
        <v>661</v>
      </c>
      <c r="B21" s="0" t="s">
        <v>638</v>
      </c>
      <c r="C21" s="0" t="s">
        <v>664</v>
      </c>
      <c r="D21" s="19" t="n">
        <v>10.212</v>
      </c>
      <c r="E21" s="19" t="n">
        <v>12.67</v>
      </c>
      <c r="F21" s="19" t="n">
        <v>16.186</v>
      </c>
      <c r="G21" s="20" t="s">
        <v>212</v>
      </c>
      <c r="H21" s="20" t="s">
        <v>663</v>
      </c>
    </row>
    <row r="22" customFormat="false" ht="15" hidden="false" customHeight="false" outlineLevel="0" collapsed="false">
      <c r="A22" s="0" t="s">
        <v>661</v>
      </c>
      <c r="B22" s="0" t="s">
        <v>640</v>
      </c>
      <c r="C22" s="0" t="s">
        <v>665</v>
      </c>
      <c r="D22" s="19" t="n">
        <v>10.212</v>
      </c>
      <c r="E22" s="19" t="n">
        <v>12.67</v>
      </c>
      <c r="F22" s="19" t="n">
        <v>16.186</v>
      </c>
      <c r="G22" s="20" t="s">
        <v>212</v>
      </c>
      <c r="H22" s="20" t="s">
        <v>663</v>
      </c>
    </row>
    <row r="23" customFormat="false" ht="15" hidden="false" customHeight="false" outlineLevel="0" collapsed="false">
      <c r="A23" s="0" t="s">
        <v>661</v>
      </c>
      <c r="B23" s="0" t="s">
        <v>642</v>
      </c>
      <c r="C23" s="0" t="s">
        <v>666</v>
      </c>
      <c r="D23" s="19" t="n">
        <v>10.212</v>
      </c>
      <c r="E23" s="19" t="n">
        <v>12.67</v>
      </c>
      <c r="F23" s="19" t="n">
        <v>16.186</v>
      </c>
      <c r="G23" s="20" t="s">
        <v>212</v>
      </c>
      <c r="H23" s="20" t="s">
        <v>663</v>
      </c>
    </row>
    <row r="24" customFormat="false" ht="17.15" hidden="false" customHeight="false" outlineLevel="0" collapsed="false">
      <c r="A24" s="0" t="s">
        <v>661</v>
      </c>
      <c r="B24" s="0" t="s">
        <v>644</v>
      </c>
      <c r="C24" s="0" t="s">
        <v>667</v>
      </c>
      <c r="D24" s="19" t="n">
        <v>10.212</v>
      </c>
      <c r="E24" s="19" t="n">
        <v>12.67</v>
      </c>
      <c r="F24" s="19" t="n">
        <v>16.186</v>
      </c>
      <c r="G24" s="20" t="s">
        <v>212</v>
      </c>
      <c r="H24" s="20" t="s">
        <v>663</v>
      </c>
    </row>
    <row r="25" customFormat="false" ht="15" hidden="false" customHeight="false" outlineLevel="0" collapsed="false">
      <c r="A25" s="0" t="s">
        <v>668</v>
      </c>
      <c r="B25" s="0" t="s">
        <v>634</v>
      </c>
      <c r="C25" s="0" t="s">
        <v>669</v>
      </c>
      <c r="D25" s="19" t="n">
        <v>31.6322694</v>
      </c>
      <c r="E25" s="19" t="n">
        <v>40.180214</v>
      </c>
      <c r="F25" s="19" t="n">
        <v>50.3067434</v>
      </c>
      <c r="G25" s="20" t="s">
        <v>212</v>
      </c>
      <c r="H25" s="20" t="s">
        <v>670</v>
      </c>
    </row>
    <row r="26" customFormat="false" ht="15" hidden="false" customHeight="false" outlineLevel="0" collapsed="false">
      <c r="A26" s="0" t="s">
        <v>668</v>
      </c>
      <c r="B26" s="0" t="s">
        <v>638</v>
      </c>
      <c r="C26" s="0" t="s">
        <v>671</v>
      </c>
      <c r="D26" s="19" t="n">
        <v>30.8513904</v>
      </c>
      <c r="E26" s="19" t="n">
        <v>36.685174</v>
      </c>
      <c r="F26" s="19" t="n">
        <v>43.8362044</v>
      </c>
      <c r="G26" s="20" t="s">
        <v>212</v>
      </c>
      <c r="H26" s="20" t="s">
        <v>670</v>
      </c>
    </row>
    <row r="27" customFormat="false" ht="15" hidden="false" customHeight="false" outlineLevel="0" collapsed="false">
      <c r="A27" s="0" t="s">
        <v>668</v>
      </c>
      <c r="B27" s="0" t="s">
        <v>640</v>
      </c>
      <c r="C27" s="0" t="s">
        <v>672</v>
      </c>
      <c r="D27" s="19" t="n">
        <v>38.7669024</v>
      </c>
      <c r="E27" s="19" t="n">
        <v>44.907224</v>
      </c>
      <c r="F27" s="19" t="n">
        <v>55.4686064</v>
      </c>
      <c r="G27" s="20" t="s">
        <v>212</v>
      </c>
      <c r="H27" s="20" t="s">
        <v>670</v>
      </c>
    </row>
    <row r="28" customFormat="false" ht="15" hidden="false" customHeight="false" outlineLevel="0" collapsed="false">
      <c r="A28" s="0" t="s">
        <v>668</v>
      </c>
      <c r="B28" s="0" t="s">
        <v>642</v>
      </c>
      <c r="C28" s="0" t="s">
        <v>673</v>
      </c>
      <c r="D28" s="19" t="n">
        <v>42.2090232</v>
      </c>
      <c r="E28" s="19" t="n">
        <v>50.256352</v>
      </c>
      <c r="F28" s="19" t="n">
        <v>58.8235752</v>
      </c>
      <c r="G28" s="20" t="s">
        <v>212</v>
      </c>
      <c r="H28" s="20" t="s">
        <v>670</v>
      </c>
    </row>
    <row r="29" customFormat="false" ht="17.15" hidden="false" customHeight="false" outlineLevel="0" collapsed="false">
      <c r="A29" s="0" t="s">
        <v>668</v>
      </c>
      <c r="B29" s="0" t="s">
        <v>644</v>
      </c>
      <c r="C29" s="0" t="s">
        <v>674</v>
      </c>
      <c r="D29" s="19" t="n">
        <v>46.057578</v>
      </c>
      <c r="E29" s="19" t="n">
        <v>62.75578</v>
      </c>
      <c r="F29" s="19" t="n">
        <v>81.667558</v>
      </c>
      <c r="G29" s="20" t="s">
        <v>212</v>
      </c>
      <c r="H29" s="20" t="s">
        <v>670</v>
      </c>
    </row>
    <row r="30" customFormat="false" ht="17.15" hidden="false" customHeight="false" outlineLevel="0" collapsed="false">
      <c r="A30" s="0" t="s">
        <v>675</v>
      </c>
      <c r="B30" s="0" t="s">
        <v>634</v>
      </c>
      <c r="C30" s="0" t="s">
        <v>676</v>
      </c>
      <c r="D30" s="19" t="n">
        <v>0.9</v>
      </c>
      <c r="E30" s="19" t="n">
        <v>1.1</v>
      </c>
      <c r="F30" s="19" t="n">
        <v>1.3</v>
      </c>
      <c r="G30" s="20" t="s">
        <v>677</v>
      </c>
      <c r="H30" s="20" t="s">
        <v>678</v>
      </c>
    </row>
    <row r="31" customFormat="false" ht="17.15" hidden="false" customHeight="false" outlineLevel="0" collapsed="false">
      <c r="A31" s="0" t="s">
        <v>675</v>
      </c>
      <c r="B31" s="0" t="s">
        <v>638</v>
      </c>
      <c r="C31" s="0" t="s">
        <v>679</v>
      </c>
      <c r="D31" s="19" t="n">
        <v>2.8</v>
      </c>
      <c r="E31" s="19" t="n">
        <v>3.1</v>
      </c>
      <c r="F31" s="19" t="n">
        <v>3.4</v>
      </c>
      <c r="G31" s="20" t="s">
        <v>677</v>
      </c>
      <c r="H31" s="20" t="s">
        <v>678</v>
      </c>
    </row>
    <row r="32" customFormat="false" ht="17.15" hidden="false" customHeight="false" outlineLevel="0" collapsed="false">
      <c r="A32" s="0" t="s">
        <v>675</v>
      </c>
      <c r="B32" s="0" t="s">
        <v>640</v>
      </c>
      <c r="C32" s="0" t="s">
        <v>680</v>
      </c>
      <c r="D32" s="19" t="n">
        <v>4</v>
      </c>
      <c r="E32" s="19" t="n">
        <v>4.3</v>
      </c>
      <c r="F32" s="19" t="n">
        <v>5</v>
      </c>
      <c r="G32" s="20" t="s">
        <v>677</v>
      </c>
      <c r="H32" s="20" t="s">
        <v>678</v>
      </c>
    </row>
    <row r="33" customFormat="false" ht="17.15" hidden="false" customHeight="false" outlineLevel="0" collapsed="false">
      <c r="A33" s="0" t="s">
        <v>675</v>
      </c>
      <c r="B33" s="0" t="s">
        <v>642</v>
      </c>
      <c r="C33" s="0" t="s">
        <v>681</v>
      </c>
      <c r="D33" s="19" t="n">
        <v>7.5</v>
      </c>
      <c r="E33" s="19" t="n">
        <v>8.4</v>
      </c>
      <c r="F33" s="19" t="n">
        <v>9.1</v>
      </c>
      <c r="G33" s="20" t="s">
        <v>677</v>
      </c>
      <c r="H33" s="20" t="s">
        <v>678</v>
      </c>
    </row>
    <row r="34" customFormat="false" ht="17.15" hidden="false" customHeight="false" outlineLevel="0" collapsed="false">
      <c r="A34" s="0" t="s">
        <v>675</v>
      </c>
      <c r="B34" s="0" t="s">
        <v>644</v>
      </c>
      <c r="C34" s="0" t="s">
        <v>682</v>
      </c>
      <c r="D34" s="19" t="n">
        <v>12.6</v>
      </c>
      <c r="E34" s="19" t="n">
        <v>16.8</v>
      </c>
      <c r="F34" s="19" t="n">
        <v>21</v>
      </c>
      <c r="G34" s="20" t="s">
        <v>677</v>
      </c>
      <c r="H34" s="20" t="s">
        <v>678</v>
      </c>
    </row>
    <row r="35" customFormat="false" ht="17.15" hidden="false" customHeight="false" outlineLevel="0" collapsed="false">
      <c r="A35" s="0" t="s">
        <v>683</v>
      </c>
      <c r="B35" s="0" t="s">
        <v>634</v>
      </c>
      <c r="C35" s="0" t="s">
        <v>684</v>
      </c>
      <c r="D35" s="19" t="n">
        <v>0.05</v>
      </c>
      <c r="E35" s="19" t="n">
        <v>0.1</v>
      </c>
      <c r="F35" s="19" t="n">
        <v>0.15</v>
      </c>
      <c r="G35" s="5" t="s">
        <v>685</v>
      </c>
      <c r="H35" s="20" t="s">
        <v>686</v>
      </c>
    </row>
    <row r="36" customFormat="false" ht="17.15" hidden="false" customHeight="false" outlineLevel="0" collapsed="false">
      <c r="A36" s="0" t="s">
        <v>683</v>
      </c>
      <c r="B36" s="0" t="s">
        <v>638</v>
      </c>
      <c r="C36" s="0" t="s">
        <v>687</v>
      </c>
      <c r="D36" s="19" t="n">
        <v>0.05</v>
      </c>
      <c r="E36" s="19" t="n">
        <v>0.1</v>
      </c>
      <c r="F36" s="19" t="n">
        <v>0.15</v>
      </c>
      <c r="G36" s="5" t="s">
        <v>685</v>
      </c>
      <c r="H36" s="20" t="s">
        <v>686</v>
      </c>
    </row>
    <row r="37" customFormat="false" ht="17.15" hidden="false" customHeight="false" outlineLevel="0" collapsed="false">
      <c r="A37" s="0" t="s">
        <v>683</v>
      </c>
      <c r="B37" s="0" t="s">
        <v>640</v>
      </c>
      <c r="C37" s="0" t="s">
        <v>688</v>
      </c>
      <c r="D37" s="19" t="n">
        <v>0.05</v>
      </c>
      <c r="E37" s="19" t="n">
        <v>0.1</v>
      </c>
      <c r="F37" s="19" t="n">
        <v>0.15</v>
      </c>
      <c r="G37" s="5" t="s">
        <v>685</v>
      </c>
      <c r="H37" s="20" t="s">
        <v>686</v>
      </c>
    </row>
    <row r="38" customFormat="false" ht="17.15" hidden="false" customHeight="false" outlineLevel="0" collapsed="false">
      <c r="A38" s="0" t="s">
        <v>683</v>
      </c>
      <c r="B38" s="0" t="s">
        <v>642</v>
      </c>
      <c r="C38" s="0" t="s">
        <v>689</v>
      </c>
      <c r="D38" s="19" t="n">
        <v>0.05</v>
      </c>
      <c r="E38" s="19" t="n">
        <v>0.1</v>
      </c>
      <c r="F38" s="19" t="n">
        <v>0.15</v>
      </c>
      <c r="G38" s="5" t="s">
        <v>685</v>
      </c>
      <c r="H38" s="20" t="s">
        <v>686</v>
      </c>
    </row>
    <row r="39" customFormat="false" ht="17.15" hidden="false" customHeight="false" outlineLevel="0" collapsed="false">
      <c r="A39" s="0" t="s">
        <v>683</v>
      </c>
      <c r="B39" s="0" t="s">
        <v>644</v>
      </c>
      <c r="C39" s="0" t="s">
        <v>690</v>
      </c>
      <c r="D39" s="19" t="n">
        <v>0.05</v>
      </c>
      <c r="E39" s="19" t="n">
        <v>0.1</v>
      </c>
      <c r="F39" s="19" t="n">
        <v>0.15</v>
      </c>
      <c r="G39" s="5" t="s">
        <v>685</v>
      </c>
      <c r="H39" s="20" t="s">
        <v>686</v>
      </c>
    </row>
    <row r="40" customFormat="false" ht="15" hidden="false" customHeight="false" outlineLevel="0" collapsed="false">
      <c r="A40" s="0" t="s">
        <v>691</v>
      </c>
      <c r="B40" s="0" t="s">
        <v>634</v>
      </c>
      <c r="C40" s="0" t="s">
        <v>692</v>
      </c>
      <c r="D40" s="19" t="n">
        <v>300</v>
      </c>
      <c r="E40" s="19" t="n">
        <v>500</v>
      </c>
      <c r="F40" s="19" t="n">
        <v>800</v>
      </c>
      <c r="G40" s="20" t="s">
        <v>693</v>
      </c>
      <c r="H40" s="20" t="s">
        <v>694</v>
      </c>
    </row>
    <row r="41" customFormat="false" ht="15" hidden="false" customHeight="false" outlineLevel="0" collapsed="false">
      <c r="A41" s="0" t="s">
        <v>691</v>
      </c>
      <c r="B41" s="0" t="s">
        <v>638</v>
      </c>
      <c r="C41" s="0" t="s">
        <v>695</v>
      </c>
      <c r="D41" s="19" t="n">
        <v>300</v>
      </c>
      <c r="E41" s="19" t="n">
        <v>500</v>
      </c>
      <c r="F41" s="19" t="n">
        <v>800</v>
      </c>
      <c r="G41" s="20" t="s">
        <v>693</v>
      </c>
      <c r="H41" s="20" t="s">
        <v>694</v>
      </c>
    </row>
    <row r="42" customFormat="false" ht="15" hidden="false" customHeight="false" outlineLevel="0" collapsed="false">
      <c r="A42" s="0" t="s">
        <v>691</v>
      </c>
      <c r="B42" s="0" t="s">
        <v>640</v>
      </c>
      <c r="C42" s="0" t="s">
        <v>696</v>
      </c>
      <c r="D42" s="19" t="n">
        <v>300</v>
      </c>
      <c r="E42" s="19" t="n">
        <v>500</v>
      </c>
      <c r="F42" s="19" t="n">
        <v>800</v>
      </c>
      <c r="G42" s="20" t="s">
        <v>693</v>
      </c>
      <c r="H42" s="20" t="s">
        <v>694</v>
      </c>
    </row>
    <row r="43" customFormat="false" ht="15" hidden="false" customHeight="false" outlineLevel="0" collapsed="false">
      <c r="A43" s="0" t="s">
        <v>691</v>
      </c>
      <c r="B43" s="0" t="s">
        <v>642</v>
      </c>
      <c r="C43" s="0" t="s">
        <v>697</v>
      </c>
      <c r="D43" s="19" t="n">
        <v>300</v>
      </c>
      <c r="E43" s="19" t="n">
        <v>500</v>
      </c>
      <c r="F43" s="19" t="n">
        <v>800</v>
      </c>
      <c r="G43" s="20" t="s">
        <v>693</v>
      </c>
      <c r="H43" s="20" t="s">
        <v>694</v>
      </c>
    </row>
    <row r="44" customFormat="false" ht="17.15" hidden="false" customHeight="false" outlineLevel="0" collapsed="false">
      <c r="A44" s="0" t="s">
        <v>691</v>
      </c>
      <c r="B44" s="0" t="s">
        <v>644</v>
      </c>
      <c r="C44" s="0" t="s">
        <v>698</v>
      </c>
      <c r="D44" s="19" t="n">
        <v>300</v>
      </c>
      <c r="E44" s="19" t="n">
        <v>500</v>
      </c>
      <c r="F44" s="19" t="n">
        <v>800</v>
      </c>
      <c r="G44" s="20" t="s">
        <v>693</v>
      </c>
      <c r="H44" s="20" t="s">
        <v>694</v>
      </c>
    </row>
    <row r="45" customFormat="false" ht="17.15" hidden="false" customHeight="false" outlineLevel="0" collapsed="false">
      <c r="A45" s="0" t="s">
        <v>699</v>
      </c>
      <c r="B45" s="0" t="s">
        <v>700</v>
      </c>
      <c r="C45" s="0" t="s">
        <v>701</v>
      </c>
      <c r="D45" s="19" t="n">
        <v>0.7</v>
      </c>
      <c r="E45" s="19" t="n">
        <v>0.8</v>
      </c>
      <c r="F45" s="19" t="n">
        <v>1.15</v>
      </c>
      <c r="G45" s="5" t="s">
        <v>702</v>
      </c>
      <c r="H45" s="20" t="s">
        <v>703</v>
      </c>
    </row>
    <row r="46" customFormat="false" ht="17.15" hidden="false" customHeight="false" outlineLevel="0" collapsed="false">
      <c r="A46" s="0" t="s">
        <v>704</v>
      </c>
      <c r="B46" s="0" t="s">
        <v>705</v>
      </c>
      <c r="C46" s="0" t="s">
        <v>706</v>
      </c>
      <c r="D46" s="19" t="n">
        <v>0.6</v>
      </c>
      <c r="E46" s="19" t="n">
        <v>0.8</v>
      </c>
      <c r="F46" s="19" t="n">
        <v>1.1</v>
      </c>
      <c r="G46" s="5" t="s">
        <v>702</v>
      </c>
      <c r="H46" s="20" t="s">
        <v>707</v>
      </c>
    </row>
    <row r="47" customFormat="false" ht="17.15" hidden="false" customHeight="false" outlineLevel="0" collapsed="false">
      <c r="A47" s="0" t="s">
        <v>708</v>
      </c>
      <c r="B47" s="0" t="s">
        <v>709</v>
      </c>
      <c r="C47" s="0" t="s">
        <v>710</v>
      </c>
      <c r="D47" s="19" t="n">
        <v>0.3</v>
      </c>
      <c r="E47" s="19" t="n">
        <v>0.5</v>
      </c>
      <c r="F47" s="19" t="n">
        <v>0.8</v>
      </c>
      <c r="G47" s="5" t="s">
        <v>702</v>
      </c>
      <c r="H47" s="20" t="s">
        <v>711</v>
      </c>
    </row>
    <row r="48" customFormat="false" ht="17.15" hidden="false" customHeight="false" outlineLevel="0" collapsed="false">
      <c r="A48" s="0" t="s">
        <v>712</v>
      </c>
      <c r="B48" s="0" t="s">
        <v>713</v>
      </c>
      <c r="C48" s="0" t="s">
        <v>714</v>
      </c>
      <c r="D48" s="19" t="n">
        <v>0.2</v>
      </c>
      <c r="E48" s="19" t="n">
        <v>0.4</v>
      </c>
      <c r="F48" s="19" t="n">
        <v>0.8</v>
      </c>
      <c r="G48" s="5" t="s">
        <v>702</v>
      </c>
      <c r="H48" s="20" t="s">
        <v>715</v>
      </c>
    </row>
    <row r="49" customFormat="false" ht="17.15" hidden="false" customHeight="false" outlineLevel="0" collapsed="false">
      <c r="A49" s="0" t="s">
        <v>716</v>
      </c>
      <c r="B49" s="0" t="s">
        <v>717</v>
      </c>
      <c r="C49" s="0" t="s">
        <v>718</v>
      </c>
      <c r="D49" s="19" t="n">
        <v>0.4</v>
      </c>
      <c r="E49" s="19" t="n">
        <v>0.6</v>
      </c>
      <c r="F49" s="19" t="n">
        <v>0.9</v>
      </c>
      <c r="G49" s="5" t="s">
        <v>702</v>
      </c>
      <c r="H49" s="20" t="s">
        <v>719</v>
      </c>
    </row>
    <row r="50" customFormat="false" ht="17.15" hidden="false" customHeight="false" outlineLevel="0" collapsed="false">
      <c r="A50" s="0" t="s">
        <v>720</v>
      </c>
      <c r="B50" s="5" t="s">
        <v>721</v>
      </c>
      <c r="C50" s="0" t="s">
        <v>722</v>
      </c>
      <c r="D50" s="19" t="n">
        <v>0.05</v>
      </c>
      <c r="E50" s="19" t="n">
        <v>0.08</v>
      </c>
      <c r="F50" s="19" t="n">
        <v>0.15</v>
      </c>
      <c r="G50" s="5" t="s">
        <v>702</v>
      </c>
      <c r="H50" s="20" t="s">
        <v>723</v>
      </c>
    </row>
    <row r="51" customFormat="false" ht="17.15" hidden="false" customHeight="false" outlineLevel="0" collapsed="false">
      <c r="A51" s="0" t="s">
        <v>724</v>
      </c>
      <c r="B51" s="0" t="s">
        <v>725</v>
      </c>
      <c r="C51" s="0" t="s">
        <v>726</v>
      </c>
      <c r="D51" s="19" t="n">
        <v>0.25</v>
      </c>
      <c r="E51" s="19" t="n">
        <v>0.55</v>
      </c>
      <c r="F51" s="19" t="n">
        <v>0.75</v>
      </c>
      <c r="G51" s="5" t="s">
        <v>702</v>
      </c>
      <c r="H51" s="20" t="s">
        <v>727</v>
      </c>
    </row>
    <row r="52" customFormat="false" ht="17.15" hidden="false" customHeight="false" outlineLevel="0" collapsed="false">
      <c r="A52" s="0" t="s">
        <v>728</v>
      </c>
      <c r="B52" s="0" t="s">
        <v>729</v>
      </c>
      <c r="C52" s="0" t="s">
        <v>730</v>
      </c>
      <c r="D52" s="19" t="n">
        <v>0.67</v>
      </c>
      <c r="E52" s="19" t="n">
        <v>0.85</v>
      </c>
      <c r="F52" s="19" t="n">
        <v>1.12</v>
      </c>
      <c r="G52" s="5" t="s">
        <v>702</v>
      </c>
      <c r="H52" s="20" t="s">
        <v>731</v>
      </c>
    </row>
    <row r="53" customFormat="false" ht="17.15" hidden="false" customHeight="false" outlineLevel="0" collapsed="false">
      <c r="A53" s="0" t="s">
        <v>732</v>
      </c>
      <c r="B53" s="0" t="s">
        <v>733</v>
      </c>
      <c r="C53" s="0" t="s">
        <v>734</v>
      </c>
      <c r="D53" s="19" t="n">
        <v>0.65</v>
      </c>
      <c r="E53" s="19" t="n">
        <v>0.7</v>
      </c>
      <c r="F53" s="19" t="n">
        <v>0.9</v>
      </c>
      <c r="G53" s="5" t="s">
        <v>702</v>
      </c>
      <c r="H53" s="20" t="s">
        <v>735</v>
      </c>
    </row>
    <row r="54" customFormat="false" ht="17.15" hidden="false" customHeight="false" outlineLevel="0" collapsed="false">
      <c r="A54" s="0" t="s">
        <v>736</v>
      </c>
      <c r="B54" s="0" t="s">
        <v>737</v>
      </c>
      <c r="C54" s="0" t="s">
        <v>738</v>
      </c>
      <c r="D54" s="19" t="n">
        <v>0.45</v>
      </c>
      <c r="E54" s="19" t="n">
        <v>0.61</v>
      </c>
      <c r="F54" s="19" t="n">
        <v>0.7</v>
      </c>
      <c r="G54" s="5" t="s">
        <v>702</v>
      </c>
      <c r="H54" s="20" t="s">
        <v>739</v>
      </c>
    </row>
    <row r="55" customFormat="false" ht="17.15" hidden="false" customHeight="false" outlineLevel="0" collapsed="false">
      <c r="A55" s="0" t="s">
        <v>740</v>
      </c>
      <c r="B55" s="0" t="s">
        <v>741</v>
      </c>
      <c r="C55" s="0" t="s">
        <v>742</v>
      </c>
      <c r="D55" s="19" t="n">
        <v>0.8</v>
      </c>
      <c r="E55" s="19" t="n">
        <v>1</v>
      </c>
      <c r="F55" s="19" t="n">
        <v>1.2</v>
      </c>
      <c r="G55" s="5" t="s">
        <v>702</v>
      </c>
      <c r="H55" s="20" t="s">
        <v>743</v>
      </c>
    </row>
    <row r="56" customFormat="false" ht="17.15" hidden="false" customHeight="false" outlineLevel="0" collapsed="false">
      <c r="A56" s="0" t="s">
        <v>744</v>
      </c>
      <c r="B56" s="0" t="s">
        <v>745</v>
      </c>
      <c r="C56" s="0" t="s">
        <v>746</v>
      </c>
      <c r="D56" s="19" t="n">
        <v>0.7</v>
      </c>
      <c r="E56" s="19" t="n">
        <v>0.8</v>
      </c>
      <c r="F56" s="19" t="n">
        <v>1</v>
      </c>
      <c r="G56" s="5" t="s">
        <v>702</v>
      </c>
      <c r="H56" s="20" t="s">
        <v>747</v>
      </c>
    </row>
    <row r="57" customFormat="false" ht="17.15" hidden="false" customHeight="false" outlineLevel="0" collapsed="false">
      <c r="A57" s="0" t="s">
        <v>748</v>
      </c>
      <c r="B57" s="5" t="s">
        <v>749</v>
      </c>
      <c r="C57" s="0" t="s">
        <v>750</v>
      </c>
      <c r="D57" s="19" t="n">
        <v>0.45</v>
      </c>
      <c r="E57" s="19" t="n">
        <v>0.55</v>
      </c>
      <c r="F57" s="19" t="n">
        <v>0.7</v>
      </c>
      <c r="G57" s="5" t="s">
        <v>702</v>
      </c>
      <c r="H57" s="20" t="s">
        <v>751</v>
      </c>
    </row>
    <row r="58" customFormat="false" ht="17.15" hidden="false" customHeight="false" outlineLevel="0" collapsed="false">
      <c r="A58" s="0" t="s">
        <v>752</v>
      </c>
      <c r="B58" s="0" t="s">
        <v>753</v>
      </c>
      <c r="C58" s="0" t="s">
        <v>754</v>
      </c>
      <c r="D58" s="19" t="n">
        <v>0.4</v>
      </c>
      <c r="E58" s="19" t="n">
        <v>0.5</v>
      </c>
      <c r="F58" s="19" t="n">
        <v>0.6</v>
      </c>
      <c r="G58" s="5" t="s">
        <v>702</v>
      </c>
      <c r="H58" s="20" t="s">
        <v>755</v>
      </c>
    </row>
    <row r="59" customFormat="false" ht="17.15" hidden="false" customHeight="false" outlineLevel="0" collapsed="false">
      <c r="A59" s="0" t="s">
        <v>756</v>
      </c>
      <c r="B59" s="0" t="s">
        <v>634</v>
      </c>
      <c r="C59" s="0" t="s">
        <v>757</v>
      </c>
      <c r="D59" s="19" t="n">
        <v>1.1</v>
      </c>
      <c r="E59" s="19" t="n">
        <v>1.2</v>
      </c>
      <c r="F59" s="19" t="n">
        <v>1.3</v>
      </c>
      <c r="G59" s="20" t="s">
        <v>75</v>
      </c>
      <c r="H59" s="20" t="s">
        <v>758</v>
      </c>
    </row>
    <row r="60" customFormat="false" ht="17.15" hidden="false" customHeight="false" outlineLevel="0" collapsed="false">
      <c r="A60" s="0" t="s">
        <v>756</v>
      </c>
      <c r="B60" s="0" t="s">
        <v>638</v>
      </c>
      <c r="C60" s="0" t="s">
        <v>759</v>
      </c>
      <c r="D60" s="19" t="n">
        <v>1.1</v>
      </c>
      <c r="E60" s="19" t="n">
        <v>1.2</v>
      </c>
      <c r="F60" s="19" t="n">
        <v>1.3</v>
      </c>
      <c r="G60" s="20" t="s">
        <v>75</v>
      </c>
      <c r="H60" s="20" t="s">
        <v>758</v>
      </c>
    </row>
    <row r="61" customFormat="false" ht="17.15" hidden="false" customHeight="false" outlineLevel="0" collapsed="false">
      <c r="A61" s="0" t="s">
        <v>756</v>
      </c>
      <c r="B61" s="0" t="s">
        <v>640</v>
      </c>
      <c r="C61" s="0" t="s">
        <v>760</v>
      </c>
      <c r="D61" s="19" t="n">
        <v>1.1</v>
      </c>
      <c r="E61" s="19" t="n">
        <v>1.2</v>
      </c>
      <c r="F61" s="19" t="n">
        <v>1.3</v>
      </c>
      <c r="G61" s="20" t="s">
        <v>75</v>
      </c>
      <c r="H61" s="20" t="s">
        <v>758</v>
      </c>
    </row>
    <row r="62" customFormat="false" ht="17.15" hidden="false" customHeight="false" outlineLevel="0" collapsed="false">
      <c r="A62" s="0" t="s">
        <v>756</v>
      </c>
      <c r="B62" s="0" t="s">
        <v>642</v>
      </c>
      <c r="C62" s="0" t="s">
        <v>761</v>
      </c>
      <c r="D62" s="19" t="n">
        <v>1.1</v>
      </c>
      <c r="E62" s="19" t="n">
        <v>1.2</v>
      </c>
      <c r="F62" s="19" t="n">
        <v>1.3</v>
      </c>
      <c r="G62" s="20" t="s">
        <v>75</v>
      </c>
      <c r="H62" s="20" t="s">
        <v>758</v>
      </c>
    </row>
    <row r="63" customFormat="false" ht="17.15" hidden="false" customHeight="false" outlineLevel="0" collapsed="false">
      <c r="A63" s="0" t="s">
        <v>756</v>
      </c>
      <c r="B63" s="0" t="s">
        <v>644</v>
      </c>
      <c r="C63" s="0" t="s">
        <v>762</v>
      </c>
      <c r="D63" s="19" t="n">
        <v>1.1</v>
      </c>
      <c r="E63" s="19" t="n">
        <v>1.2</v>
      </c>
      <c r="F63" s="19" t="n">
        <v>1.3</v>
      </c>
      <c r="G63" s="20" t="s">
        <v>75</v>
      </c>
      <c r="H63" s="20" t="s">
        <v>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13" min="5" style="0" width="10"/>
  </cols>
  <sheetData>
    <row r="1" customFormat="false" ht="17.15" hidden="false" customHeight="false" outlineLevel="0" collapsed="false">
      <c r="A1" s="0" t="s">
        <v>763</v>
      </c>
    </row>
    <row r="3" customFormat="false" ht="17.15" hidden="false" customHeight="false" outlineLevel="0" collapsed="false">
      <c r="A3" s="6" t="s">
        <v>764</v>
      </c>
      <c r="B3" s="6" t="s">
        <v>628</v>
      </c>
      <c r="C3" s="6" t="s">
        <v>15</v>
      </c>
      <c r="D3" s="6" t="s">
        <v>765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</row>
    <row r="4" customFormat="false" ht="17.15" hidden="false" customHeight="false" outlineLevel="0" collapsed="false">
      <c r="A4" s="8" t="s">
        <v>766</v>
      </c>
    </row>
    <row r="5" customFormat="false" ht="15" hidden="false" customHeight="false" outlineLevel="0" collapsed="false">
      <c r="A5" s="0" t="s">
        <v>767</v>
      </c>
      <c r="B5" s="0" t="s">
        <v>768</v>
      </c>
      <c r="C5" s="0" t="s">
        <v>34</v>
      </c>
      <c r="D5" s="19" t="n">
        <v>0.22</v>
      </c>
    </row>
    <row r="6" customFormat="false" ht="15" hidden="false" customHeight="false" outlineLevel="0" collapsed="false">
      <c r="A6" s="0" t="s">
        <v>769</v>
      </c>
      <c r="B6" s="0" t="s">
        <v>770</v>
      </c>
      <c r="C6" s="0" t="s">
        <v>34</v>
      </c>
      <c r="D6" s="19" t="n">
        <v>0.15</v>
      </c>
    </row>
    <row r="7" customFormat="false" ht="15" hidden="false" customHeight="false" outlineLevel="0" collapsed="false">
      <c r="A7" s="0" t="s">
        <v>771</v>
      </c>
      <c r="B7" s="0" t="s">
        <v>772</v>
      </c>
      <c r="C7" s="0" t="s">
        <v>34</v>
      </c>
      <c r="D7" s="19" t="n">
        <v>0.3</v>
      </c>
    </row>
    <row r="8" customFormat="false" ht="17.15" hidden="false" customHeight="false" outlineLevel="0" collapsed="false">
      <c r="A8" s="0" t="s">
        <v>773</v>
      </c>
      <c r="B8" s="0" t="s">
        <v>774</v>
      </c>
      <c r="C8" s="0" t="s">
        <v>775</v>
      </c>
      <c r="D8" s="19" t="n">
        <v>66.1944444444444</v>
      </c>
    </row>
    <row r="9" customFormat="false" ht="17.15" hidden="false" customHeight="false" outlineLevel="0" collapsed="false">
      <c r="A9" s="0" t="s">
        <v>776</v>
      </c>
      <c r="B9" s="0" t="s">
        <v>777</v>
      </c>
      <c r="C9" s="0" t="s">
        <v>775</v>
      </c>
      <c r="D9" s="19" t="n">
        <v>128.833333333333</v>
      </c>
    </row>
    <row r="10" customFormat="false" ht="17.15" hidden="false" customHeight="false" outlineLevel="0" collapsed="false">
      <c r="A10" s="0" t="s">
        <v>778</v>
      </c>
      <c r="B10" s="0" t="s">
        <v>779</v>
      </c>
      <c r="C10" s="0" t="s">
        <v>775</v>
      </c>
      <c r="D10" s="19" t="n">
        <v>257.166666666667</v>
      </c>
    </row>
    <row r="11" customFormat="false" ht="17.15" hidden="false" customHeight="false" outlineLevel="0" collapsed="false">
      <c r="A11" s="0" t="s">
        <v>780</v>
      </c>
      <c r="B11" s="0" t="s">
        <v>781</v>
      </c>
      <c r="C11" s="0" t="s">
        <v>775</v>
      </c>
      <c r="D11" s="19" t="n">
        <v>38.3125</v>
      </c>
    </row>
    <row r="12" customFormat="false" ht="17.15" hidden="false" customHeight="false" outlineLevel="0" collapsed="false">
      <c r="A12" s="0" t="s">
        <v>782</v>
      </c>
      <c r="B12" s="0" t="s">
        <v>783</v>
      </c>
      <c r="C12" s="0" t="s">
        <v>775</v>
      </c>
      <c r="D12" s="19" t="n">
        <v>40</v>
      </c>
    </row>
    <row r="13" customFormat="false" ht="17.15" hidden="false" customHeight="false" outlineLevel="0" collapsed="false">
      <c r="A13" s="0" t="s">
        <v>784</v>
      </c>
      <c r="B13" s="0" t="s">
        <v>785</v>
      </c>
      <c r="C13" s="0" t="s">
        <v>775</v>
      </c>
      <c r="D13" s="19" t="n">
        <v>100</v>
      </c>
    </row>
    <row r="14" customFormat="false" ht="17.15" hidden="false" customHeight="false" outlineLevel="0" collapsed="false">
      <c r="A14" s="0" t="s">
        <v>786</v>
      </c>
      <c r="B14" s="0" t="s">
        <v>787</v>
      </c>
      <c r="C14" s="0" t="s">
        <v>775</v>
      </c>
      <c r="D14" s="19" t="n">
        <v>25</v>
      </c>
    </row>
    <row r="15" customFormat="false" ht="17.15" hidden="false" customHeight="false" outlineLevel="0" collapsed="false">
      <c r="A15" s="0" t="s">
        <v>788</v>
      </c>
      <c r="B15" s="0" t="s">
        <v>789</v>
      </c>
      <c r="C15" s="0" t="s">
        <v>775</v>
      </c>
      <c r="D15" s="19" t="n">
        <v>20</v>
      </c>
    </row>
    <row r="16" customFormat="false" ht="17.15" hidden="false" customHeight="false" outlineLevel="0" collapsed="false">
      <c r="A16" s="0" t="s">
        <v>790</v>
      </c>
      <c r="B16" s="0" t="s">
        <v>791</v>
      </c>
      <c r="C16" s="0" t="s">
        <v>775</v>
      </c>
      <c r="D16" s="19" t="n">
        <v>20</v>
      </c>
    </row>
    <row r="18" customFormat="false" ht="17.15" hidden="false" customHeight="false" outlineLevel="0" collapsed="false">
      <c r="A18" s="8" t="s">
        <v>792</v>
      </c>
    </row>
    <row r="19" customFormat="false" ht="15" hidden="false" customHeight="false" outlineLevel="0" collapsed="false">
      <c r="A19" s="0" t="s">
        <v>793</v>
      </c>
      <c r="C19" s="5" t="s">
        <v>794</v>
      </c>
      <c r="G19" s="19" t="n">
        <v>5.4</v>
      </c>
      <c r="H19" s="19" t="n">
        <v>2.4</v>
      </c>
      <c r="I19" s="19" t="n">
        <v>0.5</v>
      </c>
      <c r="J19" s="19" t="n">
        <v>0.25</v>
      </c>
    </row>
    <row r="20" customFormat="false" ht="15" hidden="false" customHeight="false" outlineLevel="0" collapsed="false">
      <c r="A20" s="0" t="s">
        <v>795</v>
      </c>
      <c r="C20" s="5" t="s">
        <v>794</v>
      </c>
      <c r="G20" s="19" t="n">
        <v>1.7</v>
      </c>
      <c r="H20" s="19" t="n">
        <v>7</v>
      </c>
      <c r="I20" s="19" t="n">
        <v>7</v>
      </c>
      <c r="J20" s="19" t="n">
        <v>8.05</v>
      </c>
    </row>
    <row r="21" customFormat="false" ht="15" hidden="false" customHeight="false" outlineLevel="0" collapsed="false">
      <c r="A21" s="0" t="s">
        <v>796</v>
      </c>
      <c r="C21" s="5" t="s">
        <v>794</v>
      </c>
      <c r="G21" s="19" t="n">
        <v>0</v>
      </c>
      <c r="H21" s="19" t="n">
        <v>0.3</v>
      </c>
      <c r="I21" s="19" t="n">
        <v>2</v>
      </c>
      <c r="J21" s="19" t="n">
        <v>2.3</v>
      </c>
    </row>
    <row r="22" customFormat="false" ht="15" hidden="false" customHeight="false" outlineLevel="0" collapsed="false">
      <c r="A22" s="0" t="s">
        <v>797</v>
      </c>
      <c r="C22" s="5" t="s">
        <v>794</v>
      </c>
      <c r="G22" s="19" t="n">
        <v>0.5</v>
      </c>
      <c r="H22" s="19" t="n">
        <v>0</v>
      </c>
      <c r="I22" s="19" t="n">
        <v>0</v>
      </c>
      <c r="J22" s="19" t="n">
        <v>0</v>
      </c>
    </row>
    <row r="23" customFormat="false" ht="15" hidden="false" customHeight="false" outlineLevel="0" collapsed="false">
      <c r="A23" s="0" t="s">
        <v>798</v>
      </c>
      <c r="C23" s="5" t="s">
        <v>794</v>
      </c>
      <c r="G23" s="19" t="n">
        <v>0.75</v>
      </c>
      <c r="H23" s="19" t="n">
        <v>1.5</v>
      </c>
      <c r="I23" s="19" t="n">
        <v>2</v>
      </c>
      <c r="J23" s="19" t="n">
        <v>2.3</v>
      </c>
    </row>
    <row r="24" customFormat="false" ht="15" hidden="false" customHeight="false" outlineLevel="0" collapsed="false">
      <c r="A24" s="0" t="s">
        <v>799</v>
      </c>
      <c r="C24" s="5" t="s">
        <v>794</v>
      </c>
      <c r="G24" s="19" t="n">
        <v>3.85</v>
      </c>
      <c r="H24" s="19" t="n">
        <v>5.5</v>
      </c>
      <c r="I24" s="19" t="n">
        <v>7</v>
      </c>
      <c r="J24" s="19" t="n">
        <v>8.05</v>
      </c>
    </row>
    <row r="25" customFormat="false" ht="15" hidden="false" customHeight="false" outlineLevel="0" collapsed="false">
      <c r="A25" s="0" t="s">
        <v>800</v>
      </c>
      <c r="C25" s="5" t="s">
        <v>794</v>
      </c>
      <c r="G25" s="19" t="n">
        <v>2</v>
      </c>
      <c r="H25" s="19" t="n">
        <v>2.5</v>
      </c>
      <c r="I25" s="19" t="n">
        <v>3</v>
      </c>
      <c r="J25" s="19" t="n">
        <v>3.45</v>
      </c>
    </row>
    <row r="26" customFormat="false" ht="15" hidden="false" customHeight="false" outlineLevel="0" collapsed="false">
      <c r="A26" s="0" t="s">
        <v>801</v>
      </c>
      <c r="C26" s="5" t="s">
        <v>794</v>
      </c>
      <c r="G26" s="19" t="n">
        <v>1</v>
      </c>
      <c r="H26" s="19" t="n">
        <v>4.5</v>
      </c>
      <c r="I26" s="19" t="n">
        <v>5</v>
      </c>
      <c r="J26" s="19" t="n">
        <v>5.75</v>
      </c>
    </row>
    <row r="27" customFormat="false" ht="15" hidden="false" customHeight="false" outlineLevel="0" collapsed="false">
      <c r="A27" s="0" t="s">
        <v>802</v>
      </c>
      <c r="C27" s="0" t="s">
        <v>34</v>
      </c>
      <c r="G27" s="19" t="n">
        <v>1</v>
      </c>
      <c r="H27" s="19" t="n">
        <v>1</v>
      </c>
      <c r="I27" s="19" t="n">
        <v>1</v>
      </c>
      <c r="J27" s="19" t="n">
        <v>1</v>
      </c>
    </row>
    <row r="28" customFormat="false" ht="15" hidden="false" customHeight="false" outlineLevel="0" collapsed="false">
      <c r="A28" s="0" t="s">
        <v>803</v>
      </c>
      <c r="C28" s="0" t="s">
        <v>34</v>
      </c>
      <c r="G28" s="19" t="n">
        <v>1</v>
      </c>
      <c r="H28" s="19" t="n">
        <v>1</v>
      </c>
      <c r="I28" s="19" t="n">
        <v>0.8</v>
      </c>
      <c r="J28" s="19" t="n">
        <v>0.85</v>
      </c>
    </row>
    <row r="29" customFormat="false" ht="15" hidden="false" customHeight="false" outlineLevel="0" collapsed="false">
      <c r="A29" s="0" t="s">
        <v>804</v>
      </c>
      <c r="C29" s="0" t="s">
        <v>34</v>
      </c>
      <c r="G29" s="19" t="n">
        <v>1</v>
      </c>
      <c r="H29" s="19" t="n">
        <v>1</v>
      </c>
      <c r="I29" s="19" t="n">
        <v>0.6</v>
      </c>
      <c r="J29" s="19" t="n">
        <v>0.6</v>
      </c>
    </row>
    <row r="30" customFormat="false" ht="17.15" hidden="false" customHeight="false" outlineLevel="0" collapsed="false">
      <c r="A30" s="0" t="s">
        <v>805</v>
      </c>
      <c r="C30" s="0" t="s">
        <v>806</v>
      </c>
      <c r="G30" s="19" t="n">
        <v>23.3995380420639</v>
      </c>
      <c r="H30" s="19" t="n">
        <v>41.6467658260637</v>
      </c>
      <c r="I30" s="19" t="n">
        <v>52.792138191248</v>
      </c>
      <c r="J30" s="19" t="n">
        <v>60.1385917361115</v>
      </c>
    </row>
    <row r="31" customFormat="false" ht="17.15" hidden="false" customHeight="false" outlineLevel="0" collapsed="false">
      <c r="A31" s="0" t="s">
        <v>807</v>
      </c>
      <c r="C31" s="0" t="s">
        <v>806</v>
      </c>
      <c r="G31" s="19" t="n">
        <v>23.3995380420639</v>
      </c>
      <c r="H31" s="19" t="n">
        <v>41.6467658260637</v>
      </c>
      <c r="I31" s="19" t="n">
        <v>42.2337105529984</v>
      </c>
      <c r="J31" s="19" t="n">
        <v>51.1178029756948</v>
      </c>
    </row>
    <row r="32" customFormat="false" ht="17.15" hidden="false" customHeight="false" outlineLevel="0" collapsed="false">
      <c r="A32" s="0" t="s">
        <v>808</v>
      </c>
      <c r="C32" s="0" t="s">
        <v>806</v>
      </c>
      <c r="G32" s="19" t="n">
        <v>23.3995380420639</v>
      </c>
      <c r="H32" s="19" t="n">
        <v>41.6467658260637</v>
      </c>
      <c r="I32" s="19" t="n">
        <v>31.6752829147488</v>
      </c>
      <c r="J32" s="19" t="n">
        <v>36.0831550416669</v>
      </c>
    </row>
    <row r="33" customFormat="false" ht="15" hidden="false" customHeight="false" outlineLevel="0" collapsed="false">
      <c r="A33" s="0" t="s">
        <v>809</v>
      </c>
      <c r="C33" s="0" t="s">
        <v>325</v>
      </c>
      <c r="G33" s="19" t="n">
        <v>781.872916666667</v>
      </c>
      <c r="H33" s="19" t="n">
        <v>1565.35</v>
      </c>
      <c r="I33" s="19" t="n">
        <v>1984.26388888889</v>
      </c>
      <c r="J33" s="19" t="n">
        <v>2260.39027777778</v>
      </c>
    </row>
    <row r="34" customFormat="false" ht="15" hidden="false" customHeight="false" outlineLevel="0" collapsed="false">
      <c r="A34" s="0" t="s">
        <v>810</v>
      </c>
      <c r="C34" s="0" t="s">
        <v>325</v>
      </c>
      <c r="G34" s="19" t="n">
        <v>781.872916666667</v>
      </c>
      <c r="H34" s="19" t="n">
        <v>1565.35</v>
      </c>
      <c r="I34" s="19" t="n">
        <v>1587.41111111111</v>
      </c>
      <c r="J34" s="19" t="n">
        <v>1921.33173611111</v>
      </c>
    </row>
    <row r="35" customFormat="false" ht="15" hidden="false" customHeight="false" outlineLevel="0" collapsed="false">
      <c r="A35" s="0" t="s">
        <v>811</v>
      </c>
      <c r="C35" s="0" t="s">
        <v>325</v>
      </c>
      <c r="G35" s="19" t="n">
        <v>781.872916666667</v>
      </c>
      <c r="H35" s="19" t="n">
        <v>1565.35</v>
      </c>
      <c r="I35" s="19" t="n">
        <v>1190.55833333333</v>
      </c>
      <c r="J35" s="19" t="n">
        <v>1356.23416666667</v>
      </c>
    </row>
    <row r="36" customFormat="false" ht="15" hidden="false" customHeight="false" outlineLevel="0" collapsed="false">
      <c r="A36" s="0" t="s">
        <v>812</v>
      </c>
      <c r="C36" s="0" t="s">
        <v>813</v>
      </c>
      <c r="G36" s="19" t="n">
        <v>33.41403216</v>
      </c>
      <c r="H36" s="19" t="n">
        <v>37.586352</v>
      </c>
      <c r="I36" s="19" t="n">
        <v>37.586352</v>
      </c>
      <c r="J36" s="19" t="n">
        <v>37.586352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4" style="0" width="9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814</v>
      </c>
    </row>
    <row r="2" customFormat="false" ht="17.15" hidden="false" customHeight="false" outlineLevel="0" collapsed="false">
      <c r="A2" s="5" t="s">
        <v>815</v>
      </c>
    </row>
    <row r="3" customFormat="false" ht="15" hidden="false" customHeight="false" outlineLevel="0" collapsed="false">
      <c r="A3" s="6" t="s">
        <v>13</v>
      </c>
      <c r="B3" s="6" t="s">
        <v>12</v>
      </c>
      <c r="C3" s="6" t="s">
        <v>15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6" t="s">
        <v>18</v>
      </c>
    </row>
    <row r="4" customFormat="false" ht="17.15" hidden="false" customHeight="false" outlineLevel="0" collapsed="false">
      <c r="A4" s="21" t="s">
        <v>816</v>
      </c>
    </row>
    <row r="5" customFormat="false" ht="17.15" hidden="false" customHeight="false" outlineLevel="0" collapsed="false">
      <c r="A5" s="5" t="s">
        <v>817</v>
      </c>
      <c r="B5" s="0" t="s">
        <v>417</v>
      </c>
      <c r="C5" s="0" t="s">
        <v>50</v>
      </c>
      <c r="D5" s="22" t="n">
        <f aca="false">IF(In!$H$142&lt;&gt;"",In!$H$142,0)</f>
        <v>1</v>
      </c>
      <c r="E5" s="22" t="n">
        <f aca="false">IF(In!$I$142&lt;&gt;"",In!$I$142,0)</f>
        <v>1</v>
      </c>
      <c r="F5" s="22" t="n">
        <f aca="false">IF(In!$J$142&lt;&gt;"",In!$J$142,0)</f>
        <v>0.1</v>
      </c>
      <c r="G5" s="22" t="n">
        <f aca="false">IF(In!$K$142&lt;&gt;"",In!$K$142,0)</f>
        <v>0</v>
      </c>
      <c r="H5" s="22" t="n">
        <f aca="false">IF(In!$L$142&lt;&gt;"",In!$L$142,0)</f>
        <v>0</v>
      </c>
      <c r="I5" s="22" t="n">
        <f aca="false">IF(In!$M$142&lt;&gt;"",In!$M$142,0)</f>
        <v>0</v>
      </c>
      <c r="J5" s="22" t="n">
        <f aca="false">IF(In!$N$142&lt;&gt;"",In!$N$142,0)</f>
        <v>0</v>
      </c>
      <c r="K5" s="22" t="n">
        <f aca="false">IF(In!$O$142&lt;&gt;"",In!$O$142,J5)</f>
        <v>0</v>
      </c>
      <c r="L5" s="22" t="n">
        <f aca="false">IF(In!$P$142&lt;&gt;"",In!$P$142,J5)</f>
        <v>0</v>
      </c>
      <c r="M5" s="22" t="n">
        <f aca="false">IF(In!$Q$142&lt;&gt;"",In!$Q$142,J5)</f>
        <v>0</v>
      </c>
    </row>
    <row r="6" customFormat="false" ht="17.15" hidden="false" customHeight="false" outlineLevel="0" collapsed="false">
      <c r="A6" s="5" t="s">
        <v>818</v>
      </c>
      <c r="B6" s="0" t="s">
        <v>422</v>
      </c>
      <c r="C6" s="0" t="s">
        <v>50</v>
      </c>
      <c r="D6" s="22" t="n">
        <f aca="false">IF(In!$H$143&lt;&gt;"",In!$H$143,0)</f>
        <v>0</v>
      </c>
      <c r="E6" s="22" t="n">
        <f aca="false">IF(In!$I$143&lt;&gt;"",In!$I$143,0)</f>
        <v>0</v>
      </c>
      <c r="F6" s="22" t="n">
        <f aca="false">IF(In!$J$143&lt;&gt;"",In!$J$143,0)</f>
        <v>0.7</v>
      </c>
      <c r="G6" s="22" t="n">
        <f aca="false">IF(In!$K$143&lt;&gt;"",In!$K$143,0)</f>
        <v>0</v>
      </c>
      <c r="H6" s="22" t="n">
        <f aca="false">IF(In!$L$143&lt;&gt;"",In!$L$143,0)</f>
        <v>0</v>
      </c>
      <c r="I6" s="22" t="n">
        <f aca="false">IF(In!$M$143&lt;&gt;"",In!$M$143,0)</f>
        <v>0</v>
      </c>
      <c r="J6" s="22" t="n">
        <f aca="false">IF(In!$N$143&lt;&gt;"",In!$N$143,0)</f>
        <v>0</v>
      </c>
      <c r="K6" s="22" t="n">
        <f aca="false">IF(In!$O$143&lt;&gt;"",In!$O$143,J6)</f>
        <v>0</v>
      </c>
      <c r="L6" s="22" t="n">
        <f aca="false">IF(In!$P$143&lt;&gt;"",In!$P$143,J6)</f>
        <v>0</v>
      </c>
      <c r="M6" s="22" t="n">
        <f aca="false">IF(In!$Q$143&lt;&gt;"",In!$Q$143,J6)</f>
        <v>0</v>
      </c>
    </row>
    <row r="7" customFormat="false" ht="17.15" hidden="false" customHeight="false" outlineLevel="0" collapsed="false">
      <c r="A7" s="5" t="s">
        <v>819</v>
      </c>
      <c r="B7" s="0" t="s">
        <v>424</v>
      </c>
      <c r="C7" s="0" t="s">
        <v>50</v>
      </c>
      <c r="D7" s="22" t="n">
        <f aca="false">IF(In!$H$144&lt;&gt;"",In!$H$144,0)</f>
        <v>0</v>
      </c>
      <c r="E7" s="22" t="n">
        <f aca="false">IF(In!$I$144&lt;&gt;"",In!$I$144,0)</f>
        <v>0</v>
      </c>
      <c r="F7" s="22" t="n">
        <f aca="false">IF(In!$J$144&lt;&gt;"",In!$J$144,0)</f>
        <v>0.2</v>
      </c>
      <c r="G7" s="22" t="n">
        <f aca="false">IF(In!$K$144&lt;&gt;"",In!$K$144,(1-SIL_vr26))</f>
        <v>0.78</v>
      </c>
      <c r="H7" s="22" t="n">
        <f aca="false">IF(In!$L$144&lt;&gt;"",In!$L$144,0)</f>
        <v>0</v>
      </c>
      <c r="I7" s="22" t="n">
        <f aca="false">IF(In!$M$144&lt;&gt;"",In!$M$144,0)</f>
        <v>0</v>
      </c>
      <c r="J7" s="22" t="n">
        <f aca="false">IF(In!$N$144&lt;&gt;"",In!$N$144,0)</f>
        <v>0</v>
      </c>
      <c r="K7" s="22" t="n">
        <f aca="false">IF(In!$O$144&lt;&gt;"",In!$O$144,J7)</f>
        <v>0</v>
      </c>
      <c r="L7" s="22" t="n">
        <f aca="false">IF(In!$P$144&lt;&gt;"",In!$P$144,J7)</f>
        <v>0</v>
      </c>
      <c r="M7" s="22" t="n">
        <f aca="false">IF(In!$Q$144&lt;&gt;"",In!$Q$144,J7)</f>
        <v>0</v>
      </c>
    </row>
    <row r="8" customFormat="false" ht="17.15" hidden="false" customHeight="false" outlineLevel="0" collapsed="false">
      <c r="A8" s="5" t="s">
        <v>820</v>
      </c>
      <c r="B8" s="0" t="s">
        <v>426</v>
      </c>
      <c r="C8" s="0" t="s">
        <v>50</v>
      </c>
      <c r="D8" s="22" t="n">
        <f aca="false">IF(In!$H$145&lt;&gt;"",In!$H$145,0)</f>
        <v>0</v>
      </c>
      <c r="E8" s="22" t="n">
        <f aca="false">IF(In!$I$145&lt;&gt;"",In!$I$145,0)</f>
        <v>0</v>
      </c>
      <c r="F8" s="22" t="n">
        <f aca="false">IF(In!$J$145&lt;&gt;"",In!$J$145,0)</f>
        <v>0</v>
      </c>
      <c r="G8" s="22" t="n">
        <f aca="false">IF(In!$K$145&lt;&gt;"",In!$K$145,SIL_vr26)</f>
        <v>0.22</v>
      </c>
      <c r="H8" s="22" t="n">
        <f aca="false">IF(In!$L$145&lt;&gt;"",In!$L$145,(1-H$11))</f>
        <v>0.939674252875845</v>
      </c>
      <c r="I8" s="22" t="n">
        <f aca="false">IF(In!$M$145&lt;&gt;"",In!$M$145,(1-I$11))</f>
        <v>0.700284773845187</v>
      </c>
      <c r="J8" s="22" t="n">
        <f aca="false">IF(In!$N$145&lt;&gt;"",In!$N$145,(1-J$11))</f>
        <v>0.700284773845187</v>
      </c>
      <c r="K8" s="22" t="n">
        <f aca="false">IF(In!$O$145&lt;&gt;"",In!$O$145,J8)</f>
        <v>0.700284773845187</v>
      </c>
      <c r="L8" s="22" t="n">
        <f aca="false">IF(In!$P$145&lt;&gt;"",In!$P$145,J8)</f>
        <v>0.700284773845187</v>
      </c>
      <c r="M8" s="22" t="n">
        <f aca="false">IF(In!$Q$145&lt;&gt;"",In!$Q$145,J8)</f>
        <v>0.700284773845187</v>
      </c>
    </row>
    <row r="9" customFormat="false" ht="17.15" hidden="false" customHeight="false" outlineLevel="0" collapsed="false">
      <c r="A9" s="5" t="s">
        <v>821</v>
      </c>
      <c r="B9" s="0" t="s">
        <v>428</v>
      </c>
      <c r="C9" s="0" t="s">
        <v>50</v>
      </c>
      <c r="D9" s="22" t="n">
        <f aca="false">IF(In!$H$146&lt;&gt;"",In!$H$146,0)</f>
        <v>0</v>
      </c>
      <c r="E9" s="22" t="n">
        <f aca="false">IF(In!$I$146&lt;&gt;"",In!$I$146,0)</f>
        <v>0</v>
      </c>
      <c r="F9" s="22" t="n">
        <f aca="false">IF(In!$J$146&lt;&gt;"",In!$J$146,0)</f>
        <v>0</v>
      </c>
      <c r="G9" s="22" t="n">
        <f aca="false">IF(In!$K$146&lt;&gt;"",In!$K$146,0)</f>
        <v>0</v>
      </c>
      <c r="H9" s="22" t="n">
        <f aca="false">IF(In!$L$146&lt;&gt;"",In!$L$146,H$11)</f>
        <v>0.0603257471241551</v>
      </c>
      <c r="I9" s="22" t="n">
        <f aca="false">IF(In!$M$146&lt;&gt;"",In!$M$146,I$11)</f>
        <v>0.299715226154813</v>
      </c>
      <c r="J9" s="22" t="n">
        <f aca="false">IF(In!$N$146&lt;&gt;"",In!$N$146,J$11)</f>
        <v>0.299715226154813</v>
      </c>
      <c r="K9" s="22" t="n">
        <f aca="false">IF(In!$O$146&lt;&gt;"",In!$O$146,J9)</f>
        <v>0.299715226154813</v>
      </c>
      <c r="L9" s="22" t="n">
        <f aca="false">IF(In!$P$146&lt;&gt;"",In!$P$146,J9)</f>
        <v>0.299715226154813</v>
      </c>
      <c r="M9" s="22" t="n">
        <f aca="false">IF(In!$Q$146&lt;&gt;"",In!$Q$146,J9)</f>
        <v>0.299715226154813</v>
      </c>
    </row>
    <row r="10" customFormat="false" ht="17.15" hidden="false" customHeight="false" outlineLevel="0" collapsed="false">
      <c r="A10" s="5" t="s">
        <v>822</v>
      </c>
      <c r="C10" s="0" t="s">
        <v>50</v>
      </c>
      <c r="D10" s="22" t="n">
        <f aca="false">SUM(D5:D9)</f>
        <v>1</v>
      </c>
      <c r="E10" s="22" t="n">
        <f aca="false">SUM(E5:E9)</f>
        <v>1</v>
      </c>
      <c r="F10" s="22" t="n">
        <f aca="false">SUM(F5:F9)</f>
        <v>1</v>
      </c>
      <c r="G10" s="22" t="n">
        <f aca="false">SUM(G5:G9)</f>
        <v>1</v>
      </c>
      <c r="H10" s="22" t="n">
        <f aca="false">SUM(H5:H9)</f>
        <v>1</v>
      </c>
      <c r="I10" s="22" t="n">
        <f aca="false">SUM(I5:I9)</f>
        <v>1</v>
      </c>
      <c r="J10" s="22" t="n">
        <f aca="false">SUM(J5:J9)</f>
        <v>1</v>
      </c>
      <c r="K10" s="22" t="n">
        <f aca="false">SUM(K5:K9)</f>
        <v>1</v>
      </c>
      <c r="L10" s="22" t="n">
        <f aca="false">SUM(L5:L9)</f>
        <v>1</v>
      </c>
      <c r="M10" s="22" t="n">
        <f aca="false">SUM(M5:M9)</f>
        <v>1</v>
      </c>
    </row>
    <row r="11" customFormat="false" ht="17.15" hidden="false" customHeight="false" outlineLevel="0" collapsed="false">
      <c r="A11" s="0" t="s">
        <v>823</v>
      </c>
      <c r="C11" s="0" t="s">
        <v>50</v>
      </c>
      <c r="H11" s="23" t="n">
        <f aca="false">(SIL_In!$H$21/TK_GPUsPerGW_RU)/(SIL_In!$H$20/TK_GPUsPerGW_VR200+SIL_In!$H$21/TK_GPUsPerGW_RU)</f>
        <v>0.0603257471241551</v>
      </c>
      <c r="I11" s="23" t="n">
        <f aca="false">(SIL_In!$I$21/TK_GPUsPerGW_RU)/(SIL_In!$I$20/TK_GPUsPerGW_VR200+SIL_In!$I$21/TK_GPUsPerGW_RU)</f>
        <v>0.299715226154813</v>
      </c>
      <c r="J11" s="23" t="n">
        <f aca="false">(SIL_In!$J$21/TK_GPUsPerGW_RU)/(SIL_In!$J$20/TK_GPUsPerGW_VR200+SIL_In!$J$21/TK_GPUsPerGW_RU)</f>
        <v>0.299715226154813</v>
      </c>
      <c r="N11" s="5" t="s">
        <v>824</v>
      </c>
    </row>
    <row r="12" customFormat="false" ht="17.15" hidden="false" customHeight="false" outlineLevel="0" collapsed="false">
      <c r="A12" s="5" t="s">
        <v>825</v>
      </c>
      <c r="B12" s="0" t="s">
        <v>430</v>
      </c>
      <c r="C12" s="0" t="s">
        <v>50</v>
      </c>
      <c r="D12" s="23" t="n">
        <f aca="false">IF(In!$H$147&lt;&gt;"",In!$H$147,G12)</f>
        <v>0.238210067173108</v>
      </c>
      <c r="E12" s="23" t="n">
        <f aca="false">IF(In!$I$147&lt;&gt;"",In!$I$147,G12)</f>
        <v>0.238210067173108</v>
      </c>
      <c r="F12" s="23" t="n">
        <f aca="false">IF(In!$J$147&lt;&gt;"",In!$J$147,G12)</f>
        <v>0.238210067173108</v>
      </c>
      <c r="G12" s="23" t="n">
        <f aca="false">IF(In!$K$147&lt;&gt;"",In!$K$147,(SIL_In!$G$23*SIL_it_AMD8+SIL_In!$G$24*SIL_it_TPU+SIL_In!$G$25*SIL_it_TRN+SIL_In!$G$26*SIL_it_ASIC)/((SIL_In!$G$23*SIL_it_AMD8+SIL_In!$G$24*SIL_it_TPU+SIL_In!$G$25*SIL_it_TRN+SIL_In!$G$26*SIL_it_ASIC)+(SIL_In!$G$19*SIL_it_GB+SIL_In!$G$20*SIL_it_VR+SIL_In!$G$21*SIL_it_RU+SIL_In!$G$22*SIL_it_HP)))</f>
        <v>0.238210067173108</v>
      </c>
      <c r="H12" s="23" t="n">
        <f aca="false">IF(In!$L$147&lt;&gt;"",In!$L$147,(SIL_In!$H$23*SIL_it_AMDR+SIL_In!$H$24*SIL_it_TPU+SIL_In!$H$25*SIL_it_TRN+SIL_In!$H$26*SIL_it_ASIC)/((SIL_In!$H$23*SIL_it_AMDR+SIL_In!$H$24*SIL_it_TPU+SIL_In!$H$25*SIL_it_TRN+SIL_In!$H$26*SIL_it_ASIC)+(SIL_In!$H$19*SIL_it_GB+SIL_In!$H$20*SIL_it_VR+SIL_In!$H$21*SIL_it_RU+SIL_In!$H$22*SIL_it_HP)))</f>
        <v>0.273101862203342</v>
      </c>
      <c r="I12" s="23" t="n">
        <f aca="false">IF(In!$M$147&lt;&gt;"",In!$M$147,(SIL_In!$I$23*SIL_it_AMDR+SIL_In!$I$24*SIL_it_TPU+SIL_In!$I$25*SIL_it_TRN+SIL_In!$I$26*SIL_it_ASIC)/((SIL_In!$I$23*SIL_it_AMDR+SIL_In!$I$24*SIL_it_TPU+SIL_In!$I$25*SIL_it_TRN+SIL_In!$I$26*SIL_it_ASIC)+(SIL_In!$I$19*SIL_it_GB+SIL_In!$I$20*SIL_it_VR+SIL_In!$I$21*SIL_it_RU+SIL_In!$I$22*SIL_it_HP)))</f>
        <v>0.269621396123668</v>
      </c>
      <c r="J12" s="23" t="n">
        <f aca="false">IF(In!$N$147&lt;&gt;"",In!$N$147,(SIL_In!$J$23*SIL_it_AMDR+SIL_In!$J$24*SIL_it_TPU+SIL_In!$J$25*SIL_it_TRN+SIL_In!$J$26*SIL_it_ASIC)/((SIL_In!$J$23*SIL_it_AMDR+SIL_In!$J$24*SIL_it_TPU+SIL_In!$J$25*SIL_it_TRN+SIL_In!$J$26*SIL_it_ASIC)+(SIL_In!$J$19*SIL_it_GB+SIL_In!$J$20*SIL_it_VR+SIL_In!$J$21*SIL_it_RU+SIL_In!$J$22*SIL_it_HP)))</f>
        <v>0.272187509408712</v>
      </c>
      <c r="K12" s="23" t="n">
        <f aca="false">IF(In!$O$147&lt;&gt;"",In!$O$147,J12)</f>
        <v>0.272187509408712</v>
      </c>
      <c r="L12" s="23" t="n">
        <f aca="false">IF(In!$P$147&lt;&gt;"",In!$P$147,J12)</f>
        <v>0.272187509408712</v>
      </c>
      <c r="M12" s="23" t="n">
        <f aca="false">IF(In!$Q$147&lt;&gt;"",In!$Q$147,J12)</f>
        <v>0.272187509408712</v>
      </c>
      <c r="N12" s="20" t="s">
        <v>826</v>
      </c>
    </row>
    <row r="13" customFormat="false" ht="17.15" hidden="false" customHeight="false" outlineLevel="0" collapsed="false">
      <c r="A13" s="5" t="s">
        <v>827</v>
      </c>
      <c r="C13" s="0" t="s">
        <v>34</v>
      </c>
      <c r="D13" s="24" t="n">
        <f aca="false">D5*TK_FacilityGW_H100+D6*TK_FacilityGW_GB200+D7*TK_FacilityGW_GB300+D8*TK_FacilityGW_VR200+D9*TK_FacilityGW_RU</f>
        <v>1.2</v>
      </c>
      <c r="E13" s="24" t="n">
        <f aca="false">E5*TK_FacilityGW_H100+E6*TK_FacilityGW_GB200+E7*TK_FacilityGW_GB300+E8*TK_FacilityGW_VR200+E9*TK_FacilityGW_RU</f>
        <v>1.2</v>
      </c>
      <c r="F13" s="24" t="n">
        <f aca="false">F5*TK_FacilityGW_H100+F6*TK_FacilityGW_GB200+F7*TK_FacilityGW_GB300+F8*TK_FacilityGW_VR200+F9*TK_FacilityGW_RU</f>
        <v>1.2</v>
      </c>
      <c r="G13" s="24" t="n">
        <f aca="false">G5*TK_FacilityGW_H100+G6*TK_FacilityGW_GB200+G7*TK_FacilityGW_GB300+G8*TK_FacilityGW_VR200+G9*TK_FacilityGW_RU</f>
        <v>1.2</v>
      </c>
      <c r="H13" s="24" t="n">
        <f aca="false">H5*TK_FacilityGW_H100+H6*TK_FacilityGW_GB200+H7*TK_FacilityGW_GB300+H8*TK_FacilityGW_VR200+H9*TK_FacilityGW_RU</f>
        <v>1.2</v>
      </c>
      <c r="I13" s="24" t="n">
        <f aca="false">I5*TK_FacilityGW_H100+I6*TK_FacilityGW_GB200+I7*TK_FacilityGW_GB300+I8*TK_FacilityGW_VR200+I9*TK_FacilityGW_RU</f>
        <v>1.2</v>
      </c>
      <c r="J13" s="24" t="n">
        <f aca="false">J5*TK_FacilityGW_H100+J6*TK_FacilityGW_GB200+J7*TK_FacilityGW_GB300+J8*TK_FacilityGW_VR200+J9*TK_FacilityGW_RU</f>
        <v>1.2</v>
      </c>
      <c r="K13" s="24" t="n">
        <f aca="false">K5*TK_FacilityGW_H100+K6*TK_FacilityGW_GB200+K7*TK_FacilityGW_GB300+K8*TK_FacilityGW_VR200+K9*TK_FacilityGW_RU</f>
        <v>1.2</v>
      </c>
      <c r="L13" s="24" t="n">
        <f aca="false">L5*TK_FacilityGW_H100+L6*TK_FacilityGW_GB200+L7*TK_FacilityGW_GB300+L8*TK_FacilityGW_VR200+L9*TK_FacilityGW_RU</f>
        <v>1.2</v>
      </c>
      <c r="M13" s="24" t="n">
        <f aca="false">M5*TK_FacilityGW_H100+M6*TK_FacilityGW_GB200+M7*TK_FacilityGW_GB300+M8*TK_FacilityGW_VR200+M9*TK_FacilityGW_RU</f>
        <v>1.2</v>
      </c>
      <c r="N13" s="20" t="s">
        <v>828</v>
      </c>
    </row>
    <row r="14" customFormat="false" ht="17.15" hidden="false" customHeight="false" outlineLevel="0" collapsed="false">
      <c r="A14" s="5" t="s">
        <v>829</v>
      </c>
      <c r="B14" s="0" t="s">
        <v>830</v>
      </c>
      <c r="C14" s="0" t="s">
        <v>34</v>
      </c>
      <c r="D14" s="24" t="n">
        <f aca="false">k_chip2it</f>
        <v>1.85</v>
      </c>
      <c r="E14" s="24" t="n">
        <f aca="false">k_chip2it_lo</f>
        <v>1.65</v>
      </c>
      <c r="F14" s="24" t="n">
        <f aca="false">k_chip2it_hi</f>
        <v>2.08</v>
      </c>
      <c r="N14" s="20" t="s">
        <v>831</v>
      </c>
    </row>
    <row r="15" customFormat="false" ht="17.15" hidden="false" customHeight="false" outlineLevel="0" collapsed="false">
      <c r="A15" s="5" t="s">
        <v>832</v>
      </c>
      <c r="B15" s="0" t="s">
        <v>833</v>
      </c>
      <c r="C15" s="0" t="s">
        <v>34</v>
      </c>
      <c r="D15" s="24" t="n">
        <f aca="false">ovr25_googl/In!$J$82</f>
        <v>1.45604767709603</v>
      </c>
      <c r="E15" s="24" t="n">
        <f aca="false">ovr25_googl_lo/In!$J$82</f>
        <v>1.32060138155221</v>
      </c>
      <c r="F15" s="24" t="n">
        <f aca="false">ovr25_googl_hi/In!$J$82</f>
        <v>1.65921712041176</v>
      </c>
      <c r="N15" s="20" t="s">
        <v>834</v>
      </c>
    </row>
    <row r="16" customFormat="false" ht="17.15" hidden="false" customHeight="false" outlineLevel="0" collapsed="false">
      <c r="A16" s="5" t="s">
        <v>835</v>
      </c>
      <c r="B16" s="0" t="s">
        <v>836</v>
      </c>
      <c r="C16" s="0" t="s">
        <v>34</v>
      </c>
      <c r="D16" s="24" t="n">
        <f aca="false">ovr25_amzn/In!$J$83</f>
        <v>1.31539611360239</v>
      </c>
      <c r="E16" s="24" t="n">
        <f aca="false">ovr25_amzn_lo/In!$J$83</f>
        <v>1.13602391629297</v>
      </c>
      <c r="F16" s="24" t="n">
        <f aca="false">ovr25_amzn_hi/In!$J$83</f>
        <v>1.55455904334828</v>
      </c>
      <c r="N16" s="20" t="s">
        <v>837</v>
      </c>
    </row>
    <row r="17" customFormat="false" ht="17.15" hidden="false" customHeight="false" outlineLevel="0" collapsed="false">
      <c r="A17" s="5" t="s">
        <v>838</v>
      </c>
      <c r="B17" s="0" t="s">
        <v>839</v>
      </c>
      <c r="C17" s="0" t="s">
        <v>34</v>
      </c>
      <c r="D17" s="24" t="n">
        <f aca="false">k_chip2it</f>
        <v>1.85</v>
      </c>
      <c r="E17" s="24" t="n">
        <f aca="false">k_chip2it_lo</f>
        <v>1.65</v>
      </c>
      <c r="F17" s="24" t="n">
        <f aca="false">k_chip2it_hi</f>
        <v>2.08</v>
      </c>
      <c r="N17" s="20" t="s">
        <v>831</v>
      </c>
    </row>
    <row r="18" customFormat="false" ht="17.15" hidden="false" customHeight="false" outlineLevel="0" collapsed="false">
      <c r="A18" s="5" t="s">
        <v>840</v>
      </c>
      <c r="B18" s="0" t="s">
        <v>841</v>
      </c>
      <c r="C18" s="0" t="s">
        <v>34</v>
      </c>
      <c r="D18" s="24" t="n">
        <f aca="false">k_chip2it</f>
        <v>1.85</v>
      </c>
      <c r="E18" s="24" t="n">
        <f aca="false">k_chip2it_lo</f>
        <v>1.65</v>
      </c>
      <c r="F18" s="24" t="n">
        <f aca="false">k_chip2it_hi</f>
        <v>2.08</v>
      </c>
      <c r="N18" s="20" t="s">
        <v>831</v>
      </c>
    </row>
    <row r="19" customFormat="false" ht="17.15" hidden="false" customHeight="false" outlineLevel="0" collapsed="false">
      <c r="A19" s="5" t="s">
        <v>842</v>
      </c>
      <c r="B19" s="0" t="s">
        <v>843</v>
      </c>
      <c r="C19" s="0" t="s">
        <v>34</v>
      </c>
      <c r="D19" s="24" t="n">
        <f aca="false">k_chip2it</f>
        <v>1.85</v>
      </c>
      <c r="E19" s="24" t="n">
        <f aca="false">k_chip2it_lo</f>
        <v>1.65</v>
      </c>
      <c r="F19" s="24" t="n">
        <f aca="false">k_chip2it_hi</f>
        <v>2.08</v>
      </c>
      <c r="N19" s="20" t="s">
        <v>831</v>
      </c>
    </row>
    <row r="21" customFormat="false" ht="17.15" hidden="false" customHeight="false" outlineLevel="0" collapsed="false">
      <c r="A21" s="8" t="s">
        <v>844</v>
      </c>
      <c r="B21" s="20" t="s">
        <v>441</v>
      </c>
      <c r="N21" s="20" t="s">
        <v>845</v>
      </c>
    </row>
    <row r="22" customFormat="false" ht="17.15" hidden="false" customHeight="false" outlineLevel="0" collapsed="false">
      <c r="A22" s="5" t="s">
        <v>846</v>
      </c>
      <c r="B22" s="0" t="s">
        <v>847</v>
      </c>
      <c r="C22" s="0" t="s">
        <v>75</v>
      </c>
      <c r="D22" s="24" t="str">
        <f aca="false">IF(In!$H$88="","",IF(In!$C$88="設施",In!$H$88/1000/D$13,In!$H$88/1000))</f>
        <v/>
      </c>
      <c r="E22" s="24" t="str">
        <f aca="false">IF(In!$I$88="","",IF(In!$C$88="設施",In!$I$88/1000/E$13,In!$I$88/1000))</f>
        <v/>
      </c>
      <c r="F22" s="24" t="str">
        <f aca="false">IF(In!$J$88="","",IF(In!$C$88="設施",In!$J$88/1000/F$13,In!$J$88/1000))</f>
        <v/>
      </c>
      <c r="G22" s="24" t="str">
        <f aca="false">IF(In!$K$88="","",IF(In!$C$88="設施",In!$K$88/1000/G$13,In!$K$88/1000))</f>
        <v/>
      </c>
      <c r="H22" s="24" t="str">
        <f aca="false">IF(In!$L$88="","",IF(In!$C$88="設施",In!$L$88/1000/H$13,In!$L$88/1000))</f>
        <v/>
      </c>
      <c r="I22" s="24" t="str">
        <f aca="false">IF(In!$M$88="","",IF(In!$C$88="設施",In!$M$88/1000/I$13,In!$M$88/1000))</f>
        <v/>
      </c>
      <c r="J22" s="24" t="str">
        <f aca="false">IF(In!$N$88="","",IF(In!$C$88="設施",In!$N$88/1000/J$13,In!$N$88/1000))</f>
        <v/>
      </c>
      <c r="K22" s="24" t="str">
        <f aca="false">IF(In!$O$88="","",IF(In!$C$88="設施",In!$O$88/1000/K$13,In!$O$88/1000))</f>
        <v/>
      </c>
      <c r="L22" s="24" t="str">
        <f aca="false">IF(In!$P$88="","",IF(In!$C$88="設施",In!$P$88/1000/L$13,In!$P$88/1000))</f>
        <v/>
      </c>
      <c r="M22" s="24" t="str">
        <f aca="false">IF(In!$Q$88="","",IF(In!$C$88="設施",In!$Q$88/1000/M$13,In!$Q$88/1000))</f>
        <v/>
      </c>
    </row>
    <row r="23" customFormat="false" ht="17.15" hidden="false" customHeight="false" outlineLevel="0" collapsed="false">
      <c r="A23" s="5" t="s">
        <v>848</v>
      </c>
      <c r="B23" s="0" t="s">
        <v>849</v>
      </c>
      <c r="C23" s="0" t="s">
        <v>75</v>
      </c>
      <c r="D23" s="24" t="str">
        <f aca="false">IF(In!$H$81="","",In!$H$81*Players!$D$14/1000)</f>
        <v/>
      </c>
      <c r="E23" s="24" t="n">
        <f aca="false">IF(In!$I$81="","",In!$I$81*Players!$D$14/1000)</f>
        <v>1.593775</v>
      </c>
      <c r="F23" s="24" t="n">
        <f aca="false">IF(In!$J$81="","",In!$J$81*Players!$D$14/1000)</f>
        <v>3.729045</v>
      </c>
      <c r="G23" s="24" t="str">
        <f aca="false">IF(In!$K$81="","",In!$K$81*Players!$D$14/1000)</f>
        <v/>
      </c>
      <c r="H23" s="24" t="str">
        <f aca="false">IF(In!$L$81="","",In!$L$81*Players!$D$14/1000)</f>
        <v/>
      </c>
      <c r="I23" s="24" t="str">
        <f aca="false">IF(In!$M$81="","",In!$M$81*Players!$D$14/1000)</f>
        <v/>
      </c>
      <c r="J23" s="24" t="str">
        <f aca="false">IF(In!$N$81="","",In!$N$81*Players!$D$14/1000)</f>
        <v/>
      </c>
      <c r="K23" s="24" t="str">
        <f aca="false">IF(In!$O$81="","",In!$O$81*Players!$D$14/1000)</f>
        <v/>
      </c>
      <c r="L23" s="24" t="str">
        <f aca="false">IF(In!$P$81="","",In!$P$81*Players!$D$14/1000)</f>
        <v/>
      </c>
      <c r="M23" s="24" t="str">
        <f aca="false">IF(In!$Q$81="","",In!$Q$81*Players!$D$14/1000)</f>
        <v/>
      </c>
    </row>
    <row r="24" customFormat="false" ht="15" hidden="false" customHeight="false" outlineLevel="0" collapsed="false">
      <c r="A24" s="5" t="s">
        <v>850</v>
      </c>
      <c r="B24" s="0" t="s">
        <v>851</v>
      </c>
      <c r="C24" s="0" t="s">
        <v>75</v>
      </c>
      <c r="D24" s="24" t="str">
        <f aca="false">IF(D22&lt;&gt;"",D22,IF(D23&lt;&gt;"",D23,IF(INT(obsd_msft)=2023,obs_msft/1000+SUMIFS(Pipeline!$L$5:$L$47,Pipeline!$C$5:$C$47,"msft",Pipeline!$Q$5:$Q$47,1,Pipeline!$K$5:$K$47,"&gt;"&amp;obsd_msft,Pipeline!$K$5:$K$47,"&lt;="&amp;2024),"")))</f>
        <v/>
      </c>
      <c r="E24" s="24" t="n">
        <f aca="false">IF(E22&lt;&gt;"",E22,IF(E23&lt;&gt;"",E23,IF(INT(obsd_msft)=2024,obs_msft/1000+SUMIFS(Pipeline!$L$5:$L$47,Pipeline!$C$5:$C$47,"msft",Pipeline!$Q$5:$Q$47,1,Pipeline!$K$5:$K$47,"&gt;"&amp;obsd_msft,Pipeline!$K$5:$K$47,"&lt;="&amp;2025),"")))</f>
        <v>1.593775</v>
      </c>
      <c r="F24" s="24" t="n">
        <f aca="false">IF(F22&lt;&gt;"",F22,IF(F23&lt;&gt;"",F23,IF(INT(obsd_msft)=2025,obs_msft/1000+SUMIFS(Pipeline!$L$5:$L$47,Pipeline!$C$5:$C$47,"msft",Pipeline!$Q$5:$Q$47,1,Pipeline!$K$5:$K$47,"&gt;"&amp;obsd_msft,Pipeline!$K$5:$K$47,"&lt;="&amp;2026),"")))</f>
        <v>3.729045</v>
      </c>
      <c r="G24" s="24" t="n">
        <f aca="false">IF(G22&lt;&gt;"",G22,IF(G23&lt;&gt;"",G23,IF(INT(obsd_msft)=2026,obs_msft/1000+SUMIFS(Pipeline!$L$5:$L$47,Pipeline!$C$5:$C$47,"msft",Pipeline!$Q$5:$Q$47,1,Pipeline!$K$5:$K$47,"&gt;"&amp;obsd_msft,Pipeline!$K$5:$K$47,"&lt;="&amp;2027),"")))</f>
        <v>4.5</v>
      </c>
      <c r="H24" s="24" t="str">
        <f aca="false">IF(H22&lt;&gt;"",H22,IF(H23&lt;&gt;"",H23,IF(INT(obsd_msft)=2027,obs_msft/1000+SUMIFS(Pipeline!$L$5:$L$47,Pipeline!$C$5:$C$47,"msft",Pipeline!$Q$5:$Q$47,1,Pipeline!$K$5:$K$47,"&gt;"&amp;obsd_msft,Pipeline!$K$5:$K$47,"&lt;="&amp;2028),"")))</f>
        <v/>
      </c>
      <c r="I24" s="24" t="str">
        <f aca="false">IF(I22&lt;&gt;"",I22,IF(I23&lt;&gt;"",I23,IF(INT(obsd_msft)=2028,obs_msft/1000+SUMIFS(Pipeline!$L$5:$L$47,Pipeline!$C$5:$C$47,"msft",Pipeline!$Q$5:$Q$47,1,Pipeline!$K$5:$K$47,"&gt;"&amp;obsd_msft,Pipeline!$K$5:$K$47,"&lt;="&amp;2029),"")))</f>
        <v/>
      </c>
      <c r="J24" s="24" t="str">
        <f aca="false">IF(J22&lt;&gt;"",J22,IF(J23&lt;&gt;"",J23,IF(INT(obsd_msft)=2029,obs_msft/1000+SUMIFS(Pipeline!$L$5:$L$47,Pipeline!$C$5:$C$47,"msft",Pipeline!$Q$5:$Q$47,1,Pipeline!$K$5:$K$47,"&gt;"&amp;obsd_msft,Pipeline!$K$5:$K$47,"&lt;="&amp;2030),"")))</f>
        <v/>
      </c>
      <c r="K24" s="24" t="str">
        <f aca="false">IF(K22&lt;&gt;"",K22,IF(K23&lt;&gt;"",K23,IF(INT(obsd_msft)=2030,obs_msft/1000+SUMIFS(Pipeline!$L$5:$L$47,Pipeline!$C$5:$C$47,"msft",Pipeline!$Q$5:$Q$47,1,Pipeline!$K$5:$K$47,"&gt;"&amp;obsd_msft,Pipeline!$K$5:$K$47,"&lt;="&amp;2031),"")))</f>
        <v/>
      </c>
      <c r="L24" s="24" t="str">
        <f aca="false">IF(L22&lt;&gt;"",L22,IF(L23&lt;&gt;"",L23,IF(INT(obsd_msft)=2031,obs_msft/1000+SUMIFS(Pipeline!$L$5:$L$47,Pipeline!$C$5:$C$47,"msft",Pipeline!$Q$5:$Q$47,1,Pipeline!$K$5:$K$47,"&gt;"&amp;obsd_msft,Pipeline!$K$5:$K$47,"&lt;="&amp;2032),"")))</f>
        <v/>
      </c>
      <c r="M24" s="24" t="str">
        <f aca="false">IF(M22&lt;&gt;"",M22,IF(M23&lt;&gt;"",M23,IF(INT(obsd_msft)=2032,obs_msft/1000+SUMIFS(Pipeline!$L$5:$L$47,Pipeline!$C$5:$C$47,"msft",Pipeline!$Q$5:$Q$47,1,Pipeline!$K$5:$K$47,"&gt;"&amp;obsd_msft,Pipeline!$K$5:$K$47,"&lt;="&amp;2033),"")))</f>
        <v/>
      </c>
    </row>
    <row r="25" customFormat="false" ht="15" hidden="false" customHeight="false" outlineLevel="0" collapsed="false">
      <c r="A25" s="5" t="s">
        <v>852</v>
      </c>
      <c r="B25" s="0" t="s">
        <v>853</v>
      </c>
      <c r="C25" s="0" t="s">
        <v>75</v>
      </c>
      <c r="D25" s="0" t="str">
        <f aca="false">IF(D24&lt;&gt;"",D24,"")</f>
        <v/>
      </c>
      <c r="E25" s="24" t="n">
        <f aca="false">IF(E24&lt;&gt;"",E24,D25)</f>
        <v>1.593775</v>
      </c>
      <c r="F25" s="24" t="n">
        <f aca="false">IF(F24&lt;&gt;"",F24,E25)</f>
        <v>3.729045</v>
      </c>
      <c r="G25" s="24" t="n">
        <f aca="false">IF(G24&lt;&gt;"",G24,F25)</f>
        <v>4.5</v>
      </c>
      <c r="H25" s="24" t="n">
        <f aca="false">IF(H24&lt;&gt;"",H24,G25)</f>
        <v>4.5</v>
      </c>
      <c r="I25" s="24" t="n">
        <f aca="false">IF(I24&lt;&gt;"",I24,H25)</f>
        <v>4.5</v>
      </c>
      <c r="J25" s="24" t="n">
        <f aca="false">IF(J24&lt;&gt;"",J24,I25)</f>
        <v>4.5</v>
      </c>
      <c r="K25" s="24" t="n">
        <f aca="false">IF(K24&lt;&gt;"",K24,J25)</f>
        <v>4.5</v>
      </c>
      <c r="L25" s="24" t="n">
        <f aca="false">IF(L24&lt;&gt;"",L24,K25)</f>
        <v>4.5</v>
      </c>
      <c r="M25" s="24" t="n">
        <f aca="false">IF(M24&lt;&gt;"",M24,L25)</f>
        <v>4.5</v>
      </c>
    </row>
    <row r="26" customFormat="false" ht="15" hidden="false" customHeight="false" outlineLevel="0" collapsed="false">
      <c r="A26" s="5" t="s">
        <v>854</v>
      </c>
      <c r="B26" s="0" t="s">
        <v>855</v>
      </c>
      <c r="C26" s="5" t="s">
        <v>45</v>
      </c>
      <c r="D26" s="0" t="str">
        <f aca="false">IF(D24&lt;&gt;"",2023,"")</f>
        <v/>
      </c>
      <c r="E26" s="0" t="n">
        <f aca="false">IF(E24&lt;&gt;"",2024,D26)</f>
        <v>2024</v>
      </c>
      <c r="F26" s="0" t="n">
        <f aca="false">IF(F24&lt;&gt;"",2025,E26)</f>
        <v>2025</v>
      </c>
      <c r="G26" s="0" t="n">
        <f aca="false">IF(G24&lt;&gt;"",2026,F26)</f>
        <v>2026</v>
      </c>
      <c r="H26" s="0" t="n">
        <f aca="false">IF(H24&lt;&gt;"",2027,G26)</f>
        <v>2026</v>
      </c>
      <c r="I26" s="0" t="n">
        <f aca="false">IF(I24&lt;&gt;"",2028,H26)</f>
        <v>2026</v>
      </c>
      <c r="J26" s="0" t="n">
        <f aca="false">IF(J24&lt;&gt;"",2029,I26)</f>
        <v>2026</v>
      </c>
      <c r="K26" s="0" t="n">
        <f aca="false">IF(K24&lt;&gt;"",2030,J26)</f>
        <v>2026</v>
      </c>
      <c r="L26" s="0" t="n">
        <f aca="false">IF(L24&lt;&gt;"",2031,K26)</f>
        <v>2026</v>
      </c>
      <c r="M26" s="0" t="n">
        <f aca="false">IF(M24&lt;&gt;"",2032,L26)</f>
        <v>2026</v>
      </c>
    </row>
    <row r="27" customFormat="false" ht="15" hidden="false" customHeight="false" outlineLevel="0" collapsed="false">
      <c r="A27" s="5" t="s">
        <v>856</v>
      </c>
      <c r="B27" s="0" t="s">
        <v>857</v>
      </c>
      <c r="C27" s="0" t="s">
        <v>75</v>
      </c>
      <c r="D27" s="24" t="n">
        <f aca="false">IF(D24&lt;&gt;"",D24,E27)</f>
        <v>1.593775</v>
      </c>
      <c r="E27" s="24" t="n">
        <f aca="false">IF(E24&lt;&gt;"",E24,F27)</f>
        <v>1.593775</v>
      </c>
      <c r="F27" s="24" t="n">
        <f aca="false">IF(F24&lt;&gt;"",F24,G27)</f>
        <v>3.729045</v>
      </c>
      <c r="G27" s="24" t="n">
        <f aca="false">IF(G24&lt;&gt;"",G24,H27)</f>
        <v>4.5</v>
      </c>
      <c r="H27" s="0" t="str">
        <f aca="false">IF(H24&lt;&gt;"",H24,I27)</f>
        <v/>
      </c>
      <c r="I27" s="0" t="str">
        <f aca="false">IF(I24&lt;&gt;"",I24,J27)</f>
        <v/>
      </c>
      <c r="J27" s="0" t="str">
        <f aca="false">IF(J24&lt;&gt;"",J24,K27)</f>
        <v/>
      </c>
      <c r="K27" s="0" t="str">
        <f aca="false">IF(K24&lt;&gt;"",K24,L27)</f>
        <v/>
      </c>
      <c r="L27" s="0" t="str">
        <f aca="false">IF(L24&lt;&gt;"",L24,M27)</f>
        <v/>
      </c>
      <c r="M27" s="0" t="str">
        <f aca="false">IF(M24&lt;&gt;"",M24,"")</f>
        <v/>
      </c>
    </row>
    <row r="28" customFormat="false" ht="15" hidden="false" customHeight="false" outlineLevel="0" collapsed="false">
      <c r="A28" s="5" t="s">
        <v>858</v>
      </c>
      <c r="B28" s="0" t="s">
        <v>859</v>
      </c>
      <c r="C28" s="5" t="s">
        <v>45</v>
      </c>
      <c r="D28" s="0" t="n">
        <f aca="false">IF(D24&lt;&gt;"",2023,E28)</f>
        <v>2024</v>
      </c>
      <c r="E28" s="0" t="n">
        <f aca="false">IF(E24&lt;&gt;"",2024,F28)</f>
        <v>2024</v>
      </c>
      <c r="F28" s="0" t="n">
        <f aca="false">IF(F24&lt;&gt;"",2025,G28)</f>
        <v>2025</v>
      </c>
      <c r="G28" s="0" t="n">
        <f aca="false">IF(G24&lt;&gt;"",2026,H28)</f>
        <v>2026</v>
      </c>
      <c r="H28" s="0" t="str">
        <f aca="false">IF(H24&lt;&gt;"",2027,I28)</f>
        <v/>
      </c>
      <c r="I28" s="0" t="str">
        <f aca="false">IF(I24&lt;&gt;"",2028,J28)</f>
        <v/>
      </c>
      <c r="J28" s="0" t="str">
        <f aca="false">IF(J24&lt;&gt;"",2029,K28)</f>
        <v/>
      </c>
      <c r="K28" s="0" t="str">
        <f aca="false">IF(K24&lt;&gt;"",2030,L28)</f>
        <v/>
      </c>
      <c r="L28" s="0" t="str">
        <f aca="false">IF(L24&lt;&gt;"",2031,M28)</f>
        <v/>
      </c>
      <c r="M28" s="0" t="str">
        <f aca="false">IF(M24&lt;&gt;"",2032,"")</f>
        <v/>
      </c>
    </row>
    <row r="29" customFormat="false" ht="17.15" hidden="false" customHeight="false" outlineLevel="0" collapsed="false">
      <c r="A29" s="5" t="s">
        <v>860</v>
      </c>
      <c r="B29" s="0" t="s">
        <v>861</v>
      </c>
      <c r="C29" s="0" t="s">
        <v>75</v>
      </c>
      <c r="D29" s="24" t="n">
        <f aca="false">SUMIFS(Pipeline!$L$5:$L$47,Pipeline!$C$5:$C$47,"msft",Pipeline!$Q$5:$Q$47,1,Pipeline!$P$5:$P$47,2023)</f>
        <v>0</v>
      </c>
      <c r="E29" s="24" t="n">
        <f aca="false">SUMIFS(Pipeline!$L$5:$L$47,Pipeline!$C$5:$C$47,"msft",Pipeline!$Q$5:$Q$47,1,Pipeline!$P$5:$P$47,2024)</f>
        <v>0</v>
      </c>
      <c r="F29" s="24" t="n">
        <f aca="false">SUMIFS(Pipeline!$L$5:$L$47,Pipeline!$C$5:$C$47,"msft",Pipeline!$Q$5:$Q$47,1,Pipeline!$P$5:$P$47,2025)</f>
        <v>0.636</v>
      </c>
      <c r="G29" s="24" t="n">
        <f aca="false">SUMIFS(Pipeline!$L$5:$L$47,Pipeline!$C$5:$C$47,"msft",Pipeline!$Q$5:$Q$47,1,Pipeline!$P$5:$P$47,2026)</f>
        <v>0.369</v>
      </c>
      <c r="H29" s="24" t="n">
        <f aca="false">SUMIFS(Pipeline!$L$5:$L$47,Pipeline!$C$5:$C$47,"msft",Pipeline!$Q$5:$Q$47,1,Pipeline!$P$5:$P$47,2027)</f>
        <v>0.9</v>
      </c>
      <c r="I29" s="24" t="n">
        <f aca="false">SUMIFS(Pipeline!$L$5:$L$47,Pipeline!$C$5:$C$47,"msft",Pipeline!$Q$5:$Q$47,1,Pipeline!$P$5:$P$47,2028)</f>
        <v>1.894</v>
      </c>
      <c r="J29" s="24" t="n">
        <f aca="false">SUMIFS(Pipeline!$L$5:$L$47,Pipeline!$C$5:$C$47,"msft",Pipeline!$Q$5:$Q$47,1,Pipeline!$P$5:$P$47,2029)</f>
        <v>0</v>
      </c>
      <c r="K29" s="24" t="n">
        <f aca="false">SUMIFS(Pipeline!$L$5:$L$47,Pipeline!$C$5:$C$47,"msft",Pipeline!$Q$5:$Q$47,1,Pipeline!$P$5:$P$47,2030)</f>
        <v>0</v>
      </c>
      <c r="L29" s="24" t="n">
        <f aca="false">SUMIFS(Pipeline!$L$5:$L$47,Pipeline!$C$5:$C$47,"msft",Pipeline!$Q$5:$Q$47,1,Pipeline!$P$5:$P$47,2031)</f>
        <v>0</v>
      </c>
      <c r="M29" s="24" t="n">
        <f aca="false">SUMIFS(Pipeline!$L$5:$L$47,Pipeline!$C$5:$C$47,"msft",Pipeline!$Q$5:$Q$47,1,Pipeline!$P$5:$P$47,2032)</f>
        <v>0</v>
      </c>
    </row>
    <row r="30" customFormat="false" ht="17.15" hidden="false" customHeight="false" outlineLevel="0" collapsed="false">
      <c r="A30" s="5" t="s">
        <v>862</v>
      </c>
      <c r="B30" s="0" t="s">
        <v>863</v>
      </c>
      <c r="C30" s="0" t="s">
        <v>75</v>
      </c>
      <c r="D30" s="25" t="str">
        <f aca="false">IF(D24&lt;&gt;"",D24,IF(AND(D25&lt;&gt;"",D27&lt;&gt;""),D25+(D27-D25)*(2023-D26)/(D28-D26),""))</f>
        <v/>
      </c>
      <c r="E30" s="25" t="n">
        <f aca="false">IF(E24&lt;&gt;"",E24,IF(AND(E25&lt;&gt;"",E27&lt;&gt;""),E25+(E27-E25)*(2024-E26)/(E28-E26),IF(D30&lt;&gt;"",D30+E29,"")))</f>
        <v>1.593775</v>
      </c>
      <c r="F30" s="25" t="n">
        <f aca="false">IF(F24&lt;&gt;"",F24,IF(AND(F25&lt;&gt;"",F27&lt;&gt;""),F25+(F27-F25)*(2025-F26)/(F28-F26),IF(E30&lt;&gt;"",E30+F29,"")))</f>
        <v>3.729045</v>
      </c>
      <c r="G30" s="25" t="n">
        <f aca="false">IF(G24&lt;&gt;"",G24,IF(AND(G25&lt;&gt;"",G27&lt;&gt;""),G25+(G27-G25)*(2026-G26)/(G28-G26),IF(F30&lt;&gt;"",F30+G29,"")))</f>
        <v>4.5</v>
      </c>
      <c r="H30" s="25" t="n">
        <f aca="false">IF(H24&lt;&gt;"",H24,IF(AND(H25&lt;&gt;"",H27&lt;&gt;""),H25+(H27-H25)*(2027-H26)/(H28-H26),IF(G30&lt;&gt;"",G30+H29,"")))</f>
        <v>5.4</v>
      </c>
      <c r="I30" s="25" t="n">
        <f aca="false">IF(I24&lt;&gt;"",I24,IF(AND(I25&lt;&gt;"",I27&lt;&gt;""),I25+(I27-I25)*(2028-I26)/(I28-I26),IF(H30&lt;&gt;"",H30+I29,"")))</f>
        <v>7.294</v>
      </c>
      <c r="J30" s="25" t="n">
        <f aca="false">IF(J24&lt;&gt;"",J24,IF(AND(J25&lt;&gt;"",J27&lt;&gt;""),J25+(J27-J25)*(2029-J26)/(J28-J26),IF(I30&lt;&gt;"",I30+J29,"")))</f>
        <v>7.294</v>
      </c>
      <c r="K30" s="25" t="n">
        <f aca="false">IF(K24&lt;&gt;"",K24,IF(AND(K25&lt;&gt;"",K27&lt;&gt;""),K25+(K27-K25)*(2030-K26)/(K28-K26),IF(J30&lt;&gt;"",J30+K29,"")))</f>
        <v>7.294</v>
      </c>
      <c r="L30" s="25" t="n">
        <f aca="false">IF(L24&lt;&gt;"",L24,IF(AND(L25&lt;&gt;"",L27&lt;&gt;""),L25+(L27-L25)*(2031-L26)/(L28-L26),IF(K30&lt;&gt;"",K30+L29,"")))</f>
        <v>7.294</v>
      </c>
      <c r="M30" s="25" t="n">
        <f aca="false">IF(M24&lt;&gt;"",M24,IF(AND(M25&lt;&gt;"",M27&lt;&gt;""),M25+(M27-M25)*(2032-M26)/(M28-M26),IF(L30&lt;&gt;"",L30+M29,"")))</f>
        <v>7.294</v>
      </c>
    </row>
    <row r="31" customFormat="false" ht="15" hidden="false" customHeight="false" outlineLevel="0" collapsed="false">
      <c r="A31" s="5" t="s">
        <v>864</v>
      </c>
      <c r="B31" s="0" t="s">
        <v>865</v>
      </c>
      <c r="C31" s="0" t="s">
        <v>33</v>
      </c>
      <c r="D31" s="0" t="n">
        <f aca="false">IF(D22&lt;&gt;"",1,IF(D23&lt;&gt;"",5,IF(D24&lt;&gt;"",2,IF(AND(D25&lt;&gt;"",D27&lt;&gt;""),3,IF(D30&lt;&gt;"",4,0)))))</f>
        <v>0</v>
      </c>
      <c r="E31" s="0" t="n">
        <f aca="false">IF(E22&lt;&gt;"",1,IF(E23&lt;&gt;"",5,IF(E24&lt;&gt;"",2,IF(AND(E25&lt;&gt;"",E27&lt;&gt;""),3,IF(E30&lt;&gt;"",4,0)))))</f>
        <v>5</v>
      </c>
      <c r="F31" s="0" t="n">
        <f aca="false">IF(F22&lt;&gt;"",1,IF(F23&lt;&gt;"",5,IF(F24&lt;&gt;"",2,IF(AND(F25&lt;&gt;"",F27&lt;&gt;""),3,IF(F30&lt;&gt;"",4,0)))))</f>
        <v>5</v>
      </c>
      <c r="G31" s="0" t="n">
        <f aca="false">IF(G22&lt;&gt;"",1,IF(G23&lt;&gt;"",5,IF(G24&lt;&gt;"",2,IF(AND(G25&lt;&gt;"",G27&lt;&gt;""),3,IF(G30&lt;&gt;"",4,0)))))</f>
        <v>2</v>
      </c>
      <c r="H31" s="0" t="n">
        <f aca="false">IF(H22&lt;&gt;"",1,IF(H23&lt;&gt;"",5,IF(H24&lt;&gt;"",2,IF(AND(H25&lt;&gt;"",H27&lt;&gt;""),3,IF(H30&lt;&gt;"",4,0)))))</f>
        <v>4</v>
      </c>
      <c r="I31" s="0" t="n">
        <f aca="false">IF(I22&lt;&gt;"",1,IF(I23&lt;&gt;"",5,IF(I24&lt;&gt;"",2,IF(AND(I25&lt;&gt;"",I27&lt;&gt;""),3,IF(I30&lt;&gt;"",4,0)))))</f>
        <v>4</v>
      </c>
      <c r="J31" s="0" t="n">
        <f aca="false">IF(J22&lt;&gt;"",1,IF(J23&lt;&gt;"",5,IF(J24&lt;&gt;"",2,IF(AND(J25&lt;&gt;"",J27&lt;&gt;""),3,IF(J30&lt;&gt;"",4,0)))))</f>
        <v>4</v>
      </c>
      <c r="K31" s="0" t="n">
        <f aca="false">IF(K22&lt;&gt;"",1,IF(K23&lt;&gt;"",5,IF(K24&lt;&gt;"",2,IF(AND(K25&lt;&gt;"",K27&lt;&gt;""),3,IF(K30&lt;&gt;"",4,0)))))</f>
        <v>4</v>
      </c>
      <c r="L31" s="0" t="n">
        <f aca="false">IF(L22&lt;&gt;"",1,IF(L23&lt;&gt;"",5,IF(L24&lt;&gt;"",2,IF(AND(L25&lt;&gt;"",L27&lt;&gt;""),3,IF(L30&lt;&gt;"",4,0)))))</f>
        <v>4</v>
      </c>
      <c r="M31" s="0" t="n">
        <f aca="false">IF(M22&lt;&gt;"",1,IF(M23&lt;&gt;"",5,IF(M24&lt;&gt;"",2,IF(AND(M25&lt;&gt;"",M27&lt;&gt;""),3,IF(M30&lt;&gt;"",4,0)))))</f>
        <v>4</v>
      </c>
    </row>
    <row r="32" customFormat="false" ht="17.15" hidden="false" customHeight="false" outlineLevel="0" collapsed="false">
      <c r="A32" s="5" t="s">
        <v>866</v>
      </c>
      <c r="B32" s="0" t="s">
        <v>867</v>
      </c>
      <c r="C32" s="0" t="s">
        <v>75</v>
      </c>
      <c r="D32" s="24" t="str">
        <f aca="false">IF(D30="","",IF(D31=2,D30-(obs_msft-obs_msft_lo)/1000,IF(AND(D31=5,In!$H$81&lt;&gt;""),In!$H$81*Players!$E$14/1000,D30)))</f>
        <v/>
      </c>
      <c r="E32" s="24" t="n">
        <f aca="false">IF(E30="","",IF(E31=2,E30-(obs_msft-obs_msft_lo)/1000,IF(AND(E31=5,In!$I$81&lt;&gt;""),In!$I$81*Players!$E$14/1000,E30)))</f>
        <v>1.421475</v>
      </c>
      <c r="F32" s="24" t="n">
        <f aca="false">IF(F30="","",IF(F31=2,F30-(obs_msft-obs_msft_lo)/1000,MIN(IF(AND(F31=5,In!$J$81&lt;&gt;""),In!$J$81*Players!$E$14/1000,F30),msft_guardian_lo/1000)))</f>
        <v>1</v>
      </c>
      <c r="G32" s="24" t="n">
        <f aca="false">IF(G30="","",IF(G31=2,G30-(obs_msft-obs_msft_lo)/1000,IF(AND(G31=5,In!$K$81&lt;&gt;""),In!$K$81*Players!$E$14/1000,G30)))</f>
        <v>3.5</v>
      </c>
      <c r="H32" s="24" t="n">
        <f aca="false">IF(H30="","",IF(H31=2,H30-(obs_msft-obs_msft_lo)/1000,IF(AND(H31=5,In!$L$81&lt;&gt;""),In!$L$81*Players!$E$14/1000,H30)))</f>
        <v>5.4</v>
      </c>
      <c r="I32" s="24" t="n">
        <f aca="false">IF(I30="","",IF(I31=2,I30-(obs_msft-obs_msft_lo)/1000,IF(AND(I31=5,In!$M$81&lt;&gt;""),In!$M$81*Players!$E$14/1000,I30)))</f>
        <v>7.294</v>
      </c>
      <c r="J32" s="24" t="n">
        <f aca="false">IF(J30="","",IF(J31=2,J30-(obs_msft-obs_msft_lo)/1000,IF(AND(J31=5,In!$N$81&lt;&gt;""),In!$N$81*Players!$E$14/1000,J30)))</f>
        <v>7.294</v>
      </c>
      <c r="K32" s="24" t="n">
        <f aca="false">IF(K30="","",IF(K31=2,K30-(obs_msft-obs_msft_lo)/1000,IF(AND(K31=5,In!$O$81&lt;&gt;""),In!$O$81*Players!$E$14/1000,K30)))</f>
        <v>7.294</v>
      </c>
      <c r="L32" s="24" t="n">
        <f aca="false">IF(L30="","",IF(L31=2,L30-(obs_msft-obs_msft_lo)/1000,IF(AND(L31=5,In!$P$81&lt;&gt;""),In!$P$81*Players!$E$14/1000,L30)))</f>
        <v>7.294</v>
      </c>
      <c r="M32" s="24" t="n">
        <f aca="false">IF(M30="","",IF(M31=2,M30-(obs_msft-obs_msft_lo)/1000,IF(AND(M31=5,In!$Q$81&lt;&gt;""),In!$Q$81*Players!$E$14/1000,M30)))</f>
        <v>7.294</v>
      </c>
    </row>
    <row r="33" customFormat="false" ht="17.15" hidden="false" customHeight="false" outlineLevel="0" collapsed="false">
      <c r="A33" s="5" t="s">
        <v>868</v>
      </c>
      <c r="B33" s="0" t="s">
        <v>869</v>
      </c>
      <c r="C33" s="0" t="s">
        <v>75</v>
      </c>
      <c r="D33" s="24" t="str">
        <f aca="false">IF(D30="","",IF(D31=2,D30+(obs_msft_hi-obs_msft)/1000,IF(AND(D31=5,In!$H$81&lt;&gt;""),In!$H$81*Players!$F$14/1000,D30)))</f>
        <v/>
      </c>
      <c r="E33" s="24" t="n">
        <f aca="false">IF(E30="","",IF(E31=2,E30+(obs_msft_hi-obs_msft)/1000,IF(AND(E31=5,In!$I$81&lt;&gt;""),In!$I$81*Players!$F$14/1000,E30)))</f>
        <v>1.79192</v>
      </c>
      <c r="F33" s="24" t="n">
        <f aca="false">IF(F30="","",IF(F31=2,F30+(obs_msft_hi-obs_msft)/1000,IF(AND(F31=5,In!$J$81&lt;&gt;""),In!$J$81*Players!$F$14/1000,F30)))</f>
        <v>4.192656</v>
      </c>
      <c r="G33" s="24" t="n">
        <f aca="false">IF(G30="","",IF(G31=2,G30+(obs_msft_hi-obs_msft)/1000,IF(AND(G31=5,In!$K$81&lt;&gt;""),In!$K$81*Players!$F$14/1000,G30)))</f>
        <v>5.5</v>
      </c>
      <c r="H33" s="24" t="n">
        <f aca="false">IF(H30="","",IF(H31=2,H30+(obs_msft_hi-obs_msft)/1000,IF(AND(H31=5,In!$L$81&lt;&gt;""),In!$L$81*Players!$F$14/1000,H30)))</f>
        <v>5.4</v>
      </c>
      <c r="I33" s="24" t="n">
        <f aca="false">IF(I30="","",IF(I31=2,I30+(obs_msft_hi-obs_msft)/1000,IF(AND(I31=5,In!$M$81&lt;&gt;""),In!$M$81*Players!$F$14/1000,I30)))</f>
        <v>7.294</v>
      </c>
      <c r="J33" s="24" t="n">
        <f aca="false">IF(J30="","",IF(J31=2,J30+(obs_msft_hi-obs_msft)/1000,IF(AND(J31=5,In!$N$81&lt;&gt;""),In!$N$81*Players!$F$14/1000,J30)))</f>
        <v>7.294</v>
      </c>
      <c r="K33" s="24" t="n">
        <f aca="false">IF(K30="","",IF(K31=2,K30+(obs_msft_hi-obs_msft)/1000,IF(AND(K31=5,In!$O$81&lt;&gt;""),In!$O$81*Players!$F$14/1000,K30)))</f>
        <v>7.294</v>
      </c>
      <c r="L33" s="24" t="n">
        <f aca="false">IF(L30="","",IF(L31=2,L30+(obs_msft_hi-obs_msft)/1000,IF(AND(L31=5,In!$P$81&lt;&gt;""),In!$P$81*Players!$F$14/1000,L30)))</f>
        <v>7.294</v>
      </c>
      <c r="M33" s="24" t="n">
        <f aca="false">IF(M30="","",IF(M31=2,M30+(obs_msft_hi-obs_msft)/1000,IF(AND(M31=5,In!$Q$81&lt;&gt;""),In!$Q$81*Players!$F$14/1000,M30)))</f>
        <v>7.294</v>
      </c>
    </row>
    <row r="34" customFormat="false" ht="17.15" hidden="false" customHeight="false" outlineLevel="0" collapsed="false">
      <c r="A34" s="5" t="s">
        <v>870</v>
      </c>
      <c r="B34" s="0" t="s">
        <v>871</v>
      </c>
      <c r="C34" s="0" t="s">
        <v>75</v>
      </c>
      <c r="D34" s="24" t="str">
        <f aca="false">IF(D30="","",IF(In!$C$88="未說明",D30/D$13,D30))</f>
        <v/>
      </c>
      <c r="E34" s="24" t="n">
        <f aca="false">IF(E30="","",IF(In!$C$88="未說明",E30/E$13,E30))</f>
        <v>1.593775</v>
      </c>
      <c r="F34" s="24" t="n">
        <f aca="false">IF(F30="","",IF(In!$C$88="未說明",F30/F$13,F30))</f>
        <v>3.729045</v>
      </c>
      <c r="G34" s="24" t="n">
        <f aca="false">IF(G30="","",IF(In!$C$88="未說明",G30/G$13,G30))</f>
        <v>4.5</v>
      </c>
      <c r="H34" s="24" t="n">
        <f aca="false">IF(H30="","",IF(In!$C$88="未說明",H30/H$13,H30))</f>
        <v>5.4</v>
      </c>
      <c r="I34" s="24" t="n">
        <f aca="false">IF(I30="","",IF(In!$C$88="未說明",I30/I$13,I30))</f>
        <v>7.294</v>
      </c>
      <c r="J34" s="24" t="n">
        <f aca="false">IF(J30="","",IF(In!$C$88="未說明",J30/J$13,J30))</f>
        <v>7.294</v>
      </c>
      <c r="K34" s="24" t="n">
        <f aca="false">IF(K30="","",IF(In!$C$88="未說明",K30/K$13,K30))</f>
        <v>7.294</v>
      </c>
      <c r="L34" s="24" t="n">
        <f aca="false">IF(L30="","",IF(In!$C$88="未說明",L30/L$13,L30))</f>
        <v>7.294</v>
      </c>
      <c r="M34" s="24" t="n">
        <f aca="false">IF(M30="","",IF(In!$C$88="未說明",M30/M$13,M30))</f>
        <v>7.294</v>
      </c>
    </row>
    <row r="35" customFormat="false" ht="17.15" hidden="false" customHeight="false" outlineLevel="0" collapsed="false">
      <c r="A35" s="5" t="s">
        <v>872</v>
      </c>
      <c r="B35" s="0" t="s">
        <v>873</v>
      </c>
      <c r="C35" s="0" t="s">
        <v>75</v>
      </c>
      <c r="D35" s="0" t="str">
        <f aca="false">""</f>
        <v/>
      </c>
      <c r="E35" s="24" t="str">
        <f aca="false">IF(AND(D30&lt;&gt;"",E30&lt;&gt;""),(D30+E30)/2,"")</f>
        <v/>
      </c>
      <c r="F35" s="24" t="n">
        <f aca="false">IF(AND(E30&lt;&gt;"",F30&lt;&gt;""),(E30+F30)/2,"")</f>
        <v>2.66141</v>
      </c>
      <c r="G35" s="24" t="n">
        <f aca="false">IF(AND(F30&lt;&gt;"",G30&lt;&gt;""),(F30+G30)/2,"")</f>
        <v>4.1145225</v>
      </c>
      <c r="H35" s="24" t="n">
        <f aca="false">IF(AND(G30&lt;&gt;"",H30&lt;&gt;""),(G30+H30)/2,"")</f>
        <v>4.95</v>
      </c>
      <c r="I35" s="24" t="n">
        <f aca="false">IF(AND(H30&lt;&gt;"",I30&lt;&gt;""),(H30+I30)/2,"")</f>
        <v>6.347</v>
      </c>
      <c r="J35" s="24" t="n">
        <f aca="false">IF(AND(I30&lt;&gt;"",J30&lt;&gt;""),(I30+J30)/2,"")</f>
        <v>7.294</v>
      </c>
      <c r="K35" s="24" t="n">
        <f aca="false">IF(AND(J30&lt;&gt;"",K30&lt;&gt;""),(J30+K30)/2,"")</f>
        <v>7.294</v>
      </c>
      <c r="L35" s="24" t="n">
        <f aca="false">IF(AND(K30&lt;&gt;"",L30&lt;&gt;""),(K30+L30)/2,"")</f>
        <v>7.294</v>
      </c>
      <c r="M35" s="24" t="n">
        <f aca="false">IF(AND(L30&lt;&gt;"",M30&lt;&gt;""),(L30+M30)/2,"")</f>
        <v>7.294</v>
      </c>
    </row>
    <row r="36" customFormat="false" ht="17.15" hidden="false" customHeight="false" outlineLevel="0" collapsed="false">
      <c r="A36" s="5" t="s">
        <v>874</v>
      </c>
      <c r="B36" s="0" t="s">
        <v>875</v>
      </c>
      <c r="C36" s="0" t="s">
        <v>75</v>
      </c>
      <c r="D36" s="0" t="n">
        <v>0</v>
      </c>
      <c r="E36" s="24" t="n">
        <f aca="false">IF(AND(D30&lt;&gt;"",E30&lt;&gt;""),E30-D30,0)</f>
        <v>0</v>
      </c>
      <c r="F36" s="24" t="n">
        <f aca="false">IF(AND(E30&lt;&gt;"",F30&lt;&gt;""),F30-E30,0)</f>
        <v>2.13527</v>
      </c>
      <c r="G36" s="24" t="n">
        <f aca="false">IF(AND(F30&lt;&gt;"",G30&lt;&gt;""),G30-F30,0)</f>
        <v>0.770955</v>
      </c>
      <c r="H36" s="24" t="n">
        <f aca="false">IF(AND(G30&lt;&gt;"",H30&lt;&gt;""),H30-G30,0)</f>
        <v>0.9</v>
      </c>
      <c r="I36" s="24" t="n">
        <f aca="false">IF(AND(H30&lt;&gt;"",I30&lt;&gt;""),I30-H30,0)</f>
        <v>1.894</v>
      </c>
      <c r="J36" s="24" t="n">
        <f aca="false">IF(AND(I30&lt;&gt;"",J30&lt;&gt;""),J30-I30,0)</f>
        <v>0</v>
      </c>
      <c r="K36" s="24" t="n">
        <f aca="false">IF(AND(J30&lt;&gt;"",K30&lt;&gt;""),K30-J30,0)</f>
        <v>0</v>
      </c>
      <c r="L36" s="24" t="n">
        <f aca="false">IF(AND(K30&lt;&gt;"",L30&lt;&gt;""),L30-K30,0)</f>
        <v>0</v>
      </c>
      <c r="M36" s="24" t="n">
        <f aca="false">IF(AND(L30&lt;&gt;"",M30&lt;&gt;""),M30-L30,0)</f>
        <v>0</v>
      </c>
    </row>
    <row r="37" customFormat="false" ht="17.15" hidden="false" customHeight="false" outlineLevel="0" collapsed="false">
      <c r="A37" s="5" t="s">
        <v>876</v>
      </c>
      <c r="B37" s="0" t="s">
        <v>877</v>
      </c>
      <c r="C37" s="0" t="s">
        <v>75</v>
      </c>
      <c r="D37" s="24" t="n">
        <f aca="false">IF(D30&lt;&gt;"",D30,0)</f>
        <v>0</v>
      </c>
      <c r="E37" s="24" t="n">
        <f aca="false">IF(AND(D30="",E30&lt;&gt;""),E30,0)</f>
        <v>1.593775</v>
      </c>
      <c r="F37" s="24" t="n">
        <f aca="false">IF(AND(E30="",F30&lt;&gt;""),F30,0)</f>
        <v>0</v>
      </c>
      <c r="G37" s="24" t="n">
        <f aca="false">IF(AND(F30="",G30&lt;&gt;""),G30,0)</f>
        <v>0</v>
      </c>
      <c r="H37" s="24" t="n">
        <f aca="false">IF(AND(G30="",H30&lt;&gt;""),H30,0)</f>
        <v>0</v>
      </c>
      <c r="I37" s="24" t="n">
        <f aca="false">IF(AND(H30="",I30&lt;&gt;""),I30,0)</f>
        <v>0</v>
      </c>
      <c r="J37" s="24" t="n">
        <f aca="false">IF(AND(I30="",J30&lt;&gt;""),J30,0)</f>
        <v>0</v>
      </c>
      <c r="K37" s="24" t="n">
        <f aca="false">IF(AND(J30="",K30&lt;&gt;""),K30,0)</f>
        <v>0</v>
      </c>
      <c r="L37" s="24" t="n">
        <f aca="false">IF(AND(K30="",L30&lt;&gt;""),L30,0)</f>
        <v>0</v>
      </c>
      <c r="M37" s="24" t="n">
        <f aca="false">IF(AND(L30="",M30&lt;&gt;""),M30,0)</f>
        <v>0</v>
      </c>
    </row>
    <row r="38" customFormat="false" ht="17.15" hidden="false" customHeight="false" outlineLevel="0" collapsed="false">
      <c r="A38" s="5" t="s">
        <v>878</v>
      </c>
      <c r="B38" s="0" t="s">
        <v>879</v>
      </c>
      <c r="C38" s="0" t="s">
        <v>50</v>
      </c>
      <c r="D38" s="23" t="n">
        <f aca="false">D$12</f>
        <v>0.238210067173108</v>
      </c>
      <c r="E38" s="23" t="n">
        <f aca="false">E$12</f>
        <v>0.238210067173108</v>
      </c>
      <c r="F38" s="23" t="n">
        <f aca="false">F$12</f>
        <v>0.238210067173108</v>
      </c>
      <c r="G38" s="23" t="n">
        <f aca="false">G$12</f>
        <v>0.238210067173108</v>
      </c>
      <c r="H38" s="23" t="n">
        <f aca="false">H$12</f>
        <v>0.273101862203342</v>
      </c>
      <c r="I38" s="23" t="n">
        <f aca="false">I$12</f>
        <v>0.269621396123668</v>
      </c>
      <c r="J38" s="23" t="n">
        <f aca="false">J$12</f>
        <v>0.272187509408712</v>
      </c>
      <c r="K38" s="23" t="n">
        <f aca="false">K$12</f>
        <v>0.272187509408712</v>
      </c>
      <c r="L38" s="23" t="n">
        <f aca="false">L$12</f>
        <v>0.272187509408712</v>
      </c>
      <c r="M38" s="23" t="n">
        <f aca="false">M$12</f>
        <v>0.272187509408712</v>
      </c>
    </row>
    <row r="40" customFormat="false" ht="17.15" hidden="false" customHeight="false" outlineLevel="0" collapsed="false">
      <c r="A40" s="8" t="s">
        <v>880</v>
      </c>
      <c r="B40" s="20" t="s">
        <v>446</v>
      </c>
      <c r="N40" s="20" t="s">
        <v>881</v>
      </c>
    </row>
    <row r="41" customFormat="false" ht="17.15" hidden="false" customHeight="false" outlineLevel="0" collapsed="false">
      <c r="A41" s="5" t="s">
        <v>846</v>
      </c>
      <c r="B41" s="0" t="s">
        <v>882</v>
      </c>
      <c r="C41" s="0" t="s">
        <v>75</v>
      </c>
      <c r="D41" s="24" t="str">
        <f aca="false">IF(In!$H$89="","",IF(In!$C$89="設施",In!$H$89/1000/D$13,In!$H$89/1000))</f>
        <v/>
      </c>
      <c r="E41" s="24" t="str">
        <f aca="false">IF(In!$I$89="","",IF(In!$C$89="設施",In!$I$89/1000/E$13,In!$I$89/1000))</f>
        <v/>
      </c>
      <c r="F41" s="24" t="str">
        <f aca="false">IF(In!$J$89="","",IF(In!$C$89="設施",In!$J$89/1000/F$13,In!$J$89/1000))</f>
        <v/>
      </c>
      <c r="G41" s="24" t="str">
        <f aca="false">IF(In!$K$89="","",IF(In!$C$89="設施",In!$K$89/1000/G$13,In!$K$89/1000))</f>
        <v/>
      </c>
      <c r="H41" s="24" t="str">
        <f aca="false">IF(In!$L$89="","",IF(In!$C$89="設施",In!$L$89/1000/H$13,In!$L$89/1000))</f>
        <v/>
      </c>
      <c r="I41" s="24" t="str">
        <f aca="false">IF(In!$M$89="","",IF(In!$C$89="設施",In!$M$89/1000/I$13,In!$M$89/1000))</f>
        <v/>
      </c>
      <c r="J41" s="24" t="str">
        <f aca="false">IF(In!$N$89="","",IF(In!$C$89="設施",In!$N$89/1000/J$13,In!$N$89/1000))</f>
        <v/>
      </c>
      <c r="K41" s="24" t="str">
        <f aca="false">IF(In!$O$89="","",IF(In!$C$89="設施",In!$O$89/1000/K$13,In!$O$89/1000))</f>
        <v/>
      </c>
      <c r="L41" s="24" t="str">
        <f aca="false">IF(In!$P$89="","",IF(In!$C$89="設施",In!$P$89/1000/L$13,In!$P$89/1000))</f>
        <v/>
      </c>
      <c r="M41" s="24" t="str">
        <f aca="false">IF(In!$Q$89="","",IF(In!$C$89="設施",In!$Q$89/1000/M$13,In!$Q$89/1000))</f>
        <v/>
      </c>
    </row>
    <row r="42" customFormat="false" ht="17.15" hidden="false" customHeight="false" outlineLevel="0" collapsed="false">
      <c r="A42" s="5" t="s">
        <v>848</v>
      </c>
      <c r="B42" s="0" t="s">
        <v>883</v>
      </c>
      <c r="C42" s="0" t="s">
        <v>75</v>
      </c>
      <c r="D42" s="24" t="n">
        <f aca="false">IF(In!$H$82="","",In!$H$82*Players!$D$15/1000)</f>
        <v>0.560578355681972</v>
      </c>
      <c r="E42" s="24" t="n">
        <f aca="false">IF(In!$I$82="","",In!$I$82*Players!$D$15/1000)</f>
        <v>1.89038669917378</v>
      </c>
      <c r="F42" s="24" t="n">
        <f aca="false">IF(In!$J$82="","",In!$J$82*Players!$D$15/1000)</f>
        <v>4.3</v>
      </c>
      <c r="G42" s="24" t="str">
        <f aca="false">IF(In!$K$82="","",In!$K$82*Players!$D$15/1000)</f>
        <v/>
      </c>
      <c r="H42" s="24" t="str">
        <f aca="false">IF(In!$L$82="","",In!$L$82*Players!$D$15/1000)</f>
        <v/>
      </c>
      <c r="I42" s="24" t="str">
        <f aca="false">IF(In!$M$82="","",In!$M$82*Players!$D$15/1000)</f>
        <v/>
      </c>
      <c r="J42" s="24" t="str">
        <f aca="false">IF(In!$N$82="","",In!$N$82*Players!$D$15/1000)</f>
        <v/>
      </c>
      <c r="K42" s="24" t="str">
        <f aca="false">IF(In!$O$82="","",In!$O$82*Players!$D$15/1000)</f>
        <v/>
      </c>
      <c r="L42" s="24" t="str">
        <f aca="false">IF(In!$P$82="","",In!$P$82*Players!$D$15/1000)</f>
        <v/>
      </c>
      <c r="M42" s="24" t="str">
        <f aca="false">IF(In!$Q$82="","",In!$Q$82*Players!$D$15/1000)</f>
        <v/>
      </c>
    </row>
    <row r="43" customFormat="false" ht="15" hidden="false" customHeight="false" outlineLevel="0" collapsed="false">
      <c r="A43" s="5" t="s">
        <v>850</v>
      </c>
      <c r="B43" s="0" t="s">
        <v>884</v>
      </c>
      <c r="C43" s="0" t="s">
        <v>75</v>
      </c>
      <c r="D43" s="24" t="n">
        <f aca="false">IF(D41&lt;&gt;"",D41,IF(D42&lt;&gt;"",D42,IF(INT(obsd_googl)=2023,obschip_googl*Players!$D$15/1000+SUMIFS(Pipeline!$L$5:$L$47,Pipeline!$C$5:$C$47,"googl",Pipeline!$Q$5:$Q$47,1,Pipeline!$K$5:$K$47,"&gt;"&amp;obsd_googl,Pipeline!$K$5:$K$47,"&lt;="&amp;2024),"")))</f>
        <v>0.560578355681972</v>
      </c>
      <c r="E43" s="24" t="n">
        <f aca="false">IF(E41&lt;&gt;"",E41,IF(E42&lt;&gt;"",E42,IF(INT(obsd_googl)=2024,obschip_googl*Players!$D$15/1000+SUMIFS(Pipeline!$L$5:$L$47,Pipeline!$C$5:$C$47,"googl",Pipeline!$Q$5:$Q$47,1,Pipeline!$K$5:$K$47,"&gt;"&amp;obsd_googl,Pipeline!$K$5:$K$47,"&lt;="&amp;2025),"")))</f>
        <v>1.89038669917378</v>
      </c>
      <c r="F43" s="24" t="n">
        <f aca="false">IF(F41&lt;&gt;"",F41,IF(F42&lt;&gt;"",F42,IF(INT(obsd_googl)=2025,obschip_googl*Players!$D$15/1000+SUMIFS(Pipeline!$L$5:$L$47,Pipeline!$C$5:$C$47,"googl",Pipeline!$Q$5:$Q$47,1,Pipeline!$K$5:$K$47,"&gt;"&amp;obsd_googl,Pipeline!$K$5:$K$47,"&lt;="&amp;2026),"")))</f>
        <v>4.3</v>
      </c>
      <c r="G43" s="24" t="n">
        <f aca="false">IF(G41&lt;&gt;"",G41,IF(G42&lt;&gt;"",G42,IF(INT(obsd_googl)=2026,obschip_googl*Players!$D$15/1000+SUMIFS(Pipeline!$L$5:$L$47,Pipeline!$C$5:$C$47,"googl",Pipeline!$Q$5:$Q$47,1,Pipeline!$K$5:$K$47,"&gt;"&amp;obsd_googl,Pipeline!$K$5:$K$47,"&lt;="&amp;2027),"")))</f>
        <v>5.59267912772586</v>
      </c>
      <c r="H43" s="24" t="str">
        <f aca="false">IF(H41&lt;&gt;"",H41,IF(H42&lt;&gt;"",H42,IF(INT(obsd_googl)=2027,obschip_googl*Players!$D$15/1000+SUMIFS(Pipeline!$L$5:$L$47,Pipeline!$C$5:$C$47,"googl",Pipeline!$Q$5:$Q$47,1,Pipeline!$K$5:$K$47,"&gt;"&amp;obsd_googl,Pipeline!$K$5:$K$47,"&lt;="&amp;2028),"")))</f>
        <v/>
      </c>
      <c r="I43" s="24" t="str">
        <f aca="false">IF(I41&lt;&gt;"",I41,IF(I42&lt;&gt;"",I42,IF(INT(obsd_googl)=2028,obschip_googl*Players!$D$15/1000+SUMIFS(Pipeline!$L$5:$L$47,Pipeline!$C$5:$C$47,"googl",Pipeline!$Q$5:$Q$47,1,Pipeline!$K$5:$K$47,"&gt;"&amp;obsd_googl,Pipeline!$K$5:$K$47,"&lt;="&amp;2029),"")))</f>
        <v/>
      </c>
      <c r="J43" s="24" t="str">
        <f aca="false">IF(J41&lt;&gt;"",J41,IF(J42&lt;&gt;"",J42,IF(INT(obsd_googl)=2029,obschip_googl*Players!$D$15/1000+SUMIFS(Pipeline!$L$5:$L$47,Pipeline!$C$5:$C$47,"googl",Pipeline!$Q$5:$Q$47,1,Pipeline!$K$5:$K$47,"&gt;"&amp;obsd_googl,Pipeline!$K$5:$K$47,"&lt;="&amp;2030),"")))</f>
        <v/>
      </c>
      <c r="K43" s="24" t="str">
        <f aca="false">IF(K41&lt;&gt;"",K41,IF(K42&lt;&gt;"",K42,IF(INT(obsd_googl)=2030,obschip_googl*Players!$D$15/1000+SUMIFS(Pipeline!$L$5:$L$47,Pipeline!$C$5:$C$47,"googl",Pipeline!$Q$5:$Q$47,1,Pipeline!$K$5:$K$47,"&gt;"&amp;obsd_googl,Pipeline!$K$5:$K$47,"&lt;="&amp;2031),"")))</f>
        <v/>
      </c>
      <c r="L43" s="24" t="str">
        <f aca="false">IF(L41&lt;&gt;"",L41,IF(L42&lt;&gt;"",L42,IF(INT(obsd_googl)=2031,obschip_googl*Players!$D$15/1000+SUMIFS(Pipeline!$L$5:$L$47,Pipeline!$C$5:$C$47,"googl",Pipeline!$Q$5:$Q$47,1,Pipeline!$K$5:$K$47,"&gt;"&amp;obsd_googl,Pipeline!$K$5:$K$47,"&lt;="&amp;2032),"")))</f>
        <v/>
      </c>
      <c r="M43" s="24" t="str">
        <f aca="false">IF(M41&lt;&gt;"",M41,IF(M42&lt;&gt;"",M42,IF(INT(obsd_googl)=2032,obschip_googl*Players!$D$15/1000+SUMIFS(Pipeline!$L$5:$L$47,Pipeline!$C$5:$C$47,"googl",Pipeline!$Q$5:$Q$47,1,Pipeline!$K$5:$K$47,"&gt;"&amp;obsd_googl,Pipeline!$K$5:$K$47,"&lt;="&amp;2033),"")))</f>
        <v/>
      </c>
    </row>
    <row r="44" customFormat="false" ht="15" hidden="false" customHeight="false" outlineLevel="0" collapsed="false">
      <c r="A44" s="5" t="s">
        <v>852</v>
      </c>
      <c r="B44" s="0" t="s">
        <v>885</v>
      </c>
      <c r="C44" s="0" t="s">
        <v>75</v>
      </c>
      <c r="D44" s="24" t="n">
        <f aca="false">IF(D43&lt;&gt;"",D43,"")</f>
        <v>0.560578355681972</v>
      </c>
      <c r="E44" s="24" t="n">
        <f aca="false">IF(E43&lt;&gt;"",E43,D44)</f>
        <v>1.89038669917378</v>
      </c>
      <c r="F44" s="24" t="n">
        <f aca="false">IF(F43&lt;&gt;"",F43,E44)</f>
        <v>4.3</v>
      </c>
      <c r="G44" s="24" t="n">
        <f aca="false">IF(G43&lt;&gt;"",G43,F44)</f>
        <v>5.59267912772586</v>
      </c>
      <c r="H44" s="24" t="n">
        <f aca="false">IF(H43&lt;&gt;"",H43,G44)</f>
        <v>5.59267912772586</v>
      </c>
      <c r="I44" s="24" t="n">
        <f aca="false">IF(I43&lt;&gt;"",I43,H44)</f>
        <v>5.59267912772586</v>
      </c>
      <c r="J44" s="24" t="n">
        <f aca="false">IF(J43&lt;&gt;"",J43,I44)</f>
        <v>5.59267912772586</v>
      </c>
      <c r="K44" s="24" t="n">
        <f aca="false">IF(K43&lt;&gt;"",K43,J44)</f>
        <v>5.59267912772586</v>
      </c>
      <c r="L44" s="24" t="n">
        <f aca="false">IF(L43&lt;&gt;"",L43,K44)</f>
        <v>5.59267912772586</v>
      </c>
      <c r="M44" s="24" t="n">
        <f aca="false">IF(M43&lt;&gt;"",M43,L44)</f>
        <v>5.59267912772586</v>
      </c>
    </row>
    <row r="45" customFormat="false" ht="15" hidden="false" customHeight="false" outlineLevel="0" collapsed="false">
      <c r="A45" s="5" t="s">
        <v>854</v>
      </c>
      <c r="B45" s="0" t="s">
        <v>886</v>
      </c>
      <c r="C45" s="5" t="s">
        <v>45</v>
      </c>
      <c r="D45" s="0" t="n">
        <f aca="false">IF(D43&lt;&gt;"",2023,"")</f>
        <v>2023</v>
      </c>
      <c r="E45" s="0" t="n">
        <f aca="false">IF(E43&lt;&gt;"",2024,D45)</f>
        <v>2024</v>
      </c>
      <c r="F45" s="0" t="n">
        <f aca="false">IF(F43&lt;&gt;"",2025,E45)</f>
        <v>2025</v>
      </c>
      <c r="G45" s="0" t="n">
        <f aca="false">IF(G43&lt;&gt;"",2026,F45)</f>
        <v>2026</v>
      </c>
      <c r="H45" s="0" t="n">
        <f aca="false">IF(H43&lt;&gt;"",2027,G45)</f>
        <v>2026</v>
      </c>
      <c r="I45" s="0" t="n">
        <f aca="false">IF(I43&lt;&gt;"",2028,H45)</f>
        <v>2026</v>
      </c>
      <c r="J45" s="0" t="n">
        <f aca="false">IF(J43&lt;&gt;"",2029,I45)</f>
        <v>2026</v>
      </c>
      <c r="K45" s="0" t="n">
        <f aca="false">IF(K43&lt;&gt;"",2030,J45)</f>
        <v>2026</v>
      </c>
      <c r="L45" s="0" t="n">
        <f aca="false">IF(L43&lt;&gt;"",2031,K45)</f>
        <v>2026</v>
      </c>
      <c r="M45" s="0" t="n">
        <f aca="false">IF(M43&lt;&gt;"",2032,L45)</f>
        <v>2026</v>
      </c>
    </row>
    <row r="46" customFormat="false" ht="15" hidden="false" customHeight="false" outlineLevel="0" collapsed="false">
      <c r="A46" s="5" t="s">
        <v>856</v>
      </c>
      <c r="B46" s="0" t="s">
        <v>887</v>
      </c>
      <c r="C46" s="0" t="s">
        <v>75</v>
      </c>
      <c r="D46" s="24" t="n">
        <f aca="false">IF(D43&lt;&gt;"",D43,E46)</f>
        <v>0.560578355681972</v>
      </c>
      <c r="E46" s="24" t="n">
        <f aca="false">IF(E43&lt;&gt;"",E43,F46)</f>
        <v>1.89038669917378</v>
      </c>
      <c r="F46" s="24" t="n">
        <f aca="false">IF(F43&lt;&gt;"",F43,G46)</f>
        <v>4.3</v>
      </c>
      <c r="G46" s="24" t="n">
        <f aca="false">IF(G43&lt;&gt;"",G43,H46)</f>
        <v>5.59267912772586</v>
      </c>
      <c r="H46" s="0" t="str">
        <f aca="false">IF(H43&lt;&gt;"",H43,I46)</f>
        <v/>
      </c>
      <c r="I46" s="0" t="str">
        <f aca="false">IF(I43&lt;&gt;"",I43,J46)</f>
        <v/>
      </c>
      <c r="J46" s="0" t="str">
        <f aca="false">IF(J43&lt;&gt;"",J43,K46)</f>
        <v/>
      </c>
      <c r="K46" s="0" t="str">
        <f aca="false">IF(K43&lt;&gt;"",K43,L46)</f>
        <v/>
      </c>
      <c r="L46" s="0" t="str">
        <f aca="false">IF(L43&lt;&gt;"",L43,M46)</f>
        <v/>
      </c>
      <c r="M46" s="0" t="str">
        <f aca="false">IF(M43&lt;&gt;"",M43,"")</f>
        <v/>
      </c>
    </row>
    <row r="47" customFormat="false" ht="15" hidden="false" customHeight="false" outlineLevel="0" collapsed="false">
      <c r="A47" s="5" t="s">
        <v>858</v>
      </c>
      <c r="B47" s="0" t="s">
        <v>888</v>
      </c>
      <c r="C47" s="5" t="s">
        <v>45</v>
      </c>
      <c r="D47" s="0" t="n">
        <f aca="false">IF(D43&lt;&gt;"",2023,E47)</f>
        <v>2023</v>
      </c>
      <c r="E47" s="0" t="n">
        <f aca="false">IF(E43&lt;&gt;"",2024,F47)</f>
        <v>2024</v>
      </c>
      <c r="F47" s="0" t="n">
        <f aca="false">IF(F43&lt;&gt;"",2025,G47)</f>
        <v>2025</v>
      </c>
      <c r="G47" s="0" t="n">
        <f aca="false">IF(G43&lt;&gt;"",2026,H47)</f>
        <v>2026</v>
      </c>
      <c r="H47" s="0" t="str">
        <f aca="false">IF(H43&lt;&gt;"",2027,I47)</f>
        <v/>
      </c>
      <c r="I47" s="0" t="str">
        <f aca="false">IF(I43&lt;&gt;"",2028,J47)</f>
        <v/>
      </c>
      <c r="J47" s="0" t="str">
        <f aca="false">IF(J43&lt;&gt;"",2029,K47)</f>
        <v/>
      </c>
      <c r="K47" s="0" t="str">
        <f aca="false">IF(K43&lt;&gt;"",2030,L47)</f>
        <v/>
      </c>
      <c r="L47" s="0" t="str">
        <f aca="false">IF(L43&lt;&gt;"",2031,M47)</f>
        <v/>
      </c>
      <c r="M47" s="0" t="str">
        <f aca="false">IF(M43&lt;&gt;"",2032,"")</f>
        <v/>
      </c>
    </row>
    <row r="48" customFormat="false" ht="17.15" hidden="false" customHeight="false" outlineLevel="0" collapsed="false">
      <c r="A48" s="5" t="s">
        <v>860</v>
      </c>
      <c r="B48" s="0" t="s">
        <v>889</v>
      </c>
      <c r="C48" s="0" t="s">
        <v>75</v>
      </c>
      <c r="D48" s="24" t="n">
        <f aca="false">SUMIFS(Pipeline!$L$5:$L$47,Pipeline!$C$5:$C$47,"googl",Pipeline!$Q$5:$Q$47,1,Pipeline!$P$5:$P$47,2023)</f>
        <v>0</v>
      </c>
      <c r="E48" s="24" t="n">
        <f aca="false">SUMIFS(Pipeline!$L$5:$L$47,Pipeline!$C$5:$C$47,"googl",Pipeline!$Q$5:$Q$47,1,Pipeline!$P$5:$P$47,2024)</f>
        <v>0</v>
      </c>
      <c r="F48" s="24" t="n">
        <f aca="false">SUMIFS(Pipeline!$L$5:$L$47,Pipeline!$C$5:$C$47,"googl",Pipeline!$Q$5:$Q$47,1,Pipeline!$P$5:$P$47,2025)</f>
        <v>0</v>
      </c>
      <c r="G48" s="24" t="n">
        <f aca="false">SUMIFS(Pipeline!$L$5:$L$47,Pipeline!$C$5:$C$47,"googl",Pipeline!$Q$5:$Q$47,1,Pipeline!$P$5:$P$47,2026)</f>
        <v>0</v>
      </c>
      <c r="H48" s="24" t="n">
        <f aca="false">SUMIFS(Pipeline!$L$5:$L$47,Pipeline!$C$5:$C$47,"googl",Pipeline!$Q$5:$Q$47,1,Pipeline!$P$5:$P$47,2027)</f>
        <v>0</v>
      </c>
      <c r="I48" s="24" t="n">
        <f aca="false">SUMIFS(Pipeline!$L$5:$L$47,Pipeline!$C$5:$C$47,"googl",Pipeline!$Q$5:$Q$47,1,Pipeline!$P$5:$P$47,2028)</f>
        <v>0</v>
      </c>
      <c r="J48" s="24" t="n">
        <f aca="false">SUMIFS(Pipeline!$L$5:$L$47,Pipeline!$C$5:$C$47,"googl",Pipeline!$Q$5:$Q$47,1,Pipeline!$P$5:$P$47,2029)</f>
        <v>0</v>
      </c>
      <c r="K48" s="24" t="n">
        <f aca="false">SUMIFS(Pipeline!$L$5:$L$47,Pipeline!$C$5:$C$47,"googl",Pipeline!$Q$5:$Q$47,1,Pipeline!$P$5:$P$47,2030)</f>
        <v>0</v>
      </c>
      <c r="L48" s="24" t="n">
        <f aca="false">SUMIFS(Pipeline!$L$5:$L$47,Pipeline!$C$5:$C$47,"googl",Pipeline!$Q$5:$Q$47,1,Pipeline!$P$5:$P$47,2031)</f>
        <v>0</v>
      </c>
      <c r="M48" s="24" t="n">
        <f aca="false">SUMIFS(Pipeline!$L$5:$L$47,Pipeline!$C$5:$C$47,"googl",Pipeline!$Q$5:$Q$47,1,Pipeline!$P$5:$P$47,2032)</f>
        <v>0</v>
      </c>
    </row>
    <row r="49" customFormat="false" ht="17.15" hidden="false" customHeight="false" outlineLevel="0" collapsed="false">
      <c r="A49" s="5" t="s">
        <v>862</v>
      </c>
      <c r="B49" s="0" t="s">
        <v>890</v>
      </c>
      <c r="C49" s="0" t="s">
        <v>75</v>
      </c>
      <c r="D49" s="25" t="n">
        <f aca="false">IF(D43&lt;&gt;"",D43,IF(AND(D44&lt;&gt;"",D46&lt;&gt;""),D44+(D46-D44)*(2023-D45)/(D47-D45),""))</f>
        <v>0.560578355681972</v>
      </c>
      <c r="E49" s="25" t="n">
        <f aca="false">IF(E43&lt;&gt;"",E43,IF(AND(E44&lt;&gt;"",E46&lt;&gt;""),E44+(E46-E44)*(2024-E45)/(E47-E45),IF(D49&lt;&gt;"",D49+E48,"")))</f>
        <v>1.89038669917378</v>
      </c>
      <c r="F49" s="25" t="n">
        <f aca="false">IF(F43&lt;&gt;"",F43,IF(AND(F44&lt;&gt;"",F46&lt;&gt;""),F44+(F46-F44)*(2025-F45)/(F47-F45),IF(E49&lt;&gt;"",E49+F48,"")))</f>
        <v>4.3</v>
      </c>
      <c r="G49" s="25" t="n">
        <f aca="false">IF(G43&lt;&gt;"",G43,IF(AND(G44&lt;&gt;"",G46&lt;&gt;""),G44+(G46-G44)*(2026-G45)/(G47-G45),IF(F49&lt;&gt;"",F49+G48,"")))</f>
        <v>5.59267912772586</v>
      </c>
      <c r="H49" s="25" t="n">
        <f aca="false">IF(H43&lt;&gt;"",H43,IF(AND(H44&lt;&gt;"",H46&lt;&gt;""),H44+(H46-H44)*(2027-H45)/(H47-H45),IF(G49&lt;&gt;"",G49+H48,"")))</f>
        <v>5.59267912772586</v>
      </c>
      <c r="I49" s="25" t="n">
        <f aca="false">IF(I43&lt;&gt;"",I43,IF(AND(I44&lt;&gt;"",I46&lt;&gt;""),I44+(I46-I44)*(2028-I45)/(I47-I45),IF(H49&lt;&gt;"",H49+I48,"")))</f>
        <v>5.59267912772586</v>
      </c>
      <c r="J49" s="25" t="n">
        <f aca="false">IF(J43&lt;&gt;"",J43,IF(AND(J44&lt;&gt;"",J46&lt;&gt;""),J44+(J46-J44)*(2029-J45)/(J47-J45),IF(I49&lt;&gt;"",I49+J48,"")))</f>
        <v>5.59267912772586</v>
      </c>
      <c r="K49" s="25" t="n">
        <f aca="false">IF(K43&lt;&gt;"",K43,IF(AND(K44&lt;&gt;"",K46&lt;&gt;""),K44+(K46-K44)*(2030-K45)/(K47-K45),IF(J49&lt;&gt;"",J49+K48,"")))</f>
        <v>5.59267912772586</v>
      </c>
      <c r="L49" s="25" t="n">
        <f aca="false">IF(L43&lt;&gt;"",L43,IF(AND(L44&lt;&gt;"",L46&lt;&gt;""),L44+(L46-L44)*(2031-L45)/(L47-L45),IF(K49&lt;&gt;"",K49+L48,"")))</f>
        <v>5.59267912772586</v>
      </c>
      <c r="M49" s="25" t="n">
        <f aca="false">IF(M43&lt;&gt;"",M43,IF(AND(M44&lt;&gt;"",M46&lt;&gt;""),M44+(M46-M44)*(2032-M45)/(M47-M45),IF(L49&lt;&gt;"",L49+M48,"")))</f>
        <v>5.59267912772586</v>
      </c>
    </row>
    <row r="50" customFormat="false" ht="15" hidden="false" customHeight="false" outlineLevel="0" collapsed="false">
      <c r="A50" s="5" t="s">
        <v>864</v>
      </c>
      <c r="B50" s="0" t="s">
        <v>891</v>
      </c>
      <c r="C50" s="0" t="s">
        <v>33</v>
      </c>
      <c r="D50" s="0" t="n">
        <f aca="false">IF(D41&lt;&gt;"",1,IF(D42&lt;&gt;"",5,IF(D43&lt;&gt;"",2,IF(AND(D44&lt;&gt;"",D46&lt;&gt;""),3,IF(D49&lt;&gt;"",4,0)))))</f>
        <v>5</v>
      </c>
      <c r="E50" s="0" t="n">
        <f aca="false">IF(E41&lt;&gt;"",1,IF(E42&lt;&gt;"",5,IF(E43&lt;&gt;"",2,IF(AND(E44&lt;&gt;"",E46&lt;&gt;""),3,IF(E49&lt;&gt;"",4,0)))))</f>
        <v>5</v>
      </c>
      <c r="F50" s="0" t="n">
        <f aca="false">IF(F41&lt;&gt;"",1,IF(F42&lt;&gt;"",5,IF(F43&lt;&gt;"",2,IF(AND(F44&lt;&gt;"",F46&lt;&gt;""),3,IF(F49&lt;&gt;"",4,0)))))</f>
        <v>5</v>
      </c>
      <c r="G50" s="0" t="n">
        <f aca="false">IF(G41&lt;&gt;"",1,IF(G42&lt;&gt;"",5,IF(G43&lt;&gt;"",2,IF(AND(G44&lt;&gt;"",G46&lt;&gt;""),3,IF(G49&lt;&gt;"",4,0)))))</f>
        <v>2</v>
      </c>
      <c r="H50" s="0" t="n">
        <f aca="false">IF(H41&lt;&gt;"",1,IF(H42&lt;&gt;"",5,IF(H43&lt;&gt;"",2,IF(AND(H44&lt;&gt;"",H46&lt;&gt;""),3,IF(H49&lt;&gt;"",4,0)))))</f>
        <v>4</v>
      </c>
      <c r="I50" s="0" t="n">
        <f aca="false">IF(I41&lt;&gt;"",1,IF(I42&lt;&gt;"",5,IF(I43&lt;&gt;"",2,IF(AND(I44&lt;&gt;"",I46&lt;&gt;""),3,IF(I49&lt;&gt;"",4,0)))))</f>
        <v>4</v>
      </c>
      <c r="J50" s="0" t="n">
        <f aca="false">IF(J41&lt;&gt;"",1,IF(J42&lt;&gt;"",5,IF(J43&lt;&gt;"",2,IF(AND(J44&lt;&gt;"",J46&lt;&gt;""),3,IF(J49&lt;&gt;"",4,0)))))</f>
        <v>4</v>
      </c>
      <c r="K50" s="0" t="n">
        <f aca="false">IF(K41&lt;&gt;"",1,IF(K42&lt;&gt;"",5,IF(K43&lt;&gt;"",2,IF(AND(K44&lt;&gt;"",K46&lt;&gt;""),3,IF(K49&lt;&gt;"",4,0)))))</f>
        <v>4</v>
      </c>
      <c r="L50" s="0" t="n">
        <f aca="false">IF(L41&lt;&gt;"",1,IF(L42&lt;&gt;"",5,IF(L43&lt;&gt;"",2,IF(AND(L44&lt;&gt;"",L46&lt;&gt;""),3,IF(L49&lt;&gt;"",4,0)))))</f>
        <v>4</v>
      </c>
      <c r="M50" s="0" t="n">
        <f aca="false">IF(M41&lt;&gt;"",1,IF(M42&lt;&gt;"",5,IF(M43&lt;&gt;"",2,IF(AND(M44&lt;&gt;"",M46&lt;&gt;""),3,IF(M49&lt;&gt;"",4,0)))))</f>
        <v>4</v>
      </c>
    </row>
    <row r="51" customFormat="false" ht="17.15" hidden="false" customHeight="false" outlineLevel="0" collapsed="false">
      <c r="A51" s="5" t="s">
        <v>866</v>
      </c>
      <c r="B51" s="0" t="s">
        <v>892</v>
      </c>
      <c r="C51" s="0" t="s">
        <v>75</v>
      </c>
      <c r="D51" s="24" t="n">
        <f aca="false">IF(D49="","",IF(AND(D50=5,In!$H$82&lt;&gt;""),In!$H$82*Players!$E$15/1000,D49))</f>
        <v>0.508431531897603</v>
      </c>
      <c r="E51" s="24" t="n">
        <f aca="false">IF(E49="","",IF(AND(E50=5,In!$I$82&lt;&gt;""),In!$I$82*Players!$E$15/1000,E49))</f>
        <v>1.71453677366924</v>
      </c>
      <c r="F51" s="24" t="n">
        <f aca="false">IF(F49="","",IF(AND(F50=5,In!$J$82&lt;&gt;""),In!$J$82*Players!$E$15/1000,F49))</f>
        <v>3.9</v>
      </c>
      <c r="G51" s="24" t="n">
        <f aca="false">IF(G49="","",IF(AND(G50=5,In!$K$82&lt;&gt;""),In!$K$82*Players!$E$15/1000,G49))</f>
        <v>5.59267912772586</v>
      </c>
      <c r="H51" s="24" t="n">
        <f aca="false">IF(H49="","",IF(AND(H50=5,In!$L$82&lt;&gt;""),In!$L$82*Players!$E$15/1000,H49))</f>
        <v>5.59267912772586</v>
      </c>
      <c r="I51" s="24" t="n">
        <f aca="false">IF(I49="","",IF(AND(I50=5,In!$M$82&lt;&gt;""),In!$M$82*Players!$E$15/1000,I49))</f>
        <v>5.59267912772586</v>
      </c>
      <c r="J51" s="24" t="n">
        <f aca="false">IF(J49="","",IF(AND(J50=5,In!$N$82&lt;&gt;""),In!$N$82*Players!$E$15/1000,J49))</f>
        <v>5.59267912772586</v>
      </c>
      <c r="K51" s="24" t="n">
        <f aca="false">IF(K49="","",IF(AND(K50=5,In!$O$82&lt;&gt;""),In!$O$82*Players!$E$15/1000,K49))</f>
        <v>5.59267912772586</v>
      </c>
      <c r="L51" s="24" t="n">
        <f aca="false">IF(L49="","",IF(AND(L50=5,In!$P$82&lt;&gt;""),In!$P$82*Players!$E$15/1000,L49))</f>
        <v>5.59267912772586</v>
      </c>
      <c r="M51" s="24" t="n">
        <f aca="false">IF(M49="","",IF(AND(M50=5,In!$Q$82&lt;&gt;""),In!$Q$82*Players!$E$15/1000,M49))</f>
        <v>5.59267912772586</v>
      </c>
    </row>
    <row r="52" customFormat="false" ht="17.15" hidden="false" customHeight="false" outlineLevel="0" collapsed="false">
      <c r="A52" s="5" t="s">
        <v>868</v>
      </c>
      <c r="B52" s="0" t="s">
        <v>893</v>
      </c>
      <c r="C52" s="0" t="s">
        <v>75</v>
      </c>
      <c r="D52" s="24" t="n">
        <f aca="false">IF(D49="","",IF(AND(D50=5,In!$H$82&lt;&gt;""),In!$H$82*Players!$F$15/1000,D49))</f>
        <v>0.638798591358527</v>
      </c>
      <c r="E52" s="24" t="n">
        <f aca="false">IF(E49="","",IF(AND(E50=5,In!$I$82&lt;&gt;""),In!$I$82*Players!$F$15/1000,E49))</f>
        <v>2.15416158743058</v>
      </c>
      <c r="F52" s="24" t="n">
        <f aca="false">IF(F49="","",IF(AND(F50=5,In!$J$82&lt;&gt;""),In!$J$82*Players!$F$15/1000,F49))</f>
        <v>4.9</v>
      </c>
      <c r="G52" s="24" t="n">
        <f aca="false">IF(G49="","",IF(AND(G50=5,In!$K$82&lt;&gt;""),In!$K$82*Players!$F$15/1000,G49))</f>
        <v>5.59267912772586</v>
      </c>
      <c r="H52" s="24" t="n">
        <f aca="false">IF(H49="","",IF(AND(H50=5,In!$L$82&lt;&gt;""),In!$L$82*Players!$F$15/1000,H49))</f>
        <v>5.59267912772586</v>
      </c>
      <c r="I52" s="24" t="n">
        <f aca="false">IF(I49="","",IF(AND(I50=5,In!$M$82&lt;&gt;""),In!$M$82*Players!$F$15/1000,I49))</f>
        <v>5.59267912772586</v>
      </c>
      <c r="J52" s="24" t="n">
        <f aca="false">IF(J49="","",IF(AND(J50=5,In!$N$82&lt;&gt;""),In!$N$82*Players!$F$15/1000,J49))</f>
        <v>5.59267912772586</v>
      </c>
      <c r="K52" s="24" t="n">
        <f aca="false">IF(K49="","",IF(AND(K50=5,In!$O$82&lt;&gt;""),In!$O$82*Players!$F$15/1000,K49))</f>
        <v>5.59267912772586</v>
      </c>
      <c r="L52" s="24" t="n">
        <f aca="false">IF(L49="","",IF(AND(L50=5,In!$P$82&lt;&gt;""),In!$P$82*Players!$F$15/1000,L49))</f>
        <v>5.59267912772586</v>
      </c>
      <c r="M52" s="24" t="n">
        <f aca="false">IF(M49="","",IF(AND(M50=5,In!$Q$82&lt;&gt;""),In!$Q$82*Players!$F$15/1000,M49))</f>
        <v>5.59267912772586</v>
      </c>
    </row>
    <row r="53" customFormat="false" ht="17.15" hidden="false" customHeight="false" outlineLevel="0" collapsed="false">
      <c r="A53" s="5" t="s">
        <v>870</v>
      </c>
      <c r="B53" s="0" t="s">
        <v>894</v>
      </c>
      <c r="C53" s="0" t="s">
        <v>75</v>
      </c>
      <c r="D53" s="24" t="n">
        <f aca="false">IF(D49="","",IF(In!$C$89="未說明",D49/D$13,D49))</f>
        <v>0.560578355681972</v>
      </c>
      <c r="E53" s="24" t="n">
        <f aca="false">IF(E49="","",IF(In!$C$89="未說明",E49/E$13,E49))</f>
        <v>1.89038669917378</v>
      </c>
      <c r="F53" s="24" t="n">
        <f aca="false">IF(F49="","",IF(In!$C$89="未說明",F49/F$13,F49))</f>
        <v>4.3</v>
      </c>
      <c r="G53" s="24" t="n">
        <f aca="false">IF(G49="","",IF(In!$C$89="未說明",G49/G$13,G49))</f>
        <v>5.59267912772586</v>
      </c>
      <c r="H53" s="24" t="n">
        <f aca="false">IF(H49="","",IF(In!$C$89="未說明",H49/H$13,H49))</f>
        <v>5.59267912772586</v>
      </c>
      <c r="I53" s="24" t="n">
        <f aca="false">IF(I49="","",IF(In!$C$89="未說明",I49/I$13,I49))</f>
        <v>5.59267912772586</v>
      </c>
      <c r="J53" s="24" t="n">
        <f aca="false">IF(J49="","",IF(In!$C$89="未說明",J49/J$13,J49))</f>
        <v>5.59267912772586</v>
      </c>
      <c r="K53" s="24" t="n">
        <f aca="false">IF(K49="","",IF(In!$C$89="未說明",K49/K$13,K49))</f>
        <v>5.59267912772586</v>
      </c>
      <c r="L53" s="24" t="n">
        <f aca="false">IF(L49="","",IF(In!$C$89="未說明",L49/L$13,L49))</f>
        <v>5.59267912772586</v>
      </c>
      <c r="M53" s="24" t="n">
        <f aca="false">IF(M49="","",IF(In!$C$89="未說明",M49/M$13,M49))</f>
        <v>5.59267912772586</v>
      </c>
    </row>
    <row r="54" customFormat="false" ht="17.15" hidden="false" customHeight="false" outlineLevel="0" collapsed="false">
      <c r="A54" s="5" t="s">
        <v>872</v>
      </c>
      <c r="B54" s="0" t="s">
        <v>895</v>
      </c>
      <c r="C54" s="0" t="s">
        <v>75</v>
      </c>
      <c r="D54" s="0" t="str">
        <f aca="false">""</f>
        <v/>
      </c>
      <c r="E54" s="24" t="n">
        <f aca="false">IF(AND(D49&lt;&gt;"",E49&lt;&gt;""),(D49+E49)/2,"")</f>
        <v>1.22548252742788</v>
      </c>
      <c r="F54" s="24" t="n">
        <f aca="false">IF(AND(E49&lt;&gt;"",F49&lt;&gt;""),(E49+F49)/2,"")</f>
        <v>3.09519334958689</v>
      </c>
      <c r="G54" s="24" t="n">
        <f aca="false">IF(AND(F49&lt;&gt;"",G49&lt;&gt;""),(F49+G49)/2,"")</f>
        <v>4.94633956386293</v>
      </c>
      <c r="H54" s="24" t="n">
        <f aca="false">IF(AND(G49&lt;&gt;"",H49&lt;&gt;""),(G49+H49)/2,"")</f>
        <v>5.59267912772586</v>
      </c>
      <c r="I54" s="24" t="n">
        <f aca="false">IF(AND(H49&lt;&gt;"",I49&lt;&gt;""),(H49+I49)/2,"")</f>
        <v>5.59267912772586</v>
      </c>
      <c r="J54" s="24" t="n">
        <f aca="false">IF(AND(I49&lt;&gt;"",J49&lt;&gt;""),(I49+J49)/2,"")</f>
        <v>5.59267912772586</v>
      </c>
      <c r="K54" s="24" t="n">
        <f aca="false">IF(AND(J49&lt;&gt;"",K49&lt;&gt;""),(J49+K49)/2,"")</f>
        <v>5.59267912772586</v>
      </c>
      <c r="L54" s="24" t="n">
        <f aca="false">IF(AND(K49&lt;&gt;"",L49&lt;&gt;""),(K49+L49)/2,"")</f>
        <v>5.59267912772586</v>
      </c>
      <c r="M54" s="24" t="n">
        <f aca="false">IF(AND(L49&lt;&gt;"",M49&lt;&gt;""),(L49+M49)/2,"")</f>
        <v>5.59267912772586</v>
      </c>
    </row>
    <row r="55" customFormat="false" ht="17.15" hidden="false" customHeight="false" outlineLevel="0" collapsed="false">
      <c r="A55" s="5" t="s">
        <v>874</v>
      </c>
      <c r="B55" s="0" t="s">
        <v>896</v>
      </c>
      <c r="C55" s="0" t="s">
        <v>75</v>
      </c>
      <c r="D55" s="0" t="n">
        <v>0</v>
      </c>
      <c r="E55" s="24" t="n">
        <f aca="false">IF(AND(D49&lt;&gt;"",E49&lt;&gt;""),E49-D49,0)</f>
        <v>1.32980834349181</v>
      </c>
      <c r="F55" s="24" t="n">
        <f aca="false">IF(AND(E49&lt;&gt;"",F49&lt;&gt;""),F49-E49,0)</f>
        <v>2.40961330082622</v>
      </c>
      <c r="G55" s="24" t="n">
        <f aca="false">IF(AND(F49&lt;&gt;"",G49&lt;&gt;""),G49-F49,0)</f>
        <v>1.29267912772586</v>
      </c>
      <c r="H55" s="24" t="n">
        <f aca="false">IF(AND(G49&lt;&gt;"",H49&lt;&gt;""),H49-G49,0)</f>
        <v>0</v>
      </c>
      <c r="I55" s="24" t="n">
        <f aca="false">IF(AND(H49&lt;&gt;"",I49&lt;&gt;""),I49-H49,0)</f>
        <v>0</v>
      </c>
      <c r="J55" s="24" t="n">
        <f aca="false">IF(AND(I49&lt;&gt;"",J49&lt;&gt;""),J49-I49,0)</f>
        <v>0</v>
      </c>
      <c r="K55" s="24" t="n">
        <f aca="false">IF(AND(J49&lt;&gt;"",K49&lt;&gt;""),K49-J49,0)</f>
        <v>0</v>
      </c>
      <c r="L55" s="24" t="n">
        <f aca="false">IF(AND(K49&lt;&gt;"",L49&lt;&gt;""),L49-K49,0)</f>
        <v>0</v>
      </c>
      <c r="M55" s="24" t="n">
        <f aca="false">IF(AND(L49&lt;&gt;"",M49&lt;&gt;""),M49-L49,0)</f>
        <v>0</v>
      </c>
    </row>
    <row r="56" customFormat="false" ht="17.15" hidden="false" customHeight="false" outlineLevel="0" collapsed="false">
      <c r="A56" s="5" t="s">
        <v>876</v>
      </c>
      <c r="B56" s="0" t="s">
        <v>897</v>
      </c>
      <c r="C56" s="0" t="s">
        <v>75</v>
      </c>
      <c r="D56" s="24" t="n">
        <f aca="false">IF(D49&lt;&gt;"",D49,0)</f>
        <v>0.560578355681972</v>
      </c>
      <c r="E56" s="24" t="n">
        <f aca="false">IF(AND(D49="",E49&lt;&gt;""),E49,0)</f>
        <v>0</v>
      </c>
      <c r="F56" s="24" t="n">
        <f aca="false">IF(AND(E49="",F49&lt;&gt;""),F49,0)</f>
        <v>0</v>
      </c>
      <c r="G56" s="24" t="n">
        <f aca="false">IF(AND(F49="",G49&lt;&gt;""),G49,0)</f>
        <v>0</v>
      </c>
      <c r="H56" s="24" t="n">
        <f aca="false">IF(AND(G49="",H49&lt;&gt;""),H49,0)</f>
        <v>0</v>
      </c>
      <c r="I56" s="24" t="n">
        <f aca="false">IF(AND(H49="",I49&lt;&gt;""),I49,0)</f>
        <v>0</v>
      </c>
      <c r="J56" s="24" t="n">
        <f aca="false">IF(AND(I49="",J49&lt;&gt;""),J49,0)</f>
        <v>0</v>
      </c>
      <c r="K56" s="24" t="n">
        <f aca="false">IF(AND(J49="",K49&lt;&gt;""),K49,0)</f>
        <v>0</v>
      </c>
      <c r="L56" s="24" t="n">
        <f aca="false">IF(AND(K49="",L49&lt;&gt;""),L49,0)</f>
        <v>0</v>
      </c>
      <c r="M56" s="24" t="n">
        <f aca="false">IF(AND(L49="",M49&lt;&gt;""),M49,0)</f>
        <v>0</v>
      </c>
    </row>
    <row r="57" customFormat="false" ht="17.15" hidden="false" customHeight="false" outlineLevel="0" collapsed="false">
      <c r="A57" s="5" t="s">
        <v>878</v>
      </c>
      <c r="B57" s="0" t="s">
        <v>898</v>
      </c>
      <c r="C57" s="0" t="s">
        <v>50</v>
      </c>
      <c r="D57" s="23" t="n">
        <f aca="false">nnv_googl</f>
        <v>0.753</v>
      </c>
      <c r="E57" s="23" t="n">
        <f aca="false">nnv_googl</f>
        <v>0.753</v>
      </c>
      <c r="F57" s="23" t="n">
        <f aca="false">nnv_googl</f>
        <v>0.753</v>
      </c>
      <c r="G57" s="23" t="n">
        <f aca="false">nnv_googl</f>
        <v>0.753</v>
      </c>
      <c r="H57" s="23" t="n">
        <f aca="false">nnv_googl</f>
        <v>0.753</v>
      </c>
      <c r="I57" s="23" t="n">
        <f aca="false">nnv_googl</f>
        <v>0.753</v>
      </c>
      <c r="J57" s="23" t="n">
        <f aca="false">nnv_googl</f>
        <v>0.753</v>
      </c>
      <c r="K57" s="23" t="n">
        <f aca="false">nnv_googl</f>
        <v>0.753</v>
      </c>
      <c r="L57" s="23" t="n">
        <f aca="false">nnv_googl</f>
        <v>0.753</v>
      </c>
      <c r="M57" s="23" t="n">
        <f aca="false">nnv_googl</f>
        <v>0.753</v>
      </c>
    </row>
    <row r="59" customFormat="false" ht="17.15" hidden="false" customHeight="false" outlineLevel="0" collapsed="false">
      <c r="A59" s="8" t="s">
        <v>899</v>
      </c>
      <c r="B59" s="20" t="s">
        <v>454</v>
      </c>
      <c r="N59" s="20" t="s">
        <v>900</v>
      </c>
    </row>
    <row r="60" customFormat="false" ht="17.15" hidden="false" customHeight="false" outlineLevel="0" collapsed="false">
      <c r="A60" s="5" t="s">
        <v>846</v>
      </c>
      <c r="B60" s="0" t="s">
        <v>901</v>
      </c>
      <c r="C60" s="0" t="s">
        <v>75</v>
      </c>
      <c r="D60" s="24" t="str">
        <f aca="false">IF(In!$H$90="","",IF(In!$C$90="設施",In!$H$90/1000/D$13,In!$H$90/1000))</f>
        <v/>
      </c>
      <c r="E60" s="24" t="str">
        <f aca="false">IF(In!$I$90="","",IF(In!$C$90="設施",In!$I$90/1000/E$13,In!$I$90/1000))</f>
        <v/>
      </c>
      <c r="F60" s="24" t="str">
        <f aca="false">IF(In!$J$90="","",IF(In!$C$90="設施",In!$J$90/1000/F$13,In!$J$90/1000))</f>
        <v/>
      </c>
      <c r="G60" s="24" t="str">
        <f aca="false">IF(In!$K$90="","",IF(In!$C$90="設施",In!$K$90/1000/G$13,In!$K$90/1000))</f>
        <v/>
      </c>
      <c r="H60" s="24" t="str">
        <f aca="false">IF(In!$L$90="","",IF(In!$C$90="設施",In!$L$90/1000/H$13,In!$L$90/1000))</f>
        <v/>
      </c>
      <c r="I60" s="24" t="str">
        <f aca="false">IF(In!$M$90="","",IF(In!$C$90="設施",In!$M$90/1000/I$13,In!$M$90/1000))</f>
        <v/>
      </c>
      <c r="J60" s="24" t="str">
        <f aca="false">IF(In!$N$90="","",IF(In!$C$90="設施",In!$N$90/1000/J$13,In!$N$90/1000))</f>
        <v/>
      </c>
      <c r="K60" s="24" t="str">
        <f aca="false">IF(In!$O$90="","",IF(In!$C$90="設施",In!$O$90/1000/K$13,In!$O$90/1000))</f>
        <v/>
      </c>
      <c r="L60" s="24" t="str">
        <f aca="false">IF(In!$P$90="","",IF(In!$C$90="設施",In!$P$90/1000/L$13,In!$P$90/1000))</f>
        <v/>
      </c>
      <c r="M60" s="24" t="str">
        <f aca="false">IF(In!$Q$90="","",IF(In!$C$90="設施",In!$Q$90/1000/M$13,In!$Q$90/1000))</f>
        <v/>
      </c>
    </row>
    <row r="61" customFormat="false" ht="17.15" hidden="false" customHeight="false" outlineLevel="0" collapsed="false">
      <c r="A61" s="5" t="s">
        <v>848</v>
      </c>
      <c r="B61" s="0" t="s">
        <v>902</v>
      </c>
      <c r="C61" s="0" t="s">
        <v>75</v>
      </c>
      <c r="D61" s="24" t="str">
        <f aca="false">IF(In!$H$83="","",In!$H$83*Players!$D$16/1000)</f>
        <v/>
      </c>
      <c r="E61" s="24" t="n">
        <f aca="false">IF(In!$I$83="","",In!$I$83*Players!$D$16/1000)</f>
        <v>0.810284005979073</v>
      </c>
      <c r="F61" s="24" t="n">
        <f aca="false">IF(In!$J$83="","",In!$J$83*Players!$D$16/1000)</f>
        <v>2.2</v>
      </c>
      <c r="G61" s="24" t="str">
        <f aca="false">IF(In!$K$83="","",In!$K$83*Players!$D$16/1000)</f>
        <v/>
      </c>
      <c r="H61" s="24" t="str">
        <f aca="false">IF(In!$L$83="","",In!$L$83*Players!$D$16/1000)</f>
        <v/>
      </c>
      <c r="I61" s="24" t="str">
        <f aca="false">IF(In!$M$83="","",In!$M$83*Players!$D$16/1000)</f>
        <v/>
      </c>
      <c r="J61" s="24" t="str">
        <f aca="false">IF(In!$N$83="","",In!$N$83*Players!$D$16/1000)</f>
        <v/>
      </c>
      <c r="K61" s="24" t="str">
        <f aca="false">IF(In!$O$83="","",In!$O$83*Players!$D$16/1000)</f>
        <v/>
      </c>
      <c r="L61" s="24" t="str">
        <f aca="false">IF(In!$P$83="","",In!$P$83*Players!$D$16/1000)</f>
        <v/>
      </c>
      <c r="M61" s="24" t="str">
        <f aca="false">IF(In!$Q$83="","",In!$Q$83*Players!$D$16/1000)</f>
        <v/>
      </c>
    </row>
    <row r="62" customFormat="false" ht="15" hidden="false" customHeight="false" outlineLevel="0" collapsed="false">
      <c r="A62" s="5" t="s">
        <v>850</v>
      </c>
      <c r="B62" s="0" t="s">
        <v>903</v>
      </c>
      <c r="C62" s="0" t="s">
        <v>75</v>
      </c>
      <c r="D62" s="24" t="str">
        <f aca="false">IF(D60&lt;&gt;"",D60,IF(D61&lt;&gt;"",D61,IF(INT(obsd_amzn)=2023,obs_amzn/1000+SUMIFS(Pipeline!$L$5:$L$47,Pipeline!$C$5:$C$47,"amzn",Pipeline!$Q$5:$Q$47,1,Pipeline!$K$5:$K$47,"&gt;"&amp;obsd_amzn,Pipeline!$K$5:$K$47,"&lt;="&amp;2024),"")))</f>
        <v/>
      </c>
      <c r="E62" s="24" t="n">
        <f aca="false">IF(E60&lt;&gt;"",E60,IF(E61&lt;&gt;"",E61,IF(INT(obsd_amzn)=2024,obs_amzn/1000+SUMIFS(Pipeline!$L$5:$L$47,Pipeline!$C$5:$C$47,"amzn",Pipeline!$Q$5:$Q$47,1,Pipeline!$K$5:$K$47,"&gt;"&amp;obsd_amzn,Pipeline!$K$5:$K$47,"&lt;="&amp;2025),"")))</f>
        <v>0.810284005979073</v>
      </c>
      <c r="F62" s="24" t="n">
        <f aca="false">IF(F60&lt;&gt;"",F60,IF(F61&lt;&gt;"",F61,IF(INT(obsd_amzn)=2025,obs_amzn/1000+SUMIFS(Pipeline!$L$5:$L$47,Pipeline!$C$5:$C$47,"amzn",Pipeline!$Q$5:$Q$47,1,Pipeline!$K$5:$K$47,"&gt;"&amp;obsd_amzn,Pipeline!$K$5:$K$47,"&lt;="&amp;2026),"")))</f>
        <v>2.2</v>
      </c>
      <c r="G62" s="24" t="n">
        <f aca="false">IF(G60&lt;&gt;"",G60,IF(G61&lt;&gt;"",G61,IF(INT(obsd_amzn)=2026,obs_amzn/1000+SUMIFS(Pipeline!$L$5:$L$47,Pipeline!$C$5:$C$47,"amzn",Pipeline!$Q$5:$Q$47,1,Pipeline!$K$5:$K$47,"&gt;"&amp;obsd_amzn,Pipeline!$K$5:$K$47,"&lt;="&amp;2027),"")))</f>
        <v>2.727</v>
      </c>
      <c r="H62" s="24" t="str">
        <f aca="false">IF(H60&lt;&gt;"",H60,IF(H61&lt;&gt;"",H61,IF(INT(obsd_amzn)=2027,obs_amzn/1000+SUMIFS(Pipeline!$L$5:$L$47,Pipeline!$C$5:$C$47,"amzn",Pipeline!$Q$5:$Q$47,1,Pipeline!$K$5:$K$47,"&gt;"&amp;obsd_amzn,Pipeline!$K$5:$K$47,"&lt;="&amp;2028),"")))</f>
        <v/>
      </c>
      <c r="I62" s="24" t="str">
        <f aca="false">IF(I60&lt;&gt;"",I60,IF(I61&lt;&gt;"",I61,IF(INT(obsd_amzn)=2028,obs_amzn/1000+SUMIFS(Pipeline!$L$5:$L$47,Pipeline!$C$5:$C$47,"amzn",Pipeline!$Q$5:$Q$47,1,Pipeline!$K$5:$K$47,"&gt;"&amp;obsd_amzn,Pipeline!$K$5:$K$47,"&lt;="&amp;2029),"")))</f>
        <v/>
      </c>
      <c r="J62" s="24" t="str">
        <f aca="false">IF(J60&lt;&gt;"",J60,IF(J61&lt;&gt;"",J61,IF(INT(obsd_amzn)=2029,obs_amzn/1000+SUMIFS(Pipeline!$L$5:$L$47,Pipeline!$C$5:$C$47,"amzn",Pipeline!$Q$5:$Q$47,1,Pipeline!$K$5:$K$47,"&gt;"&amp;obsd_amzn,Pipeline!$K$5:$K$47,"&lt;="&amp;2030),"")))</f>
        <v/>
      </c>
      <c r="K62" s="24" t="str">
        <f aca="false">IF(K60&lt;&gt;"",K60,IF(K61&lt;&gt;"",K61,IF(INT(obsd_amzn)=2030,obs_amzn/1000+SUMIFS(Pipeline!$L$5:$L$47,Pipeline!$C$5:$C$47,"amzn",Pipeline!$Q$5:$Q$47,1,Pipeline!$K$5:$K$47,"&gt;"&amp;obsd_amzn,Pipeline!$K$5:$K$47,"&lt;="&amp;2031),"")))</f>
        <v/>
      </c>
      <c r="L62" s="24" t="str">
        <f aca="false">IF(L60&lt;&gt;"",L60,IF(L61&lt;&gt;"",L61,IF(INT(obsd_amzn)=2031,obs_amzn/1000+SUMIFS(Pipeline!$L$5:$L$47,Pipeline!$C$5:$C$47,"amzn",Pipeline!$Q$5:$Q$47,1,Pipeline!$K$5:$K$47,"&gt;"&amp;obsd_amzn,Pipeline!$K$5:$K$47,"&lt;="&amp;2032),"")))</f>
        <v/>
      </c>
      <c r="M62" s="24" t="str">
        <f aca="false">IF(M60&lt;&gt;"",M60,IF(M61&lt;&gt;"",M61,IF(INT(obsd_amzn)=2032,obs_amzn/1000+SUMIFS(Pipeline!$L$5:$L$47,Pipeline!$C$5:$C$47,"amzn",Pipeline!$Q$5:$Q$47,1,Pipeline!$K$5:$K$47,"&gt;"&amp;obsd_amzn,Pipeline!$K$5:$K$47,"&lt;="&amp;2033),"")))</f>
        <v/>
      </c>
    </row>
    <row r="63" customFormat="false" ht="15" hidden="false" customHeight="false" outlineLevel="0" collapsed="false">
      <c r="A63" s="5" t="s">
        <v>852</v>
      </c>
      <c r="B63" s="0" t="s">
        <v>904</v>
      </c>
      <c r="C63" s="0" t="s">
        <v>75</v>
      </c>
      <c r="D63" s="0" t="str">
        <f aca="false">IF(D62&lt;&gt;"",D62,"")</f>
        <v/>
      </c>
      <c r="E63" s="24" t="n">
        <f aca="false">IF(E62&lt;&gt;"",E62,D63)</f>
        <v>0.810284005979073</v>
      </c>
      <c r="F63" s="24" t="n">
        <f aca="false">IF(F62&lt;&gt;"",F62,E63)</f>
        <v>2.2</v>
      </c>
      <c r="G63" s="24" t="n">
        <f aca="false">IF(G62&lt;&gt;"",G62,F63)</f>
        <v>2.727</v>
      </c>
      <c r="H63" s="24" t="n">
        <f aca="false">IF(H62&lt;&gt;"",H62,G63)</f>
        <v>2.727</v>
      </c>
      <c r="I63" s="24" t="n">
        <f aca="false">IF(I62&lt;&gt;"",I62,H63)</f>
        <v>2.727</v>
      </c>
      <c r="J63" s="24" t="n">
        <f aca="false">IF(J62&lt;&gt;"",J62,I63)</f>
        <v>2.727</v>
      </c>
      <c r="K63" s="24" t="n">
        <f aca="false">IF(K62&lt;&gt;"",K62,J63)</f>
        <v>2.727</v>
      </c>
      <c r="L63" s="24" t="n">
        <f aca="false">IF(L62&lt;&gt;"",L62,K63)</f>
        <v>2.727</v>
      </c>
      <c r="M63" s="24" t="n">
        <f aca="false">IF(M62&lt;&gt;"",M62,L63)</f>
        <v>2.727</v>
      </c>
    </row>
    <row r="64" customFormat="false" ht="15" hidden="false" customHeight="false" outlineLevel="0" collapsed="false">
      <c r="A64" s="5" t="s">
        <v>854</v>
      </c>
      <c r="B64" s="0" t="s">
        <v>905</v>
      </c>
      <c r="C64" s="5" t="s">
        <v>45</v>
      </c>
      <c r="D64" s="0" t="str">
        <f aca="false">IF(D62&lt;&gt;"",2023,"")</f>
        <v/>
      </c>
      <c r="E64" s="0" t="n">
        <f aca="false">IF(E62&lt;&gt;"",2024,D64)</f>
        <v>2024</v>
      </c>
      <c r="F64" s="0" t="n">
        <f aca="false">IF(F62&lt;&gt;"",2025,E64)</f>
        <v>2025</v>
      </c>
      <c r="G64" s="0" t="n">
        <f aca="false">IF(G62&lt;&gt;"",2026,F64)</f>
        <v>2026</v>
      </c>
      <c r="H64" s="0" t="n">
        <f aca="false">IF(H62&lt;&gt;"",2027,G64)</f>
        <v>2026</v>
      </c>
      <c r="I64" s="0" t="n">
        <f aca="false">IF(I62&lt;&gt;"",2028,H64)</f>
        <v>2026</v>
      </c>
      <c r="J64" s="0" t="n">
        <f aca="false">IF(J62&lt;&gt;"",2029,I64)</f>
        <v>2026</v>
      </c>
      <c r="K64" s="0" t="n">
        <f aca="false">IF(K62&lt;&gt;"",2030,J64)</f>
        <v>2026</v>
      </c>
      <c r="L64" s="0" t="n">
        <f aca="false">IF(L62&lt;&gt;"",2031,K64)</f>
        <v>2026</v>
      </c>
      <c r="M64" s="0" t="n">
        <f aca="false">IF(M62&lt;&gt;"",2032,L64)</f>
        <v>2026</v>
      </c>
    </row>
    <row r="65" customFormat="false" ht="15" hidden="false" customHeight="false" outlineLevel="0" collapsed="false">
      <c r="A65" s="5" t="s">
        <v>856</v>
      </c>
      <c r="B65" s="0" t="s">
        <v>906</v>
      </c>
      <c r="C65" s="0" t="s">
        <v>75</v>
      </c>
      <c r="D65" s="24" t="n">
        <f aca="false">IF(D62&lt;&gt;"",D62,E65)</f>
        <v>0.810284005979073</v>
      </c>
      <c r="E65" s="24" t="n">
        <f aca="false">IF(E62&lt;&gt;"",E62,F65)</f>
        <v>0.810284005979073</v>
      </c>
      <c r="F65" s="24" t="n">
        <f aca="false">IF(F62&lt;&gt;"",F62,G65)</f>
        <v>2.2</v>
      </c>
      <c r="G65" s="24" t="n">
        <f aca="false">IF(G62&lt;&gt;"",G62,H65)</f>
        <v>2.727</v>
      </c>
      <c r="H65" s="0" t="str">
        <f aca="false">IF(H62&lt;&gt;"",H62,I65)</f>
        <v/>
      </c>
      <c r="I65" s="0" t="str">
        <f aca="false">IF(I62&lt;&gt;"",I62,J65)</f>
        <v/>
      </c>
      <c r="J65" s="0" t="str">
        <f aca="false">IF(J62&lt;&gt;"",J62,K65)</f>
        <v/>
      </c>
      <c r="K65" s="0" t="str">
        <f aca="false">IF(K62&lt;&gt;"",K62,L65)</f>
        <v/>
      </c>
      <c r="L65" s="0" t="str">
        <f aca="false">IF(L62&lt;&gt;"",L62,M65)</f>
        <v/>
      </c>
      <c r="M65" s="0" t="str">
        <f aca="false">IF(M62&lt;&gt;"",M62,"")</f>
        <v/>
      </c>
    </row>
    <row r="66" customFormat="false" ht="15" hidden="false" customHeight="false" outlineLevel="0" collapsed="false">
      <c r="A66" s="5" t="s">
        <v>858</v>
      </c>
      <c r="B66" s="0" t="s">
        <v>907</v>
      </c>
      <c r="C66" s="5" t="s">
        <v>45</v>
      </c>
      <c r="D66" s="0" t="n">
        <f aca="false">IF(D62&lt;&gt;"",2023,E66)</f>
        <v>2024</v>
      </c>
      <c r="E66" s="0" t="n">
        <f aca="false">IF(E62&lt;&gt;"",2024,F66)</f>
        <v>2024</v>
      </c>
      <c r="F66" s="0" t="n">
        <f aca="false">IF(F62&lt;&gt;"",2025,G66)</f>
        <v>2025</v>
      </c>
      <c r="G66" s="0" t="n">
        <f aca="false">IF(G62&lt;&gt;"",2026,H66)</f>
        <v>2026</v>
      </c>
      <c r="H66" s="0" t="str">
        <f aca="false">IF(H62&lt;&gt;"",2027,I66)</f>
        <v/>
      </c>
      <c r="I66" s="0" t="str">
        <f aca="false">IF(I62&lt;&gt;"",2028,J66)</f>
        <v/>
      </c>
      <c r="J66" s="0" t="str">
        <f aca="false">IF(J62&lt;&gt;"",2029,K66)</f>
        <v/>
      </c>
      <c r="K66" s="0" t="str">
        <f aca="false">IF(K62&lt;&gt;"",2030,L66)</f>
        <v/>
      </c>
      <c r="L66" s="0" t="str">
        <f aca="false">IF(L62&lt;&gt;"",2031,M66)</f>
        <v/>
      </c>
      <c r="M66" s="0" t="str">
        <f aca="false">IF(M62&lt;&gt;"",2032,"")</f>
        <v/>
      </c>
    </row>
    <row r="67" customFormat="false" ht="17.15" hidden="false" customHeight="false" outlineLevel="0" collapsed="false">
      <c r="A67" s="5" t="s">
        <v>860</v>
      </c>
      <c r="B67" s="0" t="s">
        <v>908</v>
      </c>
      <c r="C67" s="0" t="s">
        <v>75</v>
      </c>
      <c r="D67" s="24" t="n">
        <f aca="false">SUMIFS(Pipeline!$L$5:$L$47,Pipeline!$C$5:$C$47,"amzn",Pipeline!$Q$5:$Q$47,1,Pipeline!$P$5:$P$47,2023)</f>
        <v>0</v>
      </c>
      <c r="E67" s="24" t="n">
        <f aca="false">SUMIFS(Pipeline!$L$5:$L$47,Pipeline!$C$5:$C$47,"amzn",Pipeline!$Q$5:$Q$47,1,Pipeline!$P$5:$P$47,2024)</f>
        <v>0</v>
      </c>
      <c r="F67" s="24" t="n">
        <f aca="false">SUMIFS(Pipeline!$L$5:$L$47,Pipeline!$C$5:$C$47,"amzn",Pipeline!$Q$5:$Q$47,1,Pipeline!$P$5:$P$47,2025)</f>
        <v>0</v>
      </c>
      <c r="G67" s="24" t="n">
        <f aca="false">SUMIFS(Pipeline!$L$5:$L$47,Pipeline!$C$5:$C$47,"amzn",Pipeline!$Q$5:$Q$47,1,Pipeline!$P$5:$P$47,2026)</f>
        <v>0.127</v>
      </c>
      <c r="H67" s="24" t="n">
        <f aca="false">SUMIFS(Pipeline!$L$5:$L$47,Pipeline!$C$5:$C$47,"amzn",Pipeline!$Q$5:$Q$47,1,Pipeline!$P$5:$P$47,2027)</f>
        <v>0</v>
      </c>
      <c r="I67" s="24" t="n">
        <f aca="false">SUMIFS(Pipeline!$L$5:$L$47,Pipeline!$C$5:$C$47,"amzn",Pipeline!$Q$5:$Q$47,1,Pipeline!$P$5:$P$47,2028)</f>
        <v>0.888</v>
      </c>
      <c r="J67" s="24" t="n">
        <f aca="false">SUMIFS(Pipeline!$L$5:$L$47,Pipeline!$C$5:$C$47,"amzn",Pipeline!$Q$5:$Q$47,1,Pipeline!$P$5:$P$47,2029)</f>
        <v>0</v>
      </c>
      <c r="K67" s="24" t="n">
        <f aca="false">SUMIFS(Pipeline!$L$5:$L$47,Pipeline!$C$5:$C$47,"amzn",Pipeline!$Q$5:$Q$47,1,Pipeline!$P$5:$P$47,2030)</f>
        <v>0</v>
      </c>
      <c r="L67" s="24" t="n">
        <f aca="false">SUMIFS(Pipeline!$L$5:$L$47,Pipeline!$C$5:$C$47,"amzn",Pipeline!$Q$5:$Q$47,1,Pipeline!$P$5:$P$47,2031)</f>
        <v>0</v>
      </c>
      <c r="M67" s="24" t="n">
        <f aca="false">SUMIFS(Pipeline!$L$5:$L$47,Pipeline!$C$5:$C$47,"amzn",Pipeline!$Q$5:$Q$47,1,Pipeline!$P$5:$P$47,2032)</f>
        <v>0</v>
      </c>
    </row>
    <row r="68" customFormat="false" ht="17.15" hidden="false" customHeight="false" outlineLevel="0" collapsed="false">
      <c r="A68" s="5" t="s">
        <v>862</v>
      </c>
      <c r="B68" s="0" t="s">
        <v>909</v>
      </c>
      <c r="C68" s="0" t="s">
        <v>75</v>
      </c>
      <c r="D68" s="25" t="str">
        <f aca="false">IF(D62&lt;&gt;"",D62,IF(AND(D63&lt;&gt;"",D65&lt;&gt;""),D63+(D65-D63)*(2023-D64)/(D66-D64),""))</f>
        <v/>
      </c>
      <c r="E68" s="25" t="n">
        <f aca="false">IF(E62&lt;&gt;"",E62,IF(AND(E63&lt;&gt;"",E65&lt;&gt;""),E63+(E65-E63)*(2024-E64)/(E66-E64),IF(D68&lt;&gt;"",D68+E67,"")))</f>
        <v>0.810284005979073</v>
      </c>
      <c r="F68" s="25" t="n">
        <f aca="false">IF(F62&lt;&gt;"",F62,IF(AND(F63&lt;&gt;"",F65&lt;&gt;""),F63+(F65-F63)*(2025-F64)/(F66-F64),IF(E68&lt;&gt;"",E68+F67,"")))</f>
        <v>2.2</v>
      </c>
      <c r="G68" s="25" t="n">
        <f aca="false">IF(G62&lt;&gt;"",G62,IF(AND(G63&lt;&gt;"",G65&lt;&gt;""),G63+(G65-G63)*(2026-G64)/(G66-G64),IF(F68&lt;&gt;"",F68+G67,"")))</f>
        <v>2.727</v>
      </c>
      <c r="H68" s="25" t="n">
        <f aca="false">IF(H62&lt;&gt;"",H62,IF(AND(H63&lt;&gt;"",H65&lt;&gt;""),H63+(H65-H63)*(2027-H64)/(H66-H64),IF(G68&lt;&gt;"",G68+H67,"")))</f>
        <v>2.727</v>
      </c>
      <c r="I68" s="25" t="n">
        <f aca="false">IF(I62&lt;&gt;"",I62,IF(AND(I63&lt;&gt;"",I65&lt;&gt;""),I63+(I65-I63)*(2028-I64)/(I66-I64),IF(H68&lt;&gt;"",H68+I67,"")))</f>
        <v>3.615</v>
      </c>
      <c r="J68" s="25" t="n">
        <f aca="false">IF(J62&lt;&gt;"",J62,IF(AND(J63&lt;&gt;"",J65&lt;&gt;""),J63+(J65-J63)*(2029-J64)/(J66-J64),IF(I68&lt;&gt;"",I68+J67,"")))</f>
        <v>3.615</v>
      </c>
      <c r="K68" s="25" t="n">
        <f aca="false">IF(K62&lt;&gt;"",K62,IF(AND(K63&lt;&gt;"",K65&lt;&gt;""),K63+(K65-K63)*(2030-K64)/(K66-K64),IF(J68&lt;&gt;"",J68+K67,"")))</f>
        <v>3.615</v>
      </c>
      <c r="L68" s="25" t="n">
        <f aca="false">IF(L62&lt;&gt;"",L62,IF(AND(L63&lt;&gt;"",L65&lt;&gt;""),L63+(L65-L63)*(2031-L64)/(L66-L64),IF(K68&lt;&gt;"",K68+L67,"")))</f>
        <v>3.615</v>
      </c>
      <c r="M68" s="25" t="n">
        <f aca="false">IF(M62&lt;&gt;"",M62,IF(AND(M63&lt;&gt;"",M65&lt;&gt;""),M63+(M65-M63)*(2032-M64)/(M66-M64),IF(L68&lt;&gt;"",L68+M67,"")))</f>
        <v>3.615</v>
      </c>
    </row>
    <row r="69" customFormat="false" ht="15" hidden="false" customHeight="false" outlineLevel="0" collapsed="false">
      <c r="A69" s="5" t="s">
        <v>864</v>
      </c>
      <c r="B69" s="0" t="s">
        <v>910</v>
      </c>
      <c r="C69" s="0" t="s">
        <v>33</v>
      </c>
      <c r="D69" s="0" t="n">
        <f aca="false">IF(D60&lt;&gt;"",1,IF(D61&lt;&gt;"",5,IF(D62&lt;&gt;"",2,IF(AND(D63&lt;&gt;"",D65&lt;&gt;""),3,IF(D68&lt;&gt;"",4,0)))))</f>
        <v>0</v>
      </c>
      <c r="E69" s="0" t="n">
        <f aca="false">IF(E60&lt;&gt;"",1,IF(E61&lt;&gt;"",5,IF(E62&lt;&gt;"",2,IF(AND(E63&lt;&gt;"",E65&lt;&gt;""),3,IF(E68&lt;&gt;"",4,0)))))</f>
        <v>5</v>
      </c>
      <c r="F69" s="0" t="n">
        <f aca="false">IF(F60&lt;&gt;"",1,IF(F61&lt;&gt;"",5,IF(F62&lt;&gt;"",2,IF(AND(F63&lt;&gt;"",F65&lt;&gt;""),3,IF(F68&lt;&gt;"",4,0)))))</f>
        <v>5</v>
      </c>
      <c r="G69" s="0" t="n">
        <f aca="false">IF(G60&lt;&gt;"",1,IF(G61&lt;&gt;"",5,IF(G62&lt;&gt;"",2,IF(AND(G63&lt;&gt;"",G65&lt;&gt;""),3,IF(G68&lt;&gt;"",4,0)))))</f>
        <v>2</v>
      </c>
      <c r="H69" s="0" t="n">
        <f aca="false">IF(H60&lt;&gt;"",1,IF(H61&lt;&gt;"",5,IF(H62&lt;&gt;"",2,IF(AND(H63&lt;&gt;"",H65&lt;&gt;""),3,IF(H68&lt;&gt;"",4,0)))))</f>
        <v>4</v>
      </c>
      <c r="I69" s="0" t="n">
        <f aca="false">IF(I60&lt;&gt;"",1,IF(I61&lt;&gt;"",5,IF(I62&lt;&gt;"",2,IF(AND(I63&lt;&gt;"",I65&lt;&gt;""),3,IF(I68&lt;&gt;"",4,0)))))</f>
        <v>4</v>
      </c>
      <c r="J69" s="0" t="n">
        <f aca="false">IF(J60&lt;&gt;"",1,IF(J61&lt;&gt;"",5,IF(J62&lt;&gt;"",2,IF(AND(J63&lt;&gt;"",J65&lt;&gt;""),3,IF(J68&lt;&gt;"",4,0)))))</f>
        <v>4</v>
      </c>
      <c r="K69" s="0" t="n">
        <f aca="false">IF(K60&lt;&gt;"",1,IF(K61&lt;&gt;"",5,IF(K62&lt;&gt;"",2,IF(AND(K63&lt;&gt;"",K65&lt;&gt;""),3,IF(K68&lt;&gt;"",4,0)))))</f>
        <v>4</v>
      </c>
      <c r="L69" s="0" t="n">
        <f aca="false">IF(L60&lt;&gt;"",1,IF(L61&lt;&gt;"",5,IF(L62&lt;&gt;"",2,IF(AND(L63&lt;&gt;"",L65&lt;&gt;""),3,IF(L68&lt;&gt;"",4,0)))))</f>
        <v>4</v>
      </c>
      <c r="M69" s="0" t="n">
        <f aca="false">IF(M60&lt;&gt;"",1,IF(M61&lt;&gt;"",5,IF(M62&lt;&gt;"",2,IF(AND(M63&lt;&gt;"",M65&lt;&gt;""),3,IF(M68&lt;&gt;"",4,0)))))</f>
        <v>4</v>
      </c>
    </row>
    <row r="70" customFormat="false" ht="17.15" hidden="false" customHeight="false" outlineLevel="0" collapsed="false">
      <c r="A70" s="5" t="s">
        <v>866</v>
      </c>
      <c r="B70" s="0" t="s">
        <v>911</v>
      </c>
      <c r="C70" s="0" t="s">
        <v>75</v>
      </c>
      <c r="D70" s="24" t="str">
        <f aca="false">IF(D68="","",IF(D69=2,D68-(obs_amzn-obs_amzn_lo)/1000,IF(AND(D69=5,In!$H$83&lt;&gt;""),In!$H$83*Players!$E$16/1000,D68)))</f>
        <v/>
      </c>
      <c r="E70" s="24" t="n">
        <f aca="false">IF(E68="","",IF(E69=2,E68-(obs_amzn-obs_amzn_lo)/1000,IF(AND(E69=5,In!$I$83&lt;&gt;""),In!$I$83*Players!$E$16/1000,E68)))</f>
        <v>0.699790732436472</v>
      </c>
      <c r="F70" s="24" t="n">
        <f aca="false">IF(F68="","",IF(F69=2,F68-(obs_amzn-obs_amzn_lo)/1000,IF(AND(F69=5,In!$J$83&lt;&gt;""),In!$J$83*Players!$E$16/1000,F68)))</f>
        <v>1.9</v>
      </c>
      <c r="G70" s="24" t="n">
        <f aca="false">IF(G68="","",IF(G69=2,G68-(obs_amzn-obs_amzn_lo)/1000,IF(AND(G69=5,In!$K$83&lt;&gt;""),In!$K$83*Players!$E$16/1000,G68)))</f>
        <v>2.127</v>
      </c>
      <c r="H70" s="24" t="n">
        <f aca="false">IF(H68="","",IF(H69=2,H68-(obs_amzn-obs_amzn_lo)/1000,IF(AND(H69=5,In!$L$83&lt;&gt;""),In!$L$83*Players!$E$16/1000,H68)))</f>
        <v>2.727</v>
      </c>
      <c r="I70" s="24" t="n">
        <f aca="false">IF(I68="","",IF(I69=2,I68-(obs_amzn-obs_amzn_lo)/1000,IF(AND(I69=5,In!$M$83&lt;&gt;""),In!$M$83*Players!$E$16/1000,I68)))</f>
        <v>3.615</v>
      </c>
      <c r="J70" s="24" t="n">
        <f aca="false">IF(J68="","",IF(J69=2,J68-(obs_amzn-obs_amzn_lo)/1000,IF(AND(J69=5,In!$N$83&lt;&gt;""),In!$N$83*Players!$E$16/1000,J68)))</f>
        <v>3.615</v>
      </c>
      <c r="K70" s="24" t="n">
        <f aca="false">IF(K68="","",IF(K69=2,K68-(obs_amzn-obs_amzn_lo)/1000,IF(AND(K69=5,In!$O$83&lt;&gt;""),In!$O$83*Players!$E$16/1000,K68)))</f>
        <v>3.615</v>
      </c>
      <c r="L70" s="24" t="n">
        <f aca="false">IF(L68="","",IF(L69=2,L68-(obs_amzn-obs_amzn_lo)/1000,IF(AND(L69=5,In!$P$83&lt;&gt;""),In!$P$83*Players!$E$16/1000,L68)))</f>
        <v>3.615</v>
      </c>
      <c r="M70" s="24" t="n">
        <f aca="false">IF(M68="","",IF(M69=2,M68-(obs_amzn-obs_amzn_lo)/1000,IF(AND(M69=5,In!$Q$83&lt;&gt;""),In!$Q$83*Players!$E$16/1000,M68)))</f>
        <v>3.615</v>
      </c>
    </row>
    <row r="71" customFormat="false" ht="17.15" hidden="false" customHeight="false" outlineLevel="0" collapsed="false">
      <c r="A71" s="5" t="s">
        <v>868</v>
      </c>
      <c r="B71" s="0" t="s">
        <v>912</v>
      </c>
      <c r="C71" s="0" t="s">
        <v>75</v>
      </c>
      <c r="D71" s="24" t="str">
        <f aca="false">IF(D68="","",IF(D69=2,D68+(obs_amzn_hi-obs_amzn)/1000,IF(AND(D69=5,In!$H$83&lt;&gt;""),In!$H$83*Players!$F$16/1000,D68)))</f>
        <v/>
      </c>
      <c r="E71" s="24" t="n">
        <f aca="false">IF(E68="","",IF(E69=2,E68+(obs_amzn_hi-obs_amzn)/1000,IF(AND(E69=5,In!$I$83&lt;&gt;""),In!$I$83*Players!$F$16/1000,E68)))</f>
        <v>0.957608370702541</v>
      </c>
      <c r="F71" s="24" t="n">
        <f aca="false">IF(F68="","",IF(F69=2,F68+(obs_amzn_hi-obs_amzn)/1000,IF(AND(F69=5,In!$J$83&lt;&gt;""),In!$J$83*Players!$F$16/1000,F68)))</f>
        <v>2.6</v>
      </c>
      <c r="G71" s="24" t="n">
        <f aca="false">IF(G68="","",IF(G69=2,G68+(obs_amzn_hi-obs_amzn)/1000,IF(AND(G69=5,In!$K$83&lt;&gt;""),In!$K$83*Players!$F$16/1000,G68)))</f>
        <v>3.427</v>
      </c>
      <c r="H71" s="24" t="n">
        <f aca="false">IF(H68="","",IF(H69=2,H68+(obs_amzn_hi-obs_amzn)/1000,IF(AND(H69=5,In!$L$83&lt;&gt;""),In!$L$83*Players!$F$16/1000,H68)))</f>
        <v>2.727</v>
      </c>
      <c r="I71" s="24" t="n">
        <f aca="false">IF(I68="","",IF(I69=2,I68+(obs_amzn_hi-obs_amzn)/1000,IF(AND(I69=5,In!$M$83&lt;&gt;""),In!$M$83*Players!$F$16/1000,I68)))</f>
        <v>3.615</v>
      </c>
      <c r="J71" s="24" t="n">
        <f aca="false">IF(J68="","",IF(J69=2,J68+(obs_amzn_hi-obs_amzn)/1000,IF(AND(J69=5,In!$N$83&lt;&gt;""),In!$N$83*Players!$F$16/1000,J68)))</f>
        <v>3.615</v>
      </c>
      <c r="K71" s="24" t="n">
        <f aca="false">IF(K68="","",IF(K69=2,K68+(obs_amzn_hi-obs_amzn)/1000,IF(AND(K69=5,In!$O$83&lt;&gt;""),In!$O$83*Players!$F$16/1000,K68)))</f>
        <v>3.615</v>
      </c>
      <c r="L71" s="24" t="n">
        <f aca="false">IF(L68="","",IF(L69=2,L68+(obs_amzn_hi-obs_amzn)/1000,IF(AND(L69=5,In!$P$83&lt;&gt;""),In!$P$83*Players!$F$16/1000,L68)))</f>
        <v>3.615</v>
      </c>
      <c r="M71" s="24" t="n">
        <f aca="false">IF(M68="","",IF(M69=2,M68+(obs_amzn_hi-obs_amzn)/1000,IF(AND(M69=5,In!$Q$83&lt;&gt;""),In!$Q$83*Players!$F$16/1000,M68)))</f>
        <v>3.615</v>
      </c>
    </row>
    <row r="72" customFormat="false" ht="17.15" hidden="false" customHeight="false" outlineLevel="0" collapsed="false">
      <c r="A72" s="5" t="s">
        <v>870</v>
      </c>
      <c r="B72" s="0" t="s">
        <v>913</v>
      </c>
      <c r="C72" s="0" t="s">
        <v>75</v>
      </c>
      <c r="D72" s="24" t="str">
        <f aca="false">IF(D68="","",IF(In!$C$90="未說明",D68/D$13,D68))</f>
        <v/>
      </c>
      <c r="E72" s="24" t="n">
        <f aca="false">IF(E68="","",IF(In!$C$90="未說明",E68/E$13,E68))</f>
        <v>0.810284005979073</v>
      </c>
      <c r="F72" s="24" t="n">
        <f aca="false">IF(F68="","",IF(In!$C$90="未說明",F68/F$13,F68))</f>
        <v>2.2</v>
      </c>
      <c r="G72" s="24" t="n">
        <f aca="false">IF(G68="","",IF(In!$C$90="未說明",G68/G$13,G68))</f>
        <v>2.727</v>
      </c>
      <c r="H72" s="24" t="n">
        <f aca="false">IF(H68="","",IF(In!$C$90="未說明",H68/H$13,H68))</f>
        <v>2.727</v>
      </c>
      <c r="I72" s="24" t="n">
        <f aca="false">IF(I68="","",IF(In!$C$90="未說明",I68/I$13,I68))</f>
        <v>3.615</v>
      </c>
      <c r="J72" s="24" t="n">
        <f aca="false">IF(J68="","",IF(In!$C$90="未說明",J68/J$13,J68))</f>
        <v>3.615</v>
      </c>
      <c r="K72" s="24" t="n">
        <f aca="false">IF(K68="","",IF(In!$C$90="未說明",K68/K$13,K68))</f>
        <v>3.615</v>
      </c>
      <c r="L72" s="24" t="n">
        <f aca="false">IF(L68="","",IF(In!$C$90="未說明",L68/L$13,L68))</f>
        <v>3.615</v>
      </c>
      <c r="M72" s="24" t="n">
        <f aca="false">IF(M68="","",IF(In!$C$90="未說明",M68/M$13,M68))</f>
        <v>3.615</v>
      </c>
    </row>
    <row r="73" customFormat="false" ht="17.15" hidden="false" customHeight="false" outlineLevel="0" collapsed="false">
      <c r="A73" s="5" t="s">
        <v>872</v>
      </c>
      <c r="B73" s="0" t="s">
        <v>914</v>
      </c>
      <c r="C73" s="0" t="s">
        <v>75</v>
      </c>
      <c r="D73" s="0" t="str">
        <f aca="false">""</f>
        <v/>
      </c>
      <c r="E73" s="24" t="str">
        <f aca="false">IF(AND(D68&lt;&gt;"",E68&lt;&gt;""),(D68+E68)/2,"")</f>
        <v/>
      </c>
      <c r="F73" s="24" t="n">
        <f aca="false">IF(AND(E68&lt;&gt;"",F68&lt;&gt;""),(E68+F68)/2,"")</f>
        <v>1.50514200298954</v>
      </c>
      <c r="G73" s="24" t="n">
        <f aca="false">IF(AND(F68&lt;&gt;"",G68&lt;&gt;""),(F68+G68)/2,"")</f>
        <v>2.4635</v>
      </c>
      <c r="H73" s="24" t="n">
        <f aca="false">IF(AND(G68&lt;&gt;"",H68&lt;&gt;""),(G68+H68)/2,"")</f>
        <v>2.727</v>
      </c>
      <c r="I73" s="24" t="n">
        <f aca="false">IF(AND(H68&lt;&gt;"",I68&lt;&gt;""),(H68+I68)/2,"")</f>
        <v>3.171</v>
      </c>
      <c r="J73" s="24" t="n">
        <f aca="false">IF(AND(I68&lt;&gt;"",J68&lt;&gt;""),(I68+J68)/2,"")</f>
        <v>3.615</v>
      </c>
      <c r="K73" s="24" t="n">
        <f aca="false">IF(AND(J68&lt;&gt;"",K68&lt;&gt;""),(J68+K68)/2,"")</f>
        <v>3.615</v>
      </c>
      <c r="L73" s="24" t="n">
        <f aca="false">IF(AND(K68&lt;&gt;"",L68&lt;&gt;""),(K68+L68)/2,"")</f>
        <v>3.615</v>
      </c>
      <c r="M73" s="24" t="n">
        <f aca="false">IF(AND(L68&lt;&gt;"",M68&lt;&gt;""),(L68+M68)/2,"")</f>
        <v>3.615</v>
      </c>
    </row>
    <row r="74" customFormat="false" ht="17.15" hidden="false" customHeight="false" outlineLevel="0" collapsed="false">
      <c r="A74" s="5" t="s">
        <v>874</v>
      </c>
      <c r="B74" s="0" t="s">
        <v>915</v>
      </c>
      <c r="C74" s="0" t="s">
        <v>75</v>
      </c>
      <c r="D74" s="0" t="n">
        <v>0</v>
      </c>
      <c r="E74" s="24" t="n">
        <f aca="false">IF(AND(D68&lt;&gt;"",E68&lt;&gt;""),E68-D68,0)</f>
        <v>0</v>
      </c>
      <c r="F74" s="24" t="n">
        <f aca="false">IF(AND(E68&lt;&gt;"",F68&lt;&gt;""),F68-E68,0)</f>
        <v>1.38971599402093</v>
      </c>
      <c r="G74" s="24" t="n">
        <f aca="false">IF(AND(F68&lt;&gt;"",G68&lt;&gt;""),G68-F68,0)</f>
        <v>0.527</v>
      </c>
      <c r="H74" s="24" t="n">
        <f aca="false">IF(AND(G68&lt;&gt;"",H68&lt;&gt;""),H68-G68,0)</f>
        <v>0</v>
      </c>
      <c r="I74" s="24" t="n">
        <f aca="false">IF(AND(H68&lt;&gt;"",I68&lt;&gt;""),I68-H68,0)</f>
        <v>0.888</v>
      </c>
      <c r="J74" s="24" t="n">
        <f aca="false">IF(AND(I68&lt;&gt;"",J68&lt;&gt;""),J68-I68,0)</f>
        <v>0</v>
      </c>
      <c r="K74" s="24" t="n">
        <f aca="false">IF(AND(J68&lt;&gt;"",K68&lt;&gt;""),K68-J68,0)</f>
        <v>0</v>
      </c>
      <c r="L74" s="24" t="n">
        <f aca="false">IF(AND(K68&lt;&gt;"",L68&lt;&gt;""),L68-K68,0)</f>
        <v>0</v>
      </c>
      <c r="M74" s="24" t="n">
        <f aca="false">IF(AND(L68&lt;&gt;"",M68&lt;&gt;""),M68-L68,0)</f>
        <v>0</v>
      </c>
    </row>
    <row r="75" customFormat="false" ht="17.15" hidden="false" customHeight="false" outlineLevel="0" collapsed="false">
      <c r="A75" s="5" t="s">
        <v>876</v>
      </c>
      <c r="B75" s="0" t="s">
        <v>916</v>
      </c>
      <c r="C75" s="0" t="s">
        <v>75</v>
      </c>
      <c r="D75" s="24" t="n">
        <f aca="false">IF(D68&lt;&gt;"",D68,0)</f>
        <v>0</v>
      </c>
      <c r="E75" s="24" t="n">
        <f aca="false">IF(AND(D68="",E68&lt;&gt;""),E68,0)</f>
        <v>0.810284005979073</v>
      </c>
      <c r="F75" s="24" t="n">
        <f aca="false">IF(AND(E68="",F68&lt;&gt;""),F68,0)</f>
        <v>0</v>
      </c>
      <c r="G75" s="24" t="n">
        <f aca="false">IF(AND(F68="",G68&lt;&gt;""),G68,0)</f>
        <v>0</v>
      </c>
      <c r="H75" s="24" t="n">
        <f aca="false">IF(AND(G68="",H68&lt;&gt;""),H68,0)</f>
        <v>0</v>
      </c>
      <c r="I75" s="24" t="n">
        <f aca="false">IF(AND(H68="",I68&lt;&gt;""),I68,0)</f>
        <v>0</v>
      </c>
      <c r="J75" s="24" t="n">
        <f aca="false">IF(AND(I68="",J68&lt;&gt;""),J68,0)</f>
        <v>0</v>
      </c>
      <c r="K75" s="24" t="n">
        <f aca="false">IF(AND(J68="",K68&lt;&gt;""),K68,0)</f>
        <v>0</v>
      </c>
      <c r="L75" s="24" t="n">
        <f aca="false">IF(AND(K68="",L68&lt;&gt;""),L68,0)</f>
        <v>0</v>
      </c>
      <c r="M75" s="24" t="n">
        <f aca="false">IF(AND(L68="",M68&lt;&gt;""),M68,0)</f>
        <v>0</v>
      </c>
    </row>
    <row r="76" customFormat="false" ht="17.15" hidden="false" customHeight="false" outlineLevel="0" collapsed="false">
      <c r="A76" s="5" t="s">
        <v>878</v>
      </c>
      <c r="B76" s="0" t="s">
        <v>917</v>
      </c>
      <c r="C76" s="0" t="s">
        <v>50</v>
      </c>
      <c r="D76" s="23" t="n">
        <f aca="false">nnv_amzn</f>
        <v>0.67</v>
      </c>
      <c r="E76" s="23" t="n">
        <f aca="false">nnv_amzn</f>
        <v>0.67</v>
      </c>
      <c r="F76" s="23" t="n">
        <f aca="false">nnv_amzn</f>
        <v>0.67</v>
      </c>
      <c r="G76" s="23" t="n">
        <f aca="false">nnv_amzn</f>
        <v>0.67</v>
      </c>
      <c r="H76" s="23" t="n">
        <f aca="false">nnv_amzn</f>
        <v>0.67</v>
      </c>
      <c r="I76" s="23" t="n">
        <f aca="false">nnv_amzn</f>
        <v>0.67</v>
      </c>
      <c r="J76" s="23" t="n">
        <f aca="false">nnv_amzn</f>
        <v>0.67</v>
      </c>
      <c r="K76" s="23" t="n">
        <f aca="false">nnv_amzn</f>
        <v>0.67</v>
      </c>
      <c r="L76" s="23" t="n">
        <f aca="false">nnv_amzn</f>
        <v>0.67</v>
      </c>
      <c r="M76" s="23" t="n">
        <f aca="false">nnv_amzn</f>
        <v>0.67</v>
      </c>
    </row>
    <row r="78" customFormat="false" ht="17.15" hidden="false" customHeight="false" outlineLevel="0" collapsed="false">
      <c r="A78" s="8" t="s">
        <v>918</v>
      </c>
      <c r="B78" s="20" t="s">
        <v>461</v>
      </c>
      <c r="N78" s="20" t="s">
        <v>919</v>
      </c>
    </row>
    <row r="79" customFormat="false" ht="17.15" hidden="false" customHeight="false" outlineLevel="0" collapsed="false">
      <c r="A79" s="5" t="s">
        <v>846</v>
      </c>
      <c r="B79" s="0" t="s">
        <v>920</v>
      </c>
      <c r="C79" s="0" t="s">
        <v>75</v>
      </c>
      <c r="D79" s="24" t="str">
        <f aca="false">IF(In!$H$91="","",IF(In!$C$91="設施",In!$H$91/1000/D$13,In!$H$91/1000))</f>
        <v/>
      </c>
      <c r="E79" s="24" t="str">
        <f aca="false">IF(In!$I$91="","",IF(In!$C$91="設施",In!$I$91/1000/E$13,In!$I$91/1000))</f>
        <v/>
      </c>
      <c r="F79" s="24" t="str">
        <f aca="false">IF(In!$J$91="","",IF(In!$C$91="設施",In!$J$91/1000/F$13,In!$J$91/1000))</f>
        <v/>
      </c>
      <c r="G79" s="24" t="str">
        <f aca="false">IF(In!$K$91="","",IF(In!$C$91="設施",In!$K$91/1000/G$13,In!$K$91/1000))</f>
        <v/>
      </c>
      <c r="H79" s="24" t="str">
        <f aca="false">IF(In!$L$91="","",IF(In!$C$91="設施",In!$L$91/1000/H$13,In!$L$91/1000))</f>
        <v/>
      </c>
      <c r="I79" s="24" t="str">
        <f aca="false">IF(In!$M$91="","",IF(In!$C$91="設施",In!$M$91/1000/I$13,In!$M$91/1000))</f>
        <v/>
      </c>
      <c r="J79" s="24" t="str">
        <f aca="false">IF(In!$N$91="","",IF(In!$C$91="設施",In!$N$91/1000/J$13,In!$N$91/1000))</f>
        <v/>
      </c>
      <c r="K79" s="24" t="str">
        <f aca="false">IF(In!$O$91="","",IF(In!$C$91="設施",In!$O$91/1000/K$13,In!$O$91/1000))</f>
        <v/>
      </c>
      <c r="L79" s="24" t="str">
        <f aca="false">IF(In!$P$91="","",IF(In!$C$91="設施",In!$P$91/1000/L$13,In!$P$91/1000))</f>
        <v/>
      </c>
      <c r="M79" s="24" t="str">
        <f aca="false">IF(In!$Q$91="","",IF(In!$C$91="設施",In!$Q$91/1000/M$13,In!$Q$91/1000))</f>
        <v/>
      </c>
    </row>
    <row r="80" customFormat="false" ht="17.15" hidden="false" customHeight="false" outlineLevel="0" collapsed="false">
      <c r="A80" s="5" t="s">
        <v>848</v>
      </c>
      <c r="B80" s="0" t="s">
        <v>921</v>
      </c>
      <c r="C80" s="0" t="s">
        <v>75</v>
      </c>
      <c r="D80" s="24" t="str">
        <f aca="false">IF(In!$H$84="","",In!$H$84*Players!$D$17/1000)</f>
        <v/>
      </c>
      <c r="E80" s="24" t="n">
        <f aca="false">IF(In!$I$84="","",In!$I$84*Players!$D$17/1000)</f>
        <v>0.968475</v>
      </c>
      <c r="F80" s="24" t="n">
        <f aca="false">IF(In!$J$84="","",In!$J$84*Players!$D$17/1000)</f>
        <v>2.476595</v>
      </c>
      <c r="G80" s="24" t="str">
        <f aca="false">IF(In!$K$84="","",In!$K$84*Players!$D$17/1000)</f>
        <v/>
      </c>
      <c r="H80" s="24" t="str">
        <f aca="false">IF(In!$L$84="","",In!$L$84*Players!$D$17/1000)</f>
        <v/>
      </c>
      <c r="I80" s="24" t="str">
        <f aca="false">IF(In!$M$84="","",In!$M$84*Players!$D$17/1000)</f>
        <v/>
      </c>
      <c r="J80" s="24" t="str">
        <f aca="false">IF(In!$N$84="","",In!$N$84*Players!$D$17/1000)</f>
        <v/>
      </c>
      <c r="K80" s="24" t="str">
        <f aca="false">IF(In!$O$84="","",In!$O$84*Players!$D$17/1000)</f>
        <v/>
      </c>
      <c r="L80" s="24" t="str">
        <f aca="false">IF(In!$P$84="","",In!$P$84*Players!$D$17/1000)</f>
        <v/>
      </c>
      <c r="M80" s="24" t="str">
        <f aca="false">IF(In!$Q$84="","",In!$Q$84*Players!$D$17/1000)</f>
        <v/>
      </c>
    </row>
    <row r="81" customFormat="false" ht="15" hidden="false" customHeight="false" outlineLevel="0" collapsed="false">
      <c r="A81" s="5" t="s">
        <v>850</v>
      </c>
      <c r="B81" s="0" t="s">
        <v>922</v>
      </c>
      <c r="C81" s="0" t="s">
        <v>75</v>
      </c>
      <c r="D81" s="0" t="str">
        <f aca="false">IF(D79&lt;&gt;"",D79,IF(D80&lt;&gt;"",D80,""))</f>
        <v/>
      </c>
      <c r="E81" s="24" t="n">
        <f aca="false">IF(E79&lt;&gt;"",E79,IF(E80&lt;&gt;"",E80,""))</f>
        <v>0.968475</v>
      </c>
      <c r="F81" s="24" t="n">
        <f aca="false">IF(F79&lt;&gt;"",F79,IF(F80&lt;&gt;"",F80,""))</f>
        <v>2.476595</v>
      </c>
      <c r="G81" s="0" t="str">
        <f aca="false">IF(G79&lt;&gt;"",G79,IF(G80&lt;&gt;"",G80,""))</f>
        <v/>
      </c>
      <c r="H81" s="0" t="str">
        <f aca="false">IF(H79&lt;&gt;"",H79,IF(H80&lt;&gt;"",H80,""))</f>
        <v/>
      </c>
      <c r="I81" s="0" t="str">
        <f aca="false">IF(I79&lt;&gt;"",I79,IF(I80&lt;&gt;"",I80,""))</f>
        <v/>
      </c>
      <c r="J81" s="0" t="str">
        <f aca="false">IF(J79&lt;&gt;"",J79,IF(J80&lt;&gt;"",J80,""))</f>
        <v/>
      </c>
      <c r="K81" s="0" t="str">
        <f aca="false">IF(K79&lt;&gt;"",K79,IF(K80&lt;&gt;"",K80,""))</f>
        <v/>
      </c>
      <c r="L81" s="0" t="str">
        <f aca="false">IF(L79&lt;&gt;"",L79,IF(L80&lt;&gt;"",L80,""))</f>
        <v/>
      </c>
      <c r="M81" s="0" t="str">
        <f aca="false">IF(M79&lt;&gt;"",M79,IF(M80&lt;&gt;"",M80,""))</f>
        <v/>
      </c>
    </row>
    <row r="82" customFormat="false" ht="15" hidden="false" customHeight="false" outlineLevel="0" collapsed="false">
      <c r="A82" s="5" t="s">
        <v>852</v>
      </c>
      <c r="B82" s="0" t="s">
        <v>923</v>
      </c>
      <c r="C82" s="0" t="s">
        <v>75</v>
      </c>
      <c r="D82" s="0" t="str">
        <f aca="false">IF(D81&lt;&gt;"",D81,"")</f>
        <v/>
      </c>
      <c r="E82" s="24" t="n">
        <f aca="false">IF(E81&lt;&gt;"",E81,D82)</f>
        <v>0.968475</v>
      </c>
      <c r="F82" s="24" t="n">
        <f aca="false">IF(F81&lt;&gt;"",F81,E82)</f>
        <v>2.476595</v>
      </c>
      <c r="G82" s="24" t="n">
        <f aca="false">IF(G81&lt;&gt;"",G81,F82)</f>
        <v>2.476595</v>
      </c>
      <c r="H82" s="24" t="n">
        <f aca="false">IF(H81&lt;&gt;"",H81,G82)</f>
        <v>2.476595</v>
      </c>
      <c r="I82" s="24" t="n">
        <f aca="false">IF(I81&lt;&gt;"",I81,H82)</f>
        <v>2.476595</v>
      </c>
      <c r="J82" s="24" t="n">
        <f aca="false">IF(J81&lt;&gt;"",J81,I82)</f>
        <v>2.476595</v>
      </c>
      <c r="K82" s="24" t="n">
        <f aca="false">IF(K81&lt;&gt;"",K81,J82)</f>
        <v>2.476595</v>
      </c>
      <c r="L82" s="24" t="n">
        <f aca="false">IF(L81&lt;&gt;"",L81,K82)</f>
        <v>2.476595</v>
      </c>
      <c r="M82" s="24" t="n">
        <f aca="false">IF(M81&lt;&gt;"",M81,L82)</f>
        <v>2.476595</v>
      </c>
    </row>
    <row r="83" customFormat="false" ht="15" hidden="false" customHeight="false" outlineLevel="0" collapsed="false">
      <c r="A83" s="5" t="s">
        <v>854</v>
      </c>
      <c r="B83" s="0" t="s">
        <v>924</v>
      </c>
      <c r="C83" s="5" t="s">
        <v>45</v>
      </c>
      <c r="D83" s="0" t="str">
        <f aca="false">IF(D81&lt;&gt;"",2023,"")</f>
        <v/>
      </c>
      <c r="E83" s="0" t="n">
        <f aca="false">IF(E81&lt;&gt;"",2024,D83)</f>
        <v>2024</v>
      </c>
      <c r="F83" s="0" t="n">
        <f aca="false">IF(F81&lt;&gt;"",2025,E83)</f>
        <v>2025</v>
      </c>
      <c r="G83" s="0" t="n">
        <f aca="false">IF(G81&lt;&gt;"",2026,F83)</f>
        <v>2025</v>
      </c>
      <c r="H83" s="0" t="n">
        <f aca="false">IF(H81&lt;&gt;"",2027,G83)</f>
        <v>2025</v>
      </c>
      <c r="I83" s="0" t="n">
        <f aca="false">IF(I81&lt;&gt;"",2028,H83)</f>
        <v>2025</v>
      </c>
      <c r="J83" s="0" t="n">
        <f aca="false">IF(J81&lt;&gt;"",2029,I83)</f>
        <v>2025</v>
      </c>
      <c r="K83" s="0" t="n">
        <f aca="false">IF(K81&lt;&gt;"",2030,J83)</f>
        <v>2025</v>
      </c>
      <c r="L83" s="0" t="n">
        <f aca="false">IF(L81&lt;&gt;"",2031,K83)</f>
        <v>2025</v>
      </c>
      <c r="M83" s="0" t="n">
        <f aca="false">IF(M81&lt;&gt;"",2032,L83)</f>
        <v>2025</v>
      </c>
    </row>
    <row r="84" customFormat="false" ht="15" hidden="false" customHeight="false" outlineLevel="0" collapsed="false">
      <c r="A84" s="5" t="s">
        <v>856</v>
      </c>
      <c r="B84" s="0" t="s">
        <v>925</v>
      </c>
      <c r="C84" s="0" t="s">
        <v>75</v>
      </c>
      <c r="D84" s="24" t="n">
        <f aca="false">IF(D81&lt;&gt;"",D81,E84)</f>
        <v>0.968475</v>
      </c>
      <c r="E84" s="24" t="n">
        <f aca="false">IF(E81&lt;&gt;"",E81,F84)</f>
        <v>0.968475</v>
      </c>
      <c r="F84" s="24" t="n">
        <f aca="false">IF(F81&lt;&gt;"",F81,G84)</f>
        <v>2.476595</v>
      </c>
      <c r="G84" s="0" t="str">
        <f aca="false">IF(G81&lt;&gt;"",G81,H84)</f>
        <v/>
      </c>
      <c r="H84" s="0" t="str">
        <f aca="false">IF(H81&lt;&gt;"",H81,I84)</f>
        <v/>
      </c>
      <c r="I84" s="0" t="str">
        <f aca="false">IF(I81&lt;&gt;"",I81,J84)</f>
        <v/>
      </c>
      <c r="J84" s="0" t="str">
        <f aca="false">IF(J81&lt;&gt;"",J81,K84)</f>
        <v/>
      </c>
      <c r="K84" s="0" t="str">
        <f aca="false">IF(K81&lt;&gt;"",K81,L84)</f>
        <v/>
      </c>
      <c r="L84" s="0" t="str">
        <f aca="false">IF(L81&lt;&gt;"",L81,M84)</f>
        <v/>
      </c>
      <c r="M84" s="0" t="str">
        <f aca="false">IF(M81&lt;&gt;"",M81,"")</f>
        <v/>
      </c>
    </row>
    <row r="85" customFormat="false" ht="15" hidden="false" customHeight="false" outlineLevel="0" collapsed="false">
      <c r="A85" s="5" t="s">
        <v>858</v>
      </c>
      <c r="B85" s="0" t="s">
        <v>926</v>
      </c>
      <c r="C85" s="5" t="s">
        <v>45</v>
      </c>
      <c r="D85" s="0" t="n">
        <f aca="false">IF(D81&lt;&gt;"",2023,E85)</f>
        <v>2024</v>
      </c>
      <c r="E85" s="0" t="n">
        <f aca="false">IF(E81&lt;&gt;"",2024,F85)</f>
        <v>2024</v>
      </c>
      <c r="F85" s="0" t="n">
        <f aca="false">IF(F81&lt;&gt;"",2025,G85)</f>
        <v>2025</v>
      </c>
      <c r="G85" s="0" t="str">
        <f aca="false">IF(G81&lt;&gt;"",2026,H85)</f>
        <v/>
      </c>
      <c r="H85" s="0" t="str">
        <f aca="false">IF(H81&lt;&gt;"",2027,I85)</f>
        <v/>
      </c>
      <c r="I85" s="0" t="str">
        <f aca="false">IF(I81&lt;&gt;"",2028,J85)</f>
        <v/>
      </c>
      <c r="J85" s="0" t="str">
        <f aca="false">IF(J81&lt;&gt;"",2029,K85)</f>
        <v/>
      </c>
      <c r="K85" s="0" t="str">
        <f aca="false">IF(K81&lt;&gt;"",2030,L85)</f>
        <v/>
      </c>
      <c r="L85" s="0" t="str">
        <f aca="false">IF(L81&lt;&gt;"",2031,M85)</f>
        <v/>
      </c>
      <c r="M85" s="0" t="str">
        <f aca="false">IF(M81&lt;&gt;"",2032,"")</f>
        <v/>
      </c>
    </row>
    <row r="86" customFormat="false" ht="17.15" hidden="false" customHeight="false" outlineLevel="0" collapsed="false">
      <c r="A86" s="5" t="s">
        <v>860</v>
      </c>
      <c r="B86" s="0" t="s">
        <v>927</v>
      </c>
      <c r="C86" s="0" t="s">
        <v>75</v>
      </c>
      <c r="D86" s="24" t="n">
        <f aca="false">SUMIFS(Pipeline!$L$5:$L$47,Pipeline!$C$5:$C$47,"meta",Pipeline!$Q$5:$Q$47,1,Pipeline!$P$5:$P$47,2023)</f>
        <v>0</v>
      </c>
      <c r="E86" s="24" t="n">
        <f aca="false">SUMIFS(Pipeline!$L$5:$L$47,Pipeline!$C$5:$C$47,"meta",Pipeline!$Q$5:$Q$47,1,Pipeline!$P$5:$P$47,2024)</f>
        <v>0</v>
      </c>
      <c r="F86" s="24" t="n">
        <f aca="false">SUMIFS(Pipeline!$L$5:$L$47,Pipeline!$C$5:$C$47,"meta",Pipeline!$Q$5:$Q$47,1,Pipeline!$P$5:$P$47,2025)</f>
        <v>0</v>
      </c>
      <c r="G86" s="24" t="n">
        <f aca="false">SUMIFS(Pipeline!$L$5:$L$47,Pipeline!$C$5:$C$47,"meta",Pipeline!$Q$5:$Q$47,1,Pipeline!$P$5:$P$47,2026)</f>
        <v>0.676</v>
      </c>
      <c r="H86" s="24" t="n">
        <f aca="false">SUMIFS(Pipeline!$L$5:$L$47,Pipeline!$C$5:$C$47,"meta",Pipeline!$Q$5:$Q$47,1,Pipeline!$P$5:$P$47,2027)</f>
        <v>0.192</v>
      </c>
      <c r="I86" s="24" t="n">
        <f aca="false">SUMIFS(Pipeline!$L$5:$L$47,Pipeline!$C$5:$C$47,"meta",Pipeline!$Q$5:$Q$47,1,Pipeline!$P$5:$P$47,2028)</f>
        <v>2.786</v>
      </c>
      <c r="J86" s="24" t="n">
        <f aca="false">SUMIFS(Pipeline!$L$5:$L$47,Pipeline!$C$5:$C$47,"meta",Pipeline!$Q$5:$Q$47,1,Pipeline!$P$5:$P$47,2029)</f>
        <v>0.368</v>
      </c>
      <c r="K86" s="24" t="n">
        <f aca="false">SUMIFS(Pipeline!$L$5:$L$47,Pipeline!$C$5:$C$47,"meta",Pipeline!$Q$5:$Q$47,1,Pipeline!$P$5:$P$47,2030)</f>
        <v>0</v>
      </c>
      <c r="L86" s="24" t="n">
        <f aca="false">SUMIFS(Pipeline!$L$5:$L$47,Pipeline!$C$5:$C$47,"meta",Pipeline!$Q$5:$Q$47,1,Pipeline!$P$5:$P$47,2031)</f>
        <v>0</v>
      </c>
      <c r="M86" s="24" t="n">
        <f aca="false">SUMIFS(Pipeline!$L$5:$L$47,Pipeline!$C$5:$C$47,"meta",Pipeline!$Q$5:$Q$47,1,Pipeline!$P$5:$P$47,2032)</f>
        <v>0</v>
      </c>
    </row>
    <row r="87" customFormat="false" ht="17.15" hidden="false" customHeight="false" outlineLevel="0" collapsed="false">
      <c r="A87" s="5" t="s">
        <v>862</v>
      </c>
      <c r="B87" s="0" t="s">
        <v>928</v>
      </c>
      <c r="C87" s="0" t="s">
        <v>75</v>
      </c>
      <c r="D87" s="25" t="str">
        <f aca="false">IF(D81&lt;&gt;"",D81,IF(AND(D82&lt;&gt;"",D84&lt;&gt;""),D82+(D84-D82)*(2023-D83)/(D85-D83),""))</f>
        <v/>
      </c>
      <c r="E87" s="25" t="n">
        <f aca="false">IF(E81&lt;&gt;"",E81,IF(AND(E82&lt;&gt;"",E84&lt;&gt;""),E82+(E84-E82)*(2024-E83)/(E85-E83),IF(D87&lt;&gt;"",D87+E86,"")))</f>
        <v>0.968475</v>
      </c>
      <c r="F87" s="25" t="n">
        <f aca="false">IF(F81&lt;&gt;"",F81,IF(AND(F82&lt;&gt;"",F84&lt;&gt;""),F82+(F84-F82)*(2025-F83)/(F85-F83),IF(E87&lt;&gt;"",E87+F86,"")))</f>
        <v>2.476595</v>
      </c>
      <c r="G87" s="25" t="n">
        <f aca="false">IF(G81&lt;&gt;"",G81,IF(AND(G82&lt;&gt;"",G84&lt;&gt;""),G82+(G84-G82)*(2026-G83)/(G85-G83),IF(F87&lt;&gt;"",F87+G86,"")))</f>
        <v>3.152595</v>
      </c>
      <c r="H87" s="25" t="n">
        <f aca="false">IF(H81&lt;&gt;"",H81,IF(AND(H82&lt;&gt;"",H84&lt;&gt;""),H82+(H84-H82)*(2027-H83)/(H85-H83),IF(G87&lt;&gt;"",G87+H86,"")))</f>
        <v>3.344595</v>
      </c>
      <c r="I87" s="25" t="n">
        <f aca="false">IF(I81&lt;&gt;"",I81,IF(AND(I82&lt;&gt;"",I84&lt;&gt;""),I82+(I84-I82)*(2028-I83)/(I85-I83),IF(H87&lt;&gt;"",H87+I86,"")))</f>
        <v>6.130595</v>
      </c>
      <c r="J87" s="25" t="n">
        <f aca="false">IF(J81&lt;&gt;"",J81,IF(AND(J82&lt;&gt;"",J84&lt;&gt;""),J82+(J84-J82)*(2029-J83)/(J85-J83),IF(I87&lt;&gt;"",I87+J86,"")))</f>
        <v>6.498595</v>
      </c>
      <c r="K87" s="25" t="n">
        <f aca="false">IF(K81&lt;&gt;"",K81,IF(AND(K82&lt;&gt;"",K84&lt;&gt;""),K82+(K84-K82)*(2030-K83)/(K85-K83),IF(J87&lt;&gt;"",J87+K86,"")))</f>
        <v>6.498595</v>
      </c>
      <c r="L87" s="25" t="n">
        <f aca="false">IF(L81&lt;&gt;"",L81,IF(AND(L82&lt;&gt;"",L84&lt;&gt;""),L82+(L84-L82)*(2031-L83)/(L85-L83),IF(K87&lt;&gt;"",K87+L86,"")))</f>
        <v>6.498595</v>
      </c>
      <c r="M87" s="25" t="n">
        <f aca="false">IF(M81&lt;&gt;"",M81,IF(AND(M82&lt;&gt;"",M84&lt;&gt;""),M82+(M84-M82)*(2032-M83)/(M85-M83),IF(L87&lt;&gt;"",L87+M86,"")))</f>
        <v>6.498595</v>
      </c>
    </row>
    <row r="88" customFormat="false" ht="15" hidden="false" customHeight="false" outlineLevel="0" collapsed="false">
      <c r="A88" s="5" t="s">
        <v>864</v>
      </c>
      <c r="B88" s="0" t="s">
        <v>929</v>
      </c>
      <c r="C88" s="0" t="s">
        <v>33</v>
      </c>
      <c r="D88" s="0" t="n">
        <f aca="false">IF(D79&lt;&gt;"",1,IF(D80&lt;&gt;"",5,IF(D81&lt;&gt;"",2,IF(AND(D82&lt;&gt;"",D84&lt;&gt;""),3,IF(D87&lt;&gt;"",4,0)))))</f>
        <v>0</v>
      </c>
      <c r="E88" s="0" t="n">
        <f aca="false">IF(E79&lt;&gt;"",1,IF(E80&lt;&gt;"",5,IF(E81&lt;&gt;"",2,IF(AND(E82&lt;&gt;"",E84&lt;&gt;""),3,IF(E87&lt;&gt;"",4,0)))))</f>
        <v>5</v>
      </c>
      <c r="F88" s="0" t="n">
        <f aca="false">IF(F79&lt;&gt;"",1,IF(F80&lt;&gt;"",5,IF(F81&lt;&gt;"",2,IF(AND(F82&lt;&gt;"",F84&lt;&gt;""),3,IF(F87&lt;&gt;"",4,0)))))</f>
        <v>5</v>
      </c>
      <c r="G88" s="0" t="n">
        <f aca="false">IF(G79&lt;&gt;"",1,IF(G80&lt;&gt;"",5,IF(G81&lt;&gt;"",2,IF(AND(G82&lt;&gt;"",G84&lt;&gt;""),3,IF(G87&lt;&gt;"",4,0)))))</f>
        <v>4</v>
      </c>
      <c r="H88" s="0" t="n">
        <f aca="false">IF(H79&lt;&gt;"",1,IF(H80&lt;&gt;"",5,IF(H81&lt;&gt;"",2,IF(AND(H82&lt;&gt;"",H84&lt;&gt;""),3,IF(H87&lt;&gt;"",4,0)))))</f>
        <v>4</v>
      </c>
      <c r="I88" s="0" t="n">
        <f aca="false">IF(I79&lt;&gt;"",1,IF(I80&lt;&gt;"",5,IF(I81&lt;&gt;"",2,IF(AND(I82&lt;&gt;"",I84&lt;&gt;""),3,IF(I87&lt;&gt;"",4,0)))))</f>
        <v>4</v>
      </c>
      <c r="J88" s="0" t="n">
        <f aca="false">IF(J79&lt;&gt;"",1,IF(J80&lt;&gt;"",5,IF(J81&lt;&gt;"",2,IF(AND(J82&lt;&gt;"",J84&lt;&gt;""),3,IF(J87&lt;&gt;"",4,0)))))</f>
        <v>4</v>
      </c>
      <c r="K88" s="0" t="n">
        <f aca="false">IF(K79&lt;&gt;"",1,IF(K80&lt;&gt;"",5,IF(K81&lt;&gt;"",2,IF(AND(K82&lt;&gt;"",K84&lt;&gt;""),3,IF(K87&lt;&gt;"",4,0)))))</f>
        <v>4</v>
      </c>
      <c r="L88" s="0" t="n">
        <f aca="false">IF(L79&lt;&gt;"",1,IF(L80&lt;&gt;"",5,IF(L81&lt;&gt;"",2,IF(AND(L82&lt;&gt;"",L84&lt;&gt;""),3,IF(L87&lt;&gt;"",4,0)))))</f>
        <v>4</v>
      </c>
      <c r="M88" s="0" t="n">
        <f aca="false">IF(M79&lt;&gt;"",1,IF(M80&lt;&gt;"",5,IF(M81&lt;&gt;"",2,IF(AND(M82&lt;&gt;"",M84&lt;&gt;""),3,IF(M87&lt;&gt;"",4,0)))))</f>
        <v>4</v>
      </c>
    </row>
    <row r="89" customFormat="false" ht="17.15" hidden="false" customHeight="false" outlineLevel="0" collapsed="false">
      <c r="A89" s="5" t="s">
        <v>866</v>
      </c>
      <c r="B89" s="0" t="s">
        <v>930</v>
      </c>
      <c r="C89" s="0" t="s">
        <v>75</v>
      </c>
      <c r="D89" s="24" t="str">
        <f aca="false">IF(D87="","",IF(AND(D88=5,In!$H$84&lt;&gt;""),In!$H$84*Players!$E$17/1000,D87))</f>
        <v/>
      </c>
      <c r="E89" s="24" t="n">
        <f aca="false">IF(E87="","",IF(AND(E88=5,In!$I$84&lt;&gt;""),In!$I$84*Players!$E$17/1000,E87))</f>
        <v>0.863775</v>
      </c>
      <c r="F89" s="24" t="n">
        <f aca="false">IF(F87="","",IF(AND(F88=5,In!$J$84&lt;&gt;""),In!$J$84*Players!$E$17/1000,F87))</f>
        <v>2.208855</v>
      </c>
      <c r="G89" s="24" t="n">
        <f aca="false">IF(G87="","",IF(AND(G88=5,In!$K$84&lt;&gt;""),In!$K$84*Players!$E$17/1000,G87))</f>
        <v>3.152595</v>
      </c>
      <c r="H89" s="24" t="n">
        <f aca="false">IF(H87="","",IF(AND(H88=5,In!$L$84&lt;&gt;""),In!$L$84*Players!$E$17/1000,H87))</f>
        <v>3.344595</v>
      </c>
      <c r="I89" s="24" t="n">
        <f aca="false">IF(I87="","",IF(AND(I88=5,In!$M$84&lt;&gt;""),In!$M$84*Players!$E$17/1000,I87))</f>
        <v>6.130595</v>
      </c>
      <c r="J89" s="24" t="n">
        <f aca="false">IF(J87="","",IF(AND(J88=5,In!$N$84&lt;&gt;""),In!$N$84*Players!$E$17/1000,J87))</f>
        <v>6.498595</v>
      </c>
      <c r="K89" s="24" t="n">
        <f aca="false">IF(K87="","",IF(AND(K88=5,In!$O$84&lt;&gt;""),In!$O$84*Players!$E$17/1000,K87))</f>
        <v>6.498595</v>
      </c>
      <c r="L89" s="24" t="n">
        <f aca="false">IF(L87="","",IF(AND(L88=5,In!$P$84&lt;&gt;""),In!$P$84*Players!$E$17/1000,L87))</f>
        <v>6.498595</v>
      </c>
      <c r="M89" s="24" t="n">
        <f aca="false">IF(M87="","",IF(AND(M88=5,In!$Q$84&lt;&gt;""),In!$Q$84*Players!$E$17/1000,M87))</f>
        <v>6.498595</v>
      </c>
    </row>
    <row r="90" customFormat="false" ht="17.15" hidden="false" customHeight="false" outlineLevel="0" collapsed="false">
      <c r="A90" s="5" t="s">
        <v>868</v>
      </c>
      <c r="B90" s="0" t="s">
        <v>931</v>
      </c>
      <c r="C90" s="0" t="s">
        <v>75</v>
      </c>
      <c r="D90" s="24" t="str">
        <f aca="false">IF(D87="","",IF(AND(D88=5,In!$H$84&lt;&gt;""),In!$H$84*Players!$F$17/1000,D87))</f>
        <v/>
      </c>
      <c r="E90" s="24" t="n">
        <f aca="false">IF(E87="","",IF(AND(E88=5,In!$I$84&lt;&gt;""),In!$I$84*Players!$F$17/1000,E87))</f>
        <v>1.08888</v>
      </c>
      <c r="F90" s="24" t="n">
        <f aca="false">IF(F87="","",IF(AND(F88=5,In!$J$84&lt;&gt;""),In!$J$84*Players!$F$17/1000,F87))</f>
        <v>2.784496</v>
      </c>
      <c r="G90" s="24" t="n">
        <f aca="false">IF(G87="","",IF(AND(G88=5,In!$K$84&lt;&gt;""),In!$K$84*Players!$F$17/1000,G87))</f>
        <v>3.152595</v>
      </c>
      <c r="H90" s="24" t="n">
        <f aca="false">IF(H87="","",IF(AND(H88=5,In!$L$84&lt;&gt;""),In!$L$84*Players!$F$17/1000,H87))</f>
        <v>3.344595</v>
      </c>
      <c r="I90" s="24" t="n">
        <f aca="false">IF(I87="","",IF(AND(I88=5,In!$M$84&lt;&gt;""),In!$M$84*Players!$F$17/1000,I87))</f>
        <v>6.130595</v>
      </c>
      <c r="J90" s="24" t="n">
        <f aca="false">IF(J87="","",IF(AND(J88=5,In!$N$84&lt;&gt;""),In!$N$84*Players!$F$17/1000,J87))</f>
        <v>6.498595</v>
      </c>
      <c r="K90" s="24" t="n">
        <f aca="false">IF(K87="","",IF(AND(K88=5,In!$O$84&lt;&gt;""),In!$O$84*Players!$F$17/1000,K87))</f>
        <v>6.498595</v>
      </c>
      <c r="L90" s="24" t="n">
        <f aca="false">IF(L87="","",IF(AND(L88=5,In!$P$84&lt;&gt;""),In!$P$84*Players!$F$17/1000,L87))</f>
        <v>6.498595</v>
      </c>
      <c r="M90" s="24" t="n">
        <f aca="false">IF(M87="","",IF(AND(M88=5,In!$Q$84&lt;&gt;""),In!$Q$84*Players!$F$17/1000,M87))</f>
        <v>6.498595</v>
      </c>
    </row>
    <row r="91" customFormat="false" ht="17.15" hidden="false" customHeight="false" outlineLevel="0" collapsed="false">
      <c r="A91" s="5" t="s">
        <v>870</v>
      </c>
      <c r="B91" s="0" t="s">
        <v>932</v>
      </c>
      <c r="C91" s="0" t="s">
        <v>75</v>
      </c>
      <c r="D91" s="24" t="str">
        <f aca="false">IF(D87="","",IF(In!$C$91="未說明",D87/D$13,D87))</f>
        <v/>
      </c>
      <c r="E91" s="24" t="n">
        <f aca="false">IF(E87="","",IF(In!$C$91="未說明",E87/E$13,E87))</f>
        <v>0.968475</v>
      </c>
      <c r="F91" s="24" t="n">
        <f aca="false">IF(F87="","",IF(In!$C$91="未說明",F87/F$13,F87))</f>
        <v>2.476595</v>
      </c>
      <c r="G91" s="24" t="n">
        <f aca="false">IF(G87="","",IF(In!$C$91="未說明",G87/G$13,G87))</f>
        <v>3.152595</v>
      </c>
      <c r="H91" s="24" t="n">
        <f aca="false">IF(H87="","",IF(In!$C$91="未說明",H87/H$13,H87))</f>
        <v>3.344595</v>
      </c>
      <c r="I91" s="24" t="n">
        <f aca="false">IF(I87="","",IF(In!$C$91="未說明",I87/I$13,I87))</f>
        <v>6.130595</v>
      </c>
      <c r="J91" s="24" t="n">
        <f aca="false">IF(J87="","",IF(In!$C$91="未說明",J87/J$13,J87))</f>
        <v>6.498595</v>
      </c>
      <c r="K91" s="24" t="n">
        <f aca="false">IF(K87="","",IF(In!$C$91="未說明",K87/K$13,K87))</f>
        <v>6.498595</v>
      </c>
      <c r="L91" s="24" t="n">
        <f aca="false">IF(L87="","",IF(In!$C$91="未說明",L87/L$13,L87))</f>
        <v>6.498595</v>
      </c>
      <c r="M91" s="24" t="n">
        <f aca="false">IF(M87="","",IF(In!$C$91="未說明",M87/M$13,M87))</f>
        <v>6.498595</v>
      </c>
    </row>
    <row r="92" customFormat="false" ht="17.15" hidden="false" customHeight="false" outlineLevel="0" collapsed="false">
      <c r="A92" s="5" t="s">
        <v>872</v>
      </c>
      <c r="B92" s="0" t="s">
        <v>933</v>
      </c>
      <c r="C92" s="0" t="s">
        <v>75</v>
      </c>
      <c r="D92" s="0" t="str">
        <f aca="false">""</f>
        <v/>
      </c>
      <c r="E92" s="24" t="str">
        <f aca="false">IF(AND(D87&lt;&gt;"",E87&lt;&gt;""),(D87+E87)/2,"")</f>
        <v/>
      </c>
      <c r="F92" s="24" t="n">
        <f aca="false">IF(AND(E87&lt;&gt;"",F87&lt;&gt;""),(E87+F87)/2,"")</f>
        <v>1.722535</v>
      </c>
      <c r="G92" s="24" t="n">
        <f aca="false">IF(AND(F87&lt;&gt;"",G87&lt;&gt;""),(F87+G87)/2,"")</f>
        <v>2.814595</v>
      </c>
      <c r="H92" s="24" t="n">
        <f aca="false">IF(AND(G87&lt;&gt;"",H87&lt;&gt;""),(G87+H87)/2,"")</f>
        <v>3.248595</v>
      </c>
      <c r="I92" s="24" t="n">
        <f aca="false">IF(AND(H87&lt;&gt;"",I87&lt;&gt;""),(H87+I87)/2,"")</f>
        <v>4.737595</v>
      </c>
      <c r="J92" s="24" t="n">
        <f aca="false">IF(AND(I87&lt;&gt;"",J87&lt;&gt;""),(I87+J87)/2,"")</f>
        <v>6.314595</v>
      </c>
      <c r="K92" s="24" t="n">
        <f aca="false">IF(AND(J87&lt;&gt;"",K87&lt;&gt;""),(J87+K87)/2,"")</f>
        <v>6.498595</v>
      </c>
      <c r="L92" s="24" t="n">
        <f aca="false">IF(AND(K87&lt;&gt;"",L87&lt;&gt;""),(K87+L87)/2,"")</f>
        <v>6.498595</v>
      </c>
      <c r="M92" s="24" t="n">
        <f aca="false">IF(AND(L87&lt;&gt;"",M87&lt;&gt;""),(L87+M87)/2,"")</f>
        <v>6.498595</v>
      </c>
    </row>
    <row r="93" customFormat="false" ht="17.15" hidden="false" customHeight="false" outlineLevel="0" collapsed="false">
      <c r="A93" s="5" t="s">
        <v>874</v>
      </c>
      <c r="B93" s="0" t="s">
        <v>934</v>
      </c>
      <c r="C93" s="0" t="s">
        <v>75</v>
      </c>
      <c r="D93" s="0" t="n">
        <v>0</v>
      </c>
      <c r="E93" s="24" t="n">
        <f aca="false">IF(AND(D87&lt;&gt;"",E87&lt;&gt;""),E87-D87,0)</f>
        <v>0</v>
      </c>
      <c r="F93" s="24" t="n">
        <f aca="false">IF(AND(E87&lt;&gt;"",F87&lt;&gt;""),F87-E87,0)</f>
        <v>1.50812</v>
      </c>
      <c r="G93" s="24" t="n">
        <f aca="false">IF(AND(F87&lt;&gt;"",G87&lt;&gt;""),G87-F87,0)</f>
        <v>0.676</v>
      </c>
      <c r="H93" s="24" t="n">
        <f aca="false">IF(AND(G87&lt;&gt;"",H87&lt;&gt;""),H87-G87,0)</f>
        <v>0.192</v>
      </c>
      <c r="I93" s="24" t="n">
        <f aca="false">IF(AND(H87&lt;&gt;"",I87&lt;&gt;""),I87-H87,0)</f>
        <v>2.786</v>
      </c>
      <c r="J93" s="24" t="n">
        <f aca="false">IF(AND(I87&lt;&gt;"",J87&lt;&gt;""),J87-I87,0)</f>
        <v>0.368</v>
      </c>
      <c r="K93" s="24" t="n">
        <f aca="false">IF(AND(J87&lt;&gt;"",K87&lt;&gt;""),K87-J87,0)</f>
        <v>0</v>
      </c>
      <c r="L93" s="24" t="n">
        <f aca="false">IF(AND(K87&lt;&gt;"",L87&lt;&gt;""),L87-K87,0)</f>
        <v>0</v>
      </c>
      <c r="M93" s="24" t="n">
        <f aca="false">IF(AND(L87&lt;&gt;"",M87&lt;&gt;""),M87-L87,0)</f>
        <v>0</v>
      </c>
    </row>
    <row r="94" customFormat="false" ht="17.15" hidden="false" customHeight="false" outlineLevel="0" collapsed="false">
      <c r="A94" s="5" t="s">
        <v>876</v>
      </c>
      <c r="B94" s="0" t="s">
        <v>935</v>
      </c>
      <c r="C94" s="0" t="s">
        <v>75</v>
      </c>
      <c r="D94" s="24" t="n">
        <f aca="false">IF(D87&lt;&gt;"",D87,0)</f>
        <v>0</v>
      </c>
      <c r="E94" s="24" t="n">
        <f aca="false">IF(AND(D87="",E87&lt;&gt;""),E87,0)</f>
        <v>0.968475</v>
      </c>
      <c r="F94" s="24" t="n">
        <f aca="false">IF(AND(E87="",F87&lt;&gt;""),F87,0)</f>
        <v>0</v>
      </c>
      <c r="G94" s="24" t="n">
        <f aca="false">IF(AND(F87="",G87&lt;&gt;""),G87,0)</f>
        <v>0</v>
      </c>
      <c r="H94" s="24" t="n">
        <f aca="false">IF(AND(G87="",H87&lt;&gt;""),H87,0)</f>
        <v>0</v>
      </c>
      <c r="I94" s="24" t="n">
        <f aca="false">IF(AND(H87="",I87&lt;&gt;""),I87,0)</f>
        <v>0</v>
      </c>
      <c r="J94" s="24" t="n">
        <f aca="false">IF(AND(I87="",J87&lt;&gt;""),J87,0)</f>
        <v>0</v>
      </c>
      <c r="K94" s="24" t="n">
        <f aca="false">IF(AND(J87="",K87&lt;&gt;""),K87,0)</f>
        <v>0</v>
      </c>
      <c r="L94" s="24" t="n">
        <f aca="false">IF(AND(K87="",L87&lt;&gt;""),L87,0)</f>
        <v>0</v>
      </c>
      <c r="M94" s="24" t="n">
        <f aca="false">IF(AND(L87="",M87&lt;&gt;""),M87,0)</f>
        <v>0</v>
      </c>
    </row>
    <row r="95" customFormat="false" ht="17.15" hidden="false" customHeight="false" outlineLevel="0" collapsed="false">
      <c r="A95" s="5" t="s">
        <v>878</v>
      </c>
      <c r="B95" s="0" t="s">
        <v>936</v>
      </c>
      <c r="C95" s="0" t="s">
        <v>50</v>
      </c>
      <c r="D95" s="23" t="n">
        <f aca="false">D$12</f>
        <v>0.238210067173108</v>
      </c>
      <c r="E95" s="23" t="n">
        <f aca="false">E$12</f>
        <v>0.238210067173108</v>
      </c>
      <c r="F95" s="23" t="n">
        <f aca="false">F$12</f>
        <v>0.238210067173108</v>
      </c>
      <c r="G95" s="23" t="n">
        <f aca="false">G$12</f>
        <v>0.238210067173108</v>
      </c>
      <c r="H95" s="23" t="n">
        <f aca="false">H$12</f>
        <v>0.273101862203342</v>
      </c>
      <c r="I95" s="23" t="n">
        <f aca="false">I$12</f>
        <v>0.269621396123668</v>
      </c>
      <c r="J95" s="23" t="n">
        <f aca="false">J$12</f>
        <v>0.272187509408712</v>
      </c>
      <c r="K95" s="23" t="n">
        <f aca="false">K$12</f>
        <v>0.272187509408712</v>
      </c>
      <c r="L95" s="23" t="n">
        <f aca="false">L$12</f>
        <v>0.272187509408712</v>
      </c>
      <c r="M95" s="23" t="n">
        <f aca="false">M$12</f>
        <v>0.272187509408712</v>
      </c>
    </row>
    <row r="97" customFormat="false" ht="17.15" hidden="false" customHeight="false" outlineLevel="0" collapsed="false">
      <c r="A97" s="8" t="s">
        <v>937</v>
      </c>
      <c r="B97" s="20" t="s">
        <v>465</v>
      </c>
      <c r="N97" s="20" t="s">
        <v>938</v>
      </c>
    </row>
    <row r="98" customFormat="false" ht="17.15" hidden="false" customHeight="false" outlineLevel="0" collapsed="false">
      <c r="A98" s="5" t="s">
        <v>846</v>
      </c>
      <c r="B98" s="0" t="s">
        <v>939</v>
      </c>
      <c r="C98" s="0" t="s">
        <v>75</v>
      </c>
      <c r="D98" s="24" t="str">
        <f aca="false">IF(In!$H$92="","",IF(In!$C$92="設施",In!$H$92/1000/D$13,In!$H$92/1000))</f>
        <v/>
      </c>
      <c r="E98" s="24" t="str">
        <f aca="false">IF(In!$I$92="","",IF(In!$C$92="設施",In!$I$92/1000/E$13,In!$I$92/1000))</f>
        <v/>
      </c>
      <c r="F98" s="24" t="str">
        <f aca="false">IF(In!$J$92="","",IF(In!$C$92="設施",In!$J$92/1000/F$13,In!$J$92/1000))</f>
        <v/>
      </c>
      <c r="G98" s="24" t="str">
        <f aca="false">IF(In!$K$92="","",IF(In!$C$92="設施",In!$K$92/1000/G$13,In!$K$92/1000))</f>
        <v/>
      </c>
      <c r="H98" s="24" t="str">
        <f aca="false">IF(In!$L$92="","",IF(In!$C$92="設施",In!$L$92/1000/H$13,In!$L$92/1000))</f>
        <v/>
      </c>
      <c r="I98" s="24" t="str">
        <f aca="false">IF(In!$M$92="","",IF(In!$C$92="設施",In!$M$92/1000/I$13,In!$M$92/1000))</f>
        <v/>
      </c>
      <c r="J98" s="24" t="str">
        <f aca="false">IF(In!$N$92="","",IF(In!$C$92="設施",In!$N$92/1000/J$13,In!$N$92/1000))</f>
        <v/>
      </c>
      <c r="K98" s="24" t="str">
        <f aca="false">IF(In!$O$92="","",IF(In!$C$92="設施",In!$O$92/1000/K$13,In!$O$92/1000))</f>
        <v/>
      </c>
      <c r="L98" s="24" t="str">
        <f aca="false">IF(In!$P$92="","",IF(In!$C$92="設施",In!$P$92/1000/L$13,In!$P$92/1000))</f>
        <v/>
      </c>
      <c r="M98" s="24" t="str">
        <f aca="false">IF(In!$Q$92="","",IF(In!$C$92="設施",In!$Q$92/1000/M$13,In!$Q$92/1000))</f>
        <v/>
      </c>
    </row>
    <row r="99" customFormat="false" ht="17.15" hidden="false" customHeight="false" outlineLevel="0" collapsed="false">
      <c r="A99" s="5" t="s">
        <v>848</v>
      </c>
      <c r="B99" s="0" t="s">
        <v>940</v>
      </c>
      <c r="C99" s="0" t="s">
        <v>75</v>
      </c>
      <c r="D99" s="24" t="str">
        <f aca="false">IF(In!$H$85="","",In!$H$85*Players!$D$18/1000)</f>
        <v/>
      </c>
      <c r="E99" s="24" t="n">
        <f aca="false">IF(In!$I$85="","",In!$I$85*Players!$D$18/1000)</f>
        <v>0.386465</v>
      </c>
      <c r="F99" s="24" t="n">
        <f aca="false">IF(In!$J$85="","",In!$J$85*Players!$D$18/1000)</f>
        <v>1.20287</v>
      </c>
      <c r="G99" s="24" t="str">
        <f aca="false">IF(In!$K$85="","",In!$K$85*Players!$D$18/1000)</f>
        <v/>
      </c>
      <c r="H99" s="24" t="str">
        <f aca="false">IF(In!$L$85="","",In!$L$85*Players!$D$18/1000)</f>
        <v/>
      </c>
      <c r="I99" s="24" t="str">
        <f aca="false">IF(In!$M$85="","",In!$M$85*Players!$D$18/1000)</f>
        <v/>
      </c>
      <c r="J99" s="24" t="str">
        <f aca="false">IF(In!$N$85="","",In!$N$85*Players!$D$18/1000)</f>
        <v/>
      </c>
      <c r="K99" s="24" t="str">
        <f aca="false">IF(In!$O$85="","",In!$O$85*Players!$D$18/1000)</f>
        <v/>
      </c>
      <c r="L99" s="24" t="str">
        <f aca="false">IF(In!$P$85="","",In!$P$85*Players!$D$18/1000)</f>
        <v/>
      </c>
      <c r="M99" s="24" t="str">
        <f aca="false">IF(In!$Q$85="","",In!$Q$85*Players!$D$18/1000)</f>
        <v/>
      </c>
    </row>
    <row r="100" customFormat="false" ht="15" hidden="false" customHeight="false" outlineLevel="0" collapsed="false">
      <c r="A100" s="5" t="s">
        <v>850</v>
      </c>
      <c r="B100" s="0" t="s">
        <v>941</v>
      </c>
      <c r="C100" s="0" t="s">
        <v>75</v>
      </c>
      <c r="D100" s="24" t="str">
        <f aca="false">IF(D98&lt;&gt;"",D98,IF(D99&lt;&gt;"",D99,IF(INT(obsd_orcl)=2023,obs_orcl/1000+SUMIFS(Pipeline!$L$5:$L$47,Pipeline!$C$5:$C$47,"orcl",Pipeline!$Q$5:$Q$47,1,Pipeline!$K$5:$K$47,"&gt;"&amp;obsd_orcl,Pipeline!$K$5:$K$47,"&lt;="&amp;2024),"")))</f>
        <v/>
      </c>
      <c r="E100" s="24" t="n">
        <f aca="false">IF(E98&lt;&gt;"",E98,IF(E99&lt;&gt;"",E99,IF(INT(obsd_orcl)=2024,obs_orcl/1000+SUMIFS(Pipeline!$L$5:$L$47,Pipeline!$C$5:$C$47,"orcl",Pipeline!$Q$5:$Q$47,1,Pipeline!$K$5:$K$47,"&gt;"&amp;obsd_orcl,Pipeline!$K$5:$K$47,"&lt;="&amp;2025),"")))</f>
        <v>0.386465</v>
      </c>
      <c r="F100" s="24" t="n">
        <f aca="false">IF(F98&lt;&gt;"",F98,IF(F99&lt;&gt;"",F99,IF(INT(obsd_orcl)=2025,obs_orcl/1000+SUMIFS(Pipeline!$L$5:$L$47,Pipeline!$C$5:$C$47,"orcl",Pipeline!$Q$5:$Q$47,1,Pipeline!$K$5:$K$47,"&gt;"&amp;obsd_orcl,Pipeline!$K$5:$K$47,"&lt;="&amp;2026),"")))</f>
        <v>1.20287</v>
      </c>
      <c r="G100" s="24" t="n">
        <f aca="false">IF(G98&lt;&gt;"",G98,IF(G99&lt;&gt;"",G99,IF(INT(obsd_orcl)=2026,obs_orcl/1000+SUMIFS(Pipeline!$L$5:$L$47,Pipeline!$C$5:$C$47,"orcl",Pipeline!$Q$5:$Q$47,1,Pipeline!$K$5:$K$47,"&gt;"&amp;obsd_orcl,Pipeline!$K$5:$K$47,"&lt;="&amp;2027),"")))</f>
        <v>2.749</v>
      </c>
      <c r="H100" s="24" t="str">
        <f aca="false">IF(H98&lt;&gt;"",H98,IF(H99&lt;&gt;"",H99,IF(INT(obsd_orcl)=2027,obs_orcl/1000+SUMIFS(Pipeline!$L$5:$L$47,Pipeline!$C$5:$C$47,"orcl",Pipeline!$Q$5:$Q$47,1,Pipeline!$K$5:$K$47,"&gt;"&amp;obsd_orcl,Pipeline!$K$5:$K$47,"&lt;="&amp;2028),"")))</f>
        <v/>
      </c>
      <c r="I100" s="24" t="str">
        <f aca="false">IF(I98&lt;&gt;"",I98,IF(I99&lt;&gt;"",I99,IF(INT(obsd_orcl)=2028,obs_orcl/1000+SUMIFS(Pipeline!$L$5:$L$47,Pipeline!$C$5:$C$47,"orcl",Pipeline!$Q$5:$Q$47,1,Pipeline!$K$5:$K$47,"&gt;"&amp;obsd_orcl,Pipeline!$K$5:$K$47,"&lt;="&amp;2029),"")))</f>
        <v/>
      </c>
      <c r="J100" s="24" t="str">
        <f aca="false">IF(J98&lt;&gt;"",J98,IF(J99&lt;&gt;"",J99,IF(INT(obsd_orcl)=2029,obs_orcl/1000+SUMIFS(Pipeline!$L$5:$L$47,Pipeline!$C$5:$C$47,"orcl",Pipeline!$Q$5:$Q$47,1,Pipeline!$K$5:$K$47,"&gt;"&amp;obsd_orcl,Pipeline!$K$5:$K$47,"&lt;="&amp;2030),"")))</f>
        <v/>
      </c>
      <c r="K100" s="24" t="str">
        <f aca="false">IF(K98&lt;&gt;"",K98,IF(K99&lt;&gt;"",K99,IF(INT(obsd_orcl)=2030,obs_orcl/1000+SUMIFS(Pipeline!$L$5:$L$47,Pipeline!$C$5:$C$47,"orcl",Pipeline!$Q$5:$Q$47,1,Pipeline!$K$5:$K$47,"&gt;"&amp;obsd_orcl,Pipeline!$K$5:$K$47,"&lt;="&amp;2031),"")))</f>
        <v/>
      </c>
      <c r="L100" s="24" t="str">
        <f aca="false">IF(L98&lt;&gt;"",L98,IF(L99&lt;&gt;"",L99,IF(INT(obsd_orcl)=2031,obs_orcl/1000+SUMIFS(Pipeline!$L$5:$L$47,Pipeline!$C$5:$C$47,"orcl",Pipeline!$Q$5:$Q$47,1,Pipeline!$K$5:$K$47,"&gt;"&amp;obsd_orcl,Pipeline!$K$5:$K$47,"&lt;="&amp;2032),"")))</f>
        <v/>
      </c>
      <c r="M100" s="24" t="str">
        <f aca="false">IF(M98&lt;&gt;"",M98,IF(M99&lt;&gt;"",M99,IF(INT(obsd_orcl)=2032,obs_orcl/1000+SUMIFS(Pipeline!$L$5:$L$47,Pipeline!$C$5:$C$47,"orcl",Pipeline!$Q$5:$Q$47,1,Pipeline!$K$5:$K$47,"&gt;"&amp;obsd_orcl,Pipeline!$K$5:$K$47,"&lt;="&amp;2033),"")))</f>
        <v/>
      </c>
    </row>
    <row r="101" customFormat="false" ht="15" hidden="false" customHeight="false" outlineLevel="0" collapsed="false">
      <c r="A101" s="5" t="s">
        <v>852</v>
      </c>
      <c r="B101" s="0" t="s">
        <v>942</v>
      </c>
      <c r="C101" s="0" t="s">
        <v>75</v>
      </c>
      <c r="D101" s="0" t="str">
        <f aca="false">IF(D100&lt;&gt;"",D100,"")</f>
        <v/>
      </c>
      <c r="E101" s="24" t="n">
        <f aca="false">IF(E100&lt;&gt;"",E100,D101)</f>
        <v>0.386465</v>
      </c>
      <c r="F101" s="24" t="n">
        <f aca="false">IF(F100&lt;&gt;"",F100,E101)</f>
        <v>1.20287</v>
      </c>
      <c r="G101" s="24" t="n">
        <f aca="false">IF(G100&lt;&gt;"",G100,F101)</f>
        <v>2.749</v>
      </c>
      <c r="H101" s="24" t="n">
        <f aca="false">IF(H100&lt;&gt;"",H100,G101)</f>
        <v>2.749</v>
      </c>
      <c r="I101" s="24" t="n">
        <f aca="false">IF(I100&lt;&gt;"",I100,H101)</f>
        <v>2.749</v>
      </c>
      <c r="J101" s="24" t="n">
        <f aca="false">IF(J100&lt;&gt;"",J100,I101)</f>
        <v>2.749</v>
      </c>
      <c r="K101" s="24" t="n">
        <f aca="false">IF(K100&lt;&gt;"",K100,J101)</f>
        <v>2.749</v>
      </c>
      <c r="L101" s="24" t="n">
        <f aca="false">IF(L100&lt;&gt;"",L100,K101)</f>
        <v>2.749</v>
      </c>
      <c r="M101" s="24" t="n">
        <f aca="false">IF(M100&lt;&gt;"",M100,L101)</f>
        <v>2.749</v>
      </c>
    </row>
    <row r="102" customFormat="false" ht="15" hidden="false" customHeight="false" outlineLevel="0" collapsed="false">
      <c r="A102" s="5" t="s">
        <v>854</v>
      </c>
      <c r="B102" s="0" t="s">
        <v>943</v>
      </c>
      <c r="C102" s="5" t="s">
        <v>45</v>
      </c>
      <c r="D102" s="0" t="str">
        <f aca="false">IF(D100&lt;&gt;"",2023,"")</f>
        <v/>
      </c>
      <c r="E102" s="0" t="n">
        <f aca="false">IF(E100&lt;&gt;"",2024,D102)</f>
        <v>2024</v>
      </c>
      <c r="F102" s="0" t="n">
        <f aca="false">IF(F100&lt;&gt;"",2025,E102)</f>
        <v>2025</v>
      </c>
      <c r="G102" s="0" t="n">
        <f aca="false">IF(G100&lt;&gt;"",2026,F102)</f>
        <v>2026</v>
      </c>
      <c r="H102" s="0" t="n">
        <f aca="false">IF(H100&lt;&gt;"",2027,G102)</f>
        <v>2026</v>
      </c>
      <c r="I102" s="0" t="n">
        <f aca="false">IF(I100&lt;&gt;"",2028,H102)</f>
        <v>2026</v>
      </c>
      <c r="J102" s="0" t="n">
        <f aca="false">IF(J100&lt;&gt;"",2029,I102)</f>
        <v>2026</v>
      </c>
      <c r="K102" s="0" t="n">
        <f aca="false">IF(K100&lt;&gt;"",2030,J102)</f>
        <v>2026</v>
      </c>
      <c r="L102" s="0" t="n">
        <f aca="false">IF(L100&lt;&gt;"",2031,K102)</f>
        <v>2026</v>
      </c>
      <c r="M102" s="0" t="n">
        <f aca="false">IF(M100&lt;&gt;"",2032,L102)</f>
        <v>2026</v>
      </c>
    </row>
    <row r="103" customFormat="false" ht="15" hidden="false" customHeight="false" outlineLevel="0" collapsed="false">
      <c r="A103" s="5" t="s">
        <v>856</v>
      </c>
      <c r="B103" s="0" t="s">
        <v>944</v>
      </c>
      <c r="C103" s="0" t="s">
        <v>75</v>
      </c>
      <c r="D103" s="24" t="n">
        <f aca="false">IF(D100&lt;&gt;"",D100,E103)</f>
        <v>0.386465</v>
      </c>
      <c r="E103" s="24" t="n">
        <f aca="false">IF(E100&lt;&gt;"",E100,F103)</f>
        <v>0.386465</v>
      </c>
      <c r="F103" s="24" t="n">
        <f aca="false">IF(F100&lt;&gt;"",F100,G103)</f>
        <v>1.20287</v>
      </c>
      <c r="G103" s="24" t="n">
        <f aca="false">IF(G100&lt;&gt;"",G100,H103)</f>
        <v>2.749</v>
      </c>
      <c r="H103" s="0" t="str">
        <f aca="false">IF(H100&lt;&gt;"",H100,I103)</f>
        <v/>
      </c>
      <c r="I103" s="0" t="str">
        <f aca="false">IF(I100&lt;&gt;"",I100,J103)</f>
        <v/>
      </c>
      <c r="J103" s="0" t="str">
        <f aca="false">IF(J100&lt;&gt;"",J100,K103)</f>
        <v/>
      </c>
      <c r="K103" s="0" t="str">
        <f aca="false">IF(K100&lt;&gt;"",K100,L103)</f>
        <v/>
      </c>
      <c r="L103" s="0" t="str">
        <f aca="false">IF(L100&lt;&gt;"",L100,M103)</f>
        <v/>
      </c>
      <c r="M103" s="0" t="str">
        <f aca="false">IF(M100&lt;&gt;"",M100,"")</f>
        <v/>
      </c>
    </row>
    <row r="104" customFormat="false" ht="15" hidden="false" customHeight="false" outlineLevel="0" collapsed="false">
      <c r="A104" s="5" t="s">
        <v>858</v>
      </c>
      <c r="B104" s="0" t="s">
        <v>945</v>
      </c>
      <c r="C104" s="5" t="s">
        <v>45</v>
      </c>
      <c r="D104" s="0" t="n">
        <f aca="false">IF(D100&lt;&gt;"",2023,E104)</f>
        <v>2024</v>
      </c>
      <c r="E104" s="0" t="n">
        <f aca="false">IF(E100&lt;&gt;"",2024,F104)</f>
        <v>2024</v>
      </c>
      <c r="F104" s="0" t="n">
        <f aca="false">IF(F100&lt;&gt;"",2025,G104)</f>
        <v>2025</v>
      </c>
      <c r="G104" s="0" t="n">
        <f aca="false">IF(G100&lt;&gt;"",2026,H104)</f>
        <v>2026</v>
      </c>
      <c r="H104" s="0" t="str">
        <f aca="false">IF(H100&lt;&gt;"",2027,I104)</f>
        <v/>
      </c>
      <c r="I104" s="0" t="str">
        <f aca="false">IF(I100&lt;&gt;"",2028,J104)</f>
        <v/>
      </c>
      <c r="J104" s="0" t="str">
        <f aca="false">IF(J100&lt;&gt;"",2029,K104)</f>
        <v/>
      </c>
      <c r="K104" s="0" t="str">
        <f aca="false">IF(K100&lt;&gt;"",2030,L104)</f>
        <v/>
      </c>
      <c r="L104" s="0" t="str">
        <f aca="false">IF(L100&lt;&gt;"",2031,M104)</f>
        <v/>
      </c>
      <c r="M104" s="0" t="str">
        <f aca="false">IF(M100&lt;&gt;"",2032,"")</f>
        <v/>
      </c>
    </row>
    <row r="105" customFormat="false" ht="17.15" hidden="false" customHeight="false" outlineLevel="0" collapsed="false">
      <c r="A105" s="5" t="s">
        <v>860</v>
      </c>
      <c r="B105" s="0" t="s">
        <v>946</v>
      </c>
      <c r="C105" s="0" t="s">
        <v>75</v>
      </c>
      <c r="D105" s="24" t="n">
        <f aca="false">SUMIFS(Pipeline!$L$5:$L$47,Pipeline!$C$5:$C$47,"orcl",Pipeline!$Q$5:$Q$47,1,Pipeline!$P$5:$P$47,2023)</f>
        <v>0</v>
      </c>
      <c r="E105" s="24" t="n">
        <f aca="false">SUMIFS(Pipeline!$L$5:$L$47,Pipeline!$C$5:$C$47,"orcl",Pipeline!$Q$5:$Q$47,1,Pipeline!$P$5:$P$47,2024)</f>
        <v>0</v>
      </c>
      <c r="F105" s="24" t="n">
        <f aca="false">SUMIFS(Pipeline!$L$5:$L$47,Pipeline!$C$5:$C$47,"orcl",Pipeline!$Q$5:$Q$47,1,Pipeline!$P$5:$P$47,2025)</f>
        <v>0</v>
      </c>
      <c r="G105" s="24" t="n">
        <f aca="false">SUMIFS(Pipeline!$L$5:$L$47,Pipeline!$C$5:$C$47,"orcl",Pipeline!$Q$5:$Q$47,1,Pipeline!$P$5:$P$47,2026)</f>
        <v>0.206</v>
      </c>
      <c r="H105" s="24" t="n">
        <f aca="false">SUMIFS(Pipeline!$L$5:$L$47,Pipeline!$C$5:$C$47,"orcl",Pipeline!$Q$5:$Q$47,1,Pipeline!$P$5:$P$47,2027)</f>
        <v>0.166666666666667</v>
      </c>
      <c r="I105" s="24" t="n">
        <f aca="false">SUMIFS(Pipeline!$L$5:$L$47,Pipeline!$C$5:$C$47,"orcl",Pipeline!$Q$5:$Q$47,1,Pipeline!$P$5:$P$47,2028)</f>
        <v>5.58333333333333</v>
      </c>
      <c r="J105" s="24" t="n">
        <f aca="false">SUMIFS(Pipeline!$L$5:$L$47,Pipeline!$C$5:$C$47,"orcl",Pipeline!$Q$5:$Q$47,1,Pipeline!$P$5:$P$47,2029)</f>
        <v>0</v>
      </c>
      <c r="K105" s="24" t="n">
        <f aca="false">SUMIFS(Pipeline!$L$5:$L$47,Pipeline!$C$5:$C$47,"orcl",Pipeline!$Q$5:$Q$47,1,Pipeline!$P$5:$P$47,2030)</f>
        <v>0</v>
      </c>
      <c r="L105" s="24" t="n">
        <f aca="false">SUMIFS(Pipeline!$L$5:$L$47,Pipeline!$C$5:$C$47,"orcl",Pipeline!$Q$5:$Q$47,1,Pipeline!$P$5:$P$47,2031)</f>
        <v>0</v>
      </c>
      <c r="M105" s="24" t="n">
        <f aca="false">SUMIFS(Pipeline!$L$5:$L$47,Pipeline!$C$5:$C$47,"orcl",Pipeline!$Q$5:$Q$47,1,Pipeline!$P$5:$P$47,2032)</f>
        <v>0</v>
      </c>
    </row>
    <row r="106" customFormat="false" ht="17.15" hidden="false" customHeight="false" outlineLevel="0" collapsed="false">
      <c r="A106" s="5" t="s">
        <v>862</v>
      </c>
      <c r="B106" s="0" t="s">
        <v>947</v>
      </c>
      <c r="C106" s="0" t="s">
        <v>75</v>
      </c>
      <c r="D106" s="25" t="str">
        <f aca="false">IF(D100&lt;&gt;"",D100,IF(AND(D101&lt;&gt;"",D103&lt;&gt;""),D101+(D103-D101)*(2023-D102)/(D104-D102),""))</f>
        <v/>
      </c>
      <c r="E106" s="25" t="n">
        <f aca="false">IF(E100&lt;&gt;"",E100,IF(AND(E101&lt;&gt;"",E103&lt;&gt;""),E101+(E103-E101)*(2024-E102)/(E104-E102),IF(D106&lt;&gt;"",D106+E105,"")))</f>
        <v>0.386465</v>
      </c>
      <c r="F106" s="25" t="n">
        <f aca="false">IF(F100&lt;&gt;"",F100,IF(AND(F101&lt;&gt;"",F103&lt;&gt;""),F101+(F103-F101)*(2025-F102)/(F104-F102),IF(E106&lt;&gt;"",E106+F105,"")))</f>
        <v>1.20287</v>
      </c>
      <c r="G106" s="25" t="n">
        <f aca="false">IF(G100&lt;&gt;"",G100,IF(AND(G101&lt;&gt;"",G103&lt;&gt;""),G101+(G103-G101)*(2026-G102)/(G104-G102),IF(F106&lt;&gt;"",F106+G105,"")))</f>
        <v>2.749</v>
      </c>
      <c r="H106" s="25" t="n">
        <f aca="false">IF(H100&lt;&gt;"",H100,IF(AND(H101&lt;&gt;"",H103&lt;&gt;""),H101+(H103-H101)*(2027-H102)/(H104-H102),IF(G106&lt;&gt;"",G106+H105,"")))</f>
        <v>2.91566666666667</v>
      </c>
      <c r="I106" s="25" t="n">
        <f aca="false">IF(I100&lt;&gt;"",I100,IF(AND(I101&lt;&gt;"",I103&lt;&gt;""),I101+(I103-I101)*(2028-I102)/(I104-I102),IF(H106&lt;&gt;"",H106+I105,"")))</f>
        <v>8.499</v>
      </c>
      <c r="J106" s="25" t="n">
        <f aca="false">IF(J100&lt;&gt;"",J100,IF(AND(J101&lt;&gt;"",J103&lt;&gt;""),J101+(J103-J101)*(2029-J102)/(J104-J102),IF(I106&lt;&gt;"",I106+J105,"")))</f>
        <v>8.499</v>
      </c>
      <c r="K106" s="25" t="n">
        <f aca="false">IF(K100&lt;&gt;"",K100,IF(AND(K101&lt;&gt;"",K103&lt;&gt;""),K101+(K103-K101)*(2030-K102)/(K104-K102),IF(J106&lt;&gt;"",J106+K105,"")))</f>
        <v>8.499</v>
      </c>
      <c r="L106" s="25" t="n">
        <f aca="false">IF(L100&lt;&gt;"",L100,IF(AND(L101&lt;&gt;"",L103&lt;&gt;""),L101+(L103-L101)*(2031-L102)/(L104-L102),IF(K106&lt;&gt;"",K106+L105,"")))</f>
        <v>8.499</v>
      </c>
      <c r="M106" s="25" t="n">
        <f aca="false">IF(M100&lt;&gt;"",M100,IF(AND(M101&lt;&gt;"",M103&lt;&gt;""),M101+(M103-M101)*(2032-M102)/(M104-M102),IF(L106&lt;&gt;"",L106+M105,"")))</f>
        <v>8.499</v>
      </c>
    </row>
    <row r="107" customFormat="false" ht="15" hidden="false" customHeight="false" outlineLevel="0" collapsed="false">
      <c r="A107" s="5" t="s">
        <v>864</v>
      </c>
      <c r="B107" s="0" t="s">
        <v>948</v>
      </c>
      <c r="C107" s="0" t="s">
        <v>33</v>
      </c>
      <c r="D107" s="0" t="n">
        <f aca="false">IF(D98&lt;&gt;"",1,IF(D99&lt;&gt;"",5,IF(D100&lt;&gt;"",2,IF(AND(D101&lt;&gt;"",D103&lt;&gt;""),3,IF(D106&lt;&gt;"",4,0)))))</f>
        <v>0</v>
      </c>
      <c r="E107" s="0" t="n">
        <f aca="false">IF(E98&lt;&gt;"",1,IF(E99&lt;&gt;"",5,IF(E100&lt;&gt;"",2,IF(AND(E101&lt;&gt;"",E103&lt;&gt;""),3,IF(E106&lt;&gt;"",4,0)))))</f>
        <v>5</v>
      </c>
      <c r="F107" s="0" t="n">
        <f aca="false">IF(F98&lt;&gt;"",1,IF(F99&lt;&gt;"",5,IF(F100&lt;&gt;"",2,IF(AND(F101&lt;&gt;"",F103&lt;&gt;""),3,IF(F106&lt;&gt;"",4,0)))))</f>
        <v>5</v>
      </c>
      <c r="G107" s="0" t="n">
        <f aca="false">IF(G98&lt;&gt;"",1,IF(G99&lt;&gt;"",5,IF(G100&lt;&gt;"",2,IF(AND(G101&lt;&gt;"",G103&lt;&gt;""),3,IF(G106&lt;&gt;"",4,0)))))</f>
        <v>2</v>
      </c>
      <c r="H107" s="0" t="n">
        <f aca="false">IF(H98&lt;&gt;"",1,IF(H99&lt;&gt;"",5,IF(H100&lt;&gt;"",2,IF(AND(H101&lt;&gt;"",H103&lt;&gt;""),3,IF(H106&lt;&gt;"",4,0)))))</f>
        <v>4</v>
      </c>
      <c r="I107" s="0" t="n">
        <f aca="false">IF(I98&lt;&gt;"",1,IF(I99&lt;&gt;"",5,IF(I100&lt;&gt;"",2,IF(AND(I101&lt;&gt;"",I103&lt;&gt;""),3,IF(I106&lt;&gt;"",4,0)))))</f>
        <v>4</v>
      </c>
      <c r="J107" s="0" t="n">
        <f aca="false">IF(J98&lt;&gt;"",1,IF(J99&lt;&gt;"",5,IF(J100&lt;&gt;"",2,IF(AND(J101&lt;&gt;"",J103&lt;&gt;""),3,IF(J106&lt;&gt;"",4,0)))))</f>
        <v>4</v>
      </c>
      <c r="K107" s="0" t="n">
        <f aca="false">IF(K98&lt;&gt;"",1,IF(K99&lt;&gt;"",5,IF(K100&lt;&gt;"",2,IF(AND(K101&lt;&gt;"",K103&lt;&gt;""),3,IF(K106&lt;&gt;"",4,0)))))</f>
        <v>4</v>
      </c>
      <c r="L107" s="0" t="n">
        <f aca="false">IF(L98&lt;&gt;"",1,IF(L99&lt;&gt;"",5,IF(L100&lt;&gt;"",2,IF(AND(L101&lt;&gt;"",L103&lt;&gt;""),3,IF(L106&lt;&gt;"",4,0)))))</f>
        <v>4</v>
      </c>
      <c r="M107" s="0" t="n">
        <f aca="false">IF(M98&lt;&gt;"",1,IF(M99&lt;&gt;"",5,IF(M100&lt;&gt;"",2,IF(AND(M101&lt;&gt;"",M103&lt;&gt;""),3,IF(M106&lt;&gt;"",4,0)))))</f>
        <v>4</v>
      </c>
    </row>
    <row r="108" customFormat="false" ht="17.15" hidden="false" customHeight="false" outlineLevel="0" collapsed="false">
      <c r="A108" s="5" t="s">
        <v>866</v>
      </c>
      <c r="B108" s="0" t="s">
        <v>949</v>
      </c>
      <c r="C108" s="0" t="s">
        <v>75</v>
      </c>
      <c r="D108" s="24" t="str">
        <f aca="false">IF(D106="","",IF(AND(D107=5,In!$H$85&lt;&gt;""),In!$H$85*Players!$E$18/1000,D106))</f>
        <v/>
      </c>
      <c r="E108" s="24" t="n">
        <f aca="false">IF(E106="","",IF(AND(E107=5,In!$I$85&lt;&gt;""),In!$I$85*Players!$E$18/1000,E106))</f>
        <v>0.344685</v>
      </c>
      <c r="F108" s="24" t="n">
        <f aca="false">IF(F106="","",IF(AND(F107=5,In!$J$85&lt;&gt;""),In!$J$85*Players!$E$18/1000,F106))</f>
        <v>1.07283</v>
      </c>
      <c r="G108" s="24" t="n">
        <f aca="false">IF(G106="","",IF(AND(G107=5,In!$K$85&lt;&gt;""),In!$K$85*Players!$E$18/1000,G106))</f>
        <v>2.749</v>
      </c>
      <c r="H108" s="24" t="n">
        <f aca="false">IF(H106="","",IF(AND(H107=5,In!$L$85&lt;&gt;""),In!$L$85*Players!$E$18/1000,H106))</f>
        <v>2.91566666666667</v>
      </c>
      <c r="I108" s="24" t="n">
        <f aca="false">IF(I106="","",IF(AND(I107=5,In!$M$85&lt;&gt;""),In!$M$85*Players!$E$18/1000,I106))</f>
        <v>8.499</v>
      </c>
      <c r="J108" s="24" t="n">
        <f aca="false">IF(J106="","",IF(AND(J107=5,In!$N$85&lt;&gt;""),In!$N$85*Players!$E$18/1000,J106))</f>
        <v>8.499</v>
      </c>
      <c r="K108" s="24" t="n">
        <f aca="false">IF(K106="","",IF(AND(K107=5,In!$O$85&lt;&gt;""),In!$O$85*Players!$E$18/1000,K106))</f>
        <v>8.499</v>
      </c>
      <c r="L108" s="24" t="n">
        <f aca="false">IF(L106="","",IF(AND(L107=5,In!$P$85&lt;&gt;""),In!$P$85*Players!$E$18/1000,L106))</f>
        <v>8.499</v>
      </c>
      <c r="M108" s="24" t="n">
        <f aca="false">IF(M106="","",IF(AND(M107=5,In!$Q$85&lt;&gt;""),In!$Q$85*Players!$E$18/1000,M106))</f>
        <v>8.499</v>
      </c>
    </row>
    <row r="109" customFormat="false" ht="17.15" hidden="false" customHeight="false" outlineLevel="0" collapsed="false">
      <c r="A109" s="5" t="s">
        <v>868</v>
      </c>
      <c r="B109" s="0" t="s">
        <v>950</v>
      </c>
      <c r="C109" s="0" t="s">
        <v>75</v>
      </c>
      <c r="D109" s="24" t="str">
        <f aca="false">IF(D106="","",IF(AND(D107=5,In!$H$85&lt;&gt;""),In!$H$85*Players!$F$18/1000,D106))</f>
        <v/>
      </c>
      <c r="E109" s="24" t="n">
        <f aca="false">IF(E106="","",IF(AND(E107=5,In!$I$85&lt;&gt;""),In!$I$85*Players!$F$18/1000,E106))</f>
        <v>0.434512</v>
      </c>
      <c r="F109" s="24" t="n">
        <f aca="false">IF(F106="","",IF(AND(F107=5,In!$J$85&lt;&gt;""),In!$J$85*Players!$F$18/1000,F106))</f>
        <v>1.352416</v>
      </c>
      <c r="G109" s="24" t="n">
        <f aca="false">IF(G106="","",IF(AND(G107=5,In!$K$85&lt;&gt;""),In!$K$85*Players!$F$18/1000,G106))</f>
        <v>2.749</v>
      </c>
      <c r="H109" s="24" t="n">
        <f aca="false">IF(H106="","",IF(AND(H107=5,In!$L$85&lt;&gt;""),In!$L$85*Players!$F$18/1000,H106))</f>
        <v>2.91566666666667</v>
      </c>
      <c r="I109" s="24" t="n">
        <f aca="false">IF(I106="","",IF(AND(I107=5,In!$M$85&lt;&gt;""),In!$M$85*Players!$F$18/1000,I106))</f>
        <v>8.499</v>
      </c>
      <c r="J109" s="24" t="n">
        <f aca="false">IF(J106="","",IF(AND(J107=5,In!$N$85&lt;&gt;""),In!$N$85*Players!$F$18/1000,J106))</f>
        <v>8.499</v>
      </c>
      <c r="K109" s="24" t="n">
        <f aca="false">IF(K106="","",IF(AND(K107=5,In!$O$85&lt;&gt;""),In!$O$85*Players!$F$18/1000,K106))</f>
        <v>8.499</v>
      </c>
      <c r="L109" s="24" t="n">
        <f aca="false">IF(L106="","",IF(AND(L107=5,In!$P$85&lt;&gt;""),In!$P$85*Players!$F$18/1000,L106))</f>
        <v>8.499</v>
      </c>
      <c r="M109" s="24" t="n">
        <f aca="false">IF(M106="","",IF(AND(M107=5,In!$Q$85&lt;&gt;""),In!$Q$85*Players!$F$18/1000,M106))</f>
        <v>8.499</v>
      </c>
    </row>
    <row r="110" customFormat="false" ht="17.15" hidden="false" customHeight="false" outlineLevel="0" collapsed="false">
      <c r="A110" s="5" t="s">
        <v>870</v>
      </c>
      <c r="B110" s="0" t="s">
        <v>951</v>
      </c>
      <c r="C110" s="0" t="s">
        <v>75</v>
      </c>
      <c r="D110" s="24" t="str">
        <f aca="false">IF(D106="","",IF(In!$C$92="未說明",D106/D$13,D106))</f>
        <v/>
      </c>
      <c r="E110" s="24" t="n">
        <f aca="false">IF(E106="","",IF(In!$C$92="未說明",E106/E$13,E106))</f>
        <v>0.386465</v>
      </c>
      <c r="F110" s="24" t="n">
        <f aca="false">IF(F106="","",IF(In!$C$92="未說明",F106/F$13,F106))</f>
        <v>1.20287</v>
      </c>
      <c r="G110" s="24" t="n">
        <f aca="false">IF(G106="","",IF(In!$C$92="未說明",G106/G$13,G106))</f>
        <v>2.749</v>
      </c>
      <c r="H110" s="24" t="n">
        <f aca="false">IF(H106="","",IF(In!$C$92="未說明",H106/H$13,H106))</f>
        <v>2.91566666666667</v>
      </c>
      <c r="I110" s="24" t="n">
        <f aca="false">IF(I106="","",IF(In!$C$92="未說明",I106/I$13,I106))</f>
        <v>8.499</v>
      </c>
      <c r="J110" s="24" t="n">
        <f aca="false">IF(J106="","",IF(In!$C$92="未說明",J106/J$13,J106))</f>
        <v>8.499</v>
      </c>
      <c r="K110" s="24" t="n">
        <f aca="false">IF(K106="","",IF(In!$C$92="未說明",K106/K$13,K106))</f>
        <v>8.499</v>
      </c>
      <c r="L110" s="24" t="n">
        <f aca="false">IF(L106="","",IF(In!$C$92="未說明",L106/L$13,L106))</f>
        <v>8.499</v>
      </c>
      <c r="M110" s="24" t="n">
        <f aca="false">IF(M106="","",IF(In!$C$92="未說明",M106/M$13,M106))</f>
        <v>8.499</v>
      </c>
    </row>
    <row r="111" customFormat="false" ht="17.15" hidden="false" customHeight="false" outlineLevel="0" collapsed="false">
      <c r="A111" s="5" t="s">
        <v>872</v>
      </c>
      <c r="B111" s="0" t="s">
        <v>952</v>
      </c>
      <c r="C111" s="0" t="s">
        <v>75</v>
      </c>
      <c r="D111" s="0" t="str">
        <f aca="false">""</f>
        <v/>
      </c>
      <c r="E111" s="24" t="str">
        <f aca="false">IF(AND(D106&lt;&gt;"",E106&lt;&gt;""),(D106+E106)/2,"")</f>
        <v/>
      </c>
      <c r="F111" s="24" t="n">
        <f aca="false">IF(AND(E106&lt;&gt;"",F106&lt;&gt;""),(E106+F106)/2,"")</f>
        <v>0.7946675</v>
      </c>
      <c r="G111" s="24" t="n">
        <f aca="false">IF(AND(F106&lt;&gt;"",G106&lt;&gt;""),(F106+G106)/2,"")</f>
        <v>1.975935</v>
      </c>
      <c r="H111" s="24" t="n">
        <f aca="false">IF(AND(G106&lt;&gt;"",H106&lt;&gt;""),(G106+H106)/2,"")</f>
        <v>2.83233333333333</v>
      </c>
      <c r="I111" s="24" t="n">
        <f aca="false">IF(AND(H106&lt;&gt;"",I106&lt;&gt;""),(H106+I106)/2,"")</f>
        <v>5.70733333333333</v>
      </c>
      <c r="J111" s="24" t="n">
        <f aca="false">IF(AND(I106&lt;&gt;"",J106&lt;&gt;""),(I106+J106)/2,"")</f>
        <v>8.499</v>
      </c>
      <c r="K111" s="24" t="n">
        <f aca="false">IF(AND(J106&lt;&gt;"",K106&lt;&gt;""),(J106+K106)/2,"")</f>
        <v>8.499</v>
      </c>
      <c r="L111" s="24" t="n">
        <f aca="false">IF(AND(K106&lt;&gt;"",L106&lt;&gt;""),(K106+L106)/2,"")</f>
        <v>8.499</v>
      </c>
      <c r="M111" s="24" t="n">
        <f aca="false">IF(AND(L106&lt;&gt;"",M106&lt;&gt;""),(L106+M106)/2,"")</f>
        <v>8.499</v>
      </c>
    </row>
    <row r="112" customFormat="false" ht="17.15" hidden="false" customHeight="false" outlineLevel="0" collapsed="false">
      <c r="A112" s="5" t="s">
        <v>874</v>
      </c>
      <c r="B112" s="0" t="s">
        <v>953</v>
      </c>
      <c r="C112" s="0" t="s">
        <v>75</v>
      </c>
      <c r="D112" s="0" t="n">
        <v>0</v>
      </c>
      <c r="E112" s="24" t="n">
        <f aca="false">IF(AND(D106&lt;&gt;"",E106&lt;&gt;""),E106-D106,0)</f>
        <v>0</v>
      </c>
      <c r="F112" s="24" t="n">
        <f aca="false">IF(AND(E106&lt;&gt;"",F106&lt;&gt;""),F106-E106,0)</f>
        <v>0.816405</v>
      </c>
      <c r="G112" s="24" t="n">
        <f aca="false">IF(AND(F106&lt;&gt;"",G106&lt;&gt;""),G106-F106,0)</f>
        <v>1.54613</v>
      </c>
      <c r="H112" s="24" t="n">
        <f aca="false">IF(AND(G106&lt;&gt;"",H106&lt;&gt;""),H106-G106,0)</f>
        <v>0.166666666666667</v>
      </c>
      <c r="I112" s="24" t="n">
        <f aca="false">IF(AND(H106&lt;&gt;"",I106&lt;&gt;""),I106-H106,0)</f>
        <v>5.58333333333333</v>
      </c>
      <c r="J112" s="24" t="n">
        <f aca="false">IF(AND(I106&lt;&gt;"",J106&lt;&gt;""),J106-I106,0)</f>
        <v>0</v>
      </c>
      <c r="K112" s="24" t="n">
        <f aca="false">IF(AND(J106&lt;&gt;"",K106&lt;&gt;""),K106-J106,0)</f>
        <v>0</v>
      </c>
      <c r="L112" s="24" t="n">
        <f aca="false">IF(AND(K106&lt;&gt;"",L106&lt;&gt;""),L106-K106,0)</f>
        <v>0</v>
      </c>
      <c r="M112" s="24" t="n">
        <f aca="false">IF(AND(L106&lt;&gt;"",M106&lt;&gt;""),M106-L106,0)</f>
        <v>0</v>
      </c>
    </row>
    <row r="113" customFormat="false" ht="17.15" hidden="false" customHeight="false" outlineLevel="0" collapsed="false">
      <c r="A113" s="5" t="s">
        <v>876</v>
      </c>
      <c r="B113" s="0" t="s">
        <v>954</v>
      </c>
      <c r="C113" s="0" t="s">
        <v>75</v>
      </c>
      <c r="D113" s="24" t="n">
        <f aca="false">IF(D106&lt;&gt;"",D106,0)</f>
        <v>0</v>
      </c>
      <c r="E113" s="24" t="n">
        <f aca="false">IF(AND(D106="",E106&lt;&gt;""),E106,0)</f>
        <v>0.386465</v>
      </c>
      <c r="F113" s="24" t="n">
        <f aca="false">IF(AND(E106="",F106&lt;&gt;""),F106,0)</f>
        <v>0</v>
      </c>
      <c r="G113" s="24" t="n">
        <f aca="false">IF(AND(F106="",G106&lt;&gt;""),G106,0)</f>
        <v>0</v>
      </c>
      <c r="H113" s="24" t="n">
        <f aca="false">IF(AND(G106="",H106&lt;&gt;""),H106,0)</f>
        <v>0</v>
      </c>
      <c r="I113" s="24" t="n">
        <f aca="false">IF(AND(H106="",I106&lt;&gt;""),I106,0)</f>
        <v>0</v>
      </c>
      <c r="J113" s="24" t="n">
        <f aca="false">IF(AND(I106="",J106&lt;&gt;""),J106,0)</f>
        <v>0</v>
      </c>
      <c r="K113" s="24" t="n">
        <f aca="false">IF(AND(J106="",K106&lt;&gt;""),K106,0)</f>
        <v>0</v>
      </c>
      <c r="L113" s="24" t="n">
        <f aca="false">IF(AND(K106="",L106&lt;&gt;""),L106,0)</f>
        <v>0</v>
      </c>
      <c r="M113" s="24" t="n">
        <f aca="false">IF(AND(L106="",M106&lt;&gt;""),M106,0)</f>
        <v>0</v>
      </c>
    </row>
    <row r="114" customFormat="false" ht="17.15" hidden="false" customHeight="false" outlineLevel="0" collapsed="false">
      <c r="A114" s="5" t="s">
        <v>878</v>
      </c>
      <c r="B114" s="0" t="s">
        <v>955</v>
      </c>
      <c r="C114" s="0" t="s">
        <v>50</v>
      </c>
      <c r="D114" s="23" t="n">
        <f aca="false">D$12</f>
        <v>0.238210067173108</v>
      </c>
      <c r="E114" s="23" t="n">
        <f aca="false">E$12</f>
        <v>0.238210067173108</v>
      </c>
      <c r="F114" s="23" t="n">
        <f aca="false">F$12</f>
        <v>0.238210067173108</v>
      </c>
      <c r="G114" s="23" t="n">
        <f aca="false">G$12</f>
        <v>0.238210067173108</v>
      </c>
      <c r="H114" s="23" t="n">
        <f aca="false">H$12</f>
        <v>0.273101862203342</v>
      </c>
      <c r="I114" s="23" t="n">
        <f aca="false">I$12</f>
        <v>0.269621396123668</v>
      </c>
      <c r="J114" s="23" t="n">
        <f aca="false">J$12</f>
        <v>0.272187509408712</v>
      </c>
      <c r="K114" s="23" t="n">
        <f aca="false">K$12</f>
        <v>0.272187509408712</v>
      </c>
      <c r="L114" s="23" t="n">
        <f aca="false">L$12</f>
        <v>0.272187509408712</v>
      </c>
      <c r="M114" s="23" t="n">
        <f aca="false">M$12</f>
        <v>0.272187509408712</v>
      </c>
    </row>
    <row r="116" customFormat="false" ht="17.15" hidden="false" customHeight="false" outlineLevel="0" collapsed="false">
      <c r="A116" s="8" t="s">
        <v>956</v>
      </c>
      <c r="B116" s="20" t="s">
        <v>555</v>
      </c>
      <c r="N116" s="20" t="s">
        <v>957</v>
      </c>
    </row>
    <row r="117" customFormat="false" ht="17.15" hidden="false" customHeight="false" outlineLevel="0" collapsed="false">
      <c r="A117" s="5" t="s">
        <v>846</v>
      </c>
      <c r="B117" s="0" t="s">
        <v>958</v>
      </c>
      <c r="C117" s="0" t="s">
        <v>75</v>
      </c>
      <c r="D117" s="24" t="n">
        <f aca="false">IF(In!$H$93="","",IF(In!$C$93="設施",In!$H$93/1000/D$13,In!$H$93/1000))</f>
        <v>0.07</v>
      </c>
      <c r="E117" s="24" t="n">
        <f aca="false">IF(In!$I$93="","",IF(In!$C$93="設施",In!$I$93/1000/E$13,In!$I$93/1000))</f>
        <v>0.36</v>
      </c>
      <c r="F117" s="24" t="n">
        <f aca="false">IF(In!$J$93="","",IF(In!$C$93="設施",In!$J$93/1000/F$13,In!$J$93/1000))</f>
        <v>0.85</v>
      </c>
      <c r="G117" s="24" t="n">
        <f aca="false">IF(In!$K$93="","",IF(In!$C$93="設施",In!$K$93/1000/G$13,In!$K$93/1000))</f>
        <v>1.85</v>
      </c>
      <c r="H117" s="24" t="str">
        <f aca="false">IF(In!$L$93="","",IF(In!$C$93="設施",In!$L$93/1000/H$13,In!$L$93/1000))</f>
        <v/>
      </c>
      <c r="I117" s="24" t="str">
        <f aca="false">IF(In!$M$93="","",IF(In!$C$93="設施",In!$M$93/1000/I$13,In!$M$93/1000))</f>
        <v/>
      </c>
      <c r="J117" s="24" t="str">
        <f aca="false">IF(In!$N$93="","",IF(In!$C$93="設施",In!$N$93/1000/J$13,In!$N$93/1000))</f>
        <v/>
      </c>
      <c r="K117" s="24" t="n">
        <f aca="false">IF(In!$O$93="","",IF(In!$C$93="設施",In!$O$93/1000/K$13,In!$O$93/1000))</f>
        <v>8</v>
      </c>
      <c r="L117" s="24" t="str">
        <f aca="false">IF(In!$P$93="","",IF(In!$C$93="設施",In!$P$93/1000/L$13,In!$P$93/1000))</f>
        <v/>
      </c>
      <c r="M117" s="24" t="str">
        <f aca="false">IF(In!$Q$93="","",IF(In!$C$93="設施",In!$Q$93/1000/M$13,In!$Q$93/1000))</f>
        <v/>
      </c>
    </row>
    <row r="118" customFormat="false" ht="17.15" hidden="false" customHeight="false" outlineLevel="0" collapsed="false">
      <c r="A118" s="5" t="s">
        <v>848</v>
      </c>
      <c r="B118" s="0" t="s">
        <v>959</v>
      </c>
      <c r="C118" s="0" t="s">
        <v>75</v>
      </c>
      <c r="D118" s="0" t="str">
        <f aca="false">""</f>
        <v/>
      </c>
      <c r="E118" s="0" t="str">
        <f aca="false">""</f>
        <v/>
      </c>
      <c r="F118" s="0" t="str">
        <f aca="false">""</f>
        <v/>
      </c>
      <c r="G118" s="0" t="str">
        <f aca="false">""</f>
        <v/>
      </c>
      <c r="H118" s="0" t="str">
        <f aca="false">""</f>
        <v/>
      </c>
      <c r="I118" s="0" t="str">
        <f aca="false">""</f>
        <v/>
      </c>
      <c r="J118" s="0" t="str">
        <f aca="false">""</f>
        <v/>
      </c>
      <c r="K118" s="0" t="str">
        <f aca="false">""</f>
        <v/>
      </c>
      <c r="L118" s="0" t="str">
        <f aca="false">""</f>
        <v/>
      </c>
      <c r="M118" s="0" t="str">
        <f aca="false">""</f>
        <v/>
      </c>
    </row>
    <row r="119" customFormat="false" ht="15" hidden="false" customHeight="false" outlineLevel="0" collapsed="false">
      <c r="A119" s="5" t="s">
        <v>850</v>
      </c>
      <c r="B119" s="0" t="s">
        <v>960</v>
      </c>
      <c r="C119" s="0" t="s">
        <v>75</v>
      </c>
      <c r="D119" s="24" t="n">
        <f aca="false">IF(D117&lt;&gt;"",D117,IF(D118&lt;&gt;"",D118,IF(INT(obsd_crwv)=2023,obs_crwv/1000+SUMIFS(Pipeline!$L$5:$L$47,Pipeline!$C$5:$C$47,"crwv",Pipeline!$Q$5:$Q$47,1,Pipeline!$K$5:$K$47,"&gt;"&amp;obsd_crwv,Pipeline!$K$5:$K$47,"&lt;="&amp;2024),"")))</f>
        <v>0.07</v>
      </c>
      <c r="E119" s="24" t="n">
        <f aca="false">IF(E117&lt;&gt;"",E117,IF(E118&lt;&gt;"",E118,IF(INT(obsd_crwv)=2024,obs_crwv/1000+SUMIFS(Pipeline!$L$5:$L$47,Pipeline!$C$5:$C$47,"crwv",Pipeline!$Q$5:$Q$47,1,Pipeline!$K$5:$K$47,"&gt;"&amp;obsd_crwv,Pipeline!$K$5:$K$47,"&lt;="&amp;2025),"")))</f>
        <v>0.36</v>
      </c>
      <c r="F119" s="24" t="n">
        <f aca="false">IF(F117&lt;&gt;"",F117,IF(F118&lt;&gt;"",F118,IF(INT(obsd_crwv)=2025,obs_crwv/1000+SUMIFS(Pipeline!$L$5:$L$47,Pipeline!$C$5:$C$47,"crwv",Pipeline!$Q$5:$Q$47,1,Pipeline!$K$5:$K$47,"&gt;"&amp;obsd_crwv,Pipeline!$K$5:$K$47,"&lt;="&amp;2026),"")))</f>
        <v>0.85</v>
      </c>
      <c r="G119" s="24" t="n">
        <f aca="false">IF(G117&lt;&gt;"",G117,IF(G118&lt;&gt;"",G118,IF(INT(obsd_crwv)=2026,obs_crwv/1000+SUMIFS(Pipeline!$L$5:$L$47,Pipeline!$C$5:$C$47,"crwv",Pipeline!$Q$5:$Q$47,1,Pipeline!$K$5:$K$47,"&gt;"&amp;obsd_crwv,Pipeline!$K$5:$K$47,"&lt;="&amp;2027),"")))</f>
        <v>1.85</v>
      </c>
      <c r="H119" s="24" t="str">
        <f aca="false">IF(H117&lt;&gt;"",H117,IF(H118&lt;&gt;"",H118,IF(INT(obsd_crwv)=2027,obs_crwv/1000+SUMIFS(Pipeline!$L$5:$L$47,Pipeline!$C$5:$C$47,"crwv",Pipeline!$Q$5:$Q$47,1,Pipeline!$K$5:$K$47,"&gt;"&amp;obsd_crwv,Pipeline!$K$5:$K$47,"&lt;="&amp;2028),"")))</f>
        <v/>
      </c>
      <c r="I119" s="24" t="str">
        <f aca="false">IF(I117&lt;&gt;"",I117,IF(I118&lt;&gt;"",I118,IF(INT(obsd_crwv)=2028,obs_crwv/1000+SUMIFS(Pipeline!$L$5:$L$47,Pipeline!$C$5:$C$47,"crwv",Pipeline!$Q$5:$Q$47,1,Pipeline!$K$5:$K$47,"&gt;"&amp;obsd_crwv,Pipeline!$K$5:$K$47,"&lt;="&amp;2029),"")))</f>
        <v/>
      </c>
      <c r="J119" s="24" t="str">
        <f aca="false">IF(J117&lt;&gt;"",J117,IF(J118&lt;&gt;"",J118,IF(INT(obsd_crwv)=2029,obs_crwv/1000+SUMIFS(Pipeline!$L$5:$L$47,Pipeline!$C$5:$C$47,"crwv",Pipeline!$Q$5:$Q$47,1,Pipeline!$K$5:$K$47,"&gt;"&amp;obsd_crwv,Pipeline!$K$5:$K$47,"&lt;="&amp;2030),"")))</f>
        <v/>
      </c>
      <c r="K119" s="24" t="n">
        <f aca="false">IF(K117&lt;&gt;"",K117,IF(K118&lt;&gt;"",K118,IF(INT(obsd_crwv)=2030,obs_crwv/1000+SUMIFS(Pipeline!$L$5:$L$47,Pipeline!$C$5:$C$47,"crwv",Pipeline!$Q$5:$Q$47,1,Pipeline!$K$5:$K$47,"&gt;"&amp;obsd_crwv,Pipeline!$K$5:$K$47,"&lt;="&amp;2031),"")))</f>
        <v>8</v>
      </c>
      <c r="L119" s="24" t="str">
        <f aca="false">IF(L117&lt;&gt;"",L117,IF(L118&lt;&gt;"",L118,IF(INT(obsd_crwv)=2031,obs_crwv/1000+SUMIFS(Pipeline!$L$5:$L$47,Pipeline!$C$5:$C$47,"crwv",Pipeline!$Q$5:$Q$47,1,Pipeline!$K$5:$K$47,"&gt;"&amp;obsd_crwv,Pipeline!$K$5:$K$47,"&lt;="&amp;2032),"")))</f>
        <v/>
      </c>
      <c r="M119" s="24" t="str">
        <f aca="false">IF(M117&lt;&gt;"",M117,IF(M118&lt;&gt;"",M118,IF(INT(obsd_crwv)=2032,obs_crwv/1000+SUMIFS(Pipeline!$L$5:$L$47,Pipeline!$C$5:$C$47,"crwv",Pipeline!$Q$5:$Q$47,1,Pipeline!$K$5:$K$47,"&gt;"&amp;obsd_crwv,Pipeline!$K$5:$K$47,"&lt;="&amp;2033),"")))</f>
        <v/>
      </c>
    </row>
    <row r="120" customFormat="false" ht="15" hidden="false" customHeight="false" outlineLevel="0" collapsed="false">
      <c r="A120" s="5" t="s">
        <v>852</v>
      </c>
      <c r="B120" s="0" t="s">
        <v>961</v>
      </c>
      <c r="C120" s="0" t="s">
        <v>75</v>
      </c>
      <c r="D120" s="24" t="n">
        <f aca="false">IF(D119&lt;&gt;"",D119,"")</f>
        <v>0.07</v>
      </c>
      <c r="E120" s="24" t="n">
        <f aca="false">IF(E119&lt;&gt;"",E119,D120)</f>
        <v>0.36</v>
      </c>
      <c r="F120" s="24" t="n">
        <f aca="false">IF(F119&lt;&gt;"",F119,E120)</f>
        <v>0.85</v>
      </c>
      <c r="G120" s="24" t="n">
        <f aca="false">IF(G119&lt;&gt;"",G119,F120)</f>
        <v>1.85</v>
      </c>
      <c r="H120" s="24" t="n">
        <f aca="false">IF(H119&lt;&gt;"",H119,G120)</f>
        <v>1.85</v>
      </c>
      <c r="I120" s="24" t="n">
        <f aca="false">IF(I119&lt;&gt;"",I119,H120)</f>
        <v>1.85</v>
      </c>
      <c r="J120" s="24" t="n">
        <f aca="false">IF(J119&lt;&gt;"",J119,I120)</f>
        <v>1.85</v>
      </c>
      <c r="K120" s="24" t="n">
        <f aca="false">IF(K119&lt;&gt;"",K119,J120)</f>
        <v>8</v>
      </c>
      <c r="L120" s="24" t="n">
        <f aca="false">IF(L119&lt;&gt;"",L119,K120)</f>
        <v>8</v>
      </c>
      <c r="M120" s="24" t="n">
        <f aca="false">IF(M119&lt;&gt;"",M119,L120)</f>
        <v>8</v>
      </c>
    </row>
    <row r="121" customFormat="false" ht="15" hidden="false" customHeight="false" outlineLevel="0" collapsed="false">
      <c r="A121" s="5" t="s">
        <v>854</v>
      </c>
      <c r="B121" s="0" t="s">
        <v>962</v>
      </c>
      <c r="C121" s="5" t="s">
        <v>45</v>
      </c>
      <c r="D121" s="0" t="n">
        <f aca="false">IF(D119&lt;&gt;"",2023,"")</f>
        <v>2023</v>
      </c>
      <c r="E121" s="0" t="n">
        <f aca="false">IF(E119&lt;&gt;"",2024,D121)</f>
        <v>2024</v>
      </c>
      <c r="F121" s="0" t="n">
        <f aca="false">IF(F119&lt;&gt;"",2025,E121)</f>
        <v>2025</v>
      </c>
      <c r="G121" s="0" t="n">
        <f aca="false">IF(G119&lt;&gt;"",2026,F121)</f>
        <v>2026</v>
      </c>
      <c r="H121" s="0" t="n">
        <f aca="false">IF(H119&lt;&gt;"",2027,G121)</f>
        <v>2026</v>
      </c>
      <c r="I121" s="0" t="n">
        <f aca="false">IF(I119&lt;&gt;"",2028,H121)</f>
        <v>2026</v>
      </c>
      <c r="J121" s="0" t="n">
        <f aca="false">IF(J119&lt;&gt;"",2029,I121)</f>
        <v>2026</v>
      </c>
      <c r="K121" s="0" t="n">
        <f aca="false">IF(K119&lt;&gt;"",2030,J121)</f>
        <v>2030</v>
      </c>
      <c r="L121" s="0" t="n">
        <f aca="false">IF(L119&lt;&gt;"",2031,K121)</f>
        <v>2030</v>
      </c>
      <c r="M121" s="0" t="n">
        <f aca="false">IF(M119&lt;&gt;"",2032,L121)</f>
        <v>2030</v>
      </c>
    </row>
    <row r="122" customFormat="false" ht="15" hidden="false" customHeight="false" outlineLevel="0" collapsed="false">
      <c r="A122" s="5" t="s">
        <v>856</v>
      </c>
      <c r="B122" s="0" t="s">
        <v>963</v>
      </c>
      <c r="C122" s="0" t="s">
        <v>75</v>
      </c>
      <c r="D122" s="24" t="n">
        <f aca="false">IF(D119&lt;&gt;"",D119,E122)</f>
        <v>0.07</v>
      </c>
      <c r="E122" s="24" t="n">
        <f aca="false">IF(E119&lt;&gt;"",E119,F122)</f>
        <v>0.36</v>
      </c>
      <c r="F122" s="24" t="n">
        <f aca="false">IF(F119&lt;&gt;"",F119,G122)</f>
        <v>0.85</v>
      </c>
      <c r="G122" s="24" t="n">
        <f aca="false">IF(G119&lt;&gt;"",G119,H122)</f>
        <v>1.85</v>
      </c>
      <c r="H122" s="24" t="n">
        <f aca="false">IF(H119&lt;&gt;"",H119,I122)</f>
        <v>8</v>
      </c>
      <c r="I122" s="24" t="n">
        <f aca="false">IF(I119&lt;&gt;"",I119,J122)</f>
        <v>8</v>
      </c>
      <c r="J122" s="24" t="n">
        <f aca="false">IF(J119&lt;&gt;"",J119,K122)</f>
        <v>8</v>
      </c>
      <c r="K122" s="24" t="n">
        <f aca="false">IF(K119&lt;&gt;"",K119,L122)</f>
        <v>8</v>
      </c>
      <c r="L122" s="0" t="str">
        <f aca="false">IF(L119&lt;&gt;"",L119,M122)</f>
        <v/>
      </c>
      <c r="M122" s="0" t="str">
        <f aca="false">IF(M119&lt;&gt;"",M119,"")</f>
        <v/>
      </c>
    </row>
    <row r="123" customFormat="false" ht="15" hidden="false" customHeight="false" outlineLevel="0" collapsed="false">
      <c r="A123" s="5" t="s">
        <v>858</v>
      </c>
      <c r="B123" s="0" t="s">
        <v>964</v>
      </c>
      <c r="C123" s="5" t="s">
        <v>45</v>
      </c>
      <c r="D123" s="0" t="n">
        <f aca="false">IF(D119&lt;&gt;"",2023,E123)</f>
        <v>2023</v>
      </c>
      <c r="E123" s="0" t="n">
        <f aca="false">IF(E119&lt;&gt;"",2024,F123)</f>
        <v>2024</v>
      </c>
      <c r="F123" s="0" t="n">
        <f aca="false">IF(F119&lt;&gt;"",2025,G123)</f>
        <v>2025</v>
      </c>
      <c r="G123" s="0" t="n">
        <f aca="false">IF(G119&lt;&gt;"",2026,H123)</f>
        <v>2026</v>
      </c>
      <c r="H123" s="0" t="n">
        <f aca="false">IF(H119&lt;&gt;"",2027,I123)</f>
        <v>2030</v>
      </c>
      <c r="I123" s="0" t="n">
        <f aca="false">IF(I119&lt;&gt;"",2028,J123)</f>
        <v>2030</v>
      </c>
      <c r="J123" s="0" t="n">
        <f aca="false">IF(J119&lt;&gt;"",2029,K123)</f>
        <v>2030</v>
      </c>
      <c r="K123" s="0" t="n">
        <f aca="false">IF(K119&lt;&gt;"",2030,L123)</f>
        <v>2030</v>
      </c>
      <c r="L123" s="0" t="str">
        <f aca="false">IF(L119&lt;&gt;"",2031,M123)</f>
        <v/>
      </c>
      <c r="M123" s="0" t="str">
        <f aca="false">IF(M119&lt;&gt;"",2032,"")</f>
        <v/>
      </c>
    </row>
    <row r="124" customFormat="false" ht="17.15" hidden="false" customHeight="false" outlineLevel="0" collapsed="false">
      <c r="A124" s="5" t="s">
        <v>860</v>
      </c>
      <c r="B124" s="0" t="s">
        <v>965</v>
      </c>
      <c r="C124" s="0" t="s">
        <v>75</v>
      </c>
      <c r="D124" s="24" t="n">
        <f aca="false">SUMIFS(Pipeline!$L$5:$L$47,Pipeline!$C$5:$C$47,"crwv",Pipeline!$Q$5:$Q$47,1,Pipeline!$P$5:$P$47,2023)</f>
        <v>0</v>
      </c>
      <c r="E124" s="24" t="n">
        <f aca="false">SUMIFS(Pipeline!$L$5:$L$47,Pipeline!$C$5:$C$47,"crwv",Pipeline!$Q$5:$Q$47,1,Pipeline!$P$5:$P$47,2024)</f>
        <v>0</v>
      </c>
      <c r="F124" s="24" t="n">
        <f aca="false">SUMIFS(Pipeline!$L$5:$L$47,Pipeline!$C$5:$C$47,"crwv",Pipeline!$Q$5:$Q$47,1,Pipeline!$P$5:$P$47,2025)</f>
        <v>0</v>
      </c>
      <c r="G124" s="24" t="n">
        <f aca="false">SUMIFS(Pipeline!$L$5:$L$47,Pipeline!$C$5:$C$47,"crwv",Pipeline!$Q$5:$Q$47,1,Pipeline!$P$5:$P$47,2026)</f>
        <v>0</v>
      </c>
      <c r="H124" s="24" t="n">
        <f aca="false">SUMIFS(Pipeline!$L$5:$L$47,Pipeline!$C$5:$C$47,"crwv",Pipeline!$Q$5:$Q$47,1,Pipeline!$P$5:$P$47,2027)</f>
        <v>0.26</v>
      </c>
      <c r="I124" s="24" t="n">
        <f aca="false">SUMIFS(Pipeline!$L$5:$L$47,Pipeline!$C$5:$C$47,"crwv",Pipeline!$Q$5:$Q$47,1,Pipeline!$P$5:$P$47,2028)</f>
        <v>0</v>
      </c>
      <c r="J124" s="24" t="n">
        <f aca="false">SUMIFS(Pipeline!$L$5:$L$47,Pipeline!$C$5:$C$47,"crwv",Pipeline!$Q$5:$Q$47,1,Pipeline!$P$5:$P$47,2029)</f>
        <v>0</v>
      </c>
      <c r="K124" s="24" t="n">
        <f aca="false">SUMIFS(Pipeline!$L$5:$L$47,Pipeline!$C$5:$C$47,"crwv",Pipeline!$Q$5:$Q$47,1,Pipeline!$P$5:$P$47,2030)</f>
        <v>0</v>
      </c>
      <c r="L124" s="24" t="n">
        <f aca="false">SUMIFS(Pipeline!$L$5:$L$47,Pipeline!$C$5:$C$47,"crwv",Pipeline!$Q$5:$Q$47,1,Pipeline!$P$5:$P$47,2031)</f>
        <v>0</v>
      </c>
      <c r="M124" s="24" t="n">
        <f aca="false">SUMIFS(Pipeline!$L$5:$L$47,Pipeline!$C$5:$C$47,"crwv",Pipeline!$Q$5:$Q$47,1,Pipeline!$P$5:$P$47,2032)</f>
        <v>0</v>
      </c>
    </row>
    <row r="125" customFormat="false" ht="17.15" hidden="false" customHeight="false" outlineLevel="0" collapsed="false">
      <c r="A125" s="5" t="s">
        <v>862</v>
      </c>
      <c r="B125" s="0" t="s">
        <v>966</v>
      </c>
      <c r="C125" s="0" t="s">
        <v>75</v>
      </c>
      <c r="D125" s="25" t="n">
        <f aca="false">IF(D119&lt;&gt;"",D119,IF(AND(D120&lt;&gt;"",D122&lt;&gt;""),D120+(D122-D120)*(2023-D121)/(D123-D121),""))</f>
        <v>0.07</v>
      </c>
      <c r="E125" s="25" t="n">
        <f aca="false">IF(E119&lt;&gt;"",E119,IF(AND(E120&lt;&gt;"",E122&lt;&gt;""),E120+(E122-E120)*(2024-E121)/(E123-E121),IF(D125&lt;&gt;"",D125+E124,"")))</f>
        <v>0.36</v>
      </c>
      <c r="F125" s="25" t="n">
        <f aca="false">IF(F119&lt;&gt;"",F119,IF(AND(F120&lt;&gt;"",F122&lt;&gt;""),F120+(F122-F120)*(2025-F121)/(F123-F121),IF(E125&lt;&gt;"",E125+F124,"")))</f>
        <v>0.85</v>
      </c>
      <c r="G125" s="25" t="n">
        <f aca="false">IF(G119&lt;&gt;"",G119,IF(AND(G120&lt;&gt;"",G122&lt;&gt;""),G120+(G122-G120)*(2026-G121)/(G123-G121),IF(F125&lt;&gt;"",F125+G124,"")))</f>
        <v>1.85</v>
      </c>
      <c r="H125" s="25" t="n">
        <f aca="false">IF(H119&lt;&gt;"",H119,IF(AND(H120&lt;&gt;"",H122&lt;&gt;""),H120+(H122-H120)*(2027-H121)/(H123-H121),IF(G125&lt;&gt;"",G125+H124,"")))</f>
        <v>3.3875</v>
      </c>
      <c r="I125" s="25" t="n">
        <f aca="false">IF(I119&lt;&gt;"",I119,IF(AND(I120&lt;&gt;"",I122&lt;&gt;""),I120+(I122-I120)*(2028-I121)/(I123-I121),IF(H125&lt;&gt;"",H125+I124,"")))</f>
        <v>4.925</v>
      </c>
      <c r="J125" s="25" t="n">
        <f aca="false">IF(J119&lt;&gt;"",J119,IF(AND(J120&lt;&gt;"",J122&lt;&gt;""),J120+(J122-J120)*(2029-J121)/(J123-J121),IF(I125&lt;&gt;"",I125+J124,"")))</f>
        <v>6.4625</v>
      </c>
      <c r="K125" s="25" t="n">
        <f aca="false">IF(K119&lt;&gt;"",K119,IF(AND(K120&lt;&gt;"",K122&lt;&gt;""),K120+(K122-K120)*(2030-K121)/(K123-K121),IF(J125&lt;&gt;"",J125+K124,"")))</f>
        <v>8</v>
      </c>
      <c r="L125" s="25" t="n">
        <f aca="false">IF(L119&lt;&gt;"",L119,IF(AND(L120&lt;&gt;"",L122&lt;&gt;""),L120+(L122-L120)*(2031-L121)/(L123-L121),IF(K125&lt;&gt;"",K125+L124,"")))</f>
        <v>8</v>
      </c>
      <c r="M125" s="25" t="n">
        <f aca="false">IF(M119&lt;&gt;"",M119,IF(AND(M120&lt;&gt;"",M122&lt;&gt;""),M120+(M122-M120)*(2032-M121)/(M123-M121),IF(L125&lt;&gt;"",L125+M124,"")))</f>
        <v>8</v>
      </c>
    </row>
    <row r="126" customFormat="false" ht="15" hidden="false" customHeight="false" outlineLevel="0" collapsed="false">
      <c r="A126" s="5" t="s">
        <v>864</v>
      </c>
      <c r="B126" s="0" t="s">
        <v>967</v>
      </c>
      <c r="C126" s="0" t="s">
        <v>33</v>
      </c>
      <c r="D126" s="0" t="n">
        <f aca="false">IF(D117&lt;&gt;"",1,IF(D118&lt;&gt;"",5,IF(D119&lt;&gt;"",2,IF(AND(D120&lt;&gt;"",D122&lt;&gt;""),3,IF(D125&lt;&gt;"",4,0)))))</f>
        <v>1</v>
      </c>
      <c r="E126" s="0" t="n">
        <f aca="false">IF(E117&lt;&gt;"",1,IF(E118&lt;&gt;"",5,IF(E119&lt;&gt;"",2,IF(AND(E120&lt;&gt;"",E122&lt;&gt;""),3,IF(E125&lt;&gt;"",4,0)))))</f>
        <v>1</v>
      </c>
      <c r="F126" s="0" t="n">
        <f aca="false">IF(F117&lt;&gt;"",1,IF(F118&lt;&gt;"",5,IF(F119&lt;&gt;"",2,IF(AND(F120&lt;&gt;"",F122&lt;&gt;""),3,IF(F125&lt;&gt;"",4,0)))))</f>
        <v>1</v>
      </c>
      <c r="G126" s="0" t="n">
        <f aca="false">IF(G117&lt;&gt;"",1,IF(G118&lt;&gt;"",5,IF(G119&lt;&gt;"",2,IF(AND(G120&lt;&gt;"",G122&lt;&gt;""),3,IF(G125&lt;&gt;"",4,0)))))</f>
        <v>1</v>
      </c>
      <c r="H126" s="0" t="n">
        <f aca="false">IF(H117&lt;&gt;"",1,IF(H118&lt;&gt;"",5,IF(H119&lt;&gt;"",2,IF(AND(H120&lt;&gt;"",H122&lt;&gt;""),3,IF(H125&lt;&gt;"",4,0)))))</f>
        <v>3</v>
      </c>
      <c r="I126" s="0" t="n">
        <f aca="false">IF(I117&lt;&gt;"",1,IF(I118&lt;&gt;"",5,IF(I119&lt;&gt;"",2,IF(AND(I120&lt;&gt;"",I122&lt;&gt;""),3,IF(I125&lt;&gt;"",4,0)))))</f>
        <v>3</v>
      </c>
      <c r="J126" s="0" t="n">
        <f aca="false">IF(J117&lt;&gt;"",1,IF(J118&lt;&gt;"",5,IF(J119&lt;&gt;"",2,IF(AND(J120&lt;&gt;"",J122&lt;&gt;""),3,IF(J125&lt;&gt;"",4,0)))))</f>
        <v>3</v>
      </c>
      <c r="K126" s="0" t="n">
        <f aca="false">IF(K117&lt;&gt;"",1,IF(K118&lt;&gt;"",5,IF(K119&lt;&gt;"",2,IF(AND(K120&lt;&gt;"",K122&lt;&gt;""),3,IF(K125&lt;&gt;"",4,0)))))</f>
        <v>1</v>
      </c>
      <c r="L126" s="0" t="n">
        <f aca="false">IF(L117&lt;&gt;"",1,IF(L118&lt;&gt;"",5,IF(L119&lt;&gt;"",2,IF(AND(L120&lt;&gt;"",L122&lt;&gt;""),3,IF(L125&lt;&gt;"",4,0)))))</f>
        <v>4</v>
      </c>
      <c r="M126" s="0" t="n">
        <f aca="false">IF(M117&lt;&gt;"",1,IF(M118&lt;&gt;"",5,IF(M119&lt;&gt;"",2,IF(AND(M120&lt;&gt;"",M122&lt;&gt;""),3,IF(M125&lt;&gt;"",4,0)))))</f>
        <v>4</v>
      </c>
    </row>
    <row r="127" customFormat="false" ht="17.15" hidden="false" customHeight="false" outlineLevel="0" collapsed="false">
      <c r="A127" s="5" t="s">
        <v>866</v>
      </c>
      <c r="B127" s="0" t="s">
        <v>968</v>
      </c>
      <c r="C127" s="0" t="s">
        <v>75</v>
      </c>
      <c r="D127" s="24" t="n">
        <f aca="false">IF(D125="","",D125)</f>
        <v>0.07</v>
      </c>
      <c r="E127" s="24" t="n">
        <f aca="false">IF(E125="","",E125)</f>
        <v>0.36</v>
      </c>
      <c r="F127" s="24" t="n">
        <f aca="false">IF(F125="","",F125)</f>
        <v>0.85</v>
      </c>
      <c r="G127" s="24" t="n">
        <f aca="false">IF(G125="","",G125)</f>
        <v>1.85</v>
      </c>
      <c r="H127" s="24" t="n">
        <f aca="false">IF(H125="","",H125)</f>
        <v>3.3875</v>
      </c>
      <c r="I127" s="24" t="n">
        <f aca="false">IF(I125="","",I125)</f>
        <v>4.925</v>
      </c>
      <c r="J127" s="24" t="n">
        <f aca="false">IF(J125="","",J125)</f>
        <v>6.4625</v>
      </c>
      <c r="K127" s="24" t="n">
        <f aca="false">IF(K125="","",K125)</f>
        <v>8</v>
      </c>
      <c r="L127" s="24" t="n">
        <f aca="false">IF(L125="","",L125)</f>
        <v>8</v>
      </c>
      <c r="M127" s="24" t="n">
        <f aca="false">IF(M125="","",M125)</f>
        <v>8</v>
      </c>
    </row>
    <row r="128" customFormat="false" ht="17.15" hidden="false" customHeight="false" outlineLevel="0" collapsed="false">
      <c r="A128" s="5" t="s">
        <v>868</v>
      </c>
      <c r="B128" s="0" t="s">
        <v>969</v>
      </c>
      <c r="C128" s="0" t="s">
        <v>75</v>
      </c>
      <c r="D128" s="24" t="n">
        <f aca="false">IF(D125="","",D125)</f>
        <v>0.07</v>
      </c>
      <c r="E128" s="24" t="n">
        <f aca="false">IF(E125="","",E125)</f>
        <v>0.36</v>
      </c>
      <c r="F128" s="24" t="n">
        <f aca="false">IF(F125="","",F125)</f>
        <v>0.85</v>
      </c>
      <c r="G128" s="24" t="n">
        <f aca="false">IF(G125="","",G125)</f>
        <v>1.85</v>
      </c>
      <c r="H128" s="24" t="n">
        <f aca="false">IF(H125="","",H125)</f>
        <v>3.3875</v>
      </c>
      <c r="I128" s="24" t="n">
        <f aca="false">IF(I125="","",I125)</f>
        <v>4.925</v>
      </c>
      <c r="J128" s="24" t="n">
        <f aca="false">IF(J125="","",J125)</f>
        <v>6.4625</v>
      </c>
      <c r="K128" s="24" t="n">
        <f aca="false">IF(K125="","",K125)</f>
        <v>8</v>
      </c>
      <c r="L128" s="24" t="n">
        <f aca="false">IF(L125="","",L125)</f>
        <v>8</v>
      </c>
      <c r="M128" s="24" t="n">
        <f aca="false">IF(M125="","",M125)</f>
        <v>8</v>
      </c>
    </row>
    <row r="129" customFormat="false" ht="17.15" hidden="false" customHeight="false" outlineLevel="0" collapsed="false">
      <c r="A129" s="5" t="s">
        <v>870</v>
      </c>
      <c r="B129" s="0" t="s">
        <v>970</v>
      </c>
      <c r="C129" s="0" t="s">
        <v>75</v>
      </c>
      <c r="D129" s="24" t="n">
        <f aca="false">IF(D125="","",IF(In!$C$93="未說明",D125/D$13,D125))</f>
        <v>0.07</v>
      </c>
      <c r="E129" s="24" t="n">
        <f aca="false">IF(E125="","",IF(In!$C$93="未說明",E125/E$13,E125))</f>
        <v>0.36</v>
      </c>
      <c r="F129" s="24" t="n">
        <f aca="false">IF(F125="","",IF(In!$C$93="未說明",F125/F$13,F125))</f>
        <v>0.85</v>
      </c>
      <c r="G129" s="24" t="n">
        <f aca="false">IF(G125="","",IF(In!$C$93="未說明",G125/G$13,G125))</f>
        <v>1.85</v>
      </c>
      <c r="H129" s="24" t="n">
        <f aca="false">IF(H125="","",IF(In!$C$93="未說明",H125/H$13,H125))</f>
        <v>3.3875</v>
      </c>
      <c r="I129" s="24" t="n">
        <f aca="false">IF(I125="","",IF(In!$C$93="未說明",I125/I$13,I125))</f>
        <v>4.925</v>
      </c>
      <c r="J129" s="24" t="n">
        <f aca="false">IF(J125="","",IF(In!$C$93="未說明",J125/J$13,J125))</f>
        <v>6.4625</v>
      </c>
      <c r="K129" s="24" t="n">
        <f aca="false">IF(K125="","",IF(In!$C$93="未說明",K125/K$13,K125))</f>
        <v>8</v>
      </c>
      <c r="L129" s="24" t="n">
        <f aca="false">IF(L125="","",IF(In!$C$93="未說明",L125/L$13,L125))</f>
        <v>8</v>
      </c>
      <c r="M129" s="24" t="n">
        <f aca="false">IF(M125="","",IF(In!$C$93="未說明",M125/M$13,M125))</f>
        <v>8</v>
      </c>
    </row>
    <row r="130" customFormat="false" ht="17.15" hidden="false" customHeight="false" outlineLevel="0" collapsed="false">
      <c r="A130" s="5" t="s">
        <v>872</v>
      </c>
      <c r="B130" s="0" t="s">
        <v>971</v>
      </c>
      <c r="C130" s="0" t="s">
        <v>75</v>
      </c>
      <c r="D130" s="0" t="str">
        <f aca="false">""</f>
        <v/>
      </c>
      <c r="E130" s="24" t="n">
        <f aca="false">IF(AND(D125&lt;&gt;"",E125&lt;&gt;""),(D125+E125)/2,"")</f>
        <v>0.215</v>
      </c>
      <c r="F130" s="24" t="n">
        <f aca="false">IF(AND(E125&lt;&gt;"",F125&lt;&gt;""),(E125+F125)/2,"")</f>
        <v>0.605</v>
      </c>
      <c r="G130" s="24" t="n">
        <f aca="false">IF(AND(F125&lt;&gt;"",G125&lt;&gt;""),(F125+G125)/2,"")</f>
        <v>1.35</v>
      </c>
      <c r="H130" s="24" t="n">
        <f aca="false">IF(AND(G125&lt;&gt;"",H125&lt;&gt;""),(G125+H125)/2,"")</f>
        <v>2.61875</v>
      </c>
      <c r="I130" s="24" t="n">
        <f aca="false">IF(AND(H125&lt;&gt;"",I125&lt;&gt;""),(H125+I125)/2,"")</f>
        <v>4.15625</v>
      </c>
      <c r="J130" s="24" t="n">
        <f aca="false">IF(AND(I125&lt;&gt;"",J125&lt;&gt;""),(I125+J125)/2,"")</f>
        <v>5.69375</v>
      </c>
      <c r="K130" s="24" t="n">
        <f aca="false">IF(AND(J125&lt;&gt;"",K125&lt;&gt;""),(J125+K125)/2,"")</f>
        <v>7.23125</v>
      </c>
      <c r="L130" s="24" t="n">
        <f aca="false">IF(AND(K125&lt;&gt;"",L125&lt;&gt;""),(K125+L125)/2,"")</f>
        <v>8</v>
      </c>
      <c r="M130" s="24" t="n">
        <f aca="false">IF(AND(L125&lt;&gt;"",M125&lt;&gt;""),(L125+M125)/2,"")</f>
        <v>8</v>
      </c>
    </row>
    <row r="131" customFormat="false" ht="17.15" hidden="false" customHeight="false" outlineLevel="0" collapsed="false">
      <c r="A131" s="5" t="s">
        <v>874</v>
      </c>
      <c r="B131" s="0" t="s">
        <v>972</v>
      </c>
      <c r="C131" s="0" t="s">
        <v>75</v>
      </c>
      <c r="D131" s="0" t="n">
        <v>0</v>
      </c>
      <c r="E131" s="24" t="n">
        <f aca="false">IF(AND(D125&lt;&gt;"",E125&lt;&gt;""),E125-D125,0)</f>
        <v>0.29</v>
      </c>
      <c r="F131" s="24" t="n">
        <f aca="false">IF(AND(E125&lt;&gt;"",F125&lt;&gt;""),F125-E125,0)</f>
        <v>0.49</v>
      </c>
      <c r="G131" s="24" t="n">
        <f aca="false">IF(AND(F125&lt;&gt;"",G125&lt;&gt;""),G125-F125,0)</f>
        <v>1</v>
      </c>
      <c r="H131" s="24" t="n">
        <f aca="false">IF(AND(G125&lt;&gt;"",H125&lt;&gt;""),H125-G125,0)</f>
        <v>1.5375</v>
      </c>
      <c r="I131" s="24" t="n">
        <f aca="false">IF(AND(H125&lt;&gt;"",I125&lt;&gt;""),I125-H125,0)</f>
        <v>1.5375</v>
      </c>
      <c r="J131" s="24" t="n">
        <f aca="false">IF(AND(I125&lt;&gt;"",J125&lt;&gt;""),J125-I125,0)</f>
        <v>1.5375</v>
      </c>
      <c r="K131" s="24" t="n">
        <f aca="false">IF(AND(J125&lt;&gt;"",K125&lt;&gt;""),K125-J125,0)</f>
        <v>1.5375</v>
      </c>
      <c r="L131" s="24" t="n">
        <f aca="false">IF(AND(K125&lt;&gt;"",L125&lt;&gt;""),L125-K125,0)</f>
        <v>0</v>
      </c>
      <c r="M131" s="24" t="n">
        <f aca="false">IF(AND(L125&lt;&gt;"",M125&lt;&gt;""),M125-L125,0)</f>
        <v>0</v>
      </c>
    </row>
    <row r="132" customFormat="false" ht="17.15" hidden="false" customHeight="false" outlineLevel="0" collapsed="false">
      <c r="A132" s="5" t="s">
        <v>876</v>
      </c>
      <c r="B132" s="0" t="s">
        <v>973</v>
      </c>
      <c r="C132" s="0" t="s">
        <v>75</v>
      </c>
      <c r="D132" s="24" t="n">
        <f aca="false">IF(D125&lt;&gt;"",D125,0)</f>
        <v>0.07</v>
      </c>
      <c r="E132" s="24" t="n">
        <f aca="false">IF(AND(D125="",E125&lt;&gt;""),E125,0)</f>
        <v>0</v>
      </c>
      <c r="F132" s="24" t="n">
        <f aca="false">IF(AND(E125="",F125&lt;&gt;""),F125,0)</f>
        <v>0</v>
      </c>
      <c r="G132" s="24" t="n">
        <f aca="false">IF(AND(F125="",G125&lt;&gt;""),G125,0)</f>
        <v>0</v>
      </c>
      <c r="H132" s="24" t="n">
        <f aca="false">IF(AND(G125="",H125&lt;&gt;""),H125,0)</f>
        <v>0</v>
      </c>
      <c r="I132" s="24" t="n">
        <f aca="false">IF(AND(H125="",I125&lt;&gt;""),I125,0)</f>
        <v>0</v>
      </c>
      <c r="J132" s="24" t="n">
        <f aca="false">IF(AND(I125="",J125&lt;&gt;""),J125,0)</f>
        <v>0</v>
      </c>
      <c r="K132" s="24" t="n">
        <f aca="false">IF(AND(J125="",K125&lt;&gt;""),K125,0)</f>
        <v>0</v>
      </c>
      <c r="L132" s="24" t="n">
        <f aca="false">IF(AND(K125="",L125&lt;&gt;""),L125,0)</f>
        <v>0</v>
      </c>
      <c r="M132" s="24" t="n">
        <f aca="false">IF(AND(L125="",M125&lt;&gt;""),M125,0)</f>
        <v>0</v>
      </c>
    </row>
    <row r="133" customFormat="false" ht="17.15" hidden="false" customHeight="false" outlineLevel="0" collapsed="false">
      <c r="A133" s="5" t="s">
        <v>878</v>
      </c>
      <c r="B133" s="0" t="s">
        <v>974</v>
      </c>
      <c r="C133" s="0" t="s">
        <v>50</v>
      </c>
      <c r="D133" s="23" t="n">
        <f aca="false">nnv_crwv</f>
        <v>0</v>
      </c>
      <c r="E133" s="23" t="n">
        <f aca="false">nnv_crwv</f>
        <v>0</v>
      </c>
      <c r="F133" s="23" t="n">
        <f aca="false">nnv_crwv</f>
        <v>0</v>
      </c>
      <c r="G133" s="23" t="n">
        <f aca="false">nnv_crwv</f>
        <v>0</v>
      </c>
      <c r="H133" s="23" t="n">
        <f aca="false">nnv_crwv</f>
        <v>0</v>
      </c>
      <c r="I133" s="23" t="n">
        <f aca="false">nnv_crwv</f>
        <v>0</v>
      </c>
      <c r="J133" s="23" t="n">
        <f aca="false">nnv_crwv</f>
        <v>0</v>
      </c>
      <c r="K133" s="23" t="n">
        <f aca="false">nnv_crwv</f>
        <v>0</v>
      </c>
      <c r="L133" s="23" t="n">
        <f aca="false">nnv_crwv</f>
        <v>0</v>
      </c>
      <c r="M133" s="23" t="n">
        <f aca="false">nnv_crwv</f>
        <v>0</v>
      </c>
    </row>
    <row r="135" customFormat="false" ht="17.15" hidden="false" customHeight="false" outlineLevel="0" collapsed="false">
      <c r="A135" s="8" t="s">
        <v>975</v>
      </c>
      <c r="B135" s="20" t="s">
        <v>584</v>
      </c>
      <c r="N135" s="20" t="s">
        <v>976</v>
      </c>
    </row>
    <row r="136" customFormat="false" ht="17.15" hidden="false" customHeight="false" outlineLevel="0" collapsed="false">
      <c r="A136" s="5" t="s">
        <v>846</v>
      </c>
      <c r="B136" s="0" t="s">
        <v>977</v>
      </c>
      <c r="C136" s="0" t="s">
        <v>75</v>
      </c>
      <c r="D136" s="24" t="str">
        <f aca="false">IF(In!$H$94="","",IF(In!$C$94="設施",In!$H$94/1000/D$13,In!$H$94/1000))</f>
        <v/>
      </c>
      <c r="E136" s="24" t="str">
        <f aca="false">IF(In!$I$94="","",IF(In!$C$94="設施",In!$I$94/1000/E$13,In!$I$94/1000))</f>
        <v/>
      </c>
      <c r="F136" s="24" t="n">
        <f aca="false">IF(In!$J$94="","",IF(In!$C$94="設施",In!$J$94/1000/F$13,In!$J$94/1000))</f>
        <v>0.17</v>
      </c>
      <c r="G136" s="24" t="n">
        <f aca="false">IF(In!$K$94="","",IF(In!$C$94="設施",In!$K$94/1000/G$13,In!$K$94/1000))</f>
        <v>0.9</v>
      </c>
      <c r="H136" s="24" t="str">
        <f aca="false">IF(In!$L$94="","",IF(In!$C$94="設施",In!$L$94/1000/H$13,In!$L$94/1000))</f>
        <v/>
      </c>
      <c r="I136" s="24" t="str">
        <f aca="false">IF(In!$M$94="","",IF(In!$C$94="設施",In!$M$94/1000/I$13,In!$M$94/1000))</f>
        <v/>
      </c>
      <c r="J136" s="24" t="str">
        <f aca="false">IF(In!$N$94="","",IF(In!$C$94="設施",In!$N$94/1000/J$13,In!$N$94/1000))</f>
        <v/>
      </c>
      <c r="K136" s="24" t="str">
        <f aca="false">IF(In!$O$94="","",IF(In!$C$94="設施",In!$O$94/1000/K$13,In!$O$94/1000))</f>
        <v/>
      </c>
      <c r="L136" s="24" t="str">
        <f aca="false">IF(In!$P$94="","",IF(In!$C$94="設施",In!$P$94/1000/L$13,In!$P$94/1000))</f>
        <v/>
      </c>
      <c r="M136" s="24" t="str">
        <f aca="false">IF(In!$Q$94="","",IF(In!$C$94="設施",In!$Q$94/1000/M$13,In!$Q$94/1000))</f>
        <v/>
      </c>
    </row>
    <row r="137" customFormat="false" ht="17.15" hidden="false" customHeight="false" outlineLevel="0" collapsed="false">
      <c r="A137" s="5" t="s">
        <v>848</v>
      </c>
      <c r="B137" s="0" t="s">
        <v>978</v>
      </c>
      <c r="C137" s="0" t="s">
        <v>75</v>
      </c>
      <c r="D137" s="0" t="str">
        <f aca="false">""</f>
        <v/>
      </c>
      <c r="E137" s="0" t="str">
        <f aca="false">""</f>
        <v/>
      </c>
      <c r="F137" s="0" t="str">
        <f aca="false">""</f>
        <v/>
      </c>
      <c r="G137" s="0" t="str">
        <f aca="false">""</f>
        <v/>
      </c>
      <c r="H137" s="0" t="str">
        <f aca="false">""</f>
        <v/>
      </c>
      <c r="I137" s="0" t="str">
        <f aca="false">""</f>
        <v/>
      </c>
      <c r="J137" s="0" t="str">
        <f aca="false">""</f>
        <v/>
      </c>
      <c r="K137" s="0" t="str">
        <f aca="false">""</f>
        <v/>
      </c>
      <c r="L137" s="0" t="str">
        <f aca="false">""</f>
        <v/>
      </c>
      <c r="M137" s="0" t="str">
        <f aca="false">""</f>
        <v/>
      </c>
    </row>
    <row r="138" customFormat="false" ht="15" hidden="false" customHeight="false" outlineLevel="0" collapsed="false">
      <c r="A138" s="5" t="s">
        <v>850</v>
      </c>
      <c r="B138" s="0" t="s">
        <v>979</v>
      </c>
      <c r="C138" s="0" t="s">
        <v>75</v>
      </c>
      <c r="D138" s="0" t="str">
        <f aca="false">IF(D136&lt;&gt;"",D136,IF(D137&lt;&gt;"",D137,""))</f>
        <v/>
      </c>
      <c r="E138" s="0" t="str">
        <f aca="false">IF(E136&lt;&gt;"",E136,IF(E137&lt;&gt;"",E137,""))</f>
        <v/>
      </c>
      <c r="F138" s="24" t="n">
        <f aca="false">IF(F136&lt;&gt;"",F136,IF(F137&lt;&gt;"",F137,""))</f>
        <v>0.17</v>
      </c>
      <c r="G138" s="24" t="n">
        <f aca="false">IF(G136&lt;&gt;"",G136,IF(G137&lt;&gt;"",G137,""))</f>
        <v>0.9</v>
      </c>
      <c r="H138" s="0" t="str">
        <f aca="false">IF(H136&lt;&gt;"",H136,IF(H137&lt;&gt;"",H137,""))</f>
        <v/>
      </c>
      <c r="I138" s="0" t="str">
        <f aca="false">IF(I136&lt;&gt;"",I136,IF(I137&lt;&gt;"",I137,""))</f>
        <v/>
      </c>
      <c r="J138" s="0" t="str">
        <f aca="false">IF(J136&lt;&gt;"",J136,IF(J137&lt;&gt;"",J137,""))</f>
        <v/>
      </c>
      <c r="K138" s="0" t="str">
        <f aca="false">IF(K136&lt;&gt;"",K136,IF(K137&lt;&gt;"",K137,""))</f>
        <v/>
      </c>
      <c r="L138" s="0" t="str">
        <f aca="false">IF(L136&lt;&gt;"",L136,IF(L137&lt;&gt;"",L137,""))</f>
        <v/>
      </c>
      <c r="M138" s="0" t="str">
        <f aca="false">IF(M136&lt;&gt;"",M136,IF(M137&lt;&gt;"",M137,""))</f>
        <v/>
      </c>
    </row>
    <row r="139" customFormat="false" ht="15" hidden="false" customHeight="false" outlineLevel="0" collapsed="false">
      <c r="A139" s="5" t="s">
        <v>852</v>
      </c>
      <c r="B139" s="0" t="s">
        <v>980</v>
      </c>
      <c r="C139" s="0" t="s">
        <v>75</v>
      </c>
      <c r="D139" s="0" t="str">
        <f aca="false">IF(D138&lt;&gt;"",D138,"")</f>
        <v/>
      </c>
      <c r="E139" s="0" t="str">
        <f aca="false">IF(E138&lt;&gt;"",E138,D139)</f>
        <v/>
      </c>
      <c r="F139" s="24" t="n">
        <f aca="false">IF(F138&lt;&gt;"",F138,E139)</f>
        <v>0.17</v>
      </c>
      <c r="G139" s="24" t="n">
        <f aca="false">IF(G138&lt;&gt;"",G138,F139)</f>
        <v>0.9</v>
      </c>
      <c r="H139" s="24" t="n">
        <f aca="false">IF(H138&lt;&gt;"",H138,G139)</f>
        <v>0.9</v>
      </c>
      <c r="I139" s="24" t="n">
        <f aca="false">IF(I138&lt;&gt;"",I138,H139)</f>
        <v>0.9</v>
      </c>
      <c r="J139" s="24" t="n">
        <f aca="false">IF(J138&lt;&gt;"",J138,I139)</f>
        <v>0.9</v>
      </c>
      <c r="K139" s="24" t="n">
        <f aca="false">IF(K138&lt;&gt;"",K138,J139)</f>
        <v>0.9</v>
      </c>
      <c r="L139" s="24" t="n">
        <f aca="false">IF(L138&lt;&gt;"",L138,K139)</f>
        <v>0.9</v>
      </c>
      <c r="M139" s="24" t="n">
        <f aca="false">IF(M138&lt;&gt;"",M138,L139)</f>
        <v>0.9</v>
      </c>
    </row>
    <row r="140" customFormat="false" ht="15" hidden="false" customHeight="false" outlineLevel="0" collapsed="false">
      <c r="A140" s="5" t="s">
        <v>854</v>
      </c>
      <c r="B140" s="0" t="s">
        <v>981</v>
      </c>
      <c r="C140" s="5" t="s">
        <v>45</v>
      </c>
      <c r="D140" s="0" t="str">
        <f aca="false">IF(D138&lt;&gt;"",2023,"")</f>
        <v/>
      </c>
      <c r="E140" s="0" t="str">
        <f aca="false">IF(E138&lt;&gt;"",2024,D140)</f>
        <v/>
      </c>
      <c r="F140" s="0" t="n">
        <f aca="false">IF(F138&lt;&gt;"",2025,E140)</f>
        <v>2025</v>
      </c>
      <c r="G140" s="0" t="n">
        <f aca="false">IF(G138&lt;&gt;"",2026,F140)</f>
        <v>2026</v>
      </c>
      <c r="H140" s="0" t="n">
        <f aca="false">IF(H138&lt;&gt;"",2027,G140)</f>
        <v>2026</v>
      </c>
      <c r="I140" s="0" t="n">
        <f aca="false">IF(I138&lt;&gt;"",2028,H140)</f>
        <v>2026</v>
      </c>
      <c r="J140" s="0" t="n">
        <f aca="false">IF(J138&lt;&gt;"",2029,I140)</f>
        <v>2026</v>
      </c>
      <c r="K140" s="0" t="n">
        <f aca="false">IF(K138&lt;&gt;"",2030,J140)</f>
        <v>2026</v>
      </c>
      <c r="L140" s="0" t="n">
        <f aca="false">IF(L138&lt;&gt;"",2031,K140)</f>
        <v>2026</v>
      </c>
      <c r="M140" s="0" t="n">
        <f aca="false">IF(M138&lt;&gt;"",2032,L140)</f>
        <v>2026</v>
      </c>
    </row>
    <row r="141" customFormat="false" ht="15" hidden="false" customHeight="false" outlineLevel="0" collapsed="false">
      <c r="A141" s="5" t="s">
        <v>856</v>
      </c>
      <c r="B141" s="0" t="s">
        <v>982</v>
      </c>
      <c r="C141" s="0" t="s">
        <v>75</v>
      </c>
      <c r="D141" s="24" t="n">
        <f aca="false">IF(D138&lt;&gt;"",D138,E141)</f>
        <v>0.17</v>
      </c>
      <c r="E141" s="24" t="n">
        <f aca="false">IF(E138&lt;&gt;"",E138,F141)</f>
        <v>0.17</v>
      </c>
      <c r="F141" s="24" t="n">
        <f aca="false">IF(F138&lt;&gt;"",F138,G141)</f>
        <v>0.17</v>
      </c>
      <c r="G141" s="24" t="n">
        <f aca="false">IF(G138&lt;&gt;"",G138,H141)</f>
        <v>0.9</v>
      </c>
      <c r="H141" s="0" t="str">
        <f aca="false">IF(H138&lt;&gt;"",H138,I141)</f>
        <v/>
      </c>
      <c r="I141" s="0" t="str">
        <f aca="false">IF(I138&lt;&gt;"",I138,J141)</f>
        <v/>
      </c>
      <c r="J141" s="0" t="str">
        <f aca="false">IF(J138&lt;&gt;"",J138,K141)</f>
        <v/>
      </c>
      <c r="K141" s="0" t="str">
        <f aca="false">IF(K138&lt;&gt;"",K138,L141)</f>
        <v/>
      </c>
      <c r="L141" s="0" t="str">
        <f aca="false">IF(L138&lt;&gt;"",L138,M141)</f>
        <v/>
      </c>
      <c r="M141" s="0" t="str">
        <f aca="false">IF(M138&lt;&gt;"",M138,"")</f>
        <v/>
      </c>
    </row>
    <row r="142" customFormat="false" ht="15" hidden="false" customHeight="false" outlineLevel="0" collapsed="false">
      <c r="A142" s="5" t="s">
        <v>858</v>
      </c>
      <c r="B142" s="0" t="s">
        <v>983</v>
      </c>
      <c r="C142" s="5" t="s">
        <v>45</v>
      </c>
      <c r="D142" s="0" t="n">
        <f aca="false">IF(D138&lt;&gt;"",2023,E142)</f>
        <v>2025</v>
      </c>
      <c r="E142" s="0" t="n">
        <f aca="false">IF(E138&lt;&gt;"",2024,F142)</f>
        <v>2025</v>
      </c>
      <c r="F142" s="0" t="n">
        <f aca="false">IF(F138&lt;&gt;"",2025,G142)</f>
        <v>2025</v>
      </c>
      <c r="G142" s="0" t="n">
        <f aca="false">IF(G138&lt;&gt;"",2026,H142)</f>
        <v>2026</v>
      </c>
      <c r="H142" s="0" t="str">
        <f aca="false">IF(H138&lt;&gt;"",2027,I142)</f>
        <v/>
      </c>
      <c r="I142" s="0" t="str">
        <f aca="false">IF(I138&lt;&gt;"",2028,J142)</f>
        <v/>
      </c>
      <c r="J142" s="0" t="str">
        <f aca="false">IF(J138&lt;&gt;"",2029,K142)</f>
        <v/>
      </c>
      <c r="K142" s="0" t="str">
        <f aca="false">IF(K138&lt;&gt;"",2030,L142)</f>
        <v/>
      </c>
      <c r="L142" s="0" t="str">
        <f aca="false">IF(L138&lt;&gt;"",2031,M142)</f>
        <v/>
      </c>
      <c r="M142" s="0" t="str">
        <f aca="false">IF(M138&lt;&gt;"",2032,"")</f>
        <v/>
      </c>
    </row>
    <row r="143" customFormat="false" ht="17.15" hidden="false" customHeight="false" outlineLevel="0" collapsed="false">
      <c r="A143" s="5" t="s">
        <v>860</v>
      </c>
      <c r="B143" s="0" t="s">
        <v>984</v>
      </c>
      <c r="C143" s="0" t="s">
        <v>75</v>
      </c>
      <c r="D143" s="24" t="n">
        <f aca="false">SUMIFS(Pipeline!$L$5:$L$47,Pipeline!$C$5:$C$47,"nbis",Pipeline!$Q$5:$Q$47,1,Pipeline!$P$5:$P$47,2023)</f>
        <v>0</v>
      </c>
      <c r="E143" s="24" t="n">
        <f aca="false">SUMIFS(Pipeline!$L$5:$L$47,Pipeline!$C$5:$C$47,"nbis",Pipeline!$Q$5:$Q$47,1,Pipeline!$P$5:$P$47,2024)</f>
        <v>0</v>
      </c>
      <c r="F143" s="24" t="n">
        <f aca="false">SUMIFS(Pipeline!$L$5:$L$47,Pipeline!$C$5:$C$47,"nbis",Pipeline!$Q$5:$Q$47,1,Pipeline!$P$5:$P$47,2025)</f>
        <v>0</v>
      </c>
      <c r="G143" s="24" t="n">
        <f aca="false">SUMIFS(Pipeline!$L$5:$L$47,Pipeline!$C$5:$C$47,"nbis",Pipeline!$Q$5:$Q$47,1,Pipeline!$P$5:$P$47,2026)</f>
        <v>0</v>
      </c>
      <c r="H143" s="24" t="n">
        <f aca="false">SUMIFS(Pipeline!$L$5:$L$47,Pipeline!$C$5:$C$47,"nbis",Pipeline!$Q$5:$Q$47,1,Pipeline!$P$5:$P$47,2027)</f>
        <v>0</v>
      </c>
      <c r="I143" s="24" t="n">
        <f aca="false">SUMIFS(Pipeline!$L$5:$L$47,Pipeline!$C$5:$C$47,"nbis",Pipeline!$Q$5:$Q$47,1,Pipeline!$P$5:$P$47,2028)</f>
        <v>0</v>
      </c>
      <c r="J143" s="24" t="n">
        <f aca="false">SUMIFS(Pipeline!$L$5:$L$47,Pipeline!$C$5:$C$47,"nbis",Pipeline!$Q$5:$Q$47,1,Pipeline!$P$5:$P$47,2029)</f>
        <v>0</v>
      </c>
      <c r="K143" s="24" t="n">
        <f aca="false">SUMIFS(Pipeline!$L$5:$L$47,Pipeline!$C$5:$C$47,"nbis",Pipeline!$Q$5:$Q$47,1,Pipeline!$P$5:$P$47,2030)</f>
        <v>0</v>
      </c>
      <c r="L143" s="24" t="n">
        <f aca="false">SUMIFS(Pipeline!$L$5:$L$47,Pipeline!$C$5:$C$47,"nbis",Pipeline!$Q$5:$Q$47,1,Pipeline!$P$5:$P$47,2031)</f>
        <v>0</v>
      </c>
      <c r="M143" s="24" t="n">
        <f aca="false">SUMIFS(Pipeline!$L$5:$L$47,Pipeline!$C$5:$C$47,"nbis",Pipeline!$Q$5:$Q$47,1,Pipeline!$P$5:$P$47,2032)</f>
        <v>0</v>
      </c>
    </row>
    <row r="144" customFormat="false" ht="17.15" hidden="false" customHeight="false" outlineLevel="0" collapsed="false">
      <c r="A144" s="5" t="s">
        <v>862</v>
      </c>
      <c r="B144" s="0" t="s">
        <v>985</v>
      </c>
      <c r="C144" s="0" t="s">
        <v>75</v>
      </c>
      <c r="D144" s="25" t="str">
        <f aca="false">IF(D138&lt;&gt;"",D138,IF(AND(D139&lt;&gt;"",D141&lt;&gt;""),D139+(D141-D139)*(2023-D140)/(D142-D140),""))</f>
        <v/>
      </c>
      <c r="E144" s="25" t="str">
        <f aca="false">IF(E138&lt;&gt;"",E138,IF(AND(E139&lt;&gt;"",E141&lt;&gt;""),E139+(E141-E139)*(2024-E140)/(E142-E140),IF(D144&lt;&gt;"",D144+E143,"")))</f>
        <v/>
      </c>
      <c r="F144" s="25" t="n">
        <f aca="false">IF(F138&lt;&gt;"",F138,IF(AND(F139&lt;&gt;"",F141&lt;&gt;""),F139+(F141-F139)*(2025-F140)/(F142-F140),IF(E144&lt;&gt;"",E144+F143,"")))</f>
        <v>0.17</v>
      </c>
      <c r="G144" s="25" t="n">
        <f aca="false">IF(G138&lt;&gt;"",G138,IF(AND(G139&lt;&gt;"",G141&lt;&gt;""),G139+(G141-G139)*(2026-G140)/(G142-G140),IF(F144&lt;&gt;"",F144+G143,"")))</f>
        <v>0.9</v>
      </c>
      <c r="H144" s="25" t="n">
        <f aca="false">IF(H138&lt;&gt;"",H138,IF(AND(H139&lt;&gt;"",H141&lt;&gt;""),H139+(H141-H139)*(2027-H140)/(H142-H140),IF(G144&lt;&gt;"",G144+H143,"")))</f>
        <v>0.9</v>
      </c>
      <c r="I144" s="25" t="n">
        <f aca="false">IF(I138&lt;&gt;"",I138,IF(AND(I139&lt;&gt;"",I141&lt;&gt;""),I139+(I141-I139)*(2028-I140)/(I142-I140),IF(H144&lt;&gt;"",H144+I143,"")))</f>
        <v>0.9</v>
      </c>
      <c r="J144" s="25" t="n">
        <f aca="false">IF(J138&lt;&gt;"",J138,IF(AND(J139&lt;&gt;"",J141&lt;&gt;""),J139+(J141-J139)*(2029-J140)/(J142-J140),IF(I144&lt;&gt;"",I144+J143,"")))</f>
        <v>0.9</v>
      </c>
      <c r="K144" s="25" t="n">
        <f aca="false">IF(K138&lt;&gt;"",K138,IF(AND(K139&lt;&gt;"",K141&lt;&gt;""),K139+(K141-K139)*(2030-K140)/(K142-K140),IF(J144&lt;&gt;"",J144+K143,"")))</f>
        <v>0.9</v>
      </c>
      <c r="L144" s="25" t="n">
        <f aca="false">IF(L138&lt;&gt;"",L138,IF(AND(L139&lt;&gt;"",L141&lt;&gt;""),L139+(L141-L139)*(2031-L140)/(L142-L140),IF(K144&lt;&gt;"",K144+L143,"")))</f>
        <v>0.9</v>
      </c>
      <c r="M144" s="25" t="n">
        <f aca="false">IF(M138&lt;&gt;"",M138,IF(AND(M139&lt;&gt;"",M141&lt;&gt;""),M139+(M141-M139)*(2032-M140)/(M142-M140),IF(L144&lt;&gt;"",L144+M143,"")))</f>
        <v>0.9</v>
      </c>
    </row>
    <row r="145" customFormat="false" ht="15" hidden="false" customHeight="false" outlineLevel="0" collapsed="false">
      <c r="A145" s="5" t="s">
        <v>864</v>
      </c>
      <c r="B145" s="0" t="s">
        <v>986</v>
      </c>
      <c r="C145" s="0" t="s">
        <v>33</v>
      </c>
      <c r="D145" s="0" t="n">
        <f aca="false">IF(D136&lt;&gt;"",1,IF(D137&lt;&gt;"",5,IF(D138&lt;&gt;"",2,IF(AND(D139&lt;&gt;"",D141&lt;&gt;""),3,IF(D144&lt;&gt;"",4,0)))))</f>
        <v>0</v>
      </c>
      <c r="E145" s="0" t="n">
        <f aca="false">IF(E136&lt;&gt;"",1,IF(E137&lt;&gt;"",5,IF(E138&lt;&gt;"",2,IF(AND(E139&lt;&gt;"",E141&lt;&gt;""),3,IF(E144&lt;&gt;"",4,0)))))</f>
        <v>0</v>
      </c>
      <c r="F145" s="0" t="n">
        <f aca="false">IF(F136&lt;&gt;"",1,IF(F137&lt;&gt;"",5,IF(F138&lt;&gt;"",2,IF(AND(F139&lt;&gt;"",F141&lt;&gt;""),3,IF(F144&lt;&gt;"",4,0)))))</f>
        <v>1</v>
      </c>
      <c r="G145" s="0" t="n">
        <f aca="false">IF(G136&lt;&gt;"",1,IF(G137&lt;&gt;"",5,IF(G138&lt;&gt;"",2,IF(AND(G139&lt;&gt;"",G141&lt;&gt;""),3,IF(G144&lt;&gt;"",4,0)))))</f>
        <v>1</v>
      </c>
      <c r="H145" s="0" t="n">
        <f aca="false">IF(H136&lt;&gt;"",1,IF(H137&lt;&gt;"",5,IF(H138&lt;&gt;"",2,IF(AND(H139&lt;&gt;"",H141&lt;&gt;""),3,IF(H144&lt;&gt;"",4,0)))))</f>
        <v>4</v>
      </c>
      <c r="I145" s="0" t="n">
        <f aca="false">IF(I136&lt;&gt;"",1,IF(I137&lt;&gt;"",5,IF(I138&lt;&gt;"",2,IF(AND(I139&lt;&gt;"",I141&lt;&gt;""),3,IF(I144&lt;&gt;"",4,0)))))</f>
        <v>4</v>
      </c>
      <c r="J145" s="0" t="n">
        <f aca="false">IF(J136&lt;&gt;"",1,IF(J137&lt;&gt;"",5,IF(J138&lt;&gt;"",2,IF(AND(J139&lt;&gt;"",J141&lt;&gt;""),3,IF(J144&lt;&gt;"",4,0)))))</f>
        <v>4</v>
      </c>
      <c r="K145" s="0" t="n">
        <f aca="false">IF(K136&lt;&gt;"",1,IF(K137&lt;&gt;"",5,IF(K138&lt;&gt;"",2,IF(AND(K139&lt;&gt;"",K141&lt;&gt;""),3,IF(K144&lt;&gt;"",4,0)))))</f>
        <v>4</v>
      </c>
      <c r="L145" s="0" t="n">
        <f aca="false">IF(L136&lt;&gt;"",1,IF(L137&lt;&gt;"",5,IF(L138&lt;&gt;"",2,IF(AND(L139&lt;&gt;"",L141&lt;&gt;""),3,IF(L144&lt;&gt;"",4,0)))))</f>
        <v>4</v>
      </c>
      <c r="M145" s="0" t="n">
        <f aca="false">IF(M136&lt;&gt;"",1,IF(M137&lt;&gt;"",5,IF(M138&lt;&gt;"",2,IF(AND(M139&lt;&gt;"",M141&lt;&gt;""),3,IF(M144&lt;&gt;"",4,0)))))</f>
        <v>4</v>
      </c>
    </row>
    <row r="146" customFormat="false" ht="17.15" hidden="false" customHeight="false" outlineLevel="0" collapsed="false">
      <c r="A146" s="5" t="s">
        <v>866</v>
      </c>
      <c r="B146" s="0" t="s">
        <v>987</v>
      </c>
      <c r="C146" s="0" t="s">
        <v>75</v>
      </c>
      <c r="D146" s="24" t="str">
        <f aca="false">IF(D144="","",D144)</f>
        <v/>
      </c>
      <c r="E146" s="24" t="str">
        <f aca="false">IF(E144="","",E144)</f>
        <v/>
      </c>
      <c r="F146" s="24" t="n">
        <f aca="false">IF(F144="","",F144)</f>
        <v>0.17</v>
      </c>
      <c r="G146" s="24" t="n">
        <f aca="false">IF(G144="","",G144)</f>
        <v>0.9</v>
      </c>
      <c r="H146" s="24" t="n">
        <f aca="false">IF(H144="","",H144)</f>
        <v>0.9</v>
      </c>
      <c r="I146" s="24" t="n">
        <f aca="false">IF(I144="","",I144)</f>
        <v>0.9</v>
      </c>
      <c r="J146" s="24" t="n">
        <f aca="false">IF(J144="","",J144)</f>
        <v>0.9</v>
      </c>
      <c r="K146" s="24" t="n">
        <f aca="false">IF(K144="","",K144)</f>
        <v>0.9</v>
      </c>
      <c r="L146" s="24" t="n">
        <f aca="false">IF(L144="","",L144)</f>
        <v>0.9</v>
      </c>
      <c r="M146" s="24" t="n">
        <f aca="false">IF(M144="","",M144)</f>
        <v>0.9</v>
      </c>
    </row>
    <row r="147" customFormat="false" ht="17.15" hidden="false" customHeight="false" outlineLevel="0" collapsed="false">
      <c r="A147" s="5" t="s">
        <v>868</v>
      </c>
      <c r="B147" s="0" t="s">
        <v>988</v>
      </c>
      <c r="C147" s="0" t="s">
        <v>75</v>
      </c>
      <c r="D147" s="24" t="str">
        <f aca="false">IF(D144="","",D144)</f>
        <v/>
      </c>
      <c r="E147" s="24" t="str">
        <f aca="false">IF(E144="","",E144)</f>
        <v/>
      </c>
      <c r="F147" s="24" t="n">
        <f aca="false">IF(F144="","",F144)</f>
        <v>0.17</v>
      </c>
      <c r="G147" s="24" t="n">
        <f aca="false">IF(G144="","",G144)</f>
        <v>0.9</v>
      </c>
      <c r="H147" s="24" t="n">
        <f aca="false">IF(H144="","",H144)</f>
        <v>0.9</v>
      </c>
      <c r="I147" s="24" t="n">
        <f aca="false">IF(I144="","",I144)</f>
        <v>0.9</v>
      </c>
      <c r="J147" s="24" t="n">
        <f aca="false">IF(J144="","",J144)</f>
        <v>0.9</v>
      </c>
      <c r="K147" s="24" t="n">
        <f aca="false">IF(K144="","",K144)</f>
        <v>0.9</v>
      </c>
      <c r="L147" s="24" t="n">
        <f aca="false">IF(L144="","",L144)</f>
        <v>0.9</v>
      </c>
      <c r="M147" s="24" t="n">
        <f aca="false">IF(M144="","",M144)</f>
        <v>0.9</v>
      </c>
    </row>
    <row r="148" customFormat="false" ht="17.15" hidden="false" customHeight="false" outlineLevel="0" collapsed="false">
      <c r="A148" s="5" t="s">
        <v>870</v>
      </c>
      <c r="B148" s="0" t="s">
        <v>989</v>
      </c>
      <c r="C148" s="0" t="s">
        <v>75</v>
      </c>
      <c r="D148" s="24" t="str">
        <f aca="false">IF(D144="","",IF(In!$C$94="未說明",D144/D$13,D144))</f>
        <v/>
      </c>
      <c r="E148" s="24" t="str">
        <f aca="false">IF(E144="","",IF(In!$C$94="未說明",E144/E$13,E144))</f>
        <v/>
      </c>
      <c r="F148" s="24" t="n">
        <f aca="false">IF(F144="","",IF(In!$C$94="未說明",F144/F$13,F144))</f>
        <v>0.141666666666667</v>
      </c>
      <c r="G148" s="24" t="n">
        <f aca="false">IF(G144="","",IF(In!$C$94="未說明",G144/G$13,G144))</f>
        <v>0.75</v>
      </c>
      <c r="H148" s="24" t="n">
        <f aca="false">IF(H144="","",IF(In!$C$94="未說明",H144/H$13,H144))</f>
        <v>0.75</v>
      </c>
      <c r="I148" s="24" t="n">
        <f aca="false">IF(I144="","",IF(In!$C$94="未說明",I144/I$13,I144))</f>
        <v>0.75</v>
      </c>
      <c r="J148" s="24" t="n">
        <f aca="false">IF(J144="","",IF(In!$C$94="未說明",J144/J$13,J144))</f>
        <v>0.75</v>
      </c>
      <c r="K148" s="24" t="n">
        <f aca="false">IF(K144="","",IF(In!$C$94="未說明",K144/K$13,K144))</f>
        <v>0.75</v>
      </c>
      <c r="L148" s="24" t="n">
        <f aca="false">IF(L144="","",IF(In!$C$94="未說明",L144/L$13,L144))</f>
        <v>0.75</v>
      </c>
      <c r="M148" s="24" t="n">
        <f aca="false">IF(M144="","",IF(In!$C$94="未說明",M144/M$13,M144))</f>
        <v>0.75</v>
      </c>
    </row>
    <row r="149" customFormat="false" ht="17.15" hidden="false" customHeight="false" outlineLevel="0" collapsed="false">
      <c r="A149" s="5" t="s">
        <v>872</v>
      </c>
      <c r="B149" s="0" t="s">
        <v>990</v>
      </c>
      <c r="C149" s="0" t="s">
        <v>75</v>
      </c>
      <c r="D149" s="0" t="str">
        <f aca="false">""</f>
        <v/>
      </c>
      <c r="E149" s="24" t="str">
        <f aca="false">IF(AND(D144&lt;&gt;"",E144&lt;&gt;""),(D144+E144)/2,"")</f>
        <v/>
      </c>
      <c r="F149" s="24" t="str">
        <f aca="false">IF(AND(E144&lt;&gt;"",F144&lt;&gt;""),(E144+F144)/2,"")</f>
        <v/>
      </c>
      <c r="G149" s="24" t="n">
        <f aca="false">IF(AND(F144&lt;&gt;"",G144&lt;&gt;""),(F144+G144)/2,"")</f>
        <v>0.535</v>
      </c>
      <c r="H149" s="24" t="n">
        <f aca="false">IF(AND(G144&lt;&gt;"",H144&lt;&gt;""),(G144+H144)/2,"")</f>
        <v>0.9</v>
      </c>
      <c r="I149" s="24" t="n">
        <f aca="false">IF(AND(H144&lt;&gt;"",I144&lt;&gt;""),(H144+I144)/2,"")</f>
        <v>0.9</v>
      </c>
      <c r="J149" s="24" t="n">
        <f aca="false">IF(AND(I144&lt;&gt;"",J144&lt;&gt;""),(I144+J144)/2,"")</f>
        <v>0.9</v>
      </c>
      <c r="K149" s="24" t="n">
        <f aca="false">IF(AND(J144&lt;&gt;"",K144&lt;&gt;""),(J144+K144)/2,"")</f>
        <v>0.9</v>
      </c>
      <c r="L149" s="24" t="n">
        <f aca="false">IF(AND(K144&lt;&gt;"",L144&lt;&gt;""),(K144+L144)/2,"")</f>
        <v>0.9</v>
      </c>
      <c r="M149" s="24" t="n">
        <f aca="false">IF(AND(L144&lt;&gt;"",M144&lt;&gt;""),(L144+M144)/2,"")</f>
        <v>0.9</v>
      </c>
    </row>
    <row r="150" customFormat="false" ht="17.15" hidden="false" customHeight="false" outlineLevel="0" collapsed="false">
      <c r="A150" s="5" t="s">
        <v>874</v>
      </c>
      <c r="B150" s="0" t="s">
        <v>991</v>
      </c>
      <c r="C150" s="0" t="s">
        <v>75</v>
      </c>
      <c r="D150" s="0" t="n">
        <v>0</v>
      </c>
      <c r="E150" s="24" t="n">
        <f aca="false">IF(AND(D144&lt;&gt;"",E144&lt;&gt;""),E144-D144,0)</f>
        <v>0</v>
      </c>
      <c r="F150" s="24" t="n">
        <f aca="false">IF(AND(E144&lt;&gt;"",F144&lt;&gt;""),F144-E144,0)</f>
        <v>0</v>
      </c>
      <c r="G150" s="24" t="n">
        <f aca="false">IF(AND(F144&lt;&gt;"",G144&lt;&gt;""),G144-F144,0)</f>
        <v>0.73</v>
      </c>
      <c r="H150" s="24" t="n">
        <f aca="false">IF(AND(G144&lt;&gt;"",H144&lt;&gt;""),H144-G144,0)</f>
        <v>0</v>
      </c>
      <c r="I150" s="24" t="n">
        <f aca="false">IF(AND(H144&lt;&gt;"",I144&lt;&gt;""),I144-H144,0)</f>
        <v>0</v>
      </c>
      <c r="J150" s="24" t="n">
        <f aca="false">IF(AND(I144&lt;&gt;"",J144&lt;&gt;""),J144-I144,0)</f>
        <v>0</v>
      </c>
      <c r="K150" s="24" t="n">
        <f aca="false">IF(AND(J144&lt;&gt;"",K144&lt;&gt;""),K144-J144,0)</f>
        <v>0</v>
      </c>
      <c r="L150" s="24" t="n">
        <f aca="false">IF(AND(K144&lt;&gt;"",L144&lt;&gt;""),L144-K144,0)</f>
        <v>0</v>
      </c>
      <c r="M150" s="24" t="n">
        <f aca="false">IF(AND(L144&lt;&gt;"",M144&lt;&gt;""),M144-L144,0)</f>
        <v>0</v>
      </c>
    </row>
    <row r="151" customFormat="false" ht="17.15" hidden="false" customHeight="false" outlineLevel="0" collapsed="false">
      <c r="A151" s="5" t="s">
        <v>876</v>
      </c>
      <c r="B151" s="0" t="s">
        <v>992</v>
      </c>
      <c r="C151" s="0" t="s">
        <v>75</v>
      </c>
      <c r="D151" s="24" t="n">
        <f aca="false">IF(D144&lt;&gt;"",D144,0)</f>
        <v>0</v>
      </c>
      <c r="E151" s="24" t="n">
        <f aca="false">IF(AND(D144="",E144&lt;&gt;""),E144,0)</f>
        <v>0</v>
      </c>
      <c r="F151" s="24" t="n">
        <f aca="false">IF(AND(E144="",F144&lt;&gt;""),F144,0)</f>
        <v>0.17</v>
      </c>
      <c r="G151" s="24" t="n">
        <f aca="false">IF(AND(F144="",G144&lt;&gt;""),G144,0)</f>
        <v>0</v>
      </c>
      <c r="H151" s="24" t="n">
        <f aca="false">IF(AND(G144="",H144&lt;&gt;""),H144,0)</f>
        <v>0</v>
      </c>
      <c r="I151" s="24" t="n">
        <f aca="false">IF(AND(H144="",I144&lt;&gt;""),I144,0)</f>
        <v>0</v>
      </c>
      <c r="J151" s="24" t="n">
        <f aca="false">IF(AND(I144="",J144&lt;&gt;""),J144,0)</f>
        <v>0</v>
      </c>
      <c r="K151" s="24" t="n">
        <f aca="false">IF(AND(J144="",K144&lt;&gt;""),K144,0)</f>
        <v>0</v>
      </c>
      <c r="L151" s="24" t="n">
        <f aca="false">IF(AND(K144="",L144&lt;&gt;""),L144,0)</f>
        <v>0</v>
      </c>
      <c r="M151" s="24" t="n">
        <f aca="false">IF(AND(L144="",M144&lt;&gt;""),M144,0)</f>
        <v>0</v>
      </c>
    </row>
    <row r="152" customFormat="false" ht="17.15" hidden="false" customHeight="false" outlineLevel="0" collapsed="false">
      <c r="A152" s="5" t="s">
        <v>878</v>
      </c>
      <c r="B152" s="0" t="s">
        <v>993</v>
      </c>
      <c r="C152" s="0" t="s">
        <v>50</v>
      </c>
      <c r="D152" s="23" t="n">
        <f aca="false">nnv_nbis</f>
        <v>0</v>
      </c>
      <c r="E152" s="23" t="n">
        <f aca="false">nnv_nbis</f>
        <v>0</v>
      </c>
      <c r="F152" s="23" t="n">
        <f aca="false">nnv_nbis</f>
        <v>0</v>
      </c>
      <c r="G152" s="23" t="n">
        <f aca="false">nnv_nbis</f>
        <v>0</v>
      </c>
      <c r="H152" s="23" t="n">
        <f aca="false">nnv_nbis</f>
        <v>0</v>
      </c>
      <c r="I152" s="23" t="n">
        <f aca="false">nnv_nbis</f>
        <v>0</v>
      </c>
      <c r="J152" s="23" t="n">
        <f aca="false">nnv_nbis</f>
        <v>0</v>
      </c>
      <c r="K152" s="23" t="n">
        <f aca="false">nnv_nbis</f>
        <v>0</v>
      </c>
      <c r="L152" s="23" t="n">
        <f aca="false">nnv_nbis</f>
        <v>0</v>
      </c>
      <c r="M152" s="23" t="n">
        <f aca="false">nnv_nbis</f>
        <v>0</v>
      </c>
    </row>
    <row r="154" customFormat="false" ht="17.15" hidden="false" customHeight="false" outlineLevel="0" collapsed="false">
      <c r="A154" s="8" t="s">
        <v>994</v>
      </c>
      <c r="B154" s="20" t="s">
        <v>995</v>
      </c>
      <c r="N154" s="20" t="s">
        <v>996</v>
      </c>
    </row>
    <row r="155" customFormat="false" ht="17.15" hidden="false" customHeight="false" outlineLevel="0" collapsed="false">
      <c r="A155" s="5" t="s">
        <v>846</v>
      </c>
      <c r="B155" s="0" t="s">
        <v>997</v>
      </c>
      <c r="C155" s="0" t="s">
        <v>75</v>
      </c>
      <c r="D155" s="24" t="str">
        <f aca="false">IF(In!$H$95="","",IF(In!$C$95="設施",In!$H$95/1000/D$13,In!$H$95/1000))</f>
        <v/>
      </c>
      <c r="E155" s="24" t="str">
        <f aca="false">IF(In!$I$95="","",IF(In!$C$95="設施",In!$I$95/1000/E$13,In!$I$95/1000))</f>
        <v/>
      </c>
      <c r="F155" s="24" t="n">
        <f aca="false">IF(In!$J$95="","",IF(In!$C$95="設施",In!$J$95/1000/F$13,In!$J$95/1000))</f>
        <v>0.0055</v>
      </c>
      <c r="G155" s="24" t="n">
        <f aca="false">IF(In!$K$95="","",IF(In!$C$95="設施",In!$K$95/1000/G$13,In!$K$95/1000))</f>
        <v>0.014574</v>
      </c>
      <c r="H155" s="24" t="n">
        <f aca="false">IF(In!$L$95="","",IF(In!$C$95="設施",In!$L$95/1000/H$13,In!$L$95/1000))</f>
        <v>0.016548</v>
      </c>
      <c r="I155" s="24" t="str">
        <f aca="false">IF(In!$M$95="","",IF(In!$C$95="設施",In!$M$95/1000/I$13,In!$M$95/1000))</f>
        <v/>
      </c>
      <c r="J155" s="24" t="str">
        <f aca="false">IF(In!$N$95="","",IF(In!$C$95="設施",In!$N$95/1000/J$13,In!$N$95/1000))</f>
        <v/>
      </c>
      <c r="K155" s="24" t="str">
        <f aca="false">IF(In!$O$95="","",IF(In!$C$95="設施",In!$O$95/1000/K$13,In!$O$95/1000))</f>
        <v/>
      </c>
      <c r="L155" s="24" t="str">
        <f aca="false">IF(In!$P$95="","",IF(In!$C$95="設施",In!$P$95/1000/L$13,In!$P$95/1000))</f>
        <v/>
      </c>
      <c r="M155" s="24" t="str">
        <f aca="false">IF(In!$Q$95="","",IF(In!$C$95="設施",In!$Q$95/1000/M$13,In!$Q$95/1000))</f>
        <v/>
      </c>
    </row>
    <row r="156" customFormat="false" ht="17.15" hidden="false" customHeight="false" outlineLevel="0" collapsed="false">
      <c r="A156" s="5" t="s">
        <v>848</v>
      </c>
      <c r="B156" s="0" t="s">
        <v>998</v>
      </c>
      <c r="C156" s="0" t="s">
        <v>75</v>
      </c>
      <c r="D156" s="0" t="str">
        <f aca="false">""</f>
        <v/>
      </c>
      <c r="E156" s="0" t="str">
        <f aca="false">""</f>
        <v/>
      </c>
      <c r="F156" s="0" t="str">
        <f aca="false">""</f>
        <v/>
      </c>
      <c r="G156" s="0" t="str">
        <f aca="false">""</f>
        <v/>
      </c>
      <c r="H156" s="0" t="str">
        <f aca="false">""</f>
        <v/>
      </c>
      <c r="I156" s="0" t="str">
        <f aca="false">""</f>
        <v/>
      </c>
      <c r="J156" s="0" t="str">
        <f aca="false">""</f>
        <v/>
      </c>
      <c r="K156" s="0" t="str">
        <f aca="false">""</f>
        <v/>
      </c>
      <c r="L156" s="0" t="str">
        <f aca="false">""</f>
        <v/>
      </c>
      <c r="M156" s="0" t="str">
        <f aca="false">""</f>
        <v/>
      </c>
    </row>
    <row r="157" customFormat="false" ht="15" hidden="false" customHeight="false" outlineLevel="0" collapsed="false">
      <c r="A157" s="5" t="s">
        <v>850</v>
      </c>
      <c r="B157" s="0" t="s">
        <v>999</v>
      </c>
      <c r="C157" s="0" t="s">
        <v>75</v>
      </c>
      <c r="D157" s="0" t="str">
        <f aca="false">IF(D155&lt;&gt;"",D155,IF(D156&lt;&gt;"",D156,""))</f>
        <v/>
      </c>
      <c r="E157" s="0" t="str">
        <f aca="false">IF(E155&lt;&gt;"",E155,IF(E156&lt;&gt;"",E156,""))</f>
        <v/>
      </c>
      <c r="F157" s="24" t="n">
        <f aca="false">IF(F155&lt;&gt;"",F155,IF(F156&lt;&gt;"",F156,""))</f>
        <v>0.0055</v>
      </c>
      <c r="G157" s="24" t="n">
        <f aca="false">IF(G155&lt;&gt;"",G155,IF(G156&lt;&gt;"",G156,""))</f>
        <v>0.014574</v>
      </c>
      <c r="H157" s="24" t="n">
        <f aca="false">IF(H155&lt;&gt;"",H155,IF(H156&lt;&gt;"",H156,""))</f>
        <v>0.016548</v>
      </c>
      <c r="I157" s="0" t="str">
        <f aca="false">IF(I155&lt;&gt;"",I155,IF(I156&lt;&gt;"",I156,""))</f>
        <v/>
      </c>
      <c r="J157" s="0" t="str">
        <f aca="false">IF(J155&lt;&gt;"",J155,IF(J156&lt;&gt;"",J156,""))</f>
        <v/>
      </c>
      <c r="K157" s="0" t="str">
        <f aca="false">IF(K155&lt;&gt;"",K155,IF(K156&lt;&gt;"",K156,""))</f>
        <v/>
      </c>
      <c r="L157" s="0" t="str">
        <f aca="false">IF(L155&lt;&gt;"",L155,IF(L156&lt;&gt;"",L156,""))</f>
        <v/>
      </c>
      <c r="M157" s="0" t="str">
        <f aca="false">IF(M155&lt;&gt;"",M155,IF(M156&lt;&gt;"",M156,""))</f>
        <v/>
      </c>
    </row>
    <row r="158" customFormat="false" ht="15" hidden="false" customHeight="false" outlineLevel="0" collapsed="false">
      <c r="A158" s="5" t="s">
        <v>852</v>
      </c>
      <c r="B158" s="0" t="s">
        <v>1000</v>
      </c>
      <c r="C158" s="0" t="s">
        <v>75</v>
      </c>
      <c r="D158" s="0" t="str">
        <f aca="false">IF(D157&lt;&gt;"",D157,"")</f>
        <v/>
      </c>
      <c r="E158" s="0" t="str">
        <f aca="false">IF(E157&lt;&gt;"",E157,D158)</f>
        <v/>
      </c>
      <c r="F158" s="24" t="n">
        <f aca="false">IF(F157&lt;&gt;"",F157,E158)</f>
        <v>0.0055</v>
      </c>
      <c r="G158" s="24" t="n">
        <f aca="false">IF(G157&lt;&gt;"",G157,F158)</f>
        <v>0.014574</v>
      </c>
      <c r="H158" s="24" t="n">
        <f aca="false">IF(H157&lt;&gt;"",H157,G158)</f>
        <v>0.016548</v>
      </c>
      <c r="I158" s="24" t="n">
        <f aca="false">IF(I157&lt;&gt;"",I157,H158)</f>
        <v>0.016548</v>
      </c>
      <c r="J158" s="24" t="n">
        <f aca="false">IF(J157&lt;&gt;"",J157,I158)</f>
        <v>0.016548</v>
      </c>
      <c r="K158" s="24" t="n">
        <f aca="false">IF(K157&lt;&gt;"",K157,J158)</f>
        <v>0.016548</v>
      </c>
      <c r="L158" s="24" t="n">
        <f aca="false">IF(L157&lt;&gt;"",L157,K158)</f>
        <v>0.016548</v>
      </c>
      <c r="M158" s="24" t="n">
        <f aca="false">IF(M157&lt;&gt;"",M157,L158)</f>
        <v>0.016548</v>
      </c>
    </row>
    <row r="159" customFormat="false" ht="15" hidden="false" customHeight="false" outlineLevel="0" collapsed="false">
      <c r="A159" s="5" t="s">
        <v>854</v>
      </c>
      <c r="B159" s="0" t="s">
        <v>1001</v>
      </c>
      <c r="C159" s="5" t="s">
        <v>45</v>
      </c>
      <c r="D159" s="0" t="str">
        <f aca="false">IF(D157&lt;&gt;"",2023,"")</f>
        <v/>
      </c>
      <c r="E159" s="0" t="str">
        <f aca="false">IF(E157&lt;&gt;"",2024,D159)</f>
        <v/>
      </c>
      <c r="F159" s="0" t="n">
        <f aca="false">IF(F157&lt;&gt;"",2025,E159)</f>
        <v>2025</v>
      </c>
      <c r="G159" s="0" t="n">
        <f aca="false">IF(G157&lt;&gt;"",2026,F159)</f>
        <v>2026</v>
      </c>
      <c r="H159" s="0" t="n">
        <f aca="false">IF(H157&lt;&gt;"",2027,G159)</f>
        <v>2027</v>
      </c>
      <c r="I159" s="0" t="n">
        <f aca="false">IF(I157&lt;&gt;"",2028,H159)</f>
        <v>2027</v>
      </c>
      <c r="J159" s="0" t="n">
        <f aca="false">IF(J157&lt;&gt;"",2029,I159)</f>
        <v>2027</v>
      </c>
      <c r="K159" s="0" t="n">
        <f aca="false">IF(K157&lt;&gt;"",2030,J159)</f>
        <v>2027</v>
      </c>
      <c r="L159" s="0" t="n">
        <f aca="false">IF(L157&lt;&gt;"",2031,K159)</f>
        <v>2027</v>
      </c>
      <c r="M159" s="0" t="n">
        <f aca="false">IF(M157&lt;&gt;"",2032,L159)</f>
        <v>2027</v>
      </c>
    </row>
    <row r="160" customFormat="false" ht="15" hidden="false" customHeight="false" outlineLevel="0" collapsed="false">
      <c r="A160" s="5" t="s">
        <v>856</v>
      </c>
      <c r="B160" s="0" t="s">
        <v>1002</v>
      </c>
      <c r="C160" s="0" t="s">
        <v>75</v>
      </c>
      <c r="D160" s="24" t="n">
        <f aca="false">IF(D157&lt;&gt;"",D157,E160)</f>
        <v>0.0055</v>
      </c>
      <c r="E160" s="24" t="n">
        <f aca="false">IF(E157&lt;&gt;"",E157,F160)</f>
        <v>0.0055</v>
      </c>
      <c r="F160" s="24" t="n">
        <f aca="false">IF(F157&lt;&gt;"",F157,G160)</f>
        <v>0.0055</v>
      </c>
      <c r="G160" s="24" t="n">
        <f aca="false">IF(G157&lt;&gt;"",G157,H160)</f>
        <v>0.014574</v>
      </c>
      <c r="H160" s="24" t="n">
        <f aca="false">IF(H157&lt;&gt;"",H157,I160)</f>
        <v>0.016548</v>
      </c>
      <c r="I160" s="0" t="str">
        <f aca="false">IF(I157&lt;&gt;"",I157,J160)</f>
        <v/>
      </c>
      <c r="J160" s="0" t="str">
        <f aca="false">IF(J157&lt;&gt;"",J157,K160)</f>
        <v/>
      </c>
      <c r="K160" s="0" t="str">
        <f aca="false">IF(K157&lt;&gt;"",K157,L160)</f>
        <v/>
      </c>
      <c r="L160" s="0" t="str">
        <f aca="false">IF(L157&lt;&gt;"",L157,M160)</f>
        <v/>
      </c>
      <c r="M160" s="0" t="str">
        <f aca="false">IF(M157&lt;&gt;"",M157,"")</f>
        <v/>
      </c>
    </row>
    <row r="161" customFormat="false" ht="15" hidden="false" customHeight="false" outlineLevel="0" collapsed="false">
      <c r="A161" s="5" t="s">
        <v>858</v>
      </c>
      <c r="B161" s="0" t="s">
        <v>1003</v>
      </c>
      <c r="C161" s="5" t="s">
        <v>45</v>
      </c>
      <c r="D161" s="0" t="n">
        <f aca="false">IF(D157&lt;&gt;"",2023,E161)</f>
        <v>2025</v>
      </c>
      <c r="E161" s="0" t="n">
        <f aca="false">IF(E157&lt;&gt;"",2024,F161)</f>
        <v>2025</v>
      </c>
      <c r="F161" s="0" t="n">
        <f aca="false">IF(F157&lt;&gt;"",2025,G161)</f>
        <v>2025</v>
      </c>
      <c r="G161" s="0" t="n">
        <f aca="false">IF(G157&lt;&gt;"",2026,H161)</f>
        <v>2026</v>
      </c>
      <c r="H161" s="0" t="n">
        <f aca="false">IF(H157&lt;&gt;"",2027,I161)</f>
        <v>2027</v>
      </c>
      <c r="I161" s="0" t="str">
        <f aca="false">IF(I157&lt;&gt;"",2028,J161)</f>
        <v/>
      </c>
      <c r="J161" s="0" t="str">
        <f aca="false">IF(J157&lt;&gt;"",2029,K161)</f>
        <v/>
      </c>
      <c r="K161" s="0" t="str">
        <f aca="false">IF(K157&lt;&gt;"",2030,L161)</f>
        <v/>
      </c>
      <c r="L161" s="0" t="str">
        <f aca="false">IF(L157&lt;&gt;"",2031,M161)</f>
        <v/>
      </c>
      <c r="M161" s="0" t="str">
        <f aca="false">IF(M157&lt;&gt;"",2032,"")</f>
        <v/>
      </c>
    </row>
    <row r="162" customFormat="false" ht="17.15" hidden="false" customHeight="false" outlineLevel="0" collapsed="false">
      <c r="A162" s="5" t="s">
        <v>860</v>
      </c>
      <c r="B162" s="0" t="s">
        <v>1004</v>
      </c>
      <c r="C162" s="0" t="s">
        <v>75</v>
      </c>
      <c r="D162" s="24" t="n">
        <f aca="false">SUMIFS(Pipeline!$L$5:$L$47,Pipeline!$C$5:$C$47,"wyfi",Pipeline!$Q$5:$Q$47,1,Pipeline!$P$5:$P$47,2023)</f>
        <v>0</v>
      </c>
      <c r="E162" s="24" t="n">
        <f aca="false">SUMIFS(Pipeline!$L$5:$L$47,Pipeline!$C$5:$C$47,"wyfi",Pipeline!$Q$5:$Q$47,1,Pipeline!$P$5:$P$47,2024)</f>
        <v>0</v>
      </c>
      <c r="F162" s="24" t="n">
        <f aca="false">SUMIFS(Pipeline!$L$5:$L$47,Pipeline!$C$5:$C$47,"wyfi",Pipeline!$Q$5:$Q$47,1,Pipeline!$P$5:$P$47,2025)</f>
        <v>0</v>
      </c>
      <c r="G162" s="24" t="n">
        <f aca="false">SUMIFS(Pipeline!$L$5:$L$47,Pipeline!$C$5:$C$47,"wyfi",Pipeline!$Q$5:$Q$47,1,Pipeline!$P$5:$P$47,2026)</f>
        <v>0</v>
      </c>
      <c r="H162" s="24" t="n">
        <f aca="false">SUMIFS(Pipeline!$L$5:$L$47,Pipeline!$C$5:$C$47,"wyfi",Pipeline!$Q$5:$Q$47,1,Pipeline!$P$5:$P$47,2027)</f>
        <v>0</v>
      </c>
      <c r="I162" s="24" t="n">
        <f aca="false">SUMIFS(Pipeline!$L$5:$L$47,Pipeline!$C$5:$C$47,"wyfi",Pipeline!$Q$5:$Q$47,1,Pipeline!$P$5:$P$47,2028)</f>
        <v>0</v>
      </c>
      <c r="J162" s="24" t="n">
        <f aca="false">SUMIFS(Pipeline!$L$5:$L$47,Pipeline!$C$5:$C$47,"wyfi",Pipeline!$Q$5:$Q$47,1,Pipeline!$P$5:$P$47,2029)</f>
        <v>0</v>
      </c>
      <c r="K162" s="24" t="n">
        <f aca="false">SUMIFS(Pipeline!$L$5:$L$47,Pipeline!$C$5:$C$47,"wyfi",Pipeline!$Q$5:$Q$47,1,Pipeline!$P$5:$P$47,2030)</f>
        <v>0</v>
      </c>
      <c r="L162" s="24" t="n">
        <f aca="false">SUMIFS(Pipeline!$L$5:$L$47,Pipeline!$C$5:$C$47,"wyfi",Pipeline!$Q$5:$Q$47,1,Pipeline!$P$5:$P$47,2031)</f>
        <v>0</v>
      </c>
      <c r="M162" s="24" t="n">
        <f aca="false">SUMIFS(Pipeline!$L$5:$L$47,Pipeline!$C$5:$C$47,"wyfi",Pipeline!$Q$5:$Q$47,1,Pipeline!$P$5:$P$47,2032)</f>
        <v>0</v>
      </c>
    </row>
    <row r="163" customFormat="false" ht="17.15" hidden="false" customHeight="false" outlineLevel="0" collapsed="false">
      <c r="A163" s="5" t="s">
        <v>862</v>
      </c>
      <c r="B163" s="0" t="s">
        <v>1005</v>
      </c>
      <c r="C163" s="0" t="s">
        <v>75</v>
      </c>
      <c r="D163" s="25" t="str">
        <f aca="false">IF(D157&lt;&gt;"",D157,IF(AND(D158&lt;&gt;"",D160&lt;&gt;""),D158+(D160-D158)*(2023-D159)/(D161-D159),""))</f>
        <v/>
      </c>
      <c r="E163" s="25" t="str">
        <f aca="false">IF(E157&lt;&gt;"",E157,IF(AND(E158&lt;&gt;"",E160&lt;&gt;""),E158+(E160-E158)*(2024-E159)/(E161-E159),IF(D163&lt;&gt;"",D163+E162,"")))</f>
        <v/>
      </c>
      <c r="F163" s="25" t="n">
        <f aca="false">IF(F157&lt;&gt;"",F157,IF(AND(F158&lt;&gt;"",F160&lt;&gt;""),F158+(F160-F158)*(2025-F159)/(F161-F159),IF(E163&lt;&gt;"",E163+F162,"")))</f>
        <v>0.0055</v>
      </c>
      <c r="G163" s="25" t="n">
        <f aca="false">IF(G157&lt;&gt;"",G157,IF(AND(G158&lt;&gt;"",G160&lt;&gt;""),G158+(G160-G158)*(2026-G159)/(G161-G159),IF(F163&lt;&gt;"",F163+G162,"")))</f>
        <v>0.014574</v>
      </c>
      <c r="H163" s="25" t="n">
        <f aca="false">IF(H157&lt;&gt;"",H157,IF(AND(H158&lt;&gt;"",H160&lt;&gt;""),H158+(H160-H158)*(2027-H159)/(H161-H159),IF(G163&lt;&gt;"",G163+H162,"")))</f>
        <v>0.016548</v>
      </c>
      <c r="I163" s="25" t="n">
        <f aca="false">IF(I157&lt;&gt;"",I157,IF(AND(I158&lt;&gt;"",I160&lt;&gt;""),I158+(I160-I158)*(2028-I159)/(I161-I159),IF(H163&lt;&gt;"",H163+I162,"")))</f>
        <v>0.016548</v>
      </c>
      <c r="J163" s="25" t="n">
        <f aca="false">IF(J157&lt;&gt;"",J157,IF(AND(J158&lt;&gt;"",J160&lt;&gt;""),J158+(J160-J158)*(2029-J159)/(J161-J159),IF(I163&lt;&gt;"",I163+J162,"")))</f>
        <v>0.016548</v>
      </c>
      <c r="K163" s="25" t="n">
        <f aca="false">IF(K157&lt;&gt;"",K157,IF(AND(K158&lt;&gt;"",K160&lt;&gt;""),K158+(K160-K158)*(2030-K159)/(K161-K159),IF(J163&lt;&gt;"",J163+K162,"")))</f>
        <v>0.016548</v>
      </c>
      <c r="L163" s="25" t="n">
        <f aca="false">IF(L157&lt;&gt;"",L157,IF(AND(L158&lt;&gt;"",L160&lt;&gt;""),L158+(L160-L158)*(2031-L159)/(L161-L159),IF(K163&lt;&gt;"",K163+L162,"")))</f>
        <v>0.016548</v>
      </c>
      <c r="M163" s="25" t="n">
        <f aca="false">IF(M157&lt;&gt;"",M157,IF(AND(M158&lt;&gt;"",M160&lt;&gt;""),M158+(M160-M158)*(2032-M159)/(M161-M159),IF(L163&lt;&gt;"",L163+M162,"")))</f>
        <v>0.016548</v>
      </c>
    </row>
    <row r="164" customFormat="false" ht="15" hidden="false" customHeight="false" outlineLevel="0" collapsed="false">
      <c r="A164" s="5" t="s">
        <v>864</v>
      </c>
      <c r="B164" s="0" t="s">
        <v>1006</v>
      </c>
      <c r="C164" s="0" t="s">
        <v>33</v>
      </c>
      <c r="D164" s="0" t="n">
        <f aca="false">IF(D155&lt;&gt;"",1,IF(D156&lt;&gt;"",5,IF(D157&lt;&gt;"",2,IF(AND(D158&lt;&gt;"",D160&lt;&gt;""),3,IF(D163&lt;&gt;"",4,0)))))</f>
        <v>0</v>
      </c>
      <c r="E164" s="0" t="n">
        <f aca="false">IF(E155&lt;&gt;"",1,IF(E156&lt;&gt;"",5,IF(E157&lt;&gt;"",2,IF(AND(E158&lt;&gt;"",E160&lt;&gt;""),3,IF(E163&lt;&gt;"",4,0)))))</f>
        <v>0</v>
      </c>
      <c r="F164" s="0" t="n">
        <f aca="false">IF(F155&lt;&gt;"",1,IF(F156&lt;&gt;"",5,IF(F157&lt;&gt;"",2,IF(AND(F158&lt;&gt;"",F160&lt;&gt;""),3,IF(F163&lt;&gt;"",4,0)))))</f>
        <v>1</v>
      </c>
      <c r="G164" s="0" t="n">
        <f aca="false">IF(G155&lt;&gt;"",1,IF(G156&lt;&gt;"",5,IF(G157&lt;&gt;"",2,IF(AND(G158&lt;&gt;"",G160&lt;&gt;""),3,IF(G163&lt;&gt;"",4,0)))))</f>
        <v>1</v>
      </c>
      <c r="H164" s="0" t="n">
        <f aca="false">IF(H155&lt;&gt;"",1,IF(H156&lt;&gt;"",5,IF(H157&lt;&gt;"",2,IF(AND(H158&lt;&gt;"",H160&lt;&gt;""),3,IF(H163&lt;&gt;"",4,0)))))</f>
        <v>1</v>
      </c>
      <c r="I164" s="0" t="n">
        <f aca="false">IF(I155&lt;&gt;"",1,IF(I156&lt;&gt;"",5,IF(I157&lt;&gt;"",2,IF(AND(I158&lt;&gt;"",I160&lt;&gt;""),3,IF(I163&lt;&gt;"",4,0)))))</f>
        <v>4</v>
      </c>
      <c r="J164" s="0" t="n">
        <f aca="false">IF(J155&lt;&gt;"",1,IF(J156&lt;&gt;"",5,IF(J157&lt;&gt;"",2,IF(AND(J158&lt;&gt;"",J160&lt;&gt;""),3,IF(J163&lt;&gt;"",4,0)))))</f>
        <v>4</v>
      </c>
      <c r="K164" s="0" t="n">
        <f aca="false">IF(K155&lt;&gt;"",1,IF(K156&lt;&gt;"",5,IF(K157&lt;&gt;"",2,IF(AND(K158&lt;&gt;"",K160&lt;&gt;""),3,IF(K163&lt;&gt;"",4,0)))))</f>
        <v>4</v>
      </c>
      <c r="L164" s="0" t="n">
        <f aca="false">IF(L155&lt;&gt;"",1,IF(L156&lt;&gt;"",5,IF(L157&lt;&gt;"",2,IF(AND(L158&lt;&gt;"",L160&lt;&gt;""),3,IF(L163&lt;&gt;"",4,0)))))</f>
        <v>4</v>
      </c>
      <c r="M164" s="0" t="n">
        <f aca="false">IF(M155&lt;&gt;"",1,IF(M156&lt;&gt;"",5,IF(M157&lt;&gt;"",2,IF(AND(M158&lt;&gt;"",M160&lt;&gt;""),3,IF(M163&lt;&gt;"",4,0)))))</f>
        <v>4</v>
      </c>
    </row>
    <row r="165" customFormat="false" ht="17.15" hidden="false" customHeight="false" outlineLevel="0" collapsed="false">
      <c r="A165" s="5" t="s">
        <v>866</v>
      </c>
      <c r="B165" s="0" t="s">
        <v>1007</v>
      </c>
      <c r="C165" s="0" t="s">
        <v>75</v>
      </c>
      <c r="D165" s="24" t="str">
        <f aca="false">IF(D163="","",D163)</f>
        <v/>
      </c>
      <c r="E165" s="24" t="str">
        <f aca="false">IF(E163="","",E163)</f>
        <v/>
      </c>
      <c r="F165" s="24" t="n">
        <f aca="false">IF(F163="","",F163)</f>
        <v>0.0055</v>
      </c>
      <c r="G165" s="24" t="n">
        <f aca="false">IF(G163="","",G163)</f>
        <v>0.014574</v>
      </c>
      <c r="H165" s="24" t="n">
        <f aca="false">IF(H163="","",H163)</f>
        <v>0.016548</v>
      </c>
      <c r="I165" s="24" t="n">
        <f aca="false">IF(I163="","",I163)</f>
        <v>0.016548</v>
      </c>
      <c r="J165" s="24" t="n">
        <f aca="false">IF(J163="","",J163)</f>
        <v>0.016548</v>
      </c>
      <c r="K165" s="24" t="n">
        <f aca="false">IF(K163="","",K163)</f>
        <v>0.016548</v>
      </c>
      <c r="L165" s="24" t="n">
        <f aca="false">IF(L163="","",L163)</f>
        <v>0.016548</v>
      </c>
      <c r="M165" s="24" t="n">
        <f aca="false">IF(M163="","",M163)</f>
        <v>0.016548</v>
      </c>
    </row>
    <row r="166" customFormat="false" ht="17.15" hidden="false" customHeight="false" outlineLevel="0" collapsed="false">
      <c r="A166" s="5" t="s">
        <v>868</v>
      </c>
      <c r="B166" s="0" t="s">
        <v>1008</v>
      </c>
      <c r="C166" s="0" t="s">
        <v>75</v>
      </c>
      <c r="D166" s="24" t="str">
        <f aca="false">IF(D163="","",D163)</f>
        <v/>
      </c>
      <c r="E166" s="24" t="str">
        <f aca="false">IF(E163="","",E163)</f>
        <v/>
      </c>
      <c r="F166" s="24" t="n">
        <f aca="false">IF(F163="","",F163)</f>
        <v>0.0055</v>
      </c>
      <c r="G166" s="24" t="n">
        <f aca="false">IF(G163="","",G163)</f>
        <v>0.014574</v>
      </c>
      <c r="H166" s="24" t="n">
        <f aca="false">IF(H163="","",H163)</f>
        <v>0.016548</v>
      </c>
      <c r="I166" s="24" t="n">
        <f aca="false">IF(I163="","",I163)</f>
        <v>0.016548</v>
      </c>
      <c r="J166" s="24" t="n">
        <f aca="false">IF(J163="","",J163)</f>
        <v>0.016548</v>
      </c>
      <c r="K166" s="24" t="n">
        <f aca="false">IF(K163="","",K163)</f>
        <v>0.016548</v>
      </c>
      <c r="L166" s="24" t="n">
        <f aca="false">IF(L163="","",L163)</f>
        <v>0.016548</v>
      </c>
      <c r="M166" s="24" t="n">
        <f aca="false">IF(M163="","",M163)</f>
        <v>0.016548</v>
      </c>
    </row>
    <row r="167" customFormat="false" ht="17.15" hidden="false" customHeight="false" outlineLevel="0" collapsed="false">
      <c r="A167" s="5" t="s">
        <v>870</v>
      </c>
      <c r="B167" s="0" t="s">
        <v>1009</v>
      </c>
      <c r="C167" s="0" t="s">
        <v>75</v>
      </c>
      <c r="D167" s="24" t="str">
        <f aca="false">IF(D163="","",IF(In!$C$95="未說明",D163/D$13,D163))</f>
        <v/>
      </c>
      <c r="E167" s="24" t="str">
        <f aca="false">IF(E163="","",IF(In!$C$95="未說明",E163/E$13,E163))</f>
        <v/>
      </c>
      <c r="F167" s="24" t="n">
        <f aca="false">IF(F163="","",IF(In!$C$95="未說明",F163/F$13,F163))</f>
        <v>0.0055</v>
      </c>
      <c r="G167" s="24" t="n">
        <f aca="false">IF(G163="","",IF(In!$C$95="未說明",G163/G$13,G163))</f>
        <v>0.014574</v>
      </c>
      <c r="H167" s="24" t="n">
        <f aca="false">IF(H163="","",IF(In!$C$95="未說明",H163/H$13,H163))</f>
        <v>0.016548</v>
      </c>
      <c r="I167" s="24" t="n">
        <f aca="false">IF(I163="","",IF(In!$C$95="未說明",I163/I$13,I163))</f>
        <v>0.016548</v>
      </c>
      <c r="J167" s="24" t="n">
        <f aca="false">IF(J163="","",IF(In!$C$95="未說明",J163/J$13,J163))</f>
        <v>0.016548</v>
      </c>
      <c r="K167" s="24" t="n">
        <f aca="false">IF(K163="","",IF(In!$C$95="未說明",K163/K$13,K163))</f>
        <v>0.016548</v>
      </c>
      <c r="L167" s="24" t="n">
        <f aca="false">IF(L163="","",IF(In!$C$95="未說明",L163/L$13,L163))</f>
        <v>0.016548</v>
      </c>
      <c r="M167" s="24" t="n">
        <f aca="false">IF(M163="","",IF(In!$C$95="未說明",M163/M$13,M163))</f>
        <v>0.016548</v>
      </c>
    </row>
    <row r="168" customFormat="false" ht="17.15" hidden="false" customHeight="false" outlineLevel="0" collapsed="false">
      <c r="A168" s="5" t="s">
        <v>872</v>
      </c>
      <c r="B168" s="0" t="s">
        <v>1010</v>
      </c>
      <c r="C168" s="0" t="s">
        <v>75</v>
      </c>
      <c r="D168" s="0" t="str">
        <f aca="false">""</f>
        <v/>
      </c>
      <c r="E168" s="24" t="str">
        <f aca="false">IF(AND(D163&lt;&gt;"",E163&lt;&gt;""),(D163+E163)/2,"")</f>
        <v/>
      </c>
      <c r="F168" s="24" t="str">
        <f aca="false">IF(AND(E163&lt;&gt;"",F163&lt;&gt;""),(E163+F163)/2,"")</f>
        <v/>
      </c>
      <c r="G168" s="24" t="n">
        <f aca="false">IF(AND(F163&lt;&gt;"",G163&lt;&gt;""),(F163+G163)/2,"")</f>
        <v>0.010037</v>
      </c>
      <c r="H168" s="24" t="n">
        <f aca="false">IF(AND(G163&lt;&gt;"",H163&lt;&gt;""),(G163+H163)/2,"")</f>
        <v>0.015561</v>
      </c>
      <c r="I168" s="24" t="n">
        <f aca="false">IF(AND(H163&lt;&gt;"",I163&lt;&gt;""),(H163+I163)/2,"")</f>
        <v>0.016548</v>
      </c>
      <c r="J168" s="24" t="n">
        <f aca="false">IF(AND(I163&lt;&gt;"",J163&lt;&gt;""),(I163+J163)/2,"")</f>
        <v>0.016548</v>
      </c>
      <c r="K168" s="24" t="n">
        <f aca="false">IF(AND(J163&lt;&gt;"",K163&lt;&gt;""),(J163+K163)/2,"")</f>
        <v>0.016548</v>
      </c>
      <c r="L168" s="24" t="n">
        <f aca="false">IF(AND(K163&lt;&gt;"",L163&lt;&gt;""),(K163+L163)/2,"")</f>
        <v>0.016548</v>
      </c>
      <c r="M168" s="24" t="n">
        <f aca="false">IF(AND(L163&lt;&gt;"",M163&lt;&gt;""),(L163+M163)/2,"")</f>
        <v>0.016548</v>
      </c>
    </row>
    <row r="169" customFormat="false" ht="17.15" hidden="false" customHeight="false" outlineLevel="0" collapsed="false">
      <c r="A169" s="5" t="s">
        <v>874</v>
      </c>
      <c r="B169" s="0" t="s">
        <v>1011</v>
      </c>
      <c r="C169" s="0" t="s">
        <v>75</v>
      </c>
      <c r="D169" s="0" t="n">
        <v>0</v>
      </c>
      <c r="E169" s="24" t="n">
        <f aca="false">IF(AND(D163&lt;&gt;"",E163&lt;&gt;""),E163-D163,0)</f>
        <v>0</v>
      </c>
      <c r="F169" s="24" t="n">
        <f aca="false">IF(AND(E163&lt;&gt;"",F163&lt;&gt;""),F163-E163,0)</f>
        <v>0</v>
      </c>
      <c r="G169" s="24" t="n">
        <f aca="false">IF(AND(F163&lt;&gt;"",G163&lt;&gt;""),G163-F163,0)</f>
        <v>0.009074</v>
      </c>
      <c r="H169" s="24" t="n">
        <f aca="false">IF(AND(G163&lt;&gt;"",H163&lt;&gt;""),H163-G163,0)</f>
        <v>0.001974</v>
      </c>
      <c r="I169" s="24" t="n">
        <f aca="false">IF(AND(H163&lt;&gt;"",I163&lt;&gt;""),I163-H163,0)</f>
        <v>0</v>
      </c>
      <c r="J169" s="24" t="n">
        <f aca="false">IF(AND(I163&lt;&gt;"",J163&lt;&gt;""),J163-I163,0)</f>
        <v>0</v>
      </c>
      <c r="K169" s="24" t="n">
        <f aca="false">IF(AND(J163&lt;&gt;"",K163&lt;&gt;""),K163-J163,0)</f>
        <v>0</v>
      </c>
      <c r="L169" s="24" t="n">
        <f aca="false">IF(AND(K163&lt;&gt;"",L163&lt;&gt;""),L163-K163,0)</f>
        <v>0</v>
      </c>
      <c r="M169" s="24" t="n">
        <f aca="false">IF(AND(L163&lt;&gt;"",M163&lt;&gt;""),M163-L163,0)</f>
        <v>0</v>
      </c>
    </row>
    <row r="170" customFormat="false" ht="17.15" hidden="false" customHeight="false" outlineLevel="0" collapsed="false">
      <c r="A170" s="5" t="s">
        <v>876</v>
      </c>
      <c r="B170" s="0" t="s">
        <v>1012</v>
      </c>
      <c r="C170" s="0" t="s">
        <v>75</v>
      </c>
      <c r="D170" s="24" t="n">
        <f aca="false">IF(D163&lt;&gt;"",D163,0)</f>
        <v>0</v>
      </c>
      <c r="E170" s="24" t="n">
        <f aca="false">IF(AND(D163="",E163&lt;&gt;""),E163,0)</f>
        <v>0</v>
      </c>
      <c r="F170" s="24" t="n">
        <f aca="false">IF(AND(E163="",F163&lt;&gt;""),F163,0)</f>
        <v>0.0055</v>
      </c>
      <c r="G170" s="24" t="n">
        <f aca="false">IF(AND(F163="",G163&lt;&gt;""),G163,0)</f>
        <v>0</v>
      </c>
      <c r="H170" s="24" t="n">
        <f aca="false">IF(AND(G163="",H163&lt;&gt;""),H163,0)</f>
        <v>0</v>
      </c>
      <c r="I170" s="24" t="n">
        <f aca="false">IF(AND(H163="",I163&lt;&gt;""),I163,0)</f>
        <v>0</v>
      </c>
      <c r="J170" s="24" t="n">
        <f aca="false">IF(AND(I163="",J163&lt;&gt;""),J163,0)</f>
        <v>0</v>
      </c>
      <c r="K170" s="24" t="n">
        <f aca="false">IF(AND(J163="",K163&lt;&gt;""),K163,0)</f>
        <v>0</v>
      </c>
      <c r="L170" s="24" t="n">
        <f aca="false">IF(AND(K163="",L163&lt;&gt;""),L163,0)</f>
        <v>0</v>
      </c>
      <c r="M170" s="24" t="n">
        <f aca="false">IF(AND(L163="",M163&lt;&gt;""),M163,0)</f>
        <v>0</v>
      </c>
    </row>
    <row r="171" customFormat="false" ht="17.15" hidden="false" customHeight="false" outlineLevel="0" collapsed="false">
      <c r="A171" s="5" t="s">
        <v>878</v>
      </c>
      <c r="B171" s="0" t="s">
        <v>1013</v>
      </c>
      <c r="C171" s="0" t="s">
        <v>50</v>
      </c>
      <c r="D171" s="23" t="n">
        <f aca="false">nnv_wyfi</f>
        <v>0</v>
      </c>
      <c r="E171" s="23" t="n">
        <f aca="false">nnv_wyfi</f>
        <v>0</v>
      </c>
      <c r="F171" s="23" t="n">
        <f aca="false">nnv_wyfi</f>
        <v>0</v>
      </c>
      <c r="G171" s="23" t="n">
        <f aca="false">nnv_wyfi</f>
        <v>0</v>
      </c>
      <c r="H171" s="23" t="n">
        <f aca="false">nnv_wyfi</f>
        <v>0</v>
      </c>
      <c r="I171" s="23" t="n">
        <f aca="false">nnv_wyfi</f>
        <v>0</v>
      </c>
      <c r="J171" s="23" t="n">
        <f aca="false">nnv_wyfi</f>
        <v>0</v>
      </c>
      <c r="K171" s="23" t="n">
        <f aca="false">nnv_wyfi</f>
        <v>0</v>
      </c>
      <c r="L171" s="23" t="n">
        <f aca="false">nnv_wyfi</f>
        <v>0</v>
      </c>
      <c r="M171" s="23" t="n">
        <f aca="false">nnv_wyfi</f>
        <v>0</v>
      </c>
    </row>
    <row r="173" customFormat="false" ht="17.15" hidden="false" customHeight="false" outlineLevel="0" collapsed="false">
      <c r="A173" s="8" t="s">
        <v>1014</v>
      </c>
      <c r="B173" s="20" t="s">
        <v>470</v>
      </c>
      <c r="N173" s="20" t="s">
        <v>1015</v>
      </c>
    </row>
    <row r="174" customFormat="false" ht="17.15" hidden="false" customHeight="false" outlineLevel="0" collapsed="false">
      <c r="A174" s="5" t="s">
        <v>846</v>
      </c>
      <c r="B174" s="0" t="s">
        <v>1016</v>
      </c>
      <c r="C174" s="0" t="s">
        <v>75</v>
      </c>
      <c r="D174" s="24" t="str">
        <f aca="false">IF(In!$H$96="","",IF(In!$C$96="設施",In!$H$96/1000/D$13,In!$H$96/1000))</f>
        <v/>
      </c>
      <c r="E174" s="24" t="str">
        <f aca="false">IF(In!$I$96="","",IF(In!$C$96="設施",In!$I$96/1000/E$13,In!$I$96/1000))</f>
        <v/>
      </c>
      <c r="F174" s="24" t="str">
        <f aca="false">IF(In!$J$96="","",IF(In!$C$96="設施",In!$J$96/1000/F$13,In!$J$96/1000))</f>
        <v/>
      </c>
      <c r="G174" s="24" t="n">
        <f aca="false">IF(In!$K$96="","",IF(In!$C$96="設施",In!$K$96/1000/G$13,In!$K$96/1000))</f>
        <v>2</v>
      </c>
      <c r="H174" s="24" t="str">
        <f aca="false">IF(In!$L$96="","",IF(In!$C$96="設施",In!$L$96/1000/H$13,In!$L$96/1000))</f>
        <v/>
      </c>
      <c r="I174" s="24" t="str">
        <f aca="false">IF(In!$M$96="","",IF(In!$C$96="設施",In!$M$96/1000/I$13,In!$M$96/1000))</f>
        <v/>
      </c>
      <c r="J174" s="24" t="str">
        <f aca="false">IF(In!$N$96="","",IF(In!$C$96="設施",In!$N$96/1000/J$13,In!$N$96/1000))</f>
        <v/>
      </c>
      <c r="K174" s="24" t="str">
        <f aca="false">IF(In!$O$96="","",IF(In!$C$96="設施",In!$O$96/1000/K$13,In!$O$96/1000))</f>
        <v/>
      </c>
      <c r="L174" s="24" t="str">
        <f aca="false">IF(In!$P$96="","",IF(In!$C$96="設施",In!$P$96/1000/L$13,In!$P$96/1000))</f>
        <v/>
      </c>
      <c r="M174" s="24" t="str">
        <f aca="false">IF(In!$Q$96="","",IF(In!$C$96="設施",In!$Q$96/1000/M$13,In!$Q$96/1000))</f>
        <v/>
      </c>
    </row>
    <row r="175" customFormat="false" ht="17.15" hidden="false" customHeight="false" outlineLevel="0" collapsed="false">
      <c r="A175" s="5" t="s">
        <v>848</v>
      </c>
      <c r="B175" s="0" t="s">
        <v>1017</v>
      </c>
      <c r="C175" s="0" t="s">
        <v>75</v>
      </c>
      <c r="D175" s="24" t="str">
        <f aca="false">IF(In!$H$86="","",In!$H$86*Players!$D$19/1000)</f>
        <v/>
      </c>
      <c r="E175" s="24" t="str">
        <f aca="false">IF(In!$I$86="","",In!$I$86*Players!$D$19/1000)</f>
        <v/>
      </c>
      <c r="F175" s="24" t="n">
        <f aca="false">IF(In!$J$86="","",In!$J$86*Players!$D$19/1000)</f>
        <v>0.5698</v>
      </c>
      <c r="G175" s="24" t="str">
        <f aca="false">IF(In!$K$86="","",In!$K$86*Players!$D$19/1000)</f>
        <v/>
      </c>
      <c r="H175" s="24" t="str">
        <f aca="false">IF(In!$L$86="","",In!$L$86*Players!$D$19/1000)</f>
        <v/>
      </c>
      <c r="I175" s="24" t="str">
        <f aca="false">IF(In!$M$86="","",In!$M$86*Players!$D$19/1000)</f>
        <v/>
      </c>
      <c r="J175" s="24" t="str">
        <f aca="false">IF(In!$N$86="","",In!$N$86*Players!$D$19/1000)</f>
        <v/>
      </c>
      <c r="K175" s="24" t="str">
        <f aca="false">IF(In!$O$86="","",In!$O$86*Players!$D$19/1000)</f>
        <v/>
      </c>
      <c r="L175" s="24" t="str">
        <f aca="false">IF(In!$P$86="","",In!$P$86*Players!$D$19/1000)</f>
        <v/>
      </c>
      <c r="M175" s="24" t="str">
        <f aca="false">IF(In!$Q$86="","",In!$Q$86*Players!$D$19/1000)</f>
        <v/>
      </c>
    </row>
    <row r="176" customFormat="false" ht="15" hidden="false" customHeight="false" outlineLevel="0" collapsed="false">
      <c r="A176" s="5" t="s">
        <v>850</v>
      </c>
      <c r="B176" s="0" t="s">
        <v>1018</v>
      </c>
      <c r="C176" s="0" t="s">
        <v>75</v>
      </c>
      <c r="D176" s="24" t="str">
        <f aca="false">IF(D174&lt;&gt;"",D174,IF(D175&lt;&gt;"",D175,IF(INT(obsd_xai)=2023,obs_xai/1000+SUMIFS(Pipeline!$L$5:$L$47,Pipeline!$C$5:$C$47,"xai",Pipeline!$Q$5:$Q$47,1,Pipeline!$K$5:$K$47,"&gt;"&amp;obsd_xai,Pipeline!$K$5:$K$47,"&lt;="&amp;2024),"")))</f>
        <v/>
      </c>
      <c r="E176" s="24" t="str">
        <f aca="false">IF(E174&lt;&gt;"",E174,IF(E175&lt;&gt;"",E175,IF(INT(obsd_xai)=2024,obs_xai/1000+SUMIFS(Pipeline!$L$5:$L$47,Pipeline!$C$5:$C$47,"xai",Pipeline!$Q$5:$Q$47,1,Pipeline!$K$5:$K$47,"&gt;"&amp;obsd_xai,Pipeline!$K$5:$K$47,"&lt;="&amp;2025),"")))</f>
        <v/>
      </c>
      <c r="F176" s="24" t="n">
        <f aca="false">IF(F174&lt;&gt;"",F174,IF(F175&lt;&gt;"",F175,IF(INT(obsd_xai)=2025,obs_xai/1000+SUMIFS(Pipeline!$L$5:$L$47,Pipeline!$C$5:$C$47,"xai",Pipeline!$Q$5:$Q$47,1,Pipeline!$K$5:$K$47,"&gt;"&amp;obsd_xai,Pipeline!$K$5:$K$47,"&lt;="&amp;2026),"")))</f>
        <v>0.5698</v>
      </c>
      <c r="G176" s="24" t="n">
        <f aca="false">IF(G174&lt;&gt;"",G174,IF(G175&lt;&gt;"",G175,IF(INT(obsd_xai)=2026,obs_xai/1000+SUMIFS(Pipeline!$L$5:$L$47,Pipeline!$C$5:$C$47,"xai",Pipeline!$Q$5:$Q$47,1,Pipeline!$K$5:$K$47,"&gt;"&amp;obsd_xai,Pipeline!$K$5:$K$47,"&lt;="&amp;2027),"")))</f>
        <v>2</v>
      </c>
      <c r="H176" s="24" t="str">
        <f aca="false">IF(H174&lt;&gt;"",H174,IF(H175&lt;&gt;"",H175,IF(INT(obsd_xai)=2027,obs_xai/1000+SUMIFS(Pipeline!$L$5:$L$47,Pipeline!$C$5:$C$47,"xai",Pipeline!$Q$5:$Q$47,1,Pipeline!$K$5:$K$47,"&gt;"&amp;obsd_xai,Pipeline!$K$5:$K$47,"&lt;="&amp;2028),"")))</f>
        <v/>
      </c>
      <c r="I176" s="24" t="str">
        <f aca="false">IF(I174&lt;&gt;"",I174,IF(I175&lt;&gt;"",I175,IF(INT(obsd_xai)=2028,obs_xai/1000+SUMIFS(Pipeline!$L$5:$L$47,Pipeline!$C$5:$C$47,"xai",Pipeline!$Q$5:$Q$47,1,Pipeline!$K$5:$K$47,"&gt;"&amp;obsd_xai,Pipeline!$K$5:$K$47,"&lt;="&amp;2029),"")))</f>
        <v/>
      </c>
      <c r="J176" s="24" t="str">
        <f aca="false">IF(J174&lt;&gt;"",J174,IF(J175&lt;&gt;"",J175,IF(INT(obsd_xai)=2029,obs_xai/1000+SUMIFS(Pipeline!$L$5:$L$47,Pipeline!$C$5:$C$47,"xai",Pipeline!$Q$5:$Q$47,1,Pipeline!$K$5:$K$47,"&gt;"&amp;obsd_xai,Pipeline!$K$5:$K$47,"&lt;="&amp;2030),"")))</f>
        <v/>
      </c>
      <c r="K176" s="24" t="str">
        <f aca="false">IF(K174&lt;&gt;"",K174,IF(K175&lt;&gt;"",K175,IF(INT(obsd_xai)=2030,obs_xai/1000+SUMIFS(Pipeline!$L$5:$L$47,Pipeline!$C$5:$C$47,"xai",Pipeline!$Q$5:$Q$47,1,Pipeline!$K$5:$K$47,"&gt;"&amp;obsd_xai,Pipeline!$K$5:$K$47,"&lt;="&amp;2031),"")))</f>
        <v/>
      </c>
      <c r="L176" s="24" t="str">
        <f aca="false">IF(L174&lt;&gt;"",L174,IF(L175&lt;&gt;"",L175,IF(INT(obsd_xai)=2031,obs_xai/1000+SUMIFS(Pipeline!$L$5:$L$47,Pipeline!$C$5:$C$47,"xai",Pipeline!$Q$5:$Q$47,1,Pipeline!$K$5:$K$47,"&gt;"&amp;obsd_xai,Pipeline!$K$5:$K$47,"&lt;="&amp;2032),"")))</f>
        <v/>
      </c>
      <c r="M176" s="24" t="str">
        <f aca="false">IF(M174&lt;&gt;"",M174,IF(M175&lt;&gt;"",M175,IF(INT(obsd_xai)=2032,obs_xai/1000+SUMIFS(Pipeline!$L$5:$L$47,Pipeline!$C$5:$C$47,"xai",Pipeline!$Q$5:$Q$47,1,Pipeline!$K$5:$K$47,"&gt;"&amp;obsd_xai,Pipeline!$K$5:$K$47,"&lt;="&amp;2033),"")))</f>
        <v/>
      </c>
    </row>
    <row r="177" customFormat="false" ht="15" hidden="false" customHeight="false" outlineLevel="0" collapsed="false">
      <c r="A177" s="5" t="s">
        <v>852</v>
      </c>
      <c r="B177" s="0" t="s">
        <v>1019</v>
      </c>
      <c r="C177" s="0" t="s">
        <v>75</v>
      </c>
      <c r="D177" s="0" t="str">
        <f aca="false">IF(D176&lt;&gt;"",D176,"")</f>
        <v/>
      </c>
      <c r="E177" s="0" t="str">
        <f aca="false">IF(E176&lt;&gt;"",E176,D177)</f>
        <v/>
      </c>
      <c r="F177" s="24" t="n">
        <f aca="false">IF(F176&lt;&gt;"",F176,E177)</f>
        <v>0.5698</v>
      </c>
      <c r="G177" s="24" t="n">
        <f aca="false">IF(G176&lt;&gt;"",G176,F177)</f>
        <v>2</v>
      </c>
      <c r="H177" s="24" t="n">
        <f aca="false">IF(H176&lt;&gt;"",H176,G177)</f>
        <v>2</v>
      </c>
      <c r="I177" s="24" t="n">
        <f aca="false">IF(I176&lt;&gt;"",I176,H177)</f>
        <v>2</v>
      </c>
      <c r="J177" s="24" t="n">
        <f aca="false">IF(J176&lt;&gt;"",J176,I177)</f>
        <v>2</v>
      </c>
      <c r="K177" s="24" t="n">
        <f aca="false">IF(K176&lt;&gt;"",K176,J177)</f>
        <v>2</v>
      </c>
      <c r="L177" s="24" t="n">
        <f aca="false">IF(L176&lt;&gt;"",L176,K177)</f>
        <v>2</v>
      </c>
      <c r="M177" s="24" t="n">
        <f aca="false">IF(M176&lt;&gt;"",M176,L177)</f>
        <v>2</v>
      </c>
    </row>
    <row r="178" customFormat="false" ht="15" hidden="false" customHeight="false" outlineLevel="0" collapsed="false">
      <c r="A178" s="5" t="s">
        <v>854</v>
      </c>
      <c r="B178" s="0" t="s">
        <v>1020</v>
      </c>
      <c r="C178" s="5" t="s">
        <v>45</v>
      </c>
      <c r="D178" s="0" t="str">
        <f aca="false">IF(D176&lt;&gt;"",2023,"")</f>
        <v/>
      </c>
      <c r="E178" s="0" t="str">
        <f aca="false">IF(E176&lt;&gt;"",2024,D178)</f>
        <v/>
      </c>
      <c r="F178" s="0" t="n">
        <f aca="false">IF(F176&lt;&gt;"",2025,E178)</f>
        <v>2025</v>
      </c>
      <c r="G178" s="0" t="n">
        <f aca="false">IF(G176&lt;&gt;"",2026,F178)</f>
        <v>2026</v>
      </c>
      <c r="H178" s="0" t="n">
        <f aca="false">IF(H176&lt;&gt;"",2027,G178)</f>
        <v>2026</v>
      </c>
      <c r="I178" s="0" t="n">
        <f aca="false">IF(I176&lt;&gt;"",2028,H178)</f>
        <v>2026</v>
      </c>
      <c r="J178" s="0" t="n">
        <f aca="false">IF(J176&lt;&gt;"",2029,I178)</f>
        <v>2026</v>
      </c>
      <c r="K178" s="0" t="n">
        <f aca="false">IF(K176&lt;&gt;"",2030,J178)</f>
        <v>2026</v>
      </c>
      <c r="L178" s="0" t="n">
        <f aca="false">IF(L176&lt;&gt;"",2031,K178)</f>
        <v>2026</v>
      </c>
      <c r="M178" s="0" t="n">
        <f aca="false">IF(M176&lt;&gt;"",2032,L178)</f>
        <v>2026</v>
      </c>
    </row>
    <row r="179" customFormat="false" ht="15" hidden="false" customHeight="false" outlineLevel="0" collapsed="false">
      <c r="A179" s="5" t="s">
        <v>856</v>
      </c>
      <c r="B179" s="0" t="s">
        <v>1021</v>
      </c>
      <c r="C179" s="0" t="s">
        <v>75</v>
      </c>
      <c r="D179" s="24" t="n">
        <f aca="false">IF(D176&lt;&gt;"",D176,E179)</f>
        <v>0.5698</v>
      </c>
      <c r="E179" s="24" t="n">
        <f aca="false">IF(E176&lt;&gt;"",E176,F179)</f>
        <v>0.5698</v>
      </c>
      <c r="F179" s="24" t="n">
        <f aca="false">IF(F176&lt;&gt;"",F176,G179)</f>
        <v>0.5698</v>
      </c>
      <c r="G179" s="24" t="n">
        <f aca="false">IF(G176&lt;&gt;"",G176,H179)</f>
        <v>2</v>
      </c>
      <c r="H179" s="0" t="str">
        <f aca="false">IF(H176&lt;&gt;"",H176,I179)</f>
        <v/>
      </c>
      <c r="I179" s="0" t="str">
        <f aca="false">IF(I176&lt;&gt;"",I176,J179)</f>
        <v/>
      </c>
      <c r="J179" s="0" t="str">
        <f aca="false">IF(J176&lt;&gt;"",J176,K179)</f>
        <v/>
      </c>
      <c r="K179" s="0" t="str">
        <f aca="false">IF(K176&lt;&gt;"",K176,L179)</f>
        <v/>
      </c>
      <c r="L179" s="0" t="str">
        <f aca="false">IF(L176&lt;&gt;"",L176,M179)</f>
        <v/>
      </c>
      <c r="M179" s="0" t="str">
        <f aca="false">IF(M176&lt;&gt;"",M176,"")</f>
        <v/>
      </c>
    </row>
    <row r="180" customFormat="false" ht="15" hidden="false" customHeight="false" outlineLevel="0" collapsed="false">
      <c r="A180" s="5" t="s">
        <v>858</v>
      </c>
      <c r="B180" s="0" t="s">
        <v>1022</v>
      </c>
      <c r="C180" s="5" t="s">
        <v>45</v>
      </c>
      <c r="D180" s="0" t="n">
        <f aca="false">IF(D176&lt;&gt;"",2023,E180)</f>
        <v>2025</v>
      </c>
      <c r="E180" s="0" t="n">
        <f aca="false">IF(E176&lt;&gt;"",2024,F180)</f>
        <v>2025</v>
      </c>
      <c r="F180" s="0" t="n">
        <f aca="false">IF(F176&lt;&gt;"",2025,G180)</f>
        <v>2025</v>
      </c>
      <c r="G180" s="0" t="n">
        <f aca="false">IF(G176&lt;&gt;"",2026,H180)</f>
        <v>2026</v>
      </c>
      <c r="H180" s="0" t="str">
        <f aca="false">IF(H176&lt;&gt;"",2027,I180)</f>
        <v/>
      </c>
      <c r="I180" s="0" t="str">
        <f aca="false">IF(I176&lt;&gt;"",2028,J180)</f>
        <v/>
      </c>
      <c r="J180" s="0" t="str">
        <f aca="false">IF(J176&lt;&gt;"",2029,K180)</f>
        <v/>
      </c>
      <c r="K180" s="0" t="str">
        <f aca="false">IF(K176&lt;&gt;"",2030,L180)</f>
        <v/>
      </c>
      <c r="L180" s="0" t="str">
        <f aca="false">IF(L176&lt;&gt;"",2031,M180)</f>
        <v/>
      </c>
      <c r="M180" s="0" t="str">
        <f aca="false">IF(M176&lt;&gt;"",2032,"")</f>
        <v/>
      </c>
    </row>
    <row r="181" customFormat="false" ht="17.15" hidden="false" customHeight="false" outlineLevel="0" collapsed="false">
      <c r="A181" s="5" t="s">
        <v>860</v>
      </c>
      <c r="B181" s="0" t="s">
        <v>1023</v>
      </c>
      <c r="C181" s="0" t="s">
        <v>75</v>
      </c>
      <c r="D181" s="24" t="n">
        <f aca="false">SUMIFS(Pipeline!$L$5:$L$47,Pipeline!$C$5:$C$47,"xai",Pipeline!$Q$5:$Q$47,1,Pipeline!$P$5:$P$47,2023)</f>
        <v>0</v>
      </c>
      <c r="E181" s="24" t="n">
        <f aca="false">SUMIFS(Pipeline!$L$5:$L$47,Pipeline!$C$5:$C$47,"xai",Pipeline!$Q$5:$Q$47,1,Pipeline!$P$5:$P$47,2024)</f>
        <v>0</v>
      </c>
      <c r="F181" s="24" t="n">
        <f aca="false">SUMIFS(Pipeline!$L$5:$L$47,Pipeline!$C$5:$C$47,"xai",Pipeline!$Q$5:$Q$47,1,Pipeline!$P$5:$P$47,2025)</f>
        <v>0</v>
      </c>
      <c r="G181" s="24" t="n">
        <f aca="false">SUMIFS(Pipeline!$L$5:$L$47,Pipeline!$C$5:$C$47,"xai",Pipeline!$Q$5:$Q$47,1,Pipeline!$P$5:$P$47,2026)</f>
        <v>0</v>
      </c>
      <c r="H181" s="24" t="n">
        <f aca="false">SUMIFS(Pipeline!$L$5:$L$47,Pipeline!$C$5:$C$47,"xai",Pipeline!$Q$5:$Q$47,1,Pipeline!$P$5:$P$47,2027)</f>
        <v>0</v>
      </c>
      <c r="I181" s="24" t="n">
        <f aca="false">SUMIFS(Pipeline!$L$5:$L$47,Pipeline!$C$5:$C$47,"xai",Pipeline!$Q$5:$Q$47,1,Pipeline!$P$5:$P$47,2028)</f>
        <v>0</v>
      </c>
      <c r="J181" s="24" t="n">
        <f aca="false">SUMIFS(Pipeline!$L$5:$L$47,Pipeline!$C$5:$C$47,"xai",Pipeline!$Q$5:$Q$47,1,Pipeline!$P$5:$P$47,2029)</f>
        <v>0</v>
      </c>
      <c r="K181" s="24" t="n">
        <f aca="false">SUMIFS(Pipeline!$L$5:$L$47,Pipeline!$C$5:$C$47,"xai",Pipeline!$Q$5:$Q$47,1,Pipeline!$P$5:$P$47,2030)</f>
        <v>0</v>
      </c>
      <c r="L181" s="24" t="n">
        <f aca="false">SUMIFS(Pipeline!$L$5:$L$47,Pipeline!$C$5:$C$47,"xai",Pipeline!$Q$5:$Q$47,1,Pipeline!$P$5:$P$47,2031)</f>
        <v>0</v>
      </c>
      <c r="M181" s="24" t="n">
        <f aca="false">SUMIFS(Pipeline!$L$5:$L$47,Pipeline!$C$5:$C$47,"xai",Pipeline!$Q$5:$Q$47,1,Pipeline!$P$5:$P$47,2032)</f>
        <v>0</v>
      </c>
    </row>
    <row r="182" customFormat="false" ht="17.15" hidden="false" customHeight="false" outlineLevel="0" collapsed="false">
      <c r="A182" s="5" t="s">
        <v>862</v>
      </c>
      <c r="B182" s="0" t="s">
        <v>1024</v>
      </c>
      <c r="C182" s="0" t="s">
        <v>75</v>
      </c>
      <c r="D182" s="25" t="str">
        <f aca="false">IF(D176&lt;&gt;"",D176,IF(AND(D177&lt;&gt;"",D179&lt;&gt;""),D177+(D179-D177)*(2023-D178)/(D180-D178),""))</f>
        <v/>
      </c>
      <c r="E182" s="25" t="str">
        <f aca="false">IF(E176&lt;&gt;"",E176,IF(AND(E177&lt;&gt;"",E179&lt;&gt;""),E177+(E179-E177)*(2024-E178)/(E180-E178),IF(D182&lt;&gt;"",D182+E181,"")))</f>
        <v/>
      </c>
      <c r="F182" s="25" t="n">
        <f aca="false">IF(F176&lt;&gt;"",F176,IF(AND(F177&lt;&gt;"",F179&lt;&gt;""),F177+(F179-F177)*(2025-F178)/(F180-F178),IF(E182&lt;&gt;"",E182+F181,"")))</f>
        <v>0.5698</v>
      </c>
      <c r="G182" s="25" t="n">
        <f aca="false">IF(G176&lt;&gt;"",G176,IF(AND(G177&lt;&gt;"",G179&lt;&gt;""),G177+(G179-G177)*(2026-G178)/(G180-G178),IF(F182&lt;&gt;"",F182+G181,"")))</f>
        <v>2</v>
      </c>
      <c r="H182" s="25" t="n">
        <f aca="false">IF(H176&lt;&gt;"",H176,IF(AND(H177&lt;&gt;"",H179&lt;&gt;""),H177+(H179-H177)*(2027-H178)/(H180-H178),IF(G182&lt;&gt;"",G182+H181,"")))</f>
        <v>2</v>
      </c>
      <c r="I182" s="25" t="n">
        <f aca="false">IF(I176&lt;&gt;"",I176,IF(AND(I177&lt;&gt;"",I179&lt;&gt;""),I177+(I179-I177)*(2028-I178)/(I180-I178),IF(H182&lt;&gt;"",H182+I181,"")))</f>
        <v>2</v>
      </c>
      <c r="J182" s="25" t="n">
        <f aca="false">IF(J176&lt;&gt;"",J176,IF(AND(J177&lt;&gt;"",J179&lt;&gt;""),J177+(J179-J177)*(2029-J178)/(J180-J178),IF(I182&lt;&gt;"",I182+J181,"")))</f>
        <v>2</v>
      </c>
      <c r="K182" s="25" t="n">
        <f aca="false">IF(K176&lt;&gt;"",K176,IF(AND(K177&lt;&gt;"",K179&lt;&gt;""),K177+(K179-K177)*(2030-K178)/(K180-K178),IF(J182&lt;&gt;"",J182+K181,"")))</f>
        <v>2</v>
      </c>
      <c r="L182" s="25" t="n">
        <f aca="false">IF(L176&lt;&gt;"",L176,IF(AND(L177&lt;&gt;"",L179&lt;&gt;""),L177+(L179-L177)*(2031-L178)/(L180-L178),IF(K182&lt;&gt;"",K182+L181,"")))</f>
        <v>2</v>
      </c>
      <c r="M182" s="25" t="n">
        <f aca="false">IF(M176&lt;&gt;"",M176,IF(AND(M177&lt;&gt;"",M179&lt;&gt;""),M177+(M179-M177)*(2032-M178)/(M180-M178),IF(L182&lt;&gt;"",L182+M181,"")))</f>
        <v>2</v>
      </c>
    </row>
    <row r="183" customFormat="false" ht="15" hidden="false" customHeight="false" outlineLevel="0" collapsed="false">
      <c r="A183" s="5" t="s">
        <v>864</v>
      </c>
      <c r="B183" s="0" t="s">
        <v>1025</v>
      </c>
      <c r="C183" s="0" t="s">
        <v>33</v>
      </c>
      <c r="D183" s="0" t="n">
        <f aca="false">IF(D174&lt;&gt;"",1,IF(D175&lt;&gt;"",5,IF(D176&lt;&gt;"",2,IF(AND(D177&lt;&gt;"",D179&lt;&gt;""),3,IF(D182&lt;&gt;"",4,0)))))</f>
        <v>0</v>
      </c>
      <c r="E183" s="0" t="n">
        <f aca="false">IF(E174&lt;&gt;"",1,IF(E175&lt;&gt;"",5,IF(E176&lt;&gt;"",2,IF(AND(E177&lt;&gt;"",E179&lt;&gt;""),3,IF(E182&lt;&gt;"",4,0)))))</f>
        <v>0</v>
      </c>
      <c r="F183" s="0" t="n">
        <f aca="false">IF(F174&lt;&gt;"",1,IF(F175&lt;&gt;"",5,IF(F176&lt;&gt;"",2,IF(AND(F177&lt;&gt;"",F179&lt;&gt;""),3,IF(F182&lt;&gt;"",4,0)))))</f>
        <v>5</v>
      </c>
      <c r="G183" s="0" t="n">
        <f aca="false">IF(G174&lt;&gt;"",1,IF(G175&lt;&gt;"",5,IF(G176&lt;&gt;"",2,IF(AND(G177&lt;&gt;"",G179&lt;&gt;""),3,IF(G182&lt;&gt;"",4,0)))))</f>
        <v>1</v>
      </c>
      <c r="H183" s="0" t="n">
        <f aca="false">IF(H174&lt;&gt;"",1,IF(H175&lt;&gt;"",5,IF(H176&lt;&gt;"",2,IF(AND(H177&lt;&gt;"",H179&lt;&gt;""),3,IF(H182&lt;&gt;"",4,0)))))</f>
        <v>4</v>
      </c>
      <c r="I183" s="0" t="n">
        <f aca="false">IF(I174&lt;&gt;"",1,IF(I175&lt;&gt;"",5,IF(I176&lt;&gt;"",2,IF(AND(I177&lt;&gt;"",I179&lt;&gt;""),3,IF(I182&lt;&gt;"",4,0)))))</f>
        <v>4</v>
      </c>
      <c r="J183" s="0" t="n">
        <f aca="false">IF(J174&lt;&gt;"",1,IF(J175&lt;&gt;"",5,IF(J176&lt;&gt;"",2,IF(AND(J177&lt;&gt;"",J179&lt;&gt;""),3,IF(J182&lt;&gt;"",4,0)))))</f>
        <v>4</v>
      </c>
      <c r="K183" s="0" t="n">
        <f aca="false">IF(K174&lt;&gt;"",1,IF(K175&lt;&gt;"",5,IF(K176&lt;&gt;"",2,IF(AND(K177&lt;&gt;"",K179&lt;&gt;""),3,IF(K182&lt;&gt;"",4,0)))))</f>
        <v>4</v>
      </c>
      <c r="L183" s="0" t="n">
        <f aca="false">IF(L174&lt;&gt;"",1,IF(L175&lt;&gt;"",5,IF(L176&lt;&gt;"",2,IF(AND(L177&lt;&gt;"",L179&lt;&gt;""),3,IF(L182&lt;&gt;"",4,0)))))</f>
        <v>4</v>
      </c>
      <c r="M183" s="0" t="n">
        <f aca="false">IF(M174&lt;&gt;"",1,IF(M175&lt;&gt;"",5,IF(M176&lt;&gt;"",2,IF(AND(M177&lt;&gt;"",M179&lt;&gt;""),3,IF(M182&lt;&gt;"",4,0)))))</f>
        <v>4</v>
      </c>
    </row>
    <row r="184" customFormat="false" ht="17.15" hidden="false" customHeight="false" outlineLevel="0" collapsed="false">
      <c r="A184" s="5" t="s">
        <v>866</v>
      </c>
      <c r="B184" s="0" t="s">
        <v>1026</v>
      </c>
      <c r="C184" s="0" t="s">
        <v>75</v>
      </c>
      <c r="D184" s="24" t="str">
        <f aca="false">IF(D182="","",IF(AND(D183=5,In!$H$86&lt;&gt;""),In!$H$86*Players!$E$19/1000,D182))</f>
        <v/>
      </c>
      <c r="E184" s="24" t="str">
        <f aca="false">IF(E182="","",IF(AND(E183=5,In!$I$86&lt;&gt;""),In!$I$86*Players!$E$19/1000,E182))</f>
        <v/>
      </c>
      <c r="F184" s="24" t="n">
        <f aca="false">IF(F182="","",IF(AND(F183=5,In!$J$86&lt;&gt;""),In!$J$86*Players!$E$19/1000,F182))</f>
        <v>0.5082</v>
      </c>
      <c r="G184" s="24" t="n">
        <f aca="false">IF(G182="","",IF(AND(G183=5,In!$K$86&lt;&gt;""),In!$K$86*Players!$E$19/1000,G182))</f>
        <v>2</v>
      </c>
      <c r="H184" s="24" t="n">
        <f aca="false">IF(H182="","",IF(AND(H183=5,In!$L$86&lt;&gt;""),In!$L$86*Players!$E$19/1000,H182))</f>
        <v>2</v>
      </c>
      <c r="I184" s="24" t="n">
        <f aca="false">IF(I182="","",IF(AND(I183=5,In!$M$86&lt;&gt;""),In!$M$86*Players!$E$19/1000,I182))</f>
        <v>2</v>
      </c>
      <c r="J184" s="24" t="n">
        <f aca="false">IF(J182="","",IF(AND(J183=5,In!$N$86&lt;&gt;""),In!$N$86*Players!$E$19/1000,J182))</f>
        <v>2</v>
      </c>
      <c r="K184" s="24" t="n">
        <f aca="false">IF(K182="","",IF(AND(K183=5,In!$O$86&lt;&gt;""),In!$O$86*Players!$E$19/1000,K182))</f>
        <v>2</v>
      </c>
      <c r="L184" s="24" t="n">
        <f aca="false">IF(L182="","",IF(AND(L183=5,In!$P$86&lt;&gt;""),In!$P$86*Players!$E$19/1000,L182))</f>
        <v>2</v>
      </c>
      <c r="M184" s="24" t="n">
        <f aca="false">IF(M182="","",IF(AND(M183=5,In!$Q$86&lt;&gt;""),In!$Q$86*Players!$E$19/1000,M182))</f>
        <v>2</v>
      </c>
    </row>
    <row r="185" customFormat="false" ht="17.15" hidden="false" customHeight="false" outlineLevel="0" collapsed="false">
      <c r="A185" s="5" t="s">
        <v>868</v>
      </c>
      <c r="B185" s="0" t="s">
        <v>1027</v>
      </c>
      <c r="C185" s="0" t="s">
        <v>75</v>
      </c>
      <c r="D185" s="24" t="str">
        <f aca="false">IF(D182="","",IF(AND(D183=5,In!$H$86&lt;&gt;""),In!$H$86*Players!$F$19/1000,D182))</f>
        <v/>
      </c>
      <c r="E185" s="24" t="str">
        <f aca="false">IF(E182="","",IF(AND(E183=5,In!$I$86&lt;&gt;""),In!$I$86*Players!$F$19/1000,E182))</f>
        <v/>
      </c>
      <c r="F185" s="24" t="n">
        <f aca="false">IF(F182="","",IF(AND(F183=5,In!$J$86&lt;&gt;""),In!$J$86*Players!$F$19/1000,F182))</f>
        <v>0.64064</v>
      </c>
      <c r="G185" s="24" t="n">
        <f aca="false">IF(G182="","",IF(AND(G183=5,In!$K$86&lt;&gt;""),In!$K$86*Players!$F$19/1000,G182))</f>
        <v>2</v>
      </c>
      <c r="H185" s="24" t="n">
        <f aca="false">IF(H182="","",IF(AND(H183=5,In!$L$86&lt;&gt;""),In!$L$86*Players!$F$19/1000,H182))</f>
        <v>2</v>
      </c>
      <c r="I185" s="24" t="n">
        <f aca="false">IF(I182="","",IF(AND(I183=5,In!$M$86&lt;&gt;""),In!$M$86*Players!$F$19/1000,I182))</f>
        <v>2</v>
      </c>
      <c r="J185" s="24" t="n">
        <f aca="false">IF(J182="","",IF(AND(J183=5,In!$N$86&lt;&gt;""),In!$N$86*Players!$F$19/1000,J182))</f>
        <v>2</v>
      </c>
      <c r="K185" s="24" t="n">
        <f aca="false">IF(K182="","",IF(AND(K183=5,In!$O$86&lt;&gt;""),In!$O$86*Players!$F$19/1000,K182))</f>
        <v>2</v>
      </c>
      <c r="L185" s="24" t="n">
        <f aca="false">IF(L182="","",IF(AND(L183=5,In!$P$86&lt;&gt;""),In!$P$86*Players!$F$19/1000,L182))</f>
        <v>2</v>
      </c>
      <c r="M185" s="24" t="n">
        <f aca="false">IF(M182="","",IF(AND(M183=5,In!$Q$86&lt;&gt;""),In!$Q$86*Players!$F$19/1000,M182))</f>
        <v>2</v>
      </c>
    </row>
    <row r="186" customFormat="false" ht="17.15" hidden="false" customHeight="false" outlineLevel="0" collapsed="false">
      <c r="A186" s="5" t="s">
        <v>870</v>
      </c>
      <c r="B186" s="0" t="s">
        <v>1028</v>
      </c>
      <c r="C186" s="0" t="s">
        <v>75</v>
      </c>
      <c r="D186" s="24" t="str">
        <f aca="false">IF(D182="","",IF(In!$C$96="未說明",D182/D$13,D182))</f>
        <v/>
      </c>
      <c r="E186" s="24" t="str">
        <f aca="false">IF(E182="","",IF(In!$C$96="未說明",E182/E$13,E182))</f>
        <v/>
      </c>
      <c r="F186" s="24" t="n">
        <f aca="false">IF(F182="","",IF(In!$C$96="未說明",F182/F$13,F182))</f>
        <v>0.474833333333333</v>
      </c>
      <c r="G186" s="24" t="n">
        <f aca="false">IF(G182="","",IF(In!$C$96="未說明",G182/G$13,G182))</f>
        <v>1.66666666666667</v>
      </c>
      <c r="H186" s="24" t="n">
        <f aca="false">IF(H182="","",IF(In!$C$96="未說明",H182/H$13,H182))</f>
        <v>1.66666666666667</v>
      </c>
      <c r="I186" s="24" t="n">
        <f aca="false">IF(I182="","",IF(In!$C$96="未說明",I182/I$13,I182))</f>
        <v>1.66666666666667</v>
      </c>
      <c r="J186" s="24" t="n">
        <f aca="false">IF(J182="","",IF(In!$C$96="未說明",J182/J$13,J182))</f>
        <v>1.66666666666667</v>
      </c>
      <c r="K186" s="24" t="n">
        <f aca="false">IF(K182="","",IF(In!$C$96="未說明",K182/K$13,K182))</f>
        <v>1.66666666666667</v>
      </c>
      <c r="L186" s="24" t="n">
        <f aca="false">IF(L182="","",IF(In!$C$96="未說明",L182/L$13,L182))</f>
        <v>1.66666666666667</v>
      </c>
      <c r="M186" s="24" t="n">
        <f aca="false">IF(M182="","",IF(In!$C$96="未說明",M182/M$13,M182))</f>
        <v>1.66666666666667</v>
      </c>
    </row>
    <row r="187" customFormat="false" ht="17.15" hidden="false" customHeight="false" outlineLevel="0" collapsed="false">
      <c r="A187" s="5" t="s">
        <v>872</v>
      </c>
      <c r="B187" s="0" t="s">
        <v>1029</v>
      </c>
      <c r="C187" s="0" t="s">
        <v>75</v>
      </c>
      <c r="D187" s="0" t="str">
        <f aca="false">""</f>
        <v/>
      </c>
      <c r="E187" s="24" t="str">
        <f aca="false">IF(AND(D182&lt;&gt;"",E182&lt;&gt;""),(D182+E182)/2,"")</f>
        <v/>
      </c>
      <c r="F187" s="24" t="str">
        <f aca="false">IF(AND(E182&lt;&gt;"",F182&lt;&gt;""),(E182+F182)/2,"")</f>
        <v/>
      </c>
      <c r="G187" s="24" t="n">
        <f aca="false">IF(AND(F182&lt;&gt;"",G182&lt;&gt;""),(F182+G182)/2,"")</f>
        <v>1.2849</v>
      </c>
      <c r="H187" s="24" t="n">
        <f aca="false">IF(AND(G182&lt;&gt;"",H182&lt;&gt;""),(G182+H182)/2,"")</f>
        <v>2</v>
      </c>
      <c r="I187" s="24" t="n">
        <f aca="false">IF(AND(H182&lt;&gt;"",I182&lt;&gt;""),(H182+I182)/2,"")</f>
        <v>2</v>
      </c>
      <c r="J187" s="24" t="n">
        <f aca="false">IF(AND(I182&lt;&gt;"",J182&lt;&gt;""),(I182+J182)/2,"")</f>
        <v>2</v>
      </c>
      <c r="K187" s="24" t="n">
        <f aca="false">IF(AND(J182&lt;&gt;"",K182&lt;&gt;""),(J182+K182)/2,"")</f>
        <v>2</v>
      </c>
      <c r="L187" s="24" t="n">
        <f aca="false">IF(AND(K182&lt;&gt;"",L182&lt;&gt;""),(K182+L182)/2,"")</f>
        <v>2</v>
      </c>
      <c r="M187" s="24" t="n">
        <f aca="false">IF(AND(L182&lt;&gt;"",M182&lt;&gt;""),(L182+M182)/2,"")</f>
        <v>2</v>
      </c>
    </row>
    <row r="188" customFormat="false" ht="17.15" hidden="false" customHeight="false" outlineLevel="0" collapsed="false">
      <c r="A188" s="5" t="s">
        <v>874</v>
      </c>
      <c r="B188" s="0" t="s">
        <v>1030</v>
      </c>
      <c r="C188" s="0" t="s">
        <v>75</v>
      </c>
      <c r="D188" s="0" t="n">
        <v>0</v>
      </c>
      <c r="E188" s="24" t="n">
        <f aca="false">IF(AND(D182&lt;&gt;"",E182&lt;&gt;""),E182-D182,0)</f>
        <v>0</v>
      </c>
      <c r="F188" s="24" t="n">
        <f aca="false">IF(AND(E182&lt;&gt;"",F182&lt;&gt;""),F182-E182,0)</f>
        <v>0</v>
      </c>
      <c r="G188" s="24" t="n">
        <f aca="false">IF(AND(F182&lt;&gt;"",G182&lt;&gt;""),G182-F182,0)</f>
        <v>1.4302</v>
      </c>
      <c r="H188" s="24" t="n">
        <f aca="false">IF(AND(G182&lt;&gt;"",H182&lt;&gt;""),H182-G182,0)</f>
        <v>0</v>
      </c>
      <c r="I188" s="24" t="n">
        <f aca="false">IF(AND(H182&lt;&gt;"",I182&lt;&gt;""),I182-H182,0)</f>
        <v>0</v>
      </c>
      <c r="J188" s="24" t="n">
        <f aca="false">IF(AND(I182&lt;&gt;"",J182&lt;&gt;""),J182-I182,0)</f>
        <v>0</v>
      </c>
      <c r="K188" s="24" t="n">
        <f aca="false">IF(AND(J182&lt;&gt;"",K182&lt;&gt;""),K182-J182,0)</f>
        <v>0</v>
      </c>
      <c r="L188" s="24" t="n">
        <f aca="false">IF(AND(K182&lt;&gt;"",L182&lt;&gt;""),L182-K182,0)</f>
        <v>0</v>
      </c>
      <c r="M188" s="24" t="n">
        <f aca="false">IF(AND(L182&lt;&gt;"",M182&lt;&gt;""),M182-L182,0)</f>
        <v>0</v>
      </c>
    </row>
    <row r="189" customFormat="false" ht="17.15" hidden="false" customHeight="false" outlineLevel="0" collapsed="false">
      <c r="A189" s="5" t="s">
        <v>876</v>
      </c>
      <c r="B189" s="0" t="s">
        <v>1031</v>
      </c>
      <c r="C189" s="0" t="s">
        <v>75</v>
      </c>
      <c r="D189" s="24" t="n">
        <f aca="false">IF(D182&lt;&gt;"",D182,0)</f>
        <v>0</v>
      </c>
      <c r="E189" s="24" t="n">
        <f aca="false">IF(AND(D182="",E182&lt;&gt;""),E182,0)</f>
        <v>0</v>
      </c>
      <c r="F189" s="24" t="n">
        <f aca="false">IF(AND(E182="",F182&lt;&gt;""),F182,0)</f>
        <v>0.5698</v>
      </c>
      <c r="G189" s="24" t="n">
        <f aca="false">IF(AND(F182="",G182&lt;&gt;""),G182,0)</f>
        <v>0</v>
      </c>
      <c r="H189" s="24" t="n">
        <f aca="false">IF(AND(G182="",H182&lt;&gt;""),H182,0)</f>
        <v>0</v>
      </c>
      <c r="I189" s="24" t="n">
        <f aca="false">IF(AND(H182="",I182&lt;&gt;""),I182,0)</f>
        <v>0</v>
      </c>
      <c r="J189" s="24" t="n">
        <f aca="false">IF(AND(I182="",J182&lt;&gt;""),J182,0)</f>
        <v>0</v>
      </c>
      <c r="K189" s="24" t="n">
        <f aca="false">IF(AND(J182="",K182&lt;&gt;""),K182,0)</f>
        <v>0</v>
      </c>
      <c r="L189" s="24" t="n">
        <f aca="false">IF(AND(K182="",L182&lt;&gt;""),L182,0)</f>
        <v>0</v>
      </c>
      <c r="M189" s="24" t="n">
        <f aca="false">IF(AND(L182="",M182&lt;&gt;""),M182,0)</f>
        <v>0</v>
      </c>
    </row>
    <row r="190" customFormat="false" ht="17.15" hidden="false" customHeight="false" outlineLevel="0" collapsed="false">
      <c r="A190" s="5" t="s">
        <v>878</v>
      </c>
      <c r="B190" s="0" t="s">
        <v>1032</v>
      </c>
      <c r="C190" s="0" t="s">
        <v>50</v>
      </c>
      <c r="D190" s="23" t="n">
        <f aca="false">nnv_xai</f>
        <v>0</v>
      </c>
      <c r="E190" s="23" t="n">
        <f aca="false">nnv_xai</f>
        <v>0</v>
      </c>
      <c r="F190" s="23" t="n">
        <f aca="false">nnv_xai</f>
        <v>0</v>
      </c>
      <c r="G190" s="23" t="n">
        <f aca="false">nnv_xai</f>
        <v>0</v>
      </c>
      <c r="H190" s="23" t="n">
        <f aca="false">nnv_xai</f>
        <v>0</v>
      </c>
      <c r="I190" s="23" t="n">
        <f aca="false">nnv_xai</f>
        <v>0</v>
      </c>
      <c r="J190" s="23" t="n">
        <f aca="false">nnv_xai</f>
        <v>0</v>
      </c>
      <c r="K190" s="23" t="n">
        <f aca="false">nnv_xai</f>
        <v>0</v>
      </c>
      <c r="L190" s="23" t="n">
        <f aca="false">nnv_xai</f>
        <v>0</v>
      </c>
      <c r="M190" s="23" t="n">
        <f aca="false">nnv_xai</f>
        <v>0</v>
      </c>
    </row>
    <row r="192" customFormat="false" ht="17.15" hidden="false" customHeight="false" outlineLevel="0" collapsed="false">
      <c r="A192" s="8" t="s">
        <v>1033</v>
      </c>
      <c r="B192" s="20" t="s">
        <v>466</v>
      </c>
      <c r="N192" s="20" t="s">
        <v>1034</v>
      </c>
    </row>
    <row r="193" customFormat="false" ht="17.15" hidden="false" customHeight="false" outlineLevel="0" collapsed="false">
      <c r="A193" s="5" t="s">
        <v>846</v>
      </c>
      <c r="B193" s="0" t="s">
        <v>1035</v>
      </c>
      <c r="C193" s="0" t="s">
        <v>75</v>
      </c>
      <c r="D193" s="24" t="str">
        <f aca="false">IF(In!$H$97="","",IF(In!$C$97="設施",In!$H$97/1000/D$13,In!$H$97/1000))</f>
        <v/>
      </c>
      <c r="E193" s="24" t="str">
        <f aca="false">IF(In!$I$97="","",IF(In!$C$97="設施",In!$I$97/1000/E$13,In!$I$97/1000))</f>
        <v/>
      </c>
      <c r="F193" s="24" t="n">
        <f aca="false">IF(In!$J$97="","",IF(In!$C$97="設施",In!$J$97/1000/F$13,In!$J$97/1000))</f>
        <v>0</v>
      </c>
      <c r="G193" s="24" t="str">
        <f aca="false">IF(In!$K$97="","",IF(In!$C$97="設施",In!$K$97/1000/G$13,In!$K$97/1000))</f>
        <v/>
      </c>
      <c r="H193" s="24" t="str">
        <f aca="false">IF(In!$L$97="","",IF(In!$C$97="設施",In!$L$97/1000/H$13,In!$L$97/1000))</f>
        <v/>
      </c>
      <c r="I193" s="24" t="str">
        <f aca="false">IF(In!$M$97="","",IF(In!$C$97="設施",In!$M$97/1000/I$13,In!$M$97/1000))</f>
        <v/>
      </c>
      <c r="J193" s="24" t="str">
        <f aca="false">IF(In!$N$97="","",IF(In!$C$97="設施",In!$N$97/1000/J$13,In!$N$97/1000))</f>
        <v/>
      </c>
      <c r="K193" s="24" t="str">
        <f aca="false">IF(In!$O$97="","",IF(In!$C$97="設施",In!$O$97/1000/K$13,In!$O$97/1000))</f>
        <v/>
      </c>
      <c r="L193" s="24" t="str">
        <f aca="false">IF(In!$P$97="","",IF(In!$C$97="設施",In!$P$97/1000/L$13,In!$P$97/1000))</f>
        <v/>
      </c>
      <c r="M193" s="24" t="str">
        <f aca="false">IF(In!$Q$97="","",IF(In!$C$97="設施",In!$Q$97/1000/M$13,In!$Q$97/1000))</f>
        <v/>
      </c>
    </row>
    <row r="194" customFormat="false" ht="17.15" hidden="false" customHeight="false" outlineLevel="0" collapsed="false">
      <c r="A194" s="5" t="s">
        <v>848</v>
      </c>
      <c r="B194" s="0" t="s">
        <v>1036</v>
      </c>
      <c r="C194" s="0" t="s">
        <v>75</v>
      </c>
      <c r="D194" s="0" t="str">
        <f aca="false">""</f>
        <v/>
      </c>
      <c r="E194" s="0" t="str">
        <f aca="false">""</f>
        <v/>
      </c>
      <c r="F194" s="0" t="str">
        <f aca="false">""</f>
        <v/>
      </c>
      <c r="G194" s="0" t="str">
        <f aca="false">""</f>
        <v/>
      </c>
      <c r="H194" s="0" t="str">
        <f aca="false">""</f>
        <v/>
      </c>
      <c r="I194" s="0" t="str">
        <f aca="false">""</f>
        <v/>
      </c>
      <c r="J194" s="0" t="str">
        <f aca="false">""</f>
        <v/>
      </c>
      <c r="K194" s="0" t="str">
        <f aca="false">""</f>
        <v/>
      </c>
      <c r="L194" s="0" t="str">
        <f aca="false">""</f>
        <v/>
      </c>
      <c r="M194" s="0" t="str">
        <f aca="false">""</f>
        <v/>
      </c>
    </row>
    <row r="195" customFormat="false" ht="15" hidden="false" customHeight="false" outlineLevel="0" collapsed="false">
      <c r="A195" s="5" t="s">
        <v>850</v>
      </c>
      <c r="B195" s="0" t="s">
        <v>1037</v>
      </c>
      <c r="C195" s="0" t="s">
        <v>75</v>
      </c>
      <c r="D195" s="0" t="str">
        <f aca="false">IF(D193&lt;&gt;"",D193,IF(D194&lt;&gt;"",D194,""))</f>
        <v/>
      </c>
      <c r="E195" s="0" t="str">
        <f aca="false">IF(E193&lt;&gt;"",E193,IF(E194&lt;&gt;"",E194,""))</f>
        <v/>
      </c>
      <c r="F195" s="24" t="n">
        <f aca="false">IF(F193&lt;&gt;"",F193,IF(F194&lt;&gt;"",F194,""))</f>
        <v>0</v>
      </c>
      <c r="G195" s="0" t="str">
        <f aca="false">IF(G193&lt;&gt;"",G193,IF(G194&lt;&gt;"",G194,""))</f>
        <v/>
      </c>
      <c r="H195" s="0" t="str">
        <f aca="false">IF(H193&lt;&gt;"",H193,IF(H194&lt;&gt;"",H194,""))</f>
        <v/>
      </c>
      <c r="I195" s="0" t="str">
        <f aca="false">IF(I193&lt;&gt;"",I193,IF(I194&lt;&gt;"",I194,""))</f>
        <v/>
      </c>
      <c r="J195" s="0" t="str">
        <f aca="false">IF(J193&lt;&gt;"",J193,IF(J194&lt;&gt;"",J194,""))</f>
        <v/>
      </c>
      <c r="K195" s="0" t="str">
        <f aca="false">IF(K193&lt;&gt;"",K193,IF(K194&lt;&gt;"",K194,""))</f>
        <v/>
      </c>
      <c r="L195" s="0" t="str">
        <f aca="false">IF(L193&lt;&gt;"",L193,IF(L194&lt;&gt;"",L194,""))</f>
        <v/>
      </c>
      <c r="M195" s="0" t="str">
        <f aca="false">IF(M193&lt;&gt;"",M193,IF(M194&lt;&gt;"",M194,""))</f>
        <v/>
      </c>
    </row>
    <row r="196" customFormat="false" ht="15" hidden="false" customHeight="false" outlineLevel="0" collapsed="false">
      <c r="A196" s="5" t="s">
        <v>852</v>
      </c>
      <c r="B196" s="0" t="s">
        <v>1038</v>
      </c>
      <c r="C196" s="0" t="s">
        <v>75</v>
      </c>
      <c r="D196" s="0" t="str">
        <f aca="false">IF(D195&lt;&gt;"",D195,"")</f>
        <v/>
      </c>
      <c r="E196" s="0" t="str">
        <f aca="false">IF(E195&lt;&gt;"",E195,D196)</f>
        <v/>
      </c>
      <c r="F196" s="24" t="n">
        <f aca="false">IF(F195&lt;&gt;"",F195,E196)</f>
        <v>0</v>
      </c>
      <c r="G196" s="24" t="n">
        <f aca="false">IF(G195&lt;&gt;"",G195,F196)</f>
        <v>0</v>
      </c>
      <c r="H196" s="24" t="n">
        <f aca="false">IF(H195&lt;&gt;"",H195,G196)</f>
        <v>0</v>
      </c>
      <c r="I196" s="24" t="n">
        <f aca="false">IF(I195&lt;&gt;"",I195,H196)</f>
        <v>0</v>
      </c>
      <c r="J196" s="24" t="n">
        <f aca="false">IF(J195&lt;&gt;"",J195,I196)</f>
        <v>0</v>
      </c>
      <c r="K196" s="24" t="n">
        <f aca="false">IF(K195&lt;&gt;"",K195,J196)</f>
        <v>0</v>
      </c>
      <c r="L196" s="24" t="n">
        <f aca="false">IF(L195&lt;&gt;"",L195,K196)</f>
        <v>0</v>
      </c>
      <c r="M196" s="24" t="n">
        <f aca="false">IF(M195&lt;&gt;"",M195,L196)</f>
        <v>0</v>
      </c>
    </row>
    <row r="197" customFormat="false" ht="15" hidden="false" customHeight="false" outlineLevel="0" collapsed="false">
      <c r="A197" s="5" t="s">
        <v>854</v>
      </c>
      <c r="B197" s="0" t="s">
        <v>1039</v>
      </c>
      <c r="C197" s="5" t="s">
        <v>45</v>
      </c>
      <c r="D197" s="0" t="str">
        <f aca="false">IF(D195&lt;&gt;"",2023,"")</f>
        <v/>
      </c>
      <c r="E197" s="0" t="str">
        <f aca="false">IF(E195&lt;&gt;"",2024,D197)</f>
        <v/>
      </c>
      <c r="F197" s="0" t="n">
        <f aca="false">IF(F195&lt;&gt;"",2025,E197)</f>
        <v>2025</v>
      </c>
      <c r="G197" s="0" t="n">
        <f aca="false">IF(G195&lt;&gt;"",2026,F197)</f>
        <v>2025</v>
      </c>
      <c r="H197" s="0" t="n">
        <f aca="false">IF(H195&lt;&gt;"",2027,G197)</f>
        <v>2025</v>
      </c>
      <c r="I197" s="0" t="n">
        <f aca="false">IF(I195&lt;&gt;"",2028,H197)</f>
        <v>2025</v>
      </c>
      <c r="J197" s="0" t="n">
        <f aca="false">IF(J195&lt;&gt;"",2029,I197)</f>
        <v>2025</v>
      </c>
      <c r="K197" s="0" t="n">
        <f aca="false">IF(K195&lt;&gt;"",2030,J197)</f>
        <v>2025</v>
      </c>
      <c r="L197" s="0" t="n">
        <f aca="false">IF(L195&lt;&gt;"",2031,K197)</f>
        <v>2025</v>
      </c>
      <c r="M197" s="0" t="n">
        <f aca="false">IF(M195&lt;&gt;"",2032,L197)</f>
        <v>2025</v>
      </c>
    </row>
    <row r="198" customFormat="false" ht="15" hidden="false" customHeight="false" outlineLevel="0" collapsed="false">
      <c r="A198" s="5" t="s">
        <v>856</v>
      </c>
      <c r="B198" s="0" t="s">
        <v>1040</v>
      </c>
      <c r="C198" s="0" t="s">
        <v>75</v>
      </c>
      <c r="D198" s="24" t="n">
        <f aca="false">IF(D195&lt;&gt;"",D195,E198)</f>
        <v>0</v>
      </c>
      <c r="E198" s="24" t="n">
        <f aca="false">IF(E195&lt;&gt;"",E195,F198)</f>
        <v>0</v>
      </c>
      <c r="F198" s="24" t="n">
        <f aca="false">IF(F195&lt;&gt;"",F195,G198)</f>
        <v>0</v>
      </c>
      <c r="G198" s="0" t="str">
        <f aca="false">IF(G195&lt;&gt;"",G195,H198)</f>
        <v/>
      </c>
      <c r="H198" s="0" t="str">
        <f aca="false">IF(H195&lt;&gt;"",H195,I198)</f>
        <v/>
      </c>
      <c r="I198" s="0" t="str">
        <f aca="false">IF(I195&lt;&gt;"",I195,J198)</f>
        <v/>
      </c>
      <c r="J198" s="0" t="str">
        <f aca="false">IF(J195&lt;&gt;"",J195,K198)</f>
        <v/>
      </c>
      <c r="K198" s="0" t="str">
        <f aca="false">IF(K195&lt;&gt;"",K195,L198)</f>
        <v/>
      </c>
      <c r="L198" s="0" t="str">
        <f aca="false">IF(L195&lt;&gt;"",L195,M198)</f>
        <v/>
      </c>
      <c r="M198" s="0" t="str">
        <f aca="false">IF(M195&lt;&gt;"",M195,"")</f>
        <v/>
      </c>
    </row>
    <row r="199" customFormat="false" ht="15" hidden="false" customHeight="false" outlineLevel="0" collapsed="false">
      <c r="A199" s="5" t="s">
        <v>858</v>
      </c>
      <c r="B199" s="0" t="s">
        <v>1041</v>
      </c>
      <c r="C199" s="5" t="s">
        <v>45</v>
      </c>
      <c r="D199" s="0" t="n">
        <f aca="false">IF(D195&lt;&gt;"",2023,E199)</f>
        <v>2025</v>
      </c>
      <c r="E199" s="0" t="n">
        <f aca="false">IF(E195&lt;&gt;"",2024,F199)</f>
        <v>2025</v>
      </c>
      <c r="F199" s="0" t="n">
        <f aca="false">IF(F195&lt;&gt;"",2025,G199)</f>
        <v>2025</v>
      </c>
      <c r="G199" s="0" t="str">
        <f aca="false">IF(G195&lt;&gt;"",2026,H199)</f>
        <v/>
      </c>
      <c r="H199" s="0" t="str">
        <f aca="false">IF(H195&lt;&gt;"",2027,I199)</f>
        <v/>
      </c>
      <c r="I199" s="0" t="str">
        <f aca="false">IF(I195&lt;&gt;"",2028,J199)</f>
        <v/>
      </c>
      <c r="J199" s="0" t="str">
        <f aca="false">IF(J195&lt;&gt;"",2029,K199)</f>
        <v/>
      </c>
      <c r="K199" s="0" t="str">
        <f aca="false">IF(K195&lt;&gt;"",2030,L199)</f>
        <v/>
      </c>
      <c r="L199" s="0" t="str">
        <f aca="false">IF(L195&lt;&gt;"",2031,M199)</f>
        <v/>
      </c>
      <c r="M199" s="0" t="str">
        <f aca="false">IF(M195&lt;&gt;"",2032,"")</f>
        <v/>
      </c>
    </row>
    <row r="200" customFormat="false" ht="17.15" hidden="false" customHeight="false" outlineLevel="0" collapsed="false">
      <c r="A200" s="5" t="s">
        <v>860</v>
      </c>
      <c r="B200" s="0" t="s">
        <v>1042</v>
      </c>
      <c r="C200" s="0" t="s">
        <v>75</v>
      </c>
      <c r="D200" s="24" t="n">
        <f aca="false">SUMIFS(Pipeline!$L$5:$L$47,Pipeline!$C$5:$C$47,"oai",Pipeline!$Q$5:$Q$47,1,Pipeline!$P$5:$P$47,2023)</f>
        <v>0</v>
      </c>
      <c r="E200" s="24" t="n">
        <f aca="false">SUMIFS(Pipeline!$L$5:$L$47,Pipeline!$C$5:$C$47,"oai",Pipeline!$Q$5:$Q$47,1,Pipeline!$P$5:$P$47,2024)</f>
        <v>0</v>
      </c>
      <c r="F200" s="24" t="n">
        <f aca="false">SUMIFS(Pipeline!$L$5:$L$47,Pipeline!$C$5:$C$47,"oai",Pipeline!$Q$5:$Q$47,1,Pipeline!$P$5:$P$47,2025)</f>
        <v>0</v>
      </c>
      <c r="G200" s="24" t="n">
        <f aca="false">SUMIFS(Pipeline!$L$5:$L$47,Pipeline!$C$5:$C$47,"oai",Pipeline!$Q$5:$Q$47,1,Pipeline!$P$5:$P$47,2026)</f>
        <v>0</v>
      </c>
      <c r="H200" s="24" t="n">
        <f aca="false">SUMIFS(Pipeline!$L$5:$L$47,Pipeline!$C$5:$C$47,"oai",Pipeline!$Q$5:$Q$47,1,Pipeline!$P$5:$P$47,2027)</f>
        <v>0</v>
      </c>
      <c r="I200" s="24" t="n">
        <f aca="false">SUMIFS(Pipeline!$L$5:$L$47,Pipeline!$C$5:$C$47,"oai",Pipeline!$Q$5:$Q$47,1,Pipeline!$P$5:$P$47,2028)</f>
        <v>1.417</v>
      </c>
      <c r="J200" s="24" t="n">
        <f aca="false">SUMIFS(Pipeline!$L$5:$L$47,Pipeline!$C$5:$C$47,"oai",Pipeline!$Q$5:$Q$47,1,Pipeline!$P$5:$P$47,2029)</f>
        <v>1.417</v>
      </c>
      <c r="K200" s="24" t="n">
        <f aca="false">SUMIFS(Pipeline!$L$5:$L$47,Pipeline!$C$5:$C$47,"oai",Pipeline!$Q$5:$Q$47,1,Pipeline!$P$5:$P$47,2030)</f>
        <v>1.416</v>
      </c>
      <c r="L200" s="24" t="n">
        <f aca="false">SUMIFS(Pipeline!$L$5:$L$47,Pipeline!$C$5:$C$47,"oai",Pipeline!$Q$5:$Q$47,1,Pipeline!$P$5:$P$47,2031)</f>
        <v>0</v>
      </c>
      <c r="M200" s="24" t="n">
        <f aca="false">SUMIFS(Pipeline!$L$5:$L$47,Pipeline!$C$5:$C$47,"oai",Pipeline!$Q$5:$Q$47,1,Pipeline!$P$5:$P$47,2032)</f>
        <v>0</v>
      </c>
    </row>
    <row r="201" customFormat="false" ht="17.15" hidden="false" customHeight="false" outlineLevel="0" collapsed="false">
      <c r="A201" s="5" t="s">
        <v>862</v>
      </c>
      <c r="B201" s="0" t="s">
        <v>1043</v>
      </c>
      <c r="C201" s="0" t="s">
        <v>75</v>
      </c>
      <c r="D201" s="25" t="str">
        <f aca="false">IF(D195&lt;&gt;"",D195,IF(AND(D196&lt;&gt;"",D198&lt;&gt;""),D196+(D198-D196)*(2023-D197)/(D199-D197),""))</f>
        <v/>
      </c>
      <c r="E201" s="25" t="str">
        <f aca="false">IF(E195&lt;&gt;"",E195,IF(AND(E196&lt;&gt;"",E198&lt;&gt;""),E196+(E198-E196)*(2024-E197)/(E199-E197),IF(D201&lt;&gt;"",D201+E200,"")))</f>
        <v/>
      </c>
      <c r="F201" s="25" t="n">
        <f aca="false">IF(F195&lt;&gt;"",F195,IF(AND(F196&lt;&gt;"",F198&lt;&gt;""),F196+(F198-F196)*(2025-F197)/(F199-F197),IF(E201&lt;&gt;"",E201+F200,"")))</f>
        <v>0</v>
      </c>
      <c r="G201" s="25" t="n">
        <f aca="false">IF(G195&lt;&gt;"",G195,IF(AND(G196&lt;&gt;"",G198&lt;&gt;""),G196+(G198-G196)*(2026-G197)/(G199-G197),IF(F201&lt;&gt;"",F201+G200,"")))</f>
        <v>0</v>
      </c>
      <c r="H201" s="25" t="n">
        <f aca="false">IF(H195&lt;&gt;"",H195,IF(AND(H196&lt;&gt;"",H198&lt;&gt;""),H196+(H198-H196)*(2027-H197)/(H199-H197),IF(G201&lt;&gt;"",G201+H200,"")))</f>
        <v>0</v>
      </c>
      <c r="I201" s="25" t="n">
        <f aca="false">IF(I195&lt;&gt;"",I195,IF(AND(I196&lt;&gt;"",I198&lt;&gt;""),I196+(I198-I196)*(2028-I197)/(I199-I197),IF(H201&lt;&gt;"",H201+I200,"")))</f>
        <v>1.417</v>
      </c>
      <c r="J201" s="25" t="n">
        <f aca="false">IF(J195&lt;&gt;"",J195,IF(AND(J196&lt;&gt;"",J198&lt;&gt;""),J196+(J198-J196)*(2029-J197)/(J199-J197),IF(I201&lt;&gt;"",I201+J200,"")))</f>
        <v>2.834</v>
      </c>
      <c r="K201" s="25" t="n">
        <f aca="false">IF(K195&lt;&gt;"",K195,IF(AND(K196&lt;&gt;"",K198&lt;&gt;""),K196+(K198-K196)*(2030-K197)/(K199-K197),IF(J201&lt;&gt;"",J201+K200,"")))</f>
        <v>4.25</v>
      </c>
      <c r="L201" s="25" t="n">
        <f aca="false">IF(L195&lt;&gt;"",L195,IF(AND(L196&lt;&gt;"",L198&lt;&gt;""),L196+(L198-L196)*(2031-L197)/(L199-L197),IF(K201&lt;&gt;"",K201+L200,"")))</f>
        <v>4.25</v>
      </c>
      <c r="M201" s="25" t="n">
        <f aca="false">IF(M195&lt;&gt;"",M195,IF(AND(M196&lt;&gt;"",M198&lt;&gt;""),M196+(M198-M196)*(2032-M197)/(M199-M197),IF(L201&lt;&gt;"",L201+M200,"")))</f>
        <v>4.25</v>
      </c>
    </row>
    <row r="202" customFormat="false" ht="15" hidden="false" customHeight="false" outlineLevel="0" collapsed="false">
      <c r="A202" s="5" t="s">
        <v>864</v>
      </c>
      <c r="B202" s="0" t="s">
        <v>1044</v>
      </c>
      <c r="C202" s="0" t="s">
        <v>33</v>
      </c>
      <c r="D202" s="0" t="n">
        <f aca="false">IF(D193&lt;&gt;"",1,IF(D194&lt;&gt;"",5,IF(D195&lt;&gt;"",2,IF(AND(D196&lt;&gt;"",D198&lt;&gt;""),3,IF(D201&lt;&gt;"",4,0)))))</f>
        <v>0</v>
      </c>
      <c r="E202" s="0" t="n">
        <f aca="false">IF(E193&lt;&gt;"",1,IF(E194&lt;&gt;"",5,IF(E195&lt;&gt;"",2,IF(AND(E196&lt;&gt;"",E198&lt;&gt;""),3,IF(E201&lt;&gt;"",4,0)))))</f>
        <v>0</v>
      </c>
      <c r="F202" s="0" t="n">
        <f aca="false">IF(F193&lt;&gt;"",1,IF(F194&lt;&gt;"",5,IF(F195&lt;&gt;"",2,IF(AND(F196&lt;&gt;"",F198&lt;&gt;""),3,IF(F201&lt;&gt;"",4,0)))))</f>
        <v>1</v>
      </c>
      <c r="G202" s="0" t="n">
        <f aca="false">IF(G193&lt;&gt;"",1,IF(G194&lt;&gt;"",5,IF(G195&lt;&gt;"",2,IF(AND(G196&lt;&gt;"",G198&lt;&gt;""),3,IF(G201&lt;&gt;"",4,0)))))</f>
        <v>4</v>
      </c>
      <c r="H202" s="0" t="n">
        <f aca="false">IF(H193&lt;&gt;"",1,IF(H194&lt;&gt;"",5,IF(H195&lt;&gt;"",2,IF(AND(H196&lt;&gt;"",H198&lt;&gt;""),3,IF(H201&lt;&gt;"",4,0)))))</f>
        <v>4</v>
      </c>
      <c r="I202" s="0" t="n">
        <f aca="false">IF(I193&lt;&gt;"",1,IF(I194&lt;&gt;"",5,IF(I195&lt;&gt;"",2,IF(AND(I196&lt;&gt;"",I198&lt;&gt;""),3,IF(I201&lt;&gt;"",4,0)))))</f>
        <v>4</v>
      </c>
      <c r="J202" s="0" t="n">
        <f aca="false">IF(J193&lt;&gt;"",1,IF(J194&lt;&gt;"",5,IF(J195&lt;&gt;"",2,IF(AND(J196&lt;&gt;"",J198&lt;&gt;""),3,IF(J201&lt;&gt;"",4,0)))))</f>
        <v>4</v>
      </c>
      <c r="K202" s="0" t="n">
        <f aca="false">IF(K193&lt;&gt;"",1,IF(K194&lt;&gt;"",5,IF(K195&lt;&gt;"",2,IF(AND(K196&lt;&gt;"",K198&lt;&gt;""),3,IF(K201&lt;&gt;"",4,0)))))</f>
        <v>4</v>
      </c>
      <c r="L202" s="0" t="n">
        <f aca="false">IF(L193&lt;&gt;"",1,IF(L194&lt;&gt;"",5,IF(L195&lt;&gt;"",2,IF(AND(L196&lt;&gt;"",L198&lt;&gt;""),3,IF(L201&lt;&gt;"",4,0)))))</f>
        <v>4</v>
      </c>
      <c r="M202" s="0" t="n">
        <f aca="false">IF(M193&lt;&gt;"",1,IF(M194&lt;&gt;"",5,IF(M195&lt;&gt;"",2,IF(AND(M196&lt;&gt;"",M198&lt;&gt;""),3,IF(M201&lt;&gt;"",4,0)))))</f>
        <v>4</v>
      </c>
    </row>
    <row r="203" customFormat="false" ht="17.15" hidden="false" customHeight="false" outlineLevel="0" collapsed="false">
      <c r="A203" s="5" t="s">
        <v>866</v>
      </c>
      <c r="B203" s="0" t="s">
        <v>1045</v>
      </c>
      <c r="C203" s="0" t="s">
        <v>75</v>
      </c>
      <c r="D203" s="24" t="str">
        <f aca="false">IF(D201="","",D201)</f>
        <v/>
      </c>
      <c r="E203" s="24" t="str">
        <f aca="false">IF(E201="","",E201)</f>
        <v/>
      </c>
      <c r="F203" s="24" t="n">
        <f aca="false">IF(F201="","",F201)</f>
        <v>0</v>
      </c>
      <c r="G203" s="24" t="n">
        <f aca="false">IF(G201="","",G201)</f>
        <v>0</v>
      </c>
      <c r="H203" s="24" t="n">
        <f aca="false">IF(H201="","",H201)</f>
        <v>0</v>
      </c>
      <c r="I203" s="24" t="n">
        <f aca="false">IF(I201="","",I201)</f>
        <v>1.417</v>
      </c>
      <c r="J203" s="24" t="n">
        <f aca="false">IF(J201="","",J201)</f>
        <v>2.834</v>
      </c>
      <c r="K203" s="24" t="n">
        <f aca="false">IF(K201="","",K201)</f>
        <v>4.25</v>
      </c>
      <c r="L203" s="24" t="n">
        <f aca="false">IF(L201="","",L201)</f>
        <v>4.25</v>
      </c>
      <c r="M203" s="24" t="n">
        <f aca="false">IF(M201="","",M201)</f>
        <v>4.25</v>
      </c>
    </row>
    <row r="204" customFormat="false" ht="17.15" hidden="false" customHeight="false" outlineLevel="0" collapsed="false">
      <c r="A204" s="5" t="s">
        <v>868</v>
      </c>
      <c r="B204" s="0" t="s">
        <v>1046</v>
      </c>
      <c r="C204" s="0" t="s">
        <v>75</v>
      </c>
      <c r="D204" s="24" t="str">
        <f aca="false">IF(D201="","",D201)</f>
        <v/>
      </c>
      <c r="E204" s="24" t="str">
        <f aca="false">IF(E201="","",E201)</f>
        <v/>
      </c>
      <c r="F204" s="24" t="n">
        <f aca="false">IF(F201="","",F201)</f>
        <v>0</v>
      </c>
      <c r="G204" s="24" t="n">
        <f aca="false">IF(G201="","",G201)</f>
        <v>0</v>
      </c>
      <c r="H204" s="24" t="n">
        <f aca="false">IF(H201="","",H201)</f>
        <v>0</v>
      </c>
      <c r="I204" s="24" t="n">
        <f aca="false">IF(I201="","",I201)</f>
        <v>1.417</v>
      </c>
      <c r="J204" s="24" t="n">
        <f aca="false">IF(J201="","",J201)</f>
        <v>2.834</v>
      </c>
      <c r="K204" s="24" t="n">
        <f aca="false">IF(K201="","",K201)</f>
        <v>4.25</v>
      </c>
      <c r="L204" s="24" t="n">
        <f aca="false">IF(L201="","",L201)</f>
        <v>4.25</v>
      </c>
      <c r="M204" s="24" t="n">
        <f aca="false">IF(M201="","",M201)</f>
        <v>4.25</v>
      </c>
    </row>
    <row r="205" customFormat="false" ht="17.15" hidden="false" customHeight="false" outlineLevel="0" collapsed="false">
      <c r="A205" s="5" t="s">
        <v>870</v>
      </c>
      <c r="B205" s="0" t="s">
        <v>1047</v>
      </c>
      <c r="C205" s="0" t="s">
        <v>75</v>
      </c>
      <c r="D205" s="24" t="str">
        <f aca="false">IF(D201="","",IF(In!$C$97="未說明",D201/D$13,D201))</f>
        <v/>
      </c>
      <c r="E205" s="24" t="str">
        <f aca="false">IF(E201="","",IF(In!$C$97="未說明",E201/E$13,E201))</f>
        <v/>
      </c>
      <c r="F205" s="24" t="n">
        <f aca="false">IF(F201="","",IF(In!$C$97="未說明",F201/F$13,F201))</f>
        <v>0</v>
      </c>
      <c r="G205" s="24" t="n">
        <f aca="false">IF(G201="","",IF(In!$C$97="未說明",G201/G$13,G201))</f>
        <v>0</v>
      </c>
      <c r="H205" s="24" t="n">
        <f aca="false">IF(H201="","",IF(In!$C$97="未說明",H201/H$13,H201))</f>
        <v>0</v>
      </c>
      <c r="I205" s="24" t="n">
        <f aca="false">IF(I201="","",IF(In!$C$97="未說明",I201/I$13,I201))</f>
        <v>1.417</v>
      </c>
      <c r="J205" s="24" t="n">
        <f aca="false">IF(J201="","",IF(In!$C$97="未說明",J201/J$13,J201))</f>
        <v>2.834</v>
      </c>
      <c r="K205" s="24" t="n">
        <f aca="false">IF(K201="","",IF(In!$C$97="未說明",K201/K$13,K201))</f>
        <v>4.25</v>
      </c>
      <c r="L205" s="24" t="n">
        <f aca="false">IF(L201="","",IF(In!$C$97="未說明",L201/L$13,L201))</f>
        <v>4.25</v>
      </c>
      <c r="M205" s="24" t="n">
        <f aca="false">IF(M201="","",IF(In!$C$97="未說明",M201/M$13,M201))</f>
        <v>4.25</v>
      </c>
    </row>
    <row r="206" customFormat="false" ht="17.15" hidden="false" customHeight="false" outlineLevel="0" collapsed="false">
      <c r="A206" s="5" t="s">
        <v>872</v>
      </c>
      <c r="B206" s="0" t="s">
        <v>1048</v>
      </c>
      <c r="C206" s="0" t="s">
        <v>75</v>
      </c>
      <c r="D206" s="0" t="str">
        <f aca="false">""</f>
        <v/>
      </c>
      <c r="E206" s="24" t="str">
        <f aca="false">IF(AND(D201&lt;&gt;"",E201&lt;&gt;""),(D201+E201)/2,"")</f>
        <v/>
      </c>
      <c r="F206" s="24" t="str">
        <f aca="false">IF(AND(E201&lt;&gt;"",F201&lt;&gt;""),(E201+F201)/2,"")</f>
        <v/>
      </c>
      <c r="G206" s="24" t="n">
        <f aca="false">IF(AND(F201&lt;&gt;"",G201&lt;&gt;""),(F201+G201)/2,"")</f>
        <v>0</v>
      </c>
      <c r="H206" s="24" t="n">
        <f aca="false">IF(AND(G201&lt;&gt;"",H201&lt;&gt;""),(G201+H201)/2,"")</f>
        <v>0</v>
      </c>
      <c r="I206" s="24" t="n">
        <f aca="false">IF(AND(H201&lt;&gt;"",I201&lt;&gt;""),(H201+I201)/2,"")</f>
        <v>0.7085</v>
      </c>
      <c r="J206" s="24" t="n">
        <f aca="false">IF(AND(I201&lt;&gt;"",J201&lt;&gt;""),(I201+J201)/2,"")</f>
        <v>2.1255</v>
      </c>
      <c r="K206" s="24" t="n">
        <f aca="false">IF(AND(J201&lt;&gt;"",K201&lt;&gt;""),(J201+K201)/2,"")</f>
        <v>3.542</v>
      </c>
      <c r="L206" s="24" t="n">
        <f aca="false">IF(AND(K201&lt;&gt;"",L201&lt;&gt;""),(K201+L201)/2,"")</f>
        <v>4.25</v>
      </c>
      <c r="M206" s="24" t="n">
        <f aca="false">IF(AND(L201&lt;&gt;"",M201&lt;&gt;""),(L201+M201)/2,"")</f>
        <v>4.25</v>
      </c>
    </row>
    <row r="207" customFormat="false" ht="17.15" hidden="false" customHeight="false" outlineLevel="0" collapsed="false">
      <c r="A207" s="5" t="s">
        <v>874</v>
      </c>
      <c r="B207" s="0" t="s">
        <v>1049</v>
      </c>
      <c r="C207" s="0" t="s">
        <v>75</v>
      </c>
      <c r="D207" s="0" t="n">
        <v>0</v>
      </c>
      <c r="E207" s="24" t="n">
        <f aca="false">IF(AND(D201&lt;&gt;"",E201&lt;&gt;""),E201-D201,0)</f>
        <v>0</v>
      </c>
      <c r="F207" s="24" t="n">
        <f aca="false">IF(AND(E201&lt;&gt;"",F201&lt;&gt;""),F201-E201,0)</f>
        <v>0</v>
      </c>
      <c r="G207" s="24" t="n">
        <f aca="false">IF(AND(F201&lt;&gt;"",G201&lt;&gt;""),G201-F201,0)</f>
        <v>0</v>
      </c>
      <c r="H207" s="24" t="n">
        <f aca="false">IF(AND(G201&lt;&gt;"",H201&lt;&gt;""),H201-G201,0)</f>
        <v>0</v>
      </c>
      <c r="I207" s="24" t="n">
        <f aca="false">IF(AND(H201&lt;&gt;"",I201&lt;&gt;""),I201-H201,0)</f>
        <v>1.417</v>
      </c>
      <c r="J207" s="24" t="n">
        <f aca="false">IF(AND(I201&lt;&gt;"",J201&lt;&gt;""),J201-I201,0)</f>
        <v>1.417</v>
      </c>
      <c r="K207" s="24" t="n">
        <f aca="false">IF(AND(J201&lt;&gt;"",K201&lt;&gt;""),K201-J201,0)</f>
        <v>1.416</v>
      </c>
      <c r="L207" s="24" t="n">
        <f aca="false">IF(AND(K201&lt;&gt;"",L201&lt;&gt;""),L201-K201,0)</f>
        <v>0</v>
      </c>
      <c r="M207" s="24" t="n">
        <f aca="false">IF(AND(L201&lt;&gt;"",M201&lt;&gt;""),M201-L201,0)</f>
        <v>0</v>
      </c>
    </row>
    <row r="208" customFormat="false" ht="17.15" hidden="false" customHeight="false" outlineLevel="0" collapsed="false">
      <c r="A208" s="5" t="s">
        <v>876</v>
      </c>
      <c r="B208" s="0" t="s">
        <v>1050</v>
      </c>
      <c r="C208" s="0" t="s">
        <v>75</v>
      </c>
      <c r="D208" s="24" t="n">
        <f aca="false">IF(D201&lt;&gt;"",D201,0)</f>
        <v>0</v>
      </c>
      <c r="E208" s="24" t="n">
        <f aca="false">IF(AND(D201="",E201&lt;&gt;""),E201,0)</f>
        <v>0</v>
      </c>
      <c r="F208" s="24" t="n">
        <f aca="false">IF(AND(E201="",F201&lt;&gt;""),F201,0)</f>
        <v>0</v>
      </c>
      <c r="G208" s="24" t="n">
        <f aca="false">IF(AND(F201="",G201&lt;&gt;""),G201,0)</f>
        <v>0</v>
      </c>
      <c r="H208" s="24" t="n">
        <f aca="false">IF(AND(G201="",H201&lt;&gt;""),H201,0)</f>
        <v>0</v>
      </c>
      <c r="I208" s="24" t="n">
        <f aca="false">IF(AND(H201="",I201&lt;&gt;""),I201,0)</f>
        <v>0</v>
      </c>
      <c r="J208" s="24" t="n">
        <f aca="false">IF(AND(I201="",J201&lt;&gt;""),J201,0)</f>
        <v>0</v>
      </c>
      <c r="K208" s="24" t="n">
        <f aca="false">IF(AND(J201="",K201&lt;&gt;""),K201,0)</f>
        <v>0</v>
      </c>
      <c r="L208" s="24" t="n">
        <f aca="false">IF(AND(K201="",L201&lt;&gt;""),L201,0)</f>
        <v>0</v>
      </c>
      <c r="M208" s="24" t="n">
        <f aca="false">IF(AND(L201="",M201&lt;&gt;""),M201,0)</f>
        <v>0</v>
      </c>
    </row>
    <row r="209" customFormat="false" ht="17.15" hidden="false" customHeight="false" outlineLevel="0" collapsed="false">
      <c r="A209" s="5" t="s">
        <v>878</v>
      </c>
      <c r="B209" s="0" t="s">
        <v>1051</v>
      </c>
      <c r="C209" s="0" t="s">
        <v>50</v>
      </c>
      <c r="D209" s="23" t="n">
        <f aca="false">D$12</f>
        <v>0.238210067173108</v>
      </c>
      <c r="E209" s="23" t="n">
        <f aca="false">E$12</f>
        <v>0.238210067173108</v>
      </c>
      <c r="F209" s="23" t="n">
        <f aca="false">F$12</f>
        <v>0.238210067173108</v>
      </c>
      <c r="G209" s="23" t="n">
        <f aca="false">G$12</f>
        <v>0.238210067173108</v>
      </c>
      <c r="H209" s="23" t="n">
        <f aca="false">H$12</f>
        <v>0.273101862203342</v>
      </c>
      <c r="I209" s="23" t="n">
        <f aca="false">I$12</f>
        <v>0.269621396123668</v>
      </c>
      <c r="J209" s="23" t="n">
        <f aca="false">J$12</f>
        <v>0.272187509408712</v>
      </c>
      <c r="K209" s="23" t="n">
        <f aca="false">K$12</f>
        <v>0.272187509408712</v>
      </c>
      <c r="L209" s="23" t="n">
        <f aca="false">L$12</f>
        <v>0.272187509408712</v>
      </c>
      <c r="M209" s="23" t="n">
        <f aca="false">M$12</f>
        <v>0.272187509408712</v>
      </c>
    </row>
    <row r="211" customFormat="false" ht="17.15" hidden="false" customHeight="false" outlineLevel="0" collapsed="false">
      <c r="A211" s="8" t="s">
        <v>1052</v>
      </c>
      <c r="B211" s="20" t="s">
        <v>450</v>
      </c>
      <c r="N211" s="20" t="s">
        <v>1053</v>
      </c>
    </row>
    <row r="212" customFormat="false" ht="17.15" hidden="false" customHeight="false" outlineLevel="0" collapsed="false">
      <c r="A212" s="5" t="s">
        <v>846</v>
      </c>
      <c r="B212" s="0" t="s">
        <v>1054</v>
      </c>
      <c r="C212" s="0" t="s">
        <v>75</v>
      </c>
      <c r="D212" s="24" t="str">
        <f aca="false">IF(In!$H$98="","",IF(In!$C$98="設施",In!$H$98/1000/D$13,In!$H$98/1000))</f>
        <v/>
      </c>
      <c r="E212" s="24" t="str">
        <f aca="false">IF(In!$I$98="","",IF(In!$C$98="設施",In!$I$98/1000/E$13,In!$I$98/1000))</f>
        <v/>
      </c>
      <c r="F212" s="24" t="n">
        <f aca="false">IF(In!$J$98="","",IF(In!$C$98="設施",In!$J$98/1000/F$13,In!$J$98/1000))</f>
        <v>0</v>
      </c>
      <c r="G212" s="24" t="str">
        <f aca="false">IF(In!$K$98="","",IF(In!$C$98="設施",In!$K$98/1000/G$13,In!$K$98/1000))</f>
        <v/>
      </c>
      <c r="H212" s="24" t="str">
        <f aca="false">IF(In!$L$98="","",IF(In!$C$98="設施",In!$L$98/1000/H$13,In!$L$98/1000))</f>
        <v/>
      </c>
      <c r="I212" s="24" t="str">
        <f aca="false">IF(In!$M$98="","",IF(In!$C$98="設施",In!$M$98/1000/I$13,In!$M$98/1000))</f>
        <v/>
      </c>
      <c r="J212" s="24" t="str">
        <f aca="false">IF(In!$N$98="","",IF(In!$C$98="設施",In!$N$98/1000/J$13,In!$N$98/1000))</f>
        <v/>
      </c>
      <c r="K212" s="24" t="str">
        <f aca="false">IF(In!$O$98="","",IF(In!$C$98="設施",In!$O$98/1000/K$13,In!$O$98/1000))</f>
        <v/>
      </c>
      <c r="L212" s="24" t="str">
        <f aca="false">IF(In!$P$98="","",IF(In!$C$98="設施",In!$P$98/1000/L$13,In!$P$98/1000))</f>
        <v/>
      </c>
      <c r="M212" s="24" t="str">
        <f aca="false">IF(In!$Q$98="","",IF(In!$C$98="設施",In!$Q$98/1000/M$13,In!$Q$98/1000))</f>
        <v/>
      </c>
    </row>
    <row r="213" customFormat="false" ht="17.15" hidden="false" customHeight="false" outlineLevel="0" collapsed="false">
      <c r="A213" s="5" t="s">
        <v>848</v>
      </c>
      <c r="B213" s="0" t="s">
        <v>1055</v>
      </c>
      <c r="C213" s="0" t="s">
        <v>75</v>
      </c>
      <c r="D213" s="0" t="str">
        <f aca="false">""</f>
        <v/>
      </c>
      <c r="E213" s="0" t="str">
        <f aca="false">""</f>
        <v/>
      </c>
      <c r="F213" s="0" t="str">
        <f aca="false">""</f>
        <v/>
      </c>
      <c r="G213" s="0" t="str">
        <f aca="false">""</f>
        <v/>
      </c>
      <c r="H213" s="0" t="str">
        <f aca="false">""</f>
        <v/>
      </c>
      <c r="I213" s="0" t="str">
        <f aca="false">""</f>
        <v/>
      </c>
      <c r="J213" s="0" t="str">
        <f aca="false">""</f>
        <v/>
      </c>
      <c r="K213" s="0" t="str">
        <f aca="false">""</f>
        <v/>
      </c>
      <c r="L213" s="0" t="str">
        <f aca="false">""</f>
        <v/>
      </c>
      <c r="M213" s="0" t="str">
        <f aca="false">""</f>
        <v/>
      </c>
    </row>
    <row r="214" customFormat="false" ht="15" hidden="false" customHeight="false" outlineLevel="0" collapsed="false">
      <c r="A214" s="5" t="s">
        <v>850</v>
      </c>
      <c r="B214" s="0" t="s">
        <v>1056</v>
      </c>
      <c r="C214" s="0" t="s">
        <v>75</v>
      </c>
      <c r="D214" s="0" t="str">
        <f aca="false">IF(D212&lt;&gt;"",D212,IF(D213&lt;&gt;"",D213,""))</f>
        <v/>
      </c>
      <c r="E214" s="0" t="str">
        <f aca="false">IF(E212&lt;&gt;"",E212,IF(E213&lt;&gt;"",E213,""))</f>
        <v/>
      </c>
      <c r="F214" s="24" t="n">
        <f aca="false">IF(F212&lt;&gt;"",F212,IF(F213&lt;&gt;"",F213,""))</f>
        <v>0</v>
      </c>
      <c r="G214" s="0" t="str">
        <f aca="false">IF(G212&lt;&gt;"",G212,IF(G213&lt;&gt;"",G213,""))</f>
        <v/>
      </c>
      <c r="H214" s="0" t="str">
        <f aca="false">IF(H212&lt;&gt;"",H212,IF(H213&lt;&gt;"",H213,""))</f>
        <v/>
      </c>
      <c r="I214" s="0" t="str">
        <f aca="false">IF(I212&lt;&gt;"",I212,IF(I213&lt;&gt;"",I213,""))</f>
        <v/>
      </c>
      <c r="J214" s="0" t="str">
        <f aca="false">IF(J212&lt;&gt;"",J212,IF(J213&lt;&gt;"",J213,""))</f>
        <v/>
      </c>
      <c r="K214" s="0" t="str">
        <f aca="false">IF(K212&lt;&gt;"",K212,IF(K213&lt;&gt;"",K213,""))</f>
        <v/>
      </c>
      <c r="L214" s="0" t="str">
        <f aca="false">IF(L212&lt;&gt;"",L212,IF(L213&lt;&gt;"",L213,""))</f>
        <v/>
      </c>
      <c r="M214" s="0" t="str">
        <f aca="false">IF(M212&lt;&gt;"",M212,IF(M213&lt;&gt;"",M213,""))</f>
        <v/>
      </c>
    </row>
    <row r="215" customFormat="false" ht="15" hidden="false" customHeight="false" outlineLevel="0" collapsed="false">
      <c r="A215" s="5" t="s">
        <v>852</v>
      </c>
      <c r="B215" s="0" t="s">
        <v>1057</v>
      </c>
      <c r="C215" s="0" t="s">
        <v>75</v>
      </c>
      <c r="D215" s="0" t="str">
        <f aca="false">IF(D214&lt;&gt;"",D214,"")</f>
        <v/>
      </c>
      <c r="E215" s="0" t="str">
        <f aca="false">IF(E214&lt;&gt;"",E214,D215)</f>
        <v/>
      </c>
      <c r="F215" s="24" t="n">
        <f aca="false">IF(F214&lt;&gt;"",F214,E215)</f>
        <v>0</v>
      </c>
      <c r="G215" s="24" t="n">
        <f aca="false">IF(G214&lt;&gt;"",G214,F215)</f>
        <v>0</v>
      </c>
      <c r="H215" s="24" t="n">
        <f aca="false">IF(H214&lt;&gt;"",H214,G215)</f>
        <v>0</v>
      </c>
      <c r="I215" s="24" t="n">
        <f aca="false">IF(I214&lt;&gt;"",I214,H215)</f>
        <v>0</v>
      </c>
      <c r="J215" s="24" t="n">
        <f aca="false">IF(J214&lt;&gt;"",J214,I215)</f>
        <v>0</v>
      </c>
      <c r="K215" s="24" t="n">
        <f aca="false">IF(K214&lt;&gt;"",K214,J215)</f>
        <v>0</v>
      </c>
      <c r="L215" s="24" t="n">
        <f aca="false">IF(L214&lt;&gt;"",L214,K215)</f>
        <v>0</v>
      </c>
      <c r="M215" s="24" t="n">
        <f aca="false">IF(M214&lt;&gt;"",M214,L215)</f>
        <v>0</v>
      </c>
    </row>
    <row r="216" customFormat="false" ht="15" hidden="false" customHeight="false" outlineLevel="0" collapsed="false">
      <c r="A216" s="5" t="s">
        <v>854</v>
      </c>
      <c r="B216" s="0" t="s">
        <v>1058</v>
      </c>
      <c r="C216" s="5" t="s">
        <v>45</v>
      </c>
      <c r="D216" s="0" t="str">
        <f aca="false">IF(D214&lt;&gt;"",2023,"")</f>
        <v/>
      </c>
      <c r="E216" s="0" t="str">
        <f aca="false">IF(E214&lt;&gt;"",2024,D216)</f>
        <v/>
      </c>
      <c r="F216" s="0" t="n">
        <f aca="false">IF(F214&lt;&gt;"",2025,E216)</f>
        <v>2025</v>
      </c>
      <c r="G216" s="0" t="n">
        <f aca="false">IF(G214&lt;&gt;"",2026,F216)</f>
        <v>2025</v>
      </c>
      <c r="H216" s="0" t="n">
        <f aca="false">IF(H214&lt;&gt;"",2027,G216)</f>
        <v>2025</v>
      </c>
      <c r="I216" s="0" t="n">
        <f aca="false">IF(I214&lt;&gt;"",2028,H216)</f>
        <v>2025</v>
      </c>
      <c r="J216" s="0" t="n">
        <f aca="false">IF(J214&lt;&gt;"",2029,I216)</f>
        <v>2025</v>
      </c>
      <c r="K216" s="0" t="n">
        <f aca="false">IF(K214&lt;&gt;"",2030,J216)</f>
        <v>2025</v>
      </c>
      <c r="L216" s="0" t="n">
        <f aca="false">IF(L214&lt;&gt;"",2031,K216)</f>
        <v>2025</v>
      </c>
      <c r="M216" s="0" t="n">
        <f aca="false">IF(M214&lt;&gt;"",2032,L216)</f>
        <v>2025</v>
      </c>
    </row>
    <row r="217" customFormat="false" ht="15" hidden="false" customHeight="false" outlineLevel="0" collapsed="false">
      <c r="A217" s="5" t="s">
        <v>856</v>
      </c>
      <c r="B217" s="0" t="s">
        <v>1059</v>
      </c>
      <c r="C217" s="0" t="s">
        <v>75</v>
      </c>
      <c r="D217" s="24" t="n">
        <f aca="false">IF(D214&lt;&gt;"",D214,E217)</f>
        <v>0</v>
      </c>
      <c r="E217" s="24" t="n">
        <f aca="false">IF(E214&lt;&gt;"",E214,F217)</f>
        <v>0</v>
      </c>
      <c r="F217" s="24" t="n">
        <f aca="false">IF(F214&lt;&gt;"",F214,G217)</f>
        <v>0</v>
      </c>
      <c r="G217" s="0" t="str">
        <f aca="false">IF(G214&lt;&gt;"",G214,H217)</f>
        <v/>
      </c>
      <c r="H217" s="0" t="str">
        <f aca="false">IF(H214&lt;&gt;"",H214,I217)</f>
        <v/>
      </c>
      <c r="I217" s="0" t="str">
        <f aca="false">IF(I214&lt;&gt;"",I214,J217)</f>
        <v/>
      </c>
      <c r="J217" s="0" t="str">
        <f aca="false">IF(J214&lt;&gt;"",J214,K217)</f>
        <v/>
      </c>
      <c r="K217" s="0" t="str">
        <f aca="false">IF(K214&lt;&gt;"",K214,L217)</f>
        <v/>
      </c>
      <c r="L217" s="0" t="str">
        <f aca="false">IF(L214&lt;&gt;"",L214,M217)</f>
        <v/>
      </c>
      <c r="M217" s="0" t="str">
        <f aca="false">IF(M214&lt;&gt;"",M214,"")</f>
        <v/>
      </c>
    </row>
    <row r="218" customFormat="false" ht="15" hidden="false" customHeight="false" outlineLevel="0" collapsed="false">
      <c r="A218" s="5" t="s">
        <v>858</v>
      </c>
      <c r="B218" s="0" t="s">
        <v>1060</v>
      </c>
      <c r="C218" s="5" t="s">
        <v>45</v>
      </c>
      <c r="D218" s="0" t="n">
        <f aca="false">IF(D214&lt;&gt;"",2023,E218)</f>
        <v>2025</v>
      </c>
      <c r="E218" s="0" t="n">
        <f aca="false">IF(E214&lt;&gt;"",2024,F218)</f>
        <v>2025</v>
      </c>
      <c r="F218" s="0" t="n">
        <f aca="false">IF(F214&lt;&gt;"",2025,G218)</f>
        <v>2025</v>
      </c>
      <c r="G218" s="0" t="str">
        <f aca="false">IF(G214&lt;&gt;"",2026,H218)</f>
        <v/>
      </c>
      <c r="H218" s="0" t="str">
        <f aca="false">IF(H214&lt;&gt;"",2027,I218)</f>
        <v/>
      </c>
      <c r="I218" s="0" t="str">
        <f aca="false">IF(I214&lt;&gt;"",2028,J218)</f>
        <v/>
      </c>
      <c r="J218" s="0" t="str">
        <f aca="false">IF(J214&lt;&gt;"",2029,K218)</f>
        <v/>
      </c>
      <c r="K218" s="0" t="str">
        <f aca="false">IF(K214&lt;&gt;"",2030,L218)</f>
        <v/>
      </c>
      <c r="L218" s="0" t="str">
        <f aca="false">IF(L214&lt;&gt;"",2031,M218)</f>
        <v/>
      </c>
      <c r="M218" s="0" t="str">
        <f aca="false">IF(M214&lt;&gt;"",2032,"")</f>
        <v/>
      </c>
    </row>
    <row r="219" customFormat="false" ht="17.15" hidden="false" customHeight="false" outlineLevel="0" collapsed="false">
      <c r="A219" s="5" t="s">
        <v>860</v>
      </c>
      <c r="B219" s="0" t="s">
        <v>1061</v>
      </c>
      <c r="C219" s="0" t="s">
        <v>75</v>
      </c>
      <c r="D219" s="24" t="n">
        <f aca="false">SUMIFS(Pipeline!$L$5:$L$47,Pipeline!$C$5:$C$47,"ant",Pipeline!$Q$5:$Q$47,1,Pipeline!$P$5:$P$47,2023)</f>
        <v>0</v>
      </c>
      <c r="E219" s="24" t="n">
        <f aca="false">SUMIFS(Pipeline!$L$5:$L$47,Pipeline!$C$5:$C$47,"ant",Pipeline!$Q$5:$Q$47,1,Pipeline!$P$5:$P$47,2024)</f>
        <v>0</v>
      </c>
      <c r="F219" s="24" t="n">
        <f aca="false">SUMIFS(Pipeline!$L$5:$L$47,Pipeline!$C$5:$C$47,"ant",Pipeline!$Q$5:$Q$47,1,Pipeline!$P$5:$P$47,2025)</f>
        <v>0</v>
      </c>
      <c r="G219" s="24" t="n">
        <f aca="false">SUMIFS(Pipeline!$L$5:$L$47,Pipeline!$C$5:$C$47,"ant",Pipeline!$Q$5:$Q$47,1,Pipeline!$P$5:$P$47,2026)</f>
        <v>0</v>
      </c>
      <c r="H219" s="24" t="n">
        <f aca="false">SUMIFS(Pipeline!$L$5:$L$47,Pipeline!$C$5:$C$47,"ant",Pipeline!$Q$5:$Q$47,1,Pipeline!$P$5:$P$47,2027)</f>
        <v>0</v>
      </c>
      <c r="I219" s="24" t="n">
        <f aca="false">SUMIFS(Pipeline!$L$5:$L$47,Pipeline!$C$5:$C$47,"ant",Pipeline!$Q$5:$Q$47,1,Pipeline!$P$5:$P$47,2028)</f>
        <v>0</v>
      </c>
      <c r="J219" s="24" t="n">
        <f aca="false">SUMIFS(Pipeline!$L$5:$L$47,Pipeline!$C$5:$C$47,"ant",Pipeline!$Q$5:$Q$47,1,Pipeline!$P$5:$P$47,2029)</f>
        <v>0</v>
      </c>
      <c r="K219" s="24" t="n">
        <f aca="false">SUMIFS(Pipeline!$L$5:$L$47,Pipeline!$C$5:$C$47,"ant",Pipeline!$Q$5:$Q$47,1,Pipeline!$P$5:$P$47,2030)</f>
        <v>0</v>
      </c>
      <c r="L219" s="24" t="n">
        <f aca="false">SUMIFS(Pipeline!$L$5:$L$47,Pipeline!$C$5:$C$47,"ant",Pipeline!$Q$5:$Q$47,1,Pipeline!$P$5:$P$47,2031)</f>
        <v>0</v>
      </c>
      <c r="M219" s="24" t="n">
        <f aca="false">SUMIFS(Pipeline!$L$5:$L$47,Pipeline!$C$5:$C$47,"ant",Pipeline!$Q$5:$Q$47,1,Pipeline!$P$5:$P$47,2032)</f>
        <v>0</v>
      </c>
    </row>
    <row r="220" customFormat="false" ht="17.15" hidden="false" customHeight="false" outlineLevel="0" collapsed="false">
      <c r="A220" s="5" t="s">
        <v>862</v>
      </c>
      <c r="B220" s="0" t="s">
        <v>1062</v>
      </c>
      <c r="C220" s="0" t="s">
        <v>75</v>
      </c>
      <c r="D220" s="25" t="str">
        <f aca="false">IF(D214&lt;&gt;"",D214,IF(AND(D215&lt;&gt;"",D217&lt;&gt;""),D215+(D217-D215)*(2023-D216)/(D218-D216),""))</f>
        <v/>
      </c>
      <c r="E220" s="25" t="str">
        <f aca="false">IF(E214&lt;&gt;"",E214,IF(AND(E215&lt;&gt;"",E217&lt;&gt;""),E215+(E217-E215)*(2024-E216)/(E218-E216),IF(D220&lt;&gt;"",D220+E219,"")))</f>
        <v/>
      </c>
      <c r="F220" s="25" t="n">
        <f aca="false">IF(F214&lt;&gt;"",F214,IF(AND(F215&lt;&gt;"",F217&lt;&gt;""),F215+(F217-F215)*(2025-F216)/(F218-F216),IF(E220&lt;&gt;"",E220+F219,"")))</f>
        <v>0</v>
      </c>
      <c r="G220" s="25" t="n">
        <f aca="false">IF(G214&lt;&gt;"",G214,IF(AND(G215&lt;&gt;"",G217&lt;&gt;""),G215+(G217-G215)*(2026-G216)/(G218-G216),IF(F220&lt;&gt;"",F220+G219,"")))</f>
        <v>0</v>
      </c>
      <c r="H220" s="25" t="n">
        <f aca="false">IF(H214&lt;&gt;"",H214,IF(AND(H215&lt;&gt;"",H217&lt;&gt;""),H215+(H217-H215)*(2027-H216)/(H218-H216),IF(G220&lt;&gt;"",G220+H219,"")))</f>
        <v>0</v>
      </c>
      <c r="I220" s="25" t="n">
        <f aca="false">IF(I214&lt;&gt;"",I214,IF(AND(I215&lt;&gt;"",I217&lt;&gt;""),I215+(I217-I215)*(2028-I216)/(I218-I216),IF(H220&lt;&gt;"",H220+I219,"")))</f>
        <v>0</v>
      </c>
      <c r="J220" s="25" t="n">
        <f aca="false">IF(J214&lt;&gt;"",J214,IF(AND(J215&lt;&gt;"",J217&lt;&gt;""),J215+(J217-J215)*(2029-J216)/(J218-J216),IF(I220&lt;&gt;"",I220+J219,"")))</f>
        <v>0</v>
      </c>
      <c r="K220" s="25" t="n">
        <f aca="false">IF(K214&lt;&gt;"",K214,IF(AND(K215&lt;&gt;"",K217&lt;&gt;""),K215+(K217-K215)*(2030-K216)/(K218-K216),IF(J220&lt;&gt;"",J220+K219,"")))</f>
        <v>0</v>
      </c>
      <c r="L220" s="25" t="n">
        <f aca="false">IF(L214&lt;&gt;"",L214,IF(AND(L215&lt;&gt;"",L217&lt;&gt;""),L215+(L217-L215)*(2031-L216)/(L218-L216),IF(K220&lt;&gt;"",K220+L219,"")))</f>
        <v>0</v>
      </c>
      <c r="M220" s="25" t="n">
        <f aca="false">IF(M214&lt;&gt;"",M214,IF(AND(M215&lt;&gt;"",M217&lt;&gt;""),M215+(M217-M215)*(2032-M216)/(M218-M216),IF(L220&lt;&gt;"",L220+M219,"")))</f>
        <v>0</v>
      </c>
    </row>
    <row r="221" customFormat="false" ht="15" hidden="false" customHeight="false" outlineLevel="0" collapsed="false">
      <c r="A221" s="5" t="s">
        <v>864</v>
      </c>
      <c r="B221" s="0" t="s">
        <v>1063</v>
      </c>
      <c r="C221" s="0" t="s">
        <v>33</v>
      </c>
      <c r="D221" s="0" t="n">
        <f aca="false">IF(D212&lt;&gt;"",1,IF(D213&lt;&gt;"",5,IF(D214&lt;&gt;"",2,IF(AND(D215&lt;&gt;"",D217&lt;&gt;""),3,IF(D220&lt;&gt;"",4,0)))))</f>
        <v>0</v>
      </c>
      <c r="E221" s="0" t="n">
        <f aca="false">IF(E212&lt;&gt;"",1,IF(E213&lt;&gt;"",5,IF(E214&lt;&gt;"",2,IF(AND(E215&lt;&gt;"",E217&lt;&gt;""),3,IF(E220&lt;&gt;"",4,0)))))</f>
        <v>0</v>
      </c>
      <c r="F221" s="0" t="n">
        <f aca="false">IF(F212&lt;&gt;"",1,IF(F213&lt;&gt;"",5,IF(F214&lt;&gt;"",2,IF(AND(F215&lt;&gt;"",F217&lt;&gt;""),3,IF(F220&lt;&gt;"",4,0)))))</f>
        <v>1</v>
      </c>
      <c r="G221" s="0" t="n">
        <f aca="false">IF(G212&lt;&gt;"",1,IF(G213&lt;&gt;"",5,IF(G214&lt;&gt;"",2,IF(AND(G215&lt;&gt;"",G217&lt;&gt;""),3,IF(G220&lt;&gt;"",4,0)))))</f>
        <v>4</v>
      </c>
      <c r="H221" s="0" t="n">
        <f aca="false">IF(H212&lt;&gt;"",1,IF(H213&lt;&gt;"",5,IF(H214&lt;&gt;"",2,IF(AND(H215&lt;&gt;"",H217&lt;&gt;""),3,IF(H220&lt;&gt;"",4,0)))))</f>
        <v>4</v>
      </c>
      <c r="I221" s="0" t="n">
        <f aca="false">IF(I212&lt;&gt;"",1,IF(I213&lt;&gt;"",5,IF(I214&lt;&gt;"",2,IF(AND(I215&lt;&gt;"",I217&lt;&gt;""),3,IF(I220&lt;&gt;"",4,0)))))</f>
        <v>4</v>
      </c>
      <c r="J221" s="0" t="n">
        <f aca="false">IF(J212&lt;&gt;"",1,IF(J213&lt;&gt;"",5,IF(J214&lt;&gt;"",2,IF(AND(J215&lt;&gt;"",J217&lt;&gt;""),3,IF(J220&lt;&gt;"",4,0)))))</f>
        <v>4</v>
      </c>
      <c r="K221" s="0" t="n">
        <f aca="false">IF(K212&lt;&gt;"",1,IF(K213&lt;&gt;"",5,IF(K214&lt;&gt;"",2,IF(AND(K215&lt;&gt;"",K217&lt;&gt;""),3,IF(K220&lt;&gt;"",4,0)))))</f>
        <v>4</v>
      </c>
      <c r="L221" s="0" t="n">
        <f aca="false">IF(L212&lt;&gt;"",1,IF(L213&lt;&gt;"",5,IF(L214&lt;&gt;"",2,IF(AND(L215&lt;&gt;"",L217&lt;&gt;""),3,IF(L220&lt;&gt;"",4,0)))))</f>
        <v>4</v>
      </c>
      <c r="M221" s="0" t="n">
        <f aca="false">IF(M212&lt;&gt;"",1,IF(M213&lt;&gt;"",5,IF(M214&lt;&gt;"",2,IF(AND(M215&lt;&gt;"",M217&lt;&gt;""),3,IF(M220&lt;&gt;"",4,0)))))</f>
        <v>4</v>
      </c>
    </row>
    <row r="222" customFormat="false" ht="17.15" hidden="false" customHeight="false" outlineLevel="0" collapsed="false">
      <c r="A222" s="5" t="s">
        <v>866</v>
      </c>
      <c r="B222" s="0" t="s">
        <v>1064</v>
      </c>
      <c r="C222" s="0" t="s">
        <v>75</v>
      </c>
      <c r="D222" s="24" t="str">
        <f aca="false">IF(D220="","",D220)</f>
        <v/>
      </c>
      <c r="E222" s="24" t="str">
        <f aca="false">IF(E220="","",E220)</f>
        <v/>
      </c>
      <c r="F222" s="24" t="n">
        <f aca="false">IF(F220="","",F220)</f>
        <v>0</v>
      </c>
      <c r="G222" s="24" t="n">
        <f aca="false">IF(G220="","",G220)</f>
        <v>0</v>
      </c>
      <c r="H222" s="24" t="n">
        <f aca="false">IF(H220="","",H220)</f>
        <v>0</v>
      </c>
      <c r="I222" s="24" t="n">
        <f aca="false">IF(I220="","",I220)</f>
        <v>0</v>
      </c>
      <c r="J222" s="24" t="n">
        <f aca="false">IF(J220="","",J220)</f>
        <v>0</v>
      </c>
      <c r="K222" s="24" t="n">
        <f aca="false">IF(K220="","",K220)</f>
        <v>0</v>
      </c>
      <c r="L222" s="24" t="n">
        <f aca="false">IF(L220="","",L220)</f>
        <v>0</v>
      </c>
      <c r="M222" s="24" t="n">
        <f aca="false">IF(M220="","",M220)</f>
        <v>0</v>
      </c>
    </row>
    <row r="223" customFormat="false" ht="17.15" hidden="false" customHeight="false" outlineLevel="0" collapsed="false">
      <c r="A223" s="5" t="s">
        <v>868</v>
      </c>
      <c r="B223" s="0" t="s">
        <v>1065</v>
      </c>
      <c r="C223" s="0" t="s">
        <v>75</v>
      </c>
      <c r="D223" s="24" t="str">
        <f aca="false">IF(D220="","",D220)</f>
        <v/>
      </c>
      <c r="E223" s="24" t="str">
        <f aca="false">IF(E220="","",E220)</f>
        <v/>
      </c>
      <c r="F223" s="24" t="n">
        <f aca="false">IF(F220="","",F220)</f>
        <v>0</v>
      </c>
      <c r="G223" s="24" t="n">
        <f aca="false">IF(G220="","",G220)</f>
        <v>0</v>
      </c>
      <c r="H223" s="24" t="n">
        <f aca="false">IF(H220="","",H220)</f>
        <v>0</v>
      </c>
      <c r="I223" s="24" t="n">
        <f aca="false">IF(I220="","",I220)</f>
        <v>0</v>
      </c>
      <c r="J223" s="24" t="n">
        <f aca="false">IF(J220="","",J220)</f>
        <v>0</v>
      </c>
      <c r="K223" s="24" t="n">
        <f aca="false">IF(K220="","",K220)</f>
        <v>0</v>
      </c>
      <c r="L223" s="24" t="n">
        <f aca="false">IF(L220="","",L220)</f>
        <v>0</v>
      </c>
      <c r="M223" s="24" t="n">
        <f aca="false">IF(M220="","",M220)</f>
        <v>0</v>
      </c>
    </row>
    <row r="224" customFormat="false" ht="17.15" hidden="false" customHeight="false" outlineLevel="0" collapsed="false">
      <c r="A224" s="5" t="s">
        <v>870</v>
      </c>
      <c r="B224" s="0" t="s">
        <v>1066</v>
      </c>
      <c r="C224" s="0" t="s">
        <v>75</v>
      </c>
      <c r="D224" s="24" t="str">
        <f aca="false">IF(D220="","",IF(In!$C$98="未說明",D220/D$13,D220))</f>
        <v/>
      </c>
      <c r="E224" s="24" t="str">
        <f aca="false">IF(E220="","",IF(In!$C$98="未說明",E220/E$13,E220))</f>
        <v/>
      </c>
      <c r="F224" s="24" t="n">
        <f aca="false">IF(F220="","",IF(In!$C$98="未說明",F220/F$13,F220))</f>
        <v>0</v>
      </c>
      <c r="G224" s="24" t="n">
        <f aca="false">IF(G220="","",IF(In!$C$98="未說明",G220/G$13,G220))</f>
        <v>0</v>
      </c>
      <c r="H224" s="24" t="n">
        <f aca="false">IF(H220="","",IF(In!$C$98="未說明",H220/H$13,H220))</f>
        <v>0</v>
      </c>
      <c r="I224" s="24" t="n">
        <f aca="false">IF(I220="","",IF(In!$C$98="未說明",I220/I$13,I220))</f>
        <v>0</v>
      </c>
      <c r="J224" s="24" t="n">
        <f aca="false">IF(J220="","",IF(In!$C$98="未說明",J220/J$13,J220))</f>
        <v>0</v>
      </c>
      <c r="K224" s="24" t="n">
        <f aca="false">IF(K220="","",IF(In!$C$98="未說明",K220/K$13,K220))</f>
        <v>0</v>
      </c>
      <c r="L224" s="24" t="n">
        <f aca="false">IF(L220="","",IF(In!$C$98="未說明",L220/L$13,L220))</f>
        <v>0</v>
      </c>
      <c r="M224" s="24" t="n">
        <f aca="false">IF(M220="","",IF(In!$C$98="未說明",M220/M$13,M220))</f>
        <v>0</v>
      </c>
    </row>
    <row r="225" customFormat="false" ht="17.15" hidden="false" customHeight="false" outlineLevel="0" collapsed="false">
      <c r="A225" s="5" t="s">
        <v>872</v>
      </c>
      <c r="B225" s="0" t="s">
        <v>1067</v>
      </c>
      <c r="C225" s="0" t="s">
        <v>75</v>
      </c>
      <c r="D225" s="0" t="str">
        <f aca="false">""</f>
        <v/>
      </c>
      <c r="E225" s="24" t="str">
        <f aca="false">IF(AND(D220&lt;&gt;"",E220&lt;&gt;""),(D220+E220)/2,"")</f>
        <v/>
      </c>
      <c r="F225" s="24" t="str">
        <f aca="false">IF(AND(E220&lt;&gt;"",F220&lt;&gt;""),(E220+F220)/2,"")</f>
        <v/>
      </c>
      <c r="G225" s="24" t="n">
        <f aca="false">IF(AND(F220&lt;&gt;"",G220&lt;&gt;""),(F220+G220)/2,"")</f>
        <v>0</v>
      </c>
      <c r="H225" s="24" t="n">
        <f aca="false">IF(AND(G220&lt;&gt;"",H220&lt;&gt;""),(G220+H220)/2,"")</f>
        <v>0</v>
      </c>
      <c r="I225" s="24" t="n">
        <f aca="false">IF(AND(H220&lt;&gt;"",I220&lt;&gt;""),(H220+I220)/2,"")</f>
        <v>0</v>
      </c>
      <c r="J225" s="24" t="n">
        <f aca="false">IF(AND(I220&lt;&gt;"",J220&lt;&gt;""),(I220+J220)/2,"")</f>
        <v>0</v>
      </c>
      <c r="K225" s="24" t="n">
        <f aca="false">IF(AND(J220&lt;&gt;"",K220&lt;&gt;""),(J220+K220)/2,"")</f>
        <v>0</v>
      </c>
      <c r="L225" s="24" t="n">
        <f aca="false">IF(AND(K220&lt;&gt;"",L220&lt;&gt;""),(K220+L220)/2,"")</f>
        <v>0</v>
      </c>
      <c r="M225" s="24" t="n">
        <f aca="false">IF(AND(L220&lt;&gt;"",M220&lt;&gt;""),(L220+M220)/2,"")</f>
        <v>0</v>
      </c>
    </row>
    <row r="226" customFormat="false" ht="17.15" hidden="false" customHeight="false" outlineLevel="0" collapsed="false">
      <c r="A226" s="5" t="s">
        <v>874</v>
      </c>
      <c r="B226" s="0" t="s">
        <v>1068</v>
      </c>
      <c r="C226" s="0" t="s">
        <v>75</v>
      </c>
      <c r="D226" s="0" t="n">
        <v>0</v>
      </c>
      <c r="E226" s="24" t="n">
        <f aca="false">IF(AND(D220&lt;&gt;"",E220&lt;&gt;""),E220-D220,0)</f>
        <v>0</v>
      </c>
      <c r="F226" s="24" t="n">
        <f aca="false">IF(AND(E220&lt;&gt;"",F220&lt;&gt;""),F220-E220,0)</f>
        <v>0</v>
      </c>
      <c r="G226" s="24" t="n">
        <f aca="false">IF(AND(F220&lt;&gt;"",G220&lt;&gt;""),G220-F220,0)</f>
        <v>0</v>
      </c>
      <c r="H226" s="24" t="n">
        <f aca="false">IF(AND(G220&lt;&gt;"",H220&lt;&gt;""),H220-G220,0)</f>
        <v>0</v>
      </c>
      <c r="I226" s="24" t="n">
        <f aca="false">IF(AND(H220&lt;&gt;"",I220&lt;&gt;""),I220-H220,0)</f>
        <v>0</v>
      </c>
      <c r="J226" s="24" t="n">
        <f aca="false">IF(AND(I220&lt;&gt;"",J220&lt;&gt;""),J220-I220,0)</f>
        <v>0</v>
      </c>
      <c r="K226" s="24" t="n">
        <f aca="false">IF(AND(J220&lt;&gt;"",K220&lt;&gt;""),K220-J220,0)</f>
        <v>0</v>
      </c>
      <c r="L226" s="24" t="n">
        <f aca="false">IF(AND(K220&lt;&gt;"",L220&lt;&gt;""),L220-K220,0)</f>
        <v>0</v>
      </c>
      <c r="M226" s="24" t="n">
        <f aca="false">IF(AND(L220&lt;&gt;"",M220&lt;&gt;""),M220-L220,0)</f>
        <v>0</v>
      </c>
    </row>
    <row r="227" customFormat="false" ht="17.15" hidden="false" customHeight="false" outlineLevel="0" collapsed="false">
      <c r="A227" s="5" t="s">
        <v>876</v>
      </c>
      <c r="B227" s="0" t="s">
        <v>1069</v>
      </c>
      <c r="C227" s="0" t="s">
        <v>75</v>
      </c>
      <c r="D227" s="24" t="n">
        <f aca="false">IF(D220&lt;&gt;"",D220,0)</f>
        <v>0</v>
      </c>
      <c r="E227" s="24" t="n">
        <f aca="false">IF(AND(D220="",E220&lt;&gt;""),E220,0)</f>
        <v>0</v>
      </c>
      <c r="F227" s="24" t="n">
        <f aca="false">IF(AND(E220="",F220&lt;&gt;""),F220,0)</f>
        <v>0</v>
      </c>
      <c r="G227" s="24" t="n">
        <f aca="false">IF(AND(F220="",G220&lt;&gt;""),G220,0)</f>
        <v>0</v>
      </c>
      <c r="H227" s="24" t="n">
        <f aca="false">IF(AND(G220="",H220&lt;&gt;""),H220,0)</f>
        <v>0</v>
      </c>
      <c r="I227" s="24" t="n">
        <f aca="false">IF(AND(H220="",I220&lt;&gt;""),I220,0)</f>
        <v>0</v>
      </c>
      <c r="J227" s="24" t="n">
        <f aca="false">IF(AND(I220="",J220&lt;&gt;""),J220,0)</f>
        <v>0</v>
      </c>
      <c r="K227" s="24" t="n">
        <f aca="false">IF(AND(J220="",K220&lt;&gt;""),K220,0)</f>
        <v>0</v>
      </c>
      <c r="L227" s="24" t="n">
        <f aca="false">IF(AND(K220="",L220&lt;&gt;""),L220,0)</f>
        <v>0</v>
      </c>
      <c r="M227" s="24" t="n">
        <f aca="false">IF(AND(L220="",M220&lt;&gt;""),M220,0)</f>
        <v>0</v>
      </c>
    </row>
    <row r="228" customFormat="false" ht="17.15" hidden="false" customHeight="false" outlineLevel="0" collapsed="false">
      <c r="A228" s="5" t="s">
        <v>878</v>
      </c>
      <c r="B228" s="0" t="s">
        <v>1070</v>
      </c>
      <c r="C228" s="0" t="s">
        <v>50</v>
      </c>
      <c r="D228" s="23" t="n">
        <f aca="false">D$12</f>
        <v>0.238210067173108</v>
      </c>
      <c r="E228" s="23" t="n">
        <f aca="false">E$12</f>
        <v>0.238210067173108</v>
      </c>
      <c r="F228" s="23" t="n">
        <f aca="false">F$12</f>
        <v>0.238210067173108</v>
      </c>
      <c r="G228" s="23" t="n">
        <f aca="false">G$12</f>
        <v>0.238210067173108</v>
      </c>
      <c r="H228" s="23" t="n">
        <f aca="false">H$12</f>
        <v>0.273101862203342</v>
      </c>
      <c r="I228" s="23" t="n">
        <f aca="false">I$12</f>
        <v>0.269621396123668</v>
      </c>
      <c r="J228" s="23" t="n">
        <f aca="false">J$12</f>
        <v>0.272187509408712</v>
      </c>
      <c r="K228" s="23" t="n">
        <f aca="false">K$12</f>
        <v>0.272187509408712</v>
      </c>
      <c r="L228" s="23" t="n">
        <f aca="false">L$12</f>
        <v>0.272187509408712</v>
      </c>
      <c r="M228" s="23" t="n">
        <f aca="false">M$12</f>
        <v>0.272187509408712</v>
      </c>
    </row>
    <row r="230" customFormat="false" ht="17.15" hidden="false" customHeight="false" outlineLevel="0" collapsed="false">
      <c r="A230" s="21" t="s">
        <v>1071</v>
      </c>
      <c r="B230" s="20" t="s">
        <v>480</v>
      </c>
      <c r="N230" s="20" t="s">
        <v>1072</v>
      </c>
    </row>
    <row r="231" customFormat="false" ht="17.15" hidden="false" customHeight="false" outlineLevel="0" collapsed="false">
      <c r="A231" s="5" t="s">
        <v>846</v>
      </c>
      <c r="B231" s="0" t="s">
        <v>1073</v>
      </c>
      <c r="C231" s="0" t="s">
        <v>75</v>
      </c>
      <c r="D231" s="24" t="str">
        <f aca="false">IF(In!$H$99="","",IF(In!$C$99="設施",In!$H$99/1000/D$13,In!$H$99/1000))</f>
        <v/>
      </c>
      <c r="E231" s="24" t="n">
        <f aca="false">IF(In!$I$99="","",IF(In!$C$99="設施",In!$I$99/1000/E$13,In!$I$99/1000))</f>
        <v>0.2</v>
      </c>
      <c r="F231" s="24" t="n">
        <f aca="false">IF(In!$J$99="","",IF(In!$C$99="設施",In!$J$99/1000/F$13,In!$J$99/1000))</f>
        <v>0.5</v>
      </c>
      <c r="G231" s="24" t="n">
        <f aca="false">IF(In!$K$99="","",IF(In!$C$99="設施",In!$K$99/1000/G$13,In!$K$99/1000))</f>
        <v>1.3</v>
      </c>
      <c r="H231" s="24" t="str">
        <f aca="false">IF(In!$L$99="","",IF(In!$C$99="設施",In!$L$99/1000/H$13,In!$L$99/1000))</f>
        <v/>
      </c>
      <c r="I231" s="24" t="str">
        <f aca="false">IF(In!$M$99="","",IF(In!$C$99="設施",In!$M$99/1000/I$13,In!$M$99/1000))</f>
        <v/>
      </c>
      <c r="J231" s="24" t="str">
        <f aca="false">IF(In!$N$99="","",IF(In!$C$99="設施",In!$N$99/1000/J$13,In!$N$99/1000))</f>
        <v/>
      </c>
      <c r="K231" s="24" t="str">
        <f aca="false">IF(In!$O$99="","",IF(In!$C$99="設施",In!$O$99/1000/K$13,In!$O$99/1000))</f>
        <v/>
      </c>
      <c r="L231" s="24" t="str">
        <f aca="false">IF(In!$P$99="","",IF(In!$C$99="設施",In!$P$99/1000/L$13,In!$P$99/1000))</f>
        <v/>
      </c>
      <c r="M231" s="24" t="str">
        <f aca="false">IF(In!$Q$99="","",IF(In!$C$99="設施",In!$Q$99/1000/M$13,In!$Q$99/1000))</f>
        <v/>
      </c>
    </row>
    <row r="232" customFormat="false" ht="17.15" hidden="false" customHeight="false" outlineLevel="0" collapsed="false">
      <c r="A232" s="5" t="s">
        <v>848</v>
      </c>
      <c r="B232" s="0" t="s">
        <v>1074</v>
      </c>
      <c r="C232" s="0" t="s">
        <v>75</v>
      </c>
      <c r="D232" s="0" t="str">
        <f aca="false">""</f>
        <v/>
      </c>
      <c r="E232" s="0" t="str">
        <f aca="false">""</f>
        <v/>
      </c>
      <c r="F232" s="0" t="str">
        <f aca="false">""</f>
        <v/>
      </c>
      <c r="G232" s="0" t="str">
        <f aca="false">""</f>
        <v/>
      </c>
      <c r="H232" s="0" t="str">
        <f aca="false">""</f>
        <v/>
      </c>
      <c r="I232" s="0" t="str">
        <f aca="false">""</f>
        <v/>
      </c>
      <c r="J232" s="0" t="str">
        <f aca="false">""</f>
        <v/>
      </c>
      <c r="K232" s="0" t="str">
        <f aca="false">""</f>
        <v/>
      </c>
      <c r="L232" s="0" t="str">
        <f aca="false">""</f>
        <v/>
      </c>
      <c r="M232" s="0" t="str">
        <f aca="false">""</f>
        <v/>
      </c>
    </row>
    <row r="233" customFormat="false" ht="15" hidden="false" customHeight="false" outlineLevel="0" collapsed="false">
      <c r="A233" s="5" t="s">
        <v>850</v>
      </c>
      <c r="B233" s="0" t="s">
        <v>1075</v>
      </c>
      <c r="C233" s="0" t="s">
        <v>75</v>
      </c>
      <c r="D233" s="0" t="str">
        <f aca="false">IF(D231&lt;&gt;"",D231,IF(D232&lt;&gt;"",D232,""))</f>
        <v/>
      </c>
      <c r="E233" s="24" t="n">
        <f aca="false">IF(E231&lt;&gt;"",E231,IF(E232&lt;&gt;"",E232,""))</f>
        <v>0.2</v>
      </c>
      <c r="F233" s="24" t="n">
        <f aca="false">IF(F231&lt;&gt;"",F231,IF(F232&lt;&gt;"",F232,""))</f>
        <v>0.5</v>
      </c>
      <c r="G233" s="24" t="n">
        <f aca="false">IF(G231&lt;&gt;"",G231,IF(G232&lt;&gt;"",G232,""))</f>
        <v>1.3</v>
      </c>
      <c r="H233" s="0" t="str">
        <f aca="false">IF(H231&lt;&gt;"",H231,IF(H232&lt;&gt;"",H232,""))</f>
        <v/>
      </c>
      <c r="I233" s="0" t="str">
        <f aca="false">IF(I231&lt;&gt;"",I231,IF(I232&lt;&gt;"",I232,""))</f>
        <v/>
      </c>
      <c r="J233" s="0" t="str">
        <f aca="false">IF(J231&lt;&gt;"",J231,IF(J232&lt;&gt;"",J232,""))</f>
        <v/>
      </c>
      <c r="K233" s="0" t="str">
        <f aca="false">IF(K231&lt;&gt;"",K231,IF(K232&lt;&gt;"",K232,""))</f>
        <v/>
      </c>
      <c r="L233" s="0" t="str">
        <f aca="false">IF(L231&lt;&gt;"",L231,IF(L232&lt;&gt;"",L232,""))</f>
        <v/>
      </c>
      <c r="M233" s="0" t="str">
        <f aca="false">IF(M231&lt;&gt;"",M231,IF(M232&lt;&gt;"",M232,""))</f>
        <v/>
      </c>
    </row>
    <row r="234" customFormat="false" ht="15" hidden="false" customHeight="false" outlineLevel="0" collapsed="false">
      <c r="A234" s="5" t="s">
        <v>852</v>
      </c>
      <c r="B234" s="0" t="s">
        <v>1076</v>
      </c>
      <c r="C234" s="0" t="s">
        <v>75</v>
      </c>
      <c r="D234" s="0" t="str">
        <f aca="false">IF(D233&lt;&gt;"",D233,"")</f>
        <v/>
      </c>
      <c r="E234" s="24" t="n">
        <f aca="false">IF(E233&lt;&gt;"",E233,D234)</f>
        <v>0.2</v>
      </c>
      <c r="F234" s="24" t="n">
        <f aca="false">IF(F233&lt;&gt;"",F233,E234)</f>
        <v>0.5</v>
      </c>
      <c r="G234" s="24" t="n">
        <f aca="false">IF(G233&lt;&gt;"",G233,F234)</f>
        <v>1.3</v>
      </c>
      <c r="H234" s="24" t="n">
        <f aca="false">IF(H233&lt;&gt;"",H233,G234)</f>
        <v>1.3</v>
      </c>
      <c r="I234" s="24" t="n">
        <f aca="false">IF(I233&lt;&gt;"",I233,H234)</f>
        <v>1.3</v>
      </c>
      <c r="J234" s="24" t="n">
        <f aca="false">IF(J233&lt;&gt;"",J233,I234)</f>
        <v>1.3</v>
      </c>
      <c r="K234" s="24" t="n">
        <f aca="false">IF(K233&lt;&gt;"",K233,J234)</f>
        <v>1.3</v>
      </c>
      <c r="L234" s="24" t="n">
        <f aca="false">IF(L233&lt;&gt;"",L233,K234)</f>
        <v>1.3</v>
      </c>
      <c r="M234" s="24" t="n">
        <f aca="false">IF(M233&lt;&gt;"",M233,L234)</f>
        <v>1.3</v>
      </c>
    </row>
    <row r="235" customFormat="false" ht="15" hidden="false" customHeight="false" outlineLevel="0" collapsed="false">
      <c r="A235" s="5" t="s">
        <v>854</v>
      </c>
      <c r="B235" s="0" t="s">
        <v>1077</v>
      </c>
      <c r="C235" s="5" t="s">
        <v>45</v>
      </c>
      <c r="D235" s="0" t="str">
        <f aca="false">IF(D233&lt;&gt;"",2023,"")</f>
        <v/>
      </c>
      <c r="E235" s="0" t="n">
        <f aca="false">IF(E233&lt;&gt;"",2024,D235)</f>
        <v>2024</v>
      </c>
      <c r="F235" s="0" t="n">
        <f aca="false">IF(F233&lt;&gt;"",2025,E235)</f>
        <v>2025</v>
      </c>
      <c r="G235" s="0" t="n">
        <f aca="false">IF(G233&lt;&gt;"",2026,F235)</f>
        <v>2026</v>
      </c>
      <c r="H235" s="0" t="n">
        <f aca="false">IF(H233&lt;&gt;"",2027,G235)</f>
        <v>2026</v>
      </c>
      <c r="I235" s="0" t="n">
        <f aca="false">IF(I233&lt;&gt;"",2028,H235)</f>
        <v>2026</v>
      </c>
      <c r="J235" s="0" t="n">
        <f aca="false">IF(J233&lt;&gt;"",2029,I235)</f>
        <v>2026</v>
      </c>
      <c r="K235" s="0" t="n">
        <f aca="false">IF(K233&lt;&gt;"",2030,J235)</f>
        <v>2026</v>
      </c>
      <c r="L235" s="0" t="n">
        <f aca="false">IF(L233&lt;&gt;"",2031,K235)</f>
        <v>2026</v>
      </c>
      <c r="M235" s="0" t="n">
        <f aca="false">IF(M233&lt;&gt;"",2032,L235)</f>
        <v>2026</v>
      </c>
    </row>
    <row r="236" customFormat="false" ht="15" hidden="false" customHeight="false" outlineLevel="0" collapsed="false">
      <c r="A236" s="5" t="s">
        <v>856</v>
      </c>
      <c r="B236" s="0" t="s">
        <v>1078</v>
      </c>
      <c r="C236" s="0" t="s">
        <v>75</v>
      </c>
      <c r="D236" s="24" t="n">
        <f aca="false">IF(D233&lt;&gt;"",D233,E236)</f>
        <v>0.2</v>
      </c>
      <c r="E236" s="24" t="n">
        <f aca="false">IF(E233&lt;&gt;"",E233,F236)</f>
        <v>0.2</v>
      </c>
      <c r="F236" s="24" t="n">
        <f aca="false">IF(F233&lt;&gt;"",F233,G236)</f>
        <v>0.5</v>
      </c>
      <c r="G236" s="24" t="n">
        <f aca="false">IF(G233&lt;&gt;"",G233,H236)</f>
        <v>1.3</v>
      </c>
      <c r="H236" s="0" t="str">
        <f aca="false">IF(H233&lt;&gt;"",H233,I236)</f>
        <v/>
      </c>
      <c r="I236" s="0" t="str">
        <f aca="false">IF(I233&lt;&gt;"",I233,J236)</f>
        <v/>
      </c>
      <c r="J236" s="0" t="str">
        <f aca="false">IF(J233&lt;&gt;"",J233,K236)</f>
        <v/>
      </c>
      <c r="K236" s="0" t="str">
        <f aca="false">IF(K233&lt;&gt;"",K233,L236)</f>
        <v/>
      </c>
      <c r="L236" s="0" t="str">
        <f aca="false">IF(L233&lt;&gt;"",L233,M236)</f>
        <v/>
      </c>
      <c r="M236" s="0" t="str">
        <f aca="false">IF(M233&lt;&gt;"",M233,"")</f>
        <v/>
      </c>
    </row>
    <row r="237" customFormat="false" ht="15" hidden="false" customHeight="false" outlineLevel="0" collapsed="false">
      <c r="A237" s="5" t="s">
        <v>858</v>
      </c>
      <c r="B237" s="0" t="s">
        <v>1079</v>
      </c>
      <c r="C237" s="5" t="s">
        <v>45</v>
      </c>
      <c r="D237" s="0" t="n">
        <f aca="false">IF(D233&lt;&gt;"",2023,E237)</f>
        <v>2024</v>
      </c>
      <c r="E237" s="0" t="n">
        <f aca="false">IF(E233&lt;&gt;"",2024,F237)</f>
        <v>2024</v>
      </c>
      <c r="F237" s="0" t="n">
        <f aca="false">IF(F233&lt;&gt;"",2025,G237)</f>
        <v>2025</v>
      </c>
      <c r="G237" s="0" t="n">
        <f aca="false">IF(G233&lt;&gt;"",2026,H237)</f>
        <v>2026</v>
      </c>
      <c r="H237" s="0" t="str">
        <f aca="false">IF(H233&lt;&gt;"",2027,I237)</f>
        <v/>
      </c>
      <c r="I237" s="0" t="str">
        <f aca="false">IF(I233&lt;&gt;"",2028,J237)</f>
        <v/>
      </c>
      <c r="J237" s="0" t="str">
        <f aca="false">IF(J233&lt;&gt;"",2029,K237)</f>
        <v/>
      </c>
      <c r="K237" s="0" t="str">
        <f aca="false">IF(K233&lt;&gt;"",2030,L237)</f>
        <v/>
      </c>
      <c r="L237" s="0" t="str">
        <f aca="false">IF(L233&lt;&gt;"",2031,M237)</f>
        <v/>
      </c>
      <c r="M237" s="0" t="str">
        <f aca="false">IF(M233&lt;&gt;"",2032,"")</f>
        <v/>
      </c>
    </row>
    <row r="238" customFormat="false" ht="17.15" hidden="false" customHeight="false" outlineLevel="0" collapsed="false">
      <c r="A238" s="5" t="s">
        <v>860</v>
      </c>
      <c r="B238" s="0" t="s">
        <v>1080</v>
      </c>
      <c r="C238" s="0" t="s">
        <v>75</v>
      </c>
      <c r="D238" s="24" t="n">
        <f aca="false">SUMIFS(Pipeline!$L$5:$L$47,Pipeline!$C$5:$C$47,"neo",Pipeline!$Q$5:$Q$47,1,Pipeline!$P$5:$P$47,2023)</f>
        <v>0</v>
      </c>
      <c r="E238" s="24" t="n">
        <f aca="false">SUMIFS(Pipeline!$L$5:$L$47,Pipeline!$C$5:$C$47,"neo",Pipeline!$Q$5:$Q$47,1,Pipeline!$P$5:$P$47,2024)</f>
        <v>0</v>
      </c>
      <c r="F238" s="24" t="n">
        <f aca="false">SUMIFS(Pipeline!$L$5:$L$47,Pipeline!$C$5:$C$47,"neo",Pipeline!$Q$5:$Q$47,1,Pipeline!$P$5:$P$47,2025)</f>
        <v>0</v>
      </c>
      <c r="G238" s="24" t="n">
        <f aca="false">SUMIFS(Pipeline!$L$5:$L$47,Pipeline!$C$5:$C$47,"neo",Pipeline!$Q$5:$Q$47,1,Pipeline!$P$5:$P$47,2026)</f>
        <v>0.1</v>
      </c>
      <c r="H238" s="24" t="n">
        <f aca="false">SUMIFS(Pipeline!$L$5:$L$47,Pipeline!$C$5:$C$47,"neo",Pipeline!$Q$5:$Q$47,1,Pipeline!$P$5:$P$47,2027)</f>
        <v>0.7</v>
      </c>
      <c r="I238" s="24" t="n">
        <f aca="false">SUMIFS(Pipeline!$L$5:$L$47,Pipeline!$C$5:$C$47,"neo",Pipeline!$Q$5:$Q$47,1,Pipeline!$P$5:$P$47,2028)</f>
        <v>0.201</v>
      </c>
      <c r="J238" s="24" t="n">
        <f aca="false">SUMIFS(Pipeline!$L$5:$L$47,Pipeline!$C$5:$C$47,"neo",Pipeline!$Q$5:$Q$47,1,Pipeline!$P$5:$P$47,2029)</f>
        <v>0</v>
      </c>
      <c r="K238" s="24" t="n">
        <f aca="false">SUMIFS(Pipeline!$L$5:$L$47,Pipeline!$C$5:$C$47,"neo",Pipeline!$Q$5:$Q$47,1,Pipeline!$P$5:$P$47,2030)</f>
        <v>0</v>
      </c>
      <c r="L238" s="24" t="n">
        <f aca="false">SUMIFS(Pipeline!$L$5:$L$47,Pipeline!$C$5:$C$47,"neo",Pipeline!$Q$5:$Q$47,1,Pipeline!$P$5:$P$47,2031)</f>
        <v>0</v>
      </c>
      <c r="M238" s="24" t="n">
        <f aca="false">SUMIFS(Pipeline!$L$5:$L$47,Pipeline!$C$5:$C$47,"neo",Pipeline!$Q$5:$Q$47,1,Pipeline!$P$5:$P$47,2032)</f>
        <v>0</v>
      </c>
    </row>
    <row r="239" customFormat="false" ht="17.15" hidden="false" customHeight="false" outlineLevel="0" collapsed="false">
      <c r="A239" s="5" t="s">
        <v>862</v>
      </c>
      <c r="B239" s="0" t="s">
        <v>1081</v>
      </c>
      <c r="C239" s="0" t="s">
        <v>75</v>
      </c>
      <c r="D239" s="25" t="str">
        <f aca="false">IF(D233&lt;&gt;"",D233,IF(AND(D234&lt;&gt;"",D236&lt;&gt;""),D234+(D236-D234)*(2023-D235)/(D237-D235),""))</f>
        <v/>
      </c>
      <c r="E239" s="25" t="n">
        <f aca="false">IF(E233&lt;&gt;"",E233,IF(AND(E234&lt;&gt;"",E236&lt;&gt;""),E234+(E236-E234)*(2024-E235)/(E237-E235),IF(D239&lt;&gt;"",D239+E238,"")))</f>
        <v>0.2</v>
      </c>
      <c r="F239" s="25" t="n">
        <f aca="false">IF(F233&lt;&gt;"",F233,IF(AND(F234&lt;&gt;"",F236&lt;&gt;""),F234+(F236-F234)*(2025-F235)/(F237-F235),IF(E239&lt;&gt;"",E239+F238,"")))</f>
        <v>0.5</v>
      </c>
      <c r="G239" s="25" t="n">
        <f aca="false">IF(G233&lt;&gt;"",G233,IF(AND(G234&lt;&gt;"",G236&lt;&gt;""),G234+(G236-G234)*(2026-G235)/(G237-G235),IF(F239&lt;&gt;"",F239+G238,"")))</f>
        <v>1.3</v>
      </c>
      <c r="H239" s="25" t="n">
        <f aca="false">IF(H233&lt;&gt;"",H233,IF(AND(H234&lt;&gt;"",H236&lt;&gt;""),H234+(H236-H234)*(2027-H235)/(H237-H235),IF(G239&lt;&gt;"",G239+H238,"")))</f>
        <v>2</v>
      </c>
      <c r="I239" s="25" t="n">
        <f aca="false">IF(I233&lt;&gt;"",I233,IF(AND(I234&lt;&gt;"",I236&lt;&gt;""),I234+(I236-I234)*(2028-I235)/(I237-I235),IF(H239&lt;&gt;"",H239+I238,"")))</f>
        <v>2.201</v>
      </c>
      <c r="J239" s="25" t="n">
        <f aca="false">IF(J233&lt;&gt;"",J233,IF(AND(J234&lt;&gt;"",J236&lt;&gt;""),J234+(J236-J234)*(2029-J235)/(J237-J235),IF(I239&lt;&gt;"",I239+J238,"")))</f>
        <v>2.201</v>
      </c>
      <c r="K239" s="25" t="n">
        <f aca="false">IF(K233&lt;&gt;"",K233,IF(AND(K234&lt;&gt;"",K236&lt;&gt;""),K234+(K236-K234)*(2030-K235)/(K237-K235),IF(J239&lt;&gt;"",J239+K238,"")))</f>
        <v>2.201</v>
      </c>
      <c r="L239" s="25" t="n">
        <f aca="false">IF(L233&lt;&gt;"",L233,IF(AND(L234&lt;&gt;"",L236&lt;&gt;""),L234+(L236-L234)*(2031-L235)/(L237-L235),IF(K239&lt;&gt;"",K239+L238,"")))</f>
        <v>2.201</v>
      </c>
      <c r="M239" s="25" t="n">
        <f aca="false">IF(M233&lt;&gt;"",M233,IF(AND(M234&lt;&gt;"",M236&lt;&gt;""),M234+(M236-M234)*(2032-M235)/(M237-M235),IF(L239&lt;&gt;"",L239+M238,"")))</f>
        <v>2.201</v>
      </c>
    </row>
    <row r="240" customFormat="false" ht="15" hidden="false" customHeight="false" outlineLevel="0" collapsed="false">
      <c r="A240" s="5" t="s">
        <v>864</v>
      </c>
      <c r="B240" s="0" t="s">
        <v>1082</v>
      </c>
      <c r="C240" s="0" t="s">
        <v>33</v>
      </c>
      <c r="D240" s="0" t="n">
        <f aca="false">IF(D231&lt;&gt;"",1,IF(D232&lt;&gt;"",5,IF(D233&lt;&gt;"",2,IF(AND(D234&lt;&gt;"",D236&lt;&gt;""),3,IF(D239&lt;&gt;"",4,0)))))</f>
        <v>0</v>
      </c>
      <c r="E240" s="0" t="n">
        <f aca="false">IF(E231&lt;&gt;"",1,IF(E232&lt;&gt;"",5,IF(E233&lt;&gt;"",2,IF(AND(E234&lt;&gt;"",E236&lt;&gt;""),3,IF(E239&lt;&gt;"",4,0)))))</f>
        <v>1</v>
      </c>
      <c r="F240" s="0" t="n">
        <f aca="false">IF(F231&lt;&gt;"",1,IF(F232&lt;&gt;"",5,IF(F233&lt;&gt;"",2,IF(AND(F234&lt;&gt;"",F236&lt;&gt;""),3,IF(F239&lt;&gt;"",4,0)))))</f>
        <v>1</v>
      </c>
      <c r="G240" s="0" t="n">
        <f aca="false">IF(G231&lt;&gt;"",1,IF(G232&lt;&gt;"",5,IF(G233&lt;&gt;"",2,IF(AND(G234&lt;&gt;"",G236&lt;&gt;""),3,IF(G239&lt;&gt;"",4,0)))))</f>
        <v>1</v>
      </c>
      <c r="H240" s="0" t="n">
        <f aca="false">IF(H231&lt;&gt;"",1,IF(H232&lt;&gt;"",5,IF(H233&lt;&gt;"",2,IF(AND(H234&lt;&gt;"",H236&lt;&gt;""),3,IF(H239&lt;&gt;"",4,0)))))</f>
        <v>4</v>
      </c>
      <c r="I240" s="0" t="n">
        <f aca="false">IF(I231&lt;&gt;"",1,IF(I232&lt;&gt;"",5,IF(I233&lt;&gt;"",2,IF(AND(I234&lt;&gt;"",I236&lt;&gt;""),3,IF(I239&lt;&gt;"",4,0)))))</f>
        <v>4</v>
      </c>
      <c r="J240" s="0" t="n">
        <f aca="false">IF(J231&lt;&gt;"",1,IF(J232&lt;&gt;"",5,IF(J233&lt;&gt;"",2,IF(AND(J234&lt;&gt;"",J236&lt;&gt;""),3,IF(J239&lt;&gt;"",4,0)))))</f>
        <v>4</v>
      </c>
      <c r="K240" s="0" t="n">
        <f aca="false">IF(K231&lt;&gt;"",1,IF(K232&lt;&gt;"",5,IF(K233&lt;&gt;"",2,IF(AND(K234&lt;&gt;"",K236&lt;&gt;""),3,IF(K239&lt;&gt;"",4,0)))))</f>
        <v>4</v>
      </c>
      <c r="L240" s="0" t="n">
        <f aca="false">IF(L231&lt;&gt;"",1,IF(L232&lt;&gt;"",5,IF(L233&lt;&gt;"",2,IF(AND(L234&lt;&gt;"",L236&lt;&gt;""),3,IF(L239&lt;&gt;"",4,0)))))</f>
        <v>4</v>
      </c>
      <c r="M240" s="0" t="n">
        <f aca="false">IF(M231&lt;&gt;"",1,IF(M232&lt;&gt;"",5,IF(M233&lt;&gt;"",2,IF(AND(M234&lt;&gt;"",M236&lt;&gt;""),3,IF(M239&lt;&gt;"",4,0)))))</f>
        <v>4</v>
      </c>
    </row>
    <row r="241" customFormat="false" ht="17.15" hidden="false" customHeight="false" outlineLevel="0" collapsed="false">
      <c r="A241" s="5" t="s">
        <v>866</v>
      </c>
      <c r="B241" s="0" t="s">
        <v>1083</v>
      </c>
      <c r="C241" s="0" t="s">
        <v>75</v>
      </c>
      <c r="D241" s="24" t="str">
        <f aca="false">IF(D239="","",D239)</f>
        <v/>
      </c>
      <c r="E241" s="24" t="n">
        <f aca="false">IF(E239="","",E239)</f>
        <v>0.2</v>
      </c>
      <c r="F241" s="24" t="n">
        <f aca="false">IF(F239="","",rng25_neo_lo/1000)</f>
        <v>0.3</v>
      </c>
      <c r="G241" s="24" t="n">
        <f aca="false">IF(G239="","",G239)</f>
        <v>1.3</v>
      </c>
      <c r="H241" s="24" t="n">
        <f aca="false">IF(H239="","",H239)</f>
        <v>2</v>
      </c>
      <c r="I241" s="24" t="n">
        <f aca="false">IF(I239="","",I239)</f>
        <v>2.201</v>
      </c>
      <c r="J241" s="24" t="n">
        <f aca="false">IF(J239="","",J239)</f>
        <v>2.201</v>
      </c>
      <c r="K241" s="24" t="n">
        <f aca="false">IF(K239="","",K239)</f>
        <v>2.201</v>
      </c>
      <c r="L241" s="24" t="n">
        <f aca="false">IF(L239="","",L239)</f>
        <v>2.201</v>
      </c>
      <c r="M241" s="24" t="n">
        <f aca="false">IF(M239="","",M239)</f>
        <v>2.201</v>
      </c>
    </row>
    <row r="242" customFormat="false" ht="17.15" hidden="false" customHeight="false" outlineLevel="0" collapsed="false">
      <c r="A242" s="5" t="s">
        <v>868</v>
      </c>
      <c r="B242" s="0" t="s">
        <v>1084</v>
      </c>
      <c r="C242" s="0" t="s">
        <v>75</v>
      </c>
      <c r="D242" s="24" t="str">
        <f aca="false">IF(D239="","",D239)</f>
        <v/>
      </c>
      <c r="E242" s="24" t="n">
        <f aca="false">IF(E239="","",E239)</f>
        <v>0.2</v>
      </c>
      <c r="F242" s="24" t="n">
        <f aca="false">IF(F239="","",rng25_neo_hi/1000)</f>
        <v>0.8</v>
      </c>
      <c r="G242" s="24" t="n">
        <f aca="false">IF(G239="","",G239)</f>
        <v>1.3</v>
      </c>
      <c r="H242" s="24" t="n">
        <f aca="false">IF(H239="","",H239)</f>
        <v>2</v>
      </c>
      <c r="I242" s="24" t="n">
        <f aca="false">IF(I239="","",I239)</f>
        <v>2.201</v>
      </c>
      <c r="J242" s="24" t="n">
        <f aca="false">IF(J239="","",J239)</f>
        <v>2.201</v>
      </c>
      <c r="K242" s="24" t="n">
        <f aca="false">IF(K239="","",K239)</f>
        <v>2.201</v>
      </c>
      <c r="L242" s="24" t="n">
        <f aca="false">IF(L239="","",L239)</f>
        <v>2.201</v>
      </c>
      <c r="M242" s="24" t="n">
        <f aca="false">IF(M239="","",M239)</f>
        <v>2.201</v>
      </c>
    </row>
    <row r="243" customFormat="false" ht="17.15" hidden="false" customHeight="false" outlineLevel="0" collapsed="false">
      <c r="A243" s="5" t="s">
        <v>870</v>
      </c>
      <c r="B243" s="0" t="s">
        <v>1085</v>
      </c>
      <c r="C243" s="0" t="s">
        <v>75</v>
      </c>
      <c r="D243" s="24" t="str">
        <f aca="false">IF(D239="","",IF(In!$C$99="未說明",D239/D$13,D239))</f>
        <v/>
      </c>
      <c r="E243" s="24" t="n">
        <f aca="false">IF(E239="","",IF(In!$C$99="未說明",E239/E$13,E239))</f>
        <v>0.2</v>
      </c>
      <c r="F243" s="24" t="n">
        <f aca="false">IF(F239="","",IF(In!$C$99="未說明",F239/F$13,F239))</f>
        <v>0.5</v>
      </c>
      <c r="G243" s="24" t="n">
        <f aca="false">IF(G239="","",IF(In!$C$99="未說明",G239/G$13,G239))</f>
        <v>1.3</v>
      </c>
      <c r="H243" s="24" t="n">
        <f aca="false">IF(H239="","",IF(In!$C$99="未說明",H239/H$13,H239))</f>
        <v>2</v>
      </c>
      <c r="I243" s="24" t="n">
        <f aca="false">IF(I239="","",IF(In!$C$99="未說明",I239/I$13,I239))</f>
        <v>2.201</v>
      </c>
      <c r="J243" s="24" t="n">
        <f aca="false">IF(J239="","",IF(In!$C$99="未說明",J239/J$13,J239))</f>
        <v>2.201</v>
      </c>
      <c r="K243" s="24" t="n">
        <f aca="false">IF(K239="","",IF(In!$C$99="未說明",K239/K$13,K239))</f>
        <v>2.201</v>
      </c>
      <c r="L243" s="24" t="n">
        <f aca="false">IF(L239="","",IF(In!$C$99="未說明",L239/L$13,L239))</f>
        <v>2.201</v>
      </c>
      <c r="M243" s="24" t="n">
        <f aca="false">IF(M239="","",IF(In!$C$99="未說明",M239/M$13,M239))</f>
        <v>2.201</v>
      </c>
    </row>
    <row r="244" customFormat="false" ht="17.15" hidden="false" customHeight="false" outlineLevel="0" collapsed="false">
      <c r="A244" s="5" t="s">
        <v>872</v>
      </c>
      <c r="B244" s="0" t="s">
        <v>1086</v>
      </c>
      <c r="C244" s="0" t="s">
        <v>75</v>
      </c>
      <c r="D244" s="0" t="str">
        <f aca="false">""</f>
        <v/>
      </c>
      <c r="E244" s="24" t="str">
        <f aca="false">IF(AND(D239&lt;&gt;"",E239&lt;&gt;""),(D239+E239)/2,"")</f>
        <v/>
      </c>
      <c r="F244" s="24" t="n">
        <f aca="false">IF(AND(E239&lt;&gt;"",F239&lt;&gt;""),(E239+F239)/2,"")</f>
        <v>0.35</v>
      </c>
      <c r="G244" s="24" t="n">
        <f aca="false">IF(AND(F239&lt;&gt;"",G239&lt;&gt;""),(F239+G239)/2,"")</f>
        <v>0.9</v>
      </c>
      <c r="H244" s="24" t="n">
        <f aca="false">IF(AND(G239&lt;&gt;"",H239&lt;&gt;""),(G239+H239)/2,"")</f>
        <v>1.65</v>
      </c>
      <c r="I244" s="24" t="n">
        <f aca="false">IF(AND(H239&lt;&gt;"",I239&lt;&gt;""),(H239+I239)/2,"")</f>
        <v>2.1005</v>
      </c>
      <c r="J244" s="24" t="n">
        <f aca="false">IF(AND(I239&lt;&gt;"",J239&lt;&gt;""),(I239+J239)/2,"")</f>
        <v>2.201</v>
      </c>
      <c r="K244" s="24" t="n">
        <f aca="false">IF(AND(J239&lt;&gt;"",K239&lt;&gt;""),(J239+K239)/2,"")</f>
        <v>2.201</v>
      </c>
      <c r="L244" s="24" t="n">
        <f aca="false">IF(AND(K239&lt;&gt;"",L239&lt;&gt;""),(K239+L239)/2,"")</f>
        <v>2.201</v>
      </c>
      <c r="M244" s="24" t="n">
        <f aca="false">IF(AND(L239&lt;&gt;"",M239&lt;&gt;""),(L239+M239)/2,"")</f>
        <v>2.201</v>
      </c>
    </row>
    <row r="245" customFormat="false" ht="17.15" hidden="false" customHeight="false" outlineLevel="0" collapsed="false">
      <c r="A245" s="5" t="s">
        <v>874</v>
      </c>
      <c r="B245" s="0" t="s">
        <v>1087</v>
      </c>
      <c r="C245" s="0" t="s">
        <v>75</v>
      </c>
      <c r="D245" s="0" t="n">
        <v>0</v>
      </c>
      <c r="E245" s="24" t="n">
        <f aca="false">IF(AND(D239&lt;&gt;"",E239&lt;&gt;""),E239-D239,0)</f>
        <v>0</v>
      </c>
      <c r="F245" s="24" t="n">
        <f aca="false">IF(AND(E239&lt;&gt;"",F239&lt;&gt;""),F239-E239,0)</f>
        <v>0.3</v>
      </c>
      <c r="G245" s="24" t="n">
        <f aca="false">IF(AND(F239&lt;&gt;"",G239&lt;&gt;""),G239-F239,0)</f>
        <v>0.8</v>
      </c>
      <c r="H245" s="24" t="n">
        <f aca="false">IF(AND(G239&lt;&gt;"",H239&lt;&gt;""),H239-G239,0)</f>
        <v>0.7</v>
      </c>
      <c r="I245" s="24" t="n">
        <f aca="false">IF(AND(H239&lt;&gt;"",I239&lt;&gt;""),I239-H239,0)</f>
        <v>0.201</v>
      </c>
      <c r="J245" s="24" t="n">
        <f aca="false">IF(AND(I239&lt;&gt;"",J239&lt;&gt;""),J239-I239,0)</f>
        <v>0</v>
      </c>
      <c r="K245" s="24" t="n">
        <f aca="false">IF(AND(J239&lt;&gt;"",K239&lt;&gt;""),K239-J239,0)</f>
        <v>0</v>
      </c>
      <c r="L245" s="24" t="n">
        <f aca="false">IF(AND(K239&lt;&gt;"",L239&lt;&gt;""),L239-K239,0)</f>
        <v>0</v>
      </c>
      <c r="M245" s="24" t="n">
        <f aca="false">IF(AND(L239&lt;&gt;"",M239&lt;&gt;""),M239-L239,0)</f>
        <v>0</v>
      </c>
    </row>
    <row r="246" customFormat="false" ht="17.15" hidden="false" customHeight="false" outlineLevel="0" collapsed="false">
      <c r="A246" s="5" t="s">
        <v>876</v>
      </c>
      <c r="B246" s="0" t="s">
        <v>1088</v>
      </c>
      <c r="C246" s="0" t="s">
        <v>75</v>
      </c>
      <c r="D246" s="24" t="n">
        <f aca="false">IF(D239&lt;&gt;"",D239,0)</f>
        <v>0</v>
      </c>
      <c r="E246" s="24" t="n">
        <f aca="false">IF(AND(D239="",E239&lt;&gt;""),E239,0)</f>
        <v>0.2</v>
      </c>
      <c r="F246" s="24" t="n">
        <f aca="false">IF(AND(E239="",F239&lt;&gt;""),F239,0)</f>
        <v>0</v>
      </c>
      <c r="G246" s="24" t="n">
        <f aca="false">IF(AND(F239="",G239&lt;&gt;""),G239,0)</f>
        <v>0</v>
      </c>
      <c r="H246" s="24" t="n">
        <f aca="false">IF(AND(G239="",H239&lt;&gt;""),H239,0)</f>
        <v>0</v>
      </c>
      <c r="I246" s="24" t="n">
        <f aca="false">IF(AND(H239="",I239&lt;&gt;""),I239,0)</f>
        <v>0</v>
      </c>
      <c r="J246" s="24" t="n">
        <f aca="false">IF(AND(I239="",J239&lt;&gt;""),J239,0)</f>
        <v>0</v>
      </c>
      <c r="K246" s="24" t="n">
        <f aca="false">IF(AND(J239="",K239&lt;&gt;""),K239,0)</f>
        <v>0</v>
      </c>
      <c r="L246" s="24" t="n">
        <f aca="false">IF(AND(K239="",L239&lt;&gt;""),L239,0)</f>
        <v>0</v>
      </c>
      <c r="M246" s="24" t="n">
        <f aca="false">IF(AND(L239="",M239&lt;&gt;""),M239,0)</f>
        <v>0</v>
      </c>
    </row>
    <row r="247" customFormat="false" ht="17.15" hidden="false" customHeight="false" outlineLevel="0" collapsed="false">
      <c r="A247" s="5" t="s">
        <v>878</v>
      </c>
      <c r="B247" s="0" t="s">
        <v>1089</v>
      </c>
      <c r="C247" s="0" t="s">
        <v>50</v>
      </c>
      <c r="D247" s="23" t="n">
        <f aca="false">D$12</f>
        <v>0.238210067173108</v>
      </c>
      <c r="E247" s="23" t="n">
        <f aca="false">E$12</f>
        <v>0.238210067173108</v>
      </c>
      <c r="F247" s="23" t="n">
        <f aca="false">F$12</f>
        <v>0.238210067173108</v>
      </c>
      <c r="G247" s="23" t="n">
        <f aca="false">G$12</f>
        <v>0.238210067173108</v>
      </c>
      <c r="H247" s="23" t="n">
        <f aca="false">H$12</f>
        <v>0.273101862203342</v>
      </c>
      <c r="I247" s="23" t="n">
        <f aca="false">I$12</f>
        <v>0.269621396123668</v>
      </c>
      <c r="J247" s="23" t="n">
        <f aca="false">J$12</f>
        <v>0.272187509408712</v>
      </c>
      <c r="K247" s="23" t="n">
        <f aca="false">K$12</f>
        <v>0.272187509408712</v>
      </c>
      <c r="L247" s="23" t="n">
        <f aca="false">L$12</f>
        <v>0.272187509408712</v>
      </c>
      <c r="M247" s="23" t="n">
        <f aca="false">M$12</f>
        <v>0.272187509408712</v>
      </c>
    </row>
    <row r="249" customFormat="false" ht="17.15" hidden="false" customHeight="false" outlineLevel="0" collapsed="false">
      <c r="A249" s="21" t="s">
        <v>1090</v>
      </c>
      <c r="B249" s="20" t="s">
        <v>577</v>
      </c>
      <c r="N249" s="20" t="s">
        <v>1091</v>
      </c>
    </row>
    <row r="250" customFormat="false" ht="17.15" hidden="false" customHeight="false" outlineLevel="0" collapsed="false">
      <c r="A250" s="5" t="s">
        <v>846</v>
      </c>
      <c r="B250" s="0" t="s">
        <v>1092</v>
      </c>
      <c r="C250" s="0" t="s">
        <v>75</v>
      </c>
      <c r="D250" s="24" t="str">
        <f aca="false">IF(In!$H$100="","",IF(In!$C$100="設施",In!$H$100/1000/D$13,In!$H$100/1000))</f>
        <v/>
      </c>
      <c r="E250" s="24" t="str">
        <f aca="false">IF(In!$I$100="","",IF(In!$C$100="設施",In!$I$100/1000/E$13,In!$I$100/1000))</f>
        <v/>
      </c>
      <c r="F250" s="24" t="n">
        <f aca="false">IF(In!$J$100="","",IF(In!$C$100="設施",In!$J$100/1000/F$13,In!$J$100/1000))</f>
        <v>0</v>
      </c>
      <c r="G250" s="24" t="str">
        <f aca="false">IF(In!$K$100="","",IF(In!$C$100="設施",In!$K$100/1000/G$13,In!$K$100/1000))</f>
        <v/>
      </c>
      <c r="H250" s="24" t="str">
        <f aca="false">IF(In!$L$100="","",IF(In!$C$100="設施",In!$L$100/1000/H$13,In!$L$100/1000))</f>
        <v/>
      </c>
      <c r="I250" s="24" t="str">
        <f aca="false">IF(In!$M$100="","",IF(In!$C$100="設施",In!$M$100/1000/I$13,In!$M$100/1000))</f>
        <v/>
      </c>
      <c r="J250" s="24" t="str">
        <f aca="false">IF(In!$N$100="","",IF(In!$C$100="設施",In!$N$100/1000/J$13,In!$N$100/1000))</f>
        <v/>
      </c>
      <c r="K250" s="24" t="str">
        <f aca="false">IF(In!$O$100="","",IF(In!$C$100="設施",In!$O$100/1000/K$13,In!$O$100/1000))</f>
        <v/>
      </c>
      <c r="L250" s="24" t="str">
        <f aca="false">IF(In!$P$100="","",IF(In!$C$100="設施",In!$P$100/1000/L$13,In!$P$100/1000))</f>
        <v/>
      </c>
      <c r="M250" s="24" t="str">
        <f aca="false">IF(In!$Q$100="","",IF(In!$C$100="設施",In!$Q$100/1000/M$13,In!$Q$100/1000))</f>
        <v/>
      </c>
    </row>
    <row r="251" customFormat="false" ht="17.15" hidden="false" customHeight="false" outlineLevel="0" collapsed="false">
      <c r="A251" s="5" t="s">
        <v>848</v>
      </c>
      <c r="B251" s="0" t="s">
        <v>1093</v>
      </c>
      <c r="C251" s="0" t="s">
        <v>75</v>
      </c>
      <c r="D251" s="0" t="str">
        <f aca="false">""</f>
        <v/>
      </c>
      <c r="E251" s="0" t="str">
        <f aca="false">""</f>
        <v/>
      </c>
      <c r="F251" s="0" t="str">
        <f aca="false">""</f>
        <v/>
      </c>
      <c r="G251" s="0" t="str">
        <f aca="false">""</f>
        <v/>
      </c>
      <c r="H251" s="0" t="str">
        <f aca="false">""</f>
        <v/>
      </c>
      <c r="I251" s="0" t="str">
        <f aca="false">""</f>
        <v/>
      </c>
      <c r="J251" s="0" t="str">
        <f aca="false">""</f>
        <v/>
      </c>
      <c r="K251" s="0" t="str">
        <f aca="false">""</f>
        <v/>
      </c>
      <c r="L251" s="0" t="str">
        <f aca="false">""</f>
        <v/>
      </c>
      <c r="M251" s="0" t="str">
        <f aca="false">""</f>
        <v/>
      </c>
    </row>
    <row r="252" customFormat="false" ht="15" hidden="false" customHeight="false" outlineLevel="0" collapsed="false">
      <c r="A252" s="5" t="s">
        <v>850</v>
      </c>
      <c r="B252" s="0" t="s">
        <v>1094</v>
      </c>
      <c r="C252" s="0" t="s">
        <v>75</v>
      </c>
      <c r="D252" s="0" t="str">
        <f aca="false">IF(D250&lt;&gt;"",D250,IF(D251&lt;&gt;"",D251,""))</f>
        <v/>
      </c>
      <c r="E252" s="0" t="str">
        <f aca="false">IF(E250&lt;&gt;"",E250,IF(E251&lt;&gt;"",E251,""))</f>
        <v/>
      </c>
      <c r="F252" s="24" t="n">
        <f aca="false">IF(F250&lt;&gt;"",F250,IF(F251&lt;&gt;"",F251,""))</f>
        <v>0</v>
      </c>
      <c r="G252" s="0" t="str">
        <f aca="false">IF(G250&lt;&gt;"",G250,IF(G251&lt;&gt;"",G251,""))</f>
        <v/>
      </c>
      <c r="H252" s="0" t="str">
        <f aca="false">IF(H250&lt;&gt;"",H250,IF(H251&lt;&gt;"",H251,""))</f>
        <v/>
      </c>
      <c r="I252" s="0" t="str">
        <f aca="false">IF(I250&lt;&gt;"",I250,IF(I251&lt;&gt;"",I251,""))</f>
        <v/>
      </c>
      <c r="J252" s="0" t="str">
        <f aca="false">IF(J250&lt;&gt;"",J250,IF(J251&lt;&gt;"",J251,""))</f>
        <v/>
      </c>
      <c r="K252" s="0" t="str">
        <f aca="false">IF(K250&lt;&gt;"",K250,IF(K251&lt;&gt;"",K251,""))</f>
        <v/>
      </c>
      <c r="L252" s="0" t="str">
        <f aca="false">IF(L250&lt;&gt;"",L250,IF(L251&lt;&gt;"",L251,""))</f>
        <v/>
      </c>
      <c r="M252" s="0" t="str">
        <f aca="false">IF(M250&lt;&gt;"",M250,IF(M251&lt;&gt;"",M251,""))</f>
        <v/>
      </c>
    </row>
    <row r="253" customFormat="false" ht="15" hidden="false" customHeight="false" outlineLevel="0" collapsed="false">
      <c r="A253" s="5" t="s">
        <v>852</v>
      </c>
      <c r="B253" s="0" t="s">
        <v>1095</v>
      </c>
      <c r="C253" s="0" t="s">
        <v>75</v>
      </c>
      <c r="D253" s="0" t="str">
        <f aca="false">IF(D252&lt;&gt;"",D252,"")</f>
        <v/>
      </c>
      <c r="E253" s="0" t="str">
        <f aca="false">IF(E252&lt;&gt;"",E252,D253)</f>
        <v/>
      </c>
      <c r="F253" s="24" t="n">
        <f aca="false">IF(F252&lt;&gt;"",F252,E253)</f>
        <v>0</v>
      </c>
      <c r="G253" s="24" t="n">
        <f aca="false">IF(G252&lt;&gt;"",G252,F253)</f>
        <v>0</v>
      </c>
      <c r="H253" s="24" t="n">
        <f aca="false">IF(H252&lt;&gt;"",H252,G253)</f>
        <v>0</v>
      </c>
      <c r="I253" s="24" t="n">
        <f aca="false">IF(I252&lt;&gt;"",I252,H253)</f>
        <v>0</v>
      </c>
      <c r="J253" s="24" t="n">
        <f aca="false">IF(J252&lt;&gt;"",J252,I253)</f>
        <v>0</v>
      </c>
      <c r="K253" s="24" t="n">
        <f aca="false">IF(K252&lt;&gt;"",K252,J253)</f>
        <v>0</v>
      </c>
      <c r="L253" s="24" t="n">
        <f aca="false">IF(L252&lt;&gt;"",L252,K253)</f>
        <v>0</v>
      </c>
      <c r="M253" s="24" t="n">
        <f aca="false">IF(M252&lt;&gt;"",M252,L253)</f>
        <v>0</v>
      </c>
    </row>
    <row r="254" customFormat="false" ht="15" hidden="false" customHeight="false" outlineLevel="0" collapsed="false">
      <c r="A254" s="5" t="s">
        <v>854</v>
      </c>
      <c r="B254" s="0" t="s">
        <v>1096</v>
      </c>
      <c r="C254" s="5" t="s">
        <v>45</v>
      </c>
      <c r="D254" s="0" t="str">
        <f aca="false">IF(D252&lt;&gt;"",2023,"")</f>
        <v/>
      </c>
      <c r="E254" s="0" t="str">
        <f aca="false">IF(E252&lt;&gt;"",2024,D254)</f>
        <v/>
      </c>
      <c r="F254" s="0" t="n">
        <f aca="false">IF(F252&lt;&gt;"",2025,E254)</f>
        <v>2025</v>
      </c>
      <c r="G254" s="0" t="n">
        <f aca="false">IF(G252&lt;&gt;"",2026,F254)</f>
        <v>2025</v>
      </c>
      <c r="H254" s="0" t="n">
        <f aca="false">IF(H252&lt;&gt;"",2027,G254)</f>
        <v>2025</v>
      </c>
      <c r="I254" s="0" t="n">
        <f aca="false">IF(I252&lt;&gt;"",2028,H254)</f>
        <v>2025</v>
      </c>
      <c r="J254" s="0" t="n">
        <f aca="false">IF(J252&lt;&gt;"",2029,I254)</f>
        <v>2025</v>
      </c>
      <c r="K254" s="0" t="n">
        <f aca="false">IF(K252&lt;&gt;"",2030,J254)</f>
        <v>2025</v>
      </c>
      <c r="L254" s="0" t="n">
        <f aca="false">IF(L252&lt;&gt;"",2031,K254)</f>
        <v>2025</v>
      </c>
      <c r="M254" s="0" t="n">
        <f aca="false">IF(M252&lt;&gt;"",2032,L254)</f>
        <v>2025</v>
      </c>
    </row>
    <row r="255" customFormat="false" ht="15" hidden="false" customHeight="false" outlineLevel="0" collapsed="false">
      <c r="A255" s="5" t="s">
        <v>856</v>
      </c>
      <c r="B255" s="0" t="s">
        <v>1097</v>
      </c>
      <c r="C255" s="0" t="s">
        <v>75</v>
      </c>
      <c r="D255" s="24" t="n">
        <f aca="false">IF(D252&lt;&gt;"",D252,E255)</f>
        <v>0</v>
      </c>
      <c r="E255" s="24" t="n">
        <f aca="false">IF(E252&lt;&gt;"",E252,F255)</f>
        <v>0</v>
      </c>
      <c r="F255" s="24" t="n">
        <f aca="false">IF(F252&lt;&gt;"",F252,G255)</f>
        <v>0</v>
      </c>
      <c r="G255" s="0" t="str">
        <f aca="false">IF(G252&lt;&gt;"",G252,H255)</f>
        <v/>
      </c>
      <c r="H255" s="0" t="str">
        <f aca="false">IF(H252&lt;&gt;"",H252,I255)</f>
        <v/>
      </c>
      <c r="I255" s="0" t="str">
        <f aca="false">IF(I252&lt;&gt;"",I252,J255)</f>
        <v/>
      </c>
      <c r="J255" s="0" t="str">
        <f aca="false">IF(J252&lt;&gt;"",J252,K255)</f>
        <v/>
      </c>
      <c r="K255" s="0" t="str">
        <f aca="false">IF(K252&lt;&gt;"",K252,L255)</f>
        <v/>
      </c>
      <c r="L255" s="0" t="str">
        <f aca="false">IF(L252&lt;&gt;"",L252,M255)</f>
        <v/>
      </c>
      <c r="M255" s="0" t="str">
        <f aca="false">IF(M252&lt;&gt;"",M252,"")</f>
        <v/>
      </c>
    </row>
    <row r="256" customFormat="false" ht="15" hidden="false" customHeight="false" outlineLevel="0" collapsed="false">
      <c r="A256" s="5" t="s">
        <v>858</v>
      </c>
      <c r="B256" s="0" t="s">
        <v>1098</v>
      </c>
      <c r="C256" s="5" t="s">
        <v>45</v>
      </c>
      <c r="D256" s="0" t="n">
        <f aca="false">IF(D252&lt;&gt;"",2023,E256)</f>
        <v>2025</v>
      </c>
      <c r="E256" s="0" t="n">
        <f aca="false">IF(E252&lt;&gt;"",2024,F256)</f>
        <v>2025</v>
      </c>
      <c r="F256" s="0" t="n">
        <f aca="false">IF(F252&lt;&gt;"",2025,G256)</f>
        <v>2025</v>
      </c>
      <c r="G256" s="0" t="str">
        <f aca="false">IF(G252&lt;&gt;"",2026,H256)</f>
        <v/>
      </c>
      <c r="H256" s="0" t="str">
        <f aca="false">IF(H252&lt;&gt;"",2027,I256)</f>
        <v/>
      </c>
      <c r="I256" s="0" t="str">
        <f aca="false">IF(I252&lt;&gt;"",2028,J256)</f>
        <v/>
      </c>
      <c r="J256" s="0" t="str">
        <f aca="false">IF(J252&lt;&gt;"",2029,K256)</f>
        <v/>
      </c>
      <c r="K256" s="0" t="str">
        <f aca="false">IF(K252&lt;&gt;"",2030,L256)</f>
        <v/>
      </c>
      <c r="L256" s="0" t="str">
        <f aca="false">IF(L252&lt;&gt;"",2031,M256)</f>
        <v/>
      </c>
      <c r="M256" s="0" t="str">
        <f aca="false">IF(M252&lt;&gt;"",2032,"")</f>
        <v/>
      </c>
    </row>
    <row r="257" customFormat="false" ht="17.15" hidden="false" customHeight="false" outlineLevel="0" collapsed="false">
      <c r="A257" s="5" t="s">
        <v>860</v>
      </c>
      <c r="B257" s="0" t="s">
        <v>1099</v>
      </c>
      <c r="C257" s="0" t="s">
        <v>75</v>
      </c>
      <c r="D257" s="24" t="n">
        <f aca="false">SUMIFS(Pipeline!$L$5:$L$47,Pipeline!$C$5:$C$47,"sov",Pipeline!$Q$5:$Q$47,1,Pipeline!$P$5:$P$47,2023)</f>
        <v>0</v>
      </c>
      <c r="E257" s="24" t="n">
        <f aca="false">SUMIFS(Pipeline!$L$5:$L$47,Pipeline!$C$5:$C$47,"sov",Pipeline!$Q$5:$Q$47,1,Pipeline!$P$5:$P$47,2024)</f>
        <v>0</v>
      </c>
      <c r="F257" s="24" t="n">
        <f aca="false">SUMIFS(Pipeline!$L$5:$L$47,Pipeline!$C$5:$C$47,"sov",Pipeline!$Q$5:$Q$47,1,Pipeline!$P$5:$P$47,2025)</f>
        <v>0</v>
      </c>
      <c r="G257" s="24" t="n">
        <f aca="false">SUMIFS(Pipeline!$L$5:$L$47,Pipeline!$C$5:$C$47,"sov",Pipeline!$Q$5:$Q$47,1,Pipeline!$P$5:$P$47,2026)</f>
        <v>0.2</v>
      </c>
      <c r="H257" s="24" t="n">
        <f aca="false">SUMIFS(Pipeline!$L$5:$L$47,Pipeline!$C$5:$C$47,"sov",Pipeline!$Q$5:$Q$47,1,Pipeline!$P$5:$P$47,2027)</f>
        <v>0</v>
      </c>
      <c r="I257" s="24" t="n">
        <f aca="false">SUMIFS(Pipeline!$L$5:$L$47,Pipeline!$C$5:$C$47,"sov",Pipeline!$Q$5:$Q$47,1,Pipeline!$P$5:$P$47,2028)</f>
        <v>0</v>
      </c>
      <c r="J257" s="24" t="n">
        <f aca="false">SUMIFS(Pipeline!$L$5:$L$47,Pipeline!$C$5:$C$47,"sov",Pipeline!$Q$5:$Q$47,1,Pipeline!$P$5:$P$47,2029)</f>
        <v>0</v>
      </c>
      <c r="K257" s="24" t="n">
        <f aca="false">SUMIFS(Pipeline!$L$5:$L$47,Pipeline!$C$5:$C$47,"sov",Pipeline!$Q$5:$Q$47,1,Pipeline!$P$5:$P$47,2030)</f>
        <v>1.7</v>
      </c>
      <c r="L257" s="24" t="n">
        <f aca="false">SUMIFS(Pipeline!$L$5:$L$47,Pipeline!$C$5:$C$47,"sov",Pipeline!$Q$5:$Q$47,1,Pipeline!$P$5:$P$47,2031)</f>
        <v>0</v>
      </c>
      <c r="M257" s="24" t="n">
        <f aca="false">SUMIFS(Pipeline!$L$5:$L$47,Pipeline!$C$5:$C$47,"sov",Pipeline!$Q$5:$Q$47,1,Pipeline!$P$5:$P$47,2032)</f>
        <v>0</v>
      </c>
    </row>
    <row r="258" customFormat="false" ht="17.15" hidden="false" customHeight="false" outlineLevel="0" collapsed="false">
      <c r="A258" s="5" t="s">
        <v>862</v>
      </c>
      <c r="B258" s="0" t="s">
        <v>1100</v>
      </c>
      <c r="C258" s="0" t="s">
        <v>75</v>
      </c>
      <c r="D258" s="25" t="str">
        <f aca="false">IF(D252&lt;&gt;"",D252,IF(AND(D253&lt;&gt;"",D255&lt;&gt;""),D253+(D255-D253)*(2023-D254)/(D256-D254),""))</f>
        <v/>
      </c>
      <c r="E258" s="25" t="str">
        <f aca="false">IF(E252&lt;&gt;"",E252,IF(AND(E253&lt;&gt;"",E255&lt;&gt;""),E253+(E255-E253)*(2024-E254)/(E256-E254),IF(D258&lt;&gt;"",D258+E257,"")))</f>
        <v/>
      </c>
      <c r="F258" s="25" t="n">
        <f aca="false">IF(F252&lt;&gt;"",F252,IF(AND(F253&lt;&gt;"",F255&lt;&gt;""),F253+(F255-F253)*(2025-F254)/(F256-F254),IF(E258&lt;&gt;"",E258+F257,"")))</f>
        <v>0</v>
      </c>
      <c r="G258" s="25" t="n">
        <f aca="false">IF(G252&lt;&gt;"",G252,IF(AND(G253&lt;&gt;"",G255&lt;&gt;""),G253+(G255-G253)*(2026-G254)/(G256-G254),IF(F258&lt;&gt;"",F258+G257,"")))</f>
        <v>0.2</v>
      </c>
      <c r="H258" s="25" t="n">
        <f aca="false">IF(H252&lt;&gt;"",H252,IF(AND(H253&lt;&gt;"",H255&lt;&gt;""),H253+(H255-H253)*(2027-H254)/(H256-H254),IF(G258&lt;&gt;"",G258+H257,"")))</f>
        <v>0.2</v>
      </c>
      <c r="I258" s="25" t="n">
        <f aca="false">IF(I252&lt;&gt;"",I252,IF(AND(I253&lt;&gt;"",I255&lt;&gt;""),I253+(I255-I253)*(2028-I254)/(I256-I254),IF(H258&lt;&gt;"",H258+I257,"")))</f>
        <v>0.2</v>
      </c>
      <c r="J258" s="25" t="n">
        <f aca="false">IF(J252&lt;&gt;"",J252,IF(AND(J253&lt;&gt;"",J255&lt;&gt;""),J253+(J255-J253)*(2029-J254)/(J256-J254),IF(I258&lt;&gt;"",I258+J257,"")))</f>
        <v>0.2</v>
      </c>
      <c r="K258" s="25" t="n">
        <f aca="false">IF(K252&lt;&gt;"",K252,IF(AND(K253&lt;&gt;"",K255&lt;&gt;""),K253+(K255-K253)*(2030-K254)/(K256-K254),IF(J258&lt;&gt;"",J258+K257,"")))</f>
        <v>1.9</v>
      </c>
      <c r="L258" s="25" t="n">
        <f aca="false">IF(L252&lt;&gt;"",L252,IF(AND(L253&lt;&gt;"",L255&lt;&gt;""),L253+(L255-L253)*(2031-L254)/(L256-L254),IF(K258&lt;&gt;"",K258+L257,"")))</f>
        <v>1.9</v>
      </c>
      <c r="M258" s="25" t="n">
        <f aca="false">IF(M252&lt;&gt;"",M252,IF(AND(M253&lt;&gt;"",M255&lt;&gt;""),M253+(M255-M253)*(2032-M254)/(M256-M254),IF(L258&lt;&gt;"",L258+M257,"")))</f>
        <v>1.9</v>
      </c>
    </row>
    <row r="259" customFormat="false" ht="15" hidden="false" customHeight="false" outlineLevel="0" collapsed="false">
      <c r="A259" s="5" t="s">
        <v>864</v>
      </c>
      <c r="B259" s="0" t="s">
        <v>1101</v>
      </c>
      <c r="C259" s="0" t="s">
        <v>33</v>
      </c>
      <c r="D259" s="0" t="n">
        <f aca="false">IF(D250&lt;&gt;"",1,IF(D251&lt;&gt;"",5,IF(D252&lt;&gt;"",2,IF(AND(D253&lt;&gt;"",D255&lt;&gt;""),3,IF(D258&lt;&gt;"",4,0)))))</f>
        <v>0</v>
      </c>
      <c r="E259" s="0" t="n">
        <f aca="false">IF(E250&lt;&gt;"",1,IF(E251&lt;&gt;"",5,IF(E252&lt;&gt;"",2,IF(AND(E253&lt;&gt;"",E255&lt;&gt;""),3,IF(E258&lt;&gt;"",4,0)))))</f>
        <v>0</v>
      </c>
      <c r="F259" s="0" t="n">
        <f aca="false">IF(F250&lt;&gt;"",1,IF(F251&lt;&gt;"",5,IF(F252&lt;&gt;"",2,IF(AND(F253&lt;&gt;"",F255&lt;&gt;""),3,IF(F258&lt;&gt;"",4,0)))))</f>
        <v>1</v>
      </c>
      <c r="G259" s="0" t="n">
        <f aca="false">IF(G250&lt;&gt;"",1,IF(G251&lt;&gt;"",5,IF(G252&lt;&gt;"",2,IF(AND(G253&lt;&gt;"",G255&lt;&gt;""),3,IF(G258&lt;&gt;"",4,0)))))</f>
        <v>4</v>
      </c>
      <c r="H259" s="0" t="n">
        <f aca="false">IF(H250&lt;&gt;"",1,IF(H251&lt;&gt;"",5,IF(H252&lt;&gt;"",2,IF(AND(H253&lt;&gt;"",H255&lt;&gt;""),3,IF(H258&lt;&gt;"",4,0)))))</f>
        <v>4</v>
      </c>
      <c r="I259" s="0" t="n">
        <f aca="false">IF(I250&lt;&gt;"",1,IF(I251&lt;&gt;"",5,IF(I252&lt;&gt;"",2,IF(AND(I253&lt;&gt;"",I255&lt;&gt;""),3,IF(I258&lt;&gt;"",4,0)))))</f>
        <v>4</v>
      </c>
      <c r="J259" s="0" t="n">
        <f aca="false">IF(J250&lt;&gt;"",1,IF(J251&lt;&gt;"",5,IF(J252&lt;&gt;"",2,IF(AND(J253&lt;&gt;"",J255&lt;&gt;""),3,IF(J258&lt;&gt;"",4,0)))))</f>
        <v>4</v>
      </c>
      <c r="K259" s="0" t="n">
        <f aca="false">IF(K250&lt;&gt;"",1,IF(K251&lt;&gt;"",5,IF(K252&lt;&gt;"",2,IF(AND(K253&lt;&gt;"",K255&lt;&gt;""),3,IF(K258&lt;&gt;"",4,0)))))</f>
        <v>4</v>
      </c>
      <c r="L259" s="0" t="n">
        <f aca="false">IF(L250&lt;&gt;"",1,IF(L251&lt;&gt;"",5,IF(L252&lt;&gt;"",2,IF(AND(L253&lt;&gt;"",L255&lt;&gt;""),3,IF(L258&lt;&gt;"",4,0)))))</f>
        <v>4</v>
      </c>
      <c r="M259" s="0" t="n">
        <f aca="false">IF(M250&lt;&gt;"",1,IF(M251&lt;&gt;"",5,IF(M252&lt;&gt;"",2,IF(AND(M253&lt;&gt;"",M255&lt;&gt;""),3,IF(M258&lt;&gt;"",4,0)))))</f>
        <v>4</v>
      </c>
    </row>
    <row r="260" customFormat="false" ht="17.15" hidden="false" customHeight="false" outlineLevel="0" collapsed="false">
      <c r="A260" s="5" t="s">
        <v>866</v>
      </c>
      <c r="B260" s="0" t="s">
        <v>1102</v>
      </c>
      <c r="C260" s="0" t="s">
        <v>75</v>
      </c>
      <c r="D260" s="24" t="str">
        <f aca="false">IF(D258="","",D258)</f>
        <v/>
      </c>
      <c r="E260" s="24" t="str">
        <f aca="false">IF(E258="","",E258)</f>
        <v/>
      </c>
      <c r="F260" s="24" t="n">
        <f aca="false">IF(F258="","",F258)</f>
        <v>0</v>
      </c>
      <c r="G260" s="24" t="n">
        <f aca="false">IF(G258="","",G258)</f>
        <v>0.2</v>
      </c>
      <c r="H260" s="24" t="n">
        <f aca="false">IF(H258="","",H258)</f>
        <v>0.2</v>
      </c>
      <c r="I260" s="24" t="n">
        <f aca="false">IF(I258="","",I258)</f>
        <v>0.2</v>
      </c>
      <c r="J260" s="24" t="n">
        <f aca="false">IF(J258="","",J258)</f>
        <v>0.2</v>
      </c>
      <c r="K260" s="24" t="n">
        <f aca="false">IF(K258="","",K258)</f>
        <v>1.9</v>
      </c>
      <c r="L260" s="24" t="n">
        <f aca="false">IF(L258="","",L258)</f>
        <v>1.9</v>
      </c>
      <c r="M260" s="24" t="n">
        <f aca="false">IF(M258="","",M258)</f>
        <v>1.9</v>
      </c>
    </row>
    <row r="261" customFormat="false" ht="17.15" hidden="false" customHeight="false" outlineLevel="0" collapsed="false">
      <c r="A261" s="5" t="s">
        <v>868</v>
      </c>
      <c r="B261" s="0" t="s">
        <v>1103</v>
      </c>
      <c r="C261" s="0" t="s">
        <v>75</v>
      </c>
      <c r="D261" s="24" t="str">
        <f aca="false">IF(D258="","",D258)</f>
        <v/>
      </c>
      <c r="E261" s="24" t="str">
        <f aca="false">IF(E258="","",E258)</f>
        <v/>
      </c>
      <c r="F261" s="24" t="n">
        <f aca="false">IF(F258="","",F258)</f>
        <v>0</v>
      </c>
      <c r="G261" s="24" t="n">
        <f aca="false">IF(G258="","",G258)</f>
        <v>0.2</v>
      </c>
      <c r="H261" s="24" t="n">
        <f aca="false">IF(H258="","",H258)</f>
        <v>0.2</v>
      </c>
      <c r="I261" s="24" t="n">
        <f aca="false">IF(I258="","",I258)</f>
        <v>0.2</v>
      </c>
      <c r="J261" s="24" t="n">
        <f aca="false">IF(J258="","",J258)</f>
        <v>0.2</v>
      </c>
      <c r="K261" s="24" t="n">
        <f aca="false">IF(K258="","",K258)</f>
        <v>1.9</v>
      </c>
      <c r="L261" s="24" t="n">
        <f aca="false">IF(L258="","",L258)</f>
        <v>1.9</v>
      </c>
      <c r="M261" s="24" t="n">
        <f aca="false">IF(M258="","",M258)</f>
        <v>1.9</v>
      </c>
    </row>
    <row r="262" customFormat="false" ht="17.15" hidden="false" customHeight="false" outlineLevel="0" collapsed="false">
      <c r="A262" s="5" t="s">
        <v>870</v>
      </c>
      <c r="B262" s="0" t="s">
        <v>1104</v>
      </c>
      <c r="C262" s="0" t="s">
        <v>75</v>
      </c>
      <c r="D262" s="24" t="str">
        <f aca="false">IF(D258="","",IF(In!$C$100="未說明",D258/D$13,D258))</f>
        <v/>
      </c>
      <c r="E262" s="24" t="str">
        <f aca="false">IF(E258="","",IF(In!$C$100="未說明",E258/E$13,E258))</f>
        <v/>
      </c>
      <c r="F262" s="24" t="n">
        <f aca="false">IF(F258="","",IF(In!$C$100="未說明",F258/F$13,F258))</f>
        <v>0</v>
      </c>
      <c r="G262" s="24" t="n">
        <f aca="false">IF(G258="","",IF(In!$C$100="未說明",G258/G$13,G258))</f>
        <v>0.166666666666667</v>
      </c>
      <c r="H262" s="24" t="n">
        <f aca="false">IF(H258="","",IF(In!$C$100="未說明",H258/H$13,H258))</f>
        <v>0.166666666666667</v>
      </c>
      <c r="I262" s="24" t="n">
        <f aca="false">IF(I258="","",IF(In!$C$100="未說明",I258/I$13,I258))</f>
        <v>0.166666666666667</v>
      </c>
      <c r="J262" s="24" t="n">
        <f aca="false">IF(J258="","",IF(In!$C$100="未說明",J258/J$13,J258))</f>
        <v>0.166666666666667</v>
      </c>
      <c r="K262" s="24" t="n">
        <f aca="false">IF(K258="","",IF(In!$C$100="未說明",K258/K$13,K258))</f>
        <v>1.58333333333333</v>
      </c>
      <c r="L262" s="24" t="n">
        <f aca="false">IF(L258="","",IF(In!$C$100="未說明",L258/L$13,L258))</f>
        <v>1.58333333333333</v>
      </c>
      <c r="M262" s="24" t="n">
        <f aca="false">IF(M258="","",IF(In!$C$100="未說明",M258/M$13,M258))</f>
        <v>1.58333333333333</v>
      </c>
    </row>
    <row r="263" customFormat="false" ht="17.15" hidden="false" customHeight="false" outlineLevel="0" collapsed="false">
      <c r="A263" s="5" t="s">
        <v>872</v>
      </c>
      <c r="B263" s="0" t="s">
        <v>1105</v>
      </c>
      <c r="C263" s="0" t="s">
        <v>75</v>
      </c>
      <c r="D263" s="0" t="str">
        <f aca="false">""</f>
        <v/>
      </c>
      <c r="E263" s="24" t="str">
        <f aca="false">IF(AND(D258&lt;&gt;"",E258&lt;&gt;""),(D258+E258)/2,"")</f>
        <v/>
      </c>
      <c r="F263" s="24" t="str">
        <f aca="false">IF(AND(E258&lt;&gt;"",F258&lt;&gt;""),(E258+F258)/2,"")</f>
        <v/>
      </c>
      <c r="G263" s="24" t="n">
        <f aca="false">IF(AND(F258&lt;&gt;"",G258&lt;&gt;""),(F258+G258)/2,"")</f>
        <v>0.1</v>
      </c>
      <c r="H263" s="24" t="n">
        <f aca="false">IF(AND(G258&lt;&gt;"",H258&lt;&gt;""),(G258+H258)/2,"")</f>
        <v>0.2</v>
      </c>
      <c r="I263" s="24" t="n">
        <f aca="false">IF(AND(H258&lt;&gt;"",I258&lt;&gt;""),(H258+I258)/2,"")</f>
        <v>0.2</v>
      </c>
      <c r="J263" s="24" t="n">
        <f aca="false">IF(AND(I258&lt;&gt;"",J258&lt;&gt;""),(I258+J258)/2,"")</f>
        <v>0.2</v>
      </c>
      <c r="K263" s="24" t="n">
        <f aca="false">IF(AND(J258&lt;&gt;"",K258&lt;&gt;""),(J258+K258)/2,"")</f>
        <v>1.05</v>
      </c>
      <c r="L263" s="24" t="n">
        <f aca="false">IF(AND(K258&lt;&gt;"",L258&lt;&gt;""),(K258+L258)/2,"")</f>
        <v>1.9</v>
      </c>
      <c r="M263" s="24" t="n">
        <f aca="false">IF(AND(L258&lt;&gt;"",M258&lt;&gt;""),(L258+M258)/2,"")</f>
        <v>1.9</v>
      </c>
    </row>
    <row r="264" customFormat="false" ht="17.15" hidden="false" customHeight="false" outlineLevel="0" collapsed="false">
      <c r="A264" s="5" t="s">
        <v>874</v>
      </c>
      <c r="B264" s="0" t="s">
        <v>1106</v>
      </c>
      <c r="C264" s="0" t="s">
        <v>75</v>
      </c>
      <c r="D264" s="0" t="n">
        <v>0</v>
      </c>
      <c r="E264" s="24" t="n">
        <f aca="false">IF(AND(D258&lt;&gt;"",E258&lt;&gt;""),E258-D258,0)</f>
        <v>0</v>
      </c>
      <c r="F264" s="24" t="n">
        <f aca="false">IF(AND(E258&lt;&gt;"",F258&lt;&gt;""),F258-E258,0)</f>
        <v>0</v>
      </c>
      <c r="G264" s="24" t="n">
        <f aca="false">IF(AND(F258&lt;&gt;"",G258&lt;&gt;""),G258-F258,0)</f>
        <v>0.2</v>
      </c>
      <c r="H264" s="24" t="n">
        <f aca="false">IF(AND(G258&lt;&gt;"",H258&lt;&gt;""),H258-G258,0)</f>
        <v>0</v>
      </c>
      <c r="I264" s="24" t="n">
        <f aca="false">IF(AND(H258&lt;&gt;"",I258&lt;&gt;""),I258-H258,0)</f>
        <v>0</v>
      </c>
      <c r="J264" s="24" t="n">
        <f aca="false">IF(AND(I258&lt;&gt;"",J258&lt;&gt;""),J258-I258,0)</f>
        <v>0</v>
      </c>
      <c r="K264" s="24" t="n">
        <f aca="false">IF(AND(J258&lt;&gt;"",K258&lt;&gt;""),K258-J258,0)</f>
        <v>1.7</v>
      </c>
      <c r="L264" s="24" t="n">
        <f aca="false">IF(AND(K258&lt;&gt;"",L258&lt;&gt;""),L258-K258,0)</f>
        <v>0</v>
      </c>
      <c r="M264" s="24" t="n">
        <f aca="false">IF(AND(L258&lt;&gt;"",M258&lt;&gt;""),M258-L258,0)</f>
        <v>0</v>
      </c>
    </row>
    <row r="265" customFormat="false" ht="17.15" hidden="false" customHeight="false" outlineLevel="0" collapsed="false">
      <c r="A265" s="5" t="s">
        <v>876</v>
      </c>
      <c r="B265" s="0" t="s">
        <v>1107</v>
      </c>
      <c r="C265" s="0" t="s">
        <v>75</v>
      </c>
      <c r="D265" s="24" t="n">
        <f aca="false">IF(D258&lt;&gt;"",D258,0)</f>
        <v>0</v>
      </c>
      <c r="E265" s="24" t="n">
        <f aca="false">IF(AND(D258="",E258&lt;&gt;""),E258,0)</f>
        <v>0</v>
      </c>
      <c r="F265" s="24" t="n">
        <f aca="false">IF(AND(E258="",F258&lt;&gt;""),F258,0)</f>
        <v>0</v>
      </c>
      <c r="G265" s="24" t="n">
        <f aca="false">IF(AND(F258="",G258&lt;&gt;""),G258,0)</f>
        <v>0</v>
      </c>
      <c r="H265" s="24" t="n">
        <f aca="false">IF(AND(G258="",H258&lt;&gt;""),H258,0)</f>
        <v>0</v>
      </c>
      <c r="I265" s="24" t="n">
        <f aca="false">IF(AND(H258="",I258&lt;&gt;""),I258,0)</f>
        <v>0</v>
      </c>
      <c r="J265" s="24" t="n">
        <f aca="false">IF(AND(I258="",J258&lt;&gt;""),J258,0)</f>
        <v>0</v>
      </c>
      <c r="K265" s="24" t="n">
        <f aca="false">IF(AND(J258="",K258&lt;&gt;""),K258,0)</f>
        <v>0</v>
      </c>
      <c r="L265" s="24" t="n">
        <f aca="false">IF(AND(K258="",L258&lt;&gt;""),L258,0)</f>
        <v>0</v>
      </c>
      <c r="M265" s="24" t="n">
        <f aca="false">IF(AND(L258="",M258&lt;&gt;""),M258,0)</f>
        <v>0</v>
      </c>
    </row>
    <row r="266" customFormat="false" ht="17.15" hidden="false" customHeight="false" outlineLevel="0" collapsed="false">
      <c r="A266" s="5" t="s">
        <v>878</v>
      </c>
      <c r="B266" s="0" t="s">
        <v>1108</v>
      </c>
      <c r="C266" s="0" t="s">
        <v>50</v>
      </c>
      <c r="D266" s="23" t="n">
        <f aca="false">D$12</f>
        <v>0.238210067173108</v>
      </c>
      <c r="E266" s="23" t="n">
        <f aca="false">E$12</f>
        <v>0.238210067173108</v>
      </c>
      <c r="F266" s="23" t="n">
        <f aca="false">F$12</f>
        <v>0.238210067173108</v>
      </c>
      <c r="G266" s="23" t="n">
        <f aca="false">G$12</f>
        <v>0.238210067173108</v>
      </c>
      <c r="H266" s="23" t="n">
        <f aca="false">H$12</f>
        <v>0.273101862203342</v>
      </c>
      <c r="I266" s="23" t="n">
        <f aca="false">I$12</f>
        <v>0.269621396123668</v>
      </c>
      <c r="J266" s="23" t="n">
        <f aca="false">J$12</f>
        <v>0.272187509408712</v>
      </c>
      <c r="K266" s="23" t="n">
        <f aca="false">K$12</f>
        <v>0.272187509408712</v>
      </c>
      <c r="L266" s="23" t="n">
        <f aca="false">L$12</f>
        <v>0.272187509408712</v>
      </c>
      <c r="M266" s="23" t="n">
        <f aca="false">M$12</f>
        <v>0.272187509408712</v>
      </c>
    </row>
    <row r="268" customFormat="false" ht="17.15" hidden="false" customHeight="false" outlineLevel="0" collapsed="false">
      <c r="A268" s="21" t="s">
        <v>1109</v>
      </c>
      <c r="B268" s="20" t="s">
        <v>487</v>
      </c>
      <c r="N268" s="20" t="s">
        <v>1110</v>
      </c>
    </row>
    <row r="269" customFormat="false" ht="17.15" hidden="false" customHeight="false" outlineLevel="0" collapsed="false">
      <c r="A269" s="5" t="s">
        <v>846</v>
      </c>
      <c r="B269" s="0" t="s">
        <v>1111</v>
      </c>
      <c r="C269" s="0" t="s">
        <v>75</v>
      </c>
      <c r="D269" s="24" t="str">
        <f aca="false">IF(In!$H$101="","",IF(In!$C$101="設施",In!$H$101/1000/D$13,In!$H$101/1000))</f>
        <v/>
      </c>
      <c r="E269" s="24" t="str">
        <f aca="false">IF(In!$I$101="","",IF(In!$C$101="設施",In!$I$101/1000/E$13,In!$I$101/1000))</f>
        <v/>
      </c>
      <c r="F269" s="24" t="n">
        <f aca="false">IF(In!$J$101="","",IF(In!$C$101="設施",In!$J$101/1000/F$13,In!$J$101/1000))</f>
        <v>8.33333333333333</v>
      </c>
      <c r="G269" s="24" t="n">
        <f aca="false">IF(In!$K$101="","",IF(In!$C$101="設施",In!$K$101/1000/G$13,In!$K$101/1000))</f>
        <v>11.6666666666667</v>
      </c>
      <c r="H269" s="24" t="str">
        <f aca="false">IF(In!$L$101="","",IF(In!$C$101="設施",In!$L$101/1000/H$13,In!$L$101/1000))</f>
        <v/>
      </c>
      <c r="I269" s="24" t="str">
        <f aca="false">IF(In!$M$101="","",IF(In!$C$101="設施",In!$M$101/1000/I$13,In!$M$101/1000))</f>
        <v/>
      </c>
      <c r="J269" s="24" t="str">
        <f aca="false">IF(In!$N$101="","",IF(In!$C$101="設施",In!$N$101/1000/J$13,In!$N$101/1000))</f>
        <v/>
      </c>
      <c r="K269" s="24" t="str">
        <f aca="false">IF(In!$O$101="","",IF(In!$C$101="設施",In!$O$101/1000/K$13,In!$O$101/1000))</f>
        <v/>
      </c>
      <c r="L269" s="24" t="str">
        <f aca="false">IF(In!$P$101="","",IF(In!$C$101="設施",In!$P$101/1000/L$13,In!$P$101/1000))</f>
        <v/>
      </c>
      <c r="M269" s="24" t="str">
        <f aca="false">IF(In!$Q$101="","",IF(In!$C$101="設施",In!$Q$101/1000/M$13,In!$Q$101/1000))</f>
        <v/>
      </c>
    </row>
    <row r="270" customFormat="false" ht="17.15" hidden="false" customHeight="false" outlineLevel="0" collapsed="false">
      <c r="A270" s="5" t="s">
        <v>848</v>
      </c>
      <c r="B270" s="0" t="s">
        <v>1112</v>
      </c>
      <c r="C270" s="0" t="s">
        <v>75</v>
      </c>
      <c r="D270" s="0" t="str">
        <f aca="false">""</f>
        <v/>
      </c>
      <c r="E270" s="0" t="str">
        <f aca="false">""</f>
        <v/>
      </c>
      <c r="F270" s="0" t="str">
        <f aca="false">""</f>
        <v/>
      </c>
      <c r="G270" s="0" t="str">
        <f aca="false">""</f>
        <v/>
      </c>
      <c r="H270" s="0" t="str">
        <f aca="false">""</f>
        <v/>
      </c>
      <c r="I270" s="0" t="str">
        <f aca="false">""</f>
        <v/>
      </c>
      <c r="J270" s="0" t="str">
        <f aca="false">""</f>
        <v/>
      </c>
      <c r="K270" s="0" t="str">
        <f aca="false">""</f>
        <v/>
      </c>
      <c r="L270" s="0" t="str">
        <f aca="false">""</f>
        <v/>
      </c>
      <c r="M270" s="0" t="str">
        <f aca="false">""</f>
        <v/>
      </c>
    </row>
    <row r="271" customFormat="false" ht="15" hidden="false" customHeight="false" outlineLevel="0" collapsed="false">
      <c r="A271" s="5" t="s">
        <v>850</v>
      </c>
      <c r="B271" s="0" t="s">
        <v>1113</v>
      </c>
      <c r="C271" s="0" t="s">
        <v>75</v>
      </c>
      <c r="D271" s="0" t="str">
        <f aca="false">IF(D269&lt;&gt;"",D269,IF(D270&lt;&gt;"",D270,""))</f>
        <v/>
      </c>
      <c r="E271" s="0" t="str">
        <f aca="false">IF(E269&lt;&gt;"",E269,IF(E270&lt;&gt;"",E270,""))</f>
        <v/>
      </c>
      <c r="F271" s="24" t="n">
        <f aca="false">IF(F269&lt;&gt;"",F269,IF(F270&lt;&gt;"",F270,""))</f>
        <v>8.33333333333333</v>
      </c>
      <c r="G271" s="24" t="n">
        <f aca="false">IF(G269&lt;&gt;"",G269,IF(G270&lt;&gt;"",G270,""))</f>
        <v>11.6666666666667</v>
      </c>
      <c r="H271" s="0" t="str">
        <f aca="false">IF(H269&lt;&gt;"",H269,IF(H270&lt;&gt;"",H270,""))</f>
        <v/>
      </c>
      <c r="I271" s="0" t="str">
        <f aca="false">IF(I269&lt;&gt;"",I269,IF(I270&lt;&gt;"",I270,""))</f>
        <v/>
      </c>
      <c r="J271" s="0" t="str">
        <f aca="false">IF(J269&lt;&gt;"",J269,IF(J270&lt;&gt;"",J270,""))</f>
        <v/>
      </c>
      <c r="K271" s="0" t="str">
        <f aca="false">IF(K269&lt;&gt;"",K269,IF(K270&lt;&gt;"",K270,""))</f>
        <v/>
      </c>
      <c r="L271" s="0" t="str">
        <f aca="false">IF(L269&lt;&gt;"",L269,IF(L270&lt;&gt;"",L270,""))</f>
        <v/>
      </c>
      <c r="M271" s="0" t="str">
        <f aca="false">IF(M269&lt;&gt;"",M269,IF(M270&lt;&gt;"",M270,""))</f>
        <v/>
      </c>
    </row>
    <row r="272" customFormat="false" ht="15" hidden="false" customHeight="false" outlineLevel="0" collapsed="false">
      <c r="A272" s="5" t="s">
        <v>852</v>
      </c>
      <c r="B272" s="0" t="s">
        <v>1114</v>
      </c>
      <c r="C272" s="0" t="s">
        <v>75</v>
      </c>
      <c r="D272" s="0" t="str">
        <f aca="false">IF(D271&lt;&gt;"",D271,"")</f>
        <v/>
      </c>
      <c r="E272" s="0" t="str">
        <f aca="false">IF(E271&lt;&gt;"",E271,D272)</f>
        <v/>
      </c>
      <c r="F272" s="24" t="n">
        <f aca="false">IF(F271&lt;&gt;"",F271,E272)</f>
        <v>8.33333333333333</v>
      </c>
      <c r="G272" s="24" t="n">
        <f aca="false">IF(G271&lt;&gt;"",G271,F272)</f>
        <v>11.6666666666667</v>
      </c>
      <c r="H272" s="24" t="n">
        <f aca="false">IF(H271&lt;&gt;"",H271,G272)</f>
        <v>11.6666666666667</v>
      </c>
      <c r="I272" s="24" t="n">
        <f aca="false">IF(I271&lt;&gt;"",I271,H272)</f>
        <v>11.6666666666667</v>
      </c>
      <c r="J272" s="24" t="n">
        <f aca="false">IF(J271&lt;&gt;"",J271,I272)</f>
        <v>11.6666666666667</v>
      </c>
      <c r="K272" s="24" t="n">
        <f aca="false">IF(K271&lt;&gt;"",K271,J272)</f>
        <v>11.6666666666667</v>
      </c>
      <c r="L272" s="24" t="n">
        <f aca="false">IF(L271&lt;&gt;"",L271,K272)</f>
        <v>11.6666666666667</v>
      </c>
      <c r="M272" s="24" t="n">
        <f aca="false">IF(M271&lt;&gt;"",M271,L272)</f>
        <v>11.6666666666667</v>
      </c>
    </row>
    <row r="273" customFormat="false" ht="15" hidden="false" customHeight="false" outlineLevel="0" collapsed="false">
      <c r="A273" s="5" t="s">
        <v>854</v>
      </c>
      <c r="B273" s="0" t="s">
        <v>1115</v>
      </c>
      <c r="C273" s="5" t="s">
        <v>45</v>
      </c>
      <c r="D273" s="0" t="str">
        <f aca="false">IF(D271&lt;&gt;"",2023,"")</f>
        <v/>
      </c>
      <c r="E273" s="0" t="str">
        <f aca="false">IF(E271&lt;&gt;"",2024,D273)</f>
        <v/>
      </c>
      <c r="F273" s="0" t="n">
        <f aca="false">IF(F271&lt;&gt;"",2025,E273)</f>
        <v>2025</v>
      </c>
      <c r="G273" s="0" t="n">
        <f aca="false">IF(G271&lt;&gt;"",2026,F273)</f>
        <v>2026</v>
      </c>
      <c r="H273" s="0" t="n">
        <f aca="false">IF(H271&lt;&gt;"",2027,G273)</f>
        <v>2026</v>
      </c>
      <c r="I273" s="0" t="n">
        <f aca="false">IF(I271&lt;&gt;"",2028,H273)</f>
        <v>2026</v>
      </c>
      <c r="J273" s="0" t="n">
        <f aca="false">IF(J271&lt;&gt;"",2029,I273)</f>
        <v>2026</v>
      </c>
      <c r="K273" s="0" t="n">
        <f aca="false">IF(K271&lt;&gt;"",2030,J273)</f>
        <v>2026</v>
      </c>
      <c r="L273" s="0" t="n">
        <f aca="false">IF(L271&lt;&gt;"",2031,K273)</f>
        <v>2026</v>
      </c>
      <c r="M273" s="0" t="n">
        <f aca="false">IF(M271&lt;&gt;"",2032,L273)</f>
        <v>2026</v>
      </c>
    </row>
    <row r="274" customFormat="false" ht="15" hidden="false" customHeight="false" outlineLevel="0" collapsed="false">
      <c r="A274" s="5" t="s">
        <v>856</v>
      </c>
      <c r="B274" s="0" t="s">
        <v>1116</v>
      </c>
      <c r="C274" s="0" t="s">
        <v>75</v>
      </c>
      <c r="D274" s="24" t="n">
        <f aca="false">IF(D271&lt;&gt;"",D271,E274)</f>
        <v>8.33333333333333</v>
      </c>
      <c r="E274" s="24" t="n">
        <f aca="false">IF(E271&lt;&gt;"",E271,F274)</f>
        <v>8.33333333333333</v>
      </c>
      <c r="F274" s="24" t="n">
        <f aca="false">IF(F271&lt;&gt;"",F271,G274)</f>
        <v>8.33333333333333</v>
      </c>
      <c r="G274" s="24" t="n">
        <f aca="false">IF(G271&lt;&gt;"",G271,H274)</f>
        <v>11.6666666666667</v>
      </c>
      <c r="H274" s="0" t="str">
        <f aca="false">IF(H271&lt;&gt;"",H271,I274)</f>
        <v/>
      </c>
      <c r="I274" s="0" t="str">
        <f aca="false">IF(I271&lt;&gt;"",I271,J274)</f>
        <v/>
      </c>
      <c r="J274" s="0" t="str">
        <f aca="false">IF(J271&lt;&gt;"",J271,K274)</f>
        <v/>
      </c>
      <c r="K274" s="0" t="str">
        <f aca="false">IF(K271&lt;&gt;"",K271,L274)</f>
        <v/>
      </c>
      <c r="L274" s="0" t="str">
        <f aca="false">IF(L271&lt;&gt;"",L271,M274)</f>
        <v/>
      </c>
      <c r="M274" s="0" t="str">
        <f aca="false">IF(M271&lt;&gt;"",M271,"")</f>
        <v/>
      </c>
    </row>
    <row r="275" customFormat="false" ht="15" hidden="false" customHeight="false" outlineLevel="0" collapsed="false">
      <c r="A275" s="5" t="s">
        <v>858</v>
      </c>
      <c r="B275" s="0" t="s">
        <v>1117</v>
      </c>
      <c r="C275" s="5" t="s">
        <v>45</v>
      </c>
      <c r="D275" s="0" t="n">
        <f aca="false">IF(D271&lt;&gt;"",2023,E275)</f>
        <v>2025</v>
      </c>
      <c r="E275" s="0" t="n">
        <f aca="false">IF(E271&lt;&gt;"",2024,F275)</f>
        <v>2025</v>
      </c>
      <c r="F275" s="0" t="n">
        <f aca="false">IF(F271&lt;&gt;"",2025,G275)</f>
        <v>2025</v>
      </c>
      <c r="G275" s="0" t="n">
        <f aca="false">IF(G271&lt;&gt;"",2026,H275)</f>
        <v>2026</v>
      </c>
      <c r="H275" s="0" t="str">
        <f aca="false">IF(H271&lt;&gt;"",2027,I275)</f>
        <v/>
      </c>
      <c r="I275" s="0" t="str">
        <f aca="false">IF(I271&lt;&gt;"",2028,J275)</f>
        <v/>
      </c>
      <c r="J275" s="0" t="str">
        <f aca="false">IF(J271&lt;&gt;"",2029,K275)</f>
        <v/>
      </c>
      <c r="K275" s="0" t="str">
        <f aca="false">IF(K271&lt;&gt;"",2030,L275)</f>
        <v/>
      </c>
      <c r="L275" s="0" t="str">
        <f aca="false">IF(L271&lt;&gt;"",2031,M275)</f>
        <v/>
      </c>
      <c r="M275" s="0" t="str">
        <f aca="false">IF(M271&lt;&gt;"",2032,"")</f>
        <v/>
      </c>
    </row>
    <row r="276" customFormat="false" ht="17.15" hidden="false" customHeight="false" outlineLevel="0" collapsed="false">
      <c r="A276" s="5" t="s">
        <v>860</v>
      </c>
      <c r="B276" s="0" t="s">
        <v>1118</v>
      </c>
      <c r="C276" s="0" t="s">
        <v>75</v>
      </c>
      <c r="D276" s="24" t="n">
        <f aca="false">SUMIFS(Pipeline!$L$5:$L$47,Pipeline!$C$5:$C$47,"cn",Pipeline!$Q$5:$Q$47,1,Pipeline!$P$5:$P$47,2023)</f>
        <v>0</v>
      </c>
      <c r="E276" s="24" t="n">
        <f aca="false">SUMIFS(Pipeline!$L$5:$L$47,Pipeline!$C$5:$C$47,"cn",Pipeline!$Q$5:$Q$47,1,Pipeline!$P$5:$P$47,2024)</f>
        <v>0</v>
      </c>
      <c r="F276" s="24" t="n">
        <f aca="false">SUMIFS(Pipeline!$L$5:$L$47,Pipeline!$C$5:$C$47,"cn",Pipeline!$Q$5:$Q$47,1,Pipeline!$P$5:$P$47,2025)</f>
        <v>0</v>
      </c>
      <c r="G276" s="24" t="n">
        <f aca="false">SUMIFS(Pipeline!$L$5:$L$47,Pipeline!$C$5:$C$47,"cn",Pipeline!$Q$5:$Q$47,1,Pipeline!$P$5:$P$47,2026)</f>
        <v>0</v>
      </c>
      <c r="H276" s="24" t="n">
        <f aca="false">SUMIFS(Pipeline!$L$5:$L$47,Pipeline!$C$5:$C$47,"cn",Pipeline!$Q$5:$Q$47,1,Pipeline!$P$5:$P$47,2027)</f>
        <v>0</v>
      </c>
      <c r="I276" s="24" t="n">
        <f aca="false">SUMIFS(Pipeline!$L$5:$L$47,Pipeline!$C$5:$C$47,"cn",Pipeline!$Q$5:$Q$47,1,Pipeline!$P$5:$P$47,2028)</f>
        <v>0</v>
      </c>
      <c r="J276" s="24" t="n">
        <f aca="false">SUMIFS(Pipeline!$L$5:$L$47,Pipeline!$C$5:$C$47,"cn",Pipeline!$Q$5:$Q$47,1,Pipeline!$P$5:$P$47,2029)</f>
        <v>0</v>
      </c>
      <c r="K276" s="24" t="n">
        <f aca="false">SUMIFS(Pipeline!$L$5:$L$47,Pipeline!$C$5:$C$47,"cn",Pipeline!$Q$5:$Q$47,1,Pipeline!$P$5:$P$47,2030)</f>
        <v>0</v>
      </c>
      <c r="L276" s="24" t="n">
        <f aca="false">SUMIFS(Pipeline!$L$5:$L$47,Pipeline!$C$5:$C$47,"cn",Pipeline!$Q$5:$Q$47,1,Pipeline!$P$5:$P$47,2031)</f>
        <v>0</v>
      </c>
      <c r="M276" s="24" t="n">
        <f aca="false">SUMIFS(Pipeline!$L$5:$L$47,Pipeline!$C$5:$C$47,"cn",Pipeline!$Q$5:$Q$47,1,Pipeline!$P$5:$P$47,2032)</f>
        <v>0</v>
      </c>
    </row>
    <row r="277" customFormat="false" ht="17.15" hidden="false" customHeight="false" outlineLevel="0" collapsed="false">
      <c r="A277" s="5" t="s">
        <v>862</v>
      </c>
      <c r="B277" s="0" t="s">
        <v>1119</v>
      </c>
      <c r="C277" s="0" t="s">
        <v>75</v>
      </c>
      <c r="D277" s="25" t="str">
        <f aca="false">IF(D271&lt;&gt;"",D271,IF(AND(D272&lt;&gt;"",D274&lt;&gt;""),D272+(D274-D272)*(2023-D273)/(D275-D273),""))</f>
        <v/>
      </c>
      <c r="E277" s="25" t="str">
        <f aca="false">IF(E271&lt;&gt;"",E271,IF(AND(E272&lt;&gt;"",E274&lt;&gt;""),E272+(E274-E272)*(2024-E273)/(E275-E273),IF(D277&lt;&gt;"",D277+E276,"")))</f>
        <v/>
      </c>
      <c r="F277" s="25" t="n">
        <f aca="false">IF(F271&lt;&gt;"",F271,IF(AND(F272&lt;&gt;"",F274&lt;&gt;""),F272+(F274-F272)*(2025-F273)/(F275-F273),IF(E277&lt;&gt;"",E277+F276,"")))</f>
        <v>8.33333333333333</v>
      </c>
      <c r="G277" s="25" t="n">
        <f aca="false">IF(G271&lt;&gt;"",G271,IF(AND(G272&lt;&gt;"",G274&lt;&gt;""),G272+(G274-G272)*(2026-G273)/(G275-G273),IF(F277&lt;&gt;"",F277+G276,"")))</f>
        <v>11.6666666666667</v>
      </c>
      <c r="H277" s="25" t="n">
        <f aca="false">IF(H271&lt;&gt;"",H271,IF(AND(H272&lt;&gt;"",H274&lt;&gt;""),H272+(H274-H272)*(2027-H273)/(H275-H273),IF(G277="","",G277*(cn_tot26*(cn_tot30/cn_tot26)^((2027-2026)/4))*(cn_sh26+(cn_sh30-cn_sh26)*(2027-2026)/4)/(cn_tot26*cn_sh26))))</f>
        <v>13.6561711245072</v>
      </c>
      <c r="I277" s="25" t="n">
        <f aca="false">IF(I271&lt;&gt;"",I271,IF(AND(I272&lt;&gt;"",I274&lt;&gt;""),I272+(I274-I272)*(2028-I273)/(I275-I273),IF(G277="","",G277*(cn_tot26*(cn_tot30/cn_tot26)^((2028-2026)/4))*(cn_sh26+(cn_sh30-cn_sh26)*(2028-2026)/4)/(cn_tot26*cn_sh26))))</f>
        <v>15.9373851854162</v>
      </c>
      <c r="J277" s="25" t="n">
        <f aca="false">IF(J271&lt;&gt;"",J271,IF(AND(J272&lt;&gt;"",J274&lt;&gt;""),J272+(J274-J272)*(2029-J273)/(J275-J273),IF(G277="","",G277*(cn_tot26*(cn_tot30/cn_tot26)^((2029-2026)/4))*(cn_sh26+(cn_sh30-cn_sh26)*(2029-2026)/4)/(cn_tot26*cn_sh26))))</f>
        <v>18.5499065164136</v>
      </c>
      <c r="K277" s="25" t="n">
        <f aca="false">IF(K271&lt;&gt;"",K271,IF(AND(K272&lt;&gt;"",K274&lt;&gt;""),K272+(K274-K272)*(2030-K273)/(K275-K273),IF(G277="","",G277*(cn_tot26*(cn_tot30/cn_tot26)^((2030-2026)/4))*(cn_sh26+(cn_sh30-cn_sh26)*(2030-2026)/4)/(cn_tot26*cn_sh26))))</f>
        <v>21.5384615384615</v>
      </c>
      <c r="L277" s="25" t="n">
        <f aca="false">IF(L271&lt;&gt;"",L271,IF(AND(L272&lt;&gt;"",L274&lt;&gt;""),L272+(L274-L272)*(2031-L273)/(L275-L273),IF(K277&lt;&gt;"",K277*(1+g_lt),"")))</f>
        <v>23.6923076923077</v>
      </c>
      <c r="M277" s="25" t="n">
        <f aca="false">IF(M271&lt;&gt;"",M271,IF(AND(M272&lt;&gt;"",M274&lt;&gt;""),M272+(M274-M272)*(2032-M273)/(M275-M273),IF(L277&lt;&gt;"",L277*(1+g_lt),"")))</f>
        <v>26.0615384615385</v>
      </c>
    </row>
    <row r="278" customFormat="false" ht="15" hidden="false" customHeight="false" outlineLevel="0" collapsed="false">
      <c r="A278" s="5" t="s">
        <v>864</v>
      </c>
      <c r="B278" s="0" t="s">
        <v>1120</v>
      </c>
      <c r="C278" s="0" t="s">
        <v>33</v>
      </c>
      <c r="D278" s="0" t="n">
        <f aca="false">IF(D269&lt;&gt;"",1,IF(D270&lt;&gt;"",5,IF(D271&lt;&gt;"",2,IF(AND(D272&lt;&gt;"",D274&lt;&gt;""),3,IF(D277&lt;&gt;"",4,0)))))</f>
        <v>0</v>
      </c>
      <c r="E278" s="0" t="n">
        <f aca="false">IF(E269&lt;&gt;"",1,IF(E270&lt;&gt;"",5,IF(E271&lt;&gt;"",2,IF(AND(E272&lt;&gt;"",E274&lt;&gt;""),3,IF(E277&lt;&gt;"",4,0)))))</f>
        <v>0</v>
      </c>
      <c r="F278" s="0" t="n">
        <f aca="false">IF(F269&lt;&gt;"",1,IF(F270&lt;&gt;"",5,IF(F271&lt;&gt;"",2,IF(AND(F272&lt;&gt;"",F274&lt;&gt;""),3,IF(F277&lt;&gt;"",4,0)))))</f>
        <v>1</v>
      </c>
      <c r="G278" s="0" t="n">
        <f aca="false">IF(G269&lt;&gt;"",1,IF(G270&lt;&gt;"",5,IF(G271&lt;&gt;"",2,IF(AND(G272&lt;&gt;"",G274&lt;&gt;""),3,IF(G277&lt;&gt;"",4,0)))))</f>
        <v>1</v>
      </c>
      <c r="H278" s="0" t="n">
        <f aca="false">IF(H269&lt;&gt;"",1,IF(H270&lt;&gt;"",5,IF(H271&lt;&gt;"",2,IF(AND(H272&lt;&gt;"",H274&lt;&gt;""),3,IF(H277&lt;&gt;"",4,0)))))</f>
        <v>4</v>
      </c>
      <c r="I278" s="0" t="n">
        <f aca="false">IF(I269&lt;&gt;"",1,IF(I270&lt;&gt;"",5,IF(I271&lt;&gt;"",2,IF(AND(I272&lt;&gt;"",I274&lt;&gt;""),3,IF(I277&lt;&gt;"",4,0)))))</f>
        <v>4</v>
      </c>
      <c r="J278" s="0" t="n">
        <f aca="false">IF(J269&lt;&gt;"",1,IF(J270&lt;&gt;"",5,IF(J271&lt;&gt;"",2,IF(AND(J272&lt;&gt;"",J274&lt;&gt;""),3,IF(J277&lt;&gt;"",4,0)))))</f>
        <v>4</v>
      </c>
      <c r="K278" s="0" t="n">
        <f aca="false">IF(K269&lt;&gt;"",1,IF(K270&lt;&gt;"",5,IF(K271&lt;&gt;"",2,IF(AND(K272&lt;&gt;"",K274&lt;&gt;""),3,IF(K277&lt;&gt;"",4,0)))))</f>
        <v>4</v>
      </c>
      <c r="L278" s="0" t="n">
        <f aca="false">IF(L269&lt;&gt;"",1,IF(L270&lt;&gt;"",5,IF(L271&lt;&gt;"",2,IF(AND(L272&lt;&gt;"",L274&lt;&gt;""),3,IF(L277&lt;&gt;"",4,0)))))</f>
        <v>4</v>
      </c>
      <c r="M278" s="0" t="n">
        <f aca="false">IF(M269&lt;&gt;"",1,IF(M270&lt;&gt;"",5,IF(M271&lt;&gt;"",2,IF(AND(M272&lt;&gt;"",M274&lt;&gt;""),3,IF(M277&lt;&gt;"",4,0)))))</f>
        <v>4</v>
      </c>
    </row>
    <row r="279" customFormat="false" ht="17.15" hidden="false" customHeight="false" outlineLevel="0" collapsed="false">
      <c r="A279" s="5" t="s">
        <v>866</v>
      </c>
      <c r="B279" s="0" t="s">
        <v>1121</v>
      </c>
      <c r="C279" s="0" t="s">
        <v>75</v>
      </c>
      <c r="D279" s="24" t="str">
        <f aca="false">IF(D277="","",D277)</f>
        <v/>
      </c>
      <c r="E279" s="24" t="str">
        <f aca="false">IF(E277="","",E277)</f>
        <v/>
      </c>
      <c r="F279" s="24" t="n">
        <f aca="false">IF(F277="","",rng25_cn_lo/1000/F$13)</f>
        <v>6.66666666666667</v>
      </c>
      <c r="G279" s="24" t="n">
        <f aca="false">IF(G277="","",rng26_cn_lo/1000/G$13)</f>
        <v>10</v>
      </c>
      <c r="H279" s="24" t="n">
        <f aca="false">IF(H277="","",H277)</f>
        <v>13.6561711245072</v>
      </c>
      <c r="I279" s="24" t="n">
        <f aca="false">IF(I277="","",I277)</f>
        <v>15.9373851854162</v>
      </c>
      <c r="J279" s="24" t="n">
        <f aca="false">IF(J277="","",J277)</f>
        <v>18.5499065164136</v>
      </c>
      <c r="K279" s="24" t="n">
        <f aca="false">IF(K277="","",K277)</f>
        <v>21.5384615384615</v>
      </c>
      <c r="L279" s="24" t="n">
        <f aca="false">IF(L277="","",L277)</f>
        <v>23.6923076923077</v>
      </c>
      <c r="M279" s="24" t="n">
        <f aca="false">IF(M277="","",M277)</f>
        <v>26.0615384615385</v>
      </c>
    </row>
    <row r="280" customFormat="false" ht="17.15" hidden="false" customHeight="false" outlineLevel="0" collapsed="false">
      <c r="A280" s="5" t="s">
        <v>868</v>
      </c>
      <c r="B280" s="0" t="s">
        <v>1122</v>
      </c>
      <c r="C280" s="0" t="s">
        <v>75</v>
      </c>
      <c r="D280" s="24" t="str">
        <f aca="false">IF(D277="","",D277)</f>
        <v/>
      </c>
      <c r="E280" s="24" t="str">
        <f aca="false">IF(E277="","",E277)</f>
        <v/>
      </c>
      <c r="F280" s="24" t="n">
        <f aca="false">IF(F277="","",rng25_cn_hi/1000/F$13)</f>
        <v>10</v>
      </c>
      <c r="G280" s="24" t="n">
        <f aca="false">IF(G277="","",rng26_cn_hi/1000/G$13)</f>
        <v>13.3333333333333</v>
      </c>
      <c r="H280" s="24" t="n">
        <f aca="false">IF(H277="","",H277)</f>
        <v>13.6561711245072</v>
      </c>
      <c r="I280" s="24" t="n">
        <f aca="false">IF(I277="","",I277)</f>
        <v>15.9373851854162</v>
      </c>
      <c r="J280" s="24" t="n">
        <f aca="false">IF(J277="","",J277)</f>
        <v>18.5499065164136</v>
      </c>
      <c r="K280" s="24" t="n">
        <f aca="false">IF(K277="","",K277)</f>
        <v>21.5384615384615</v>
      </c>
      <c r="L280" s="24" t="n">
        <f aca="false">IF(L277="","",L277)</f>
        <v>23.6923076923077</v>
      </c>
      <c r="M280" s="24" t="n">
        <f aca="false">IF(M277="","",M277)</f>
        <v>26.0615384615385</v>
      </c>
    </row>
    <row r="281" customFormat="false" ht="17.15" hidden="false" customHeight="false" outlineLevel="0" collapsed="false">
      <c r="A281" s="5" t="s">
        <v>870</v>
      </c>
      <c r="B281" s="0" t="s">
        <v>1123</v>
      </c>
      <c r="C281" s="0" t="s">
        <v>75</v>
      </c>
      <c r="D281" s="24" t="str">
        <f aca="false">IF(D277="","",IF(In!$C$101="未說明",D277/D$13,D277))</f>
        <v/>
      </c>
      <c r="E281" s="24" t="str">
        <f aca="false">IF(E277="","",IF(In!$C$101="未說明",E277/E$13,E277))</f>
        <v/>
      </c>
      <c r="F281" s="24" t="n">
        <f aca="false">IF(F277="","",IF(In!$C$101="未說明",F277/F$13,F277))</f>
        <v>8.33333333333333</v>
      </c>
      <c r="G281" s="24" t="n">
        <f aca="false">IF(G277="","",IF(In!$C$101="未說明",G277/G$13,G277))</f>
        <v>11.6666666666667</v>
      </c>
      <c r="H281" s="24" t="n">
        <f aca="false">IF(H277="","",IF(In!$C$101="未說明",H277/H$13,H277))</f>
        <v>13.6561711245072</v>
      </c>
      <c r="I281" s="24" t="n">
        <f aca="false">IF(I277="","",IF(In!$C$101="未說明",I277/I$13,I277))</f>
        <v>15.9373851854162</v>
      </c>
      <c r="J281" s="24" t="n">
        <f aca="false">IF(J277="","",IF(In!$C$101="未說明",J277/J$13,J277))</f>
        <v>18.5499065164136</v>
      </c>
      <c r="K281" s="24" t="n">
        <f aca="false">IF(K277="","",IF(In!$C$101="未說明",K277/K$13,K277))</f>
        <v>21.5384615384615</v>
      </c>
      <c r="L281" s="24" t="n">
        <f aca="false">IF(L277="","",IF(In!$C$101="未說明",L277/L$13,L277))</f>
        <v>23.6923076923077</v>
      </c>
      <c r="M281" s="24" t="n">
        <f aca="false">IF(M277="","",IF(In!$C$101="未說明",M277/M$13,M277))</f>
        <v>26.0615384615385</v>
      </c>
    </row>
    <row r="282" customFormat="false" ht="17.15" hidden="false" customHeight="false" outlineLevel="0" collapsed="false">
      <c r="A282" s="5" t="s">
        <v>872</v>
      </c>
      <c r="B282" s="0" t="s">
        <v>1124</v>
      </c>
      <c r="C282" s="0" t="s">
        <v>75</v>
      </c>
      <c r="D282" s="0" t="str">
        <f aca="false">""</f>
        <v/>
      </c>
      <c r="E282" s="24" t="str">
        <f aca="false">IF(AND(D277&lt;&gt;"",E277&lt;&gt;""),(D277+E277)/2,"")</f>
        <v/>
      </c>
      <c r="F282" s="24" t="str">
        <f aca="false">IF(AND(E277&lt;&gt;"",F277&lt;&gt;""),(E277+F277)/2,"")</f>
        <v/>
      </c>
      <c r="G282" s="24" t="n">
        <f aca="false">IF(AND(F277&lt;&gt;"",G277&lt;&gt;""),(F277+G277)/2,"")</f>
        <v>10</v>
      </c>
      <c r="H282" s="24" t="n">
        <f aca="false">IF(AND(G277&lt;&gt;"",H277&lt;&gt;""),(G277+H277)/2,"")</f>
        <v>12.6614188955869</v>
      </c>
      <c r="I282" s="24" t="n">
        <f aca="false">IF(AND(H277&lt;&gt;"",I277&lt;&gt;""),(H277+I277)/2,"")</f>
        <v>14.7967781549617</v>
      </c>
      <c r="J282" s="24" t="n">
        <f aca="false">IF(AND(I277&lt;&gt;"",J277&lt;&gt;""),(I277+J277)/2,"")</f>
        <v>17.2436458509149</v>
      </c>
      <c r="K282" s="24" t="n">
        <f aca="false">IF(AND(J277&lt;&gt;"",K277&lt;&gt;""),(J277+K277)/2,"")</f>
        <v>20.0441840274376</v>
      </c>
      <c r="L282" s="24" t="n">
        <f aca="false">IF(AND(K277&lt;&gt;"",L277&lt;&gt;""),(K277+L277)/2,"")</f>
        <v>22.6153846153846</v>
      </c>
      <c r="M282" s="24" t="n">
        <f aca="false">IF(AND(L277&lt;&gt;"",M277&lt;&gt;""),(L277+M277)/2,"")</f>
        <v>24.8769230769231</v>
      </c>
    </row>
    <row r="283" customFormat="false" ht="17.15" hidden="false" customHeight="false" outlineLevel="0" collapsed="false">
      <c r="A283" s="5" t="s">
        <v>874</v>
      </c>
      <c r="B283" s="0" t="s">
        <v>1125</v>
      </c>
      <c r="C283" s="0" t="s">
        <v>75</v>
      </c>
      <c r="D283" s="0" t="n">
        <v>0</v>
      </c>
      <c r="E283" s="24" t="n">
        <f aca="false">IF(AND(D277&lt;&gt;"",E277&lt;&gt;""),E277-D277,0)</f>
        <v>0</v>
      </c>
      <c r="F283" s="24" t="n">
        <f aca="false">IF(AND(E277&lt;&gt;"",F277&lt;&gt;""),F277-E277,0)</f>
        <v>0</v>
      </c>
      <c r="G283" s="24" t="n">
        <f aca="false">IF(AND(F277&lt;&gt;"",G277&lt;&gt;""),G277-F277,0)</f>
        <v>3.33333333333333</v>
      </c>
      <c r="H283" s="24" t="n">
        <f aca="false">IF(AND(G277&lt;&gt;"",H277&lt;&gt;""),H277-G277,0)</f>
        <v>1.9895044578405</v>
      </c>
      <c r="I283" s="24" t="n">
        <f aca="false">IF(AND(H277&lt;&gt;"",I277&lt;&gt;""),I277-H277,0)</f>
        <v>2.28121406090902</v>
      </c>
      <c r="J283" s="24" t="n">
        <f aca="false">IF(AND(I277&lt;&gt;"",J277&lt;&gt;""),J277-I277,0)</f>
        <v>2.61252133099745</v>
      </c>
      <c r="K283" s="24" t="n">
        <f aca="false">IF(AND(J277&lt;&gt;"",K277&lt;&gt;""),K277-J277,0)</f>
        <v>2.9885550220479</v>
      </c>
      <c r="L283" s="24" t="n">
        <f aca="false">IF(AND(K277&lt;&gt;"",L277&lt;&gt;""),L277-K277,0)</f>
        <v>2.15384615384616</v>
      </c>
      <c r="M283" s="24" t="n">
        <f aca="false">IF(AND(L277&lt;&gt;"",M277&lt;&gt;""),M277-L277,0)</f>
        <v>2.36923076923077</v>
      </c>
    </row>
    <row r="284" customFormat="false" ht="17.15" hidden="false" customHeight="false" outlineLevel="0" collapsed="false">
      <c r="A284" s="5" t="s">
        <v>876</v>
      </c>
      <c r="B284" s="0" t="s">
        <v>1126</v>
      </c>
      <c r="C284" s="0" t="s">
        <v>75</v>
      </c>
      <c r="D284" s="24" t="n">
        <f aca="false">IF(D277&lt;&gt;"",D277,0)</f>
        <v>0</v>
      </c>
      <c r="E284" s="24" t="n">
        <f aca="false">IF(AND(D277="",E277&lt;&gt;""),E277,0)</f>
        <v>0</v>
      </c>
      <c r="F284" s="24" t="n">
        <f aca="false">IF(AND(E277="",F277&lt;&gt;""),F277,0)</f>
        <v>8.33333333333333</v>
      </c>
      <c r="G284" s="24" t="n">
        <f aca="false">IF(AND(F277="",G277&lt;&gt;""),G277,0)</f>
        <v>0</v>
      </c>
      <c r="H284" s="24" t="n">
        <f aca="false">IF(AND(G277="",H277&lt;&gt;""),H277,0)</f>
        <v>0</v>
      </c>
      <c r="I284" s="24" t="n">
        <f aca="false">IF(AND(H277="",I277&lt;&gt;""),I277,0)</f>
        <v>0</v>
      </c>
      <c r="J284" s="24" t="n">
        <f aca="false">IF(AND(I277="",J277&lt;&gt;""),J277,0)</f>
        <v>0</v>
      </c>
      <c r="K284" s="24" t="n">
        <f aca="false">IF(AND(J277="",K277&lt;&gt;""),K277,0)</f>
        <v>0</v>
      </c>
      <c r="L284" s="24" t="n">
        <f aca="false">IF(AND(K277="",L277&lt;&gt;""),L277,0)</f>
        <v>0</v>
      </c>
      <c r="M284" s="24" t="n">
        <f aca="false">IF(AND(L277="",M277&lt;&gt;""),M277,0)</f>
        <v>0</v>
      </c>
    </row>
    <row r="285" customFormat="false" ht="17.15" hidden="false" customHeight="false" outlineLevel="0" collapsed="false">
      <c r="A285" s="5" t="s">
        <v>878</v>
      </c>
      <c r="B285" s="0" t="s">
        <v>1127</v>
      </c>
      <c r="C285" s="0" t="s">
        <v>50</v>
      </c>
      <c r="D285" s="23" t="n">
        <f aca="false">D$12</f>
        <v>0.238210067173108</v>
      </c>
      <c r="E285" s="23" t="n">
        <f aca="false">E$12</f>
        <v>0.238210067173108</v>
      </c>
      <c r="F285" s="23" t="n">
        <f aca="false">F$12</f>
        <v>0.238210067173108</v>
      </c>
      <c r="G285" s="23" t="n">
        <f aca="false">G$12</f>
        <v>0.238210067173108</v>
      </c>
      <c r="H285" s="23" t="n">
        <f aca="false">H$12</f>
        <v>0.273101862203342</v>
      </c>
      <c r="I285" s="23" t="n">
        <f aca="false">I$12</f>
        <v>0.269621396123668</v>
      </c>
      <c r="J285" s="23" t="n">
        <f aca="false">J$12</f>
        <v>0.272187509408712</v>
      </c>
      <c r="K285" s="23" t="n">
        <f aca="false">K$12</f>
        <v>0.272187509408712</v>
      </c>
      <c r="L285" s="23" t="n">
        <f aca="false">L$12</f>
        <v>0.272187509408712</v>
      </c>
      <c r="M285" s="23" t="n">
        <f aca="false">M$12</f>
        <v>0.272187509408712</v>
      </c>
    </row>
    <row r="287" customFormat="false" ht="17.15" hidden="false" customHeight="false" outlineLevel="0" collapsed="false">
      <c r="A287" s="21" t="s">
        <v>1128</v>
      </c>
      <c r="B287" s="20" t="s">
        <v>1129</v>
      </c>
      <c r="N287" s="20" t="s">
        <v>1130</v>
      </c>
    </row>
    <row r="288" customFormat="false" ht="17.15" hidden="false" customHeight="false" outlineLevel="0" collapsed="false">
      <c r="A288" s="5" t="s">
        <v>846</v>
      </c>
      <c r="B288" s="0" t="s">
        <v>1131</v>
      </c>
      <c r="C288" s="0" t="s">
        <v>75</v>
      </c>
      <c r="D288" s="24" t="str">
        <f aca="false">IF(In!$H$102="","",IF(In!$C$102="設施",In!$H$102/1000/D$13,In!$H$102/1000))</f>
        <v/>
      </c>
      <c r="E288" s="24" t="str">
        <f aca="false">IF(In!$I$102="","",IF(In!$C$102="設施",In!$I$102/1000/E$13,In!$I$102/1000))</f>
        <v/>
      </c>
      <c r="F288" s="24" t="n">
        <f aca="false">IF(In!$J$102&lt;&gt;"",In!$J$102/1000,IF(other_incl_china=1,oth_excn,oth_full)/1000)</f>
        <v>1</v>
      </c>
      <c r="G288" s="24" t="str">
        <f aca="false">IF(In!$K$102="","",IF(In!$C$102="設施",In!$K$102/1000/G$13,In!$K$102/1000))</f>
        <v/>
      </c>
      <c r="H288" s="24" t="str">
        <f aca="false">IF(In!$L$102="","",IF(In!$C$102="設施",In!$L$102/1000/H$13,In!$L$102/1000))</f>
        <v/>
      </c>
      <c r="I288" s="24" t="str">
        <f aca="false">IF(In!$M$102="","",IF(In!$C$102="設施",In!$M$102/1000/I$13,In!$M$102/1000))</f>
        <v/>
      </c>
      <c r="J288" s="24" t="str">
        <f aca="false">IF(In!$N$102="","",IF(In!$C$102="設施",In!$N$102/1000/J$13,In!$N$102/1000))</f>
        <v/>
      </c>
      <c r="K288" s="24" t="str">
        <f aca="false">IF(In!$O$102="","",IF(In!$C$102="設施",In!$O$102/1000/K$13,In!$O$102/1000))</f>
        <v/>
      </c>
      <c r="L288" s="24" t="str">
        <f aca="false">IF(In!$P$102="","",IF(In!$C$102="設施",In!$P$102/1000/L$13,In!$P$102/1000))</f>
        <v/>
      </c>
      <c r="M288" s="24" t="str">
        <f aca="false">IF(In!$Q$102="","",IF(In!$C$102="設施",In!$Q$102/1000/M$13,In!$Q$102/1000))</f>
        <v/>
      </c>
    </row>
    <row r="289" customFormat="false" ht="17.15" hidden="false" customHeight="false" outlineLevel="0" collapsed="false">
      <c r="A289" s="5" t="s">
        <v>848</v>
      </c>
      <c r="B289" s="0" t="s">
        <v>1132</v>
      </c>
      <c r="C289" s="0" t="s">
        <v>75</v>
      </c>
      <c r="D289" s="0" t="str">
        <f aca="false">""</f>
        <v/>
      </c>
      <c r="E289" s="0" t="str">
        <f aca="false">""</f>
        <v/>
      </c>
      <c r="F289" s="0" t="str">
        <f aca="false">""</f>
        <v/>
      </c>
      <c r="G289" s="0" t="str">
        <f aca="false">""</f>
        <v/>
      </c>
      <c r="H289" s="0" t="str">
        <f aca="false">""</f>
        <v/>
      </c>
      <c r="I289" s="0" t="str">
        <f aca="false">""</f>
        <v/>
      </c>
      <c r="J289" s="0" t="str">
        <f aca="false">""</f>
        <v/>
      </c>
      <c r="K289" s="0" t="str">
        <f aca="false">""</f>
        <v/>
      </c>
      <c r="L289" s="0" t="str">
        <f aca="false">""</f>
        <v/>
      </c>
      <c r="M289" s="0" t="str">
        <f aca="false">""</f>
        <v/>
      </c>
    </row>
    <row r="290" customFormat="false" ht="15" hidden="false" customHeight="false" outlineLevel="0" collapsed="false">
      <c r="A290" s="5" t="s">
        <v>850</v>
      </c>
      <c r="B290" s="0" t="s">
        <v>1133</v>
      </c>
      <c r="C290" s="0" t="s">
        <v>75</v>
      </c>
      <c r="D290" s="0" t="str">
        <f aca="false">IF(D288&lt;&gt;"",D288,IF(D289&lt;&gt;"",D289,""))</f>
        <v/>
      </c>
      <c r="E290" s="0" t="str">
        <f aca="false">IF(E288&lt;&gt;"",E288,IF(E289&lt;&gt;"",E289,""))</f>
        <v/>
      </c>
      <c r="F290" s="24" t="n">
        <f aca="false">IF(F288&lt;&gt;"",F288,IF(F289&lt;&gt;"",F289,""))</f>
        <v>1</v>
      </c>
      <c r="G290" s="0" t="str">
        <f aca="false">IF(G288&lt;&gt;"",G288,IF(G289&lt;&gt;"",G289,""))</f>
        <v/>
      </c>
      <c r="H290" s="0" t="str">
        <f aca="false">IF(H288&lt;&gt;"",H288,IF(H289&lt;&gt;"",H289,""))</f>
        <v/>
      </c>
      <c r="I290" s="0" t="str">
        <f aca="false">IF(I288&lt;&gt;"",I288,IF(I289&lt;&gt;"",I289,""))</f>
        <v/>
      </c>
      <c r="J290" s="0" t="str">
        <f aca="false">IF(J288&lt;&gt;"",J288,IF(J289&lt;&gt;"",J289,""))</f>
        <v/>
      </c>
      <c r="K290" s="0" t="str">
        <f aca="false">IF(K288&lt;&gt;"",K288,IF(K289&lt;&gt;"",K289,""))</f>
        <v/>
      </c>
      <c r="L290" s="0" t="str">
        <f aca="false">IF(L288&lt;&gt;"",L288,IF(L289&lt;&gt;"",L289,""))</f>
        <v/>
      </c>
      <c r="M290" s="0" t="str">
        <f aca="false">IF(M288&lt;&gt;"",M288,IF(M289&lt;&gt;"",M289,""))</f>
        <v/>
      </c>
    </row>
    <row r="291" customFormat="false" ht="15" hidden="false" customHeight="false" outlineLevel="0" collapsed="false">
      <c r="A291" s="5" t="s">
        <v>852</v>
      </c>
      <c r="B291" s="0" t="s">
        <v>1134</v>
      </c>
      <c r="C291" s="0" t="s">
        <v>75</v>
      </c>
      <c r="D291" s="0" t="str">
        <f aca="false">IF(D290&lt;&gt;"",D290,"")</f>
        <v/>
      </c>
      <c r="E291" s="0" t="str">
        <f aca="false">IF(E290&lt;&gt;"",E290,D291)</f>
        <v/>
      </c>
      <c r="F291" s="24" t="n">
        <f aca="false">IF(F290&lt;&gt;"",F290,E291)</f>
        <v>1</v>
      </c>
      <c r="G291" s="24" t="n">
        <f aca="false">IF(G290&lt;&gt;"",G290,F291)</f>
        <v>1</v>
      </c>
      <c r="H291" s="24" t="n">
        <f aca="false">IF(H290&lt;&gt;"",H290,G291)</f>
        <v>1</v>
      </c>
      <c r="I291" s="24" t="n">
        <f aca="false">IF(I290&lt;&gt;"",I290,H291)</f>
        <v>1</v>
      </c>
      <c r="J291" s="24" t="n">
        <f aca="false">IF(J290&lt;&gt;"",J290,I291)</f>
        <v>1</v>
      </c>
      <c r="K291" s="24" t="n">
        <f aca="false">IF(K290&lt;&gt;"",K290,J291)</f>
        <v>1</v>
      </c>
      <c r="L291" s="24" t="n">
        <f aca="false">IF(L290&lt;&gt;"",L290,K291)</f>
        <v>1</v>
      </c>
      <c r="M291" s="24" t="n">
        <f aca="false">IF(M290&lt;&gt;"",M290,L291)</f>
        <v>1</v>
      </c>
    </row>
    <row r="292" customFormat="false" ht="15" hidden="false" customHeight="false" outlineLevel="0" collapsed="false">
      <c r="A292" s="5" t="s">
        <v>854</v>
      </c>
      <c r="B292" s="0" t="s">
        <v>1135</v>
      </c>
      <c r="C292" s="5" t="s">
        <v>45</v>
      </c>
      <c r="D292" s="0" t="str">
        <f aca="false">IF(D290&lt;&gt;"",2023,"")</f>
        <v/>
      </c>
      <c r="E292" s="0" t="str">
        <f aca="false">IF(E290&lt;&gt;"",2024,D292)</f>
        <v/>
      </c>
      <c r="F292" s="0" t="n">
        <f aca="false">IF(F290&lt;&gt;"",2025,E292)</f>
        <v>2025</v>
      </c>
      <c r="G292" s="0" t="n">
        <f aca="false">IF(G290&lt;&gt;"",2026,F292)</f>
        <v>2025</v>
      </c>
      <c r="H292" s="0" t="n">
        <f aca="false">IF(H290&lt;&gt;"",2027,G292)</f>
        <v>2025</v>
      </c>
      <c r="I292" s="0" t="n">
        <f aca="false">IF(I290&lt;&gt;"",2028,H292)</f>
        <v>2025</v>
      </c>
      <c r="J292" s="0" t="n">
        <f aca="false">IF(J290&lt;&gt;"",2029,I292)</f>
        <v>2025</v>
      </c>
      <c r="K292" s="0" t="n">
        <f aca="false">IF(K290&lt;&gt;"",2030,J292)</f>
        <v>2025</v>
      </c>
      <c r="L292" s="0" t="n">
        <f aca="false">IF(L290&lt;&gt;"",2031,K292)</f>
        <v>2025</v>
      </c>
      <c r="M292" s="0" t="n">
        <f aca="false">IF(M290&lt;&gt;"",2032,L292)</f>
        <v>2025</v>
      </c>
    </row>
    <row r="293" customFormat="false" ht="15" hidden="false" customHeight="false" outlineLevel="0" collapsed="false">
      <c r="A293" s="5" t="s">
        <v>856</v>
      </c>
      <c r="B293" s="0" t="s">
        <v>1136</v>
      </c>
      <c r="C293" s="0" t="s">
        <v>75</v>
      </c>
      <c r="D293" s="24" t="n">
        <f aca="false">IF(D290&lt;&gt;"",D290,E293)</f>
        <v>1</v>
      </c>
      <c r="E293" s="24" t="n">
        <f aca="false">IF(E290&lt;&gt;"",E290,F293)</f>
        <v>1</v>
      </c>
      <c r="F293" s="24" t="n">
        <f aca="false">IF(F290&lt;&gt;"",F290,G293)</f>
        <v>1</v>
      </c>
      <c r="G293" s="0" t="str">
        <f aca="false">IF(G290&lt;&gt;"",G290,H293)</f>
        <v/>
      </c>
      <c r="H293" s="0" t="str">
        <f aca="false">IF(H290&lt;&gt;"",H290,I293)</f>
        <v/>
      </c>
      <c r="I293" s="0" t="str">
        <f aca="false">IF(I290&lt;&gt;"",I290,J293)</f>
        <v/>
      </c>
      <c r="J293" s="0" t="str">
        <f aca="false">IF(J290&lt;&gt;"",J290,K293)</f>
        <v/>
      </c>
      <c r="K293" s="0" t="str">
        <f aca="false">IF(K290&lt;&gt;"",K290,L293)</f>
        <v/>
      </c>
      <c r="L293" s="0" t="str">
        <f aca="false">IF(L290&lt;&gt;"",L290,M293)</f>
        <v/>
      </c>
      <c r="M293" s="0" t="str">
        <f aca="false">IF(M290&lt;&gt;"",M290,"")</f>
        <v/>
      </c>
    </row>
    <row r="294" customFormat="false" ht="15" hidden="false" customHeight="false" outlineLevel="0" collapsed="false">
      <c r="A294" s="5" t="s">
        <v>858</v>
      </c>
      <c r="B294" s="0" t="s">
        <v>1137</v>
      </c>
      <c r="C294" s="5" t="s">
        <v>45</v>
      </c>
      <c r="D294" s="0" t="n">
        <f aca="false">IF(D290&lt;&gt;"",2023,E294)</f>
        <v>2025</v>
      </c>
      <c r="E294" s="0" t="n">
        <f aca="false">IF(E290&lt;&gt;"",2024,F294)</f>
        <v>2025</v>
      </c>
      <c r="F294" s="0" t="n">
        <f aca="false">IF(F290&lt;&gt;"",2025,G294)</f>
        <v>2025</v>
      </c>
      <c r="G294" s="0" t="str">
        <f aca="false">IF(G290&lt;&gt;"",2026,H294)</f>
        <v/>
      </c>
      <c r="H294" s="0" t="str">
        <f aca="false">IF(H290&lt;&gt;"",2027,I294)</f>
        <v/>
      </c>
      <c r="I294" s="0" t="str">
        <f aca="false">IF(I290&lt;&gt;"",2028,J294)</f>
        <v/>
      </c>
      <c r="J294" s="0" t="str">
        <f aca="false">IF(J290&lt;&gt;"",2029,K294)</f>
        <v/>
      </c>
      <c r="K294" s="0" t="str">
        <f aca="false">IF(K290&lt;&gt;"",2030,L294)</f>
        <v/>
      </c>
      <c r="L294" s="0" t="str">
        <f aca="false">IF(L290&lt;&gt;"",2031,M294)</f>
        <v/>
      </c>
      <c r="M294" s="0" t="str">
        <f aca="false">IF(M290&lt;&gt;"",2032,"")</f>
        <v/>
      </c>
    </row>
    <row r="295" customFormat="false" ht="17.15" hidden="false" customHeight="false" outlineLevel="0" collapsed="false">
      <c r="A295" s="5" t="s">
        <v>860</v>
      </c>
      <c r="B295" s="0" t="s">
        <v>1138</v>
      </c>
      <c r="C295" s="0" t="s">
        <v>75</v>
      </c>
      <c r="D295" s="24" t="n">
        <f aca="false">SUMIFS(Pipeline!$L$5:$L$47,Pipeline!$C$5:$C$47,"oth",Pipeline!$Q$5:$Q$47,1,Pipeline!$P$5:$P$47,2023)</f>
        <v>0</v>
      </c>
      <c r="E295" s="24" t="n">
        <f aca="false">SUMIFS(Pipeline!$L$5:$L$47,Pipeline!$C$5:$C$47,"oth",Pipeline!$Q$5:$Q$47,1,Pipeline!$P$5:$P$47,2024)</f>
        <v>0</v>
      </c>
      <c r="F295" s="24" t="n">
        <f aca="false">SUMIFS(Pipeline!$L$5:$L$47,Pipeline!$C$5:$C$47,"oth",Pipeline!$Q$5:$Q$47,1,Pipeline!$P$5:$P$47,2025)</f>
        <v>0</v>
      </c>
      <c r="G295" s="24" t="n">
        <f aca="false">SUMIFS(Pipeline!$L$5:$L$47,Pipeline!$C$5:$C$47,"oth",Pipeline!$Q$5:$Q$47,1,Pipeline!$P$5:$P$47,2026)</f>
        <v>0</v>
      </c>
      <c r="H295" s="24" t="n">
        <f aca="false">SUMIFS(Pipeline!$L$5:$L$47,Pipeline!$C$5:$C$47,"oth",Pipeline!$Q$5:$Q$47,1,Pipeline!$P$5:$P$47,2027)</f>
        <v>0</v>
      </c>
      <c r="I295" s="24" t="n">
        <f aca="false">SUMIFS(Pipeline!$L$5:$L$47,Pipeline!$C$5:$C$47,"oth",Pipeline!$Q$5:$Q$47,1,Pipeline!$P$5:$P$47,2028)</f>
        <v>0</v>
      </c>
      <c r="J295" s="24" t="n">
        <f aca="false">SUMIFS(Pipeline!$L$5:$L$47,Pipeline!$C$5:$C$47,"oth",Pipeline!$Q$5:$Q$47,1,Pipeline!$P$5:$P$47,2029)</f>
        <v>0</v>
      </c>
      <c r="K295" s="24" t="n">
        <f aca="false">SUMIFS(Pipeline!$L$5:$L$47,Pipeline!$C$5:$C$47,"oth",Pipeline!$Q$5:$Q$47,1,Pipeline!$P$5:$P$47,2030)</f>
        <v>0</v>
      </c>
      <c r="L295" s="24" t="n">
        <f aca="false">SUMIFS(Pipeline!$L$5:$L$47,Pipeline!$C$5:$C$47,"oth",Pipeline!$Q$5:$Q$47,1,Pipeline!$P$5:$P$47,2031)</f>
        <v>0</v>
      </c>
      <c r="M295" s="24" t="n">
        <f aca="false">SUMIFS(Pipeline!$L$5:$L$47,Pipeline!$C$5:$C$47,"oth",Pipeline!$Q$5:$Q$47,1,Pipeline!$P$5:$P$47,2032)</f>
        <v>0</v>
      </c>
    </row>
    <row r="296" customFormat="false" ht="17.15" hidden="false" customHeight="false" outlineLevel="0" collapsed="false">
      <c r="A296" s="5" t="s">
        <v>862</v>
      </c>
      <c r="B296" s="0" t="s">
        <v>1139</v>
      </c>
      <c r="C296" s="0" t="s">
        <v>75</v>
      </c>
      <c r="D296" s="25" t="str">
        <f aca="false">IF(D290&lt;&gt;"",D290,IF(AND(D291&lt;&gt;"",D293&lt;&gt;""),D291+(D293-D291)*(2023-D292)/(D294-D292),""))</f>
        <v/>
      </c>
      <c r="E296" s="25" t="str">
        <f aca="false">IF(E290&lt;&gt;"",E290,IF(AND(E291&lt;&gt;"",E293&lt;&gt;""),E291+(E293-E291)*(2024-E292)/(E294-E292),IF(D296&lt;&gt;"",D296+E295,"")))</f>
        <v/>
      </c>
      <c r="F296" s="25" t="n">
        <f aca="false">IF(F290&lt;&gt;"",F290,IF(AND(F291&lt;&gt;"",F293&lt;&gt;""),F291+(F293-F291)*(2025-F292)/(F294-F292),IF(E296&lt;&gt;"",E296+F295,"")))</f>
        <v>1</v>
      </c>
      <c r="G296" s="25" t="n">
        <f aca="false">IF(G290&lt;&gt;"",G290,IF(AND(G291&lt;&gt;"",G293&lt;&gt;""),G291+(G293-G291)*(2026-G292)/(G294-G292),IF(F296&lt;&gt;"",F296+G295,"")))</f>
        <v>1</v>
      </c>
      <c r="H296" s="25" t="n">
        <f aca="false">IF(H290&lt;&gt;"",H290,IF(AND(H291&lt;&gt;"",H293&lt;&gt;""),H291+(H293-H291)*(2027-H292)/(H294-H292),IF(G296&lt;&gt;"",G296+H295,"")))</f>
        <v>1</v>
      </c>
      <c r="I296" s="25" t="n">
        <f aca="false">IF(I290&lt;&gt;"",I290,IF(AND(I291&lt;&gt;"",I293&lt;&gt;""),I291+(I293-I291)*(2028-I292)/(I294-I292),IF(H296&lt;&gt;"",H296+I295,"")))</f>
        <v>1</v>
      </c>
      <c r="J296" s="25" t="n">
        <f aca="false">IF(J290&lt;&gt;"",J290,IF(AND(J291&lt;&gt;"",J293&lt;&gt;""),J291+(J293-J291)*(2029-J292)/(J294-J292),IF(I296&lt;&gt;"",I296+J295,"")))</f>
        <v>1</v>
      </c>
      <c r="K296" s="25" t="n">
        <f aca="false">IF(K290&lt;&gt;"",K290,IF(AND(K291&lt;&gt;"",K293&lt;&gt;""),K291+(K293-K291)*(2030-K292)/(K294-K292),IF(J296&lt;&gt;"",J296+K295,"")))</f>
        <v>1</v>
      </c>
      <c r="L296" s="25" t="n">
        <f aca="false">IF(L290&lt;&gt;"",L290,IF(AND(L291&lt;&gt;"",L293&lt;&gt;""),L291+(L293-L291)*(2031-L292)/(L294-L292),IF(K296&lt;&gt;"",K296+L295,"")))</f>
        <v>1</v>
      </c>
      <c r="M296" s="25" t="n">
        <f aca="false">IF(M290&lt;&gt;"",M290,IF(AND(M291&lt;&gt;"",M293&lt;&gt;""),M291+(M293-M291)*(2032-M292)/(M294-M292),IF(L296&lt;&gt;"",L296+M295,"")))</f>
        <v>1</v>
      </c>
    </row>
    <row r="297" customFormat="false" ht="15" hidden="false" customHeight="false" outlineLevel="0" collapsed="false">
      <c r="A297" s="5" t="s">
        <v>864</v>
      </c>
      <c r="B297" s="0" t="s">
        <v>1140</v>
      </c>
      <c r="C297" s="0" t="s">
        <v>33</v>
      </c>
      <c r="D297" s="0" t="n">
        <f aca="false">IF(D288&lt;&gt;"",1,IF(D289&lt;&gt;"",5,IF(D290&lt;&gt;"",2,IF(AND(D291&lt;&gt;"",D293&lt;&gt;""),3,IF(D296&lt;&gt;"",4,0)))))</f>
        <v>0</v>
      </c>
      <c r="E297" s="0" t="n">
        <f aca="false">IF(E288&lt;&gt;"",1,IF(E289&lt;&gt;"",5,IF(E290&lt;&gt;"",2,IF(AND(E291&lt;&gt;"",E293&lt;&gt;""),3,IF(E296&lt;&gt;"",4,0)))))</f>
        <v>0</v>
      </c>
      <c r="F297" s="0" t="n">
        <f aca="false">IF(F288&lt;&gt;"",1,IF(F289&lt;&gt;"",5,IF(F290&lt;&gt;"",2,IF(AND(F291&lt;&gt;"",F293&lt;&gt;""),3,IF(F296&lt;&gt;"",4,0)))))</f>
        <v>1</v>
      </c>
      <c r="G297" s="0" t="n">
        <f aca="false">IF(G288&lt;&gt;"",1,IF(G289&lt;&gt;"",5,IF(G290&lt;&gt;"",2,IF(AND(G291&lt;&gt;"",G293&lt;&gt;""),3,IF(G296&lt;&gt;"",4,0)))))</f>
        <v>4</v>
      </c>
      <c r="H297" s="0" t="n">
        <f aca="false">IF(H288&lt;&gt;"",1,IF(H289&lt;&gt;"",5,IF(H290&lt;&gt;"",2,IF(AND(H291&lt;&gt;"",H293&lt;&gt;""),3,IF(H296&lt;&gt;"",4,0)))))</f>
        <v>4</v>
      </c>
      <c r="I297" s="0" t="n">
        <f aca="false">IF(I288&lt;&gt;"",1,IF(I289&lt;&gt;"",5,IF(I290&lt;&gt;"",2,IF(AND(I291&lt;&gt;"",I293&lt;&gt;""),3,IF(I296&lt;&gt;"",4,0)))))</f>
        <v>4</v>
      </c>
      <c r="J297" s="0" t="n">
        <f aca="false">IF(J288&lt;&gt;"",1,IF(J289&lt;&gt;"",5,IF(J290&lt;&gt;"",2,IF(AND(J291&lt;&gt;"",J293&lt;&gt;""),3,IF(J296&lt;&gt;"",4,0)))))</f>
        <v>4</v>
      </c>
      <c r="K297" s="0" t="n">
        <f aca="false">IF(K288&lt;&gt;"",1,IF(K289&lt;&gt;"",5,IF(K290&lt;&gt;"",2,IF(AND(K291&lt;&gt;"",K293&lt;&gt;""),3,IF(K296&lt;&gt;"",4,0)))))</f>
        <v>4</v>
      </c>
      <c r="L297" s="0" t="n">
        <f aca="false">IF(L288&lt;&gt;"",1,IF(L289&lt;&gt;"",5,IF(L290&lt;&gt;"",2,IF(AND(L291&lt;&gt;"",L293&lt;&gt;""),3,IF(L296&lt;&gt;"",4,0)))))</f>
        <v>4</v>
      </c>
      <c r="M297" s="0" t="n">
        <f aca="false">IF(M288&lt;&gt;"",1,IF(M289&lt;&gt;"",5,IF(M290&lt;&gt;"",2,IF(AND(M291&lt;&gt;"",M293&lt;&gt;""),3,IF(M296&lt;&gt;"",4,0)))))</f>
        <v>4</v>
      </c>
    </row>
    <row r="298" customFormat="false" ht="17.15" hidden="false" customHeight="false" outlineLevel="0" collapsed="false">
      <c r="A298" s="5" t="s">
        <v>866</v>
      </c>
      <c r="B298" s="0" t="s">
        <v>1141</v>
      </c>
      <c r="C298" s="0" t="s">
        <v>75</v>
      </c>
      <c r="D298" s="24" t="str">
        <f aca="false">IF(D296="","",D296)</f>
        <v/>
      </c>
      <c r="E298" s="24" t="str">
        <f aca="false">IF(E296="","",E296)</f>
        <v/>
      </c>
      <c r="F298" s="24" t="n">
        <f aca="false">IF(F296="","",IF(other_incl_china=1,oth_excn_lo,oth_full_lo)/1000)</f>
        <v>0.5</v>
      </c>
      <c r="G298" s="24" t="n">
        <f aca="false">IF(G296="","",G296)</f>
        <v>1</v>
      </c>
      <c r="H298" s="24" t="n">
        <f aca="false">IF(H296="","",H296)</f>
        <v>1</v>
      </c>
      <c r="I298" s="24" t="n">
        <f aca="false">IF(I296="","",I296)</f>
        <v>1</v>
      </c>
      <c r="J298" s="24" t="n">
        <f aca="false">IF(J296="","",J296)</f>
        <v>1</v>
      </c>
      <c r="K298" s="24" t="n">
        <f aca="false">IF(K296="","",K296)</f>
        <v>1</v>
      </c>
      <c r="L298" s="24" t="n">
        <f aca="false">IF(L296="","",L296)</f>
        <v>1</v>
      </c>
      <c r="M298" s="24" t="n">
        <f aca="false">IF(M296="","",M296)</f>
        <v>1</v>
      </c>
    </row>
    <row r="299" customFormat="false" ht="17.15" hidden="false" customHeight="false" outlineLevel="0" collapsed="false">
      <c r="A299" s="5" t="s">
        <v>868</v>
      </c>
      <c r="B299" s="0" t="s">
        <v>1142</v>
      </c>
      <c r="C299" s="0" t="s">
        <v>75</v>
      </c>
      <c r="D299" s="24" t="str">
        <f aca="false">IF(D296="","",D296)</f>
        <v/>
      </c>
      <c r="E299" s="24" t="str">
        <f aca="false">IF(E296="","",E296)</f>
        <v/>
      </c>
      <c r="F299" s="24" t="n">
        <f aca="false">IF(F296="","",IF(other_incl_china=1,oth_excn_hi,oth_full_hi)/1000)</f>
        <v>2</v>
      </c>
      <c r="G299" s="24" t="n">
        <f aca="false">IF(G296="","",G296)</f>
        <v>1</v>
      </c>
      <c r="H299" s="24" t="n">
        <f aca="false">IF(H296="","",H296)</f>
        <v>1</v>
      </c>
      <c r="I299" s="24" t="n">
        <f aca="false">IF(I296="","",I296)</f>
        <v>1</v>
      </c>
      <c r="J299" s="24" t="n">
        <f aca="false">IF(J296="","",J296)</f>
        <v>1</v>
      </c>
      <c r="K299" s="24" t="n">
        <f aca="false">IF(K296="","",K296)</f>
        <v>1</v>
      </c>
      <c r="L299" s="24" t="n">
        <f aca="false">IF(L296="","",L296)</f>
        <v>1</v>
      </c>
      <c r="M299" s="24" t="n">
        <f aca="false">IF(M296="","",M296)</f>
        <v>1</v>
      </c>
    </row>
    <row r="300" customFormat="false" ht="17.15" hidden="false" customHeight="false" outlineLevel="0" collapsed="false">
      <c r="A300" s="5" t="s">
        <v>870</v>
      </c>
      <c r="B300" s="0" t="s">
        <v>1143</v>
      </c>
      <c r="C300" s="0" t="s">
        <v>75</v>
      </c>
      <c r="D300" s="24" t="str">
        <f aca="false">IF(D296="","",IF(In!$C$102="未說明",D296/D$13,D296))</f>
        <v/>
      </c>
      <c r="E300" s="24" t="str">
        <f aca="false">IF(E296="","",IF(In!$C$102="未說明",E296/E$13,E296))</f>
        <v/>
      </c>
      <c r="F300" s="24" t="n">
        <f aca="false">IF(F296="","",IF(In!$C$102="未說明",F296/F$13,F296))</f>
        <v>1</v>
      </c>
      <c r="G300" s="24" t="n">
        <f aca="false">IF(G296="","",IF(In!$C$102="未說明",G296/G$13,G296))</f>
        <v>1</v>
      </c>
      <c r="H300" s="24" t="n">
        <f aca="false">IF(H296="","",IF(In!$C$102="未說明",H296/H$13,H296))</f>
        <v>1</v>
      </c>
      <c r="I300" s="24" t="n">
        <f aca="false">IF(I296="","",IF(In!$C$102="未說明",I296/I$13,I296))</f>
        <v>1</v>
      </c>
      <c r="J300" s="24" t="n">
        <f aca="false">IF(J296="","",IF(In!$C$102="未說明",J296/J$13,J296))</f>
        <v>1</v>
      </c>
      <c r="K300" s="24" t="n">
        <f aca="false">IF(K296="","",IF(In!$C$102="未說明",K296/K$13,K296))</f>
        <v>1</v>
      </c>
      <c r="L300" s="24" t="n">
        <f aca="false">IF(L296="","",IF(In!$C$102="未說明",L296/L$13,L296))</f>
        <v>1</v>
      </c>
      <c r="M300" s="24" t="n">
        <f aca="false">IF(M296="","",IF(In!$C$102="未說明",M296/M$13,M296))</f>
        <v>1</v>
      </c>
    </row>
    <row r="301" customFormat="false" ht="17.15" hidden="false" customHeight="false" outlineLevel="0" collapsed="false">
      <c r="A301" s="5" t="s">
        <v>872</v>
      </c>
      <c r="B301" s="0" t="s">
        <v>1144</v>
      </c>
      <c r="C301" s="0" t="s">
        <v>75</v>
      </c>
      <c r="D301" s="0" t="str">
        <f aca="false">""</f>
        <v/>
      </c>
      <c r="E301" s="24" t="str">
        <f aca="false">IF(AND(D296&lt;&gt;"",E296&lt;&gt;""),(D296+E296)/2,"")</f>
        <v/>
      </c>
      <c r="F301" s="24" t="str">
        <f aca="false">IF(AND(E296&lt;&gt;"",F296&lt;&gt;""),(E296+F296)/2,"")</f>
        <v/>
      </c>
      <c r="G301" s="24" t="n">
        <f aca="false">IF(AND(F296&lt;&gt;"",G296&lt;&gt;""),(F296+G296)/2,"")</f>
        <v>1</v>
      </c>
      <c r="H301" s="24" t="n">
        <f aca="false">IF(AND(G296&lt;&gt;"",H296&lt;&gt;""),(G296+H296)/2,"")</f>
        <v>1</v>
      </c>
      <c r="I301" s="24" t="n">
        <f aca="false">IF(AND(H296&lt;&gt;"",I296&lt;&gt;""),(H296+I296)/2,"")</f>
        <v>1</v>
      </c>
      <c r="J301" s="24" t="n">
        <f aca="false">IF(AND(I296&lt;&gt;"",J296&lt;&gt;""),(I296+J296)/2,"")</f>
        <v>1</v>
      </c>
      <c r="K301" s="24" t="n">
        <f aca="false">IF(AND(J296&lt;&gt;"",K296&lt;&gt;""),(J296+K296)/2,"")</f>
        <v>1</v>
      </c>
      <c r="L301" s="24" t="n">
        <f aca="false">IF(AND(K296&lt;&gt;"",L296&lt;&gt;""),(K296+L296)/2,"")</f>
        <v>1</v>
      </c>
      <c r="M301" s="24" t="n">
        <f aca="false">IF(AND(L296&lt;&gt;"",M296&lt;&gt;""),(L296+M296)/2,"")</f>
        <v>1</v>
      </c>
    </row>
    <row r="302" customFormat="false" ht="17.15" hidden="false" customHeight="false" outlineLevel="0" collapsed="false">
      <c r="A302" s="5" t="s">
        <v>874</v>
      </c>
      <c r="B302" s="0" t="s">
        <v>1145</v>
      </c>
      <c r="C302" s="0" t="s">
        <v>75</v>
      </c>
      <c r="D302" s="0" t="n">
        <v>0</v>
      </c>
      <c r="E302" s="24" t="n">
        <f aca="false">IF(AND(D296&lt;&gt;"",E296&lt;&gt;""),E296-D296,0)</f>
        <v>0</v>
      </c>
      <c r="F302" s="24" t="n">
        <f aca="false">IF(AND(E296&lt;&gt;"",F296&lt;&gt;""),F296-E296,0)</f>
        <v>0</v>
      </c>
      <c r="G302" s="24" t="n">
        <f aca="false">IF(AND(F296&lt;&gt;"",G296&lt;&gt;""),G296-F296,0)</f>
        <v>0</v>
      </c>
      <c r="H302" s="24" t="n">
        <f aca="false">IF(AND(G296&lt;&gt;"",H296&lt;&gt;""),H296-G296,0)</f>
        <v>0</v>
      </c>
      <c r="I302" s="24" t="n">
        <f aca="false">IF(AND(H296&lt;&gt;"",I296&lt;&gt;""),I296-H296,0)</f>
        <v>0</v>
      </c>
      <c r="J302" s="24" t="n">
        <f aca="false">IF(AND(I296&lt;&gt;"",J296&lt;&gt;""),J296-I296,0)</f>
        <v>0</v>
      </c>
      <c r="K302" s="24" t="n">
        <f aca="false">IF(AND(J296&lt;&gt;"",K296&lt;&gt;""),K296-J296,0)</f>
        <v>0</v>
      </c>
      <c r="L302" s="24" t="n">
        <f aca="false">IF(AND(K296&lt;&gt;"",L296&lt;&gt;""),L296-K296,0)</f>
        <v>0</v>
      </c>
      <c r="M302" s="24" t="n">
        <f aca="false">IF(AND(L296&lt;&gt;"",M296&lt;&gt;""),M296-L296,0)</f>
        <v>0</v>
      </c>
    </row>
    <row r="303" customFormat="false" ht="17.15" hidden="false" customHeight="false" outlineLevel="0" collapsed="false">
      <c r="A303" s="5" t="s">
        <v>876</v>
      </c>
      <c r="B303" s="0" t="s">
        <v>1146</v>
      </c>
      <c r="C303" s="0" t="s">
        <v>75</v>
      </c>
      <c r="D303" s="24" t="n">
        <f aca="false">IF(D296&lt;&gt;"",D296,0)</f>
        <v>0</v>
      </c>
      <c r="E303" s="24" t="n">
        <f aca="false">IF(AND(D296="",E296&lt;&gt;""),E296,0)</f>
        <v>0</v>
      </c>
      <c r="F303" s="24" t="n">
        <f aca="false">IF(AND(E296="",F296&lt;&gt;""),F296,0)</f>
        <v>1</v>
      </c>
      <c r="G303" s="24" t="n">
        <f aca="false">IF(AND(F296="",G296&lt;&gt;""),G296,0)</f>
        <v>0</v>
      </c>
      <c r="H303" s="24" t="n">
        <f aca="false">IF(AND(G296="",H296&lt;&gt;""),H296,0)</f>
        <v>0</v>
      </c>
      <c r="I303" s="24" t="n">
        <f aca="false">IF(AND(H296="",I296&lt;&gt;""),I296,0)</f>
        <v>0</v>
      </c>
      <c r="J303" s="24" t="n">
        <f aca="false">IF(AND(I296="",J296&lt;&gt;""),J296,0)</f>
        <v>0</v>
      </c>
      <c r="K303" s="24" t="n">
        <f aca="false">IF(AND(J296="",K296&lt;&gt;""),K296,0)</f>
        <v>0</v>
      </c>
      <c r="L303" s="24" t="n">
        <f aca="false">IF(AND(K296="",L296&lt;&gt;""),L296,0)</f>
        <v>0</v>
      </c>
      <c r="M303" s="24" t="n">
        <f aca="false">IF(AND(L296="",M296&lt;&gt;""),M296,0)</f>
        <v>0</v>
      </c>
    </row>
    <row r="304" customFormat="false" ht="17.15" hidden="false" customHeight="false" outlineLevel="0" collapsed="false">
      <c r="A304" s="5" t="s">
        <v>878</v>
      </c>
      <c r="B304" s="0" t="s">
        <v>1147</v>
      </c>
      <c r="C304" s="0" t="s">
        <v>50</v>
      </c>
      <c r="D304" s="23" t="n">
        <f aca="false">D$12</f>
        <v>0.238210067173108</v>
      </c>
      <c r="E304" s="23" t="n">
        <f aca="false">E$12</f>
        <v>0.238210067173108</v>
      </c>
      <c r="F304" s="23" t="n">
        <f aca="false">F$12</f>
        <v>0.238210067173108</v>
      </c>
      <c r="G304" s="23" t="n">
        <f aca="false">G$12</f>
        <v>0.238210067173108</v>
      </c>
      <c r="H304" s="23" t="n">
        <f aca="false">H$12</f>
        <v>0.273101862203342</v>
      </c>
      <c r="I304" s="23" t="n">
        <f aca="false">I$12</f>
        <v>0.269621396123668</v>
      </c>
      <c r="J304" s="23" t="n">
        <f aca="false">J$12</f>
        <v>0.272187509408712</v>
      </c>
      <c r="K304" s="23" t="n">
        <f aca="false">K$12</f>
        <v>0.272187509408712</v>
      </c>
      <c r="L304" s="23" t="n">
        <f aca="false">L$12</f>
        <v>0.272187509408712</v>
      </c>
      <c r="M304" s="23" t="n">
        <f aca="false">M$12</f>
        <v>0.272187509408712</v>
      </c>
    </row>
    <row r="306" customFormat="false" ht="17.15" hidden="false" customHeight="false" outlineLevel="0" collapsed="false">
      <c r="A306" s="21" t="s">
        <v>1148</v>
      </c>
    </row>
    <row r="307" customFormat="false" ht="17.15" hidden="false" customHeight="false" outlineLevel="0" collapsed="false">
      <c r="A307" s="5" t="s">
        <v>1149</v>
      </c>
      <c r="B307" s="0" t="s">
        <v>1150</v>
      </c>
      <c r="D307" s="25" t="n">
        <f aca="false">SUM(D30,D49,D68,D87,D106,D125,D144,D163,D182,D201,D220,D239,D258,D277,D296)</f>
        <v>0.630578355681972</v>
      </c>
      <c r="E307" s="25" t="n">
        <f aca="false">SUM(E30,E49,E68,E87,E106,E125,E144,E163,E182,E201,E220,E239,E258,E277,E296)</f>
        <v>6.20938570515285</v>
      </c>
      <c r="F307" s="25" t="n">
        <f aca="false">SUM(F30,F49,F68,F87,F106,F125,F144,F163,F182,F201,F220,F239,F258,F277,F296)</f>
        <v>25.3371433333333</v>
      </c>
      <c r="G307" s="25" t="n">
        <f aca="false">SUM(G30,G49,G68,G87,G106,G125,G144,G163,G182,G201,G220,G239,G258,G277,G296)</f>
        <v>37.6525147943925</v>
      </c>
      <c r="H307" s="25" t="n">
        <f aca="false">SUM(H30,H49,H68,H87,H106,H125,H144,H163,H182,H201,H220,H239,H258,H277,H296)</f>
        <v>43.1401599188997</v>
      </c>
      <c r="I307" s="25" t="n">
        <f aca="false">SUM(I30,I49,I68,I87,I106,I125,I144,I163,I182,I201,I220,I239,I258,I277,I296)</f>
        <v>59.7282073131421</v>
      </c>
      <c r="J307" s="25" t="n">
        <f aca="false">SUM(J30,J49,J68,J87,J106,J125,J144,J163,J182,J201,J220,J239,J258,J277,J296)</f>
        <v>65.6632286441395</v>
      </c>
      <c r="K307" s="25" t="n">
        <f aca="false">SUM(K30,K49,K68,K87,K106,K125,K144,K163,K182,K201,K220,K239,K258,K277,K296)</f>
        <v>73.3052836661874</v>
      </c>
      <c r="L307" s="25" t="n">
        <f aca="false">SUM(L30,L49,L68,L87,L106,L125,L144,L163,L182,L201,L220,L239,L258,L277,L296)</f>
        <v>75.4591298200336</v>
      </c>
      <c r="M307" s="25" t="n">
        <f aca="false">SUM(M30,M49,M68,M87,M106,M125,M144,M163,M182,M201,M220,M239,M258,M277,M296)</f>
        <v>77.8283605892643</v>
      </c>
    </row>
    <row r="308" customFormat="false" ht="17.15" hidden="false" customHeight="false" outlineLevel="0" collapsed="false">
      <c r="A308" s="5" t="s">
        <v>1151</v>
      </c>
      <c r="B308" s="0" t="s">
        <v>1152</v>
      </c>
      <c r="D308" s="24" t="n">
        <f aca="false">SUM(D32,D51,D70,D89,D108,D127,D146,D165,D184,D203,D222,D241,D260,D279,D298)</f>
        <v>0.578431531897603</v>
      </c>
      <c r="E308" s="24" t="n">
        <f aca="false">SUM(E32,E51,E70,E89,E108,E127,E146,E165,E184,E203,E222,E241,E260,E279,E298)</f>
        <v>5.60426250610571</v>
      </c>
      <c r="F308" s="24" t="n">
        <f aca="false">SUM(F32,F51,F70,F89,F108,F127,F146,F165,F184,F203,F222,F241,F260,F279,F298)</f>
        <v>19.0820516666667</v>
      </c>
      <c r="G308" s="24" t="n">
        <f aca="false">SUM(G32,G51,G70,G89,G108,G127,G146,G165,G184,G203,G222,G241,G260,G279,G298)</f>
        <v>34.3858481277259</v>
      </c>
      <c r="H308" s="24" t="n">
        <f aca="false">SUM(H32,H51,H70,H89,H108,H127,H146,H165,H184,H203,H222,H241,H260,H279,H298)</f>
        <v>43.1401599188997</v>
      </c>
      <c r="I308" s="24" t="n">
        <f aca="false">SUM(I32,I51,I70,I89,I108,I127,I146,I165,I184,I203,I222,I241,I260,I279,I298)</f>
        <v>59.7282073131421</v>
      </c>
      <c r="J308" s="24" t="n">
        <f aca="false">SUM(J32,J51,J70,J89,J108,J127,J146,J165,J184,J203,J222,J241,J260,J279,J298)</f>
        <v>65.6632286441395</v>
      </c>
      <c r="K308" s="24" t="n">
        <f aca="false">SUM(K32,K51,K70,K89,K108,K127,K146,K165,K184,K203,K222,K241,K260,K279,K298)</f>
        <v>73.3052836661874</v>
      </c>
      <c r="L308" s="24" t="n">
        <f aca="false">SUM(L32,L51,L70,L89,L108,L127,L146,L165,L184,L203,L222,L241,L260,L279,L298)</f>
        <v>75.4591298200336</v>
      </c>
      <c r="M308" s="24" t="n">
        <f aca="false">SUM(M32,M51,M70,M89,M108,M127,M146,M165,M184,M203,M222,M241,M260,M279,M298)</f>
        <v>77.8283605892643</v>
      </c>
    </row>
    <row r="309" customFormat="false" ht="17.15" hidden="false" customHeight="false" outlineLevel="0" collapsed="false">
      <c r="A309" s="5" t="s">
        <v>1153</v>
      </c>
      <c r="B309" s="0" t="s">
        <v>1154</v>
      </c>
      <c r="D309" s="24" t="n">
        <f aca="false">SUM(D33,D52,D71,D90,D109,D128,D147,D166,D185,D204,D223,D242,D261,D280,D299)</f>
        <v>0.708798591358526</v>
      </c>
      <c r="E309" s="24" t="n">
        <f aca="false">SUM(E33,E52,E71,E90,E109,E128,E147,E166,E185,E204,E223,E242,E261,E280,E299)</f>
        <v>6.98708195813313</v>
      </c>
      <c r="F309" s="24" t="n">
        <f aca="false">SUM(F33,F52,F71,F90,F109,F128,F147,F166,F185,F204,F223,F242,F261,F280,F299)</f>
        <v>30.295708</v>
      </c>
      <c r="G309" s="24" t="n">
        <f aca="false">SUM(G33,G52,G71,G90,G109,G128,G147,G166,G185,G204,G223,G242,G261,G280,G299)</f>
        <v>41.0191814610592</v>
      </c>
      <c r="H309" s="24" t="n">
        <f aca="false">SUM(H33,H52,H71,H90,H109,H128,H147,H166,H185,H204,H223,H242,H261,H280,H299)</f>
        <v>43.1401599188997</v>
      </c>
      <c r="I309" s="24" t="n">
        <f aca="false">SUM(I33,I52,I71,I90,I109,I128,I147,I166,I185,I204,I223,I242,I261,I280,I299)</f>
        <v>59.7282073131421</v>
      </c>
      <c r="J309" s="24" t="n">
        <f aca="false">SUM(J33,J52,J71,J90,J109,J128,J147,J166,J185,J204,J223,J242,J261,J280,J299)</f>
        <v>65.6632286441395</v>
      </c>
      <c r="K309" s="24" t="n">
        <f aca="false">SUM(K33,K52,K71,K90,K109,K128,K147,K166,K185,K204,K223,K242,K261,K280,K299)</f>
        <v>73.3052836661874</v>
      </c>
      <c r="L309" s="24" t="n">
        <f aca="false">SUM(L33,L52,L71,L90,L109,L128,L147,L166,L185,L204,L223,L242,L261,L280,L299)</f>
        <v>75.4591298200336</v>
      </c>
      <c r="M309" s="24" t="n">
        <f aca="false">SUM(M33,M52,M71,M90,M109,M128,M147,M166,M185,M204,M223,M242,M261,M280,M299)</f>
        <v>77.8283605892643</v>
      </c>
    </row>
    <row r="310" customFormat="false" ht="17.15" hidden="false" customHeight="false" outlineLevel="0" collapsed="false">
      <c r="A310" s="5" t="s">
        <v>1155</v>
      </c>
      <c r="B310" s="0" t="s">
        <v>1156</v>
      </c>
      <c r="D310" s="24" t="n">
        <f aca="false">SUM(D34,D53,D72,D91,D110,D129,D148,D167,D186,D205,D224,D243,D262,D281,D300)</f>
        <v>0.630578355681972</v>
      </c>
      <c r="E310" s="24" t="n">
        <f aca="false">SUM(E34,E53,E72,E91,E110,E129,E148,E167,E186,E205,E224,E243,E262,E281,E300)</f>
        <v>6.20938570515285</v>
      </c>
      <c r="F310" s="24" t="n">
        <f aca="false">SUM(F34,F53,F72,F91,F110,F129,F148,F167,F186,F205,F224,F243,F262,F281,F300)</f>
        <v>25.2138433333333</v>
      </c>
      <c r="G310" s="24" t="n">
        <f aca="false">SUM(G34,G53,G72,G91,G110,G129,G148,G167,G186,G205,G224,G243,G262,G281,G300)</f>
        <v>37.1358481277259</v>
      </c>
      <c r="H310" s="24" t="n">
        <f aca="false">SUM(H34,H53,H72,H91,H110,H129,H148,H167,H186,H205,H224,H243,H262,H281,H300)</f>
        <v>42.623493252233</v>
      </c>
      <c r="I310" s="24" t="n">
        <f aca="false">SUM(I34,I53,I72,I91,I110,I129,I148,I167,I186,I205,I224,I243,I262,I281,I300)</f>
        <v>59.2115406464754</v>
      </c>
      <c r="J310" s="24" t="n">
        <f aca="false">SUM(J34,J53,J72,J91,J110,J129,J148,J167,J186,J205,J224,J243,J262,J281,J300)</f>
        <v>65.1465619774728</v>
      </c>
      <c r="K310" s="24" t="n">
        <f aca="false">SUM(K34,K53,K72,K91,K110,K129,K148,K167,K186,K205,K224,K243,K262,K281,K300)</f>
        <v>72.5052836661874</v>
      </c>
      <c r="L310" s="24" t="n">
        <f aca="false">SUM(L34,L53,L72,L91,L110,L129,L148,L167,L186,L205,L224,L243,L262,L281,L300)</f>
        <v>74.6591298200336</v>
      </c>
      <c r="M310" s="24" t="n">
        <f aca="false">SUM(M34,M53,M72,M91,M110,M129,M148,M167,M186,M205,M224,M243,M262,M281,M300)</f>
        <v>77.0283605892643</v>
      </c>
    </row>
    <row r="311" customFormat="false" ht="17.15" hidden="false" customHeight="false" outlineLevel="0" collapsed="false">
      <c r="A311" s="5" t="s">
        <v>1157</v>
      </c>
      <c r="B311" s="0" t="s">
        <v>1158</v>
      </c>
      <c r="D311" s="24" t="n">
        <f aca="false">D307*D$13</f>
        <v>0.756694026818367</v>
      </c>
      <c r="E311" s="24" t="n">
        <f aca="false">E307*E$13</f>
        <v>7.45126284618342</v>
      </c>
      <c r="F311" s="24" t="n">
        <f aca="false">F307*F$13</f>
        <v>30.404572</v>
      </c>
      <c r="G311" s="24" t="n">
        <f aca="false">G307*G$13</f>
        <v>45.183017753271</v>
      </c>
      <c r="H311" s="24" t="n">
        <f aca="false">H307*H$13</f>
        <v>51.7681919026796</v>
      </c>
      <c r="I311" s="24" t="n">
        <f aca="false">I307*I$13</f>
        <v>71.6738487757705</v>
      </c>
      <c r="J311" s="24" t="n">
        <f aca="false">J307*J$13</f>
        <v>78.7958743729674</v>
      </c>
      <c r="K311" s="24" t="n">
        <f aca="false">K307*K$13</f>
        <v>87.9663403994249</v>
      </c>
      <c r="L311" s="24" t="n">
        <f aca="false">L307*L$13</f>
        <v>90.5509557840403</v>
      </c>
      <c r="M311" s="24" t="n">
        <f aca="false">M307*M$13</f>
        <v>93.3940327071172</v>
      </c>
    </row>
    <row r="312" customFormat="false" ht="17.15" hidden="false" customHeight="false" outlineLevel="0" collapsed="false">
      <c r="A312" s="5" t="s">
        <v>1159</v>
      </c>
      <c r="B312" s="0" t="s">
        <v>1160</v>
      </c>
      <c r="D312" s="24" t="str">
        <f aca="false">""</f>
        <v/>
      </c>
      <c r="E312" s="24" t="n">
        <f aca="false">(D307+E307)/2</f>
        <v>3.41998203041741</v>
      </c>
      <c r="F312" s="24" t="n">
        <f aca="false">(E307+F307)/2</f>
        <v>15.7732645192431</v>
      </c>
      <c r="G312" s="24" t="n">
        <f aca="false">(F307+G307)/2</f>
        <v>31.4948290638629</v>
      </c>
      <c r="H312" s="24" t="n">
        <f aca="false">(G307+H307)/2</f>
        <v>40.3963373566461</v>
      </c>
      <c r="I312" s="24" t="n">
        <f aca="false">(H307+I307)/2</f>
        <v>51.4341836160209</v>
      </c>
      <c r="J312" s="24" t="n">
        <f aca="false">(I307+J307)/2</f>
        <v>62.6957179786408</v>
      </c>
      <c r="K312" s="24" t="n">
        <f aca="false">(J307+K307)/2</f>
        <v>69.4842561551635</v>
      </c>
      <c r="L312" s="24" t="n">
        <f aca="false">(K307+L307)/2</f>
        <v>74.3822067431105</v>
      </c>
      <c r="M312" s="24" t="n">
        <f aca="false">(L307+M307)/2</f>
        <v>76.6437452046489</v>
      </c>
    </row>
    <row r="313" customFormat="false" ht="17.15" hidden="false" customHeight="false" outlineLevel="0" collapsed="false">
      <c r="A313" s="5" t="s">
        <v>1161</v>
      </c>
      <c r="B313" s="0" t="s">
        <v>1162</v>
      </c>
      <c r="D313" s="24" t="n">
        <f aca="false">SUM(D36,D55,D74,D93,D112,D131,D150,D169,D188,D207,D226,D245,D264,D283,D302)</f>
        <v>0</v>
      </c>
      <c r="E313" s="24" t="n">
        <f aca="false">SUM(E36,E55,E74,E93,E112,E131,E150,E169,E188,E207,E226,E245,E264,E283,E302)</f>
        <v>1.61980834349181</v>
      </c>
      <c r="F313" s="24" t="n">
        <f aca="false">SUM(F36,F55,F74,F93,F112,F131,F150,F169,F188,F207,F226,F245,F264,F283,F302)</f>
        <v>9.04912429484715</v>
      </c>
      <c r="G313" s="24" t="n">
        <f aca="false">SUM(G36,G55,G74,G93,G112,G131,G150,G169,G188,G207,G226,G245,G264,G283,G302)</f>
        <v>12.3153714610592</v>
      </c>
      <c r="H313" s="24" t="n">
        <f aca="false">SUM(H36,H55,H74,H93,H112,H131,H150,H169,H188,H207,H226,H245,H264,H283,H302)</f>
        <v>5.48764512450717</v>
      </c>
      <c r="I313" s="24" t="n">
        <f aca="false">SUM(I36,I55,I74,I93,I112,I131,I150,I169,I188,I207,I226,I245,I264,I283,I302)</f>
        <v>16.5880473942424</v>
      </c>
      <c r="J313" s="24" t="n">
        <f aca="false">SUM(J36,J55,J74,J93,J112,J131,J150,J169,J188,J207,J226,J245,J264,J283,J302)</f>
        <v>5.93502133099745</v>
      </c>
      <c r="K313" s="24" t="n">
        <f aca="false">SUM(K36,K55,K74,K93,K112,K131,K150,K169,K188,K207,K226,K245,K264,K283,K302)</f>
        <v>7.6420550220479</v>
      </c>
      <c r="L313" s="24" t="n">
        <f aca="false">SUM(L36,L55,L74,L93,L112,L131,L150,L169,L188,L207,L226,L245,L264,L283,L302)</f>
        <v>2.15384615384616</v>
      </c>
      <c r="M313" s="24" t="n">
        <f aca="false">SUM(M36,M55,M74,M93,M112,M131,M150,M169,M188,M207,M226,M245,M264,M283,M302)</f>
        <v>2.36923076923077</v>
      </c>
    </row>
    <row r="314" customFormat="false" ht="17.15" hidden="false" customHeight="false" outlineLevel="0" collapsed="false">
      <c r="A314" s="5" t="s">
        <v>1163</v>
      </c>
      <c r="B314" s="0" t="s">
        <v>1164</v>
      </c>
      <c r="D314" s="24" t="n">
        <f aca="false">SUM(D37,D56,D75,D94,D113,D132,D151,D170,D189,D208,D227,D246,D265,D284,D303)</f>
        <v>0.630578355681972</v>
      </c>
      <c r="E314" s="24" t="n">
        <f aca="false">SUM(E37,E56,E75,E94,E113,E132,E151,E170,E189,E208,E227,E246,E265,E284,E303)</f>
        <v>3.95899900597907</v>
      </c>
      <c r="F314" s="24" t="n">
        <f aca="false">SUM(F37,F56,F75,F94,F113,F132,F151,F170,F189,F208,F227,F246,F265,F284,F303)</f>
        <v>10.0786333333333</v>
      </c>
      <c r="G314" s="24" t="n">
        <f aca="false">SUM(G37,G56,G75,G94,G113,G132,G151,G170,G189,G208,G227,G246,G265,G284,G303)</f>
        <v>0</v>
      </c>
      <c r="H314" s="24" t="n">
        <f aca="false">SUM(H37,H56,H75,H94,H113,H132,H151,H170,H189,H208,H227,H246,H265,H284,H303)</f>
        <v>0</v>
      </c>
      <c r="I314" s="24" t="n">
        <f aca="false">SUM(I37,I56,I75,I94,I113,I132,I151,I170,I189,I208,I227,I246,I265,I284,I303)</f>
        <v>0</v>
      </c>
      <c r="J314" s="24" t="n">
        <f aca="false">SUM(J37,J56,J75,J94,J113,J132,J151,J170,J189,J208,J227,J246,J265,J284,J303)</f>
        <v>0</v>
      </c>
      <c r="K314" s="24" t="n">
        <f aca="false">SUM(K37,K56,K75,K94,K113,K132,K151,K170,K189,K208,K227,K246,K265,K284,K303)</f>
        <v>0</v>
      </c>
      <c r="L314" s="24" t="n">
        <f aca="false">SUM(L37,L56,L75,L94,L113,L132,L151,L170,L189,L208,L227,L246,L265,L284,L303)</f>
        <v>0</v>
      </c>
      <c r="M314" s="24" t="n">
        <f aca="false">SUM(M37,M56,M75,M94,M113,M132,M151,M170,M189,M208,M227,M246,M265,M284,M303)</f>
        <v>0</v>
      </c>
    </row>
    <row r="315" customFormat="false" ht="17.15" hidden="false" customHeight="false" outlineLevel="0" collapsed="false">
      <c r="A315" s="5" t="s">
        <v>1165</v>
      </c>
      <c r="B315" s="0" t="s">
        <v>1166</v>
      </c>
      <c r="D315" s="24" t="n">
        <f aca="false">D307-N(D277)</f>
        <v>0.630578355681972</v>
      </c>
      <c r="E315" s="24" t="n">
        <f aca="false">E307-N(E277)</f>
        <v>6.20938570515285</v>
      </c>
      <c r="F315" s="24" t="n">
        <f aca="false">F307-N(F277)</f>
        <v>17.00381</v>
      </c>
      <c r="G315" s="24" t="n">
        <f aca="false">G307-N(G277)</f>
        <v>25.9858481277259</v>
      </c>
      <c r="H315" s="24" t="n">
        <f aca="false">H307-N(H277)</f>
        <v>29.4839887943925</v>
      </c>
      <c r="I315" s="24" t="n">
        <f aca="false">I307-N(I277)</f>
        <v>43.7908221277259</v>
      </c>
      <c r="J315" s="24" t="n">
        <f aca="false">J307-N(J277)</f>
        <v>47.1133221277259</v>
      </c>
      <c r="K315" s="24" t="n">
        <f aca="false">K307-N(K277)</f>
        <v>51.7668221277259</v>
      </c>
      <c r="L315" s="24" t="n">
        <f aca="false">L307-N(L277)</f>
        <v>51.7668221277259</v>
      </c>
      <c r="M315" s="24" t="n">
        <f aca="false">M307-N(M277)</f>
        <v>51.7668221277259</v>
      </c>
    </row>
    <row r="316" customFormat="false" ht="15" hidden="false" customHeight="false" outlineLevel="0" collapsed="false">
      <c r="A316" s="5" t="s">
        <v>1167</v>
      </c>
      <c r="B316" s="0" t="s">
        <v>1168</v>
      </c>
      <c r="D316" s="26" t="n">
        <f aca="false">COUNT(D30,D49,D68,D87,D106,D125,D144,D163,D182,D201,D220,D239,D258,D277,D296)</f>
        <v>2</v>
      </c>
      <c r="E316" s="26" t="n">
        <f aca="false">COUNT(E30,E49,E68,E87,E106,E125,E144,E163,E182,E201,E220,E239,E258,E277,E296)</f>
        <v>7</v>
      </c>
      <c r="F316" s="26" t="n">
        <f aca="false">COUNT(F30,F49,F68,F87,F106,F125,F144,F163,F182,F201,F220,F239,F258,F277,F296)</f>
        <v>15</v>
      </c>
      <c r="G316" s="26" t="n">
        <f aca="false">COUNT(G30,G49,G68,G87,G106,G125,G144,G163,G182,G201,G220,G239,G258,G277,G296)</f>
        <v>15</v>
      </c>
      <c r="H316" s="26" t="n">
        <f aca="false">COUNT(H30,H49,H68,H87,H106,H125,H144,H163,H182,H201,H220,H239,H258,H277,H296)</f>
        <v>15</v>
      </c>
      <c r="I316" s="26" t="n">
        <f aca="false">COUNT(I30,I49,I68,I87,I106,I125,I144,I163,I182,I201,I220,I239,I258,I277,I296)</f>
        <v>15</v>
      </c>
      <c r="J316" s="26" t="n">
        <f aca="false">COUNT(J30,J49,J68,J87,J106,J125,J144,J163,J182,J201,J220,J239,J258,J277,J296)</f>
        <v>15</v>
      </c>
      <c r="K316" s="26" t="n">
        <f aca="false">COUNT(K30,K49,K68,K87,K106,K125,K144,K163,K182,K201,K220,K239,K258,K277,K296)</f>
        <v>15</v>
      </c>
      <c r="L316" s="26" t="n">
        <f aca="false">COUNT(L30,L49,L68,L87,L106,L125,L144,L163,L182,L201,L220,L239,L258,L277,L296)</f>
        <v>15</v>
      </c>
      <c r="M316" s="26" t="n">
        <f aca="false">COUNT(M30,M49,M68,M87,M106,M125,M144,M163,M182,M201,M220,M239,M258,M277,M296)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3" style="0" width="10"/>
  </cols>
  <sheetData>
    <row r="1" customFormat="false" ht="17.15" hidden="false" customHeight="false" outlineLevel="0" collapsed="false">
      <c r="A1" s="0" t="s">
        <v>1169</v>
      </c>
    </row>
    <row r="3" customFormat="false" ht="17.15" hidden="false" customHeight="false" outlineLevel="0" collapsed="false">
      <c r="A3" s="8" t="s">
        <v>1170</v>
      </c>
    </row>
    <row r="4" customFormat="false" ht="17.15" hidden="false" customHeight="false" outlineLevel="0" collapsed="false">
      <c r="A4" s="6" t="s">
        <v>434</v>
      </c>
      <c r="B4" s="6" t="s">
        <v>12</v>
      </c>
      <c r="C4" s="6" t="s">
        <v>1171</v>
      </c>
      <c r="D4" s="7" t="s">
        <v>1172</v>
      </c>
      <c r="E4" s="7" t="s">
        <v>1173</v>
      </c>
      <c r="F4" s="7" t="s">
        <v>1174</v>
      </c>
      <c r="G4" s="7" t="s">
        <v>918</v>
      </c>
      <c r="H4" s="7" t="s">
        <v>1175</v>
      </c>
      <c r="I4" s="7" t="s">
        <v>1176</v>
      </c>
      <c r="J4" s="6" t="s">
        <v>1177</v>
      </c>
      <c r="K4" s="6" t="s">
        <v>1178</v>
      </c>
      <c r="L4" s="6" t="s">
        <v>1179</v>
      </c>
      <c r="M4" s="7" t="s">
        <v>1180</v>
      </c>
      <c r="N4" s="6" t="s">
        <v>1181</v>
      </c>
    </row>
    <row r="5" customFormat="false" ht="17.15" hidden="false" customHeight="false" outlineLevel="0" collapsed="false">
      <c r="A5" s="0" t="s">
        <v>1182</v>
      </c>
      <c r="B5" s="0" t="s">
        <v>441</v>
      </c>
      <c r="C5" s="24" t="n">
        <f aca="false">SUMPRODUCT((In!$H$150:$H$162="msft")*(In!$I$150:$I$162="self")*((In!$J$150:$J$162="比")*$M5+(In!$J$150:$J$162&lt;&gt;"比"))*In!K$150:K$162)</f>
        <v>1.491618</v>
      </c>
      <c r="D5" s="24" t="n">
        <f aca="false">SUMPRODUCT((In!$H$150:$H$162="msft")*(In!$I$150:$I$162="oai")*((In!$J$150:$J$162="比")*$M5+(In!$J$150:$J$162&lt;&gt;"比"))*In!K$150:K$162)</f>
        <v>0</v>
      </c>
      <c r="E5" s="24" t="n">
        <f aca="false">SUMPRODUCT((In!$H$150:$H$162="msft")*(In!$I$150:$I$162="ant")*((In!$J$150:$J$162="比")*$M5+(In!$J$150:$J$162&lt;&gt;"比"))*In!K$150:K$162)</f>
        <v>0</v>
      </c>
      <c r="F5" s="24" t="n">
        <f aca="false">SUMPRODUCT((In!$H$150:$H$162="msft")*(In!$I$150:$I$162="xai")*((In!$J$150:$J$162="比")*$M5+(In!$J$150:$J$162&lt;&gt;"比"))*In!K$150:K$162)</f>
        <v>0</v>
      </c>
      <c r="G5" s="24" t="n">
        <f aca="false">SUMPRODUCT((In!$H$150:$H$162="msft")*(In!$I$150:$I$162="meta")*((In!$J$150:$J$162="比")*$M5+(In!$J$150:$J$162&lt;&gt;"比"))*In!K$150:K$162)</f>
        <v>0</v>
      </c>
      <c r="H5" s="24" t="n">
        <f aca="false">SUMPRODUCT((In!$H$150:$H$162="msft")*(In!$I$150:$I$162="googl")*((In!$J$150:$J$162="比")*$M5+(In!$J$150:$J$162&lt;&gt;"比"))*In!K$150:K$162)</f>
        <v>0</v>
      </c>
      <c r="I5" s="24" t="n">
        <f aca="false">SUMPRODUCT((In!$H$150:$H$162="msft")*(In!$I$150:$I$162="msft")*((In!$J$150:$J$162="比")*$M5+(In!$J$150:$J$162&lt;&gt;"比"))*In!K$150:K$162)</f>
        <v>0</v>
      </c>
      <c r="J5" s="24" t="n">
        <f aca="false">SUMPRODUCT((In!$H$150:$H$162="msft")*(In!$I$150:$I$162="oth")*((In!$J$150:$J$162="比")*$M5+(In!$J$150:$J$162&lt;&gt;"比"))*In!K$150:K$162)</f>
        <v>0</v>
      </c>
      <c r="K5" s="24" t="n">
        <f aca="false">$M5-SUM(C5:J5)</f>
        <v>2.237427</v>
      </c>
      <c r="L5" s="24" t="n">
        <f aca="false">SUM(C5:K5)</f>
        <v>3.729045</v>
      </c>
      <c r="M5" s="27" t="n">
        <f aca="false">N(Players!F30)</f>
        <v>3.729045</v>
      </c>
      <c r="N5" s="28" t="n">
        <f aca="false">L5-M5</f>
        <v>0</v>
      </c>
    </row>
    <row r="6" customFormat="false" ht="17.15" hidden="false" customHeight="false" outlineLevel="0" collapsed="false">
      <c r="A6" s="0" t="s">
        <v>1183</v>
      </c>
      <c r="B6" s="0" t="s">
        <v>446</v>
      </c>
      <c r="C6" s="24" t="n">
        <f aca="false">SUMPRODUCT((In!$H$150:$H$162="googl")*(In!$I$150:$I$162="self")*((In!$J$150:$J$162="比")*$M6+(In!$J$150:$J$162&lt;&gt;"比"))*In!K$150:K$162)</f>
        <v>3.01</v>
      </c>
      <c r="D6" s="24" t="n">
        <f aca="false">SUMPRODUCT((In!$H$150:$H$162="googl")*(In!$I$150:$I$162="oai")*((In!$J$150:$J$162="比")*$M6+(In!$J$150:$J$162&lt;&gt;"比"))*In!K$150:K$162)</f>
        <v>0</v>
      </c>
      <c r="E6" s="24" t="n">
        <f aca="false">SUMPRODUCT((In!$H$150:$H$162="googl")*(In!$I$150:$I$162="ant")*((In!$J$150:$J$162="比")*$M6+(In!$J$150:$J$162&lt;&gt;"比"))*In!K$150:K$162)</f>
        <v>0</v>
      </c>
      <c r="F6" s="24" t="n">
        <f aca="false">SUMPRODUCT((In!$H$150:$H$162="googl")*(In!$I$150:$I$162="xai")*((In!$J$150:$J$162="比")*$M6+(In!$J$150:$J$162&lt;&gt;"比"))*In!K$150:K$162)</f>
        <v>0</v>
      </c>
      <c r="G6" s="24" t="n">
        <f aca="false">SUMPRODUCT((In!$H$150:$H$162="googl")*(In!$I$150:$I$162="meta")*((In!$J$150:$J$162="比")*$M6+(In!$J$150:$J$162&lt;&gt;"比"))*In!K$150:K$162)</f>
        <v>0</v>
      </c>
      <c r="H6" s="24" t="n">
        <f aca="false">SUMPRODUCT((In!$H$150:$H$162="googl")*(In!$I$150:$I$162="googl")*((In!$J$150:$J$162="比")*$M6+(In!$J$150:$J$162&lt;&gt;"比"))*In!K$150:K$162)</f>
        <v>0</v>
      </c>
      <c r="I6" s="24" t="n">
        <f aca="false">SUMPRODUCT((In!$H$150:$H$162="googl")*(In!$I$150:$I$162="msft")*((In!$J$150:$J$162="比")*$M6+(In!$J$150:$J$162&lt;&gt;"比"))*In!K$150:K$162)</f>
        <v>0</v>
      </c>
      <c r="J6" s="24" t="n">
        <f aca="false">SUMPRODUCT((In!$H$150:$H$162="googl")*(In!$I$150:$I$162="oth")*((In!$J$150:$J$162="比")*$M6+(In!$J$150:$J$162&lt;&gt;"比"))*In!K$150:K$162)</f>
        <v>0</v>
      </c>
      <c r="K6" s="24" t="n">
        <f aca="false">$M6-SUM(C6:J6)</f>
        <v>1.29</v>
      </c>
      <c r="L6" s="24" t="n">
        <f aca="false">SUM(C6:K6)</f>
        <v>4.3</v>
      </c>
      <c r="M6" s="27" t="n">
        <f aca="false">N(Players!F49)</f>
        <v>4.3</v>
      </c>
      <c r="N6" s="28" t="n">
        <f aca="false">L6-M6</f>
        <v>0</v>
      </c>
    </row>
    <row r="7" customFormat="false" ht="17.15" hidden="false" customHeight="false" outlineLevel="0" collapsed="false">
      <c r="A7" s="0" t="s">
        <v>1184</v>
      </c>
      <c r="B7" s="0" t="s">
        <v>454</v>
      </c>
      <c r="C7" s="24" t="n">
        <f aca="false">SUMPRODUCT((In!$H$150:$H$162="amzn")*(In!$I$150:$I$162="self")*((In!$J$150:$J$162="比")*$M7+(In!$J$150:$J$162&lt;&gt;"比"))*In!K$150:K$162)</f>
        <v>0.44</v>
      </c>
      <c r="D7" s="24" t="n">
        <f aca="false">SUMPRODUCT((In!$H$150:$H$162="amzn")*(In!$I$150:$I$162="oai")*((In!$J$150:$J$162="比")*$M7+(In!$J$150:$J$162&lt;&gt;"比"))*In!K$150:K$162)</f>
        <v>0</v>
      </c>
      <c r="E7" s="24" t="n">
        <f aca="false">SUMPRODUCT((In!$H$150:$H$162="amzn")*(In!$I$150:$I$162="ant")*((In!$J$150:$J$162="比")*$M7+(In!$J$150:$J$162&lt;&gt;"比"))*In!K$150:K$162)</f>
        <v>0.626</v>
      </c>
      <c r="F7" s="24" t="n">
        <f aca="false">SUMPRODUCT((In!$H$150:$H$162="amzn")*(In!$I$150:$I$162="xai")*((In!$J$150:$J$162="比")*$M7+(In!$J$150:$J$162&lt;&gt;"比"))*In!K$150:K$162)</f>
        <v>0</v>
      </c>
      <c r="G7" s="24" t="n">
        <f aca="false">SUMPRODUCT((In!$H$150:$H$162="amzn")*(In!$I$150:$I$162="meta")*((In!$J$150:$J$162="比")*$M7+(In!$J$150:$J$162&lt;&gt;"比"))*In!K$150:K$162)</f>
        <v>0</v>
      </c>
      <c r="H7" s="24" t="n">
        <f aca="false">SUMPRODUCT((In!$H$150:$H$162="amzn")*(In!$I$150:$I$162="googl")*((In!$J$150:$J$162="比")*$M7+(In!$J$150:$J$162&lt;&gt;"比"))*In!K$150:K$162)</f>
        <v>0</v>
      </c>
      <c r="I7" s="24" t="n">
        <f aca="false">SUMPRODUCT((In!$H$150:$H$162="amzn")*(In!$I$150:$I$162="msft")*((In!$J$150:$J$162="比")*$M7+(In!$J$150:$J$162&lt;&gt;"比"))*In!K$150:K$162)</f>
        <v>0</v>
      </c>
      <c r="J7" s="24" t="n">
        <f aca="false">SUMPRODUCT((In!$H$150:$H$162="amzn")*(In!$I$150:$I$162="oth")*((In!$J$150:$J$162="比")*$M7+(In!$J$150:$J$162&lt;&gt;"比"))*In!K$150:K$162)</f>
        <v>0</v>
      </c>
      <c r="K7" s="24" t="n">
        <f aca="false">$M7-SUM(C7:J7)</f>
        <v>1.134</v>
      </c>
      <c r="L7" s="24" t="n">
        <f aca="false">SUM(C7:K7)</f>
        <v>2.2</v>
      </c>
      <c r="M7" s="27" t="n">
        <f aca="false">N(Players!F68)</f>
        <v>2.2</v>
      </c>
      <c r="N7" s="28" t="n">
        <f aca="false">L7-M7</f>
        <v>0</v>
      </c>
    </row>
    <row r="8" customFormat="false" ht="15" hidden="false" customHeight="false" outlineLevel="0" collapsed="false">
      <c r="A8" s="0" t="s">
        <v>918</v>
      </c>
      <c r="B8" s="0" t="s">
        <v>461</v>
      </c>
      <c r="C8" s="24" t="n">
        <f aca="false">SUMPRODUCT((In!$H$150:$H$162="meta")*(In!$I$150:$I$162="self")*((In!$J$150:$J$162="比")*$M8+(In!$J$150:$J$162&lt;&gt;"比"))*In!K$150:K$162)</f>
        <v>0</v>
      </c>
      <c r="D8" s="24" t="n">
        <f aca="false">SUMPRODUCT((In!$H$150:$H$162="meta")*(In!$I$150:$I$162="oai")*((In!$J$150:$J$162="比")*$M8+(In!$J$150:$J$162&lt;&gt;"比"))*In!K$150:K$162)</f>
        <v>0</v>
      </c>
      <c r="E8" s="24" t="n">
        <f aca="false">SUMPRODUCT((In!$H$150:$H$162="meta")*(In!$I$150:$I$162="ant")*((In!$J$150:$J$162="比")*$M8+(In!$J$150:$J$162&lt;&gt;"比"))*In!K$150:K$162)</f>
        <v>0</v>
      </c>
      <c r="F8" s="24" t="n">
        <f aca="false">SUMPRODUCT((In!$H$150:$H$162="meta")*(In!$I$150:$I$162="xai")*((In!$J$150:$J$162="比")*$M8+(In!$J$150:$J$162&lt;&gt;"比"))*In!K$150:K$162)</f>
        <v>0</v>
      </c>
      <c r="G8" s="24" t="n">
        <f aca="false">SUMPRODUCT((In!$H$150:$H$162="meta")*(In!$I$150:$I$162="meta")*((In!$J$150:$J$162="比")*$M8+(In!$J$150:$J$162&lt;&gt;"比"))*In!K$150:K$162)</f>
        <v>2.476595</v>
      </c>
      <c r="H8" s="24" t="n">
        <f aca="false">SUMPRODUCT((In!$H$150:$H$162="meta")*(In!$I$150:$I$162="googl")*((In!$J$150:$J$162="比")*$M8+(In!$J$150:$J$162&lt;&gt;"比"))*In!K$150:K$162)</f>
        <v>0</v>
      </c>
      <c r="I8" s="24" t="n">
        <f aca="false">SUMPRODUCT((In!$H$150:$H$162="meta")*(In!$I$150:$I$162="msft")*((In!$J$150:$J$162="比")*$M8+(In!$J$150:$J$162&lt;&gt;"比"))*In!K$150:K$162)</f>
        <v>0</v>
      </c>
      <c r="J8" s="24" t="n">
        <f aca="false">SUMPRODUCT((In!$H$150:$H$162="meta")*(In!$I$150:$I$162="oth")*((In!$J$150:$J$162="比")*$M8+(In!$J$150:$J$162&lt;&gt;"比"))*In!K$150:K$162)</f>
        <v>0</v>
      </c>
      <c r="K8" s="24" t="n">
        <f aca="false">$M8-SUM(C8:J8)</f>
        <v>0</v>
      </c>
      <c r="L8" s="24" t="n">
        <f aca="false">SUM(C8:K8)</f>
        <v>2.476595</v>
      </c>
      <c r="M8" s="27" t="n">
        <f aca="false">N(Players!F87)</f>
        <v>2.476595</v>
      </c>
      <c r="N8" s="28" t="n">
        <f aca="false">L8-M8</f>
        <v>0</v>
      </c>
    </row>
    <row r="9" customFormat="false" ht="17.15" hidden="false" customHeight="false" outlineLevel="0" collapsed="false">
      <c r="A9" s="0" t="s">
        <v>1185</v>
      </c>
      <c r="B9" s="0" t="s">
        <v>465</v>
      </c>
      <c r="C9" s="24" t="n">
        <f aca="false">SUMPRODUCT((In!$H$150:$H$162="orcl")*(In!$I$150:$I$162="self")*((In!$J$150:$J$162="比")*$M9+(In!$J$150:$J$162&lt;&gt;"比"))*In!K$150:K$162)</f>
        <v>0</v>
      </c>
      <c r="D9" s="24" t="n">
        <f aca="false">SUMPRODUCT((In!$H$150:$H$162="orcl")*(In!$I$150:$I$162="oai")*((In!$J$150:$J$162="比")*$M9+(In!$J$150:$J$162&lt;&gt;"比"))*In!K$150:K$162)</f>
        <v>0</v>
      </c>
      <c r="E9" s="24" t="n">
        <f aca="false">SUMPRODUCT((In!$H$150:$H$162="orcl")*(In!$I$150:$I$162="ant")*((In!$J$150:$J$162="比")*$M9+(In!$J$150:$J$162&lt;&gt;"比"))*In!K$150:K$162)</f>
        <v>0</v>
      </c>
      <c r="F9" s="24" t="n">
        <f aca="false">SUMPRODUCT((In!$H$150:$H$162="orcl")*(In!$I$150:$I$162="xai")*((In!$J$150:$J$162="比")*$M9+(In!$J$150:$J$162&lt;&gt;"比"))*In!K$150:K$162)</f>
        <v>0</v>
      </c>
      <c r="G9" s="24" t="n">
        <f aca="false">SUMPRODUCT((In!$H$150:$H$162="orcl")*(In!$I$150:$I$162="meta")*((In!$J$150:$J$162="比")*$M9+(In!$J$150:$J$162&lt;&gt;"比"))*In!K$150:K$162)</f>
        <v>0</v>
      </c>
      <c r="H9" s="24" t="n">
        <f aca="false">SUMPRODUCT((In!$H$150:$H$162="orcl")*(In!$I$150:$I$162="googl")*((In!$J$150:$J$162="比")*$M9+(In!$J$150:$J$162&lt;&gt;"比"))*In!K$150:K$162)</f>
        <v>0</v>
      </c>
      <c r="I9" s="24" t="n">
        <f aca="false">SUMPRODUCT((In!$H$150:$H$162="orcl")*(In!$I$150:$I$162="msft")*((In!$J$150:$J$162="比")*$M9+(In!$J$150:$J$162&lt;&gt;"比"))*In!K$150:K$162)</f>
        <v>0</v>
      </c>
      <c r="J9" s="24" t="n">
        <f aca="false">SUMPRODUCT((In!$H$150:$H$162="orcl")*(In!$I$150:$I$162="oth")*((In!$J$150:$J$162="比")*$M9+(In!$J$150:$J$162&lt;&gt;"比"))*In!K$150:K$162)</f>
        <v>0</v>
      </c>
      <c r="K9" s="24" t="n">
        <f aca="false">$M9-SUM(C9:J9)</f>
        <v>1.20287</v>
      </c>
      <c r="L9" s="24" t="n">
        <f aca="false">SUM(C9:K9)</f>
        <v>1.20287</v>
      </c>
      <c r="M9" s="27" t="n">
        <f aca="false">N(Players!F106)</f>
        <v>1.20287</v>
      </c>
      <c r="N9" s="28" t="n">
        <f aca="false">L9-M9</f>
        <v>0</v>
      </c>
    </row>
    <row r="10" customFormat="false" ht="15" hidden="false" customHeight="false" outlineLevel="0" collapsed="false">
      <c r="A10" s="0" t="s">
        <v>956</v>
      </c>
      <c r="B10" s="0" t="s">
        <v>555</v>
      </c>
      <c r="C10" s="24" t="n">
        <f aca="false">SUMPRODUCT((In!$H$150:$H$162="crwv")*(In!$I$150:$I$162="self")*((In!$J$150:$J$162="比")*$M10+(In!$J$150:$J$162&lt;&gt;"比"))*In!K$150:K$162)</f>
        <v>0</v>
      </c>
      <c r="D10" s="24" t="n">
        <f aca="false">SUMPRODUCT((In!$H$150:$H$162="crwv")*(In!$I$150:$I$162="oai")*((In!$J$150:$J$162="比")*$M10+(In!$J$150:$J$162&lt;&gt;"比"))*In!K$150:K$162)</f>
        <v>0</v>
      </c>
      <c r="E10" s="24" t="n">
        <f aca="false">SUMPRODUCT((In!$H$150:$H$162="crwv")*(In!$I$150:$I$162="ant")*((In!$J$150:$J$162="比")*$M10+(In!$J$150:$J$162&lt;&gt;"比"))*In!K$150:K$162)</f>
        <v>0</v>
      </c>
      <c r="F10" s="24" t="n">
        <f aca="false">SUMPRODUCT((In!$H$150:$H$162="crwv")*(In!$I$150:$I$162="xai")*((In!$J$150:$J$162="比")*$M10+(In!$J$150:$J$162&lt;&gt;"比"))*In!K$150:K$162)</f>
        <v>0</v>
      </c>
      <c r="G10" s="24" t="n">
        <f aca="false">SUMPRODUCT((In!$H$150:$H$162="crwv")*(In!$I$150:$I$162="meta")*((In!$J$150:$J$162="比")*$M10+(In!$J$150:$J$162&lt;&gt;"比"))*In!K$150:K$162)</f>
        <v>0</v>
      </c>
      <c r="H10" s="24" t="n">
        <f aca="false">SUMPRODUCT((In!$H$150:$H$162="crwv")*(In!$I$150:$I$162="googl")*((In!$J$150:$J$162="比")*$M10+(In!$J$150:$J$162&lt;&gt;"比"))*In!K$150:K$162)</f>
        <v>0</v>
      </c>
      <c r="I10" s="24" t="n">
        <f aca="false">SUMPRODUCT((In!$H$150:$H$162="crwv")*(In!$I$150:$I$162="msft")*((In!$J$150:$J$162="比")*$M10+(In!$J$150:$J$162&lt;&gt;"比"))*In!K$150:K$162)</f>
        <v>0</v>
      </c>
      <c r="J10" s="24" t="n">
        <f aca="false">SUMPRODUCT((In!$H$150:$H$162="crwv")*(In!$I$150:$I$162="oth")*((In!$J$150:$J$162="比")*$M10+(In!$J$150:$J$162&lt;&gt;"比"))*In!K$150:K$162)</f>
        <v>0</v>
      </c>
      <c r="K10" s="24" t="n">
        <f aca="false">$M10-SUM(C10:J10)</f>
        <v>0.85</v>
      </c>
      <c r="L10" s="24" t="n">
        <f aca="false">SUM(C10:K10)</f>
        <v>0.85</v>
      </c>
      <c r="M10" s="27" t="n">
        <f aca="false">N(Players!F125)</f>
        <v>0.85</v>
      </c>
      <c r="N10" s="28" t="n">
        <f aca="false">L10-M10</f>
        <v>0</v>
      </c>
    </row>
    <row r="11" customFormat="false" ht="15" hidden="false" customHeight="false" outlineLevel="0" collapsed="false">
      <c r="A11" s="0" t="s">
        <v>975</v>
      </c>
      <c r="B11" s="0" t="s">
        <v>584</v>
      </c>
      <c r="C11" s="24" t="n">
        <f aca="false">SUMPRODUCT((In!$H$150:$H$162="nbis")*(In!$I$150:$I$162="self")*((In!$J$150:$J$162="比")*$M11+(In!$J$150:$J$162&lt;&gt;"比"))*In!K$150:K$162)</f>
        <v>0</v>
      </c>
      <c r="D11" s="24" t="n">
        <f aca="false">SUMPRODUCT((In!$H$150:$H$162="nbis")*(In!$I$150:$I$162="oai")*((In!$J$150:$J$162="比")*$M11+(In!$J$150:$J$162&lt;&gt;"比"))*In!K$150:K$162)</f>
        <v>0</v>
      </c>
      <c r="E11" s="24" t="n">
        <f aca="false">SUMPRODUCT((In!$H$150:$H$162="nbis")*(In!$I$150:$I$162="ant")*((In!$J$150:$J$162="比")*$M11+(In!$J$150:$J$162&lt;&gt;"比"))*In!K$150:K$162)</f>
        <v>0</v>
      </c>
      <c r="F11" s="24" t="n">
        <f aca="false">SUMPRODUCT((In!$H$150:$H$162="nbis")*(In!$I$150:$I$162="xai")*((In!$J$150:$J$162="比")*$M11+(In!$J$150:$J$162&lt;&gt;"比"))*In!K$150:K$162)</f>
        <v>0</v>
      </c>
      <c r="G11" s="24" t="n">
        <f aca="false">SUMPRODUCT((In!$H$150:$H$162="nbis")*(In!$I$150:$I$162="meta")*((In!$J$150:$J$162="比")*$M11+(In!$J$150:$J$162&lt;&gt;"比"))*In!K$150:K$162)</f>
        <v>0</v>
      </c>
      <c r="H11" s="24" t="n">
        <f aca="false">SUMPRODUCT((In!$H$150:$H$162="nbis")*(In!$I$150:$I$162="googl")*((In!$J$150:$J$162="比")*$M11+(In!$J$150:$J$162&lt;&gt;"比"))*In!K$150:K$162)</f>
        <v>0</v>
      </c>
      <c r="I11" s="24" t="n">
        <f aca="false">SUMPRODUCT((In!$H$150:$H$162="nbis")*(In!$I$150:$I$162="msft")*((In!$J$150:$J$162="比")*$M11+(In!$J$150:$J$162&lt;&gt;"比"))*In!K$150:K$162)</f>
        <v>0</v>
      </c>
      <c r="J11" s="24" t="n">
        <f aca="false">SUMPRODUCT((In!$H$150:$H$162="nbis")*(In!$I$150:$I$162="oth")*((In!$J$150:$J$162="比")*$M11+(In!$J$150:$J$162&lt;&gt;"比"))*In!K$150:K$162)</f>
        <v>0</v>
      </c>
      <c r="K11" s="24" t="n">
        <f aca="false">$M11-SUM(C11:J11)</f>
        <v>0.17</v>
      </c>
      <c r="L11" s="24" t="n">
        <f aca="false">SUM(C11:K11)</f>
        <v>0.17</v>
      </c>
      <c r="M11" s="27" t="n">
        <f aca="false">N(Players!F144)</f>
        <v>0.17</v>
      </c>
      <c r="N11" s="28" t="n">
        <f aca="false">L11-M11</f>
        <v>0</v>
      </c>
    </row>
    <row r="12" customFormat="false" ht="17.15" hidden="false" customHeight="false" outlineLevel="0" collapsed="false">
      <c r="A12" s="0" t="s">
        <v>1186</v>
      </c>
      <c r="B12" s="0" t="s">
        <v>995</v>
      </c>
      <c r="C12" s="24" t="n">
        <f aca="false">SUMPRODUCT((In!$H$150:$H$162="wyfi")*(In!$I$150:$I$162="self")*((In!$J$150:$J$162="比")*$M12+(In!$J$150:$J$162&lt;&gt;"比"))*In!K$150:K$162)</f>
        <v>0</v>
      </c>
      <c r="D12" s="24" t="n">
        <f aca="false">SUMPRODUCT((In!$H$150:$H$162="wyfi")*(In!$I$150:$I$162="oai")*((In!$J$150:$J$162="比")*$M12+(In!$J$150:$J$162&lt;&gt;"比"))*In!K$150:K$162)</f>
        <v>0</v>
      </c>
      <c r="E12" s="24" t="n">
        <f aca="false">SUMPRODUCT((In!$H$150:$H$162="wyfi")*(In!$I$150:$I$162="ant")*((In!$J$150:$J$162="比")*$M12+(In!$J$150:$J$162&lt;&gt;"比"))*In!K$150:K$162)</f>
        <v>0</v>
      </c>
      <c r="F12" s="24" t="n">
        <f aca="false">SUMPRODUCT((In!$H$150:$H$162="wyfi")*(In!$I$150:$I$162="xai")*((In!$J$150:$J$162="比")*$M12+(In!$J$150:$J$162&lt;&gt;"比"))*In!K$150:K$162)</f>
        <v>0</v>
      </c>
      <c r="G12" s="24" t="n">
        <f aca="false">SUMPRODUCT((In!$H$150:$H$162="wyfi")*(In!$I$150:$I$162="meta")*((In!$J$150:$J$162="比")*$M12+(In!$J$150:$J$162&lt;&gt;"比"))*In!K$150:K$162)</f>
        <v>0</v>
      </c>
      <c r="H12" s="24" t="n">
        <f aca="false">SUMPRODUCT((In!$H$150:$H$162="wyfi")*(In!$I$150:$I$162="googl")*((In!$J$150:$J$162="比")*$M12+(In!$J$150:$J$162&lt;&gt;"比"))*In!K$150:K$162)</f>
        <v>0</v>
      </c>
      <c r="I12" s="24" t="n">
        <f aca="false">SUMPRODUCT((In!$H$150:$H$162="wyfi")*(In!$I$150:$I$162="msft")*((In!$J$150:$J$162="比")*$M12+(In!$J$150:$J$162&lt;&gt;"比"))*In!K$150:K$162)</f>
        <v>0</v>
      </c>
      <c r="J12" s="24" t="n">
        <f aca="false">SUMPRODUCT((In!$H$150:$H$162="wyfi")*(In!$I$150:$I$162="oth")*((In!$J$150:$J$162="比")*$M12+(In!$J$150:$J$162&lt;&gt;"比"))*In!K$150:K$162)</f>
        <v>0</v>
      </c>
      <c r="K12" s="24" t="n">
        <f aca="false">$M12-SUM(C12:J12)</f>
        <v>0.0055</v>
      </c>
      <c r="L12" s="24" t="n">
        <f aca="false">SUM(C12:K12)</f>
        <v>0.0055</v>
      </c>
      <c r="M12" s="27" t="n">
        <f aca="false">N(Players!F163)</f>
        <v>0.0055</v>
      </c>
      <c r="N12" s="28" t="n">
        <f aca="false">L12-M12</f>
        <v>0</v>
      </c>
    </row>
    <row r="13" customFormat="false" ht="17.15" hidden="false" customHeight="false" outlineLevel="0" collapsed="false">
      <c r="A13" s="0" t="s">
        <v>1187</v>
      </c>
      <c r="B13" s="0" t="s">
        <v>470</v>
      </c>
      <c r="C13" s="24" t="n">
        <f aca="false">SUMPRODUCT((In!$H$150:$H$162="xai")*(In!$I$150:$I$162="self")*((In!$J$150:$J$162="比")*$M13+(In!$J$150:$J$162&lt;&gt;"比"))*In!K$150:K$162)</f>
        <v>0</v>
      </c>
      <c r="D13" s="24" t="n">
        <f aca="false">SUMPRODUCT((In!$H$150:$H$162="xai")*(In!$I$150:$I$162="oai")*((In!$J$150:$J$162="比")*$M13+(In!$J$150:$J$162&lt;&gt;"比"))*In!K$150:K$162)</f>
        <v>0</v>
      </c>
      <c r="E13" s="24" t="n">
        <f aca="false">SUMPRODUCT((In!$H$150:$H$162="xai")*(In!$I$150:$I$162="ant")*((In!$J$150:$J$162="比")*$M13+(In!$J$150:$J$162&lt;&gt;"比"))*In!K$150:K$162)</f>
        <v>0</v>
      </c>
      <c r="F13" s="24" t="n">
        <f aca="false">SUMPRODUCT((In!$H$150:$H$162="xai")*(In!$I$150:$I$162="xai")*((In!$J$150:$J$162="比")*$M13+(In!$J$150:$J$162&lt;&gt;"比"))*In!K$150:K$162)</f>
        <v>0</v>
      </c>
      <c r="G13" s="24" t="n">
        <f aca="false">SUMPRODUCT((In!$H$150:$H$162="xai")*(In!$I$150:$I$162="meta")*((In!$J$150:$J$162="比")*$M13+(In!$J$150:$J$162&lt;&gt;"比"))*In!K$150:K$162)</f>
        <v>0</v>
      </c>
      <c r="H13" s="24" t="n">
        <f aca="false">SUMPRODUCT((In!$H$150:$H$162="xai")*(In!$I$150:$I$162="googl")*((In!$J$150:$J$162="比")*$M13+(In!$J$150:$J$162&lt;&gt;"比"))*In!K$150:K$162)</f>
        <v>0</v>
      </c>
      <c r="I13" s="24" t="n">
        <f aca="false">SUMPRODUCT((In!$H$150:$H$162="xai")*(In!$I$150:$I$162="msft")*((In!$J$150:$J$162="比")*$M13+(In!$J$150:$J$162&lt;&gt;"比"))*In!K$150:K$162)</f>
        <v>0</v>
      </c>
      <c r="J13" s="24" t="n">
        <f aca="false">SUMPRODUCT((In!$H$150:$H$162="xai")*(In!$I$150:$I$162="oth")*((In!$J$150:$J$162="比")*$M13+(In!$J$150:$J$162&lt;&gt;"比"))*In!K$150:K$162)</f>
        <v>0</v>
      </c>
      <c r="K13" s="24" t="n">
        <f aca="false">$M13-SUM(C13:J13)</f>
        <v>0.5698</v>
      </c>
      <c r="L13" s="24" t="n">
        <f aca="false">SUM(C13:K13)</f>
        <v>0.5698</v>
      </c>
      <c r="M13" s="27" t="n">
        <f aca="false">N(Players!F182)</f>
        <v>0.5698</v>
      </c>
      <c r="N13" s="28" t="n">
        <f aca="false">L13-M13</f>
        <v>0</v>
      </c>
    </row>
    <row r="14" customFormat="false" ht="17.15" hidden="false" customHeight="false" outlineLevel="0" collapsed="false">
      <c r="A14" s="0" t="s">
        <v>1188</v>
      </c>
      <c r="B14" s="0" t="s">
        <v>466</v>
      </c>
      <c r="C14" s="24" t="n">
        <f aca="false">SUMPRODUCT((In!$H$150:$H$162="oai")*(In!$I$150:$I$162="self")*((In!$J$150:$J$162="比")*$M14+(In!$J$150:$J$162&lt;&gt;"比"))*In!K$150:K$162)</f>
        <v>0</v>
      </c>
      <c r="D14" s="24" t="n">
        <f aca="false">SUMPRODUCT((In!$H$150:$H$162="oai")*(In!$I$150:$I$162="oai")*((In!$J$150:$J$162="比")*$M14+(In!$J$150:$J$162&lt;&gt;"比"))*In!K$150:K$162)</f>
        <v>0</v>
      </c>
      <c r="E14" s="24" t="n">
        <f aca="false">SUMPRODUCT((In!$H$150:$H$162="oai")*(In!$I$150:$I$162="ant")*((In!$J$150:$J$162="比")*$M14+(In!$J$150:$J$162&lt;&gt;"比"))*In!K$150:K$162)</f>
        <v>0</v>
      </c>
      <c r="F14" s="24" t="n">
        <f aca="false">SUMPRODUCT((In!$H$150:$H$162="oai")*(In!$I$150:$I$162="xai")*((In!$J$150:$J$162="比")*$M14+(In!$J$150:$J$162&lt;&gt;"比"))*In!K$150:K$162)</f>
        <v>0</v>
      </c>
      <c r="G14" s="24" t="n">
        <f aca="false">SUMPRODUCT((In!$H$150:$H$162="oai")*(In!$I$150:$I$162="meta")*((In!$J$150:$J$162="比")*$M14+(In!$J$150:$J$162&lt;&gt;"比"))*In!K$150:K$162)</f>
        <v>0</v>
      </c>
      <c r="H14" s="24" t="n">
        <f aca="false">SUMPRODUCT((In!$H$150:$H$162="oai")*(In!$I$150:$I$162="googl")*((In!$J$150:$J$162="比")*$M14+(In!$J$150:$J$162&lt;&gt;"比"))*In!K$150:K$162)</f>
        <v>0</v>
      </c>
      <c r="I14" s="24" t="n">
        <f aca="false">SUMPRODUCT((In!$H$150:$H$162="oai")*(In!$I$150:$I$162="msft")*((In!$J$150:$J$162="比")*$M14+(In!$J$150:$J$162&lt;&gt;"比"))*In!K$150:K$162)</f>
        <v>0</v>
      </c>
      <c r="J14" s="24" t="n">
        <f aca="false">SUMPRODUCT((In!$H$150:$H$162="oai")*(In!$I$150:$I$162="oth")*((In!$J$150:$J$162="比")*$M14+(In!$J$150:$J$162&lt;&gt;"比"))*In!K$150:K$162)</f>
        <v>0</v>
      </c>
      <c r="K14" s="24" t="n">
        <f aca="false">$M14-SUM(C14:J14)</f>
        <v>0</v>
      </c>
      <c r="L14" s="24" t="n">
        <f aca="false">SUM(C14:K14)</f>
        <v>0</v>
      </c>
      <c r="M14" s="27" t="n">
        <f aca="false">N(Players!F201)</f>
        <v>0</v>
      </c>
      <c r="N14" s="28" t="n">
        <f aca="false">L14-M14</f>
        <v>0</v>
      </c>
    </row>
    <row r="15" customFormat="false" ht="17.15" hidden="false" customHeight="false" outlineLevel="0" collapsed="false">
      <c r="A15" s="0" t="s">
        <v>1189</v>
      </c>
      <c r="B15" s="0" t="s">
        <v>450</v>
      </c>
      <c r="C15" s="24" t="n">
        <f aca="false">SUMPRODUCT((In!$H$150:$H$162="ant")*(In!$I$150:$I$162="self")*((In!$J$150:$J$162="比")*$M15+(In!$J$150:$J$162&lt;&gt;"比"))*In!K$150:K$162)</f>
        <v>0</v>
      </c>
      <c r="D15" s="24" t="n">
        <f aca="false">SUMPRODUCT((In!$H$150:$H$162="ant")*(In!$I$150:$I$162="oai")*((In!$J$150:$J$162="比")*$M15+(In!$J$150:$J$162&lt;&gt;"比"))*In!K$150:K$162)</f>
        <v>0</v>
      </c>
      <c r="E15" s="24" t="n">
        <f aca="false">SUMPRODUCT((In!$H$150:$H$162="ant")*(In!$I$150:$I$162="ant")*((In!$J$150:$J$162="比")*$M15+(In!$J$150:$J$162&lt;&gt;"比"))*In!K$150:K$162)</f>
        <v>0</v>
      </c>
      <c r="F15" s="24" t="n">
        <f aca="false">SUMPRODUCT((In!$H$150:$H$162="ant")*(In!$I$150:$I$162="xai")*((In!$J$150:$J$162="比")*$M15+(In!$J$150:$J$162&lt;&gt;"比"))*In!K$150:K$162)</f>
        <v>0</v>
      </c>
      <c r="G15" s="24" t="n">
        <f aca="false">SUMPRODUCT((In!$H$150:$H$162="ant")*(In!$I$150:$I$162="meta")*((In!$J$150:$J$162="比")*$M15+(In!$J$150:$J$162&lt;&gt;"比"))*In!K$150:K$162)</f>
        <v>0</v>
      </c>
      <c r="H15" s="24" t="n">
        <f aca="false">SUMPRODUCT((In!$H$150:$H$162="ant")*(In!$I$150:$I$162="googl")*((In!$J$150:$J$162="比")*$M15+(In!$J$150:$J$162&lt;&gt;"比"))*In!K$150:K$162)</f>
        <v>0</v>
      </c>
      <c r="I15" s="24" t="n">
        <f aca="false">SUMPRODUCT((In!$H$150:$H$162="ant")*(In!$I$150:$I$162="msft")*((In!$J$150:$J$162="比")*$M15+(In!$J$150:$J$162&lt;&gt;"比"))*In!K$150:K$162)</f>
        <v>0</v>
      </c>
      <c r="J15" s="24" t="n">
        <f aca="false">SUMPRODUCT((In!$H$150:$H$162="ant")*(In!$I$150:$I$162="oth")*((In!$J$150:$J$162="比")*$M15+(In!$J$150:$J$162&lt;&gt;"比"))*In!K$150:K$162)</f>
        <v>0</v>
      </c>
      <c r="K15" s="24" t="n">
        <f aca="false">$M15-SUM(C15:J15)</f>
        <v>0</v>
      </c>
      <c r="L15" s="24" t="n">
        <f aca="false">SUM(C15:K15)</f>
        <v>0</v>
      </c>
      <c r="M15" s="27" t="n">
        <f aca="false">N(Players!F220)</f>
        <v>0</v>
      </c>
      <c r="N15" s="28" t="n">
        <f aca="false">L15-M15</f>
        <v>0</v>
      </c>
    </row>
    <row r="16" customFormat="false" ht="17.15" hidden="false" customHeight="false" outlineLevel="0" collapsed="false">
      <c r="A16" s="5" t="s">
        <v>1190</v>
      </c>
      <c r="B16" s="0" t="s">
        <v>480</v>
      </c>
      <c r="C16" s="24" t="n">
        <f aca="false">SUMPRODUCT((In!$H$150:$H$162="neo")*(In!$I$150:$I$162="self")*((In!$J$150:$J$162="比")*$M16+(In!$J$150:$J$162&lt;&gt;"比"))*In!K$150:K$162)</f>
        <v>0</v>
      </c>
      <c r="D16" s="24" t="n">
        <f aca="false">SUMPRODUCT((In!$H$150:$H$162="neo")*(In!$I$150:$I$162="oai")*((In!$J$150:$J$162="比")*$M16+(In!$J$150:$J$162&lt;&gt;"比"))*In!K$150:K$162)</f>
        <v>0</v>
      </c>
      <c r="E16" s="24" t="n">
        <f aca="false">SUMPRODUCT((In!$H$150:$H$162="neo")*(In!$I$150:$I$162="ant")*((In!$J$150:$J$162="比")*$M16+(In!$J$150:$J$162&lt;&gt;"比"))*In!K$150:K$162)</f>
        <v>0</v>
      </c>
      <c r="F16" s="24" t="n">
        <f aca="false">SUMPRODUCT((In!$H$150:$H$162="neo")*(In!$I$150:$I$162="xai")*((In!$J$150:$J$162="比")*$M16+(In!$J$150:$J$162&lt;&gt;"比"))*In!K$150:K$162)</f>
        <v>0</v>
      </c>
      <c r="G16" s="24" t="n">
        <f aca="false">SUMPRODUCT((In!$H$150:$H$162="neo")*(In!$I$150:$I$162="meta")*((In!$J$150:$J$162="比")*$M16+(In!$J$150:$J$162&lt;&gt;"比"))*In!K$150:K$162)</f>
        <v>0</v>
      </c>
      <c r="H16" s="24" t="n">
        <f aca="false">SUMPRODUCT((In!$H$150:$H$162="neo")*(In!$I$150:$I$162="googl")*((In!$J$150:$J$162="比")*$M16+(In!$J$150:$J$162&lt;&gt;"比"))*In!K$150:K$162)</f>
        <v>0</v>
      </c>
      <c r="I16" s="24" t="n">
        <f aca="false">SUMPRODUCT((In!$H$150:$H$162="neo")*(In!$I$150:$I$162="msft")*((In!$J$150:$J$162="比")*$M16+(In!$J$150:$J$162&lt;&gt;"比"))*In!K$150:K$162)</f>
        <v>0</v>
      </c>
      <c r="J16" s="24" t="n">
        <f aca="false">SUMPRODUCT((In!$H$150:$H$162="neo")*(In!$I$150:$I$162="oth")*((In!$J$150:$J$162="比")*$M16+(In!$J$150:$J$162&lt;&gt;"比"))*In!K$150:K$162)</f>
        <v>0</v>
      </c>
      <c r="K16" s="24" t="n">
        <f aca="false">$M16-SUM(C16:J16)</f>
        <v>0.5</v>
      </c>
      <c r="L16" s="24" t="n">
        <f aca="false">SUM(C16:K16)</f>
        <v>0.5</v>
      </c>
      <c r="M16" s="27" t="n">
        <f aca="false">N(Players!F239)</f>
        <v>0.5</v>
      </c>
      <c r="N16" s="28" t="n">
        <f aca="false">L16-M16</f>
        <v>0</v>
      </c>
    </row>
    <row r="17" customFormat="false" ht="17.15" hidden="false" customHeight="false" outlineLevel="0" collapsed="false">
      <c r="A17" s="5" t="s">
        <v>1191</v>
      </c>
      <c r="B17" s="0" t="s">
        <v>577</v>
      </c>
      <c r="C17" s="24" t="n">
        <f aca="false">SUMPRODUCT((In!$H$150:$H$162="sov")*(In!$I$150:$I$162="self")*((In!$J$150:$J$162="比")*$M17+(In!$J$150:$J$162&lt;&gt;"比"))*In!K$150:K$162)</f>
        <v>0</v>
      </c>
      <c r="D17" s="24" t="n">
        <f aca="false">SUMPRODUCT((In!$H$150:$H$162="sov")*(In!$I$150:$I$162="oai")*((In!$J$150:$J$162="比")*$M17+(In!$J$150:$J$162&lt;&gt;"比"))*In!K$150:K$162)</f>
        <v>0</v>
      </c>
      <c r="E17" s="24" t="n">
        <f aca="false">SUMPRODUCT((In!$H$150:$H$162="sov")*(In!$I$150:$I$162="ant")*((In!$J$150:$J$162="比")*$M17+(In!$J$150:$J$162&lt;&gt;"比"))*In!K$150:K$162)</f>
        <v>0</v>
      </c>
      <c r="F17" s="24" t="n">
        <f aca="false">SUMPRODUCT((In!$H$150:$H$162="sov")*(In!$I$150:$I$162="xai")*((In!$J$150:$J$162="比")*$M17+(In!$J$150:$J$162&lt;&gt;"比"))*In!K$150:K$162)</f>
        <v>0</v>
      </c>
      <c r="G17" s="24" t="n">
        <f aca="false">SUMPRODUCT((In!$H$150:$H$162="sov")*(In!$I$150:$I$162="meta")*((In!$J$150:$J$162="比")*$M17+(In!$J$150:$J$162&lt;&gt;"比"))*In!K$150:K$162)</f>
        <v>0</v>
      </c>
      <c r="H17" s="24" t="n">
        <f aca="false">SUMPRODUCT((In!$H$150:$H$162="sov")*(In!$I$150:$I$162="googl")*((In!$J$150:$J$162="比")*$M17+(In!$J$150:$J$162&lt;&gt;"比"))*In!K$150:K$162)</f>
        <v>0</v>
      </c>
      <c r="I17" s="24" t="n">
        <f aca="false">SUMPRODUCT((In!$H$150:$H$162="sov")*(In!$I$150:$I$162="msft")*((In!$J$150:$J$162="比")*$M17+(In!$J$150:$J$162&lt;&gt;"比"))*In!K$150:K$162)</f>
        <v>0</v>
      </c>
      <c r="J17" s="24" t="n">
        <f aca="false">SUMPRODUCT((In!$H$150:$H$162="sov")*(In!$I$150:$I$162="oth")*((In!$J$150:$J$162="比")*$M17+(In!$J$150:$J$162&lt;&gt;"比"))*In!K$150:K$162)</f>
        <v>0</v>
      </c>
      <c r="K17" s="24" t="n">
        <f aca="false">$M17-SUM(C17:J17)</f>
        <v>0</v>
      </c>
      <c r="L17" s="24" t="n">
        <f aca="false">SUM(C17:K17)</f>
        <v>0</v>
      </c>
      <c r="M17" s="27" t="n">
        <f aca="false">N(Players!F258)</f>
        <v>0</v>
      </c>
      <c r="N17" s="28" t="n">
        <f aca="false">L17-M17</f>
        <v>0</v>
      </c>
    </row>
    <row r="18" customFormat="false" ht="17.15" hidden="false" customHeight="false" outlineLevel="0" collapsed="false">
      <c r="A18" s="5" t="s">
        <v>1192</v>
      </c>
      <c r="B18" s="0" t="s">
        <v>487</v>
      </c>
      <c r="C18" s="24" t="n">
        <f aca="false">SUMPRODUCT((In!$H$150:$H$162="cn")*(In!$I$150:$I$162="self")*((In!$J$150:$J$162="比")*$M18+(In!$J$150:$J$162&lt;&gt;"比"))*In!K$150:K$162)</f>
        <v>8.33333333333333</v>
      </c>
      <c r="D18" s="24" t="n">
        <f aca="false">SUMPRODUCT((In!$H$150:$H$162="cn")*(In!$I$150:$I$162="oai")*((In!$J$150:$J$162="比")*$M18+(In!$J$150:$J$162&lt;&gt;"比"))*In!K$150:K$162)</f>
        <v>0</v>
      </c>
      <c r="E18" s="24" t="n">
        <f aca="false">SUMPRODUCT((In!$H$150:$H$162="cn")*(In!$I$150:$I$162="ant")*((In!$J$150:$J$162="比")*$M18+(In!$J$150:$J$162&lt;&gt;"比"))*In!K$150:K$162)</f>
        <v>0</v>
      </c>
      <c r="F18" s="24" t="n">
        <f aca="false">SUMPRODUCT((In!$H$150:$H$162="cn")*(In!$I$150:$I$162="xai")*((In!$J$150:$J$162="比")*$M18+(In!$J$150:$J$162&lt;&gt;"比"))*In!K$150:K$162)</f>
        <v>0</v>
      </c>
      <c r="G18" s="24" t="n">
        <f aca="false">SUMPRODUCT((In!$H$150:$H$162="cn")*(In!$I$150:$I$162="meta")*((In!$J$150:$J$162="比")*$M18+(In!$J$150:$J$162&lt;&gt;"比"))*In!K$150:K$162)</f>
        <v>0</v>
      </c>
      <c r="H18" s="24" t="n">
        <f aca="false">SUMPRODUCT((In!$H$150:$H$162="cn")*(In!$I$150:$I$162="googl")*((In!$J$150:$J$162="比")*$M18+(In!$J$150:$J$162&lt;&gt;"比"))*In!K$150:K$162)</f>
        <v>0</v>
      </c>
      <c r="I18" s="24" t="n">
        <f aca="false">SUMPRODUCT((In!$H$150:$H$162="cn")*(In!$I$150:$I$162="msft")*((In!$J$150:$J$162="比")*$M18+(In!$J$150:$J$162&lt;&gt;"比"))*In!K$150:K$162)</f>
        <v>0</v>
      </c>
      <c r="J18" s="24" t="n">
        <f aca="false">SUMPRODUCT((In!$H$150:$H$162="cn")*(In!$I$150:$I$162="oth")*((In!$J$150:$J$162="比")*$M18+(In!$J$150:$J$162&lt;&gt;"比"))*In!K$150:K$162)</f>
        <v>0</v>
      </c>
      <c r="K18" s="24" t="n">
        <f aca="false">$M18-SUM(C18:J18)</f>
        <v>0</v>
      </c>
      <c r="L18" s="24" t="n">
        <f aca="false">SUM(C18:K18)</f>
        <v>8.33333333333333</v>
      </c>
      <c r="M18" s="27" t="n">
        <f aca="false">N(Players!F277)</f>
        <v>8.33333333333333</v>
      </c>
      <c r="N18" s="28" t="n">
        <f aca="false">L18-M18</f>
        <v>0</v>
      </c>
    </row>
    <row r="19" customFormat="false" ht="17.15" hidden="false" customHeight="false" outlineLevel="0" collapsed="false">
      <c r="A19" s="5" t="s">
        <v>1193</v>
      </c>
      <c r="B19" s="0" t="s">
        <v>1129</v>
      </c>
      <c r="C19" s="24" t="n">
        <f aca="false">SUMPRODUCT((In!$H$150:$H$162="oth")*(In!$I$150:$I$162="self")*((In!$J$150:$J$162="比")*$M19+(In!$J$150:$J$162&lt;&gt;"比"))*In!K$150:K$162)</f>
        <v>0</v>
      </c>
      <c r="D19" s="24" t="n">
        <f aca="false">SUMPRODUCT((In!$H$150:$H$162="oth")*(In!$I$150:$I$162="oai")*((In!$J$150:$J$162="比")*$M19+(In!$J$150:$J$162&lt;&gt;"比"))*In!K$150:K$162)</f>
        <v>0</v>
      </c>
      <c r="E19" s="24" t="n">
        <f aca="false">SUMPRODUCT((In!$H$150:$H$162="oth")*(In!$I$150:$I$162="ant")*((In!$J$150:$J$162="比")*$M19+(In!$J$150:$J$162&lt;&gt;"比"))*In!K$150:K$162)</f>
        <v>0</v>
      </c>
      <c r="F19" s="24" t="n">
        <f aca="false">SUMPRODUCT((In!$H$150:$H$162="oth")*(In!$I$150:$I$162="xai")*((In!$J$150:$J$162="比")*$M19+(In!$J$150:$J$162&lt;&gt;"比"))*In!K$150:K$162)</f>
        <v>0</v>
      </c>
      <c r="G19" s="24" t="n">
        <f aca="false">SUMPRODUCT((In!$H$150:$H$162="oth")*(In!$I$150:$I$162="meta")*((In!$J$150:$J$162="比")*$M19+(In!$J$150:$J$162&lt;&gt;"比"))*In!K$150:K$162)</f>
        <v>0</v>
      </c>
      <c r="H19" s="24" t="n">
        <f aca="false">SUMPRODUCT((In!$H$150:$H$162="oth")*(In!$I$150:$I$162="googl")*((In!$J$150:$J$162="比")*$M19+(In!$J$150:$J$162&lt;&gt;"比"))*In!K$150:K$162)</f>
        <v>0</v>
      </c>
      <c r="I19" s="24" t="n">
        <f aca="false">SUMPRODUCT((In!$H$150:$H$162="oth")*(In!$I$150:$I$162="msft")*((In!$J$150:$J$162="比")*$M19+(In!$J$150:$J$162&lt;&gt;"比"))*In!K$150:K$162)</f>
        <v>0</v>
      </c>
      <c r="J19" s="24" t="n">
        <f aca="false">SUMPRODUCT((In!$H$150:$H$162="oth")*(In!$I$150:$I$162="oth")*((In!$J$150:$J$162="比")*$M19+(In!$J$150:$J$162&lt;&gt;"比"))*In!K$150:K$162)</f>
        <v>0</v>
      </c>
      <c r="K19" s="24" t="n">
        <f aca="false">$M19-SUM(C19:J19)</f>
        <v>1</v>
      </c>
      <c r="L19" s="24" t="n">
        <f aca="false">SUM(C19:K19)</f>
        <v>1</v>
      </c>
      <c r="M19" s="27" t="n">
        <f aca="false">N(Players!F296)</f>
        <v>1</v>
      </c>
      <c r="N19" s="28" t="n">
        <f aca="false">L19-M19</f>
        <v>0</v>
      </c>
    </row>
    <row r="20" customFormat="false" ht="15" hidden="false" customHeight="false" outlineLevel="0" collapsed="false">
      <c r="A20" s="21" t="s">
        <v>1194</v>
      </c>
      <c r="C20" s="24" t="n">
        <f aca="false">SUM(C5:C19)</f>
        <v>13.2749513333333</v>
      </c>
      <c r="D20" s="24" t="n">
        <f aca="false">SUM(D5:D19)</f>
        <v>0</v>
      </c>
      <c r="E20" s="24" t="n">
        <f aca="false">SUM(E5:E19)</f>
        <v>0.626</v>
      </c>
      <c r="F20" s="24" t="n">
        <f aca="false">SUM(F5:F19)</f>
        <v>0</v>
      </c>
      <c r="G20" s="24" t="n">
        <f aca="false">SUM(G5:G19)</f>
        <v>2.476595</v>
      </c>
      <c r="H20" s="24" t="n">
        <f aca="false">SUM(H5:H19)</f>
        <v>0</v>
      </c>
      <c r="I20" s="24" t="n">
        <f aca="false">SUM(I5:I19)</f>
        <v>0</v>
      </c>
      <c r="J20" s="24" t="n">
        <f aca="false">SUM(J5:J19)</f>
        <v>0</v>
      </c>
      <c r="K20" s="24" t="n">
        <f aca="false">SUM(K5:K19)</f>
        <v>8.959597</v>
      </c>
      <c r="L20" s="24" t="n">
        <f aca="false">SUM(L5:L19)</f>
        <v>25.3371433333333</v>
      </c>
      <c r="M20" s="24" t="n">
        <f aca="false">SUM(M5:M19)</f>
        <v>25.3371433333333</v>
      </c>
      <c r="N20" s="24" t="n">
        <f aca="false">SUM(N5:N19)</f>
        <v>0</v>
      </c>
    </row>
    <row r="21" customFormat="false" ht="17.15" hidden="false" customHeight="false" outlineLevel="0" collapsed="false">
      <c r="A21" s="5" t="s">
        <v>1195</v>
      </c>
      <c r="D21" s="24" t="n">
        <f aca="false">IF(In!J136="","",IF(In!$C$136="設施",In!J136/Players!F$13,In!J136))</f>
        <v>1.9</v>
      </c>
      <c r="L21" s="29" t="n">
        <f aca="false">IF(OR(D21="",N(D21)=0),"",D20/D21)</f>
        <v>0</v>
      </c>
      <c r="M21" s="5" t="s">
        <v>1196</v>
      </c>
    </row>
    <row r="22" customFormat="false" ht="17.15" hidden="false" customHeight="false" outlineLevel="0" collapsed="false">
      <c r="A22" s="5" t="s">
        <v>1197</v>
      </c>
      <c r="E22" s="24" t="n">
        <f aca="false">IF(In!J137="","",IF(In!$C$137="設施",In!J137/Players!F$13,In!J137))</f>
        <v>1.4</v>
      </c>
      <c r="L22" s="29" t="n">
        <f aca="false">IF(OR(E22="",N(E22)=0),"",E20/E22)</f>
        <v>0.447142857142857</v>
      </c>
      <c r="M22" s="5" t="s">
        <v>1196</v>
      </c>
    </row>
    <row r="24" customFormat="false" ht="17.15" hidden="false" customHeight="false" outlineLevel="0" collapsed="false">
      <c r="A24" s="8" t="s">
        <v>1198</v>
      </c>
    </row>
    <row r="25" customFormat="false" ht="17.15" hidden="false" customHeight="false" outlineLevel="0" collapsed="false">
      <c r="A25" s="6" t="s">
        <v>434</v>
      </c>
      <c r="B25" s="6" t="s">
        <v>12</v>
      </c>
      <c r="C25" s="6" t="s">
        <v>1171</v>
      </c>
      <c r="D25" s="7" t="s">
        <v>1172</v>
      </c>
      <c r="E25" s="7" t="s">
        <v>1173</v>
      </c>
      <c r="F25" s="7" t="s">
        <v>1174</v>
      </c>
      <c r="G25" s="7" t="s">
        <v>918</v>
      </c>
      <c r="H25" s="7" t="s">
        <v>1175</v>
      </c>
      <c r="I25" s="7" t="s">
        <v>1176</v>
      </c>
      <c r="J25" s="6" t="s">
        <v>1177</v>
      </c>
      <c r="K25" s="6" t="s">
        <v>1178</v>
      </c>
      <c r="L25" s="6" t="s">
        <v>1179</v>
      </c>
      <c r="M25" s="7" t="s">
        <v>1180</v>
      </c>
      <c r="N25" s="6" t="s">
        <v>1181</v>
      </c>
    </row>
    <row r="26" customFormat="false" ht="17.15" hidden="false" customHeight="false" outlineLevel="0" collapsed="false">
      <c r="A26" s="0" t="s">
        <v>1182</v>
      </c>
      <c r="B26" s="0" t="s">
        <v>441</v>
      </c>
      <c r="C26" s="24" t="n">
        <f aca="false">SUMPRODUCT((In!$H$150:$H$162="msft")*(In!$I$150:$I$162="self")*((In!$J$150:$J$162="比")*$M26+(In!$J$150:$J$162&lt;&gt;"比"))*In!L$150:L$162)</f>
        <v>1.8</v>
      </c>
      <c r="D26" s="24" t="n">
        <f aca="false">SUMPRODUCT((In!$H$150:$H$162="msft")*(In!$I$150:$I$162="oai")*((In!$J$150:$J$162="比")*$M26+(In!$J$150:$J$162&lt;&gt;"比"))*In!L$150:L$162)</f>
        <v>0</v>
      </c>
      <c r="E26" s="24" t="n">
        <f aca="false">SUMPRODUCT((In!$H$150:$H$162="msft")*(In!$I$150:$I$162="ant")*((In!$J$150:$J$162="比")*$M26+(In!$J$150:$J$162&lt;&gt;"比"))*In!L$150:L$162)</f>
        <v>0</v>
      </c>
      <c r="F26" s="24" t="n">
        <f aca="false">SUMPRODUCT((In!$H$150:$H$162="msft")*(In!$I$150:$I$162="xai")*((In!$J$150:$J$162="比")*$M26+(In!$J$150:$J$162&lt;&gt;"比"))*In!L$150:L$162)</f>
        <v>0</v>
      </c>
      <c r="G26" s="24" t="n">
        <f aca="false">SUMPRODUCT((In!$H$150:$H$162="msft")*(In!$I$150:$I$162="meta")*((In!$J$150:$J$162="比")*$M26+(In!$J$150:$J$162&lt;&gt;"比"))*In!L$150:L$162)</f>
        <v>0</v>
      </c>
      <c r="H26" s="24" t="n">
        <f aca="false">SUMPRODUCT((In!$H$150:$H$162="msft")*(In!$I$150:$I$162="googl")*((In!$J$150:$J$162="比")*$M26+(In!$J$150:$J$162&lt;&gt;"比"))*In!L$150:L$162)</f>
        <v>0</v>
      </c>
      <c r="I26" s="24" t="n">
        <f aca="false">SUMPRODUCT((In!$H$150:$H$162="msft")*(In!$I$150:$I$162="msft")*((In!$J$150:$J$162="比")*$M26+(In!$J$150:$J$162&lt;&gt;"比"))*In!L$150:L$162)</f>
        <v>0</v>
      </c>
      <c r="J26" s="24" t="n">
        <f aca="false">SUMPRODUCT((In!$H$150:$H$162="msft")*(In!$I$150:$I$162="oth")*((In!$J$150:$J$162="比")*$M26+(In!$J$150:$J$162&lt;&gt;"比"))*In!L$150:L$162)</f>
        <v>0</v>
      </c>
      <c r="K26" s="24" t="n">
        <f aca="false">$M26-SUM(C26:J26)</f>
        <v>2.7</v>
      </c>
      <c r="L26" s="24" t="n">
        <f aca="false">SUM(C26:K26)</f>
        <v>4.5</v>
      </c>
      <c r="M26" s="27" t="n">
        <f aca="false">N(Players!G30)</f>
        <v>4.5</v>
      </c>
      <c r="N26" s="28" t="n">
        <f aca="false">L26-M26</f>
        <v>0</v>
      </c>
    </row>
    <row r="27" customFormat="false" ht="17.15" hidden="false" customHeight="false" outlineLevel="0" collapsed="false">
      <c r="A27" s="0" t="s">
        <v>1183</v>
      </c>
      <c r="B27" s="0" t="s">
        <v>446</v>
      </c>
      <c r="C27" s="24" t="n">
        <f aca="false">SUMPRODUCT((In!$H$150:$H$162="googl")*(In!$I$150:$I$162="self")*((In!$J$150:$J$162="比")*$M27+(In!$J$150:$J$162&lt;&gt;"比"))*In!L$150:L$162)</f>
        <v>3.9148753894081</v>
      </c>
      <c r="D27" s="24" t="n">
        <f aca="false">SUMPRODUCT((In!$H$150:$H$162="googl")*(In!$I$150:$I$162="oai")*((In!$J$150:$J$162="比")*$M27+(In!$J$150:$J$162&lt;&gt;"比"))*In!L$150:L$162)</f>
        <v>0</v>
      </c>
      <c r="E27" s="24" t="n">
        <f aca="false">SUMPRODUCT((In!$H$150:$H$162="googl")*(In!$I$150:$I$162="ant")*((In!$J$150:$J$162="比")*$M27+(In!$J$150:$J$162&lt;&gt;"比"))*In!L$150:L$162)</f>
        <v>1</v>
      </c>
      <c r="F27" s="24" t="n">
        <f aca="false">SUMPRODUCT((In!$H$150:$H$162="googl")*(In!$I$150:$I$162="xai")*((In!$J$150:$J$162="比")*$M27+(In!$J$150:$J$162&lt;&gt;"比"))*In!L$150:L$162)</f>
        <v>0</v>
      </c>
      <c r="G27" s="24" t="n">
        <f aca="false">SUMPRODUCT((In!$H$150:$H$162="googl")*(In!$I$150:$I$162="meta")*((In!$J$150:$J$162="比")*$M27+(In!$J$150:$J$162&lt;&gt;"比"))*In!L$150:L$162)</f>
        <v>0</v>
      </c>
      <c r="H27" s="24" t="n">
        <f aca="false">SUMPRODUCT((In!$H$150:$H$162="googl")*(In!$I$150:$I$162="googl")*((In!$J$150:$J$162="比")*$M27+(In!$J$150:$J$162&lt;&gt;"比"))*In!L$150:L$162)</f>
        <v>0</v>
      </c>
      <c r="I27" s="24" t="n">
        <f aca="false">SUMPRODUCT((In!$H$150:$H$162="googl")*(In!$I$150:$I$162="msft")*((In!$J$150:$J$162="比")*$M27+(In!$J$150:$J$162&lt;&gt;"比"))*In!L$150:L$162)</f>
        <v>0</v>
      </c>
      <c r="J27" s="24" t="n">
        <f aca="false">SUMPRODUCT((In!$H$150:$H$162="googl")*(In!$I$150:$I$162="oth")*((In!$J$150:$J$162="比")*$M27+(In!$J$150:$J$162&lt;&gt;"比"))*In!L$150:L$162)</f>
        <v>0</v>
      </c>
      <c r="K27" s="24" t="n">
        <f aca="false">$M27-SUM(C27:J27)</f>
        <v>0.677803738317758</v>
      </c>
      <c r="L27" s="24" t="n">
        <f aca="false">SUM(C27:K27)</f>
        <v>5.59267912772586</v>
      </c>
      <c r="M27" s="27" t="n">
        <f aca="false">N(Players!G49)</f>
        <v>5.59267912772586</v>
      </c>
      <c r="N27" s="28" t="n">
        <f aca="false">L27-M27</f>
        <v>0</v>
      </c>
    </row>
    <row r="28" customFormat="false" ht="17.15" hidden="false" customHeight="false" outlineLevel="0" collapsed="false">
      <c r="A28" s="0" t="s">
        <v>1184</v>
      </c>
      <c r="B28" s="0" t="s">
        <v>454</v>
      </c>
      <c r="C28" s="24" t="n">
        <f aca="false">SUMPRODUCT((In!$H$150:$H$162="amzn")*(In!$I$150:$I$162="self")*((In!$J$150:$J$162="比")*$M28+(In!$J$150:$J$162&lt;&gt;"比"))*In!L$150:L$162)</f>
        <v>0.5454</v>
      </c>
      <c r="D28" s="24" t="n">
        <f aca="false">SUMPRODUCT((In!$H$150:$H$162="amzn")*(In!$I$150:$I$162="oai")*((In!$J$150:$J$162="比")*$M28+(In!$J$150:$J$162&lt;&gt;"比"))*In!L$150:L$162)</f>
        <v>0</v>
      </c>
      <c r="E28" s="24" t="n">
        <f aca="false">SUMPRODUCT((In!$H$150:$H$162="amzn")*(In!$I$150:$I$162="ant")*((In!$J$150:$J$162="比")*$M28+(In!$J$150:$J$162&lt;&gt;"比"))*In!L$150:L$162)</f>
        <v>1.037</v>
      </c>
      <c r="F28" s="24" t="n">
        <f aca="false">SUMPRODUCT((In!$H$150:$H$162="amzn")*(In!$I$150:$I$162="xai")*((In!$J$150:$J$162="比")*$M28+(In!$J$150:$J$162&lt;&gt;"比"))*In!L$150:L$162)</f>
        <v>0</v>
      </c>
      <c r="G28" s="24" t="n">
        <f aca="false">SUMPRODUCT((In!$H$150:$H$162="amzn")*(In!$I$150:$I$162="meta")*((In!$J$150:$J$162="比")*$M28+(In!$J$150:$J$162&lt;&gt;"比"))*In!L$150:L$162)</f>
        <v>0</v>
      </c>
      <c r="H28" s="24" t="n">
        <f aca="false">SUMPRODUCT((In!$H$150:$H$162="amzn")*(In!$I$150:$I$162="googl")*((In!$J$150:$J$162="比")*$M28+(In!$J$150:$J$162&lt;&gt;"比"))*In!L$150:L$162)</f>
        <v>0</v>
      </c>
      <c r="I28" s="24" t="n">
        <f aca="false">SUMPRODUCT((In!$H$150:$H$162="amzn")*(In!$I$150:$I$162="msft")*((In!$J$150:$J$162="比")*$M28+(In!$J$150:$J$162&lt;&gt;"比"))*In!L$150:L$162)</f>
        <v>0</v>
      </c>
      <c r="J28" s="24" t="n">
        <f aca="false">SUMPRODUCT((In!$H$150:$H$162="amzn")*(In!$I$150:$I$162="oth")*((In!$J$150:$J$162="比")*$M28+(In!$J$150:$J$162&lt;&gt;"比"))*In!L$150:L$162)</f>
        <v>0</v>
      </c>
      <c r="K28" s="24" t="n">
        <f aca="false">$M28-SUM(C28:J28)</f>
        <v>1.1446</v>
      </c>
      <c r="L28" s="24" t="n">
        <f aca="false">SUM(C28:K28)</f>
        <v>2.727</v>
      </c>
      <c r="M28" s="27" t="n">
        <f aca="false">N(Players!G68)</f>
        <v>2.727</v>
      </c>
      <c r="N28" s="28" t="n">
        <f aca="false">L28-M28</f>
        <v>0</v>
      </c>
    </row>
    <row r="29" customFormat="false" ht="15" hidden="false" customHeight="false" outlineLevel="0" collapsed="false">
      <c r="A29" s="0" t="s">
        <v>918</v>
      </c>
      <c r="B29" s="0" t="s">
        <v>461</v>
      </c>
      <c r="C29" s="24" t="n">
        <f aca="false">SUMPRODUCT((In!$H$150:$H$162="meta")*(In!$I$150:$I$162="self")*((In!$J$150:$J$162="比")*$M29+(In!$J$150:$J$162&lt;&gt;"比"))*In!L$150:L$162)</f>
        <v>0</v>
      </c>
      <c r="D29" s="24" t="n">
        <f aca="false">SUMPRODUCT((In!$H$150:$H$162="meta")*(In!$I$150:$I$162="oai")*((In!$J$150:$J$162="比")*$M29+(In!$J$150:$J$162&lt;&gt;"比"))*In!L$150:L$162)</f>
        <v>0</v>
      </c>
      <c r="E29" s="24" t="n">
        <f aca="false">SUMPRODUCT((In!$H$150:$H$162="meta")*(In!$I$150:$I$162="ant")*((In!$J$150:$J$162="比")*$M29+(In!$J$150:$J$162&lt;&gt;"比"))*In!L$150:L$162)</f>
        <v>0</v>
      </c>
      <c r="F29" s="24" t="n">
        <f aca="false">SUMPRODUCT((In!$H$150:$H$162="meta")*(In!$I$150:$I$162="xai")*((In!$J$150:$J$162="比")*$M29+(In!$J$150:$J$162&lt;&gt;"比"))*In!L$150:L$162)</f>
        <v>0</v>
      </c>
      <c r="G29" s="24" t="n">
        <f aca="false">SUMPRODUCT((In!$H$150:$H$162="meta")*(In!$I$150:$I$162="meta")*((In!$J$150:$J$162="比")*$M29+(In!$J$150:$J$162&lt;&gt;"比"))*In!L$150:L$162)</f>
        <v>3.152595</v>
      </c>
      <c r="H29" s="24" t="n">
        <f aca="false">SUMPRODUCT((In!$H$150:$H$162="meta")*(In!$I$150:$I$162="googl")*((In!$J$150:$J$162="比")*$M29+(In!$J$150:$J$162&lt;&gt;"比"))*In!L$150:L$162)</f>
        <v>0</v>
      </c>
      <c r="I29" s="24" t="n">
        <f aca="false">SUMPRODUCT((In!$H$150:$H$162="meta")*(In!$I$150:$I$162="msft")*((In!$J$150:$J$162="比")*$M29+(In!$J$150:$J$162&lt;&gt;"比"))*In!L$150:L$162)</f>
        <v>0</v>
      </c>
      <c r="J29" s="24" t="n">
        <f aca="false">SUMPRODUCT((In!$H$150:$H$162="meta")*(In!$I$150:$I$162="oth")*((In!$J$150:$J$162="比")*$M29+(In!$J$150:$J$162&lt;&gt;"比"))*In!L$150:L$162)</f>
        <v>0</v>
      </c>
      <c r="K29" s="24" t="n">
        <f aca="false">$M29-SUM(C29:J29)</f>
        <v>0</v>
      </c>
      <c r="L29" s="24" t="n">
        <f aca="false">SUM(C29:K29)</f>
        <v>3.152595</v>
      </c>
      <c r="M29" s="27" t="n">
        <f aca="false">N(Players!G87)</f>
        <v>3.152595</v>
      </c>
      <c r="N29" s="28" t="n">
        <f aca="false">L29-M29</f>
        <v>0</v>
      </c>
    </row>
    <row r="30" customFormat="false" ht="17.15" hidden="false" customHeight="false" outlineLevel="0" collapsed="false">
      <c r="A30" s="0" t="s">
        <v>1185</v>
      </c>
      <c r="B30" s="0" t="s">
        <v>465</v>
      </c>
      <c r="C30" s="24" t="n">
        <f aca="false">SUMPRODUCT((In!$H$150:$H$162="orcl")*(In!$I$150:$I$162="self")*((In!$J$150:$J$162="比")*$M30+(In!$J$150:$J$162&lt;&gt;"比"))*In!L$150:L$162)</f>
        <v>0</v>
      </c>
      <c r="D30" s="24" t="n">
        <f aca="false">SUMPRODUCT((In!$H$150:$H$162="orcl")*(In!$I$150:$I$162="oai")*((In!$J$150:$J$162="比")*$M30+(In!$J$150:$J$162&lt;&gt;"比"))*In!L$150:L$162)</f>
        <v>0.824</v>
      </c>
      <c r="E30" s="24" t="n">
        <f aca="false">SUMPRODUCT((In!$H$150:$H$162="orcl")*(In!$I$150:$I$162="ant")*((In!$J$150:$J$162="比")*$M30+(In!$J$150:$J$162&lt;&gt;"比"))*In!L$150:L$162)</f>
        <v>0</v>
      </c>
      <c r="F30" s="24" t="n">
        <f aca="false">SUMPRODUCT((In!$H$150:$H$162="orcl")*(In!$I$150:$I$162="xai")*((In!$J$150:$J$162="比")*$M30+(In!$J$150:$J$162&lt;&gt;"比"))*In!L$150:L$162)</f>
        <v>0</v>
      </c>
      <c r="G30" s="24" t="n">
        <f aca="false">SUMPRODUCT((In!$H$150:$H$162="orcl")*(In!$I$150:$I$162="meta")*((In!$J$150:$J$162="比")*$M30+(In!$J$150:$J$162&lt;&gt;"比"))*In!L$150:L$162)</f>
        <v>0</v>
      </c>
      <c r="H30" s="24" t="n">
        <f aca="false">SUMPRODUCT((In!$H$150:$H$162="orcl")*(In!$I$150:$I$162="googl")*((In!$J$150:$J$162="比")*$M30+(In!$J$150:$J$162&lt;&gt;"比"))*In!L$150:L$162)</f>
        <v>0</v>
      </c>
      <c r="I30" s="24" t="n">
        <f aca="false">SUMPRODUCT((In!$H$150:$H$162="orcl")*(In!$I$150:$I$162="msft")*((In!$J$150:$J$162="比")*$M30+(In!$J$150:$J$162&lt;&gt;"比"))*In!L$150:L$162)</f>
        <v>0</v>
      </c>
      <c r="J30" s="24" t="n">
        <f aca="false">SUMPRODUCT((In!$H$150:$H$162="orcl")*(In!$I$150:$I$162="oth")*((In!$J$150:$J$162="比")*$M30+(In!$J$150:$J$162&lt;&gt;"比"))*In!L$150:L$162)</f>
        <v>0</v>
      </c>
      <c r="K30" s="24" t="n">
        <f aca="false">$M30-SUM(C30:J30)</f>
        <v>1.925</v>
      </c>
      <c r="L30" s="24" t="n">
        <f aca="false">SUM(C30:K30)</f>
        <v>2.749</v>
      </c>
      <c r="M30" s="27" t="n">
        <f aca="false">N(Players!G106)</f>
        <v>2.749</v>
      </c>
      <c r="N30" s="28" t="n">
        <f aca="false">L30-M30</f>
        <v>0</v>
      </c>
    </row>
    <row r="31" customFormat="false" ht="15" hidden="false" customHeight="false" outlineLevel="0" collapsed="false">
      <c r="A31" s="0" t="s">
        <v>956</v>
      </c>
      <c r="B31" s="0" t="s">
        <v>555</v>
      </c>
      <c r="C31" s="24" t="n">
        <f aca="false">SUMPRODUCT((In!$H$150:$H$162="crwv")*(In!$I$150:$I$162="self")*((In!$J$150:$J$162="比")*$M31+(In!$J$150:$J$162&lt;&gt;"比"))*In!L$150:L$162)</f>
        <v>0</v>
      </c>
      <c r="D31" s="24" t="n">
        <f aca="false">SUMPRODUCT((In!$H$150:$H$162="crwv")*(In!$I$150:$I$162="oai")*((In!$J$150:$J$162="比")*$M31+(In!$J$150:$J$162&lt;&gt;"比"))*In!L$150:L$162)</f>
        <v>0</v>
      </c>
      <c r="E31" s="24" t="n">
        <f aca="false">SUMPRODUCT((In!$H$150:$H$162="crwv")*(In!$I$150:$I$162="ant")*((In!$J$150:$J$162="比")*$M31+(In!$J$150:$J$162&lt;&gt;"比"))*In!L$150:L$162)</f>
        <v>0</v>
      </c>
      <c r="F31" s="24" t="n">
        <f aca="false">SUMPRODUCT((In!$H$150:$H$162="crwv")*(In!$I$150:$I$162="xai")*((In!$J$150:$J$162="比")*$M31+(In!$J$150:$J$162&lt;&gt;"比"))*In!L$150:L$162)</f>
        <v>0</v>
      </c>
      <c r="G31" s="24" t="n">
        <f aca="false">SUMPRODUCT((In!$H$150:$H$162="crwv")*(In!$I$150:$I$162="meta")*((In!$J$150:$J$162="比")*$M31+(In!$J$150:$J$162&lt;&gt;"比"))*In!L$150:L$162)</f>
        <v>0</v>
      </c>
      <c r="H31" s="24" t="n">
        <f aca="false">SUMPRODUCT((In!$H$150:$H$162="crwv")*(In!$I$150:$I$162="googl")*((In!$J$150:$J$162="比")*$M31+(In!$J$150:$J$162&lt;&gt;"比"))*In!L$150:L$162)</f>
        <v>0</v>
      </c>
      <c r="I31" s="24" t="n">
        <f aca="false">SUMPRODUCT((In!$H$150:$H$162="crwv")*(In!$I$150:$I$162="msft")*((In!$J$150:$J$162="比")*$M31+(In!$J$150:$J$162&lt;&gt;"比"))*In!L$150:L$162)</f>
        <v>0</v>
      </c>
      <c r="J31" s="24" t="n">
        <f aca="false">SUMPRODUCT((In!$H$150:$H$162="crwv")*(In!$I$150:$I$162="oth")*((In!$J$150:$J$162="比")*$M31+(In!$J$150:$J$162&lt;&gt;"比"))*In!L$150:L$162)</f>
        <v>0</v>
      </c>
      <c r="K31" s="24" t="n">
        <f aca="false">$M31-SUM(C31:J31)</f>
        <v>1.85</v>
      </c>
      <c r="L31" s="24" t="n">
        <f aca="false">SUM(C31:K31)</f>
        <v>1.85</v>
      </c>
      <c r="M31" s="27" t="n">
        <f aca="false">N(Players!G125)</f>
        <v>1.85</v>
      </c>
      <c r="N31" s="28" t="n">
        <f aca="false">L31-M31</f>
        <v>0</v>
      </c>
    </row>
    <row r="32" customFormat="false" ht="15" hidden="false" customHeight="false" outlineLevel="0" collapsed="false">
      <c r="A32" s="0" t="s">
        <v>975</v>
      </c>
      <c r="B32" s="0" t="s">
        <v>584</v>
      </c>
      <c r="C32" s="24" t="n">
        <f aca="false">SUMPRODUCT((In!$H$150:$H$162="nbis")*(In!$I$150:$I$162="self")*((In!$J$150:$J$162="比")*$M32+(In!$J$150:$J$162&lt;&gt;"比"))*In!L$150:L$162)</f>
        <v>0</v>
      </c>
      <c r="D32" s="24" t="n">
        <f aca="false">SUMPRODUCT((In!$H$150:$H$162="nbis")*(In!$I$150:$I$162="oai")*((In!$J$150:$J$162="比")*$M32+(In!$J$150:$J$162&lt;&gt;"比"))*In!L$150:L$162)</f>
        <v>0</v>
      </c>
      <c r="E32" s="24" t="n">
        <f aca="false">SUMPRODUCT((In!$H$150:$H$162="nbis")*(In!$I$150:$I$162="ant")*((In!$J$150:$J$162="比")*$M32+(In!$J$150:$J$162&lt;&gt;"比"))*In!L$150:L$162)</f>
        <v>0</v>
      </c>
      <c r="F32" s="24" t="n">
        <f aca="false">SUMPRODUCT((In!$H$150:$H$162="nbis")*(In!$I$150:$I$162="xai")*((In!$J$150:$J$162="比")*$M32+(In!$J$150:$J$162&lt;&gt;"比"))*In!L$150:L$162)</f>
        <v>0</v>
      </c>
      <c r="G32" s="24" t="n">
        <f aca="false">SUMPRODUCT((In!$H$150:$H$162="nbis")*(In!$I$150:$I$162="meta")*((In!$J$150:$J$162="比")*$M32+(In!$J$150:$J$162&lt;&gt;"比"))*In!L$150:L$162)</f>
        <v>0</v>
      </c>
      <c r="H32" s="24" t="n">
        <f aca="false">SUMPRODUCT((In!$H$150:$H$162="nbis")*(In!$I$150:$I$162="googl")*((In!$J$150:$J$162="比")*$M32+(In!$J$150:$J$162&lt;&gt;"比"))*In!L$150:L$162)</f>
        <v>0</v>
      </c>
      <c r="I32" s="24" t="n">
        <f aca="false">SUMPRODUCT((In!$H$150:$H$162="nbis")*(In!$I$150:$I$162="msft")*((In!$J$150:$J$162="比")*$M32+(In!$J$150:$J$162&lt;&gt;"比"))*In!L$150:L$162)</f>
        <v>0</v>
      </c>
      <c r="J32" s="24" t="n">
        <f aca="false">SUMPRODUCT((In!$H$150:$H$162="nbis")*(In!$I$150:$I$162="oth")*((In!$J$150:$J$162="比")*$M32+(In!$J$150:$J$162&lt;&gt;"比"))*In!L$150:L$162)</f>
        <v>0</v>
      </c>
      <c r="K32" s="24" t="n">
        <f aca="false">$M32-SUM(C32:J32)</f>
        <v>0.9</v>
      </c>
      <c r="L32" s="24" t="n">
        <f aca="false">SUM(C32:K32)</f>
        <v>0.9</v>
      </c>
      <c r="M32" s="27" t="n">
        <f aca="false">N(Players!G144)</f>
        <v>0.9</v>
      </c>
      <c r="N32" s="28" t="n">
        <f aca="false">L32-M32</f>
        <v>0</v>
      </c>
    </row>
    <row r="33" customFormat="false" ht="17.15" hidden="false" customHeight="false" outlineLevel="0" collapsed="false">
      <c r="A33" s="0" t="s">
        <v>1186</v>
      </c>
      <c r="B33" s="0" t="s">
        <v>995</v>
      </c>
      <c r="C33" s="24" t="n">
        <f aca="false">SUMPRODUCT((In!$H$150:$H$162="wyfi")*(In!$I$150:$I$162="self")*((In!$J$150:$J$162="比")*$M33+(In!$J$150:$J$162&lt;&gt;"比"))*In!L$150:L$162)</f>
        <v>0</v>
      </c>
      <c r="D33" s="24" t="n">
        <f aca="false">SUMPRODUCT((In!$H$150:$H$162="wyfi")*(In!$I$150:$I$162="oai")*((In!$J$150:$J$162="比")*$M33+(In!$J$150:$J$162&lt;&gt;"比"))*In!L$150:L$162)</f>
        <v>0</v>
      </c>
      <c r="E33" s="24" t="n">
        <f aca="false">SUMPRODUCT((In!$H$150:$H$162="wyfi")*(In!$I$150:$I$162="ant")*((In!$J$150:$J$162="比")*$M33+(In!$J$150:$J$162&lt;&gt;"比"))*In!L$150:L$162)</f>
        <v>0</v>
      </c>
      <c r="F33" s="24" t="n">
        <f aca="false">SUMPRODUCT((In!$H$150:$H$162="wyfi")*(In!$I$150:$I$162="xai")*((In!$J$150:$J$162="比")*$M33+(In!$J$150:$J$162&lt;&gt;"比"))*In!L$150:L$162)</f>
        <v>0</v>
      </c>
      <c r="G33" s="24" t="n">
        <f aca="false">SUMPRODUCT((In!$H$150:$H$162="wyfi")*(In!$I$150:$I$162="meta")*((In!$J$150:$J$162="比")*$M33+(In!$J$150:$J$162&lt;&gt;"比"))*In!L$150:L$162)</f>
        <v>0</v>
      </c>
      <c r="H33" s="24" t="n">
        <f aca="false">SUMPRODUCT((In!$H$150:$H$162="wyfi")*(In!$I$150:$I$162="googl")*((In!$J$150:$J$162="比")*$M33+(In!$J$150:$J$162&lt;&gt;"比"))*In!L$150:L$162)</f>
        <v>0</v>
      </c>
      <c r="I33" s="24" t="n">
        <f aca="false">SUMPRODUCT((In!$H$150:$H$162="wyfi")*(In!$I$150:$I$162="msft")*((In!$J$150:$J$162="比")*$M33+(In!$J$150:$J$162&lt;&gt;"比"))*In!L$150:L$162)</f>
        <v>0</v>
      </c>
      <c r="J33" s="24" t="n">
        <f aca="false">SUMPRODUCT((In!$H$150:$H$162="wyfi")*(In!$I$150:$I$162="oth")*((In!$J$150:$J$162="比")*$M33+(In!$J$150:$J$162&lt;&gt;"比"))*In!L$150:L$162)</f>
        <v>0</v>
      </c>
      <c r="K33" s="24" t="n">
        <f aca="false">$M33-SUM(C33:J33)</f>
        <v>0.014574</v>
      </c>
      <c r="L33" s="24" t="n">
        <f aca="false">SUM(C33:K33)</f>
        <v>0.014574</v>
      </c>
      <c r="M33" s="27" t="n">
        <f aca="false">N(Players!G163)</f>
        <v>0.014574</v>
      </c>
      <c r="N33" s="28" t="n">
        <f aca="false">L33-M33</f>
        <v>0</v>
      </c>
    </row>
    <row r="34" customFormat="false" ht="17.15" hidden="false" customHeight="false" outlineLevel="0" collapsed="false">
      <c r="A34" s="0" t="s">
        <v>1187</v>
      </c>
      <c r="B34" s="0" t="s">
        <v>470</v>
      </c>
      <c r="C34" s="24" t="n">
        <f aca="false">SUMPRODUCT((In!$H$150:$H$162="xai")*(In!$I$150:$I$162="self")*((In!$J$150:$J$162="比")*$M34+(In!$J$150:$J$162&lt;&gt;"比"))*In!L$150:L$162)</f>
        <v>0</v>
      </c>
      <c r="D34" s="24" t="n">
        <f aca="false">SUMPRODUCT((In!$H$150:$H$162="xai")*(In!$I$150:$I$162="oai")*((In!$J$150:$J$162="比")*$M34+(In!$J$150:$J$162&lt;&gt;"比"))*In!L$150:L$162)</f>
        <v>0</v>
      </c>
      <c r="E34" s="24" t="n">
        <f aca="false">SUMPRODUCT((In!$H$150:$H$162="xai")*(In!$I$150:$I$162="ant")*((In!$J$150:$J$162="比")*$M34+(In!$J$150:$J$162&lt;&gt;"比"))*In!L$150:L$162)</f>
        <v>0</v>
      </c>
      <c r="F34" s="24" t="n">
        <f aca="false">SUMPRODUCT((In!$H$150:$H$162="xai")*(In!$I$150:$I$162="xai")*((In!$J$150:$J$162="比")*$M34+(In!$J$150:$J$162&lt;&gt;"比"))*In!L$150:L$162)</f>
        <v>0</v>
      </c>
      <c r="G34" s="24" t="n">
        <f aca="false">SUMPRODUCT((In!$H$150:$H$162="xai")*(In!$I$150:$I$162="meta")*((In!$J$150:$J$162="比")*$M34+(In!$J$150:$J$162&lt;&gt;"比"))*In!L$150:L$162)</f>
        <v>0</v>
      </c>
      <c r="H34" s="24" t="n">
        <f aca="false">SUMPRODUCT((In!$H$150:$H$162="xai")*(In!$I$150:$I$162="googl")*((In!$J$150:$J$162="比")*$M34+(In!$J$150:$J$162&lt;&gt;"比"))*In!L$150:L$162)</f>
        <v>0.19</v>
      </c>
      <c r="I34" s="24" t="n">
        <f aca="false">SUMPRODUCT((In!$H$150:$H$162="xai")*(In!$I$150:$I$162="msft")*((In!$J$150:$J$162="比")*$M34+(In!$J$150:$J$162&lt;&gt;"比"))*In!L$150:L$162)</f>
        <v>0</v>
      </c>
      <c r="J34" s="24" t="n">
        <f aca="false">SUMPRODUCT((In!$H$150:$H$162="xai")*(In!$I$150:$I$162="oth")*((In!$J$150:$J$162="比")*$M34+(In!$J$150:$J$162&lt;&gt;"比"))*In!L$150:L$162)</f>
        <v>0</v>
      </c>
      <c r="K34" s="24" t="n">
        <f aca="false">$M34-SUM(C34:J34)</f>
        <v>1.81</v>
      </c>
      <c r="L34" s="24" t="n">
        <f aca="false">SUM(C34:K34)</f>
        <v>2</v>
      </c>
      <c r="M34" s="27" t="n">
        <f aca="false">N(Players!G182)</f>
        <v>2</v>
      </c>
      <c r="N34" s="28" t="n">
        <f aca="false">L34-M34</f>
        <v>0</v>
      </c>
    </row>
    <row r="35" customFormat="false" ht="17.15" hidden="false" customHeight="false" outlineLevel="0" collapsed="false">
      <c r="A35" s="0" t="s">
        <v>1188</v>
      </c>
      <c r="B35" s="0" t="s">
        <v>466</v>
      </c>
      <c r="C35" s="24" t="n">
        <f aca="false">SUMPRODUCT((In!$H$150:$H$162="oai")*(In!$I$150:$I$162="self")*((In!$J$150:$J$162="比")*$M35+(In!$J$150:$J$162&lt;&gt;"比"))*In!L$150:L$162)</f>
        <v>0</v>
      </c>
      <c r="D35" s="24" t="n">
        <f aca="false">SUMPRODUCT((In!$H$150:$H$162="oai")*(In!$I$150:$I$162="oai")*((In!$J$150:$J$162="比")*$M35+(In!$J$150:$J$162&lt;&gt;"比"))*In!L$150:L$162)</f>
        <v>0</v>
      </c>
      <c r="E35" s="24" t="n">
        <f aca="false">SUMPRODUCT((In!$H$150:$H$162="oai")*(In!$I$150:$I$162="ant")*((In!$J$150:$J$162="比")*$M35+(In!$J$150:$J$162&lt;&gt;"比"))*In!L$150:L$162)</f>
        <v>0</v>
      </c>
      <c r="F35" s="24" t="n">
        <f aca="false">SUMPRODUCT((In!$H$150:$H$162="oai")*(In!$I$150:$I$162="xai")*((In!$J$150:$J$162="比")*$M35+(In!$J$150:$J$162&lt;&gt;"比"))*In!L$150:L$162)</f>
        <v>0</v>
      </c>
      <c r="G35" s="24" t="n">
        <f aca="false">SUMPRODUCT((In!$H$150:$H$162="oai")*(In!$I$150:$I$162="meta")*((In!$J$150:$J$162="比")*$M35+(In!$J$150:$J$162&lt;&gt;"比"))*In!L$150:L$162)</f>
        <v>0</v>
      </c>
      <c r="H35" s="24" t="n">
        <f aca="false">SUMPRODUCT((In!$H$150:$H$162="oai")*(In!$I$150:$I$162="googl")*((In!$J$150:$J$162="比")*$M35+(In!$J$150:$J$162&lt;&gt;"比"))*In!L$150:L$162)</f>
        <v>0</v>
      </c>
      <c r="I35" s="24" t="n">
        <f aca="false">SUMPRODUCT((In!$H$150:$H$162="oai")*(In!$I$150:$I$162="msft")*((In!$J$150:$J$162="比")*$M35+(In!$J$150:$J$162&lt;&gt;"比"))*In!L$150:L$162)</f>
        <v>0</v>
      </c>
      <c r="J35" s="24" t="n">
        <f aca="false">SUMPRODUCT((In!$H$150:$H$162="oai")*(In!$I$150:$I$162="oth")*((In!$J$150:$J$162="比")*$M35+(In!$J$150:$J$162&lt;&gt;"比"))*In!L$150:L$162)</f>
        <v>0</v>
      </c>
      <c r="K35" s="24" t="n">
        <f aca="false">$M35-SUM(C35:J35)</f>
        <v>0</v>
      </c>
      <c r="L35" s="24" t="n">
        <f aca="false">SUM(C35:K35)</f>
        <v>0</v>
      </c>
      <c r="M35" s="27" t="n">
        <f aca="false">N(Players!G201)</f>
        <v>0</v>
      </c>
      <c r="N35" s="28" t="n">
        <f aca="false">L35-M35</f>
        <v>0</v>
      </c>
    </row>
    <row r="36" customFormat="false" ht="17.15" hidden="false" customHeight="false" outlineLevel="0" collapsed="false">
      <c r="A36" s="0" t="s">
        <v>1189</v>
      </c>
      <c r="B36" s="0" t="s">
        <v>450</v>
      </c>
      <c r="C36" s="24" t="n">
        <f aca="false">SUMPRODUCT((In!$H$150:$H$162="ant")*(In!$I$150:$I$162="self")*((In!$J$150:$J$162="比")*$M36+(In!$J$150:$J$162&lt;&gt;"比"))*In!L$150:L$162)</f>
        <v>0</v>
      </c>
      <c r="D36" s="24" t="n">
        <f aca="false">SUMPRODUCT((In!$H$150:$H$162="ant")*(In!$I$150:$I$162="oai")*((In!$J$150:$J$162="比")*$M36+(In!$J$150:$J$162&lt;&gt;"比"))*In!L$150:L$162)</f>
        <v>0</v>
      </c>
      <c r="E36" s="24" t="n">
        <f aca="false">SUMPRODUCT((In!$H$150:$H$162="ant")*(In!$I$150:$I$162="ant")*((In!$J$150:$J$162="比")*$M36+(In!$J$150:$J$162&lt;&gt;"比"))*In!L$150:L$162)</f>
        <v>0</v>
      </c>
      <c r="F36" s="24" t="n">
        <f aca="false">SUMPRODUCT((In!$H$150:$H$162="ant")*(In!$I$150:$I$162="xai")*((In!$J$150:$J$162="比")*$M36+(In!$J$150:$J$162&lt;&gt;"比"))*In!L$150:L$162)</f>
        <v>0</v>
      </c>
      <c r="G36" s="24" t="n">
        <f aca="false">SUMPRODUCT((In!$H$150:$H$162="ant")*(In!$I$150:$I$162="meta")*((In!$J$150:$J$162="比")*$M36+(In!$J$150:$J$162&lt;&gt;"比"))*In!L$150:L$162)</f>
        <v>0</v>
      </c>
      <c r="H36" s="24" t="n">
        <f aca="false">SUMPRODUCT((In!$H$150:$H$162="ant")*(In!$I$150:$I$162="googl")*((In!$J$150:$J$162="比")*$M36+(In!$J$150:$J$162&lt;&gt;"比"))*In!L$150:L$162)</f>
        <v>0</v>
      </c>
      <c r="I36" s="24" t="n">
        <f aca="false">SUMPRODUCT((In!$H$150:$H$162="ant")*(In!$I$150:$I$162="msft")*((In!$J$150:$J$162="比")*$M36+(In!$J$150:$J$162&lt;&gt;"比"))*In!L$150:L$162)</f>
        <v>0</v>
      </c>
      <c r="J36" s="24" t="n">
        <f aca="false">SUMPRODUCT((In!$H$150:$H$162="ant")*(In!$I$150:$I$162="oth")*((In!$J$150:$J$162="比")*$M36+(In!$J$150:$J$162&lt;&gt;"比"))*In!L$150:L$162)</f>
        <v>0</v>
      </c>
      <c r="K36" s="24" t="n">
        <f aca="false">$M36-SUM(C36:J36)</f>
        <v>0</v>
      </c>
      <c r="L36" s="24" t="n">
        <f aca="false">SUM(C36:K36)</f>
        <v>0</v>
      </c>
      <c r="M36" s="27" t="n">
        <f aca="false">N(Players!G220)</f>
        <v>0</v>
      </c>
      <c r="N36" s="28" t="n">
        <f aca="false">L36-M36</f>
        <v>0</v>
      </c>
    </row>
    <row r="37" customFormat="false" ht="17.15" hidden="false" customHeight="false" outlineLevel="0" collapsed="false">
      <c r="A37" s="5" t="s">
        <v>1190</v>
      </c>
      <c r="B37" s="0" t="s">
        <v>480</v>
      </c>
      <c r="C37" s="24" t="n">
        <f aca="false">SUMPRODUCT((In!$H$150:$H$162="neo")*(In!$I$150:$I$162="self")*((In!$J$150:$J$162="比")*$M37+(In!$J$150:$J$162&lt;&gt;"比"))*In!L$150:L$162)</f>
        <v>0</v>
      </c>
      <c r="D37" s="24" t="n">
        <f aca="false">SUMPRODUCT((In!$H$150:$H$162="neo")*(In!$I$150:$I$162="oai")*((In!$J$150:$J$162="比")*$M37+(In!$J$150:$J$162&lt;&gt;"比"))*In!L$150:L$162)</f>
        <v>0</v>
      </c>
      <c r="E37" s="24" t="n">
        <f aca="false">SUMPRODUCT((In!$H$150:$H$162="neo")*(In!$I$150:$I$162="ant")*((In!$J$150:$J$162="比")*$M37+(In!$J$150:$J$162&lt;&gt;"比"))*In!L$150:L$162)</f>
        <v>0</v>
      </c>
      <c r="F37" s="24" t="n">
        <f aca="false">SUMPRODUCT((In!$H$150:$H$162="neo")*(In!$I$150:$I$162="xai")*((In!$J$150:$J$162="比")*$M37+(In!$J$150:$J$162&lt;&gt;"比"))*In!L$150:L$162)</f>
        <v>0</v>
      </c>
      <c r="G37" s="24" t="n">
        <f aca="false">SUMPRODUCT((In!$H$150:$H$162="neo")*(In!$I$150:$I$162="meta")*((In!$J$150:$J$162="比")*$M37+(In!$J$150:$J$162&lt;&gt;"比"))*In!L$150:L$162)</f>
        <v>0</v>
      </c>
      <c r="H37" s="24" t="n">
        <f aca="false">SUMPRODUCT((In!$H$150:$H$162="neo")*(In!$I$150:$I$162="googl")*((In!$J$150:$J$162="比")*$M37+(In!$J$150:$J$162&lt;&gt;"比"))*In!L$150:L$162)</f>
        <v>0</v>
      </c>
      <c r="I37" s="24" t="n">
        <f aca="false">SUMPRODUCT((In!$H$150:$H$162="neo")*(In!$I$150:$I$162="msft")*((In!$J$150:$J$162="比")*$M37+(In!$J$150:$J$162&lt;&gt;"比"))*In!L$150:L$162)</f>
        <v>0.2</v>
      </c>
      <c r="J37" s="24" t="n">
        <f aca="false">SUMPRODUCT((In!$H$150:$H$162="neo")*(In!$I$150:$I$162="oth")*((In!$J$150:$J$162="比")*$M37+(In!$J$150:$J$162&lt;&gt;"比"))*In!L$150:L$162)</f>
        <v>0</v>
      </c>
      <c r="K37" s="24" t="n">
        <f aca="false">$M37-SUM(C37:J37)</f>
        <v>1.1</v>
      </c>
      <c r="L37" s="24" t="n">
        <f aca="false">SUM(C37:K37)</f>
        <v>1.3</v>
      </c>
      <c r="M37" s="27" t="n">
        <f aca="false">N(Players!G239)</f>
        <v>1.3</v>
      </c>
      <c r="N37" s="28" t="n">
        <f aca="false">L37-M37</f>
        <v>0</v>
      </c>
    </row>
    <row r="38" customFormat="false" ht="17.15" hidden="false" customHeight="false" outlineLevel="0" collapsed="false">
      <c r="A38" s="5" t="s">
        <v>1191</v>
      </c>
      <c r="B38" s="0" t="s">
        <v>577</v>
      </c>
      <c r="C38" s="24" t="n">
        <f aca="false">SUMPRODUCT((In!$H$150:$H$162="sov")*(In!$I$150:$I$162="self")*((In!$J$150:$J$162="比")*$M38+(In!$J$150:$J$162&lt;&gt;"比"))*In!L$150:L$162)</f>
        <v>0</v>
      </c>
      <c r="D38" s="24" t="n">
        <f aca="false">SUMPRODUCT((In!$H$150:$H$162="sov")*(In!$I$150:$I$162="oai")*((In!$J$150:$J$162="比")*$M38+(In!$J$150:$J$162&lt;&gt;"比"))*In!L$150:L$162)</f>
        <v>0</v>
      </c>
      <c r="E38" s="24" t="n">
        <f aca="false">SUMPRODUCT((In!$H$150:$H$162="sov")*(In!$I$150:$I$162="ant")*((In!$J$150:$J$162="比")*$M38+(In!$J$150:$J$162&lt;&gt;"比"))*In!L$150:L$162)</f>
        <v>0</v>
      </c>
      <c r="F38" s="24" t="n">
        <f aca="false">SUMPRODUCT((In!$H$150:$H$162="sov")*(In!$I$150:$I$162="xai")*((In!$J$150:$J$162="比")*$M38+(In!$J$150:$J$162&lt;&gt;"比"))*In!L$150:L$162)</f>
        <v>0</v>
      </c>
      <c r="G38" s="24" t="n">
        <f aca="false">SUMPRODUCT((In!$H$150:$H$162="sov")*(In!$I$150:$I$162="meta")*((In!$J$150:$J$162="比")*$M38+(In!$J$150:$J$162&lt;&gt;"比"))*In!L$150:L$162)</f>
        <v>0</v>
      </c>
      <c r="H38" s="24" t="n">
        <f aca="false">SUMPRODUCT((In!$H$150:$H$162="sov")*(In!$I$150:$I$162="googl")*((In!$J$150:$J$162="比")*$M38+(In!$J$150:$J$162&lt;&gt;"比"))*In!L$150:L$162)</f>
        <v>0</v>
      </c>
      <c r="I38" s="24" t="n">
        <f aca="false">SUMPRODUCT((In!$H$150:$H$162="sov")*(In!$I$150:$I$162="msft")*((In!$J$150:$J$162="比")*$M38+(In!$J$150:$J$162&lt;&gt;"比"))*In!L$150:L$162)</f>
        <v>0</v>
      </c>
      <c r="J38" s="24" t="n">
        <f aca="false">SUMPRODUCT((In!$H$150:$H$162="sov")*(In!$I$150:$I$162="oth")*((In!$J$150:$J$162="比")*$M38+(In!$J$150:$J$162&lt;&gt;"比"))*In!L$150:L$162)</f>
        <v>0</v>
      </c>
      <c r="K38" s="24" t="n">
        <f aca="false">$M38-SUM(C38:J38)</f>
        <v>0.2</v>
      </c>
      <c r="L38" s="24" t="n">
        <f aca="false">SUM(C38:K38)</f>
        <v>0.2</v>
      </c>
      <c r="M38" s="27" t="n">
        <f aca="false">N(Players!G258)</f>
        <v>0.2</v>
      </c>
      <c r="N38" s="28" t="n">
        <f aca="false">L38-M38</f>
        <v>0</v>
      </c>
    </row>
    <row r="39" customFormat="false" ht="17.15" hidden="false" customHeight="false" outlineLevel="0" collapsed="false">
      <c r="A39" s="5" t="s">
        <v>1192</v>
      </c>
      <c r="B39" s="0" t="s">
        <v>487</v>
      </c>
      <c r="C39" s="24" t="n">
        <f aca="false">SUMPRODUCT((In!$H$150:$H$162="cn")*(In!$I$150:$I$162="self")*((In!$J$150:$J$162="比")*$M39+(In!$J$150:$J$162&lt;&gt;"比"))*In!L$150:L$162)</f>
        <v>11.6666666666667</v>
      </c>
      <c r="D39" s="24" t="n">
        <f aca="false">SUMPRODUCT((In!$H$150:$H$162="cn")*(In!$I$150:$I$162="oai")*((In!$J$150:$J$162="比")*$M39+(In!$J$150:$J$162&lt;&gt;"比"))*In!L$150:L$162)</f>
        <v>0</v>
      </c>
      <c r="E39" s="24" t="n">
        <f aca="false">SUMPRODUCT((In!$H$150:$H$162="cn")*(In!$I$150:$I$162="ant")*((In!$J$150:$J$162="比")*$M39+(In!$J$150:$J$162&lt;&gt;"比"))*In!L$150:L$162)</f>
        <v>0</v>
      </c>
      <c r="F39" s="24" t="n">
        <f aca="false">SUMPRODUCT((In!$H$150:$H$162="cn")*(In!$I$150:$I$162="xai")*((In!$J$150:$J$162="比")*$M39+(In!$J$150:$J$162&lt;&gt;"比"))*In!L$150:L$162)</f>
        <v>0</v>
      </c>
      <c r="G39" s="24" t="n">
        <f aca="false">SUMPRODUCT((In!$H$150:$H$162="cn")*(In!$I$150:$I$162="meta")*((In!$J$150:$J$162="比")*$M39+(In!$J$150:$J$162&lt;&gt;"比"))*In!L$150:L$162)</f>
        <v>0</v>
      </c>
      <c r="H39" s="24" t="n">
        <f aca="false">SUMPRODUCT((In!$H$150:$H$162="cn")*(In!$I$150:$I$162="googl")*((In!$J$150:$J$162="比")*$M39+(In!$J$150:$J$162&lt;&gt;"比"))*In!L$150:L$162)</f>
        <v>0</v>
      </c>
      <c r="I39" s="24" t="n">
        <f aca="false">SUMPRODUCT((In!$H$150:$H$162="cn")*(In!$I$150:$I$162="msft")*((In!$J$150:$J$162="比")*$M39+(In!$J$150:$J$162&lt;&gt;"比"))*In!L$150:L$162)</f>
        <v>0</v>
      </c>
      <c r="J39" s="24" t="n">
        <f aca="false">SUMPRODUCT((In!$H$150:$H$162="cn")*(In!$I$150:$I$162="oth")*((In!$J$150:$J$162="比")*$M39+(In!$J$150:$J$162&lt;&gt;"比"))*In!L$150:L$162)</f>
        <v>0</v>
      </c>
      <c r="K39" s="24" t="n">
        <f aca="false">$M39-SUM(C39:J39)</f>
        <v>0</v>
      </c>
      <c r="L39" s="24" t="n">
        <f aca="false">SUM(C39:K39)</f>
        <v>11.6666666666667</v>
      </c>
      <c r="M39" s="27" t="n">
        <f aca="false">N(Players!G277)</f>
        <v>11.6666666666667</v>
      </c>
      <c r="N39" s="28" t="n">
        <f aca="false">L39-M39</f>
        <v>0</v>
      </c>
    </row>
    <row r="40" customFormat="false" ht="17.15" hidden="false" customHeight="false" outlineLevel="0" collapsed="false">
      <c r="A40" s="5" t="s">
        <v>1193</v>
      </c>
      <c r="B40" s="0" t="s">
        <v>1129</v>
      </c>
      <c r="C40" s="24" t="n">
        <f aca="false">SUMPRODUCT((In!$H$150:$H$162="oth")*(In!$I$150:$I$162="self")*((In!$J$150:$J$162="比")*$M40+(In!$J$150:$J$162&lt;&gt;"比"))*In!L$150:L$162)</f>
        <v>0</v>
      </c>
      <c r="D40" s="24" t="n">
        <f aca="false">SUMPRODUCT((In!$H$150:$H$162="oth")*(In!$I$150:$I$162="oai")*((In!$J$150:$J$162="比")*$M40+(In!$J$150:$J$162&lt;&gt;"比"))*In!L$150:L$162)</f>
        <v>0</v>
      </c>
      <c r="E40" s="24" t="n">
        <f aca="false">SUMPRODUCT((In!$H$150:$H$162="oth")*(In!$I$150:$I$162="ant")*((In!$J$150:$J$162="比")*$M40+(In!$J$150:$J$162&lt;&gt;"比"))*In!L$150:L$162)</f>
        <v>0</v>
      </c>
      <c r="F40" s="24" t="n">
        <f aca="false">SUMPRODUCT((In!$H$150:$H$162="oth")*(In!$I$150:$I$162="xai")*((In!$J$150:$J$162="比")*$M40+(In!$J$150:$J$162&lt;&gt;"比"))*In!L$150:L$162)</f>
        <v>0</v>
      </c>
      <c r="G40" s="24" t="n">
        <f aca="false">SUMPRODUCT((In!$H$150:$H$162="oth")*(In!$I$150:$I$162="meta")*((In!$J$150:$J$162="比")*$M40+(In!$J$150:$J$162&lt;&gt;"比"))*In!L$150:L$162)</f>
        <v>0</v>
      </c>
      <c r="H40" s="24" t="n">
        <f aca="false">SUMPRODUCT((In!$H$150:$H$162="oth")*(In!$I$150:$I$162="googl")*((In!$J$150:$J$162="比")*$M40+(In!$J$150:$J$162&lt;&gt;"比"))*In!L$150:L$162)</f>
        <v>0</v>
      </c>
      <c r="I40" s="24" t="n">
        <f aca="false">SUMPRODUCT((In!$H$150:$H$162="oth")*(In!$I$150:$I$162="msft")*((In!$J$150:$J$162="比")*$M40+(In!$J$150:$J$162&lt;&gt;"比"))*In!L$150:L$162)</f>
        <v>0</v>
      </c>
      <c r="J40" s="24" t="n">
        <f aca="false">SUMPRODUCT((In!$H$150:$H$162="oth")*(In!$I$150:$I$162="oth")*((In!$J$150:$J$162="比")*$M40+(In!$J$150:$J$162&lt;&gt;"比"))*In!L$150:L$162)</f>
        <v>0</v>
      </c>
      <c r="K40" s="24" t="n">
        <f aca="false">$M40-SUM(C40:J40)</f>
        <v>1</v>
      </c>
      <c r="L40" s="24" t="n">
        <f aca="false">SUM(C40:K40)</f>
        <v>1</v>
      </c>
      <c r="M40" s="27" t="n">
        <f aca="false">N(Players!G296)</f>
        <v>1</v>
      </c>
      <c r="N40" s="28" t="n">
        <f aca="false">L40-M40</f>
        <v>0</v>
      </c>
    </row>
    <row r="41" customFormat="false" ht="15" hidden="false" customHeight="false" outlineLevel="0" collapsed="false">
      <c r="A41" s="21" t="s">
        <v>1194</v>
      </c>
      <c r="C41" s="24" t="n">
        <f aca="false">SUM(C26:C40)</f>
        <v>17.9269420560748</v>
      </c>
      <c r="D41" s="24" t="n">
        <f aca="false">SUM(D26:D40)</f>
        <v>0.824</v>
      </c>
      <c r="E41" s="24" t="n">
        <f aca="false">SUM(E26:E40)</f>
        <v>2.037</v>
      </c>
      <c r="F41" s="24" t="n">
        <f aca="false">SUM(F26:F40)</f>
        <v>0</v>
      </c>
      <c r="G41" s="24" t="n">
        <f aca="false">SUM(G26:G40)</f>
        <v>3.152595</v>
      </c>
      <c r="H41" s="24" t="n">
        <f aca="false">SUM(H26:H40)</f>
        <v>0.19</v>
      </c>
      <c r="I41" s="24" t="n">
        <f aca="false">SUM(I26:I40)</f>
        <v>0.2</v>
      </c>
      <c r="J41" s="24" t="n">
        <f aca="false">SUM(J26:J40)</f>
        <v>0</v>
      </c>
      <c r="K41" s="24" t="n">
        <f aca="false">SUM(K26:K40)</f>
        <v>13.3219777383178</v>
      </c>
      <c r="L41" s="24" t="n">
        <f aca="false">SUM(L26:L40)</f>
        <v>37.6525147943925</v>
      </c>
      <c r="M41" s="24" t="n">
        <f aca="false">SUM(M26:M40)</f>
        <v>37.6525147943925</v>
      </c>
      <c r="N41" s="24" t="n">
        <f aca="false">SUM(N26:N40)</f>
        <v>0</v>
      </c>
    </row>
    <row r="42" customFormat="false" ht="17.15" hidden="false" customHeight="false" outlineLevel="0" collapsed="false">
      <c r="A42" s="5" t="s">
        <v>1195</v>
      </c>
      <c r="D42" s="24" t="n">
        <f aca="false">IF(In!K136="","",IF(In!$C$136="設施",In!K136/Players!G$13,In!K136))</f>
        <v>5</v>
      </c>
      <c r="L42" s="29" t="n">
        <f aca="false">IF(OR(D42="",N(D42)=0),"",D41/D42)</f>
        <v>0.1648</v>
      </c>
      <c r="M42" s="5" t="s">
        <v>1196</v>
      </c>
    </row>
    <row r="43" customFormat="false" ht="17.15" hidden="false" customHeight="false" outlineLevel="0" collapsed="false">
      <c r="A43" s="5" t="s">
        <v>1197</v>
      </c>
      <c r="E43" s="24" t="n">
        <f aca="false">IF(In!K137="","",IF(In!$C$137="設施",In!K137/Players!G$13,In!K137))</f>
        <v>5</v>
      </c>
      <c r="L43" s="29" t="n">
        <f aca="false">IF(OR(E43="",N(E43)=0),"",E41/E43)</f>
        <v>0.4074</v>
      </c>
      <c r="M43" s="5" t="s">
        <v>1196</v>
      </c>
    </row>
    <row r="45" customFormat="false" ht="17.15" hidden="false" customHeight="false" outlineLevel="0" collapsed="false">
      <c r="A45" s="8" t="s">
        <v>1199</v>
      </c>
    </row>
    <row r="46" customFormat="false" ht="17.15" hidden="false" customHeight="false" outlineLevel="0" collapsed="false">
      <c r="A46" s="6" t="s">
        <v>434</v>
      </c>
      <c r="B46" s="6" t="s">
        <v>12</v>
      </c>
      <c r="C46" s="6" t="s">
        <v>1171</v>
      </c>
      <c r="D46" s="7" t="s">
        <v>1172</v>
      </c>
      <c r="E46" s="7" t="s">
        <v>1173</v>
      </c>
      <c r="F46" s="7" t="s">
        <v>1174</v>
      </c>
      <c r="G46" s="7" t="s">
        <v>918</v>
      </c>
      <c r="H46" s="7" t="s">
        <v>1175</v>
      </c>
      <c r="I46" s="7" t="s">
        <v>1176</v>
      </c>
      <c r="J46" s="6" t="s">
        <v>1177</v>
      </c>
      <c r="K46" s="6" t="s">
        <v>1178</v>
      </c>
      <c r="L46" s="6" t="s">
        <v>1179</v>
      </c>
      <c r="M46" s="7" t="s">
        <v>1180</v>
      </c>
      <c r="N46" s="6" t="s">
        <v>1181</v>
      </c>
    </row>
    <row r="47" customFormat="false" ht="17.15" hidden="false" customHeight="false" outlineLevel="0" collapsed="false">
      <c r="A47" s="0" t="s">
        <v>1182</v>
      </c>
      <c r="B47" s="0" t="s">
        <v>441</v>
      </c>
      <c r="C47" s="24" t="n">
        <f aca="false">SUMPRODUCT((In!$H$150:$H$162="msft")*(In!$I$150:$I$162="self")*((In!$J$150:$J$162="比")*$M47+(In!$J$150:$J$162&lt;&gt;"比"))*In!M$150:M$162)</f>
        <v>2.16</v>
      </c>
      <c r="D47" s="24" t="n">
        <f aca="false">SUMPRODUCT((In!$H$150:$H$162="msft")*(In!$I$150:$I$162="oai")*((In!$J$150:$J$162="比")*$M47+(In!$J$150:$J$162&lt;&gt;"比"))*In!M$150:M$162)</f>
        <v>0</v>
      </c>
      <c r="E47" s="24" t="n">
        <f aca="false">SUMPRODUCT((In!$H$150:$H$162="msft")*(In!$I$150:$I$162="ant")*((In!$J$150:$J$162="比")*$M47+(In!$J$150:$J$162&lt;&gt;"比"))*In!M$150:M$162)</f>
        <v>0</v>
      </c>
      <c r="F47" s="24" t="n">
        <f aca="false">SUMPRODUCT((In!$H$150:$H$162="msft")*(In!$I$150:$I$162="xai")*((In!$J$150:$J$162="比")*$M47+(In!$J$150:$J$162&lt;&gt;"比"))*In!M$150:M$162)</f>
        <v>0</v>
      </c>
      <c r="G47" s="24" t="n">
        <f aca="false">SUMPRODUCT((In!$H$150:$H$162="msft")*(In!$I$150:$I$162="meta")*((In!$J$150:$J$162="比")*$M47+(In!$J$150:$J$162&lt;&gt;"比"))*In!M$150:M$162)</f>
        <v>0</v>
      </c>
      <c r="H47" s="24" t="n">
        <f aca="false">SUMPRODUCT((In!$H$150:$H$162="msft")*(In!$I$150:$I$162="googl")*((In!$J$150:$J$162="比")*$M47+(In!$J$150:$J$162&lt;&gt;"比"))*In!M$150:M$162)</f>
        <v>0</v>
      </c>
      <c r="I47" s="24" t="n">
        <f aca="false">SUMPRODUCT((In!$H$150:$H$162="msft")*(In!$I$150:$I$162="msft")*((In!$J$150:$J$162="比")*$M47+(In!$J$150:$J$162&lt;&gt;"比"))*In!M$150:M$162)</f>
        <v>0</v>
      </c>
      <c r="J47" s="24" t="n">
        <f aca="false">SUMPRODUCT((In!$H$150:$H$162="msft")*(In!$I$150:$I$162="oth")*((In!$J$150:$J$162="比")*$M47+(In!$J$150:$J$162&lt;&gt;"比"))*In!M$150:M$162)</f>
        <v>0</v>
      </c>
      <c r="K47" s="24" t="n">
        <f aca="false">$M47-SUM(C47:J47)</f>
        <v>3.24</v>
      </c>
      <c r="L47" s="24" t="n">
        <f aca="false">SUM(C47:K47)</f>
        <v>5.4</v>
      </c>
      <c r="M47" s="27" t="n">
        <f aca="false">N(Players!H30)</f>
        <v>5.4</v>
      </c>
      <c r="N47" s="28" t="n">
        <f aca="false">L47-M47</f>
        <v>0</v>
      </c>
    </row>
    <row r="48" customFormat="false" ht="17.15" hidden="false" customHeight="false" outlineLevel="0" collapsed="false">
      <c r="A48" s="0" t="s">
        <v>1183</v>
      </c>
      <c r="B48" s="0" t="s">
        <v>446</v>
      </c>
      <c r="C48" s="24" t="n">
        <f aca="false">SUMPRODUCT((In!$H$150:$H$162="googl")*(In!$I$150:$I$162="self")*((In!$J$150:$J$162="比")*$M48+(In!$J$150:$J$162&lt;&gt;"比"))*In!M$150:M$162)</f>
        <v>3.9148753894081</v>
      </c>
      <c r="D48" s="24" t="n">
        <f aca="false">SUMPRODUCT((In!$H$150:$H$162="googl")*(In!$I$150:$I$162="oai")*((In!$J$150:$J$162="比")*$M48+(In!$J$150:$J$162&lt;&gt;"比"))*In!M$150:M$162)</f>
        <v>0</v>
      </c>
      <c r="E48" s="24" t="n">
        <f aca="false">SUMPRODUCT((In!$H$150:$H$162="googl")*(In!$I$150:$I$162="ant")*((In!$J$150:$J$162="比")*$M48+(In!$J$150:$J$162&lt;&gt;"比"))*In!M$150:M$162)</f>
        <v>1</v>
      </c>
      <c r="F48" s="24" t="n">
        <f aca="false">SUMPRODUCT((In!$H$150:$H$162="googl")*(In!$I$150:$I$162="xai")*((In!$J$150:$J$162="比")*$M48+(In!$J$150:$J$162&lt;&gt;"比"))*In!M$150:M$162)</f>
        <v>0</v>
      </c>
      <c r="G48" s="24" t="n">
        <f aca="false">SUMPRODUCT((In!$H$150:$H$162="googl")*(In!$I$150:$I$162="meta")*((In!$J$150:$J$162="比")*$M48+(In!$J$150:$J$162&lt;&gt;"比"))*In!M$150:M$162)</f>
        <v>0</v>
      </c>
      <c r="H48" s="24" t="n">
        <f aca="false">SUMPRODUCT((In!$H$150:$H$162="googl")*(In!$I$150:$I$162="googl")*((In!$J$150:$J$162="比")*$M48+(In!$J$150:$J$162&lt;&gt;"比"))*In!M$150:M$162)</f>
        <v>0</v>
      </c>
      <c r="I48" s="24" t="n">
        <f aca="false">SUMPRODUCT((In!$H$150:$H$162="googl")*(In!$I$150:$I$162="msft")*((In!$J$150:$J$162="比")*$M48+(In!$J$150:$J$162&lt;&gt;"比"))*In!M$150:M$162)</f>
        <v>0</v>
      </c>
      <c r="J48" s="24" t="n">
        <f aca="false">SUMPRODUCT((In!$H$150:$H$162="googl")*(In!$I$150:$I$162="oth")*((In!$J$150:$J$162="比")*$M48+(In!$J$150:$J$162&lt;&gt;"比"))*In!M$150:M$162)</f>
        <v>0</v>
      </c>
      <c r="K48" s="24" t="n">
        <f aca="false">$M48-SUM(C48:J48)</f>
        <v>0.677803738317758</v>
      </c>
      <c r="L48" s="24" t="n">
        <f aca="false">SUM(C48:K48)</f>
        <v>5.59267912772586</v>
      </c>
      <c r="M48" s="27" t="n">
        <f aca="false">N(Players!H49)</f>
        <v>5.59267912772586</v>
      </c>
      <c r="N48" s="28" t="n">
        <f aca="false">L48-M48</f>
        <v>0</v>
      </c>
    </row>
    <row r="49" customFormat="false" ht="17.15" hidden="false" customHeight="false" outlineLevel="0" collapsed="false">
      <c r="A49" s="0" t="s">
        <v>1184</v>
      </c>
      <c r="B49" s="0" t="s">
        <v>454</v>
      </c>
      <c r="C49" s="24" t="n">
        <f aca="false">SUMPRODUCT((In!$H$150:$H$162="amzn")*(In!$I$150:$I$162="self")*((In!$J$150:$J$162="比")*$M49+(In!$J$150:$J$162&lt;&gt;"比"))*In!M$150:M$162)</f>
        <v>0.5454</v>
      </c>
      <c r="D49" s="24" t="n">
        <f aca="false">SUMPRODUCT((In!$H$150:$H$162="amzn")*(In!$I$150:$I$162="oai")*((In!$J$150:$J$162="比")*$M49+(In!$J$150:$J$162&lt;&gt;"比"))*In!M$150:M$162)</f>
        <v>0</v>
      </c>
      <c r="E49" s="24" t="n">
        <f aca="false">SUMPRODUCT((In!$H$150:$H$162="amzn")*(In!$I$150:$I$162="ant")*((In!$J$150:$J$162="比")*$M49+(In!$J$150:$J$162&lt;&gt;"比"))*In!M$150:M$162)</f>
        <v>1.037</v>
      </c>
      <c r="F49" s="24" t="n">
        <f aca="false">SUMPRODUCT((In!$H$150:$H$162="amzn")*(In!$I$150:$I$162="xai")*((In!$J$150:$J$162="比")*$M49+(In!$J$150:$J$162&lt;&gt;"比"))*In!M$150:M$162)</f>
        <v>0</v>
      </c>
      <c r="G49" s="24" t="n">
        <f aca="false">SUMPRODUCT((In!$H$150:$H$162="amzn")*(In!$I$150:$I$162="meta")*((In!$J$150:$J$162="比")*$M49+(In!$J$150:$J$162&lt;&gt;"比"))*In!M$150:M$162)</f>
        <v>0</v>
      </c>
      <c r="H49" s="24" t="n">
        <f aca="false">SUMPRODUCT((In!$H$150:$H$162="amzn")*(In!$I$150:$I$162="googl")*((In!$J$150:$J$162="比")*$M49+(In!$J$150:$J$162&lt;&gt;"比"))*In!M$150:M$162)</f>
        <v>0</v>
      </c>
      <c r="I49" s="24" t="n">
        <f aca="false">SUMPRODUCT((In!$H$150:$H$162="amzn")*(In!$I$150:$I$162="msft")*((In!$J$150:$J$162="比")*$M49+(In!$J$150:$J$162&lt;&gt;"比"))*In!M$150:M$162)</f>
        <v>0</v>
      </c>
      <c r="J49" s="24" t="n">
        <f aca="false">SUMPRODUCT((In!$H$150:$H$162="amzn")*(In!$I$150:$I$162="oth")*((In!$J$150:$J$162="比")*$M49+(In!$J$150:$J$162&lt;&gt;"比"))*In!M$150:M$162)</f>
        <v>0</v>
      </c>
      <c r="K49" s="24" t="n">
        <f aca="false">$M49-SUM(C49:J49)</f>
        <v>1.1446</v>
      </c>
      <c r="L49" s="24" t="n">
        <f aca="false">SUM(C49:K49)</f>
        <v>2.727</v>
      </c>
      <c r="M49" s="27" t="n">
        <f aca="false">N(Players!H68)</f>
        <v>2.727</v>
      </c>
      <c r="N49" s="28" t="n">
        <f aca="false">L49-M49</f>
        <v>0</v>
      </c>
    </row>
    <row r="50" customFormat="false" ht="15" hidden="false" customHeight="false" outlineLevel="0" collapsed="false">
      <c r="A50" s="0" t="s">
        <v>918</v>
      </c>
      <c r="B50" s="0" t="s">
        <v>461</v>
      </c>
      <c r="C50" s="24" t="n">
        <f aca="false">SUMPRODUCT((In!$H$150:$H$162="meta")*(In!$I$150:$I$162="self")*((In!$J$150:$J$162="比")*$M50+(In!$J$150:$J$162&lt;&gt;"比"))*In!M$150:M$162)</f>
        <v>0</v>
      </c>
      <c r="D50" s="24" t="n">
        <f aca="false">SUMPRODUCT((In!$H$150:$H$162="meta")*(In!$I$150:$I$162="oai")*((In!$J$150:$J$162="比")*$M50+(In!$J$150:$J$162&lt;&gt;"比"))*In!M$150:M$162)</f>
        <v>0</v>
      </c>
      <c r="E50" s="24" t="n">
        <f aca="false">SUMPRODUCT((In!$H$150:$H$162="meta")*(In!$I$150:$I$162="ant")*((In!$J$150:$J$162="比")*$M50+(In!$J$150:$J$162&lt;&gt;"比"))*In!M$150:M$162)</f>
        <v>0</v>
      </c>
      <c r="F50" s="24" t="n">
        <f aca="false">SUMPRODUCT((In!$H$150:$H$162="meta")*(In!$I$150:$I$162="xai")*((In!$J$150:$J$162="比")*$M50+(In!$J$150:$J$162&lt;&gt;"比"))*In!M$150:M$162)</f>
        <v>0</v>
      </c>
      <c r="G50" s="24" t="n">
        <f aca="false">SUMPRODUCT((In!$H$150:$H$162="meta")*(In!$I$150:$I$162="meta")*((In!$J$150:$J$162="比")*$M50+(In!$J$150:$J$162&lt;&gt;"比"))*In!M$150:M$162)</f>
        <v>3.344595</v>
      </c>
      <c r="H50" s="24" t="n">
        <f aca="false">SUMPRODUCT((In!$H$150:$H$162="meta")*(In!$I$150:$I$162="googl")*((In!$J$150:$J$162="比")*$M50+(In!$J$150:$J$162&lt;&gt;"比"))*In!M$150:M$162)</f>
        <v>0</v>
      </c>
      <c r="I50" s="24" t="n">
        <f aca="false">SUMPRODUCT((In!$H$150:$H$162="meta")*(In!$I$150:$I$162="msft")*((In!$J$150:$J$162="比")*$M50+(In!$J$150:$J$162&lt;&gt;"比"))*In!M$150:M$162)</f>
        <v>0</v>
      </c>
      <c r="J50" s="24" t="n">
        <f aca="false">SUMPRODUCT((In!$H$150:$H$162="meta")*(In!$I$150:$I$162="oth")*((In!$J$150:$J$162="比")*$M50+(In!$J$150:$J$162&lt;&gt;"比"))*In!M$150:M$162)</f>
        <v>0</v>
      </c>
      <c r="K50" s="24" t="n">
        <f aca="false">$M50-SUM(C50:J50)</f>
        <v>0</v>
      </c>
      <c r="L50" s="24" t="n">
        <f aca="false">SUM(C50:K50)</f>
        <v>3.344595</v>
      </c>
      <c r="M50" s="27" t="n">
        <f aca="false">N(Players!H87)</f>
        <v>3.344595</v>
      </c>
      <c r="N50" s="28" t="n">
        <f aca="false">L50-M50</f>
        <v>0</v>
      </c>
    </row>
    <row r="51" customFormat="false" ht="17.15" hidden="false" customHeight="false" outlineLevel="0" collapsed="false">
      <c r="A51" s="0" t="s">
        <v>1185</v>
      </c>
      <c r="B51" s="0" t="s">
        <v>465</v>
      </c>
      <c r="C51" s="24" t="n">
        <f aca="false">SUMPRODUCT((In!$H$150:$H$162="orcl")*(In!$I$150:$I$162="self")*((In!$J$150:$J$162="比")*$M51+(In!$J$150:$J$162&lt;&gt;"比"))*In!M$150:M$162)</f>
        <v>0</v>
      </c>
      <c r="D51" s="24" t="n">
        <f aca="false">SUMPRODUCT((In!$H$150:$H$162="orcl")*(In!$I$150:$I$162="oai")*((In!$J$150:$J$162="比")*$M51+(In!$J$150:$J$162&lt;&gt;"比"))*In!M$150:M$162)</f>
        <v>0.991</v>
      </c>
      <c r="E51" s="24" t="n">
        <f aca="false">SUMPRODUCT((In!$H$150:$H$162="orcl")*(In!$I$150:$I$162="ant")*((In!$J$150:$J$162="比")*$M51+(In!$J$150:$J$162&lt;&gt;"比"))*In!M$150:M$162)</f>
        <v>0</v>
      </c>
      <c r="F51" s="24" t="n">
        <f aca="false">SUMPRODUCT((In!$H$150:$H$162="orcl")*(In!$I$150:$I$162="xai")*((In!$J$150:$J$162="比")*$M51+(In!$J$150:$J$162&lt;&gt;"比"))*In!M$150:M$162)</f>
        <v>0</v>
      </c>
      <c r="G51" s="24" t="n">
        <f aca="false">SUMPRODUCT((In!$H$150:$H$162="orcl")*(In!$I$150:$I$162="meta")*((In!$J$150:$J$162="比")*$M51+(In!$J$150:$J$162&lt;&gt;"比"))*In!M$150:M$162)</f>
        <v>0</v>
      </c>
      <c r="H51" s="24" t="n">
        <f aca="false">SUMPRODUCT((In!$H$150:$H$162="orcl")*(In!$I$150:$I$162="googl")*((In!$J$150:$J$162="比")*$M51+(In!$J$150:$J$162&lt;&gt;"比"))*In!M$150:M$162)</f>
        <v>0</v>
      </c>
      <c r="I51" s="24" t="n">
        <f aca="false">SUMPRODUCT((In!$H$150:$H$162="orcl")*(In!$I$150:$I$162="msft")*((In!$J$150:$J$162="比")*$M51+(In!$J$150:$J$162&lt;&gt;"比"))*In!M$150:M$162)</f>
        <v>0</v>
      </c>
      <c r="J51" s="24" t="n">
        <f aca="false">SUMPRODUCT((In!$H$150:$H$162="orcl")*(In!$I$150:$I$162="oth")*((In!$J$150:$J$162="比")*$M51+(In!$J$150:$J$162&lt;&gt;"比"))*In!M$150:M$162)</f>
        <v>0</v>
      </c>
      <c r="K51" s="24" t="n">
        <f aca="false">$M51-SUM(C51:J51)</f>
        <v>1.92466666666667</v>
      </c>
      <c r="L51" s="24" t="n">
        <f aca="false">SUM(C51:K51)</f>
        <v>2.91566666666667</v>
      </c>
      <c r="M51" s="27" t="n">
        <f aca="false">N(Players!H106)</f>
        <v>2.91566666666667</v>
      </c>
      <c r="N51" s="28" t="n">
        <f aca="false">L51-M51</f>
        <v>0</v>
      </c>
    </row>
    <row r="52" customFormat="false" ht="15" hidden="false" customHeight="false" outlineLevel="0" collapsed="false">
      <c r="A52" s="0" t="s">
        <v>956</v>
      </c>
      <c r="B52" s="0" t="s">
        <v>555</v>
      </c>
      <c r="C52" s="24" t="n">
        <f aca="false">SUMPRODUCT((In!$H$150:$H$162="crwv")*(In!$I$150:$I$162="self")*((In!$J$150:$J$162="比")*$M52+(In!$J$150:$J$162&lt;&gt;"比"))*In!M$150:M$162)</f>
        <v>0</v>
      </c>
      <c r="D52" s="24" t="n">
        <f aca="false">SUMPRODUCT((In!$H$150:$H$162="crwv")*(In!$I$150:$I$162="oai")*((In!$J$150:$J$162="比")*$M52+(In!$J$150:$J$162&lt;&gt;"比"))*In!M$150:M$162)</f>
        <v>0</v>
      </c>
      <c r="E52" s="24" t="n">
        <f aca="false">SUMPRODUCT((In!$H$150:$H$162="crwv")*(In!$I$150:$I$162="ant")*((In!$J$150:$J$162="比")*$M52+(In!$J$150:$J$162&lt;&gt;"比"))*In!M$150:M$162)</f>
        <v>0</v>
      </c>
      <c r="F52" s="24" t="n">
        <f aca="false">SUMPRODUCT((In!$H$150:$H$162="crwv")*(In!$I$150:$I$162="xai")*((In!$J$150:$J$162="比")*$M52+(In!$J$150:$J$162&lt;&gt;"比"))*In!M$150:M$162)</f>
        <v>0</v>
      </c>
      <c r="G52" s="24" t="n">
        <f aca="false">SUMPRODUCT((In!$H$150:$H$162="crwv")*(In!$I$150:$I$162="meta")*((In!$J$150:$J$162="比")*$M52+(In!$J$150:$J$162&lt;&gt;"比"))*In!M$150:M$162)</f>
        <v>0</v>
      </c>
      <c r="H52" s="24" t="n">
        <f aca="false">SUMPRODUCT((In!$H$150:$H$162="crwv")*(In!$I$150:$I$162="googl")*((In!$J$150:$J$162="比")*$M52+(In!$J$150:$J$162&lt;&gt;"比"))*In!M$150:M$162)</f>
        <v>0</v>
      </c>
      <c r="I52" s="24" t="n">
        <f aca="false">SUMPRODUCT((In!$H$150:$H$162="crwv")*(In!$I$150:$I$162="msft")*((In!$J$150:$J$162="比")*$M52+(In!$J$150:$J$162&lt;&gt;"比"))*In!M$150:M$162)</f>
        <v>0</v>
      </c>
      <c r="J52" s="24" t="n">
        <f aca="false">SUMPRODUCT((In!$H$150:$H$162="crwv")*(In!$I$150:$I$162="oth")*((In!$J$150:$J$162="比")*$M52+(In!$J$150:$J$162&lt;&gt;"比"))*In!M$150:M$162)</f>
        <v>0</v>
      </c>
      <c r="K52" s="24" t="n">
        <f aca="false">$M52-SUM(C52:J52)</f>
        <v>3.3875</v>
      </c>
      <c r="L52" s="24" t="n">
        <f aca="false">SUM(C52:K52)</f>
        <v>3.3875</v>
      </c>
      <c r="M52" s="27" t="n">
        <f aca="false">N(Players!H125)</f>
        <v>3.3875</v>
      </c>
      <c r="N52" s="28" t="n">
        <f aca="false">L52-M52</f>
        <v>0</v>
      </c>
    </row>
    <row r="53" customFormat="false" ht="15" hidden="false" customHeight="false" outlineLevel="0" collapsed="false">
      <c r="A53" s="0" t="s">
        <v>975</v>
      </c>
      <c r="B53" s="0" t="s">
        <v>584</v>
      </c>
      <c r="C53" s="24" t="n">
        <f aca="false">SUMPRODUCT((In!$H$150:$H$162="nbis")*(In!$I$150:$I$162="self")*((In!$J$150:$J$162="比")*$M53+(In!$J$150:$J$162&lt;&gt;"比"))*In!M$150:M$162)</f>
        <v>0</v>
      </c>
      <c r="D53" s="24" t="n">
        <f aca="false">SUMPRODUCT((In!$H$150:$H$162="nbis")*(In!$I$150:$I$162="oai")*((In!$J$150:$J$162="比")*$M53+(In!$J$150:$J$162&lt;&gt;"比"))*In!M$150:M$162)</f>
        <v>0</v>
      </c>
      <c r="E53" s="24" t="n">
        <f aca="false">SUMPRODUCT((In!$H$150:$H$162="nbis")*(In!$I$150:$I$162="ant")*((In!$J$150:$J$162="比")*$M53+(In!$J$150:$J$162&lt;&gt;"比"))*In!M$150:M$162)</f>
        <v>0</v>
      </c>
      <c r="F53" s="24" t="n">
        <f aca="false">SUMPRODUCT((In!$H$150:$H$162="nbis")*(In!$I$150:$I$162="xai")*((In!$J$150:$J$162="比")*$M53+(In!$J$150:$J$162&lt;&gt;"比"))*In!M$150:M$162)</f>
        <v>0</v>
      </c>
      <c r="G53" s="24" t="n">
        <f aca="false">SUMPRODUCT((In!$H$150:$H$162="nbis")*(In!$I$150:$I$162="meta")*((In!$J$150:$J$162="比")*$M53+(In!$J$150:$J$162&lt;&gt;"比"))*In!M$150:M$162)</f>
        <v>0</v>
      </c>
      <c r="H53" s="24" t="n">
        <f aca="false">SUMPRODUCT((In!$H$150:$H$162="nbis")*(In!$I$150:$I$162="googl")*((In!$J$150:$J$162="比")*$M53+(In!$J$150:$J$162&lt;&gt;"比"))*In!M$150:M$162)</f>
        <v>0</v>
      </c>
      <c r="I53" s="24" t="n">
        <f aca="false">SUMPRODUCT((In!$H$150:$H$162="nbis")*(In!$I$150:$I$162="msft")*((In!$J$150:$J$162="比")*$M53+(In!$J$150:$J$162&lt;&gt;"比"))*In!M$150:M$162)</f>
        <v>0</v>
      </c>
      <c r="J53" s="24" t="n">
        <f aca="false">SUMPRODUCT((In!$H$150:$H$162="nbis")*(In!$I$150:$I$162="oth")*((In!$J$150:$J$162="比")*$M53+(In!$J$150:$J$162&lt;&gt;"比"))*In!M$150:M$162)</f>
        <v>0</v>
      </c>
      <c r="K53" s="24" t="n">
        <f aca="false">$M53-SUM(C53:J53)</f>
        <v>0.9</v>
      </c>
      <c r="L53" s="24" t="n">
        <f aca="false">SUM(C53:K53)</f>
        <v>0.9</v>
      </c>
      <c r="M53" s="27" t="n">
        <f aca="false">N(Players!H144)</f>
        <v>0.9</v>
      </c>
      <c r="N53" s="28" t="n">
        <f aca="false">L53-M53</f>
        <v>0</v>
      </c>
    </row>
    <row r="54" customFormat="false" ht="17.15" hidden="false" customHeight="false" outlineLevel="0" collapsed="false">
      <c r="A54" s="0" t="s">
        <v>1186</v>
      </c>
      <c r="B54" s="0" t="s">
        <v>995</v>
      </c>
      <c r="C54" s="24" t="n">
        <f aca="false">SUMPRODUCT((In!$H$150:$H$162="wyfi")*(In!$I$150:$I$162="self")*((In!$J$150:$J$162="比")*$M54+(In!$J$150:$J$162&lt;&gt;"比"))*In!M$150:M$162)</f>
        <v>0</v>
      </c>
      <c r="D54" s="24" t="n">
        <f aca="false">SUMPRODUCT((In!$H$150:$H$162="wyfi")*(In!$I$150:$I$162="oai")*((In!$J$150:$J$162="比")*$M54+(In!$J$150:$J$162&lt;&gt;"比"))*In!M$150:M$162)</f>
        <v>0</v>
      </c>
      <c r="E54" s="24" t="n">
        <f aca="false">SUMPRODUCT((In!$H$150:$H$162="wyfi")*(In!$I$150:$I$162="ant")*((In!$J$150:$J$162="比")*$M54+(In!$J$150:$J$162&lt;&gt;"比"))*In!M$150:M$162)</f>
        <v>0</v>
      </c>
      <c r="F54" s="24" t="n">
        <f aca="false">SUMPRODUCT((In!$H$150:$H$162="wyfi")*(In!$I$150:$I$162="xai")*((In!$J$150:$J$162="比")*$M54+(In!$J$150:$J$162&lt;&gt;"比"))*In!M$150:M$162)</f>
        <v>0</v>
      </c>
      <c r="G54" s="24" t="n">
        <f aca="false">SUMPRODUCT((In!$H$150:$H$162="wyfi")*(In!$I$150:$I$162="meta")*((In!$J$150:$J$162="比")*$M54+(In!$J$150:$J$162&lt;&gt;"比"))*In!M$150:M$162)</f>
        <v>0</v>
      </c>
      <c r="H54" s="24" t="n">
        <f aca="false">SUMPRODUCT((In!$H$150:$H$162="wyfi")*(In!$I$150:$I$162="googl")*((In!$J$150:$J$162="比")*$M54+(In!$J$150:$J$162&lt;&gt;"比"))*In!M$150:M$162)</f>
        <v>0</v>
      </c>
      <c r="I54" s="24" t="n">
        <f aca="false">SUMPRODUCT((In!$H$150:$H$162="wyfi")*(In!$I$150:$I$162="msft")*((In!$J$150:$J$162="比")*$M54+(In!$J$150:$J$162&lt;&gt;"比"))*In!M$150:M$162)</f>
        <v>0</v>
      </c>
      <c r="J54" s="24" t="n">
        <f aca="false">SUMPRODUCT((In!$H$150:$H$162="wyfi")*(In!$I$150:$I$162="oth")*((In!$J$150:$J$162="比")*$M54+(In!$J$150:$J$162&lt;&gt;"比"))*In!M$150:M$162)</f>
        <v>0</v>
      </c>
      <c r="K54" s="24" t="n">
        <f aca="false">$M54-SUM(C54:J54)</f>
        <v>0.016548</v>
      </c>
      <c r="L54" s="24" t="n">
        <f aca="false">SUM(C54:K54)</f>
        <v>0.016548</v>
      </c>
      <c r="M54" s="27" t="n">
        <f aca="false">N(Players!H163)</f>
        <v>0.016548</v>
      </c>
      <c r="N54" s="28" t="n">
        <f aca="false">L54-M54</f>
        <v>0</v>
      </c>
    </row>
    <row r="55" customFormat="false" ht="17.15" hidden="false" customHeight="false" outlineLevel="0" collapsed="false">
      <c r="A55" s="0" t="s">
        <v>1187</v>
      </c>
      <c r="B55" s="0" t="s">
        <v>470</v>
      </c>
      <c r="C55" s="24" t="n">
        <f aca="false">SUMPRODUCT((In!$H$150:$H$162="xai")*(In!$I$150:$I$162="self")*((In!$J$150:$J$162="比")*$M55+(In!$J$150:$J$162&lt;&gt;"比"))*In!M$150:M$162)</f>
        <v>0</v>
      </c>
      <c r="D55" s="24" t="n">
        <f aca="false">SUMPRODUCT((In!$H$150:$H$162="xai")*(In!$I$150:$I$162="oai")*((In!$J$150:$J$162="比")*$M55+(In!$J$150:$J$162&lt;&gt;"比"))*In!M$150:M$162)</f>
        <v>0</v>
      </c>
      <c r="E55" s="24" t="n">
        <f aca="false">SUMPRODUCT((In!$H$150:$H$162="xai")*(In!$I$150:$I$162="ant")*((In!$J$150:$J$162="比")*$M55+(In!$J$150:$J$162&lt;&gt;"比"))*In!M$150:M$162)</f>
        <v>0</v>
      </c>
      <c r="F55" s="24" t="n">
        <f aca="false">SUMPRODUCT((In!$H$150:$H$162="xai")*(In!$I$150:$I$162="xai")*((In!$J$150:$J$162="比")*$M55+(In!$J$150:$J$162&lt;&gt;"比"))*In!M$150:M$162)</f>
        <v>0</v>
      </c>
      <c r="G55" s="24" t="n">
        <f aca="false">SUMPRODUCT((In!$H$150:$H$162="xai")*(In!$I$150:$I$162="meta")*((In!$J$150:$J$162="比")*$M55+(In!$J$150:$J$162&lt;&gt;"比"))*In!M$150:M$162)</f>
        <v>0</v>
      </c>
      <c r="H55" s="24" t="n">
        <f aca="false">SUMPRODUCT((In!$H$150:$H$162="xai")*(In!$I$150:$I$162="googl")*((In!$J$150:$J$162="比")*$M55+(In!$J$150:$J$162&lt;&gt;"比"))*In!M$150:M$162)</f>
        <v>0.19</v>
      </c>
      <c r="I55" s="24" t="n">
        <f aca="false">SUMPRODUCT((In!$H$150:$H$162="xai")*(In!$I$150:$I$162="msft")*((In!$J$150:$J$162="比")*$M55+(In!$J$150:$J$162&lt;&gt;"比"))*In!M$150:M$162)</f>
        <v>0</v>
      </c>
      <c r="J55" s="24" t="n">
        <f aca="false">SUMPRODUCT((In!$H$150:$H$162="xai")*(In!$I$150:$I$162="oth")*((In!$J$150:$J$162="比")*$M55+(In!$J$150:$J$162&lt;&gt;"比"))*In!M$150:M$162)</f>
        <v>0</v>
      </c>
      <c r="K55" s="24" t="n">
        <f aca="false">$M55-SUM(C55:J55)</f>
        <v>1.81</v>
      </c>
      <c r="L55" s="24" t="n">
        <f aca="false">SUM(C55:K55)</f>
        <v>2</v>
      </c>
      <c r="M55" s="27" t="n">
        <f aca="false">N(Players!H182)</f>
        <v>2</v>
      </c>
      <c r="N55" s="28" t="n">
        <f aca="false">L55-M55</f>
        <v>0</v>
      </c>
    </row>
    <row r="56" customFormat="false" ht="17.15" hidden="false" customHeight="false" outlineLevel="0" collapsed="false">
      <c r="A56" s="0" t="s">
        <v>1188</v>
      </c>
      <c r="B56" s="0" t="s">
        <v>466</v>
      </c>
      <c r="C56" s="24" t="n">
        <f aca="false">SUMPRODUCT((In!$H$150:$H$162="oai")*(In!$I$150:$I$162="self")*((In!$J$150:$J$162="比")*$M56+(In!$J$150:$J$162&lt;&gt;"比"))*In!M$150:M$162)</f>
        <v>0</v>
      </c>
      <c r="D56" s="24" t="n">
        <f aca="false">SUMPRODUCT((In!$H$150:$H$162="oai")*(In!$I$150:$I$162="oai")*((In!$J$150:$J$162="比")*$M56+(In!$J$150:$J$162&lt;&gt;"比"))*In!M$150:M$162)</f>
        <v>0</v>
      </c>
      <c r="E56" s="24" t="n">
        <f aca="false">SUMPRODUCT((In!$H$150:$H$162="oai")*(In!$I$150:$I$162="ant")*((In!$J$150:$J$162="比")*$M56+(In!$J$150:$J$162&lt;&gt;"比"))*In!M$150:M$162)</f>
        <v>0</v>
      </c>
      <c r="F56" s="24" t="n">
        <f aca="false">SUMPRODUCT((In!$H$150:$H$162="oai")*(In!$I$150:$I$162="xai")*((In!$J$150:$J$162="比")*$M56+(In!$J$150:$J$162&lt;&gt;"比"))*In!M$150:M$162)</f>
        <v>0</v>
      </c>
      <c r="G56" s="24" t="n">
        <f aca="false">SUMPRODUCT((In!$H$150:$H$162="oai")*(In!$I$150:$I$162="meta")*((In!$J$150:$J$162="比")*$M56+(In!$J$150:$J$162&lt;&gt;"比"))*In!M$150:M$162)</f>
        <v>0</v>
      </c>
      <c r="H56" s="24" t="n">
        <f aca="false">SUMPRODUCT((In!$H$150:$H$162="oai")*(In!$I$150:$I$162="googl")*((In!$J$150:$J$162="比")*$M56+(In!$J$150:$J$162&lt;&gt;"比"))*In!M$150:M$162)</f>
        <v>0</v>
      </c>
      <c r="I56" s="24" t="n">
        <f aca="false">SUMPRODUCT((In!$H$150:$H$162="oai")*(In!$I$150:$I$162="msft")*((In!$J$150:$J$162="比")*$M56+(In!$J$150:$J$162&lt;&gt;"比"))*In!M$150:M$162)</f>
        <v>0</v>
      </c>
      <c r="J56" s="24" t="n">
        <f aca="false">SUMPRODUCT((In!$H$150:$H$162="oai")*(In!$I$150:$I$162="oth")*((In!$J$150:$J$162="比")*$M56+(In!$J$150:$J$162&lt;&gt;"比"))*In!M$150:M$162)</f>
        <v>0</v>
      </c>
      <c r="K56" s="24" t="n">
        <f aca="false">$M56-SUM(C56:J56)</f>
        <v>0</v>
      </c>
      <c r="L56" s="24" t="n">
        <f aca="false">SUM(C56:K56)</f>
        <v>0</v>
      </c>
      <c r="M56" s="27" t="n">
        <f aca="false">N(Players!H201)</f>
        <v>0</v>
      </c>
      <c r="N56" s="28" t="n">
        <f aca="false">L56-M56</f>
        <v>0</v>
      </c>
    </row>
    <row r="57" customFormat="false" ht="17.15" hidden="false" customHeight="false" outlineLevel="0" collapsed="false">
      <c r="A57" s="0" t="s">
        <v>1189</v>
      </c>
      <c r="B57" s="0" t="s">
        <v>450</v>
      </c>
      <c r="C57" s="24" t="n">
        <f aca="false">SUMPRODUCT((In!$H$150:$H$162="ant")*(In!$I$150:$I$162="self")*((In!$J$150:$J$162="比")*$M57+(In!$J$150:$J$162&lt;&gt;"比"))*In!M$150:M$162)</f>
        <v>0</v>
      </c>
      <c r="D57" s="24" t="n">
        <f aca="false">SUMPRODUCT((In!$H$150:$H$162="ant")*(In!$I$150:$I$162="oai")*((In!$J$150:$J$162="比")*$M57+(In!$J$150:$J$162&lt;&gt;"比"))*In!M$150:M$162)</f>
        <v>0</v>
      </c>
      <c r="E57" s="24" t="n">
        <f aca="false">SUMPRODUCT((In!$H$150:$H$162="ant")*(In!$I$150:$I$162="ant")*((In!$J$150:$J$162="比")*$M57+(In!$J$150:$J$162&lt;&gt;"比"))*In!M$150:M$162)</f>
        <v>0</v>
      </c>
      <c r="F57" s="24" t="n">
        <f aca="false">SUMPRODUCT((In!$H$150:$H$162="ant")*(In!$I$150:$I$162="xai")*((In!$J$150:$J$162="比")*$M57+(In!$J$150:$J$162&lt;&gt;"比"))*In!M$150:M$162)</f>
        <v>0</v>
      </c>
      <c r="G57" s="24" t="n">
        <f aca="false">SUMPRODUCT((In!$H$150:$H$162="ant")*(In!$I$150:$I$162="meta")*((In!$J$150:$J$162="比")*$M57+(In!$J$150:$J$162&lt;&gt;"比"))*In!M$150:M$162)</f>
        <v>0</v>
      </c>
      <c r="H57" s="24" t="n">
        <f aca="false">SUMPRODUCT((In!$H$150:$H$162="ant")*(In!$I$150:$I$162="googl")*((In!$J$150:$J$162="比")*$M57+(In!$J$150:$J$162&lt;&gt;"比"))*In!M$150:M$162)</f>
        <v>0</v>
      </c>
      <c r="I57" s="24" t="n">
        <f aca="false">SUMPRODUCT((In!$H$150:$H$162="ant")*(In!$I$150:$I$162="msft")*((In!$J$150:$J$162="比")*$M57+(In!$J$150:$J$162&lt;&gt;"比"))*In!M$150:M$162)</f>
        <v>0</v>
      </c>
      <c r="J57" s="24" t="n">
        <f aca="false">SUMPRODUCT((In!$H$150:$H$162="ant")*(In!$I$150:$I$162="oth")*((In!$J$150:$J$162="比")*$M57+(In!$J$150:$J$162&lt;&gt;"比"))*In!M$150:M$162)</f>
        <v>0</v>
      </c>
      <c r="K57" s="24" t="n">
        <f aca="false">$M57-SUM(C57:J57)</f>
        <v>0</v>
      </c>
      <c r="L57" s="24" t="n">
        <f aca="false">SUM(C57:K57)</f>
        <v>0</v>
      </c>
      <c r="M57" s="27" t="n">
        <f aca="false">N(Players!H220)</f>
        <v>0</v>
      </c>
      <c r="N57" s="28" t="n">
        <f aca="false">L57-M57</f>
        <v>0</v>
      </c>
    </row>
    <row r="58" customFormat="false" ht="17.15" hidden="false" customHeight="false" outlineLevel="0" collapsed="false">
      <c r="A58" s="5" t="s">
        <v>1190</v>
      </c>
      <c r="B58" s="0" t="s">
        <v>480</v>
      </c>
      <c r="C58" s="24" t="n">
        <f aca="false">SUMPRODUCT((In!$H$150:$H$162="neo")*(In!$I$150:$I$162="self")*((In!$J$150:$J$162="比")*$M58+(In!$J$150:$J$162&lt;&gt;"比"))*In!M$150:M$162)</f>
        <v>0</v>
      </c>
      <c r="D58" s="24" t="n">
        <f aca="false">SUMPRODUCT((In!$H$150:$H$162="neo")*(In!$I$150:$I$162="oai")*((In!$J$150:$J$162="比")*$M58+(In!$J$150:$J$162&lt;&gt;"比"))*In!M$150:M$162)</f>
        <v>0</v>
      </c>
      <c r="E58" s="24" t="n">
        <f aca="false">SUMPRODUCT((In!$H$150:$H$162="neo")*(In!$I$150:$I$162="ant")*((In!$J$150:$J$162="比")*$M58+(In!$J$150:$J$162&lt;&gt;"比"))*In!M$150:M$162)</f>
        <v>0.2</v>
      </c>
      <c r="F58" s="24" t="n">
        <f aca="false">SUMPRODUCT((In!$H$150:$H$162="neo")*(In!$I$150:$I$162="xai")*((In!$J$150:$J$162="比")*$M58+(In!$J$150:$J$162&lt;&gt;"比"))*In!M$150:M$162)</f>
        <v>0</v>
      </c>
      <c r="G58" s="24" t="n">
        <f aca="false">SUMPRODUCT((In!$H$150:$H$162="neo")*(In!$I$150:$I$162="meta")*((In!$J$150:$J$162="比")*$M58+(In!$J$150:$J$162&lt;&gt;"比"))*In!M$150:M$162)</f>
        <v>0</v>
      </c>
      <c r="H58" s="24" t="n">
        <f aca="false">SUMPRODUCT((In!$H$150:$H$162="neo")*(In!$I$150:$I$162="googl")*((In!$J$150:$J$162="比")*$M58+(In!$J$150:$J$162&lt;&gt;"比"))*In!M$150:M$162)</f>
        <v>0</v>
      </c>
      <c r="I58" s="24" t="n">
        <f aca="false">SUMPRODUCT((In!$H$150:$H$162="neo")*(In!$I$150:$I$162="msft")*((In!$J$150:$J$162="比")*$M58+(In!$J$150:$J$162&lt;&gt;"比"))*In!M$150:M$162)</f>
        <v>0.2</v>
      </c>
      <c r="J58" s="24" t="n">
        <f aca="false">SUMPRODUCT((In!$H$150:$H$162="neo")*(In!$I$150:$I$162="oth")*((In!$J$150:$J$162="比")*$M58+(In!$J$150:$J$162&lt;&gt;"比"))*In!M$150:M$162)</f>
        <v>0</v>
      </c>
      <c r="K58" s="24" t="n">
        <f aca="false">$M58-SUM(C58:J58)</f>
        <v>1.6</v>
      </c>
      <c r="L58" s="24" t="n">
        <f aca="false">SUM(C58:K58)</f>
        <v>2</v>
      </c>
      <c r="M58" s="27" t="n">
        <f aca="false">N(Players!H239)</f>
        <v>2</v>
      </c>
      <c r="N58" s="28" t="n">
        <f aca="false">L58-M58</f>
        <v>0</v>
      </c>
    </row>
    <row r="59" customFormat="false" ht="17.15" hidden="false" customHeight="false" outlineLevel="0" collapsed="false">
      <c r="A59" s="5" t="s">
        <v>1191</v>
      </c>
      <c r="B59" s="0" t="s">
        <v>577</v>
      </c>
      <c r="C59" s="24" t="n">
        <f aca="false">SUMPRODUCT((In!$H$150:$H$162="sov")*(In!$I$150:$I$162="self")*((In!$J$150:$J$162="比")*$M59+(In!$J$150:$J$162&lt;&gt;"比"))*In!M$150:M$162)</f>
        <v>0</v>
      </c>
      <c r="D59" s="24" t="n">
        <f aca="false">SUMPRODUCT((In!$H$150:$H$162="sov")*(In!$I$150:$I$162="oai")*((In!$J$150:$J$162="比")*$M59+(In!$J$150:$J$162&lt;&gt;"比"))*In!M$150:M$162)</f>
        <v>0</v>
      </c>
      <c r="E59" s="24" t="n">
        <f aca="false">SUMPRODUCT((In!$H$150:$H$162="sov")*(In!$I$150:$I$162="ant")*((In!$J$150:$J$162="比")*$M59+(In!$J$150:$J$162&lt;&gt;"比"))*In!M$150:M$162)</f>
        <v>0</v>
      </c>
      <c r="F59" s="24" t="n">
        <f aca="false">SUMPRODUCT((In!$H$150:$H$162="sov")*(In!$I$150:$I$162="xai")*((In!$J$150:$J$162="比")*$M59+(In!$J$150:$J$162&lt;&gt;"比"))*In!M$150:M$162)</f>
        <v>0</v>
      </c>
      <c r="G59" s="24" t="n">
        <f aca="false">SUMPRODUCT((In!$H$150:$H$162="sov")*(In!$I$150:$I$162="meta")*((In!$J$150:$J$162="比")*$M59+(In!$J$150:$J$162&lt;&gt;"比"))*In!M$150:M$162)</f>
        <v>0</v>
      </c>
      <c r="H59" s="24" t="n">
        <f aca="false">SUMPRODUCT((In!$H$150:$H$162="sov")*(In!$I$150:$I$162="googl")*((In!$J$150:$J$162="比")*$M59+(In!$J$150:$J$162&lt;&gt;"比"))*In!M$150:M$162)</f>
        <v>0</v>
      </c>
      <c r="I59" s="24" t="n">
        <f aca="false">SUMPRODUCT((In!$H$150:$H$162="sov")*(In!$I$150:$I$162="msft")*((In!$J$150:$J$162="比")*$M59+(In!$J$150:$J$162&lt;&gt;"比"))*In!M$150:M$162)</f>
        <v>0</v>
      </c>
      <c r="J59" s="24" t="n">
        <f aca="false">SUMPRODUCT((In!$H$150:$H$162="sov")*(In!$I$150:$I$162="oth")*((In!$J$150:$J$162="比")*$M59+(In!$J$150:$J$162&lt;&gt;"比"))*In!M$150:M$162)</f>
        <v>0</v>
      </c>
      <c r="K59" s="24" t="n">
        <f aca="false">$M59-SUM(C59:J59)</f>
        <v>0.2</v>
      </c>
      <c r="L59" s="24" t="n">
        <f aca="false">SUM(C59:K59)</f>
        <v>0.2</v>
      </c>
      <c r="M59" s="27" t="n">
        <f aca="false">N(Players!H258)</f>
        <v>0.2</v>
      </c>
      <c r="N59" s="28" t="n">
        <f aca="false">L59-M59</f>
        <v>0</v>
      </c>
    </row>
    <row r="60" customFormat="false" ht="17.15" hidden="false" customHeight="false" outlineLevel="0" collapsed="false">
      <c r="A60" s="5" t="s">
        <v>1192</v>
      </c>
      <c r="B60" s="0" t="s">
        <v>487</v>
      </c>
      <c r="C60" s="24" t="n">
        <f aca="false">SUMPRODUCT((In!$H$150:$H$162="cn")*(In!$I$150:$I$162="self")*((In!$J$150:$J$162="比")*$M60+(In!$J$150:$J$162&lt;&gt;"比"))*In!M$150:M$162)</f>
        <v>13.6561711245072</v>
      </c>
      <c r="D60" s="24" t="n">
        <f aca="false">SUMPRODUCT((In!$H$150:$H$162="cn")*(In!$I$150:$I$162="oai")*((In!$J$150:$J$162="比")*$M60+(In!$J$150:$J$162&lt;&gt;"比"))*In!M$150:M$162)</f>
        <v>0</v>
      </c>
      <c r="E60" s="24" t="n">
        <f aca="false">SUMPRODUCT((In!$H$150:$H$162="cn")*(In!$I$150:$I$162="ant")*((In!$J$150:$J$162="比")*$M60+(In!$J$150:$J$162&lt;&gt;"比"))*In!M$150:M$162)</f>
        <v>0</v>
      </c>
      <c r="F60" s="24" t="n">
        <f aca="false">SUMPRODUCT((In!$H$150:$H$162="cn")*(In!$I$150:$I$162="xai")*((In!$J$150:$J$162="比")*$M60+(In!$J$150:$J$162&lt;&gt;"比"))*In!M$150:M$162)</f>
        <v>0</v>
      </c>
      <c r="G60" s="24" t="n">
        <f aca="false">SUMPRODUCT((In!$H$150:$H$162="cn")*(In!$I$150:$I$162="meta")*((In!$J$150:$J$162="比")*$M60+(In!$J$150:$J$162&lt;&gt;"比"))*In!M$150:M$162)</f>
        <v>0</v>
      </c>
      <c r="H60" s="24" t="n">
        <f aca="false">SUMPRODUCT((In!$H$150:$H$162="cn")*(In!$I$150:$I$162="googl")*((In!$J$150:$J$162="比")*$M60+(In!$J$150:$J$162&lt;&gt;"比"))*In!M$150:M$162)</f>
        <v>0</v>
      </c>
      <c r="I60" s="24" t="n">
        <f aca="false">SUMPRODUCT((In!$H$150:$H$162="cn")*(In!$I$150:$I$162="msft")*((In!$J$150:$J$162="比")*$M60+(In!$J$150:$J$162&lt;&gt;"比"))*In!M$150:M$162)</f>
        <v>0</v>
      </c>
      <c r="J60" s="24" t="n">
        <f aca="false">SUMPRODUCT((In!$H$150:$H$162="cn")*(In!$I$150:$I$162="oth")*((In!$J$150:$J$162="比")*$M60+(In!$J$150:$J$162&lt;&gt;"比"))*In!M$150:M$162)</f>
        <v>0</v>
      </c>
      <c r="K60" s="24" t="n">
        <f aca="false">$M60-SUM(C60:J60)</f>
        <v>0</v>
      </c>
      <c r="L60" s="24" t="n">
        <f aca="false">SUM(C60:K60)</f>
        <v>13.6561711245072</v>
      </c>
      <c r="M60" s="27" t="n">
        <f aca="false">N(Players!H277)</f>
        <v>13.6561711245072</v>
      </c>
      <c r="N60" s="28" t="n">
        <f aca="false">L60-M60</f>
        <v>0</v>
      </c>
    </row>
    <row r="61" customFormat="false" ht="17.15" hidden="false" customHeight="false" outlineLevel="0" collapsed="false">
      <c r="A61" s="5" t="s">
        <v>1193</v>
      </c>
      <c r="B61" s="0" t="s">
        <v>1129</v>
      </c>
      <c r="C61" s="24" t="n">
        <f aca="false">SUMPRODUCT((In!$H$150:$H$162="oth")*(In!$I$150:$I$162="self")*((In!$J$150:$J$162="比")*$M61+(In!$J$150:$J$162&lt;&gt;"比"))*In!M$150:M$162)</f>
        <v>0</v>
      </c>
      <c r="D61" s="24" t="n">
        <f aca="false">SUMPRODUCT((In!$H$150:$H$162="oth")*(In!$I$150:$I$162="oai")*((In!$J$150:$J$162="比")*$M61+(In!$J$150:$J$162&lt;&gt;"比"))*In!M$150:M$162)</f>
        <v>0</v>
      </c>
      <c r="E61" s="24" t="n">
        <f aca="false">SUMPRODUCT((In!$H$150:$H$162="oth")*(In!$I$150:$I$162="ant")*((In!$J$150:$J$162="比")*$M61+(In!$J$150:$J$162&lt;&gt;"比"))*In!M$150:M$162)</f>
        <v>0</v>
      </c>
      <c r="F61" s="24" t="n">
        <f aca="false">SUMPRODUCT((In!$H$150:$H$162="oth")*(In!$I$150:$I$162="xai")*((In!$J$150:$J$162="比")*$M61+(In!$J$150:$J$162&lt;&gt;"比"))*In!M$150:M$162)</f>
        <v>0</v>
      </c>
      <c r="G61" s="24" t="n">
        <f aca="false">SUMPRODUCT((In!$H$150:$H$162="oth")*(In!$I$150:$I$162="meta")*((In!$J$150:$J$162="比")*$M61+(In!$J$150:$J$162&lt;&gt;"比"))*In!M$150:M$162)</f>
        <v>0</v>
      </c>
      <c r="H61" s="24" t="n">
        <f aca="false">SUMPRODUCT((In!$H$150:$H$162="oth")*(In!$I$150:$I$162="googl")*((In!$J$150:$J$162="比")*$M61+(In!$J$150:$J$162&lt;&gt;"比"))*In!M$150:M$162)</f>
        <v>0</v>
      </c>
      <c r="I61" s="24" t="n">
        <f aca="false">SUMPRODUCT((In!$H$150:$H$162="oth")*(In!$I$150:$I$162="msft")*((In!$J$150:$J$162="比")*$M61+(In!$J$150:$J$162&lt;&gt;"比"))*In!M$150:M$162)</f>
        <v>0</v>
      </c>
      <c r="J61" s="24" t="n">
        <f aca="false">SUMPRODUCT((In!$H$150:$H$162="oth")*(In!$I$150:$I$162="oth")*((In!$J$150:$J$162="比")*$M61+(In!$J$150:$J$162&lt;&gt;"比"))*In!M$150:M$162)</f>
        <v>0</v>
      </c>
      <c r="K61" s="24" t="n">
        <f aca="false">$M61-SUM(C61:J61)</f>
        <v>1</v>
      </c>
      <c r="L61" s="24" t="n">
        <f aca="false">SUM(C61:K61)</f>
        <v>1</v>
      </c>
      <c r="M61" s="27" t="n">
        <f aca="false">N(Players!H296)</f>
        <v>1</v>
      </c>
      <c r="N61" s="28" t="n">
        <f aca="false">L61-M61</f>
        <v>0</v>
      </c>
    </row>
    <row r="62" customFormat="false" ht="15" hidden="false" customHeight="false" outlineLevel="0" collapsed="false">
      <c r="A62" s="21" t="s">
        <v>1194</v>
      </c>
      <c r="C62" s="24" t="n">
        <f aca="false">SUM(C47:C61)</f>
        <v>20.2764465139153</v>
      </c>
      <c r="D62" s="24" t="n">
        <f aca="false">SUM(D47:D61)</f>
        <v>0.991</v>
      </c>
      <c r="E62" s="24" t="n">
        <f aca="false">SUM(E47:E61)</f>
        <v>2.237</v>
      </c>
      <c r="F62" s="24" t="n">
        <f aca="false">SUM(F47:F61)</f>
        <v>0</v>
      </c>
      <c r="G62" s="24" t="n">
        <f aca="false">SUM(G47:G61)</f>
        <v>3.344595</v>
      </c>
      <c r="H62" s="24" t="n">
        <f aca="false">SUM(H47:H61)</f>
        <v>0.19</v>
      </c>
      <c r="I62" s="24" t="n">
        <f aca="false">SUM(I47:I61)</f>
        <v>0.2</v>
      </c>
      <c r="J62" s="24" t="n">
        <f aca="false">SUM(J47:J61)</f>
        <v>0</v>
      </c>
      <c r="K62" s="24" t="n">
        <f aca="false">SUM(K47:K61)</f>
        <v>15.9011184049844</v>
      </c>
      <c r="L62" s="24" t="n">
        <f aca="false">SUM(L47:L61)</f>
        <v>43.1401599188997</v>
      </c>
      <c r="M62" s="24" t="n">
        <f aca="false">SUM(M47:M61)</f>
        <v>43.1401599188997</v>
      </c>
      <c r="N62" s="24" t="n">
        <f aca="false">SUM(N47:N61)</f>
        <v>0</v>
      </c>
    </row>
    <row r="63" customFormat="false" ht="17.15" hidden="false" customHeight="false" outlineLevel="0" collapsed="false">
      <c r="A63" s="5" t="s">
        <v>1195</v>
      </c>
      <c r="D63" s="24" t="n">
        <f aca="false">IF(In!L136="","",IF(In!$C$136="設施",In!L136/Players!H$13,In!L136))</f>
        <v>11</v>
      </c>
      <c r="L63" s="29" t="n">
        <f aca="false">IF(OR(D63="",N(D63)=0),"",D62/D63)</f>
        <v>0.0900909090909091</v>
      </c>
      <c r="M63" s="5" t="s">
        <v>1196</v>
      </c>
    </row>
    <row r="64" customFormat="false" ht="17.15" hidden="false" customHeight="false" outlineLevel="0" collapsed="false">
      <c r="A64" s="5" t="s">
        <v>1197</v>
      </c>
      <c r="E64" s="24" t="n">
        <f aca="false">IF(In!L137="","",IF(In!$C$137="設施",In!L137/Players!H$13,In!L137))</f>
        <v>10</v>
      </c>
      <c r="L64" s="29" t="n">
        <f aca="false">IF(OR(E64="",N(E64)=0),"",E62/E64)</f>
        <v>0.2237</v>
      </c>
      <c r="M64" s="5" t="s">
        <v>1196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19" min="3" style="0" width="9"/>
  </cols>
  <sheetData>
    <row r="1" customFormat="false" ht="17.15" hidden="false" customHeight="false" outlineLevel="0" collapsed="false">
      <c r="A1" s="0" t="s">
        <v>1200</v>
      </c>
    </row>
    <row r="3" customFormat="false" ht="17.15" hidden="false" customHeight="false" outlineLevel="0" collapsed="false">
      <c r="A3" s="8" t="s">
        <v>1201</v>
      </c>
    </row>
    <row r="4" customFormat="false" ht="17.15" hidden="false" customHeight="false" outlineLevel="0" collapsed="false">
      <c r="A4" s="6" t="s">
        <v>1202</v>
      </c>
      <c r="B4" s="6" t="s">
        <v>1203</v>
      </c>
      <c r="C4" s="6" t="s">
        <v>434</v>
      </c>
      <c r="D4" s="6" t="s">
        <v>435</v>
      </c>
      <c r="E4" s="7" t="s">
        <v>110</v>
      </c>
      <c r="F4" s="6" t="s">
        <v>14</v>
      </c>
      <c r="G4" s="6" t="s">
        <v>493</v>
      </c>
      <c r="H4" s="6" t="s">
        <v>490</v>
      </c>
      <c r="I4" s="6" t="s">
        <v>491</v>
      </c>
      <c r="J4" s="6" t="s">
        <v>492</v>
      </c>
      <c r="K4" s="7" t="s">
        <v>1204</v>
      </c>
      <c r="L4" s="7" t="s">
        <v>1205</v>
      </c>
      <c r="M4" s="7" t="s">
        <v>1206</v>
      </c>
      <c r="N4" s="7" t="s">
        <v>1207</v>
      </c>
      <c r="O4" s="7" t="s">
        <v>1208</v>
      </c>
      <c r="P4" s="7" t="s">
        <v>1209</v>
      </c>
      <c r="Q4" s="6" t="s">
        <v>1210</v>
      </c>
      <c r="R4" s="7" t="s">
        <v>1211</v>
      </c>
      <c r="S4" s="6" t="s">
        <v>494</v>
      </c>
    </row>
    <row r="5" customFormat="false" ht="15" hidden="false" customHeight="false" outlineLevel="0" collapsed="false">
      <c r="A5" s="0" t="s">
        <v>495</v>
      </c>
      <c r="B5" s="19" t="str">
        <f aca="false">In!B166</f>
        <v>Fairwater Atlanta</v>
      </c>
      <c r="C5" s="19" t="str">
        <f aca="false">IF(In!H166="","",In!H166)</f>
        <v>msft</v>
      </c>
      <c r="D5" s="19" t="str">
        <f aca="false">IF(In!I166="","",In!I166)</f>
        <v/>
      </c>
      <c r="E5" s="19" t="n">
        <f aca="false">IF(In!J166="","",In!J166)</f>
        <v>636</v>
      </c>
      <c r="F5" s="19" t="str">
        <f aca="false">In!C166</f>
        <v>IT</v>
      </c>
      <c r="G5" s="19" t="n">
        <f aca="false">IF(In!N166="","",In!N166)</f>
        <v>1</v>
      </c>
      <c r="H5" s="19" t="n">
        <f aca="false">IF(In!K166="","",In!K166)</f>
        <v>2025</v>
      </c>
      <c r="I5" s="19" t="n">
        <f aca="false">IF(In!L166="","",In!L166)</f>
        <v>11</v>
      </c>
      <c r="J5" s="19" t="n">
        <f aca="false">N(In!M166)</f>
        <v>0</v>
      </c>
      <c r="K5" s="24" t="n">
        <f aca="false">IF(OR(H5="",I5=""),9999,H5+I5/12)</f>
        <v>2025.91666666667</v>
      </c>
      <c r="L5" s="24" t="n">
        <f aca="false">IF(E5="",0,IF(F5="設施",E5/1000/INDEX(Players!$D$13:$M$13,1,MAX(1,MIN(10,H5-2022))),E5/1000*g_ITtoFac))</f>
        <v>0.636</v>
      </c>
      <c r="M5" s="24" t="n">
        <f aca="false">K5</f>
        <v>2025.91666666667</v>
      </c>
      <c r="N5" s="24" t="n">
        <f aca="false">IF(K5&gt;asof,K5+N(J5)/12,K5)</f>
        <v>2025.91666666667</v>
      </c>
      <c r="O5" s="24" t="n">
        <f aca="false">IF(K5&gt;asof,K5+IF(N(J5)&gt;0,N(J5),dly_d1_m)/12,K5)</f>
        <v>2025.91666666667</v>
      </c>
      <c r="P5" s="20" t="n">
        <f aca="false">IF(K5=9999,"",ROUNDUP(K5,0)-1)</f>
        <v>2025</v>
      </c>
      <c r="Q5" s="20" t="n">
        <f aca="false">IF(AND(N(G5)=1,K5&lt;9999,L5&gt;0),1,0)</f>
        <v>1</v>
      </c>
      <c r="R5" s="20" t="n">
        <f aca="false">IF(AND(K5&gt;asof,K5&lt;9999,N(S5)&lt;&gt;1,P5&gt;=dly_d2_y0,P5&lt;=dly_d2_y1),1,0)</f>
        <v>0</v>
      </c>
      <c r="S5" s="19" t="n">
        <f aca="false">IF(In!O166="","",In!O166)</f>
        <v>0</v>
      </c>
    </row>
    <row r="6" customFormat="false" ht="17.15" hidden="false" customHeight="false" outlineLevel="0" collapsed="false">
      <c r="A6" s="0" t="s">
        <v>498</v>
      </c>
      <c r="B6" s="19" t="str">
        <f aca="false">In!B167</f>
        <v>Fairwater Wisconsin 一期</v>
      </c>
      <c r="C6" s="19" t="str">
        <f aca="false">IF(In!H167="","",In!H167)</f>
        <v>msft</v>
      </c>
      <c r="D6" s="19" t="str">
        <f aca="false">IF(In!I167="","",In!I167)</f>
        <v/>
      </c>
      <c r="E6" s="19" t="n">
        <f aca="false">IF(In!J167="","",In!J167)</f>
        <v>369</v>
      </c>
      <c r="F6" s="19" t="str">
        <f aca="false">In!C167</f>
        <v>IT</v>
      </c>
      <c r="G6" s="19" t="n">
        <f aca="false">IF(In!N167="","",In!N167)</f>
        <v>1</v>
      </c>
      <c r="H6" s="19" t="n">
        <f aca="false">IF(In!K167="","",In!K167)</f>
        <v>2026</v>
      </c>
      <c r="I6" s="19" t="n">
        <f aca="false">IF(In!L167="","",In!L167)</f>
        <v>6</v>
      </c>
      <c r="J6" s="19" t="n">
        <f aca="false">N(In!M167)</f>
        <v>0</v>
      </c>
      <c r="K6" s="24" t="n">
        <f aca="false">IF(OR(H6="",I6=""),9999,H6+I6/12)</f>
        <v>2026.5</v>
      </c>
      <c r="L6" s="24" t="n">
        <f aca="false">IF(E6="",0,IF(F6="設施",E6/1000/INDEX(Players!$D$13:$M$13,1,MAX(1,MIN(10,H6-2022))),E6/1000*g_ITtoFac))</f>
        <v>0.369</v>
      </c>
      <c r="M6" s="24" t="n">
        <f aca="false">K6</f>
        <v>2026.5</v>
      </c>
      <c r="N6" s="24" t="n">
        <f aca="false">IF(K6&gt;asof,K6+N(J6)/12,K6)</f>
        <v>2026.5</v>
      </c>
      <c r="O6" s="24" t="n">
        <f aca="false">IF(K6&gt;asof,K6+IF(N(J6)&gt;0,N(J6),dly_d1_m)/12,K6)</f>
        <v>2026.5</v>
      </c>
      <c r="P6" s="20" t="n">
        <f aca="false">IF(K6=9999,"",ROUNDUP(K6,0)-1)</f>
        <v>2026</v>
      </c>
      <c r="Q6" s="20" t="n">
        <f aca="false">IF(AND(N(G6)=1,K6&lt;9999,L6&gt;0),1,0)</f>
        <v>1</v>
      </c>
      <c r="R6" s="20" t="n">
        <f aca="false">IF(AND(K6&gt;asof,K6&lt;9999,N(S6)&lt;&gt;1,P6&gt;=dly_d2_y0,P6&lt;=dly_d2_y1),1,0)</f>
        <v>0</v>
      </c>
      <c r="S6" s="19" t="n">
        <f aca="false">IF(In!O167="","",In!O167)</f>
        <v>0</v>
      </c>
    </row>
    <row r="7" customFormat="false" ht="17.15" hidden="false" customHeight="false" outlineLevel="0" collapsed="false">
      <c r="A7" s="0" t="s">
        <v>501</v>
      </c>
      <c r="B7" s="19" t="str">
        <f aca="false">In!B168</f>
        <v>Fairwater Wisconsin 全站餘量（2,263 − 369）</v>
      </c>
      <c r="C7" s="19" t="str">
        <f aca="false">IF(In!H168="","",In!H168)</f>
        <v>msft</v>
      </c>
      <c r="D7" s="19" t="str">
        <f aca="false">IF(In!I168="","",In!I168)</f>
        <v/>
      </c>
      <c r="E7" s="19" t="n">
        <f aca="false">IF(In!J168="","",In!J168)</f>
        <v>1894</v>
      </c>
      <c r="F7" s="19" t="str">
        <f aca="false">In!C168</f>
        <v>IT</v>
      </c>
      <c r="G7" s="19" t="n">
        <f aca="false">IF(In!N168="","",In!N168)</f>
        <v>1</v>
      </c>
      <c r="H7" s="19" t="n">
        <f aca="false">IF(In!K168="","",In!K168)</f>
        <v>2028</v>
      </c>
      <c r="I7" s="19" t="n">
        <f aca="false">IF(In!L168="","",In!L168)</f>
        <v>5</v>
      </c>
      <c r="J7" s="19" t="n">
        <f aca="false">N(In!M168)</f>
        <v>0</v>
      </c>
      <c r="K7" s="24" t="n">
        <f aca="false">IF(OR(H7="",I7=""),9999,H7+I7/12)</f>
        <v>2028.41666666667</v>
      </c>
      <c r="L7" s="24" t="n">
        <f aca="false">IF(E7="",0,IF(F7="設施",E7/1000/INDEX(Players!$D$13:$M$13,1,MAX(1,MIN(10,H7-2022))),E7/1000*g_ITtoFac))</f>
        <v>1.894</v>
      </c>
      <c r="M7" s="24" t="n">
        <f aca="false">K7</f>
        <v>2028.41666666667</v>
      </c>
      <c r="N7" s="24" t="n">
        <f aca="false">IF(K7&gt;asof,K7+N(J7)/12,K7)</f>
        <v>2028.41666666667</v>
      </c>
      <c r="O7" s="24" t="n">
        <f aca="false">IF(K7&gt;asof,K7+IF(N(J7)&gt;0,N(J7),dly_d1_m)/12,K7)</f>
        <v>2028.91666666667</v>
      </c>
      <c r="P7" s="20" t="n">
        <f aca="false">IF(K7=9999,"",ROUNDUP(K7,0)-1)</f>
        <v>2028</v>
      </c>
      <c r="Q7" s="20" t="n">
        <f aca="false">IF(AND(N(G7)=1,K7&lt;9999,L7&gt;0),1,0)</f>
        <v>1</v>
      </c>
      <c r="R7" s="20" t="n">
        <f aca="false">IF(AND(K7&gt;asof,K7&lt;9999,N(S7)&lt;&gt;1,P7&gt;=dly_d2_y0,P7&lt;=dly_d2_y1),1,0)</f>
        <v>1</v>
      </c>
      <c r="S7" s="19" t="n">
        <f aca="false">IF(In!O168="","",In!O168)</f>
        <v>0</v>
      </c>
    </row>
    <row r="8" customFormat="false" ht="17.15" hidden="false" customHeight="false" outlineLevel="0" collapsed="false">
      <c r="A8" s="0" t="s">
        <v>504</v>
      </c>
      <c r="B8" s="19" t="str">
        <f aca="false">In!B169</f>
        <v>Abilene 鄰近園區（Crusoe 開發、Microsoft 承租）</v>
      </c>
      <c r="C8" s="19" t="str">
        <f aca="false">IF(In!H169="","",In!H169)</f>
        <v>msft</v>
      </c>
      <c r="D8" s="19" t="str">
        <f aca="false">IF(In!I169="","",In!I169)</f>
        <v>self</v>
      </c>
      <c r="E8" s="19" t="n">
        <f aca="false">IF(In!J169="","",In!J169)</f>
        <v>900</v>
      </c>
      <c r="F8" s="19" t="str">
        <f aca="false">In!C169</f>
        <v>未說明</v>
      </c>
      <c r="G8" s="19" t="n">
        <f aca="false">IF(In!N169="","",In!N169)</f>
        <v>1</v>
      </c>
      <c r="H8" s="19" t="n">
        <f aca="false">IF(In!K169="","",In!K169)</f>
        <v>2027</v>
      </c>
      <c r="I8" s="19" t="n">
        <f aca="false">IF(In!L169="","",In!L169)</f>
        <v>6</v>
      </c>
      <c r="J8" s="19" t="n">
        <f aca="false">N(In!M169)</f>
        <v>0</v>
      </c>
      <c r="K8" s="24" t="n">
        <f aca="false">IF(OR(H8="",I8=""),9999,H8+I8/12)</f>
        <v>2027.5</v>
      </c>
      <c r="L8" s="24" t="n">
        <f aca="false">IF(E8="",0,IF(F8="設施",E8/1000/INDEX(Players!$D$13:$M$13,1,MAX(1,MIN(10,H8-2022))),E8/1000*g_ITtoFac))</f>
        <v>0.9</v>
      </c>
      <c r="M8" s="24" t="n">
        <f aca="false">K8</f>
        <v>2027.5</v>
      </c>
      <c r="N8" s="24" t="n">
        <f aca="false">IF(K8&gt;asof,K8+N(J8)/12,K8)</f>
        <v>2027.5</v>
      </c>
      <c r="O8" s="24" t="n">
        <f aca="false">IF(K8&gt;asof,K8+IF(N(J8)&gt;0,N(J8),dly_d1_m)/12,K8)</f>
        <v>2028</v>
      </c>
      <c r="P8" s="20" t="n">
        <f aca="false">IF(K8=9999,"",ROUNDUP(K8,0)-1)</f>
        <v>2027</v>
      </c>
      <c r="Q8" s="20" t="n">
        <f aca="false">IF(AND(N(G8)=1,K8&lt;9999,L8&gt;0),1,0)</f>
        <v>1</v>
      </c>
      <c r="R8" s="20" t="n">
        <f aca="false">IF(AND(K8&gt;asof,K8&lt;9999,N(S8)&lt;&gt;1,P8&gt;=dly_d2_y0,P8&lt;=dly_d2_y1),1,0)</f>
        <v>1</v>
      </c>
      <c r="S8" s="19" t="n">
        <f aca="false">IF(In!O169="","",In!O169)</f>
        <v>0</v>
      </c>
    </row>
    <row r="9" customFormat="false" ht="17.15" hidden="false" customHeight="false" outlineLevel="0" collapsed="false">
      <c r="A9" s="0" t="s">
        <v>507</v>
      </c>
      <c r="B9" s="19" t="str">
        <f aca="false">In!B170</f>
        <v>New Carlisle（Rainier）2026-03→10 增量</v>
      </c>
      <c r="C9" s="19" t="str">
        <f aca="false">IF(In!H170="","",In!H170)</f>
        <v>amzn</v>
      </c>
      <c r="D9" s="19" t="str">
        <f aca="false">IF(In!I170="","",In!I170)</f>
        <v>ant</v>
      </c>
      <c r="E9" s="19" t="n">
        <f aca="false">IF(In!J170="","",In!J170)</f>
        <v>127</v>
      </c>
      <c r="F9" s="19" t="str">
        <f aca="false">In!C170</f>
        <v>IT</v>
      </c>
      <c r="G9" s="19" t="n">
        <f aca="false">IF(In!N170="","",In!N170)</f>
        <v>1</v>
      </c>
      <c r="H9" s="19" t="n">
        <f aca="false">IF(In!K170="","",In!K170)</f>
        <v>2026</v>
      </c>
      <c r="I9" s="19" t="n">
        <f aca="false">IF(In!L170="","",In!L170)</f>
        <v>10</v>
      </c>
      <c r="J9" s="19" t="n">
        <f aca="false">N(In!M170)</f>
        <v>0</v>
      </c>
      <c r="K9" s="24" t="n">
        <f aca="false">IF(OR(H9="",I9=""),9999,H9+I9/12)</f>
        <v>2026.83333333333</v>
      </c>
      <c r="L9" s="24" t="n">
        <f aca="false">IF(E9="",0,IF(F9="設施",E9/1000/INDEX(Players!$D$13:$M$13,1,MAX(1,MIN(10,H9-2022))),E9/1000*g_ITtoFac))</f>
        <v>0.127</v>
      </c>
      <c r="M9" s="24" t="n">
        <f aca="false">K9</f>
        <v>2026.83333333333</v>
      </c>
      <c r="N9" s="24" t="n">
        <f aca="false">IF(K9&gt;asof,K9+N(J9)/12,K9)</f>
        <v>2026.83333333333</v>
      </c>
      <c r="O9" s="24" t="n">
        <f aca="false">IF(K9&gt;asof,K9+IF(N(J9)&gt;0,N(J9),dly_d1_m)/12,K9)</f>
        <v>2027.33333333333</v>
      </c>
      <c r="P9" s="20" t="n">
        <f aca="false">IF(K9=9999,"",ROUNDUP(K9,0)-1)</f>
        <v>2026</v>
      </c>
      <c r="Q9" s="20" t="n">
        <f aca="false">IF(AND(N(G9)=1,K9&lt;9999,L9&gt;0),1,0)</f>
        <v>1</v>
      </c>
      <c r="R9" s="20" t="n">
        <f aca="false">IF(AND(K9&gt;asof,K9&lt;9999,N(S9)&lt;&gt;1,P9&gt;=dly_d2_y0,P9&lt;=dly_d2_y1),1,0)</f>
        <v>0</v>
      </c>
      <c r="S9" s="19" t="n">
        <f aca="false">IF(In!O170="","",In!O170)</f>
        <v>0</v>
      </c>
    </row>
    <row r="10" customFormat="false" ht="17.15" hidden="false" customHeight="false" outlineLevel="0" collapsed="false">
      <c r="A10" s="0" t="s">
        <v>510</v>
      </c>
      <c r="B10" s="19" t="str">
        <f aca="false">In!B171</f>
        <v>New Carlisle 至 2028 年 1,925 增量</v>
      </c>
      <c r="C10" s="19" t="str">
        <f aca="false">IF(In!H171="","",In!H171)</f>
        <v>amzn</v>
      </c>
      <c r="D10" s="19" t="str">
        <f aca="false">IF(In!I171="","",In!I171)</f>
        <v>ant</v>
      </c>
      <c r="E10" s="19" t="n">
        <f aca="false">IF(In!J171="","",In!J171)</f>
        <v>888</v>
      </c>
      <c r="F10" s="19" t="str">
        <f aca="false">In!C171</f>
        <v>IT</v>
      </c>
      <c r="G10" s="19" t="n">
        <f aca="false">IF(In!N171="","",In!N171)</f>
        <v>1</v>
      </c>
      <c r="H10" s="19" t="n">
        <f aca="false">IF(In!K171="","",In!K171)</f>
        <v>2028</v>
      </c>
      <c r="I10" s="19" t="n">
        <f aca="false">IF(In!L171="","",In!L171)</f>
        <v>6</v>
      </c>
      <c r="J10" s="19" t="n">
        <f aca="false">N(In!M171)</f>
        <v>0</v>
      </c>
      <c r="K10" s="24" t="n">
        <f aca="false">IF(OR(H10="",I10=""),9999,H10+I10/12)</f>
        <v>2028.5</v>
      </c>
      <c r="L10" s="24" t="n">
        <f aca="false">IF(E10="",0,IF(F10="設施",E10/1000/INDEX(Players!$D$13:$M$13,1,MAX(1,MIN(10,H10-2022))),E10/1000*g_ITtoFac))</f>
        <v>0.888</v>
      </c>
      <c r="M10" s="24" t="n">
        <f aca="false">K10</f>
        <v>2028.5</v>
      </c>
      <c r="N10" s="24" t="n">
        <f aca="false">IF(K10&gt;asof,K10+N(J10)/12,K10)</f>
        <v>2028.5</v>
      </c>
      <c r="O10" s="24" t="n">
        <f aca="false">IF(K10&gt;asof,K10+IF(N(J10)&gt;0,N(J10),dly_d1_m)/12,K10)</f>
        <v>2029</v>
      </c>
      <c r="P10" s="20" t="n">
        <f aca="false">IF(K10=9999,"",ROUNDUP(K10,0)-1)</f>
        <v>2028</v>
      </c>
      <c r="Q10" s="20" t="n">
        <f aca="false">IF(AND(N(G10)=1,K10&lt;9999,L10&gt;0),1,0)</f>
        <v>1</v>
      </c>
      <c r="R10" s="20" t="n">
        <f aca="false">IF(AND(K10&gt;asof,K10&lt;9999,N(S10)&lt;&gt;1,P10&gt;=dly_d2_y0,P10&lt;=dly_d2_y1),1,0)</f>
        <v>1</v>
      </c>
      <c r="S10" s="19" t="n">
        <f aca="false">IF(In!O171="","",In!O171)</f>
        <v>0</v>
      </c>
    </row>
    <row r="11" customFormat="false" ht="17.15" hidden="false" customHeight="false" outlineLevel="0" collapsed="false">
      <c r="A11" s="0" t="s">
        <v>513</v>
      </c>
      <c r="B11" s="19" t="str">
        <f aca="false">In!B172</f>
        <v>Prometheus（New Albany）至 2026-08</v>
      </c>
      <c r="C11" s="19" t="str">
        <f aca="false">IF(In!H172="","",In!H172)</f>
        <v>meta</v>
      </c>
      <c r="D11" s="19" t="str">
        <f aca="false">IF(In!I172="","",In!I172)</f>
        <v>meta</v>
      </c>
      <c r="E11" s="19" t="n">
        <f aca="false">IF(In!J172="","",In!J172)</f>
        <v>471</v>
      </c>
      <c r="F11" s="19" t="str">
        <f aca="false">In!C172</f>
        <v>IT</v>
      </c>
      <c r="G11" s="19" t="n">
        <f aca="false">IF(In!N172="","",In!N172)</f>
        <v>1</v>
      </c>
      <c r="H11" s="19" t="n">
        <f aca="false">IF(In!K172="","",In!K172)</f>
        <v>2026</v>
      </c>
      <c r="I11" s="19" t="n">
        <f aca="false">IF(In!L172="","",In!L172)</f>
        <v>8</v>
      </c>
      <c r="J11" s="19" t="n">
        <f aca="false">N(In!M172)</f>
        <v>0</v>
      </c>
      <c r="K11" s="24" t="n">
        <f aca="false">IF(OR(H11="",I11=""),9999,H11+I11/12)</f>
        <v>2026.66666666667</v>
      </c>
      <c r="L11" s="24" t="n">
        <f aca="false">IF(E11="",0,IF(F11="設施",E11/1000/INDEX(Players!$D$13:$M$13,1,MAX(1,MIN(10,H11-2022))),E11/1000*g_ITtoFac))</f>
        <v>0.471</v>
      </c>
      <c r="M11" s="24" t="n">
        <f aca="false">K11</f>
        <v>2026.66666666667</v>
      </c>
      <c r="N11" s="24" t="n">
        <f aca="false">IF(K11&gt;asof,K11+N(J11)/12,K11)</f>
        <v>2026.66666666667</v>
      </c>
      <c r="O11" s="24" t="n">
        <f aca="false">IF(K11&gt;asof,K11+IF(N(J11)&gt;0,N(J11),dly_d1_m)/12,K11)</f>
        <v>2026.66666666667</v>
      </c>
      <c r="P11" s="20" t="n">
        <f aca="false">IF(K11=9999,"",ROUNDUP(K11,0)-1)</f>
        <v>2026</v>
      </c>
      <c r="Q11" s="20" t="n">
        <f aca="false">IF(AND(N(G11)=1,K11&lt;9999,L11&gt;0),1,0)</f>
        <v>1</v>
      </c>
      <c r="R11" s="20" t="n">
        <f aca="false">IF(AND(K11&gt;asof,K11&lt;9999,N(S11)&lt;&gt;1,P11&gt;=dly_d2_y0,P11&lt;=dly_d2_y1),1,0)</f>
        <v>0</v>
      </c>
      <c r="S11" s="19" t="n">
        <f aca="false">IF(In!O172="","",In!O172)</f>
        <v>0</v>
      </c>
    </row>
    <row r="12" customFormat="false" ht="17.15" hidden="false" customHeight="false" outlineLevel="0" collapsed="false">
      <c r="A12" s="0" t="s">
        <v>516</v>
      </c>
      <c r="B12" s="19" t="str">
        <f aca="false">In!B173</f>
        <v>Prometheus 2026-11 增量</v>
      </c>
      <c r="C12" s="19" t="str">
        <f aca="false">IF(In!H173="","",In!H173)</f>
        <v>meta</v>
      </c>
      <c r="D12" s="19" t="str">
        <f aca="false">IF(In!I173="","",In!I173)</f>
        <v>meta</v>
      </c>
      <c r="E12" s="19" t="n">
        <f aca="false">IF(In!J173="","",In!J173)</f>
        <v>205</v>
      </c>
      <c r="F12" s="19" t="str">
        <f aca="false">In!C173</f>
        <v>IT</v>
      </c>
      <c r="G12" s="19" t="n">
        <f aca="false">IF(In!N173="","",In!N173)</f>
        <v>1</v>
      </c>
      <c r="H12" s="19" t="n">
        <f aca="false">IF(In!K173="","",In!K173)</f>
        <v>2026</v>
      </c>
      <c r="I12" s="19" t="n">
        <f aca="false">IF(In!L173="","",In!L173)</f>
        <v>11</v>
      </c>
      <c r="J12" s="19" t="n">
        <f aca="false">N(In!M173)</f>
        <v>0</v>
      </c>
      <c r="K12" s="24" t="n">
        <f aca="false">IF(OR(H12="",I12=""),9999,H12+I12/12)</f>
        <v>2026.91666666667</v>
      </c>
      <c r="L12" s="24" t="n">
        <f aca="false">IF(E12="",0,IF(F12="設施",E12/1000/INDEX(Players!$D$13:$M$13,1,MAX(1,MIN(10,H12-2022))),E12/1000*g_ITtoFac))</f>
        <v>0.205</v>
      </c>
      <c r="M12" s="24" t="n">
        <f aca="false">K12</f>
        <v>2026.91666666667</v>
      </c>
      <c r="N12" s="24" t="n">
        <f aca="false">IF(K12&gt;asof,K12+N(J12)/12,K12)</f>
        <v>2026.91666666667</v>
      </c>
      <c r="O12" s="24" t="n">
        <f aca="false">IF(K12&gt;asof,K12+IF(N(J12)&gt;0,N(J12),dly_d1_m)/12,K12)</f>
        <v>2027.41666666667</v>
      </c>
      <c r="P12" s="20" t="n">
        <f aca="false">IF(K12=9999,"",ROUNDUP(K12,0)-1)</f>
        <v>2026</v>
      </c>
      <c r="Q12" s="20" t="n">
        <f aca="false">IF(AND(N(G12)=1,K12&lt;9999,L12&gt;0),1,0)</f>
        <v>1</v>
      </c>
      <c r="R12" s="20" t="n">
        <f aca="false">IF(AND(K12&gt;asof,K12&lt;9999,N(S12)&lt;&gt;1,P12&gt;=dly_d2_y0,P12&lt;=dly_d2_y1),1,0)</f>
        <v>0</v>
      </c>
      <c r="S12" s="19" t="n">
        <f aca="false">IF(In!O173="","",In!O173)</f>
        <v>0</v>
      </c>
    </row>
    <row r="13" customFormat="false" ht="17.15" hidden="false" customHeight="false" outlineLevel="0" collapsed="false">
      <c r="A13" s="0" t="s">
        <v>519</v>
      </c>
      <c r="B13" s="19" t="str">
        <f aca="false">In!B174</f>
        <v>Prometheus 2027-07 增量</v>
      </c>
      <c r="C13" s="19" t="str">
        <f aca="false">IF(In!H174="","",In!H174)</f>
        <v>meta</v>
      </c>
      <c r="D13" s="19" t="str">
        <f aca="false">IF(In!I174="","",In!I174)</f>
        <v>meta</v>
      </c>
      <c r="E13" s="19" t="n">
        <f aca="false">IF(In!J174="","",In!J174)</f>
        <v>192</v>
      </c>
      <c r="F13" s="19" t="str">
        <f aca="false">In!C174</f>
        <v>IT</v>
      </c>
      <c r="G13" s="19" t="n">
        <f aca="false">IF(In!N174="","",In!N174)</f>
        <v>1</v>
      </c>
      <c r="H13" s="19" t="n">
        <f aca="false">IF(In!K174="","",In!K174)</f>
        <v>2027</v>
      </c>
      <c r="I13" s="19" t="n">
        <f aca="false">IF(In!L174="","",In!L174)</f>
        <v>7</v>
      </c>
      <c r="J13" s="19" t="n">
        <f aca="false">N(In!M174)</f>
        <v>0</v>
      </c>
      <c r="K13" s="24" t="n">
        <f aca="false">IF(OR(H13="",I13=""),9999,H13+I13/12)</f>
        <v>2027.58333333333</v>
      </c>
      <c r="L13" s="24" t="n">
        <f aca="false">IF(E13="",0,IF(F13="設施",E13/1000/INDEX(Players!$D$13:$M$13,1,MAX(1,MIN(10,H13-2022))),E13/1000*g_ITtoFac))</f>
        <v>0.192</v>
      </c>
      <c r="M13" s="24" t="n">
        <f aca="false">K13</f>
        <v>2027.58333333333</v>
      </c>
      <c r="N13" s="24" t="n">
        <f aca="false">IF(K13&gt;asof,K13+N(J13)/12,K13)</f>
        <v>2027.58333333333</v>
      </c>
      <c r="O13" s="24" t="n">
        <f aca="false">IF(K13&gt;asof,K13+IF(N(J13)&gt;0,N(J13),dly_d1_m)/12,K13)</f>
        <v>2028.08333333333</v>
      </c>
      <c r="P13" s="20" t="n">
        <f aca="false">IF(K13=9999,"",ROUNDUP(K13,0)-1)</f>
        <v>2027</v>
      </c>
      <c r="Q13" s="20" t="n">
        <f aca="false">IF(AND(N(G13)=1,K13&lt;9999,L13&gt;0),1,0)</f>
        <v>1</v>
      </c>
      <c r="R13" s="20" t="n">
        <f aca="false">IF(AND(K13&gt;asof,K13&lt;9999,N(S13)&lt;&gt;1,P13&gt;=dly_d2_y0,P13&lt;=dly_d2_y1),1,0)</f>
        <v>0</v>
      </c>
      <c r="S13" s="19" t="n">
        <f aca="false">IF(In!O174="","",In!O174)</f>
        <v>1</v>
      </c>
    </row>
    <row r="14" customFormat="false" ht="17.15" hidden="false" customHeight="false" outlineLevel="0" collapsed="false">
      <c r="A14" s="0" t="s">
        <v>522</v>
      </c>
      <c r="B14" s="19" t="str">
        <f aca="false">In!B175</f>
        <v>Prometheus 2028Q3 增量</v>
      </c>
      <c r="C14" s="19" t="str">
        <f aca="false">IF(In!H175="","",In!H175)</f>
        <v>meta</v>
      </c>
      <c r="D14" s="19" t="str">
        <f aca="false">IF(In!I175="","",In!I175)</f>
        <v>meta</v>
      </c>
      <c r="E14" s="19" t="n">
        <f aca="false">IF(In!J175="","",In!J175)</f>
        <v>154</v>
      </c>
      <c r="F14" s="19" t="str">
        <f aca="false">In!C175</f>
        <v>IT</v>
      </c>
      <c r="G14" s="19" t="n">
        <f aca="false">IF(In!N175="","",In!N175)</f>
        <v>1</v>
      </c>
      <c r="H14" s="19" t="n">
        <f aca="false">IF(In!K175="","",In!K175)</f>
        <v>2028</v>
      </c>
      <c r="I14" s="19" t="n">
        <f aca="false">IF(In!L175="","",In!L175)</f>
        <v>9</v>
      </c>
      <c r="J14" s="19" t="n">
        <f aca="false">N(In!M175)</f>
        <v>0</v>
      </c>
      <c r="K14" s="24" t="n">
        <f aca="false">IF(OR(H14="",I14=""),9999,H14+I14/12)</f>
        <v>2028.75</v>
      </c>
      <c r="L14" s="24" t="n">
        <f aca="false">IF(E14="",0,IF(F14="設施",E14/1000/INDEX(Players!$D$13:$M$13,1,MAX(1,MIN(10,H14-2022))),E14/1000*g_ITtoFac))</f>
        <v>0.154</v>
      </c>
      <c r="M14" s="24" t="n">
        <f aca="false">K14</f>
        <v>2028.75</v>
      </c>
      <c r="N14" s="24" t="n">
        <f aca="false">IF(K14&gt;asof,K14+N(J14)/12,K14)</f>
        <v>2028.75</v>
      </c>
      <c r="O14" s="24" t="n">
        <f aca="false">IF(K14&gt;asof,K14+IF(N(J14)&gt;0,N(J14),dly_d1_m)/12,K14)</f>
        <v>2029.25</v>
      </c>
      <c r="P14" s="20" t="n">
        <f aca="false">IF(K14=9999,"",ROUNDUP(K14,0)-1)</f>
        <v>2028</v>
      </c>
      <c r="Q14" s="20" t="n">
        <f aca="false">IF(AND(N(G14)=1,K14&lt;9999,L14&gt;0),1,0)</f>
        <v>1</v>
      </c>
      <c r="R14" s="20" t="n">
        <f aca="false">IF(AND(K14&gt;asof,K14&lt;9999,N(S14)&lt;&gt;1,P14&gt;=dly_d2_y0,P14&lt;=dly_d2_y1),1,0)</f>
        <v>0</v>
      </c>
      <c r="S14" s="19" t="n">
        <f aca="false">IF(In!O175="","",In!O175)</f>
        <v>1</v>
      </c>
    </row>
    <row r="15" customFormat="false" ht="17.15" hidden="false" customHeight="false" outlineLevel="0" collapsed="false">
      <c r="A15" s="0" t="s">
        <v>525</v>
      </c>
      <c r="B15" s="19" t="str">
        <f aca="false">In!B176</f>
        <v>Hyperion 一期</v>
      </c>
      <c r="C15" s="19" t="str">
        <f aca="false">IF(In!H176="","",In!H176)</f>
        <v>meta</v>
      </c>
      <c r="D15" s="19" t="str">
        <f aca="false">IF(In!I176="","",In!I176)</f>
        <v>meta</v>
      </c>
      <c r="E15" s="19" t="n">
        <f aca="false">IF(In!J176="","",In!J176)</f>
        <v>1632</v>
      </c>
      <c r="F15" s="19" t="str">
        <f aca="false">In!C176</f>
        <v>IT</v>
      </c>
      <c r="G15" s="19" t="n">
        <f aca="false">IF(In!N176="","",In!N176)</f>
        <v>1</v>
      </c>
      <c r="H15" s="19" t="n">
        <f aca="false">IF(In!K176="","",In!K176)</f>
        <v>2028</v>
      </c>
      <c r="I15" s="19" t="n">
        <f aca="false">IF(In!L176="","",In!L176)</f>
        <v>1</v>
      </c>
      <c r="J15" s="19" t="n">
        <f aca="false">N(In!M176)</f>
        <v>0</v>
      </c>
      <c r="K15" s="24" t="n">
        <f aca="false">IF(OR(H15="",I15=""),9999,H15+I15/12)</f>
        <v>2028.08333333333</v>
      </c>
      <c r="L15" s="24" t="n">
        <f aca="false">IF(E15="",0,IF(F15="設施",E15/1000/INDEX(Players!$D$13:$M$13,1,MAX(1,MIN(10,H15-2022))),E15/1000*g_ITtoFac))</f>
        <v>1.632</v>
      </c>
      <c r="M15" s="24" t="n">
        <f aca="false">K15</f>
        <v>2028.08333333333</v>
      </c>
      <c r="N15" s="24" t="n">
        <f aca="false">IF(K15&gt;asof,K15+N(J15)/12,K15)</f>
        <v>2028.08333333333</v>
      </c>
      <c r="O15" s="24" t="n">
        <f aca="false">IF(K15&gt;asof,K15+IF(N(J15)&gt;0,N(J15),dly_d1_m)/12,K15)</f>
        <v>2028.58333333333</v>
      </c>
      <c r="P15" s="20" t="n">
        <f aca="false">IF(K15=9999,"",ROUNDUP(K15,0)-1)</f>
        <v>2028</v>
      </c>
      <c r="Q15" s="20" t="n">
        <f aca="false">IF(AND(N(G15)=1,K15&lt;9999,L15&gt;0),1,0)</f>
        <v>1</v>
      </c>
      <c r="R15" s="20" t="n">
        <f aca="false">IF(AND(K15&gt;asof,K15&lt;9999,N(S15)&lt;&gt;1,P15&gt;=dly_d2_y0,P15&lt;=dly_d2_y1),1,0)</f>
        <v>0</v>
      </c>
      <c r="S15" s="19" t="n">
        <f aca="false">IF(In!O176="","",In!O176)</f>
        <v>1</v>
      </c>
    </row>
    <row r="16" customFormat="false" ht="17.15" hidden="false" customHeight="false" outlineLevel="0" collapsed="false">
      <c r="A16" s="0" t="s">
        <v>528</v>
      </c>
      <c r="B16" s="19" t="str">
        <f aca="false">In!B177</f>
        <v>Hyperion 至 2 GW（2030 前）</v>
      </c>
      <c r="C16" s="19" t="str">
        <f aca="false">IF(In!H177="","",In!H177)</f>
        <v>meta</v>
      </c>
      <c r="D16" s="19" t="str">
        <f aca="false">IF(In!I177="","",In!I177)</f>
        <v>meta</v>
      </c>
      <c r="E16" s="19" t="n">
        <f aca="false">IF(In!J177="","",In!J177)</f>
        <v>368</v>
      </c>
      <c r="F16" s="19" t="str">
        <f aca="false">In!C177</f>
        <v>未說明</v>
      </c>
      <c r="G16" s="19" t="n">
        <f aca="false">IF(In!N177="","",In!N177)</f>
        <v>1</v>
      </c>
      <c r="H16" s="19" t="n">
        <f aca="false">IF(In!K177="","",In!K177)</f>
        <v>2029</v>
      </c>
      <c r="I16" s="19" t="n">
        <f aca="false">IF(In!L177="","",In!L177)</f>
        <v>12</v>
      </c>
      <c r="J16" s="19" t="n">
        <f aca="false">N(In!M177)</f>
        <v>0</v>
      </c>
      <c r="K16" s="24" t="n">
        <f aca="false">IF(OR(H16="",I16=""),9999,H16+I16/12)</f>
        <v>2030</v>
      </c>
      <c r="L16" s="24" t="n">
        <f aca="false">IF(E16="",0,IF(F16="設施",E16/1000/INDEX(Players!$D$13:$M$13,1,MAX(1,MIN(10,H16-2022))),E16/1000*g_ITtoFac))</f>
        <v>0.368</v>
      </c>
      <c r="M16" s="24" t="n">
        <f aca="false">K16</f>
        <v>2030</v>
      </c>
      <c r="N16" s="24" t="n">
        <f aca="false">IF(K16&gt;asof,K16+N(J16)/12,K16)</f>
        <v>2030</v>
      </c>
      <c r="O16" s="24" t="n">
        <f aca="false">IF(K16&gt;asof,K16+IF(N(J16)&gt;0,N(J16),dly_d1_m)/12,K16)</f>
        <v>2030.5</v>
      </c>
      <c r="P16" s="20" t="n">
        <f aca="false">IF(K16=9999,"",ROUNDUP(K16,0)-1)</f>
        <v>2029</v>
      </c>
      <c r="Q16" s="20" t="n">
        <f aca="false">IF(AND(N(G16)=1,K16&lt;9999,L16&gt;0),1,0)</f>
        <v>1</v>
      </c>
      <c r="R16" s="20" t="n">
        <f aca="false">IF(AND(K16&gt;asof,K16&lt;9999,N(S16)&lt;&gt;1,P16&gt;=dly_d2_y0,P16&lt;=dly_d2_y1),1,0)</f>
        <v>0</v>
      </c>
      <c r="S16" s="19" t="n">
        <f aca="false">IF(In!O177="","",In!O177)</f>
        <v>0</v>
      </c>
    </row>
    <row r="17" customFormat="false" ht="17.15" hidden="false" customHeight="false" outlineLevel="0" collapsed="false">
      <c r="A17" s="0" t="s">
        <v>531</v>
      </c>
      <c r="B17" s="19" t="str">
        <f aca="false">In!B178</f>
        <v>El Paso（BlackRock 80% 合資）</v>
      </c>
      <c r="C17" s="19" t="str">
        <f aca="false">IF(In!H178="","",In!H178)</f>
        <v>meta</v>
      </c>
      <c r="D17" s="19" t="str">
        <f aca="false">IF(In!I178="","",In!I178)</f>
        <v>meta</v>
      </c>
      <c r="E17" s="19" t="n">
        <f aca="false">IF(In!J178="","",In!J178)</f>
        <v>1000</v>
      </c>
      <c r="F17" s="19" t="str">
        <f aca="false">In!C178</f>
        <v>未說明</v>
      </c>
      <c r="G17" s="19" t="n">
        <f aca="false">IF(In!N178="","",In!N178)</f>
        <v>1</v>
      </c>
      <c r="H17" s="19" t="n">
        <f aca="false">IF(In!K178="","",In!K178)</f>
        <v>2028</v>
      </c>
      <c r="I17" s="19" t="n">
        <f aca="false">IF(In!L178="","",In!L178)</f>
        <v>12</v>
      </c>
      <c r="J17" s="19" t="n">
        <f aca="false">N(In!M178)</f>
        <v>0</v>
      </c>
      <c r="K17" s="24" t="n">
        <f aca="false">IF(OR(H17="",I17=""),9999,H17+I17/12)</f>
        <v>2029</v>
      </c>
      <c r="L17" s="24" t="n">
        <f aca="false">IF(E17="",0,IF(F17="設施",E17/1000/INDEX(Players!$D$13:$M$13,1,MAX(1,MIN(10,H17-2022))),E17/1000*g_ITtoFac))</f>
        <v>1</v>
      </c>
      <c r="M17" s="24" t="n">
        <f aca="false">K17</f>
        <v>2029</v>
      </c>
      <c r="N17" s="24" t="n">
        <f aca="false">IF(K17&gt;asof,K17+N(J17)/12,K17)</f>
        <v>2029</v>
      </c>
      <c r="O17" s="24" t="n">
        <f aca="false">IF(K17&gt;asof,K17+IF(N(J17)&gt;0,N(J17),dly_d1_m)/12,K17)</f>
        <v>2029.5</v>
      </c>
      <c r="P17" s="20" t="n">
        <f aca="false">IF(K17=9999,"",ROUNDUP(K17,0)-1)</f>
        <v>2028</v>
      </c>
      <c r="Q17" s="20" t="n">
        <f aca="false">IF(AND(N(G17)=1,K17&lt;9999,L17&gt;0),1,0)</f>
        <v>1</v>
      </c>
      <c r="R17" s="20" t="n">
        <f aca="false">IF(AND(K17&gt;asof,K17&lt;9999,N(S17)&lt;&gt;1,P17&gt;=dly_d2_y0,P17&lt;=dly_d2_y1),1,0)</f>
        <v>1</v>
      </c>
      <c r="S17" s="19" t="n">
        <f aca="false">IF(In!O178="","",In!O178)</f>
        <v>0</v>
      </c>
    </row>
    <row r="18" customFormat="false" ht="17.15" hidden="false" customHeight="false" outlineLevel="0" collapsed="false">
      <c r="A18" s="0" t="s">
        <v>534</v>
      </c>
      <c r="B18" s="19" t="str">
        <f aca="false">In!B179</f>
        <v>Abilene 餘 2 棟（824 − 618）</v>
      </c>
      <c r="C18" s="19" t="str">
        <f aca="false">IF(In!H179="","",In!H179)</f>
        <v>orcl</v>
      </c>
      <c r="D18" s="19" t="str">
        <f aca="false">IF(In!I179="","",In!I179)</f>
        <v>oai</v>
      </c>
      <c r="E18" s="19" t="n">
        <f aca="false">IF(In!J179="","",In!J179)</f>
        <v>206</v>
      </c>
      <c r="F18" s="19" t="str">
        <f aca="false">In!C179</f>
        <v>未說明</v>
      </c>
      <c r="G18" s="19" t="n">
        <f aca="false">IF(In!N179="","",In!N179)</f>
        <v>1</v>
      </c>
      <c r="H18" s="19" t="n">
        <f aca="false">IF(In!K179="","",In!K179)</f>
        <v>2026</v>
      </c>
      <c r="I18" s="19" t="n">
        <f aca="false">IF(In!L179="","",In!L179)</f>
        <v>12</v>
      </c>
      <c r="J18" s="19" t="n">
        <f aca="false">N(In!M179)</f>
        <v>0</v>
      </c>
      <c r="K18" s="24" t="n">
        <f aca="false">IF(OR(H18="",I18=""),9999,H18+I18/12)</f>
        <v>2027</v>
      </c>
      <c r="L18" s="24" t="n">
        <f aca="false">IF(E18="",0,IF(F18="設施",E18/1000/INDEX(Players!$D$13:$M$13,1,MAX(1,MIN(10,H18-2022))),E18/1000*g_ITtoFac))</f>
        <v>0.206</v>
      </c>
      <c r="M18" s="24" t="n">
        <f aca="false">K18</f>
        <v>2027</v>
      </c>
      <c r="N18" s="24" t="n">
        <f aca="false">IF(K18&gt;asof,K18+N(J18)/12,K18)</f>
        <v>2027</v>
      </c>
      <c r="O18" s="24" t="n">
        <f aca="false">IF(K18&gt;asof,K18+IF(N(J18)&gt;0,N(J18),dly_d1_m)/12,K18)</f>
        <v>2027.5</v>
      </c>
      <c r="P18" s="20" t="n">
        <f aca="false">IF(K18=9999,"",ROUNDUP(K18,0)-1)</f>
        <v>2026</v>
      </c>
      <c r="Q18" s="20" t="n">
        <f aca="false">IF(AND(N(G18)=1,K18&lt;9999,L18&gt;0),1,0)</f>
        <v>1</v>
      </c>
      <c r="R18" s="20" t="n">
        <f aca="false">IF(AND(K18&gt;asof,K18&lt;9999,N(S18)&lt;&gt;1,P18&gt;=dly_d2_y0,P18&lt;=dly_d2_y1),1,0)</f>
        <v>0</v>
      </c>
      <c r="S18" s="19" t="n">
        <f aca="false">IF(In!O179="","",In!O179)</f>
        <v>0</v>
      </c>
    </row>
    <row r="19" customFormat="false" ht="17.15" hidden="false" customHeight="false" outlineLevel="0" collapsed="false">
      <c r="A19" s="0" t="s">
        <v>537</v>
      </c>
      <c r="B19" s="19" t="str">
        <f aca="false">In!B180</f>
        <v>Shackelford（Frontier）首棟</v>
      </c>
      <c r="C19" s="19" t="str">
        <f aca="false">IF(In!H180="","",In!H180)</f>
        <v>orcl</v>
      </c>
      <c r="D19" s="19" t="str">
        <f aca="false">IF(In!I180="","",In!I180)</f>
        <v>oai</v>
      </c>
      <c r="E19" s="19" t="n">
        <f aca="false">IF(In!J180="","",In!J180)</f>
        <v>200</v>
      </c>
      <c r="F19" s="19" t="str">
        <f aca="false">In!C180</f>
        <v>設施</v>
      </c>
      <c r="G19" s="19" t="n">
        <f aca="false">IF(In!N180="","",In!N180)</f>
        <v>1</v>
      </c>
      <c r="H19" s="19" t="n">
        <f aca="false">IF(In!K180="","",In!K180)</f>
        <v>2027</v>
      </c>
      <c r="I19" s="19" t="n">
        <f aca="false">IF(In!L180="","",In!L180)</f>
        <v>8</v>
      </c>
      <c r="J19" s="19" t="n">
        <f aca="false">N(In!M180)</f>
        <v>0</v>
      </c>
      <c r="K19" s="24" t="n">
        <f aca="false">IF(OR(H19="",I19=""),9999,H19+I19/12)</f>
        <v>2027.66666666667</v>
      </c>
      <c r="L19" s="24" t="n">
        <f aca="false">IF(E19="",0,IF(F19="設施",E19/1000/INDEX(Players!$D$13:$M$13,1,MAX(1,MIN(10,H19-2022))),E19/1000*g_ITtoFac))</f>
        <v>0.166666666666667</v>
      </c>
      <c r="M19" s="24" t="n">
        <f aca="false">K19</f>
        <v>2027.66666666667</v>
      </c>
      <c r="N19" s="24" t="n">
        <f aca="false">IF(K19&gt;asof,K19+N(J19)/12,K19)</f>
        <v>2027.66666666667</v>
      </c>
      <c r="O19" s="24" t="n">
        <f aca="false">IF(K19&gt;asof,K19+IF(N(J19)&gt;0,N(J19),dly_d1_m)/12,K19)</f>
        <v>2028.16666666667</v>
      </c>
      <c r="P19" s="20" t="n">
        <f aca="false">IF(K19=9999,"",ROUNDUP(K19,0)-1)</f>
        <v>2027</v>
      </c>
      <c r="Q19" s="20" t="n">
        <f aca="false">IF(AND(N(G19)=1,K19&lt;9999,L19&gt;0),1,0)</f>
        <v>1</v>
      </c>
      <c r="R19" s="20" t="n">
        <f aca="false">IF(AND(K19&gt;asof,K19&lt;9999,N(S19)&lt;&gt;1,P19&gt;=dly_d2_y0,P19&lt;=dly_d2_y1),1,0)</f>
        <v>1</v>
      </c>
      <c r="S19" s="19" t="n">
        <f aca="false">IF(In!O180="","",In!O180)</f>
        <v>0</v>
      </c>
    </row>
    <row r="20" customFormat="false" ht="17.15" hidden="false" customHeight="false" outlineLevel="0" collapsed="false">
      <c r="A20" s="0" t="s">
        <v>540</v>
      </c>
      <c r="B20" s="19" t="str">
        <f aca="false">In!B181</f>
        <v>Shackelford 其餘 9 棟</v>
      </c>
      <c r="C20" s="19" t="str">
        <f aca="false">IF(In!H181="","",In!H181)</f>
        <v>orcl</v>
      </c>
      <c r="D20" s="19" t="str">
        <f aca="false">IF(In!I181="","",In!I181)</f>
        <v>oai</v>
      </c>
      <c r="E20" s="19" t="n">
        <f aca="false">IF(In!J181="","",In!J181)</f>
        <v>1800</v>
      </c>
      <c r="F20" s="19" t="str">
        <f aca="false">In!C181</f>
        <v>設施</v>
      </c>
      <c r="G20" s="19" t="n">
        <f aca="false">IF(In!N181="","",In!N181)</f>
        <v>1</v>
      </c>
      <c r="H20" s="19" t="n">
        <f aca="false">IF(In!K181="","",In!K181)</f>
        <v>2028</v>
      </c>
      <c r="I20" s="19" t="n">
        <f aca="false">IF(In!L181="","",In!L181)</f>
        <v>11</v>
      </c>
      <c r="J20" s="19" t="n">
        <f aca="false">N(In!M181)</f>
        <v>0</v>
      </c>
      <c r="K20" s="24" t="n">
        <f aca="false">IF(OR(H20="",I20=""),9999,H20+I20/12)</f>
        <v>2028.91666666667</v>
      </c>
      <c r="L20" s="24" t="n">
        <f aca="false">IF(E20="",0,IF(F20="設施",E20/1000/INDEX(Players!$D$13:$M$13,1,MAX(1,MIN(10,H20-2022))),E20/1000*g_ITtoFac))</f>
        <v>1.5</v>
      </c>
      <c r="M20" s="24" t="n">
        <f aca="false">K20</f>
        <v>2028.91666666667</v>
      </c>
      <c r="N20" s="24" t="n">
        <f aca="false">IF(K20&gt;asof,K20+N(J20)/12,K20)</f>
        <v>2028.91666666667</v>
      </c>
      <c r="O20" s="24" t="n">
        <f aca="false">IF(K20&gt;asof,K20+IF(N(J20)&gt;0,N(J20),dly_d1_m)/12,K20)</f>
        <v>2029.41666666667</v>
      </c>
      <c r="P20" s="20" t="n">
        <f aca="false">IF(K20=9999,"",ROUNDUP(K20,0)-1)</f>
        <v>2028</v>
      </c>
      <c r="Q20" s="20" t="n">
        <f aca="false">IF(AND(N(G20)=1,K20&lt;9999,L20&gt;0),1,0)</f>
        <v>1</v>
      </c>
      <c r="R20" s="20" t="n">
        <f aca="false">IF(AND(K20&gt;asof,K20&lt;9999,N(S20)&lt;&gt;1,P20&gt;=dly_d2_y0,P20&lt;=dly_d2_y1),1,0)</f>
        <v>1</v>
      </c>
      <c r="S20" s="19" t="n">
        <f aca="false">IF(In!O181="","",In!O181)</f>
        <v>0</v>
      </c>
    </row>
    <row r="21" customFormat="false" ht="17.15" hidden="false" customHeight="false" outlineLevel="0" collapsed="false">
      <c r="A21" s="0" t="s">
        <v>543</v>
      </c>
      <c r="B21" s="19" t="str">
        <f aca="false">In!B182</f>
        <v>Doña Ana（Project Jupiter）</v>
      </c>
      <c r="C21" s="19" t="str">
        <f aca="false">IF(In!H182="","",In!H182)</f>
        <v>orcl</v>
      </c>
      <c r="D21" s="19" t="str">
        <f aca="false">IF(In!I182="","",In!I182)</f>
        <v>oai</v>
      </c>
      <c r="E21" s="19" t="n">
        <f aca="false">IF(In!J182="","",In!J182)</f>
        <v>2200</v>
      </c>
      <c r="F21" s="19" t="str">
        <f aca="false">In!C182</f>
        <v>設施</v>
      </c>
      <c r="G21" s="19" t="n">
        <f aca="false">IF(In!N182="","",In!N182)</f>
        <v>1</v>
      </c>
      <c r="H21" s="19" t="n">
        <f aca="false">IF(In!K182="","",In!K182)</f>
        <v>2028</v>
      </c>
      <c r="I21" s="19" t="n">
        <f aca="false">IF(In!L182="","",In!L182)</f>
        <v>12</v>
      </c>
      <c r="J21" s="19" t="n">
        <f aca="false">N(In!M182)</f>
        <v>12</v>
      </c>
      <c r="K21" s="24" t="n">
        <f aca="false">IF(OR(H21="",I21=""),9999,H21+I21/12)</f>
        <v>2029</v>
      </c>
      <c r="L21" s="24" t="n">
        <f aca="false">IF(E21="",0,IF(F21="設施",E21/1000/INDEX(Players!$D$13:$M$13,1,MAX(1,MIN(10,H21-2022))),E21/1000*g_ITtoFac))</f>
        <v>1.83333333333333</v>
      </c>
      <c r="M21" s="24" t="n">
        <f aca="false">K21</f>
        <v>2029</v>
      </c>
      <c r="N21" s="24" t="n">
        <f aca="false">IF(K21&gt;asof,K21+N(J21)/12,K21)</f>
        <v>2030</v>
      </c>
      <c r="O21" s="24" t="n">
        <f aca="false">IF(K21&gt;asof,K21+IF(N(J21)&gt;0,N(J21),dly_d1_m)/12,K21)</f>
        <v>2030</v>
      </c>
      <c r="P21" s="20" t="n">
        <f aca="false">IF(K21=9999,"",ROUNDUP(K21,0)-1)</f>
        <v>2028</v>
      </c>
      <c r="Q21" s="20" t="n">
        <f aca="false">IF(AND(N(G21)=1,K21&lt;9999,L21&gt;0),1,0)</f>
        <v>1</v>
      </c>
      <c r="R21" s="20" t="n">
        <f aca="false">IF(AND(K21&gt;asof,K21&lt;9999,N(S21)&lt;&gt;1,P21&gt;=dly_d2_y0,P21&lt;=dly_d2_y1),1,0)</f>
        <v>1</v>
      </c>
      <c r="S21" s="19" t="n">
        <f aca="false">IF(In!O182="","",In!O182)</f>
        <v>0</v>
      </c>
    </row>
    <row r="22" customFormat="false" ht="17.15" hidden="false" customHeight="false" outlineLevel="0" collapsed="false">
      <c r="A22" s="0" t="s">
        <v>546</v>
      </c>
      <c r="B22" s="19" t="str">
        <f aca="false">In!B183</f>
        <v>Port Washington（Lighthouse）</v>
      </c>
      <c r="C22" s="19" t="str">
        <f aca="false">IF(In!H183="","",In!H183)</f>
        <v>orcl</v>
      </c>
      <c r="D22" s="19" t="str">
        <f aca="false">IF(In!I183="","",In!I183)</f>
        <v>oai</v>
      </c>
      <c r="E22" s="19" t="n">
        <f aca="false">IF(In!J183="","",In!J183)</f>
        <v>1300</v>
      </c>
      <c r="F22" s="19" t="str">
        <f aca="false">In!C183</f>
        <v>設施</v>
      </c>
      <c r="G22" s="19" t="n">
        <f aca="false">IF(In!N183="","",In!N183)</f>
        <v>1</v>
      </c>
      <c r="H22" s="19" t="n">
        <f aca="false">IF(In!K183="","",In!K183)</f>
        <v>2028</v>
      </c>
      <c r="I22" s="19" t="n">
        <f aca="false">IF(In!L183="","",In!L183)</f>
        <v>12</v>
      </c>
      <c r="J22" s="19" t="n">
        <f aca="false">N(In!M183)</f>
        <v>0</v>
      </c>
      <c r="K22" s="24" t="n">
        <f aca="false">IF(OR(H22="",I22=""),9999,H22+I22/12)</f>
        <v>2029</v>
      </c>
      <c r="L22" s="24" t="n">
        <f aca="false">IF(E22="",0,IF(F22="設施",E22/1000/INDEX(Players!$D$13:$M$13,1,MAX(1,MIN(10,H22-2022))),E22/1000*g_ITtoFac))</f>
        <v>1.08333333333333</v>
      </c>
      <c r="M22" s="24" t="n">
        <f aca="false">K22</f>
        <v>2029</v>
      </c>
      <c r="N22" s="24" t="n">
        <f aca="false">IF(K22&gt;asof,K22+N(J22)/12,K22)</f>
        <v>2029</v>
      </c>
      <c r="O22" s="24" t="n">
        <f aca="false">IF(K22&gt;asof,K22+IF(N(J22)&gt;0,N(J22),dly_d1_m)/12,K22)</f>
        <v>2029.5</v>
      </c>
      <c r="P22" s="20" t="n">
        <f aca="false">IF(K22=9999,"",ROUNDUP(K22,0)-1)</f>
        <v>2028</v>
      </c>
      <c r="Q22" s="20" t="n">
        <f aca="false">IF(AND(N(G22)=1,K22&lt;9999,L22&gt;0),1,0)</f>
        <v>1</v>
      </c>
      <c r="R22" s="20" t="n">
        <f aca="false">IF(AND(K22&gt;asof,K22&lt;9999,N(S22)&lt;&gt;1,P22&gt;=dly_d2_y0,P22&lt;=dly_d2_y1),1,0)</f>
        <v>1</v>
      </c>
      <c r="S22" s="19" t="n">
        <f aca="false">IF(In!O183="","",In!O183)</f>
        <v>0</v>
      </c>
    </row>
    <row r="23" customFormat="false" ht="17.15" hidden="false" customHeight="false" outlineLevel="0" collapsed="false">
      <c r="A23" s="0" t="s">
        <v>549</v>
      </c>
      <c r="B23" s="19" t="str">
        <f aca="false">In!B184</f>
        <v>Saline Township（The Barn）</v>
      </c>
      <c r="C23" s="19" t="str">
        <f aca="false">IF(In!H184="","",In!H184)</f>
        <v>orcl</v>
      </c>
      <c r="D23" s="19" t="str">
        <f aca="false">IF(In!I184="","",In!I184)</f>
        <v>oai</v>
      </c>
      <c r="E23" s="19" t="n">
        <f aca="false">IF(In!J184="","",In!J184)</f>
        <v>1400</v>
      </c>
      <c r="F23" s="19" t="str">
        <f aca="false">In!C184</f>
        <v>設施</v>
      </c>
      <c r="G23" s="19" t="n">
        <f aca="false">IF(In!N184="","",In!N184)</f>
        <v>1</v>
      </c>
      <c r="H23" s="19" t="n">
        <f aca="false">IF(In!K184="","",In!K184)</f>
        <v>2028</v>
      </c>
      <c r="I23" s="19" t="n">
        <f aca="false">IF(In!L184="","",In!L184)</f>
        <v>12</v>
      </c>
      <c r="J23" s="19" t="n">
        <f aca="false">N(In!M184)</f>
        <v>0</v>
      </c>
      <c r="K23" s="24" t="n">
        <f aca="false">IF(OR(H23="",I23=""),9999,H23+I23/12)</f>
        <v>2029</v>
      </c>
      <c r="L23" s="24" t="n">
        <f aca="false">IF(E23="",0,IF(F23="設施",E23/1000/INDEX(Players!$D$13:$M$13,1,MAX(1,MIN(10,H23-2022))),E23/1000*g_ITtoFac))</f>
        <v>1.16666666666667</v>
      </c>
      <c r="M23" s="24" t="n">
        <f aca="false">K23</f>
        <v>2029</v>
      </c>
      <c r="N23" s="24" t="n">
        <f aca="false">IF(K23&gt;asof,K23+N(J23)/12,K23)</f>
        <v>2029</v>
      </c>
      <c r="O23" s="24" t="n">
        <f aca="false">IF(K23&gt;asof,K23+IF(N(J23)&gt;0,N(J23),dly_d1_m)/12,K23)</f>
        <v>2029.5</v>
      </c>
      <c r="P23" s="20" t="n">
        <f aca="false">IF(K23=9999,"",ROUNDUP(K23,0)-1)</f>
        <v>2028</v>
      </c>
      <c r="Q23" s="20" t="n">
        <f aca="false">IF(AND(N(G23)=1,K23&lt;9999,L23&gt;0),1,0)</f>
        <v>1</v>
      </c>
      <c r="R23" s="20" t="n">
        <f aca="false">IF(AND(K23&gt;asof,K23&lt;9999,N(S23)&lt;&gt;1,P23&gt;=dly_d2_y0,P23&lt;=dly_d2_y1),1,0)</f>
        <v>1</v>
      </c>
      <c r="S23" s="19" t="n">
        <f aca="false">IF(In!O184="","",In!O184)</f>
        <v>0</v>
      </c>
    </row>
    <row r="24" customFormat="false" ht="17.15" hidden="false" customHeight="false" outlineLevel="0" collapsed="false">
      <c r="A24" s="0" t="s">
        <v>552</v>
      </c>
      <c r="B24" s="19" t="str">
        <f aca="false">In!B185</f>
        <v>Helios Phase II（Galaxy 房東）</v>
      </c>
      <c r="C24" s="19" t="str">
        <f aca="false">IF(In!H185="","",In!H185)</f>
        <v>crwv</v>
      </c>
      <c r="D24" s="19" t="str">
        <f aca="false">IF(In!I185="","",In!I185)</f>
        <v/>
      </c>
      <c r="E24" s="19" t="n">
        <f aca="false">IF(In!J185="","",In!J185)</f>
        <v>260</v>
      </c>
      <c r="F24" s="19" t="str">
        <f aca="false">In!C185</f>
        <v>IT</v>
      </c>
      <c r="G24" s="19" t="n">
        <f aca="false">IF(In!N185="","",In!N185)</f>
        <v>1</v>
      </c>
      <c r="H24" s="19" t="n">
        <f aca="false">IF(In!K185="","",In!K185)</f>
        <v>2027</v>
      </c>
      <c r="I24" s="19" t="n">
        <f aca="false">IF(In!L185="","",In!L185)</f>
        <v>6</v>
      </c>
      <c r="J24" s="19" t="n">
        <f aca="false">N(In!M185)</f>
        <v>0</v>
      </c>
      <c r="K24" s="24" t="n">
        <f aca="false">IF(OR(H24="",I24=""),9999,H24+I24/12)</f>
        <v>2027.5</v>
      </c>
      <c r="L24" s="24" t="n">
        <f aca="false">IF(E24="",0,IF(F24="設施",E24/1000/INDEX(Players!$D$13:$M$13,1,MAX(1,MIN(10,H24-2022))),E24/1000*g_ITtoFac))</f>
        <v>0.26</v>
      </c>
      <c r="M24" s="24" t="n">
        <f aca="false">K24</f>
        <v>2027.5</v>
      </c>
      <c r="N24" s="24" t="n">
        <f aca="false">IF(K24&gt;asof,K24+N(J24)/12,K24)</f>
        <v>2027.5</v>
      </c>
      <c r="O24" s="24" t="n">
        <f aca="false">IF(K24&gt;asof,K24+IF(N(J24)&gt;0,N(J24),dly_d1_m)/12,K24)</f>
        <v>2028</v>
      </c>
      <c r="P24" s="20" t="n">
        <f aca="false">IF(K24=9999,"",ROUNDUP(K24,0)-1)</f>
        <v>2027</v>
      </c>
      <c r="Q24" s="20" t="n">
        <f aca="false">IF(AND(N(G24)=1,K24&lt;9999,L24&gt;0),1,0)</f>
        <v>1</v>
      </c>
      <c r="R24" s="20" t="n">
        <f aca="false">IF(AND(K24&gt;asof,K24&lt;9999,N(S24)&lt;&gt;1,P24&gt;=dly_d2_y0,P24&lt;=dly_d2_y1),1,0)</f>
        <v>1</v>
      </c>
      <c r="S24" s="19" t="n">
        <f aca="false">IF(In!O185="","",In!O185)</f>
        <v>0</v>
      </c>
    </row>
    <row r="25" customFormat="false" ht="17.15" hidden="false" customHeight="false" outlineLevel="0" collapsed="false">
      <c r="A25" s="0" t="s">
        <v>556</v>
      </c>
      <c r="B25" s="19" t="str">
        <f aca="false">In!B186</f>
        <v>IREN Childress H3–4（Microsoft）</v>
      </c>
      <c r="C25" s="19" t="str">
        <f aca="false">IF(In!H186="","",In!H186)</f>
        <v>neo</v>
      </c>
      <c r="D25" s="19" t="str">
        <f aca="false">IF(In!I186="","",In!I186)</f>
        <v>msft</v>
      </c>
      <c r="E25" s="19" t="n">
        <f aca="false">IF(In!J186="","",In!J186)</f>
        <v>100</v>
      </c>
      <c r="F25" s="19" t="str">
        <f aca="false">In!C186</f>
        <v>IT</v>
      </c>
      <c r="G25" s="19" t="n">
        <f aca="false">IF(In!N186="","",In!N186)</f>
        <v>1</v>
      </c>
      <c r="H25" s="19" t="n">
        <f aca="false">IF(In!K186="","",In!K186)</f>
        <v>2026</v>
      </c>
      <c r="I25" s="19" t="n">
        <f aca="false">IF(In!L186="","",In!L186)</f>
        <v>12</v>
      </c>
      <c r="J25" s="19" t="n">
        <f aca="false">N(In!M186)</f>
        <v>0</v>
      </c>
      <c r="K25" s="24" t="n">
        <f aca="false">IF(OR(H25="",I25=""),9999,H25+I25/12)</f>
        <v>2027</v>
      </c>
      <c r="L25" s="24" t="n">
        <f aca="false">IF(E25="",0,IF(F25="設施",E25/1000/INDEX(Players!$D$13:$M$13,1,MAX(1,MIN(10,H25-2022))),E25/1000*g_ITtoFac))</f>
        <v>0.1</v>
      </c>
      <c r="M25" s="24" t="n">
        <f aca="false">K25</f>
        <v>2027</v>
      </c>
      <c r="N25" s="24" t="n">
        <f aca="false">IF(K25&gt;asof,K25+N(J25)/12,K25)</f>
        <v>2027</v>
      </c>
      <c r="O25" s="24" t="n">
        <f aca="false">IF(K25&gt;asof,K25+IF(N(J25)&gt;0,N(J25),dly_d1_m)/12,K25)</f>
        <v>2027.5</v>
      </c>
      <c r="P25" s="20" t="n">
        <f aca="false">IF(K25=9999,"",ROUNDUP(K25,0)-1)</f>
        <v>2026</v>
      </c>
      <c r="Q25" s="20" t="n">
        <f aca="false">IF(AND(N(G25)=1,K25&lt;9999,L25&gt;0),1,0)</f>
        <v>1</v>
      </c>
      <c r="R25" s="20" t="n">
        <f aca="false">IF(AND(K25&gt;asof,K25&lt;9999,N(S25)&lt;&gt;1,P25&gt;=dly_d2_y0,P25&lt;=dly_d2_y1),1,0)</f>
        <v>0</v>
      </c>
      <c r="S25" s="19" t="n">
        <f aca="false">IF(In!O186="","",In!O186)</f>
        <v>0</v>
      </c>
    </row>
    <row r="26" customFormat="false" ht="17.15" hidden="false" customHeight="false" outlineLevel="0" collapsed="false">
      <c r="A26" s="0" t="s">
        <v>559</v>
      </c>
      <c r="B26" s="19" t="str">
        <f aca="false">In!B187</f>
        <v>IREN 2027 累計 0.8 GW 目標增量</v>
      </c>
      <c r="C26" s="19" t="str">
        <f aca="false">IF(In!H187="","",In!H187)</f>
        <v>neo</v>
      </c>
      <c r="D26" s="19" t="str">
        <f aca="false">IF(In!I187="","",In!I187)</f>
        <v/>
      </c>
      <c r="E26" s="19" t="n">
        <f aca="false">IF(In!J187="","",In!J187)</f>
        <v>500</v>
      </c>
      <c r="F26" s="19" t="str">
        <f aca="false">In!C187</f>
        <v>IT</v>
      </c>
      <c r="G26" s="19" t="n">
        <f aca="false">IF(In!N187="","",In!N187)</f>
        <v>1</v>
      </c>
      <c r="H26" s="19" t="n">
        <f aca="false">IF(In!K187="","",In!K187)</f>
        <v>2027</v>
      </c>
      <c r="I26" s="19" t="n">
        <f aca="false">IF(In!L187="","",In!L187)</f>
        <v>12</v>
      </c>
      <c r="J26" s="19" t="n">
        <f aca="false">N(In!M187)</f>
        <v>0</v>
      </c>
      <c r="K26" s="24" t="n">
        <f aca="false">IF(OR(H26="",I26=""),9999,H26+I26/12)</f>
        <v>2028</v>
      </c>
      <c r="L26" s="24" t="n">
        <f aca="false">IF(E26="",0,IF(F26="設施",E26/1000/INDEX(Players!$D$13:$M$13,1,MAX(1,MIN(10,H26-2022))),E26/1000*g_ITtoFac))</f>
        <v>0.5</v>
      </c>
      <c r="M26" s="24" t="n">
        <f aca="false">K26</f>
        <v>2028</v>
      </c>
      <c r="N26" s="24" t="n">
        <f aca="false">IF(K26&gt;asof,K26+N(J26)/12,K26)</f>
        <v>2028</v>
      </c>
      <c r="O26" s="24" t="n">
        <f aca="false">IF(K26&gt;asof,K26+IF(N(J26)&gt;0,N(J26),dly_d1_m)/12,K26)</f>
        <v>2028.5</v>
      </c>
      <c r="P26" s="20" t="n">
        <f aca="false">IF(K26=9999,"",ROUNDUP(K26,0)-1)</f>
        <v>2027</v>
      </c>
      <c r="Q26" s="20" t="n">
        <f aca="false">IF(AND(N(G26)=1,K26&lt;9999,L26&gt;0),1,0)</f>
        <v>1</v>
      </c>
      <c r="R26" s="20" t="n">
        <f aca="false">IF(AND(K26&gt;asof,K26&lt;9999,N(S26)&lt;&gt;1,P26&gt;=dly_d2_y0,P26&lt;=dly_d2_y1),1,0)</f>
        <v>1</v>
      </c>
      <c r="S26" s="19" t="n">
        <f aca="false">IF(In!O187="","",In!O187)</f>
        <v>0</v>
      </c>
    </row>
    <row r="27" customFormat="false" ht="17.15" hidden="false" customHeight="false" outlineLevel="0" collapsed="false">
      <c r="A27" s="0" t="s">
        <v>562</v>
      </c>
      <c r="B27" s="19" t="str">
        <f aca="false">In!B188</f>
        <v>TeraWulf Kentucky（Anthropic）首期</v>
      </c>
      <c r="C27" s="19" t="str">
        <f aca="false">IF(In!H188="","",In!H188)</f>
        <v>neo</v>
      </c>
      <c r="D27" s="19" t="str">
        <f aca="false">IF(In!I188="","",In!I188)</f>
        <v>ant</v>
      </c>
      <c r="E27" s="19" t="n">
        <f aca="false">IF(In!J188="","",In!J188)</f>
        <v>200</v>
      </c>
      <c r="F27" s="19" t="str">
        <f aca="false">In!C188</f>
        <v>IT</v>
      </c>
      <c r="G27" s="19" t="n">
        <f aca="false">IF(In!N188="","",In!N188)</f>
        <v>1</v>
      </c>
      <c r="H27" s="19" t="n">
        <f aca="false">IF(In!K188="","",In!K188)</f>
        <v>2027</v>
      </c>
      <c r="I27" s="19" t="n">
        <f aca="false">IF(In!L188="","",In!L188)</f>
        <v>9</v>
      </c>
      <c r="J27" s="19" t="n">
        <f aca="false">N(In!M188)</f>
        <v>0</v>
      </c>
      <c r="K27" s="24" t="n">
        <f aca="false">IF(OR(H27="",I27=""),9999,H27+I27/12)</f>
        <v>2027.75</v>
      </c>
      <c r="L27" s="24" t="n">
        <f aca="false">IF(E27="",0,IF(F27="設施",E27/1000/INDEX(Players!$D$13:$M$13,1,MAX(1,MIN(10,H27-2022))),E27/1000*g_ITtoFac))</f>
        <v>0.2</v>
      </c>
      <c r="M27" s="24" t="n">
        <f aca="false">K27</f>
        <v>2027.75</v>
      </c>
      <c r="N27" s="24" t="n">
        <f aca="false">IF(K27&gt;asof,K27+N(J27)/12,K27)</f>
        <v>2027.75</v>
      </c>
      <c r="O27" s="24" t="n">
        <f aca="false">IF(K27&gt;asof,K27+IF(N(J27)&gt;0,N(J27),dly_d1_m)/12,K27)</f>
        <v>2028.25</v>
      </c>
      <c r="P27" s="20" t="n">
        <f aca="false">IF(K27=9999,"",ROUNDUP(K27,0)-1)</f>
        <v>2027</v>
      </c>
      <c r="Q27" s="20" t="n">
        <f aca="false">IF(AND(N(G27)=1,K27&lt;9999,L27&gt;0),1,0)</f>
        <v>1</v>
      </c>
      <c r="R27" s="20" t="n">
        <f aca="false">IF(AND(K27&gt;asof,K27&lt;9999,N(S27)&lt;&gt;1,P27&gt;=dly_d2_y0,P27&lt;=dly_d2_y1),1,0)</f>
        <v>1</v>
      </c>
      <c r="S27" s="19" t="n">
        <f aca="false">IF(In!O188="","",In!O188)</f>
        <v>0</v>
      </c>
    </row>
    <row r="28" customFormat="false" ht="17.15" hidden="false" customHeight="false" outlineLevel="0" collapsed="false">
      <c r="A28" s="0" t="s">
        <v>565</v>
      </c>
      <c r="B28" s="19" t="str">
        <f aca="false">In!B189</f>
        <v>TeraWulf Kentucky 其餘</v>
      </c>
      <c r="C28" s="19" t="str">
        <f aca="false">IF(In!H189="","",In!H189)</f>
        <v>neo</v>
      </c>
      <c r="D28" s="19" t="str">
        <f aca="false">IF(In!I189="","",In!I189)</f>
        <v>ant</v>
      </c>
      <c r="E28" s="19" t="n">
        <f aca="false">IF(In!J189="","",In!J189)</f>
        <v>201</v>
      </c>
      <c r="F28" s="19" t="str">
        <f aca="false">In!C189</f>
        <v>IT</v>
      </c>
      <c r="G28" s="19" t="n">
        <f aca="false">IF(In!N189="","",In!N189)</f>
        <v>1</v>
      </c>
      <c r="H28" s="19" t="n">
        <f aca="false">IF(In!K189="","",In!K189)</f>
        <v>2028</v>
      </c>
      <c r="I28" s="19" t="n">
        <f aca="false">IF(In!L189="","",In!L189)</f>
        <v>2</v>
      </c>
      <c r="J28" s="19" t="n">
        <f aca="false">N(In!M189)</f>
        <v>0</v>
      </c>
      <c r="K28" s="24" t="n">
        <f aca="false">IF(OR(H28="",I28=""),9999,H28+I28/12)</f>
        <v>2028.16666666667</v>
      </c>
      <c r="L28" s="24" t="n">
        <f aca="false">IF(E28="",0,IF(F28="設施",E28/1000/INDEX(Players!$D$13:$M$13,1,MAX(1,MIN(10,H28-2022))),E28/1000*g_ITtoFac))</f>
        <v>0.201</v>
      </c>
      <c r="M28" s="24" t="n">
        <f aca="false">K28</f>
        <v>2028.16666666667</v>
      </c>
      <c r="N28" s="24" t="n">
        <f aca="false">IF(K28&gt;asof,K28+N(J28)/12,K28)</f>
        <v>2028.16666666667</v>
      </c>
      <c r="O28" s="24" t="n">
        <f aca="false">IF(K28&gt;asof,K28+IF(N(J28)&gt;0,N(J28),dly_d1_m)/12,K28)</f>
        <v>2028.66666666667</v>
      </c>
      <c r="P28" s="20" t="n">
        <f aca="false">IF(K28=9999,"",ROUNDUP(K28,0)-1)</f>
        <v>2028</v>
      </c>
      <c r="Q28" s="20" t="n">
        <f aca="false">IF(AND(N(G28)=1,K28&lt;9999,L28&gt;0),1,0)</f>
        <v>1</v>
      </c>
      <c r="R28" s="20" t="n">
        <f aca="false">IF(AND(K28&gt;asof,K28&lt;9999,N(S28)&lt;&gt;1,P28&gt;=dly_d2_y0,P28&lt;=dly_d2_y1),1,0)</f>
        <v>1</v>
      </c>
      <c r="S28" s="19" t="n">
        <f aca="false">IF(In!O189="","",In!O189)</f>
        <v>0</v>
      </c>
    </row>
    <row r="29" customFormat="false" ht="17.15" hidden="false" customHeight="false" outlineLevel="0" collapsed="false">
      <c r="A29" s="0" t="s">
        <v>567</v>
      </c>
      <c r="B29" s="19" t="str">
        <f aca="false">In!B190</f>
        <v>Ports Pike（SB Energy）首期 4.25 IT-GW 第 1 段</v>
      </c>
      <c r="C29" s="19" t="str">
        <f aca="false">IF(In!H190="","",In!H190)</f>
        <v>oai</v>
      </c>
      <c r="D29" s="19" t="str">
        <f aca="false">IF(In!I190="","",In!I190)</f>
        <v>oai</v>
      </c>
      <c r="E29" s="19" t="n">
        <f aca="false">IF(In!J190="","",In!J190)</f>
        <v>1417</v>
      </c>
      <c r="F29" s="19" t="str">
        <f aca="false">In!C190</f>
        <v>IT</v>
      </c>
      <c r="G29" s="19" t="n">
        <f aca="false">IF(In!N190="","",In!N190)</f>
        <v>1</v>
      </c>
      <c r="H29" s="19" t="n">
        <f aca="false">IF(In!K190="","",In!K190)</f>
        <v>2028</v>
      </c>
      <c r="I29" s="19" t="n">
        <f aca="false">IF(In!L190="","",In!L190)</f>
        <v>12</v>
      </c>
      <c r="J29" s="19" t="n">
        <f aca="false">N(In!M190)</f>
        <v>0</v>
      </c>
      <c r="K29" s="24" t="n">
        <f aca="false">IF(OR(H29="",I29=""),9999,H29+I29/12)</f>
        <v>2029</v>
      </c>
      <c r="L29" s="24" t="n">
        <f aca="false">IF(E29="",0,IF(F29="設施",E29/1000/INDEX(Players!$D$13:$M$13,1,MAX(1,MIN(10,H29-2022))),E29/1000*g_ITtoFac))</f>
        <v>1.417</v>
      </c>
      <c r="M29" s="24" t="n">
        <f aca="false">K29</f>
        <v>2029</v>
      </c>
      <c r="N29" s="24" t="n">
        <f aca="false">IF(K29&gt;asof,K29+N(J29)/12,K29)</f>
        <v>2029</v>
      </c>
      <c r="O29" s="24" t="n">
        <f aca="false">IF(K29&gt;asof,K29+IF(N(J29)&gt;0,N(J29),dly_d1_m)/12,K29)</f>
        <v>2029.5</v>
      </c>
      <c r="P29" s="20" t="n">
        <f aca="false">IF(K29=9999,"",ROUNDUP(K29,0)-1)</f>
        <v>2028</v>
      </c>
      <c r="Q29" s="20" t="n">
        <f aca="false">IF(AND(N(G29)=1,K29&lt;9999,L29&gt;0),1,0)</f>
        <v>1</v>
      </c>
      <c r="R29" s="20" t="n">
        <f aca="false">IF(AND(K29&gt;asof,K29&lt;9999,N(S29)&lt;&gt;1,P29&gt;=dly_d2_y0,P29&lt;=dly_d2_y1),1,0)</f>
        <v>1</v>
      </c>
      <c r="S29" s="19" t="n">
        <f aca="false">IF(In!O190="","",In!O190)</f>
        <v>0</v>
      </c>
    </row>
    <row r="30" customFormat="false" ht="17.15" hidden="false" customHeight="false" outlineLevel="0" collapsed="false">
      <c r="A30" s="0" t="s">
        <v>570</v>
      </c>
      <c r="B30" s="19" t="str">
        <f aca="false">In!B191</f>
        <v>Ports Pike（SB Energy）首期 4.25 IT-GW 第 2 段</v>
      </c>
      <c r="C30" s="19" t="str">
        <f aca="false">IF(In!H191="","",In!H191)</f>
        <v>oai</v>
      </c>
      <c r="D30" s="19" t="str">
        <f aca="false">IF(In!I191="","",In!I191)</f>
        <v>oai</v>
      </c>
      <c r="E30" s="19" t="n">
        <f aca="false">IF(In!J191="","",In!J191)</f>
        <v>1417</v>
      </c>
      <c r="F30" s="19" t="str">
        <f aca="false">In!C191</f>
        <v>IT</v>
      </c>
      <c r="G30" s="19" t="n">
        <f aca="false">IF(In!N191="","",In!N191)</f>
        <v>1</v>
      </c>
      <c r="H30" s="19" t="n">
        <f aca="false">IF(In!K191="","",In!K191)</f>
        <v>2029</v>
      </c>
      <c r="I30" s="19" t="n">
        <f aca="false">IF(In!L191="","",In!L191)</f>
        <v>12</v>
      </c>
      <c r="J30" s="19" t="n">
        <f aca="false">N(In!M191)</f>
        <v>0</v>
      </c>
      <c r="K30" s="24" t="n">
        <f aca="false">IF(OR(H30="",I30=""),9999,H30+I30/12)</f>
        <v>2030</v>
      </c>
      <c r="L30" s="24" t="n">
        <f aca="false">IF(E30="",0,IF(F30="設施",E30/1000/INDEX(Players!$D$13:$M$13,1,MAX(1,MIN(10,H30-2022))),E30/1000*g_ITtoFac))</f>
        <v>1.417</v>
      </c>
      <c r="M30" s="24" t="n">
        <f aca="false">K30</f>
        <v>2030</v>
      </c>
      <c r="N30" s="24" t="n">
        <f aca="false">IF(K30&gt;asof,K30+N(J30)/12,K30)</f>
        <v>2030</v>
      </c>
      <c r="O30" s="24" t="n">
        <f aca="false">IF(K30&gt;asof,K30+IF(N(J30)&gt;0,N(J30),dly_d1_m)/12,K30)</f>
        <v>2030.5</v>
      </c>
      <c r="P30" s="20" t="n">
        <f aca="false">IF(K30=9999,"",ROUNDUP(K30,0)-1)</f>
        <v>2029</v>
      </c>
      <c r="Q30" s="20" t="n">
        <f aca="false">IF(AND(N(G30)=1,K30&lt;9999,L30&gt;0),1,0)</f>
        <v>1</v>
      </c>
      <c r="R30" s="20" t="n">
        <f aca="false">IF(AND(K30&gt;asof,K30&lt;9999,N(S30)&lt;&gt;1,P30&gt;=dly_d2_y0,P30&lt;=dly_d2_y1),1,0)</f>
        <v>0</v>
      </c>
      <c r="S30" s="19" t="n">
        <f aca="false">IF(In!O191="","",In!O191)</f>
        <v>0</v>
      </c>
    </row>
    <row r="31" customFormat="false" ht="17.15" hidden="false" customHeight="false" outlineLevel="0" collapsed="false">
      <c r="A31" s="0" t="s">
        <v>572</v>
      </c>
      <c r="B31" s="19" t="str">
        <f aca="false">In!B192</f>
        <v>Ports Pike（SB Energy）首期 4.25 IT-GW 第 3 段</v>
      </c>
      <c r="C31" s="19" t="str">
        <f aca="false">IF(In!H192="","",In!H192)</f>
        <v>oai</v>
      </c>
      <c r="D31" s="19" t="str">
        <f aca="false">IF(In!I192="","",In!I192)</f>
        <v>oai</v>
      </c>
      <c r="E31" s="19" t="n">
        <f aca="false">IF(In!J192="","",In!J192)</f>
        <v>1416</v>
      </c>
      <c r="F31" s="19" t="str">
        <f aca="false">In!C192</f>
        <v>IT</v>
      </c>
      <c r="G31" s="19" t="n">
        <f aca="false">IF(In!N192="","",In!N192)</f>
        <v>1</v>
      </c>
      <c r="H31" s="19" t="n">
        <f aca="false">IF(In!K192="","",In!K192)</f>
        <v>2030</v>
      </c>
      <c r="I31" s="19" t="n">
        <f aca="false">IF(In!L192="","",In!L192)</f>
        <v>12</v>
      </c>
      <c r="J31" s="19" t="n">
        <f aca="false">N(In!M192)</f>
        <v>0</v>
      </c>
      <c r="K31" s="24" t="n">
        <f aca="false">IF(OR(H31="",I31=""),9999,H31+I31/12)</f>
        <v>2031</v>
      </c>
      <c r="L31" s="24" t="n">
        <f aca="false">IF(E31="",0,IF(F31="設施",E31/1000/INDEX(Players!$D$13:$M$13,1,MAX(1,MIN(10,H31-2022))),E31/1000*g_ITtoFac))</f>
        <v>1.416</v>
      </c>
      <c r="M31" s="24" t="n">
        <f aca="false">K31</f>
        <v>2031</v>
      </c>
      <c r="N31" s="24" t="n">
        <f aca="false">IF(K31&gt;asof,K31+N(J31)/12,K31)</f>
        <v>2031</v>
      </c>
      <c r="O31" s="24" t="n">
        <f aca="false">IF(K31&gt;asof,K31+IF(N(J31)&gt;0,N(J31),dly_d1_m)/12,K31)</f>
        <v>2031.5</v>
      </c>
      <c r="P31" s="20" t="n">
        <f aca="false">IF(K31=9999,"",ROUNDUP(K31,0)-1)</f>
        <v>2030</v>
      </c>
      <c r="Q31" s="20" t="n">
        <f aca="false">IF(AND(N(G31)=1,K31&lt;9999,L31&gt;0),1,0)</f>
        <v>1</v>
      </c>
      <c r="R31" s="20" t="n">
        <f aca="false">IF(AND(K31&gt;asof,K31&lt;9999,N(S31)&lt;&gt;1,P31&gt;=dly_d2_y0,P31&lt;=dly_d2_y1),1,0)</f>
        <v>0</v>
      </c>
      <c r="S31" s="19" t="n">
        <f aca="false">IF(In!O192="","",In!O192)</f>
        <v>0</v>
      </c>
    </row>
    <row r="32" customFormat="false" ht="17.15" hidden="false" customHeight="false" outlineLevel="0" collapsed="false">
      <c r="A32" s="0" t="s">
        <v>574</v>
      </c>
      <c r="B32" s="19" t="str">
        <f aca="false">In!B193</f>
        <v>Humain 首期（Riyadh、Dammam 各 100 MW）</v>
      </c>
      <c r="C32" s="19" t="str">
        <f aca="false">IF(In!H193="","",In!H193)</f>
        <v>sov</v>
      </c>
      <c r="D32" s="19" t="str">
        <f aca="false">IF(In!I193="","",In!I193)</f>
        <v/>
      </c>
      <c r="E32" s="19" t="n">
        <f aca="false">IF(In!J193="","",In!J193)</f>
        <v>200</v>
      </c>
      <c r="F32" s="19" t="str">
        <f aca="false">In!C193</f>
        <v>未說明</v>
      </c>
      <c r="G32" s="19" t="n">
        <f aca="false">IF(In!N193="","",In!N193)</f>
        <v>1</v>
      </c>
      <c r="H32" s="19" t="n">
        <f aca="false">IF(In!K193="","",In!K193)</f>
        <v>2026</v>
      </c>
      <c r="I32" s="19" t="n">
        <f aca="false">IF(In!L193="","",In!L193)</f>
        <v>6</v>
      </c>
      <c r="J32" s="19" t="n">
        <f aca="false">N(In!M193)</f>
        <v>0</v>
      </c>
      <c r="K32" s="24" t="n">
        <f aca="false">IF(OR(H32="",I32=""),9999,H32+I32/12)</f>
        <v>2026.5</v>
      </c>
      <c r="L32" s="24" t="n">
        <f aca="false">IF(E32="",0,IF(F32="設施",E32/1000/INDEX(Players!$D$13:$M$13,1,MAX(1,MIN(10,H32-2022))),E32/1000*g_ITtoFac))</f>
        <v>0.2</v>
      </c>
      <c r="M32" s="24" t="n">
        <f aca="false">K32</f>
        <v>2026.5</v>
      </c>
      <c r="N32" s="24" t="n">
        <f aca="false">IF(K32&gt;asof,K32+N(J32)/12,K32)</f>
        <v>2026.5</v>
      </c>
      <c r="O32" s="24" t="n">
        <f aca="false">IF(K32&gt;asof,K32+IF(N(J32)&gt;0,N(J32),dly_d1_m)/12,K32)</f>
        <v>2026.5</v>
      </c>
      <c r="P32" s="20" t="n">
        <f aca="false">IF(K32=9999,"",ROUNDUP(K32,0)-1)</f>
        <v>2026</v>
      </c>
      <c r="Q32" s="20" t="n">
        <f aca="false">IF(AND(N(G32)=1,K32&lt;9999,L32&gt;0),1,0)</f>
        <v>1</v>
      </c>
      <c r="R32" s="20" t="n">
        <f aca="false">IF(AND(K32&gt;asof,K32&lt;9999,N(S32)&lt;&gt;1,P32&gt;=dly_d2_y0,P32&lt;=dly_d2_y1),1,0)</f>
        <v>0</v>
      </c>
      <c r="S32" s="19" t="n">
        <f aca="false">IF(In!O193="","",In!O193)</f>
        <v>0</v>
      </c>
    </row>
    <row r="33" customFormat="false" ht="17.15" hidden="false" customHeight="false" outlineLevel="0" collapsed="false">
      <c r="A33" s="0" t="s">
        <v>578</v>
      </c>
      <c r="B33" s="19" t="str">
        <f aca="false">In!B194</f>
        <v>Humain 至 1.9 GW（2030）</v>
      </c>
      <c r="C33" s="19" t="str">
        <f aca="false">IF(In!H194="","",In!H194)</f>
        <v>sov</v>
      </c>
      <c r="D33" s="19" t="str">
        <f aca="false">IF(In!I194="","",In!I194)</f>
        <v/>
      </c>
      <c r="E33" s="19" t="n">
        <f aca="false">IF(In!J194="","",In!J194)</f>
        <v>1700</v>
      </c>
      <c r="F33" s="19" t="str">
        <f aca="false">In!C194</f>
        <v>未說明</v>
      </c>
      <c r="G33" s="19" t="n">
        <f aca="false">IF(In!N194="","",In!N194)</f>
        <v>1</v>
      </c>
      <c r="H33" s="19" t="n">
        <f aca="false">IF(In!K194="","",In!K194)</f>
        <v>2030</v>
      </c>
      <c r="I33" s="19" t="n">
        <f aca="false">IF(In!L194="","",In!L194)</f>
        <v>12</v>
      </c>
      <c r="J33" s="19" t="n">
        <f aca="false">N(In!M194)</f>
        <v>0</v>
      </c>
      <c r="K33" s="24" t="n">
        <f aca="false">IF(OR(H33="",I33=""),9999,H33+I33/12)</f>
        <v>2031</v>
      </c>
      <c r="L33" s="24" t="n">
        <f aca="false">IF(E33="",0,IF(F33="設施",E33/1000/INDEX(Players!$D$13:$M$13,1,MAX(1,MIN(10,H33-2022))),E33/1000*g_ITtoFac))</f>
        <v>1.7</v>
      </c>
      <c r="M33" s="24" t="n">
        <f aca="false">K33</f>
        <v>2031</v>
      </c>
      <c r="N33" s="24" t="n">
        <f aca="false">IF(K33&gt;asof,K33+N(J33)/12,K33)</f>
        <v>2031</v>
      </c>
      <c r="O33" s="24" t="n">
        <f aca="false">IF(K33&gt;asof,K33+IF(N(J33)&gt;0,N(J33),dly_d1_m)/12,K33)</f>
        <v>2031.5</v>
      </c>
      <c r="P33" s="20" t="n">
        <f aca="false">IF(K33=9999,"",ROUNDUP(K33,0)-1)</f>
        <v>2030</v>
      </c>
      <c r="Q33" s="20" t="n">
        <f aca="false">IF(AND(N(G33)=1,K33&lt;9999,L33&gt;0),1,0)</f>
        <v>1</v>
      </c>
      <c r="R33" s="20" t="n">
        <f aca="false">IF(AND(K33&gt;asof,K33&lt;9999,N(S33)&lt;&gt;1,P33&gt;=dly_d2_y0,P33&lt;=dly_d2_y1),1,0)</f>
        <v>0</v>
      </c>
      <c r="S33" s="19" t="n">
        <f aca="false">IF(In!O194="","",In!O194)</f>
        <v>0</v>
      </c>
    </row>
    <row r="34" customFormat="false" ht="15" hidden="false" customHeight="false" outlineLevel="0" collapsed="false">
      <c r="A34" s="0" t="s">
        <v>581</v>
      </c>
      <c r="B34" s="19" t="str">
        <f aca="false">In!B195</f>
        <v>Nebius Lappeenranta</v>
      </c>
      <c r="C34" s="19" t="str">
        <f aca="false">IF(In!H195="","",In!H195)</f>
        <v>nbis</v>
      </c>
      <c r="D34" s="19" t="str">
        <f aca="false">IF(In!I195="","",In!I195)</f>
        <v/>
      </c>
      <c r="E34" s="19" t="n">
        <f aca="false">IF(In!J195="","",In!J195)</f>
        <v>310</v>
      </c>
      <c r="F34" s="19" t="str">
        <f aca="false">In!C195</f>
        <v>未說明</v>
      </c>
      <c r="G34" s="19" t="n">
        <f aca="false">IF(In!N195="","",In!N195)</f>
        <v>0</v>
      </c>
      <c r="H34" s="19" t="n">
        <f aca="false">IF(In!K195="","",In!K195)</f>
        <v>2027</v>
      </c>
      <c r="I34" s="19" t="n">
        <f aca="false">IF(In!L195="","",In!L195)</f>
        <v>12</v>
      </c>
      <c r="J34" s="19" t="n">
        <f aca="false">N(In!M195)</f>
        <v>0</v>
      </c>
      <c r="K34" s="24" t="n">
        <f aca="false">IF(OR(H34="",I34=""),9999,H34+I34/12)</f>
        <v>2028</v>
      </c>
      <c r="L34" s="24" t="n">
        <f aca="false">IF(E34="",0,IF(F34="設施",E34/1000/INDEX(Players!$D$13:$M$13,1,MAX(1,MIN(10,H34-2022))),E34/1000*g_ITtoFac))</f>
        <v>0.31</v>
      </c>
      <c r="M34" s="24" t="n">
        <f aca="false">K34</f>
        <v>2028</v>
      </c>
      <c r="N34" s="24" t="n">
        <f aca="false">IF(K34&gt;asof,K34+N(J34)/12,K34)</f>
        <v>2028</v>
      </c>
      <c r="O34" s="24" t="n">
        <f aca="false">IF(K34&gt;asof,K34+IF(N(J34)&gt;0,N(J34),dly_d1_m)/12,K34)</f>
        <v>2028.5</v>
      </c>
      <c r="P34" s="20" t="n">
        <f aca="false">IF(K34=9999,"",ROUNDUP(K34,0)-1)</f>
        <v>2027</v>
      </c>
      <c r="Q34" s="20" t="n">
        <f aca="false">IF(AND(N(G34)=1,K34&lt;9999,L34&gt;0),1,0)</f>
        <v>0</v>
      </c>
      <c r="R34" s="20" t="n">
        <f aca="false">IF(AND(K34&gt;asof,K34&lt;9999,N(S34)&lt;&gt;1,P34&gt;=dly_d2_y0,P34&lt;=dly_d2_y1),1,0)</f>
        <v>1</v>
      </c>
      <c r="S34" s="19" t="n">
        <f aca="false">IF(In!O195="","",In!O195)</f>
        <v>0</v>
      </c>
    </row>
    <row r="35" customFormat="false" ht="15" hidden="false" customHeight="false" outlineLevel="0" collapsed="false">
      <c r="A35" s="0" t="s">
        <v>585</v>
      </c>
      <c r="B35" s="19" t="str">
        <f aca="false">In!B196</f>
        <v>Nebius Independence, Missouri</v>
      </c>
      <c r="C35" s="19" t="str">
        <f aca="false">IF(In!H196="","",In!H196)</f>
        <v>nbis</v>
      </c>
      <c r="D35" s="19" t="str">
        <f aca="false">IF(In!I196="","",In!I196)</f>
        <v/>
      </c>
      <c r="E35" s="19" t="n">
        <f aca="false">IF(In!J196="","",In!J196)</f>
        <v>1200</v>
      </c>
      <c r="F35" s="19" t="str">
        <f aca="false">In!C196</f>
        <v>未說明</v>
      </c>
      <c r="G35" s="19" t="n">
        <f aca="false">IF(In!N196="","",In!N196)</f>
        <v>0</v>
      </c>
      <c r="H35" s="19" t="n">
        <f aca="false">IF(In!K196="","",In!K196)</f>
        <v>2027</v>
      </c>
      <c r="I35" s="19" t="n">
        <f aca="false">IF(In!L196="","",In!L196)</f>
        <v>12</v>
      </c>
      <c r="J35" s="19" t="n">
        <f aca="false">N(In!M196)</f>
        <v>0</v>
      </c>
      <c r="K35" s="24" t="n">
        <f aca="false">IF(OR(H35="",I35=""),9999,H35+I35/12)</f>
        <v>2028</v>
      </c>
      <c r="L35" s="24" t="n">
        <f aca="false">IF(E35="",0,IF(F35="設施",E35/1000/INDEX(Players!$D$13:$M$13,1,MAX(1,MIN(10,H35-2022))),E35/1000*g_ITtoFac))</f>
        <v>1.2</v>
      </c>
      <c r="M35" s="24" t="n">
        <f aca="false">K35</f>
        <v>2028</v>
      </c>
      <c r="N35" s="24" t="n">
        <f aca="false">IF(K35&gt;asof,K35+N(J35)/12,K35)</f>
        <v>2028</v>
      </c>
      <c r="O35" s="24" t="n">
        <f aca="false">IF(K35&gt;asof,K35+IF(N(J35)&gt;0,N(J35),dly_d1_m)/12,K35)</f>
        <v>2028.5</v>
      </c>
      <c r="P35" s="20" t="n">
        <f aca="false">IF(K35=9999,"",ROUNDUP(K35,0)-1)</f>
        <v>2027</v>
      </c>
      <c r="Q35" s="20" t="n">
        <f aca="false">IF(AND(N(G35)=1,K35&lt;9999,L35&gt;0),1,0)</f>
        <v>0</v>
      </c>
      <c r="R35" s="20" t="n">
        <f aca="false">IF(AND(K35&gt;asof,K35&lt;9999,N(S35)&lt;&gt;1,P35&gt;=dly_d2_y0,P35&lt;=dly_d2_y1),1,0)</f>
        <v>1</v>
      </c>
      <c r="S35" s="19" t="n">
        <f aca="false">IF(In!O196="","",In!O196)</f>
        <v>0</v>
      </c>
    </row>
    <row r="36" customFormat="false" ht="15" hidden="false" customHeight="false" outlineLevel="0" collapsed="false">
      <c r="A36" s="0" t="s">
        <v>588</v>
      </c>
      <c r="B36" s="19" t="str">
        <f aca="false">In!B197</f>
        <v>Nebius Pennsylvania</v>
      </c>
      <c r="C36" s="19" t="str">
        <f aca="false">IF(In!H197="","",In!H197)</f>
        <v>nbis</v>
      </c>
      <c r="D36" s="19" t="str">
        <f aca="false">IF(In!I197="","",In!I197)</f>
        <v/>
      </c>
      <c r="E36" s="19" t="n">
        <f aca="false">IF(In!J197="","",In!J197)</f>
        <v>1200</v>
      </c>
      <c r="F36" s="19" t="str">
        <f aca="false">In!C197</f>
        <v>未說明</v>
      </c>
      <c r="G36" s="19" t="n">
        <f aca="false">IF(In!N197="","",In!N197)</f>
        <v>0</v>
      </c>
      <c r="H36" s="19" t="n">
        <f aca="false">IF(In!K197="","",In!K197)</f>
        <v>2027</v>
      </c>
      <c r="I36" s="19" t="n">
        <f aca="false">IF(In!L197="","",In!L197)</f>
        <v>12</v>
      </c>
      <c r="J36" s="19" t="n">
        <f aca="false">N(In!M197)</f>
        <v>0</v>
      </c>
      <c r="K36" s="24" t="n">
        <f aca="false">IF(OR(H36="",I36=""),9999,H36+I36/12)</f>
        <v>2028</v>
      </c>
      <c r="L36" s="24" t="n">
        <f aca="false">IF(E36="",0,IF(F36="設施",E36/1000/INDEX(Players!$D$13:$M$13,1,MAX(1,MIN(10,H36-2022))),E36/1000*g_ITtoFac))</f>
        <v>1.2</v>
      </c>
      <c r="M36" s="24" t="n">
        <f aca="false">K36</f>
        <v>2028</v>
      </c>
      <c r="N36" s="24" t="n">
        <f aca="false">IF(K36&gt;asof,K36+N(J36)/12,K36)</f>
        <v>2028</v>
      </c>
      <c r="O36" s="24" t="n">
        <f aca="false">IF(K36&gt;asof,K36+IF(N(J36)&gt;0,N(J36),dly_d1_m)/12,K36)</f>
        <v>2028.5</v>
      </c>
      <c r="P36" s="20" t="n">
        <f aca="false">IF(K36=9999,"",ROUNDUP(K36,0)-1)</f>
        <v>2027</v>
      </c>
      <c r="Q36" s="20" t="n">
        <f aca="false">IF(AND(N(G36)=1,K36&lt;9999,L36&gt;0),1,0)</f>
        <v>0</v>
      </c>
      <c r="R36" s="20" t="n">
        <f aca="false">IF(AND(K36&gt;asof,K36&lt;9999,N(S36)&lt;&gt;1,P36&gt;=dly_d2_y0,P36&lt;=dly_d2_y1),1,0)</f>
        <v>1</v>
      </c>
      <c r="S36" s="19" t="n">
        <f aca="false">IF(In!O197="","",In!O197)</f>
        <v>0</v>
      </c>
    </row>
    <row r="37" customFormat="false" ht="15" hidden="false" customHeight="false" outlineLevel="0" collapsed="false">
      <c r="A37" s="0" t="s">
        <v>591</v>
      </c>
      <c r="B37" s="19" t="str">
        <f aca="false">In!B198</f>
        <v>CoreWeave Lancaster PA</v>
      </c>
      <c r="C37" s="19" t="str">
        <f aca="false">IF(In!H198="","",In!H198)</f>
        <v>crwv</v>
      </c>
      <c r="D37" s="19" t="str">
        <f aca="false">IF(In!I198="","",In!I198)</f>
        <v/>
      </c>
      <c r="E37" s="19" t="n">
        <f aca="false">IF(In!J198="","",In!J198)</f>
        <v>300</v>
      </c>
      <c r="F37" s="19" t="str">
        <f aca="false">In!C198</f>
        <v>未說明</v>
      </c>
      <c r="G37" s="19" t="n">
        <f aca="false">IF(In!N198="","",In!N198)</f>
        <v>0</v>
      </c>
      <c r="H37" s="19" t="n">
        <f aca="false">IF(In!K198="","",In!K198)</f>
        <v>2027</v>
      </c>
      <c r="I37" s="19" t="n">
        <f aca="false">IF(In!L198="","",In!L198)</f>
        <v>12</v>
      </c>
      <c r="J37" s="19" t="n">
        <f aca="false">N(In!M198)</f>
        <v>0</v>
      </c>
      <c r="K37" s="24" t="n">
        <f aca="false">IF(OR(H37="",I37=""),9999,H37+I37/12)</f>
        <v>2028</v>
      </c>
      <c r="L37" s="24" t="n">
        <f aca="false">IF(E37="",0,IF(F37="設施",E37/1000/INDEX(Players!$D$13:$M$13,1,MAX(1,MIN(10,H37-2022))),E37/1000*g_ITtoFac))</f>
        <v>0.3</v>
      </c>
      <c r="M37" s="24" t="n">
        <f aca="false">K37</f>
        <v>2028</v>
      </c>
      <c r="N37" s="24" t="n">
        <f aca="false">IF(K37&gt;asof,K37+N(J37)/12,K37)</f>
        <v>2028</v>
      </c>
      <c r="O37" s="24" t="n">
        <f aca="false">IF(K37&gt;asof,K37+IF(N(J37)&gt;0,N(J37),dly_d1_m)/12,K37)</f>
        <v>2028.5</v>
      </c>
      <c r="P37" s="20" t="n">
        <f aca="false">IF(K37=9999,"",ROUNDUP(K37,0)-1)</f>
        <v>2027</v>
      </c>
      <c r="Q37" s="20" t="n">
        <f aca="false">IF(AND(N(G37)=1,K37&lt;9999,L37&gt;0),1,0)</f>
        <v>0</v>
      </c>
      <c r="R37" s="20" t="n">
        <f aca="false">IF(AND(K37&gt;asof,K37&lt;9999,N(S37)&lt;&gt;1,P37&gt;=dly_d2_y0,P37&lt;=dly_d2_y1),1,0)</f>
        <v>1</v>
      </c>
      <c r="S37" s="19" t="n">
        <f aca="false">IF(In!O198="","",In!O198)</f>
        <v>0</v>
      </c>
    </row>
    <row r="38" customFormat="false" ht="17.15" hidden="false" customHeight="false" outlineLevel="0" collapsed="false">
      <c r="A38" s="0" t="s">
        <v>594</v>
      </c>
      <c r="B38" s="19" t="str">
        <f aca="false">In!B199</f>
        <v>Cipher Black Pearl（Amazon）</v>
      </c>
      <c r="C38" s="19" t="str">
        <f aca="false">IF(In!H199="","",In!H199)</f>
        <v>amzn</v>
      </c>
      <c r="D38" s="19" t="str">
        <f aca="false">IF(In!I199="","",In!I199)</f>
        <v/>
      </c>
      <c r="E38" s="19" t="n">
        <f aca="false">IF(In!J199="","",In!J199)</f>
        <v>216</v>
      </c>
      <c r="F38" s="19" t="str">
        <f aca="false">In!C199</f>
        <v>IT</v>
      </c>
      <c r="G38" s="19" t="n">
        <f aca="false">IF(In!N199="","",In!N199)</f>
        <v>0</v>
      </c>
      <c r="H38" s="19" t="n">
        <f aca="false">IF(In!K199="","",In!K199)</f>
        <v>2026</v>
      </c>
      <c r="I38" s="19" t="n">
        <f aca="false">IF(In!L199="","",In!L199)</f>
        <v>10</v>
      </c>
      <c r="J38" s="19" t="n">
        <f aca="false">N(In!M199)</f>
        <v>0</v>
      </c>
      <c r="K38" s="24" t="n">
        <f aca="false">IF(OR(H38="",I38=""),9999,H38+I38/12)</f>
        <v>2026.83333333333</v>
      </c>
      <c r="L38" s="24" t="n">
        <f aca="false">IF(E38="",0,IF(F38="設施",E38/1000/INDEX(Players!$D$13:$M$13,1,MAX(1,MIN(10,H38-2022))),E38/1000*g_ITtoFac))</f>
        <v>0.216</v>
      </c>
      <c r="M38" s="24" t="n">
        <f aca="false">K38</f>
        <v>2026.83333333333</v>
      </c>
      <c r="N38" s="24" t="n">
        <f aca="false">IF(K38&gt;asof,K38+N(J38)/12,K38)</f>
        <v>2026.83333333333</v>
      </c>
      <c r="O38" s="24" t="n">
        <f aca="false">IF(K38&gt;asof,K38+IF(N(J38)&gt;0,N(J38),dly_d1_m)/12,K38)</f>
        <v>2027.33333333333</v>
      </c>
      <c r="P38" s="20" t="n">
        <f aca="false">IF(K38=9999,"",ROUNDUP(K38,0)-1)</f>
        <v>2026</v>
      </c>
      <c r="Q38" s="20" t="n">
        <f aca="false">IF(AND(N(G38)=1,K38&lt;9999,L38&gt;0),1,0)</f>
        <v>0</v>
      </c>
      <c r="R38" s="20" t="n">
        <f aca="false">IF(AND(K38&gt;asof,K38&lt;9999,N(S38)&lt;&gt;1,P38&gt;=dly_d2_y0,P38&lt;=dly_d2_y1),1,0)</f>
        <v>0</v>
      </c>
      <c r="S38" s="19" t="n">
        <f aca="false">IF(In!O199="","",In!O199)</f>
        <v>0</v>
      </c>
    </row>
    <row r="39" customFormat="false" ht="17.15" hidden="false" customHeight="false" outlineLevel="0" collapsed="false">
      <c r="A39" s="0" t="s">
        <v>597</v>
      </c>
      <c r="B39" s="19" t="str">
        <f aca="false">In!B200</f>
        <v>Google–Blackstone TPU 雲合資</v>
      </c>
      <c r="C39" s="19" t="str">
        <f aca="false">IF(In!H200="","",In!H200)</f>
        <v>googl</v>
      </c>
      <c r="D39" s="19" t="str">
        <f aca="false">IF(In!I200="","",In!I200)</f>
        <v/>
      </c>
      <c r="E39" s="19" t="n">
        <f aca="false">IF(In!J200="","",In!J200)</f>
        <v>500</v>
      </c>
      <c r="F39" s="19" t="str">
        <f aca="false">In!C200</f>
        <v>未說明</v>
      </c>
      <c r="G39" s="19" t="n">
        <f aca="false">IF(In!N200="","",In!N200)</f>
        <v>0</v>
      </c>
      <c r="H39" s="19" t="n">
        <f aca="false">IF(In!K200="","",In!K200)</f>
        <v>2027</v>
      </c>
      <c r="I39" s="19" t="n">
        <f aca="false">IF(In!L200="","",In!L200)</f>
        <v>12</v>
      </c>
      <c r="J39" s="19" t="n">
        <f aca="false">N(In!M200)</f>
        <v>0</v>
      </c>
      <c r="K39" s="24" t="n">
        <f aca="false">IF(OR(H39="",I39=""),9999,H39+I39/12)</f>
        <v>2028</v>
      </c>
      <c r="L39" s="24" t="n">
        <f aca="false">IF(E39="",0,IF(F39="設施",E39/1000/INDEX(Players!$D$13:$M$13,1,MAX(1,MIN(10,H39-2022))),E39/1000*g_ITtoFac))</f>
        <v>0.5</v>
      </c>
      <c r="M39" s="24" t="n">
        <f aca="false">K39</f>
        <v>2028</v>
      </c>
      <c r="N39" s="24" t="n">
        <f aca="false">IF(K39&gt;asof,K39+N(J39)/12,K39)</f>
        <v>2028</v>
      </c>
      <c r="O39" s="24" t="n">
        <f aca="false">IF(K39&gt;asof,K39+IF(N(J39)&gt;0,N(J39),dly_d1_m)/12,K39)</f>
        <v>2028.5</v>
      </c>
      <c r="P39" s="20" t="n">
        <f aca="false">IF(K39=9999,"",ROUNDUP(K39,0)-1)</f>
        <v>2027</v>
      </c>
      <c r="Q39" s="20" t="n">
        <f aca="false">IF(AND(N(G39)=1,K39&lt;9999,L39&gt;0),1,0)</f>
        <v>0</v>
      </c>
      <c r="R39" s="20" t="n">
        <f aca="false">IF(AND(K39&gt;asof,K39&lt;9999,N(S39)&lt;&gt;1,P39&gt;=dly_d2_y0,P39&lt;=dly_d2_y1),1,0)</f>
        <v>1</v>
      </c>
      <c r="S39" s="19" t="n">
        <f aca="false">IF(In!O200="","",In!O200)</f>
        <v>0</v>
      </c>
    </row>
    <row r="40" customFormat="false" ht="15" hidden="false" customHeight="false" outlineLevel="0" collapsed="false">
      <c r="A40" s="0" t="s">
        <v>600</v>
      </c>
      <c r="B40" s="19" t="str">
        <f aca="false">In!B201</f>
        <v>Stargate Milam County</v>
      </c>
      <c r="C40" s="19" t="str">
        <f aca="false">IF(In!H201="","",In!H201)</f>
        <v>oai</v>
      </c>
      <c r="D40" s="19" t="str">
        <f aca="false">IF(In!I201="","",In!I201)</f>
        <v>oai</v>
      </c>
      <c r="E40" s="19" t="n">
        <f aca="false">IF(In!J201="","",In!J201)</f>
        <v>857</v>
      </c>
      <c r="F40" s="19" t="str">
        <f aca="false">In!C201</f>
        <v>IT</v>
      </c>
      <c r="G40" s="19" t="n">
        <f aca="false">IF(In!N201="","",In!N201)</f>
        <v>0</v>
      </c>
      <c r="H40" s="19" t="n">
        <f aca="false">IF(In!K201="","",In!K201)</f>
        <v>2026</v>
      </c>
      <c r="I40" s="19" t="n">
        <f aca="false">IF(In!L201="","",In!L201)</f>
        <v>10</v>
      </c>
      <c r="J40" s="19" t="n">
        <f aca="false">N(In!M201)</f>
        <v>0</v>
      </c>
      <c r="K40" s="24" t="n">
        <f aca="false">IF(OR(H40="",I40=""),9999,H40+I40/12)</f>
        <v>2026.83333333333</v>
      </c>
      <c r="L40" s="24" t="n">
        <f aca="false">IF(E40="",0,IF(F40="設施",E40/1000/INDEX(Players!$D$13:$M$13,1,MAX(1,MIN(10,H40-2022))),E40/1000*g_ITtoFac))</f>
        <v>0.857</v>
      </c>
      <c r="M40" s="24" t="n">
        <f aca="false">K40</f>
        <v>2026.83333333333</v>
      </c>
      <c r="N40" s="24" t="n">
        <f aca="false">IF(K40&gt;asof,K40+N(J40)/12,K40)</f>
        <v>2026.83333333333</v>
      </c>
      <c r="O40" s="24" t="n">
        <f aca="false">IF(K40&gt;asof,K40+IF(N(J40)&gt;0,N(J40),dly_d1_m)/12,K40)</f>
        <v>2027.33333333333</v>
      </c>
      <c r="P40" s="20" t="n">
        <f aca="false">IF(K40=9999,"",ROUNDUP(K40,0)-1)</f>
        <v>2026</v>
      </c>
      <c r="Q40" s="20" t="n">
        <f aca="false">IF(AND(N(G40)=1,K40&lt;9999,L40&gt;0),1,0)</f>
        <v>0</v>
      </c>
      <c r="R40" s="20" t="n">
        <f aca="false">IF(AND(K40&gt;asof,K40&lt;9999,N(S40)&lt;&gt;1,P40&gt;=dly_d2_y0,P40&lt;=dly_d2_y1),1,0)</f>
        <v>0</v>
      </c>
      <c r="S40" s="19" t="n">
        <f aca="false">IF(In!O201="","",In!O201)</f>
        <v>0</v>
      </c>
    </row>
    <row r="41" customFormat="false" ht="15" hidden="false" customHeight="false" outlineLevel="0" collapsed="false">
      <c r="A41" s="0" t="s">
        <v>603</v>
      </c>
      <c r="B41" s="19" t="str">
        <f aca="false">In!B202</f>
        <v>Stargate Lordstown</v>
      </c>
      <c r="C41" s="19" t="str">
        <f aca="false">IF(In!H202="","",In!H202)</f>
        <v>oai</v>
      </c>
      <c r="D41" s="19" t="str">
        <f aca="false">IF(In!I202="","",In!I202)</f>
        <v>oai</v>
      </c>
      <c r="E41" s="19" t="n">
        <f aca="false">IF(In!J202="","",In!J202)</f>
        <v>214</v>
      </c>
      <c r="F41" s="19" t="str">
        <f aca="false">In!C202</f>
        <v>IT</v>
      </c>
      <c r="G41" s="19" t="n">
        <f aca="false">IF(In!N202="","",In!N202)</f>
        <v>0</v>
      </c>
      <c r="H41" s="19" t="n">
        <f aca="false">IF(In!K202="","",In!K202)</f>
        <v>2027</v>
      </c>
      <c r="I41" s="19" t="n">
        <f aca="false">IF(In!L202="","",In!L202)</f>
        <v>3</v>
      </c>
      <c r="J41" s="19" t="n">
        <f aca="false">N(In!M202)</f>
        <v>0</v>
      </c>
      <c r="K41" s="24" t="n">
        <f aca="false">IF(OR(H41="",I41=""),9999,H41+I41/12)</f>
        <v>2027.25</v>
      </c>
      <c r="L41" s="24" t="n">
        <f aca="false">IF(E41="",0,IF(F41="設施",E41/1000/INDEX(Players!$D$13:$M$13,1,MAX(1,MIN(10,H41-2022))),E41/1000*g_ITtoFac))</f>
        <v>0.214</v>
      </c>
      <c r="M41" s="24" t="n">
        <f aca="false">K41</f>
        <v>2027.25</v>
      </c>
      <c r="N41" s="24" t="n">
        <f aca="false">IF(K41&gt;asof,K41+N(J41)/12,K41)</f>
        <v>2027.25</v>
      </c>
      <c r="O41" s="24" t="n">
        <f aca="false">IF(K41&gt;asof,K41+IF(N(J41)&gt;0,N(J41),dly_d1_m)/12,K41)</f>
        <v>2027.75</v>
      </c>
      <c r="P41" s="20" t="n">
        <f aca="false">IF(K41=9999,"",ROUNDUP(K41,0)-1)</f>
        <v>2027</v>
      </c>
      <c r="Q41" s="20" t="n">
        <f aca="false">IF(AND(N(G41)=1,K41&lt;9999,L41&gt;0),1,0)</f>
        <v>0</v>
      </c>
      <c r="R41" s="20" t="n">
        <f aca="false">IF(AND(K41&gt;asof,K41&lt;9999,N(S41)&lt;&gt;1,P41&gt;=dly_d2_y0,P41&lt;=dly_d2_y1),1,0)</f>
        <v>1</v>
      </c>
      <c r="S41" s="19" t="n">
        <f aca="false">IF(In!O202="","",In!O202)</f>
        <v>0</v>
      </c>
    </row>
    <row r="42" customFormat="false" ht="17.15" hidden="false" customHeight="false" outlineLevel="0" collapsed="false">
      <c r="A42" s="0" t="s">
        <v>606</v>
      </c>
      <c r="B42" s="19" t="str">
        <f aca="false">In!B203</f>
        <v>Cerebras（OpenAI）</v>
      </c>
      <c r="C42" s="19" t="str">
        <f aca="false">IF(In!H203="","",In!H203)</f>
        <v>neo</v>
      </c>
      <c r="D42" s="19" t="str">
        <f aca="false">IF(In!I203="","",In!I203)</f>
        <v>oai</v>
      </c>
      <c r="E42" s="19" t="n">
        <f aca="false">IF(In!J203="","",In!J203)</f>
        <v>750</v>
      </c>
      <c r="F42" s="19" t="str">
        <f aca="false">In!C203</f>
        <v>IT</v>
      </c>
      <c r="G42" s="19" t="n">
        <f aca="false">IF(In!N203="","",In!N203)</f>
        <v>0</v>
      </c>
      <c r="H42" s="19" t="n">
        <f aca="false">IF(In!K203="","",In!K203)</f>
        <v>2028</v>
      </c>
      <c r="I42" s="19" t="n">
        <f aca="false">IF(In!L203="","",In!L203)</f>
        <v>12</v>
      </c>
      <c r="J42" s="19" t="n">
        <f aca="false">N(In!M203)</f>
        <v>0</v>
      </c>
      <c r="K42" s="24" t="n">
        <f aca="false">IF(OR(H42="",I42=""),9999,H42+I42/12)</f>
        <v>2029</v>
      </c>
      <c r="L42" s="24" t="n">
        <f aca="false">IF(E42="",0,IF(F42="設施",E42/1000/INDEX(Players!$D$13:$M$13,1,MAX(1,MIN(10,H42-2022))),E42/1000*g_ITtoFac))</f>
        <v>0.75</v>
      </c>
      <c r="M42" s="24" t="n">
        <f aca="false">K42</f>
        <v>2029</v>
      </c>
      <c r="N42" s="24" t="n">
        <f aca="false">IF(K42&gt;asof,K42+N(J42)/12,K42)</f>
        <v>2029</v>
      </c>
      <c r="O42" s="24" t="n">
        <f aca="false">IF(K42&gt;asof,K42+IF(N(J42)&gt;0,N(J42),dly_d1_m)/12,K42)</f>
        <v>2029.5</v>
      </c>
      <c r="P42" s="20" t="n">
        <f aca="false">IF(K42=9999,"",ROUNDUP(K42,0)-1)</f>
        <v>2028</v>
      </c>
      <c r="Q42" s="20" t="n">
        <f aca="false">IF(AND(N(G42)=1,K42&lt;9999,L42&gt;0),1,0)</f>
        <v>0</v>
      </c>
      <c r="R42" s="20" t="n">
        <f aca="false">IF(AND(K42&gt;asof,K42&lt;9999,N(S42)&lt;&gt;1,P42&gt;=dly_d2_y0,P42&lt;=dly_d2_y1),1,0)</f>
        <v>1</v>
      </c>
      <c r="S42" s="19" t="n">
        <f aca="false">IF(In!O203="","",In!O203)</f>
        <v>0</v>
      </c>
    </row>
    <row r="43" customFormat="false" ht="17.15" hidden="false" customHeight="false" outlineLevel="0" collapsed="false">
      <c r="A43" s="0" t="s">
        <v>609</v>
      </c>
      <c r="B43" s="19" t="str">
        <f aca="false">In!B204</f>
        <v>Stargate UAE 第一期</v>
      </c>
      <c r="C43" s="19" t="str">
        <f aca="false">IF(In!H204="","",In!H204)</f>
        <v>sov</v>
      </c>
      <c r="D43" s="19" t="str">
        <f aca="false">IF(In!I204="","",In!I204)</f>
        <v>oai</v>
      </c>
      <c r="E43" s="19" t="n">
        <f aca="false">IF(In!J204="","",In!J204)</f>
        <v>200</v>
      </c>
      <c r="F43" s="19" t="str">
        <f aca="false">In!C204</f>
        <v>未說明</v>
      </c>
      <c r="G43" s="19" t="n">
        <f aca="false">IF(In!N204="","",In!N204)</f>
        <v>0</v>
      </c>
      <c r="H43" s="19" t="n">
        <f aca="false">IF(In!K204="","",In!K204)</f>
        <v>2026</v>
      </c>
      <c r="I43" s="19" t="n">
        <f aca="false">IF(In!L204="","",In!L204)</f>
        <v>9</v>
      </c>
      <c r="J43" s="19" t="n">
        <f aca="false">N(In!M204)</f>
        <v>0</v>
      </c>
      <c r="K43" s="24" t="n">
        <f aca="false">IF(OR(H43="",I43=""),9999,H43+I43/12)</f>
        <v>2026.75</v>
      </c>
      <c r="L43" s="24" t="n">
        <f aca="false">IF(E43="",0,IF(F43="設施",E43/1000/INDEX(Players!$D$13:$M$13,1,MAX(1,MIN(10,H43-2022))),E43/1000*g_ITtoFac))</f>
        <v>0.2</v>
      </c>
      <c r="M43" s="24" t="n">
        <f aca="false">K43</f>
        <v>2026.75</v>
      </c>
      <c r="N43" s="24" t="n">
        <f aca="false">IF(K43&gt;asof,K43+N(J43)/12,K43)</f>
        <v>2026.75</v>
      </c>
      <c r="O43" s="24" t="n">
        <f aca="false">IF(K43&gt;asof,K43+IF(N(J43)&gt;0,N(J43),dly_d1_m)/12,K43)</f>
        <v>2026.75</v>
      </c>
      <c r="P43" s="20" t="n">
        <f aca="false">IF(K43=9999,"",ROUNDUP(K43,0)-1)</f>
        <v>2026</v>
      </c>
      <c r="Q43" s="20" t="n">
        <f aca="false">IF(AND(N(G43)=1,K43&lt;9999,L43&gt;0),1,0)</f>
        <v>0</v>
      </c>
      <c r="R43" s="20" t="n">
        <f aca="false">IF(AND(K43&gt;asof,K43&lt;9999,N(S43)&lt;&gt;1,P43&gt;=dly_d2_y0,P43&lt;=dly_d2_y1),1,0)</f>
        <v>0</v>
      </c>
      <c r="S43" s="19" t="n">
        <f aca="false">IF(In!O204="","",In!O204)</f>
        <v>0</v>
      </c>
    </row>
    <row r="44" customFormat="false" ht="17.15" hidden="false" customHeight="false" outlineLevel="0" collapsed="false">
      <c r="A44" s="0" t="s">
        <v>612</v>
      </c>
      <c r="B44" s="19" t="str">
        <f aca="false">In!B205</f>
        <v>Mistral／MGX 法國</v>
      </c>
      <c r="C44" s="19" t="str">
        <f aca="false">IF(In!H205="","",In!H205)</f>
        <v>sov</v>
      </c>
      <c r="D44" s="19" t="str">
        <f aca="false">IF(In!I205="","",In!I205)</f>
        <v/>
      </c>
      <c r="E44" s="19" t="n">
        <f aca="false">IF(In!J205="","",In!J205)</f>
        <v>1400</v>
      </c>
      <c r="F44" s="19" t="str">
        <f aca="false">In!C205</f>
        <v>未說明</v>
      </c>
      <c r="G44" s="19" t="n">
        <f aca="false">IF(In!N205="","",In!N205)</f>
        <v>0</v>
      </c>
      <c r="H44" s="19" t="n">
        <f aca="false">IF(In!K205="","",In!K205)</f>
        <v>2028</v>
      </c>
      <c r="I44" s="19" t="n">
        <f aca="false">IF(In!L205="","",In!L205)</f>
        <v>12</v>
      </c>
      <c r="J44" s="19" t="n">
        <f aca="false">N(In!M205)</f>
        <v>0</v>
      </c>
      <c r="K44" s="24" t="n">
        <f aca="false">IF(OR(H44="",I44=""),9999,H44+I44/12)</f>
        <v>2029</v>
      </c>
      <c r="L44" s="24" t="n">
        <f aca="false">IF(E44="",0,IF(F44="設施",E44/1000/INDEX(Players!$D$13:$M$13,1,MAX(1,MIN(10,H44-2022))),E44/1000*g_ITtoFac))</f>
        <v>1.4</v>
      </c>
      <c r="M44" s="24" t="n">
        <f aca="false">K44</f>
        <v>2029</v>
      </c>
      <c r="N44" s="24" t="n">
        <f aca="false">IF(K44&gt;asof,K44+N(J44)/12,K44)</f>
        <v>2029</v>
      </c>
      <c r="O44" s="24" t="n">
        <f aca="false">IF(K44&gt;asof,K44+IF(N(J44)&gt;0,N(J44),dly_d1_m)/12,K44)</f>
        <v>2029.5</v>
      </c>
      <c r="P44" s="20" t="n">
        <f aca="false">IF(K44=9999,"",ROUNDUP(K44,0)-1)</f>
        <v>2028</v>
      </c>
      <c r="Q44" s="20" t="n">
        <f aca="false">IF(AND(N(G44)=1,K44&lt;9999,L44&gt;0),1,0)</f>
        <v>0</v>
      </c>
      <c r="R44" s="20" t="n">
        <f aca="false">IF(AND(K44&gt;asof,K44&lt;9999,N(S44)&lt;&gt;1,P44&gt;=dly_d2_y0,P44&lt;=dly_d2_y1),1,0)</f>
        <v>1</v>
      </c>
      <c r="S44" s="19" t="n">
        <f aca="false">IF(In!O205="","",In!O205)</f>
        <v>0</v>
      </c>
    </row>
    <row r="45" customFormat="false" ht="17.15" hidden="false" customHeight="false" outlineLevel="0" collapsed="false">
      <c r="A45" s="0" t="s">
        <v>615</v>
      </c>
      <c r="B45" s="19" t="str">
        <f aca="false">In!B206</f>
        <v>Nexus Hubbard TX（Anthropic）</v>
      </c>
      <c r="C45" s="19" t="str">
        <f aca="false">IF(In!H206="","",In!H206)</f>
        <v>neo</v>
      </c>
      <c r="D45" s="19" t="str">
        <f aca="false">IF(In!I206="","",In!I206)</f>
        <v>ant</v>
      </c>
      <c r="E45" s="19" t="n">
        <f aca="false">IF(In!J206="","",In!J206)</f>
        <v>500</v>
      </c>
      <c r="F45" s="19" t="str">
        <f aca="false">In!C206</f>
        <v>未說明</v>
      </c>
      <c r="G45" s="19" t="n">
        <f aca="false">IF(In!N206="","",In!N206)</f>
        <v>0</v>
      </c>
      <c r="H45" s="19" t="n">
        <f aca="false">IF(In!K206="","",In!K206)</f>
        <v>2026</v>
      </c>
      <c r="I45" s="19" t="n">
        <f aca="false">IF(In!L206="","",In!L206)</f>
        <v>12</v>
      </c>
      <c r="J45" s="19" t="n">
        <f aca="false">N(In!M206)</f>
        <v>0</v>
      </c>
      <c r="K45" s="24" t="n">
        <f aca="false">IF(OR(H45="",I45=""),9999,H45+I45/12)</f>
        <v>2027</v>
      </c>
      <c r="L45" s="24" t="n">
        <f aca="false">IF(E45="",0,IF(F45="設施",E45/1000/INDEX(Players!$D$13:$M$13,1,MAX(1,MIN(10,H45-2022))),E45/1000*g_ITtoFac))</f>
        <v>0.5</v>
      </c>
      <c r="M45" s="24" t="n">
        <f aca="false">K45</f>
        <v>2027</v>
      </c>
      <c r="N45" s="24" t="n">
        <f aca="false">IF(K45&gt;asof,K45+N(J45)/12,K45)</f>
        <v>2027</v>
      </c>
      <c r="O45" s="24" t="n">
        <f aca="false">IF(K45&gt;asof,K45+IF(N(J45)&gt;0,N(J45),dly_d1_m)/12,K45)</f>
        <v>2027.5</v>
      </c>
      <c r="P45" s="20" t="n">
        <f aca="false">IF(K45=9999,"",ROUNDUP(K45,0)-1)</f>
        <v>2026</v>
      </c>
      <c r="Q45" s="20" t="n">
        <f aca="false">IF(AND(N(G45)=1,K45&lt;9999,L45&gt;0),1,0)</f>
        <v>0</v>
      </c>
      <c r="R45" s="20" t="n">
        <f aca="false">IF(AND(K45&gt;asof,K45&lt;9999,N(S45)&lt;&gt;1,P45&gt;=dly_d2_y0,P45&lt;=dly_d2_y1),1,0)</f>
        <v>0</v>
      </c>
      <c r="S45" s="19" t="n">
        <f aca="false">IF(In!O206="","",In!O206)</f>
        <v>0</v>
      </c>
    </row>
    <row r="46" customFormat="false" ht="17.15" hidden="false" customHeight="false" outlineLevel="0" collapsed="false">
      <c r="A46" s="0" t="s">
        <v>618</v>
      </c>
      <c r="B46" s="19" t="str">
        <f aca="false">In!B207</f>
        <v>Hut 8 River Bend（Fluidstack／Anthropic）</v>
      </c>
      <c r="C46" s="19" t="str">
        <f aca="false">IF(In!H207="","",In!H207)</f>
        <v>neo</v>
      </c>
      <c r="D46" s="19" t="str">
        <f aca="false">IF(In!I207="","",In!I207)</f>
        <v>ant</v>
      </c>
      <c r="E46" s="19" t="n">
        <f aca="false">IF(In!J207="","",In!J207)</f>
        <v>245</v>
      </c>
      <c r="F46" s="19" t="str">
        <f aca="false">In!C207</f>
        <v>未說明</v>
      </c>
      <c r="G46" s="19" t="n">
        <f aca="false">IF(In!N207="","",In!N207)</f>
        <v>0</v>
      </c>
      <c r="H46" s="19" t="n">
        <f aca="false">IF(In!K207="","",In!K207)</f>
        <v>2027</v>
      </c>
      <c r="I46" s="19" t="n">
        <f aca="false">IF(In!L207="","",In!L207)</f>
        <v>6</v>
      </c>
      <c r="J46" s="19" t="n">
        <f aca="false">N(In!M207)</f>
        <v>0</v>
      </c>
      <c r="K46" s="24" t="n">
        <f aca="false">IF(OR(H46="",I46=""),9999,H46+I46/12)</f>
        <v>2027.5</v>
      </c>
      <c r="L46" s="24" t="n">
        <f aca="false">IF(E46="",0,IF(F46="設施",E46/1000/INDEX(Players!$D$13:$M$13,1,MAX(1,MIN(10,H46-2022))),E46/1000*g_ITtoFac))</f>
        <v>0.245</v>
      </c>
      <c r="M46" s="24" t="n">
        <f aca="false">K46</f>
        <v>2027.5</v>
      </c>
      <c r="N46" s="24" t="n">
        <f aca="false">IF(K46&gt;asof,K46+N(J46)/12,K46)</f>
        <v>2027.5</v>
      </c>
      <c r="O46" s="24" t="n">
        <f aca="false">IF(K46&gt;asof,K46+IF(N(J46)&gt;0,N(J46),dly_d1_m)/12,K46)</f>
        <v>2028</v>
      </c>
      <c r="P46" s="20" t="n">
        <f aca="false">IF(K46=9999,"",ROUNDUP(K46,0)-1)</f>
        <v>2027</v>
      </c>
      <c r="Q46" s="20" t="n">
        <f aca="false">IF(AND(N(G46)=1,K46&lt;9999,L46&gt;0),1,0)</f>
        <v>0</v>
      </c>
      <c r="R46" s="20" t="n">
        <f aca="false">IF(AND(K46&gt;asof,K46&lt;9999,N(S46)&lt;&gt;1,P46&gt;=dly_d2_y0,P46&lt;=dly_d2_y1),1,0)</f>
        <v>1</v>
      </c>
      <c r="S46" s="19" t="n">
        <f aca="false">IF(In!O207="","",In!O207)</f>
        <v>0</v>
      </c>
    </row>
    <row r="47" customFormat="false" ht="17.15" hidden="false" customHeight="false" outlineLevel="0" collapsed="false">
      <c r="A47" s="0" t="s">
        <v>621</v>
      </c>
      <c r="B47" s="19" t="str">
        <f aca="false">In!B208</f>
        <v>Colossus 2 增量（1,531 MW-IT 2027）</v>
      </c>
      <c r="C47" s="19" t="str">
        <f aca="false">IF(In!H208="","",In!H208)</f>
        <v>xai</v>
      </c>
      <c r="D47" s="19" t="str">
        <f aca="false">IF(In!I208="","",In!I208)</f>
        <v/>
      </c>
      <c r="E47" s="19" t="n">
        <f aca="false">IF(In!J208="","",In!J208)</f>
        <v>585</v>
      </c>
      <c r="F47" s="19" t="str">
        <f aca="false">In!C208</f>
        <v>IT</v>
      </c>
      <c r="G47" s="19" t="n">
        <f aca="false">IF(In!N208="","",In!N208)</f>
        <v>0</v>
      </c>
      <c r="H47" s="19" t="n">
        <f aca="false">IF(In!K208="","",In!K208)</f>
        <v>2027</v>
      </c>
      <c r="I47" s="19" t="n">
        <f aca="false">IF(In!L208="","",In!L208)</f>
        <v>12</v>
      </c>
      <c r="J47" s="19" t="n">
        <f aca="false">N(In!M208)</f>
        <v>0</v>
      </c>
      <c r="K47" s="24" t="n">
        <f aca="false">IF(OR(H47="",I47=""),9999,H47+I47/12)</f>
        <v>2028</v>
      </c>
      <c r="L47" s="24" t="n">
        <f aca="false">IF(E47="",0,IF(F47="設施",E47/1000/INDEX(Players!$D$13:$M$13,1,MAX(1,MIN(10,H47-2022))),E47/1000*g_ITtoFac))</f>
        <v>0.585</v>
      </c>
      <c r="M47" s="24" t="n">
        <f aca="false">K47</f>
        <v>2028</v>
      </c>
      <c r="N47" s="24" t="n">
        <f aca="false">IF(K47&gt;asof,K47+N(J47)/12,K47)</f>
        <v>2028</v>
      </c>
      <c r="O47" s="24" t="n">
        <f aca="false">IF(K47&gt;asof,K47+IF(N(J47)&gt;0,N(J47),dly_d1_m)/12,K47)</f>
        <v>2028.5</v>
      </c>
      <c r="P47" s="20" t="n">
        <f aca="false">IF(K47=9999,"",ROUNDUP(K47,0)-1)</f>
        <v>2027</v>
      </c>
      <c r="Q47" s="20" t="n">
        <f aca="false">IF(AND(N(G47)=1,K47&lt;9999,L47&gt;0),1,0)</f>
        <v>0</v>
      </c>
      <c r="R47" s="20" t="n">
        <f aca="false">IF(AND(K47&gt;asof,K47&lt;9999,N(S47)&lt;&gt;1,P47&gt;=dly_d2_y0,P47&lt;=dly_d2_y1),1,0)</f>
        <v>1</v>
      </c>
      <c r="S47" s="19" t="n">
        <f aca="false">IF(In!O208="","",In!O208)</f>
        <v>0</v>
      </c>
    </row>
    <row r="49" customFormat="false" ht="17.15" hidden="false" customHeight="false" outlineLevel="0" collapsed="false">
      <c r="A49" s="8" t="s">
        <v>1212</v>
      </c>
    </row>
    <row r="50" customFormat="false" ht="15" hidden="false" customHeight="false" outlineLevel="0" collapsed="false">
      <c r="A50" s="6" t="s">
        <v>1213</v>
      </c>
      <c r="B50" s="6" t="s">
        <v>12</v>
      </c>
      <c r="C50" s="6" t="s">
        <v>1214</v>
      </c>
      <c r="D50" s="7" t="s">
        <v>19</v>
      </c>
      <c r="E50" s="7" t="s">
        <v>20</v>
      </c>
      <c r="F50" s="7" t="s">
        <v>21</v>
      </c>
      <c r="G50" s="7" t="s">
        <v>22</v>
      </c>
      <c r="H50" s="7" t="s">
        <v>23</v>
      </c>
      <c r="I50" s="7" t="s">
        <v>24</v>
      </c>
      <c r="J50" s="7" t="s">
        <v>25</v>
      </c>
      <c r="K50" s="7" t="s">
        <v>26</v>
      </c>
      <c r="L50" s="7" t="s">
        <v>27</v>
      </c>
      <c r="M50" s="7" t="s">
        <v>28</v>
      </c>
    </row>
    <row r="51" customFormat="false" ht="17.15" hidden="false" customHeight="false" outlineLevel="0" collapsed="false">
      <c r="A51" s="0" t="s">
        <v>1182</v>
      </c>
      <c r="B51" s="0" t="s">
        <v>441</v>
      </c>
      <c r="C51" s="5" t="s">
        <v>1215</v>
      </c>
      <c r="E51" s="24" t="n">
        <f aca="false">Players!E36-SUMIFS($L$5:$L$47,$C$5:$C$47,"msft",$Q$5:$Q$47,1,$P$5:$P$47,2024)</f>
        <v>0</v>
      </c>
      <c r="F51" s="24" t="n">
        <f aca="false">Players!F36-SUMIFS($L$5:$L$47,$C$5:$C$47,"msft",$Q$5:$Q$47,1,$P$5:$P$47,2025)</f>
        <v>1.49927</v>
      </c>
      <c r="G51" s="24" t="n">
        <f aca="false">Players!G36-SUMIFS($L$5:$L$47,$C$5:$C$47,"msft",$Q$5:$Q$47,1,$P$5:$P$47,2026)</f>
        <v>0.401955</v>
      </c>
      <c r="H51" s="24" t="n">
        <f aca="false">Players!H36-SUMIFS($L$5:$L$47,$C$5:$C$47,"msft",$Q$5:$Q$47,1,$P$5:$P$47,2027)</f>
        <v>0</v>
      </c>
      <c r="I51" s="24" t="n">
        <f aca="false">Players!I36-SUMIFS($L$5:$L$47,$C$5:$C$47,"msft",$Q$5:$Q$47,1,$P$5:$P$47,2028)</f>
        <v>0</v>
      </c>
      <c r="J51" s="24" t="n">
        <f aca="false">Players!J36-SUMIFS($L$5:$L$47,$C$5:$C$47,"msft",$Q$5:$Q$47,1,$P$5:$P$47,2029)</f>
        <v>0</v>
      </c>
      <c r="K51" s="24" t="n">
        <f aca="false">Players!K36-SUMIFS($L$5:$L$47,$C$5:$C$47,"msft",$Q$5:$Q$47,1,$P$5:$P$47,2030)</f>
        <v>0</v>
      </c>
      <c r="L51" s="24" t="n">
        <f aca="false">Players!L36-SUMIFS($L$5:$L$47,$C$5:$C$47,"msft",$Q$5:$Q$47,1,$P$5:$P$47,2031)</f>
        <v>0</v>
      </c>
      <c r="M51" s="24" t="n">
        <f aca="false">Players!M36-SUMIFS($L$5:$L$47,$C$5:$C$47,"msft",$Q$5:$Q$47,1,$P$5:$P$47,2032)</f>
        <v>0</v>
      </c>
    </row>
    <row r="52" customFormat="false" ht="17.15" hidden="false" customHeight="false" outlineLevel="0" collapsed="false">
      <c r="A52" s="0" t="s">
        <v>1183</v>
      </c>
      <c r="B52" s="0" t="s">
        <v>446</v>
      </c>
      <c r="C52" s="5" t="s">
        <v>1215</v>
      </c>
      <c r="E52" s="24" t="n">
        <f aca="false">Players!E55-SUMIFS($L$5:$L$47,$C$5:$C$47,"googl",$Q$5:$Q$47,1,$P$5:$P$47,2024)</f>
        <v>1.32980834349181</v>
      </c>
      <c r="F52" s="24" t="n">
        <f aca="false">Players!F55-SUMIFS($L$5:$L$47,$C$5:$C$47,"googl",$Q$5:$Q$47,1,$P$5:$P$47,2025)</f>
        <v>2.40961330082622</v>
      </c>
      <c r="G52" s="24" t="n">
        <f aca="false">Players!G55-SUMIFS($L$5:$L$47,$C$5:$C$47,"googl",$Q$5:$Q$47,1,$P$5:$P$47,2026)</f>
        <v>1.29267912772586</v>
      </c>
      <c r="H52" s="24" t="n">
        <f aca="false">Players!H55-SUMIFS($L$5:$L$47,$C$5:$C$47,"googl",$Q$5:$Q$47,1,$P$5:$P$47,2027)</f>
        <v>0</v>
      </c>
      <c r="I52" s="24" t="n">
        <f aca="false">Players!I55-SUMIFS($L$5:$L$47,$C$5:$C$47,"googl",$Q$5:$Q$47,1,$P$5:$P$47,2028)</f>
        <v>0</v>
      </c>
      <c r="J52" s="24" t="n">
        <f aca="false">Players!J55-SUMIFS($L$5:$L$47,$C$5:$C$47,"googl",$Q$5:$Q$47,1,$P$5:$P$47,2029)</f>
        <v>0</v>
      </c>
      <c r="K52" s="24" t="n">
        <f aca="false">Players!K55-SUMIFS($L$5:$L$47,$C$5:$C$47,"googl",$Q$5:$Q$47,1,$P$5:$P$47,2030)</f>
        <v>0</v>
      </c>
      <c r="L52" s="24" t="n">
        <f aca="false">Players!L55-SUMIFS($L$5:$L$47,$C$5:$C$47,"googl",$Q$5:$Q$47,1,$P$5:$P$47,2031)</f>
        <v>0</v>
      </c>
      <c r="M52" s="24" t="n">
        <f aca="false">Players!M55-SUMIFS($L$5:$L$47,$C$5:$C$47,"googl",$Q$5:$Q$47,1,$P$5:$P$47,2032)</f>
        <v>0</v>
      </c>
    </row>
    <row r="53" customFormat="false" ht="17.15" hidden="false" customHeight="false" outlineLevel="0" collapsed="false">
      <c r="A53" s="0" t="s">
        <v>1184</v>
      </c>
      <c r="B53" s="0" t="s">
        <v>454</v>
      </c>
      <c r="C53" s="5" t="s">
        <v>1215</v>
      </c>
      <c r="E53" s="24" t="n">
        <f aca="false">Players!E74-SUMIFS($L$5:$L$47,$C$5:$C$47,"amzn",$Q$5:$Q$47,1,$P$5:$P$47,2024)</f>
        <v>0</v>
      </c>
      <c r="F53" s="24" t="n">
        <f aca="false">Players!F74-SUMIFS($L$5:$L$47,$C$5:$C$47,"amzn",$Q$5:$Q$47,1,$P$5:$P$47,2025)</f>
        <v>1.38971599402093</v>
      </c>
      <c r="G53" s="24" t="n">
        <f aca="false">Players!G74-SUMIFS($L$5:$L$47,$C$5:$C$47,"amzn",$Q$5:$Q$47,1,$P$5:$P$47,2026)</f>
        <v>0.4</v>
      </c>
      <c r="H53" s="24" t="n">
        <f aca="false">Players!H74-SUMIFS($L$5:$L$47,$C$5:$C$47,"amzn",$Q$5:$Q$47,1,$P$5:$P$47,2027)</f>
        <v>0</v>
      </c>
      <c r="I53" s="24" t="n">
        <f aca="false">Players!I74-SUMIFS($L$5:$L$47,$C$5:$C$47,"amzn",$Q$5:$Q$47,1,$P$5:$P$47,2028)</f>
        <v>0</v>
      </c>
      <c r="J53" s="24" t="n">
        <f aca="false">Players!J74-SUMIFS($L$5:$L$47,$C$5:$C$47,"amzn",$Q$5:$Q$47,1,$P$5:$P$47,2029)</f>
        <v>0</v>
      </c>
      <c r="K53" s="24" t="n">
        <f aca="false">Players!K74-SUMIFS($L$5:$L$47,$C$5:$C$47,"amzn",$Q$5:$Q$47,1,$P$5:$P$47,2030)</f>
        <v>0</v>
      </c>
      <c r="L53" s="24" t="n">
        <f aca="false">Players!L74-SUMIFS($L$5:$L$47,$C$5:$C$47,"amzn",$Q$5:$Q$47,1,$P$5:$P$47,2031)</f>
        <v>0</v>
      </c>
      <c r="M53" s="24" t="n">
        <f aca="false">Players!M74-SUMIFS($L$5:$L$47,$C$5:$C$47,"amzn",$Q$5:$Q$47,1,$P$5:$P$47,2032)</f>
        <v>0</v>
      </c>
    </row>
    <row r="54" customFormat="false" ht="15" hidden="false" customHeight="false" outlineLevel="0" collapsed="false">
      <c r="A54" s="0" t="s">
        <v>918</v>
      </c>
      <c r="B54" s="0" t="s">
        <v>461</v>
      </c>
      <c r="C54" s="5" t="s">
        <v>1215</v>
      </c>
      <c r="E54" s="24" t="n">
        <f aca="false">Players!E93-SUMIFS($L$5:$L$47,$C$5:$C$47,"meta",$Q$5:$Q$47,1,$P$5:$P$47,2024)</f>
        <v>0</v>
      </c>
      <c r="F54" s="24" t="n">
        <f aca="false">Players!F93-SUMIFS($L$5:$L$47,$C$5:$C$47,"meta",$Q$5:$Q$47,1,$P$5:$P$47,2025)</f>
        <v>1.50812</v>
      </c>
      <c r="G54" s="24" t="n">
        <f aca="false">Players!G93-SUMIFS($L$5:$L$47,$C$5:$C$47,"meta",$Q$5:$Q$47,1,$P$5:$P$47,2026)</f>
        <v>0</v>
      </c>
      <c r="H54" s="24" t="n">
        <f aca="false">Players!H93-SUMIFS($L$5:$L$47,$C$5:$C$47,"meta",$Q$5:$Q$47,1,$P$5:$P$47,2027)</f>
        <v>0</v>
      </c>
      <c r="I54" s="24" t="n">
        <f aca="false">Players!I93-SUMIFS($L$5:$L$47,$C$5:$C$47,"meta",$Q$5:$Q$47,1,$P$5:$P$47,2028)</f>
        <v>0</v>
      </c>
      <c r="J54" s="24" t="n">
        <f aca="false">Players!J93-SUMIFS($L$5:$L$47,$C$5:$C$47,"meta",$Q$5:$Q$47,1,$P$5:$P$47,2029)</f>
        <v>0</v>
      </c>
      <c r="K54" s="24" t="n">
        <f aca="false">Players!K93-SUMIFS($L$5:$L$47,$C$5:$C$47,"meta",$Q$5:$Q$47,1,$P$5:$P$47,2030)</f>
        <v>0</v>
      </c>
      <c r="L54" s="24" t="n">
        <f aca="false">Players!L93-SUMIFS($L$5:$L$47,$C$5:$C$47,"meta",$Q$5:$Q$47,1,$P$5:$P$47,2031)</f>
        <v>0</v>
      </c>
      <c r="M54" s="24" t="n">
        <f aca="false">Players!M93-SUMIFS($L$5:$L$47,$C$5:$C$47,"meta",$Q$5:$Q$47,1,$P$5:$P$47,2032)</f>
        <v>0</v>
      </c>
    </row>
    <row r="55" customFormat="false" ht="17.15" hidden="false" customHeight="false" outlineLevel="0" collapsed="false">
      <c r="A55" s="0" t="s">
        <v>1185</v>
      </c>
      <c r="B55" s="0" t="s">
        <v>465</v>
      </c>
      <c r="C55" s="5" t="s">
        <v>1215</v>
      </c>
      <c r="E55" s="24" t="n">
        <f aca="false">Players!E112-SUMIFS($L$5:$L$47,$C$5:$C$47,"orcl",$Q$5:$Q$47,1,$P$5:$P$47,2024)</f>
        <v>0</v>
      </c>
      <c r="F55" s="24" t="n">
        <f aca="false">Players!F112-SUMIFS($L$5:$L$47,$C$5:$C$47,"orcl",$Q$5:$Q$47,1,$P$5:$P$47,2025)</f>
        <v>0.816405</v>
      </c>
      <c r="G55" s="24" t="n">
        <f aca="false">Players!G112-SUMIFS($L$5:$L$47,$C$5:$C$47,"orcl",$Q$5:$Q$47,1,$P$5:$P$47,2026)</f>
        <v>1.34013</v>
      </c>
      <c r="H55" s="24" t="n">
        <f aca="false">Players!H112-SUMIFS($L$5:$L$47,$C$5:$C$47,"orcl",$Q$5:$Q$47,1,$P$5:$P$47,2027)</f>
        <v>0</v>
      </c>
      <c r="I55" s="24" t="n">
        <f aca="false">Players!I112-SUMIFS($L$5:$L$47,$C$5:$C$47,"orcl",$Q$5:$Q$47,1,$P$5:$P$47,2028)</f>
        <v>0</v>
      </c>
      <c r="J55" s="24" t="n">
        <f aca="false">Players!J112-SUMIFS($L$5:$L$47,$C$5:$C$47,"orcl",$Q$5:$Q$47,1,$P$5:$P$47,2029)</f>
        <v>0</v>
      </c>
      <c r="K55" s="24" t="n">
        <f aca="false">Players!K112-SUMIFS($L$5:$L$47,$C$5:$C$47,"orcl",$Q$5:$Q$47,1,$P$5:$P$47,2030)</f>
        <v>0</v>
      </c>
      <c r="L55" s="24" t="n">
        <f aca="false">Players!L112-SUMIFS($L$5:$L$47,$C$5:$C$47,"orcl",$Q$5:$Q$47,1,$P$5:$P$47,2031)</f>
        <v>0</v>
      </c>
      <c r="M55" s="24" t="n">
        <f aca="false">Players!M112-SUMIFS($L$5:$L$47,$C$5:$C$47,"orcl",$Q$5:$Q$47,1,$P$5:$P$47,2032)</f>
        <v>0</v>
      </c>
    </row>
    <row r="56" customFormat="false" ht="15" hidden="false" customHeight="false" outlineLevel="0" collapsed="false">
      <c r="A56" s="0" t="s">
        <v>956</v>
      </c>
      <c r="B56" s="0" t="s">
        <v>555</v>
      </c>
      <c r="C56" s="5" t="s">
        <v>1215</v>
      </c>
      <c r="E56" s="24" t="n">
        <f aca="false">Players!E131-SUMIFS($L$5:$L$47,$C$5:$C$47,"crwv",$Q$5:$Q$47,1,$P$5:$P$47,2024)</f>
        <v>0.29</v>
      </c>
      <c r="F56" s="24" t="n">
        <f aca="false">Players!F131-SUMIFS($L$5:$L$47,$C$5:$C$47,"crwv",$Q$5:$Q$47,1,$P$5:$P$47,2025)</f>
        <v>0.49</v>
      </c>
      <c r="G56" s="24" t="n">
        <f aca="false">Players!G131-SUMIFS($L$5:$L$47,$C$5:$C$47,"crwv",$Q$5:$Q$47,1,$P$5:$P$47,2026)</f>
        <v>1</v>
      </c>
      <c r="H56" s="24" t="n">
        <f aca="false">Players!H131-SUMIFS($L$5:$L$47,$C$5:$C$47,"crwv",$Q$5:$Q$47,1,$P$5:$P$47,2027)</f>
        <v>1.2775</v>
      </c>
      <c r="I56" s="24" t="n">
        <f aca="false">Players!I131-SUMIFS($L$5:$L$47,$C$5:$C$47,"crwv",$Q$5:$Q$47,1,$P$5:$P$47,2028)</f>
        <v>1.5375</v>
      </c>
      <c r="J56" s="24" t="n">
        <f aca="false">Players!J131-SUMIFS($L$5:$L$47,$C$5:$C$47,"crwv",$Q$5:$Q$47,1,$P$5:$P$47,2029)</f>
        <v>1.5375</v>
      </c>
      <c r="K56" s="24" t="n">
        <f aca="false">Players!K131-SUMIFS($L$5:$L$47,$C$5:$C$47,"crwv",$Q$5:$Q$47,1,$P$5:$P$47,2030)</f>
        <v>1.5375</v>
      </c>
      <c r="L56" s="24" t="n">
        <f aca="false">Players!L131-SUMIFS($L$5:$L$47,$C$5:$C$47,"crwv",$Q$5:$Q$47,1,$P$5:$P$47,2031)</f>
        <v>0</v>
      </c>
      <c r="M56" s="24" t="n">
        <f aca="false">Players!M131-SUMIFS($L$5:$L$47,$C$5:$C$47,"crwv",$Q$5:$Q$47,1,$P$5:$P$47,2032)</f>
        <v>0</v>
      </c>
    </row>
    <row r="57" customFormat="false" ht="15" hidden="false" customHeight="false" outlineLevel="0" collapsed="false">
      <c r="A57" s="0" t="s">
        <v>975</v>
      </c>
      <c r="B57" s="0" t="s">
        <v>584</v>
      </c>
      <c r="C57" s="5" t="s">
        <v>1215</v>
      </c>
      <c r="E57" s="24" t="n">
        <f aca="false">Players!E150-SUMIFS($L$5:$L$47,$C$5:$C$47,"nbis",$Q$5:$Q$47,1,$P$5:$P$47,2024)</f>
        <v>0</v>
      </c>
      <c r="F57" s="24" t="n">
        <f aca="false">Players!F150-SUMIFS($L$5:$L$47,$C$5:$C$47,"nbis",$Q$5:$Q$47,1,$P$5:$P$47,2025)</f>
        <v>0</v>
      </c>
      <c r="G57" s="24" t="n">
        <f aca="false">Players!G150-SUMIFS($L$5:$L$47,$C$5:$C$47,"nbis",$Q$5:$Q$47,1,$P$5:$P$47,2026)</f>
        <v>0.73</v>
      </c>
      <c r="H57" s="24" t="n">
        <f aca="false">Players!H150-SUMIFS($L$5:$L$47,$C$5:$C$47,"nbis",$Q$5:$Q$47,1,$P$5:$P$47,2027)</f>
        <v>0</v>
      </c>
      <c r="I57" s="24" t="n">
        <f aca="false">Players!I150-SUMIFS($L$5:$L$47,$C$5:$C$47,"nbis",$Q$5:$Q$47,1,$P$5:$P$47,2028)</f>
        <v>0</v>
      </c>
      <c r="J57" s="24" t="n">
        <f aca="false">Players!J150-SUMIFS($L$5:$L$47,$C$5:$C$47,"nbis",$Q$5:$Q$47,1,$P$5:$P$47,2029)</f>
        <v>0</v>
      </c>
      <c r="K57" s="24" t="n">
        <f aca="false">Players!K150-SUMIFS($L$5:$L$47,$C$5:$C$47,"nbis",$Q$5:$Q$47,1,$P$5:$P$47,2030)</f>
        <v>0</v>
      </c>
      <c r="L57" s="24" t="n">
        <f aca="false">Players!L150-SUMIFS($L$5:$L$47,$C$5:$C$47,"nbis",$Q$5:$Q$47,1,$P$5:$P$47,2031)</f>
        <v>0</v>
      </c>
      <c r="M57" s="24" t="n">
        <f aca="false">Players!M150-SUMIFS($L$5:$L$47,$C$5:$C$47,"nbis",$Q$5:$Q$47,1,$P$5:$P$47,2032)</f>
        <v>0</v>
      </c>
    </row>
    <row r="58" customFormat="false" ht="17.15" hidden="false" customHeight="false" outlineLevel="0" collapsed="false">
      <c r="A58" s="0" t="s">
        <v>1186</v>
      </c>
      <c r="B58" s="0" t="s">
        <v>995</v>
      </c>
      <c r="C58" s="5" t="s">
        <v>1215</v>
      </c>
      <c r="E58" s="24" t="n">
        <f aca="false">Players!E169-SUMIFS($L$5:$L$47,$C$5:$C$47,"wyfi",$Q$5:$Q$47,1,$P$5:$P$47,2024)</f>
        <v>0</v>
      </c>
      <c r="F58" s="24" t="n">
        <f aca="false">Players!F169-SUMIFS($L$5:$L$47,$C$5:$C$47,"wyfi",$Q$5:$Q$47,1,$P$5:$P$47,2025)</f>
        <v>0</v>
      </c>
      <c r="G58" s="24" t="n">
        <f aca="false">Players!G169-SUMIFS($L$5:$L$47,$C$5:$C$47,"wyfi",$Q$5:$Q$47,1,$P$5:$P$47,2026)</f>
        <v>0.009074</v>
      </c>
      <c r="H58" s="24" t="n">
        <f aca="false">Players!H169-SUMIFS($L$5:$L$47,$C$5:$C$47,"wyfi",$Q$5:$Q$47,1,$P$5:$P$47,2027)</f>
        <v>0.001974</v>
      </c>
      <c r="I58" s="24" t="n">
        <f aca="false">Players!I169-SUMIFS($L$5:$L$47,$C$5:$C$47,"wyfi",$Q$5:$Q$47,1,$P$5:$P$47,2028)</f>
        <v>0</v>
      </c>
      <c r="J58" s="24" t="n">
        <f aca="false">Players!J169-SUMIFS($L$5:$L$47,$C$5:$C$47,"wyfi",$Q$5:$Q$47,1,$P$5:$P$47,2029)</f>
        <v>0</v>
      </c>
      <c r="K58" s="24" t="n">
        <f aca="false">Players!K169-SUMIFS($L$5:$L$47,$C$5:$C$47,"wyfi",$Q$5:$Q$47,1,$P$5:$P$47,2030)</f>
        <v>0</v>
      </c>
      <c r="L58" s="24" t="n">
        <f aca="false">Players!L169-SUMIFS($L$5:$L$47,$C$5:$C$47,"wyfi",$Q$5:$Q$47,1,$P$5:$P$47,2031)</f>
        <v>0</v>
      </c>
      <c r="M58" s="24" t="n">
        <f aca="false">Players!M169-SUMIFS($L$5:$L$47,$C$5:$C$47,"wyfi",$Q$5:$Q$47,1,$P$5:$P$47,2032)</f>
        <v>0</v>
      </c>
    </row>
    <row r="59" customFormat="false" ht="17.15" hidden="false" customHeight="false" outlineLevel="0" collapsed="false">
      <c r="A59" s="0" t="s">
        <v>1187</v>
      </c>
      <c r="B59" s="0" t="s">
        <v>470</v>
      </c>
      <c r="C59" s="5" t="s">
        <v>1215</v>
      </c>
      <c r="E59" s="24" t="n">
        <f aca="false">Players!E188-SUMIFS($L$5:$L$47,$C$5:$C$47,"xai",$Q$5:$Q$47,1,$P$5:$P$47,2024)</f>
        <v>0</v>
      </c>
      <c r="F59" s="24" t="n">
        <f aca="false">Players!F188-SUMIFS($L$5:$L$47,$C$5:$C$47,"xai",$Q$5:$Q$47,1,$P$5:$P$47,2025)</f>
        <v>0</v>
      </c>
      <c r="G59" s="24" t="n">
        <f aca="false">Players!G188-SUMIFS($L$5:$L$47,$C$5:$C$47,"xai",$Q$5:$Q$47,1,$P$5:$P$47,2026)</f>
        <v>1.4302</v>
      </c>
      <c r="H59" s="24" t="n">
        <f aca="false">Players!H188-SUMIFS($L$5:$L$47,$C$5:$C$47,"xai",$Q$5:$Q$47,1,$P$5:$P$47,2027)</f>
        <v>0</v>
      </c>
      <c r="I59" s="24" t="n">
        <f aca="false">Players!I188-SUMIFS($L$5:$L$47,$C$5:$C$47,"xai",$Q$5:$Q$47,1,$P$5:$P$47,2028)</f>
        <v>0</v>
      </c>
      <c r="J59" s="24" t="n">
        <f aca="false">Players!J188-SUMIFS($L$5:$L$47,$C$5:$C$47,"xai",$Q$5:$Q$47,1,$P$5:$P$47,2029)</f>
        <v>0</v>
      </c>
      <c r="K59" s="24" t="n">
        <f aca="false">Players!K188-SUMIFS($L$5:$L$47,$C$5:$C$47,"xai",$Q$5:$Q$47,1,$P$5:$P$47,2030)</f>
        <v>0</v>
      </c>
      <c r="L59" s="24" t="n">
        <f aca="false">Players!L188-SUMIFS($L$5:$L$47,$C$5:$C$47,"xai",$Q$5:$Q$47,1,$P$5:$P$47,2031)</f>
        <v>0</v>
      </c>
      <c r="M59" s="24" t="n">
        <f aca="false">Players!M188-SUMIFS($L$5:$L$47,$C$5:$C$47,"xai",$Q$5:$Q$47,1,$P$5:$P$47,2032)</f>
        <v>0</v>
      </c>
    </row>
    <row r="60" customFormat="false" ht="17.15" hidden="false" customHeight="false" outlineLevel="0" collapsed="false">
      <c r="A60" s="0" t="s">
        <v>1188</v>
      </c>
      <c r="B60" s="0" t="s">
        <v>466</v>
      </c>
      <c r="C60" s="5" t="s">
        <v>1215</v>
      </c>
      <c r="E60" s="24" t="n">
        <f aca="false">Players!E207-SUMIFS($L$5:$L$47,$C$5:$C$47,"oai",$Q$5:$Q$47,1,$P$5:$P$47,2024)</f>
        <v>0</v>
      </c>
      <c r="F60" s="24" t="n">
        <f aca="false">Players!F207-SUMIFS($L$5:$L$47,$C$5:$C$47,"oai",$Q$5:$Q$47,1,$P$5:$P$47,2025)</f>
        <v>0</v>
      </c>
      <c r="G60" s="24" t="n">
        <f aca="false">Players!G207-SUMIFS($L$5:$L$47,$C$5:$C$47,"oai",$Q$5:$Q$47,1,$P$5:$P$47,2026)</f>
        <v>0</v>
      </c>
      <c r="H60" s="24" t="n">
        <f aca="false">Players!H207-SUMIFS($L$5:$L$47,$C$5:$C$47,"oai",$Q$5:$Q$47,1,$P$5:$P$47,2027)</f>
        <v>0</v>
      </c>
      <c r="I60" s="24" t="n">
        <f aca="false">Players!I207-SUMIFS($L$5:$L$47,$C$5:$C$47,"oai",$Q$5:$Q$47,1,$P$5:$P$47,2028)</f>
        <v>0</v>
      </c>
      <c r="J60" s="24" t="n">
        <f aca="false">Players!J207-SUMIFS($L$5:$L$47,$C$5:$C$47,"oai",$Q$5:$Q$47,1,$P$5:$P$47,2029)</f>
        <v>0</v>
      </c>
      <c r="K60" s="24" t="n">
        <f aca="false">Players!K207-SUMIFS($L$5:$L$47,$C$5:$C$47,"oai",$Q$5:$Q$47,1,$P$5:$P$47,2030)</f>
        <v>0</v>
      </c>
      <c r="L60" s="24" t="n">
        <f aca="false">Players!L207-SUMIFS($L$5:$L$47,$C$5:$C$47,"oai",$Q$5:$Q$47,1,$P$5:$P$47,2031)</f>
        <v>0</v>
      </c>
      <c r="M60" s="24" t="n">
        <f aca="false">Players!M207-SUMIFS($L$5:$L$47,$C$5:$C$47,"oai",$Q$5:$Q$47,1,$P$5:$P$47,2032)</f>
        <v>0</v>
      </c>
    </row>
    <row r="61" customFormat="false" ht="17.15" hidden="false" customHeight="false" outlineLevel="0" collapsed="false">
      <c r="A61" s="0" t="s">
        <v>1189</v>
      </c>
      <c r="B61" s="0" t="s">
        <v>450</v>
      </c>
      <c r="C61" s="5" t="s">
        <v>1215</v>
      </c>
      <c r="E61" s="24" t="n">
        <f aca="false">Players!E226-SUMIFS($L$5:$L$47,$C$5:$C$47,"ant",$Q$5:$Q$47,1,$P$5:$P$47,2024)</f>
        <v>0</v>
      </c>
      <c r="F61" s="24" t="n">
        <f aca="false">Players!F226-SUMIFS($L$5:$L$47,$C$5:$C$47,"ant",$Q$5:$Q$47,1,$P$5:$P$47,2025)</f>
        <v>0</v>
      </c>
      <c r="G61" s="24" t="n">
        <f aca="false">Players!G226-SUMIFS($L$5:$L$47,$C$5:$C$47,"ant",$Q$5:$Q$47,1,$P$5:$P$47,2026)</f>
        <v>0</v>
      </c>
      <c r="H61" s="24" t="n">
        <f aca="false">Players!H226-SUMIFS($L$5:$L$47,$C$5:$C$47,"ant",$Q$5:$Q$47,1,$P$5:$P$47,2027)</f>
        <v>0</v>
      </c>
      <c r="I61" s="24" t="n">
        <f aca="false">Players!I226-SUMIFS($L$5:$L$47,$C$5:$C$47,"ant",$Q$5:$Q$47,1,$P$5:$P$47,2028)</f>
        <v>0</v>
      </c>
      <c r="J61" s="24" t="n">
        <f aca="false">Players!J226-SUMIFS($L$5:$L$47,$C$5:$C$47,"ant",$Q$5:$Q$47,1,$P$5:$P$47,2029)</f>
        <v>0</v>
      </c>
      <c r="K61" s="24" t="n">
        <f aca="false">Players!K226-SUMIFS($L$5:$L$47,$C$5:$C$47,"ant",$Q$5:$Q$47,1,$P$5:$P$47,2030)</f>
        <v>0</v>
      </c>
      <c r="L61" s="24" t="n">
        <f aca="false">Players!L226-SUMIFS($L$5:$L$47,$C$5:$C$47,"ant",$Q$5:$Q$47,1,$P$5:$P$47,2031)</f>
        <v>0</v>
      </c>
      <c r="M61" s="24" t="n">
        <f aca="false">Players!M226-SUMIFS($L$5:$L$47,$C$5:$C$47,"ant",$Q$5:$Q$47,1,$P$5:$P$47,2032)</f>
        <v>0</v>
      </c>
    </row>
    <row r="62" customFormat="false" ht="17.15" hidden="false" customHeight="false" outlineLevel="0" collapsed="false">
      <c r="A62" s="5" t="s">
        <v>1190</v>
      </c>
      <c r="B62" s="0" t="s">
        <v>480</v>
      </c>
      <c r="C62" s="5" t="s">
        <v>1215</v>
      </c>
      <c r="E62" s="24" t="n">
        <f aca="false">Players!E245-SUMIFS($L$5:$L$47,$C$5:$C$47,"neo",$Q$5:$Q$47,1,$P$5:$P$47,2024)</f>
        <v>0</v>
      </c>
      <c r="F62" s="24" t="n">
        <f aca="false">Players!F245-SUMIFS($L$5:$L$47,$C$5:$C$47,"neo",$Q$5:$Q$47,1,$P$5:$P$47,2025)</f>
        <v>0.3</v>
      </c>
      <c r="G62" s="24" t="n">
        <f aca="false">Players!G245-SUMIFS($L$5:$L$47,$C$5:$C$47,"neo",$Q$5:$Q$47,1,$P$5:$P$47,2026)</f>
        <v>0.7</v>
      </c>
      <c r="H62" s="24" t="n">
        <f aca="false">Players!H245-SUMIFS($L$5:$L$47,$C$5:$C$47,"neo",$Q$5:$Q$47,1,$P$5:$P$47,2027)</f>
        <v>0</v>
      </c>
      <c r="I62" s="24" t="n">
        <f aca="false">Players!I245-SUMIFS($L$5:$L$47,$C$5:$C$47,"neo",$Q$5:$Q$47,1,$P$5:$P$47,2028)</f>
        <v>0</v>
      </c>
      <c r="J62" s="24" t="n">
        <f aca="false">Players!J245-SUMIFS($L$5:$L$47,$C$5:$C$47,"neo",$Q$5:$Q$47,1,$P$5:$P$47,2029)</f>
        <v>0</v>
      </c>
      <c r="K62" s="24" t="n">
        <f aca="false">Players!K245-SUMIFS($L$5:$L$47,$C$5:$C$47,"neo",$Q$5:$Q$47,1,$P$5:$P$47,2030)</f>
        <v>0</v>
      </c>
      <c r="L62" s="24" t="n">
        <f aca="false">Players!L245-SUMIFS($L$5:$L$47,$C$5:$C$47,"neo",$Q$5:$Q$47,1,$P$5:$P$47,2031)</f>
        <v>0</v>
      </c>
      <c r="M62" s="24" t="n">
        <f aca="false">Players!M245-SUMIFS($L$5:$L$47,$C$5:$C$47,"neo",$Q$5:$Q$47,1,$P$5:$P$47,2032)</f>
        <v>0</v>
      </c>
    </row>
    <row r="63" customFormat="false" ht="17.15" hidden="false" customHeight="false" outlineLevel="0" collapsed="false">
      <c r="A63" s="5" t="s">
        <v>1191</v>
      </c>
      <c r="B63" s="0" t="s">
        <v>577</v>
      </c>
      <c r="C63" s="5" t="s">
        <v>1215</v>
      </c>
      <c r="E63" s="24" t="n">
        <f aca="false">Players!E264-SUMIFS($L$5:$L$47,$C$5:$C$47,"sov",$Q$5:$Q$47,1,$P$5:$P$47,2024)</f>
        <v>0</v>
      </c>
      <c r="F63" s="24" t="n">
        <f aca="false">Players!F264-SUMIFS($L$5:$L$47,$C$5:$C$47,"sov",$Q$5:$Q$47,1,$P$5:$P$47,2025)</f>
        <v>0</v>
      </c>
      <c r="G63" s="24" t="n">
        <f aca="false">Players!G264-SUMIFS($L$5:$L$47,$C$5:$C$47,"sov",$Q$5:$Q$47,1,$P$5:$P$47,2026)</f>
        <v>0</v>
      </c>
      <c r="H63" s="24" t="n">
        <f aca="false">Players!H264-SUMIFS($L$5:$L$47,$C$5:$C$47,"sov",$Q$5:$Q$47,1,$P$5:$P$47,2027)</f>
        <v>0</v>
      </c>
      <c r="I63" s="24" t="n">
        <f aca="false">Players!I264-SUMIFS($L$5:$L$47,$C$5:$C$47,"sov",$Q$5:$Q$47,1,$P$5:$P$47,2028)</f>
        <v>0</v>
      </c>
      <c r="J63" s="24" t="n">
        <f aca="false">Players!J264-SUMIFS($L$5:$L$47,$C$5:$C$47,"sov",$Q$5:$Q$47,1,$P$5:$P$47,2029)</f>
        <v>0</v>
      </c>
      <c r="K63" s="24" t="n">
        <f aca="false">Players!K264-SUMIFS($L$5:$L$47,$C$5:$C$47,"sov",$Q$5:$Q$47,1,$P$5:$P$47,2030)</f>
        <v>0</v>
      </c>
      <c r="L63" s="24" t="n">
        <f aca="false">Players!L264-SUMIFS($L$5:$L$47,$C$5:$C$47,"sov",$Q$5:$Q$47,1,$P$5:$P$47,2031)</f>
        <v>0</v>
      </c>
      <c r="M63" s="24" t="n">
        <f aca="false">Players!M264-SUMIFS($L$5:$L$47,$C$5:$C$47,"sov",$Q$5:$Q$47,1,$P$5:$P$47,2032)</f>
        <v>0</v>
      </c>
    </row>
    <row r="64" customFormat="false" ht="17.15" hidden="false" customHeight="false" outlineLevel="0" collapsed="false">
      <c r="A64" s="5" t="s">
        <v>1192</v>
      </c>
      <c r="B64" s="0" t="s">
        <v>487</v>
      </c>
      <c r="C64" s="5" t="s">
        <v>1215</v>
      </c>
      <c r="E64" s="24" t="n">
        <f aca="false">Players!E283-SUMIFS($L$5:$L$47,$C$5:$C$47,"cn",$Q$5:$Q$47,1,$P$5:$P$47,2024)</f>
        <v>0</v>
      </c>
      <c r="F64" s="24" t="n">
        <f aca="false">Players!F283-SUMIFS($L$5:$L$47,$C$5:$C$47,"cn",$Q$5:$Q$47,1,$P$5:$P$47,2025)</f>
        <v>0</v>
      </c>
      <c r="G64" s="24" t="n">
        <f aca="false">Players!G283-SUMIFS($L$5:$L$47,$C$5:$C$47,"cn",$Q$5:$Q$47,1,$P$5:$P$47,2026)</f>
        <v>3.33333333333333</v>
      </c>
      <c r="H64" s="24" t="n">
        <f aca="false">Players!H283-SUMIFS($L$5:$L$47,$C$5:$C$47,"cn",$Q$5:$Q$47,1,$P$5:$P$47,2027)</f>
        <v>1.9895044578405</v>
      </c>
      <c r="I64" s="24" t="n">
        <f aca="false">Players!I283-SUMIFS($L$5:$L$47,$C$5:$C$47,"cn",$Q$5:$Q$47,1,$P$5:$P$47,2028)</f>
        <v>2.28121406090902</v>
      </c>
      <c r="J64" s="24" t="n">
        <f aca="false">Players!J283-SUMIFS($L$5:$L$47,$C$5:$C$47,"cn",$Q$5:$Q$47,1,$P$5:$P$47,2029)</f>
        <v>2.61252133099745</v>
      </c>
      <c r="K64" s="24" t="n">
        <f aca="false">Players!K283-SUMIFS($L$5:$L$47,$C$5:$C$47,"cn",$Q$5:$Q$47,1,$P$5:$P$47,2030)</f>
        <v>2.9885550220479</v>
      </c>
      <c r="L64" s="24" t="n">
        <f aca="false">Players!L283-SUMIFS($L$5:$L$47,$C$5:$C$47,"cn",$Q$5:$Q$47,1,$P$5:$P$47,2031)</f>
        <v>2.15384615384616</v>
      </c>
      <c r="M64" s="24" t="n">
        <f aca="false">Players!M283-SUMIFS($L$5:$L$47,$C$5:$C$47,"cn",$Q$5:$Q$47,1,$P$5:$P$47,2032)</f>
        <v>2.36923076923077</v>
      </c>
    </row>
    <row r="65" customFormat="false" ht="17.15" hidden="false" customHeight="false" outlineLevel="0" collapsed="false">
      <c r="A65" s="5" t="s">
        <v>1193</v>
      </c>
      <c r="B65" s="0" t="s">
        <v>1129</v>
      </c>
      <c r="C65" s="5" t="s">
        <v>1215</v>
      </c>
      <c r="E65" s="24" t="n">
        <f aca="false">Players!E302-SUMIFS($L$5:$L$47,$C$5:$C$47,"oth",$Q$5:$Q$47,1,$P$5:$P$47,2024)</f>
        <v>0</v>
      </c>
      <c r="F65" s="24" t="n">
        <f aca="false">Players!F302-SUMIFS($L$5:$L$47,$C$5:$C$47,"oth",$Q$5:$Q$47,1,$P$5:$P$47,2025)</f>
        <v>0</v>
      </c>
      <c r="G65" s="24" t="n">
        <f aca="false">Players!G302-SUMIFS($L$5:$L$47,$C$5:$C$47,"oth",$Q$5:$Q$47,1,$P$5:$P$47,2026)</f>
        <v>0</v>
      </c>
      <c r="H65" s="24" t="n">
        <f aca="false">Players!H302-SUMIFS($L$5:$L$47,$C$5:$C$47,"oth",$Q$5:$Q$47,1,$P$5:$P$47,2027)</f>
        <v>0</v>
      </c>
      <c r="I65" s="24" t="n">
        <f aca="false">Players!I302-SUMIFS($L$5:$L$47,$C$5:$C$47,"oth",$Q$5:$Q$47,1,$P$5:$P$47,2028)</f>
        <v>0</v>
      </c>
      <c r="J65" s="24" t="n">
        <f aca="false">Players!J302-SUMIFS($L$5:$L$47,$C$5:$C$47,"oth",$Q$5:$Q$47,1,$P$5:$P$47,2029)</f>
        <v>0</v>
      </c>
      <c r="K65" s="24" t="n">
        <f aca="false">Players!K302-SUMIFS($L$5:$L$47,$C$5:$C$47,"oth",$Q$5:$Q$47,1,$P$5:$P$47,2030)</f>
        <v>0</v>
      </c>
      <c r="L65" s="24" t="n">
        <f aca="false">Players!L302-SUMIFS($L$5:$L$47,$C$5:$C$47,"oth",$Q$5:$Q$47,1,$P$5:$P$47,2031)</f>
        <v>0</v>
      </c>
      <c r="M65" s="24" t="n">
        <f aca="false">Players!M302-SUMIFS($L$5:$L$47,$C$5:$C$47,"oth",$Q$5:$Q$47,1,$P$5:$P$47,2032)</f>
        <v>0</v>
      </c>
    </row>
    <row r="67" customFormat="false" ht="17.15" hidden="false" customHeight="false" outlineLevel="0" collapsed="false">
      <c r="A67" s="0" t="s">
        <v>1182</v>
      </c>
      <c r="B67" s="0" t="s">
        <v>441</v>
      </c>
      <c r="C67" s="5" t="s">
        <v>1216</v>
      </c>
      <c r="E67" s="24" t="n">
        <f aca="false">IF(Players!E31=2,E51,0)</f>
        <v>0</v>
      </c>
      <c r="F67" s="24" t="n">
        <f aca="false">IF(Players!F31=2,F51,0)</f>
        <v>0</v>
      </c>
      <c r="G67" s="24" t="n">
        <f aca="false">IF(Players!G31=2,G51,0)</f>
        <v>0.401955</v>
      </c>
      <c r="H67" s="24" t="n">
        <f aca="false">IF(Players!H31=2,H51,0)</f>
        <v>0</v>
      </c>
      <c r="I67" s="24" t="n">
        <f aca="false">IF(Players!I31=2,I51,0)</f>
        <v>0</v>
      </c>
      <c r="J67" s="24" t="n">
        <f aca="false">IF(Players!J31=2,J51,0)</f>
        <v>0</v>
      </c>
      <c r="K67" s="24" t="n">
        <f aca="false">IF(Players!K31=2,K51,0)</f>
        <v>0</v>
      </c>
      <c r="L67" s="24" t="n">
        <f aca="false">IF(Players!L31=2,L51,0)</f>
        <v>0</v>
      </c>
      <c r="M67" s="24" t="n">
        <f aca="false">IF(Players!M31=2,M51,0)</f>
        <v>0</v>
      </c>
    </row>
    <row r="68" customFormat="false" ht="17.15" hidden="false" customHeight="false" outlineLevel="0" collapsed="false">
      <c r="A68" s="0" t="s">
        <v>1183</v>
      </c>
      <c r="B68" s="0" t="s">
        <v>446</v>
      </c>
      <c r="C68" s="5" t="s">
        <v>1216</v>
      </c>
      <c r="E68" s="24" t="n">
        <f aca="false">IF(Players!E50=2,E52,0)</f>
        <v>0</v>
      </c>
      <c r="F68" s="24" t="n">
        <f aca="false">IF(Players!F50=2,F52,0)</f>
        <v>0</v>
      </c>
      <c r="G68" s="24" t="n">
        <f aca="false">IF(Players!G50=2,G52,0)</f>
        <v>1.29267912772586</v>
      </c>
      <c r="H68" s="24" t="n">
        <f aca="false">IF(Players!H50=2,H52,0)</f>
        <v>0</v>
      </c>
      <c r="I68" s="24" t="n">
        <f aca="false">IF(Players!I50=2,I52,0)</f>
        <v>0</v>
      </c>
      <c r="J68" s="24" t="n">
        <f aca="false">IF(Players!J50=2,J52,0)</f>
        <v>0</v>
      </c>
      <c r="K68" s="24" t="n">
        <f aca="false">IF(Players!K50=2,K52,0)</f>
        <v>0</v>
      </c>
      <c r="L68" s="24" t="n">
        <f aca="false">IF(Players!L50=2,L52,0)</f>
        <v>0</v>
      </c>
      <c r="M68" s="24" t="n">
        <f aca="false">IF(Players!M50=2,M52,0)</f>
        <v>0</v>
      </c>
    </row>
    <row r="69" customFormat="false" ht="17.15" hidden="false" customHeight="false" outlineLevel="0" collapsed="false">
      <c r="A69" s="0" t="s">
        <v>1184</v>
      </c>
      <c r="B69" s="0" t="s">
        <v>454</v>
      </c>
      <c r="C69" s="5" t="s">
        <v>1216</v>
      </c>
      <c r="E69" s="24" t="n">
        <f aca="false">IF(Players!E69=2,E53,0)</f>
        <v>0</v>
      </c>
      <c r="F69" s="24" t="n">
        <f aca="false">IF(Players!F69=2,F53,0)</f>
        <v>0</v>
      </c>
      <c r="G69" s="24" t="n">
        <f aca="false">IF(Players!G69=2,G53,0)</f>
        <v>0.4</v>
      </c>
      <c r="H69" s="24" t="n">
        <f aca="false">IF(Players!H69=2,H53,0)</f>
        <v>0</v>
      </c>
      <c r="I69" s="24" t="n">
        <f aca="false">IF(Players!I69=2,I53,0)</f>
        <v>0</v>
      </c>
      <c r="J69" s="24" t="n">
        <f aca="false">IF(Players!J69=2,J53,0)</f>
        <v>0</v>
      </c>
      <c r="K69" s="24" t="n">
        <f aca="false">IF(Players!K69=2,K53,0)</f>
        <v>0</v>
      </c>
      <c r="L69" s="24" t="n">
        <f aca="false">IF(Players!L69=2,L53,0)</f>
        <v>0</v>
      </c>
      <c r="M69" s="24" t="n">
        <f aca="false">IF(Players!M69=2,M53,0)</f>
        <v>0</v>
      </c>
    </row>
    <row r="70" customFormat="false" ht="15" hidden="false" customHeight="false" outlineLevel="0" collapsed="false">
      <c r="A70" s="0" t="s">
        <v>918</v>
      </c>
      <c r="B70" s="0" t="s">
        <v>461</v>
      </c>
      <c r="C70" s="5" t="s">
        <v>1216</v>
      </c>
      <c r="E70" s="24" t="n">
        <f aca="false">IF(Players!E88=2,E54,0)</f>
        <v>0</v>
      </c>
      <c r="F70" s="24" t="n">
        <f aca="false">IF(Players!F88=2,F54,0)</f>
        <v>0</v>
      </c>
      <c r="G70" s="24" t="n">
        <f aca="false">IF(Players!G88=2,G54,0)</f>
        <v>0</v>
      </c>
      <c r="H70" s="24" t="n">
        <f aca="false">IF(Players!H88=2,H54,0)</f>
        <v>0</v>
      </c>
      <c r="I70" s="24" t="n">
        <f aca="false">IF(Players!I88=2,I54,0)</f>
        <v>0</v>
      </c>
      <c r="J70" s="24" t="n">
        <f aca="false">IF(Players!J88=2,J54,0)</f>
        <v>0</v>
      </c>
      <c r="K70" s="24" t="n">
        <f aca="false">IF(Players!K88=2,K54,0)</f>
        <v>0</v>
      </c>
      <c r="L70" s="24" t="n">
        <f aca="false">IF(Players!L88=2,L54,0)</f>
        <v>0</v>
      </c>
      <c r="M70" s="24" t="n">
        <f aca="false">IF(Players!M88=2,M54,0)</f>
        <v>0</v>
      </c>
    </row>
    <row r="71" customFormat="false" ht="17.15" hidden="false" customHeight="false" outlineLevel="0" collapsed="false">
      <c r="A71" s="0" t="s">
        <v>1185</v>
      </c>
      <c r="B71" s="0" t="s">
        <v>465</v>
      </c>
      <c r="C71" s="5" t="s">
        <v>1216</v>
      </c>
      <c r="E71" s="24" t="n">
        <f aca="false">IF(Players!E107=2,E55,0)</f>
        <v>0</v>
      </c>
      <c r="F71" s="24" t="n">
        <f aca="false">IF(Players!F107=2,F55,0)</f>
        <v>0</v>
      </c>
      <c r="G71" s="24" t="n">
        <f aca="false">IF(Players!G107=2,G55,0)</f>
        <v>1.34013</v>
      </c>
      <c r="H71" s="24" t="n">
        <f aca="false">IF(Players!H107=2,H55,0)</f>
        <v>0</v>
      </c>
      <c r="I71" s="24" t="n">
        <f aca="false">IF(Players!I107=2,I55,0)</f>
        <v>0</v>
      </c>
      <c r="J71" s="24" t="n">
        <f aca="false">IF(Players!J107=2,J55,0)</f>
        <v>0</v>
      </c>
      <c r="K71" s="24" t="n">
        <f aca="false">IF(Players!K107=2,K55,0)</f>
        <v>0</v>
      </c>
      <c r="L71" s="24" t="n">
        <f aca="false">IF(Players!L107=2,L55,0)</f>
        <v>0</v>
      </c>
      <c r="M71" s="24" t="n">
        <f aca="false">IF(Players!M107=2,M55,0)</f>
        <v>0</v>
      </c>
    </row>
    <row r="72" customFormat="false" ht="15" hidden="false" customHeight="false" outlineLevel="0" collapsed="false">
      <c r="A72" s="0" t="s">
        <v>956</v>
      </c>
      <c r="B72" s="0" t="s">
        <v>555</v>
      </c>
      <c r="C72" s="5" t="s">
        <v>1216</v>
      </c>
      <c r="E72" s="24" t="n">
        <f aca="false">IF(Players!E126=2,E56,0)</f>
        <v>0</v>
      </c>
      <c r="F72" s="24" t="n">
        <f aca="false">IF(Players!F126=2,F56,0)</f>
        <v>0</v>
      </c>
      <c r="G72" s="24" t="n">
        <f aca="false">IF(Players!G126=2,G56,0)</f>
        <v>0</v>
      </c>
      <c r="H72" s="24" t="n">
        <f aca="false">IF(Players!H126=2,H56,0)</f>
        <v>0</v>
      </c>
      <c r="I72" s="24" t="n">
        <f aca="false">IF(Players!I126=2,I56,0)</f>
        <v>0</v>
      </c>
      <c r="J72" s="24" t="n">
        <f aca="false">IF(Players!J126=2,J56,0)</f>
        <v>0</v>
      </c>
      <c r="K72" s="24" t="n">
        <f aca="false">IF(Players!K126=2,K56,0)</f>
        <v>0</v>
      </c>
      <c r="L72" s="24" t="n">
        <f aca="false">IF(Players!L126=2,L56,0)</f>
        <v>0</v>
      </c>
      <c r="M72" s="24" t="n">
        <f aca="false">IF(Players!M126=2,M56,0)</f>
        <v>0</v>
      </c>
    </row>
    <row r="73" customFormat="false" ht="15" hidden="false" customHeight="false" outlineLevel="0" collapsed="false">
      <c r="A73" s="0" t="s">
        <v>975</v>
      </c>
      <c r="B73" s="0" t="s">
        <v>584</v>
      </c>
      <c r="C73" s="5" t="s">
        <v>1216</v>
      </c>
      <c r="E73" s="24" t="n">
        <f aca="false">IF(Players!E145=2,E57,0)</f>
        <v>0</v>
      </c>
      <c r="F73" s="24" t="n">
        <f aca="false">IF(Players!F145=2,F57,0)</f>
        <v>0</v>
      </c>
      <c r="G73" s="24" t="n">
        <f aca="false">IF(Players!G145=2,G57,0)</f>
        <v>0</v>
      </c>
      <c r="H73" s="24" t="n">
        <f aca="false">IF(Players!H145=2,H57,0)</f>
        <v>0</v>
      </c>
      <c r="I73" s="24" t="n">
        <f aca="false">IF(Players!I145=2,I57,0)</f>
        <v>0</v>
      </c>
      <c r="J73" s="24" t="n">
        <f aca="false">IF(Players!J145=2,J57,0)</f>
        <v>0</v>
      </c>
      <c r="K73" s="24" t="n">
        <f aca="false">IF(Players!K145=2,K57,0)</f>
        <v>0</v>
      </c>
      <c r="L73" s="24" t="n">
        <f aca="false">IF(Players!L145=2,L57,0)</f>
        <v>0</v>
      </c>
      <c r="M73" s="24" t="n">
        <f aca="false">IF(Players!M145=2,M57,0)</f>
        <v>0</v>
      </c>
    </row>
    <row r="74" customFormat="false" ht="17.15" hidden="false" customHeight="false" outlineLevel="0" collapsed="false">
      <c r="A74" s="0" t="s">
        <v>1186</v>
      </c>
      <c r="B74" s="0" t="s">
        <v>995</v>
      </c>
      <c r="C74" s="5" t="s">
        <v>1216</v>
      </c>
      <c r="E74" s="24" t="n">
        <f aca="false">IF(Players!E164=2,E58,0)</f>
        <v>0</v>
      </c>
      <c r="F74" s="24" t="n">
        <f aca="false">IF(Players!F164=2,F58,0)</f>
        <v>0</v>
      </c>
      <c r="G74" s="24" t="n">
        <f aca="false">IF(Players!G164=2,G58,0)</f>
        <v>0</v>
      </c>
      <c r="H74" s="24" t="n">
        <f aca="false">IF(Players!H164=2,H58,0)</f>
        <v>0</v>
      </c>
      <c r="I74" s="24" t="n">
        <f aca="false">IF(Players!I164=2,I58,0)</f>
        <v>0</v>
      </c>
      <c r="J74" s="24" t="n">
        <f aca="false">IF(Players!J164=2,J58,0)</f>
        <v>0</v>
      </c>
      <c r="K74" s="24" t="n">
        <f aca="false">IF(Players!K164=2,K58,0)</f>
        <v>0</v>
      </c>
      <c r="L74" s="24" t="n">
        <f aca="false">IF(Players!L164=2,L58,0)</f>
        <v>0</v>
      </c>
      <c r="M74" s="24" t="n">
        <f aca="false">IF(Players!M164=2,M58,0)</f>
        <v>0</v>
      </c>
    </row>
    <row r="75" customFormat="false" ht="17.15" hidden="false" customHeight="false" outlineLevel="0" collapsed="false">
      <c r="A75" s="0" t="s">
        <v>1187</v>
      </c>
      <c r="B75" s="0" t="s">
        <v>470</v>
      </c>
      <c r="C75" s="5" t="s">
        <v>1216</v>
      </c>
      <c r="E75" s="24" t="n">
        <f aca="false">IF(Players!E183=2,E59,0)</f>
        <v>0</v>
      </c>
      <c r="F75" s="24" t="n">
        <f aca="false">IF(Players!F183=2,F59,0)</f>
        <v>0</v>
      </c>
      <c r="G75" s="24" t="n">
        <f aca="false">IF(Players!G183=2,G59,0)</f>
        <v>0</v>
      </c>
      <c r="H75" s="24" t="n">
        <f aca="false">IF(Players!H183=2,H59,0)</f>
        <v>0</v>
      </c>
      <c r="I75" s="24" t="n">
        <f aca="false">IF(Players!I183=2,I59,0)</f>
        <v>0</v>
      </c>
      <c r="J75" s="24" t="n">
        <f aca="false">IF(Players!J183=2,J59,0)</f>
        <v>0</v>
      </c>
      <c r="K75" s="24" t="n">
        <f aca="false">IF(Players!K183=2,K59,0)</f>
        <v>0</v>
      </c>
      <c r="L75" s="24" t="n">
        <f aca="false">IF(Players!L183=2,L59,0)</f>
        <v>0</v>
      </c>
      <c r="M75" s="24" t="n">
        <f aca="false">IF(Players!M183=2,M59,0)</f>
        <v>0</v>
      </c>
    </row>
    <row r="76" customFormat="false" ht="17.15" hidden="false" customHeight="false" outlineLevel="0" collapsed="false">
      <c r="A76" s="0" t="s">
        <v>1188</v>
      </c>
      <c r="B76" s="0" t="s">
        <v>466</v>
      </c>
      <c r="C76" s="5" t="s">
        <v>1216</v>
      </c>
      <c r="E76" s="24" t="n">
        <f aca="false">IF(Players!E202=2,E60,0)</f>
        <v>0</v>
      </c>
      <c r="F76" s="24" t="n">
        <f aca="false">IF(Players!F202=2,F60,0)</f>
        <v>0</v>
      </c>
      <c r="G76" s="24" t="n">
        <f aca="false">IF(Players!G202=2,G60,0)</f>
        <v>0</v>
      </c>
      <c r="H76" s="24" t="n">
        <f aca="false">IF(Players!H202=2,H60,0)</f>
        <v>0</v>
      </c>
      <c r="I76" s="24" t="n">
        <f aca="false">IF(Players!I202=2,I60,0)</f>
        <v>0</v>
      </c>
      <c r="J76" s="24" t="n">
        <f aca="false">IF(Players!J202=2,J60,0)</f>
        <v>0</v>
      </c>
      <c r="K76" s="24" t="n">
        <f aca="false">IF(Players!K202=2,K60,0)</f>
        <v>0</v>
      </c>
      <c r="L76" s="24" t="n">
        <f aca="false">IF(Players!L202=2,L60,0)</f>
        <v>0</v>
      </c>
      <c r="M76" s="24" t="n">
        <f aca="false">IF(Players!M202=2,M60,0)</f>
        <v>0</v>
      </c>
    </row>
    <row r="77" customFormat="false" ht="17.15" hidden="false" customHeight="false" outlineLevel="0" collapsed="false">
      <c r="A77" s="0" t="s">
        <v>1189</v>
      </c>
      <c r="B77" s="0" t="s">
        <v>450</v>
      </c>
      <c r="C77" s="5" t="s">
        <v>1216</v>
      </c>
      <c r="E77" s="24" t="n">
        <f aca="false">IF(Players!E221=2,E61,0)</f>
        <v>0</v>
      </c>
      <c r="F77" s="24" t="n">
        <f aca="false">IF(Players!F221=2,F61,0)</f>
        <v>0</v>
      </c>
      <c r="G77" s="24" t="n">
        <f aca="false">IF(Players!G221=2,G61,0)</f>
        <v>0</v>
      </c>
      <c r="H77" s="24" t="n">
        <f aca="false">IF(Players!H221=2,H61,0)</f>
        <v>0</v>
      </c>
      <c r="I77" s="24" t="n">
        <f aca="false">IF(Players!I221=2,I61,0)</f>
        <v>0</v>
      </c>
      <c r="J77" s="24" t="n">
        <f aca="false">IF(Players!J221=2,J61,0)</f>
        <v>0</v>
      </c>
      <c r="K77" s="24" t="n">
        <f aca="false">IF(Players!K221=2,K61,0)</f>
        <v>0</v>
      </c>
      <c r="L77" s="24" t="n">
        <f aca="false">IF(Players!L221=2,L61,0)</f>
        <v>0</v>
      </c>
      <c r="M77" s="24" t="n">
        <f aca="false">IF(Players!M221=2,M61,0)</f>
        <v>0</v>
      </c>
    </row>
    <row r="78" customFormat="false" ht="17.15" hidden="false" customHeight="false" outlineLevel="0" collapsed="false">
      <c r="A78" s="5" t="s">
        <v>1190</v>
      </c>
      <c r="B78" s="0" t="s">
        <v>480</v>
      </c>
      <c r="C78" s="5" t="s">
        <v>1216</v>
      </c>
      <c r="E78" s="24" t="n">
        <f aca="false">IF(Players!E240=2,E62,0)</f>
        <v>0</v>
      </c>
      <c r="F78" s="24" t="n">
        <f aca="false">IF(Players!F240=2,F62,0)</f>
        <v>0</v>
      </c>
      <c r="G78" s="24" t="n">
        <f aca="false">IF(Players!G240=2,G62,0)</f>
        <v>0</v>
      </c>
      <c r="H78" s="24" t="n">
        <f aca="false">IF(Players!H240=2,H62,0)</f>
        <v>0</v>
      </c>
      <c r="I78" s="24" t="n">
        <f aca="false">IF(Players!I240=2,I62,0)</f>
        <v>0</v>
      </c>
      <c r="J78" s="24" t="n">
        <f aca="false">IF(Players!J240=2,J62,0)</f>
        <v>0</v>
      </c>
      <c r="K78" s="24" t="n">
        <f aca="false">IF(Players!K240=2,K62,0)</f>
        <v>0</v>
      </c>
      <c r="L78" s="24" t="n">
        <f aca="false">IF(Players!L240=2,L62,0)</f>
        <v>0</v>
      </c>
      <c r="M78" s="24" t="n">
        <f aca="false">IF(Players!M240=2,M62,0)</f>
        <v>0</v>
      </c>
    </row>
    <row r="79" customFormat="false" ht="17.15" hidden="false" customHeight="false" outlineLevel="0" collapsed="false">
      <c r="A79" s="5" t="s">
        <v>1191</v>
      </c>
      <c r="B79" s="0" t="s">
        <v>577</v>
      </c>
      <c r="C79" s="5" t="s">
        <v>1216</v>
      </c>
      <c r="E79" s="24" t="n">
        <f aca="false">IF(Players!E259=2,E63,0)</f>
        <v>0</v>
      </c>
      <c r="F79" s="24" t="n">
        <f aca="false">IF(Players!F259=2,F63,0)</f>
        <v>0</v>
      </c>
      <c r="G79" s="24" t="n">
        <f aca="false">IF(Players!G259=2,G63,0)</f>
        <v>0</v>
      </c>
      <c r="H79" s="24" t="n">
        <f aca="false">IF(Players!H259=2,H63,0)</f>
        <v>0</v>
      </c>
      <c r="I79" s="24" t="n">
        <f aca="false">IF(Players!I259=2,I63,0)</f>
        <v>0</v>
      </c>
      <c r="J79" s="24" t="n">
        <f aca="false">IF(Players!J259=2,J63,0)</f>
        <v>0</v>
      </c>
      <c r="K79" s="24" t="n">
        <f aca="false">IF(Players!K259=2,K63,0)</f>
        <v>0</v>
      </c>
      <c r="L79" s="24" t="n">
        <f aca="false">IF(Players!L259=2,L63,0)</f>
        <v>0</v>
      </c>
      <c r="M79" s="24" t="n">
        <f aca="false">IF(Players!M259=2,M63,0)</f>
        <v>0</v>
      </c>
    </row>
    <row r="80" customFormat="false" ht="17.15" hidden="false" customHeight="false" outlineLevel="0" collapsed="false">
      <c r="A80" s="5" t="s">
        <v>1192</v>
      </c>
      <c r="B80" s="0" t="s">
        <v>487</v>
      </c>
      <c r="C80" s="5" t="s">
        <v>1216</v>
      </c>
      <c r="E80" s="24" t="n">
        <f aca="false">IF(Players!E278=2,E64,0)</f>
        <v>0</v>
      </c>
      <c r="F80" s="24" t="n">
        <f aca="false">IF(Players!F278=2,F64,0)</f>
        <v>0</v>
      </c>
      <c r="G80" s="24" t="n">
        <f aca="false">IF(Players!G278=2,G64,0)</f>
        <v>0</v>
      </c>
      <c r="H80" s="24" t="n">
        <f aca="false">IF(Players!H278=2,H64,0)</f>
        <v>0</v>
      </c>
      <c r="I80" s="24" t="n">
        <f aca="false">IF(Players!I278=2,I64,0)</f>
        <v>0</v>
      </c>
      <c r="J80" s="24" t="n">
        <f aca="false">IF(Players!J278=2,J64,0)</f>
        <v>0</v>
      </c>
      <c r="K80" s="24" t="n">
        <f aca="false">IF(Players!K278=2,K64,0)</f>
        <v>0</v>
      </c>
      <c r="L80" s="24" t="n">
        <f aca="false">IF(Players!L278=2,L64,0)</f>
        <v>0</v>
      </c>
      <c r="M80" s="24" t="n">
        <f aca="false">IF(Players!M278=2,M64,0)</f>
        <v>0</v>
      </c>
    </row>
    <row r="81" customFormat="false" ht="17.15" hidden="false" customHeight="false" outlineLevel="0" collapsed="false">
      <c r="A81" s="5" t="s">
        <v>1193</v>
      </c>
      <c r="B81" s="0" t="s">
        <v>1129</v>
      </c>
      <c r="C81" s="5" t="s">
        <v>1216</v>
      </c>
      <c r="E81" s="24" t="n">
        <f aca="false">IF(Players!E297=2,E65,0)</f>
        <v>0</v>
      </c>
      <c r="F81" s="24" t="n">
        <f aca="false">IF(Players!F297=2,F65,0)</f>
        <v>0</v>
      </c>
      <c r="G81" s="24" t="n">
        <f aca="false">IF(Players!G297=2,G65,0)</f>
        <v>0</v>
      </c>
      <c r="H81" s="24" t="n">
        <f aca="false">IF(Players!H297=2,H65,0)</f>
        <v>0</v>
      </c>
      <c r="I81" s="24" t="n">
        <f aca="false">IF(Players!I297=2,I65,0)</f>
        <v>0</v>
      </c>
      <c r="J81" s="24" t="n">
        <f aca="false">IF(Players!J297=2,J65,0)</f>
        <v>0</v>
      </c>
      <c r="K81" s="24" t="n">
        <f aca="false">IF(Players!K297=2,K65,0)</f>
        <v>0</v>
      </c>
      <c r="L81" s="24" t="n">
        <f aca="false">IF(Players!L297=2,L65,0)</f>
        <v>0</v>
      </c>
      <c r="M81" s="24" t="n">
        <f aca="false">IF(Players!M297=2,M65,0)</f>
        <v>0</v>
      </c>
    </row>
    <row r="83" customFormat="false" ht="17.15" hidden="false" customHeight="false" outlineLevel="0" collapsed="false">
      <c r="A83" s="0" t="s">
        <v>1182</v>
      </c>
      <c r="B83" s="0" t="s">
        <v>441</v>
      </c>
      <c r="C83" s="5" t="s">
        <v>1217</v>
      </c>
      <c r="E83" s="24" t="n">
        <f aca="false">E51-E67</f>
        <v>0</v>
      </c>
      <c r="F83" s="24" t="n">
        <f aca="false">F51-F67</f>
        <v>1.49927</v>
      </c>
      <c r="G83" s="24" t="n">
        <f aca="false">G51-G67</f>
        <v>0</v>
      </c>
      <c r="H83" s="24" t="n">
        <f aca="false">H51-H67</f>
        <v>0</v>
      </c>
      <c r="I83" s="24" t="n">
        <f aca="false">I51-I67</f>
        <v>0</v>
      </c>
      <c r="J83" s="24" t="n">
        <f aca="false">J51-J67</f>
        <v>0</v>
      </c>
      <c r="K83" s="24" t="n">
        <f aca="false">K51-K67</f>
        <v>0</v>
      </c>
      <c r="L83" s="24" t="n">
        <f aca="false">L51-L67</f>
        <v>0</v>
      </c>
      <c r="M83" s="24" t="n">
        <f aca="false">M51-M67</f>
        <v>0</v>
      </c>
    </row>
    <row r="84" customFormat="false" ht="17.15" hidden="false" customHeight="false" outlineLevel="0" collapsed="false">
      <c r="A84" s="0" t="s">
        <v>1183</v>
      </c>
      <c r="B84" s="0" t="s">
        <v>446</v>
      </c>
      <c r="C84" s="5" t="s">
        <v>1217</v>
      </c>
      <c r="E84" s="24" t="n">
        <f aca="false">E52-E68</f>
        <v>1.32980834349181</v>
      </c>
      <c r="F84" s="24" t="n">
        <f aca="false">F52-F68</f>
        <v>2.40961330082622</v>
      </c>
      <c r="G84" s="24" t="n">
        <f aca="false">G52-G68</f>
        <v>0</v>
      </c>
      <c r="H84" s="24" t="n">
        <f aca="false">H52-H68</f>
        <v>0</v>
      </c>
      <c r="I84" s="24" t="n">
        <f aca="false">I52-I68</f>
        <v>0</v>
      </c>
      <c r="J84" s="24" t="n">
        <f aca="false">J52-J68</f>
        <v>0</v>
      </c>
      <c r="K84" s="24" t="n">
        <f aca="false">K52-K68</f>
        <v>0</v>
      </c>
      <c r="L84" s="24" t="n">
        <f aca="false">L52-L68</f>
        <v>0</v>
      </c>
      <c r="M84" s="24" t="n">
        <f aca="false">M52-M68</f>
        <v>0</v>
      </c>
    </row>
    <row r="85" customFormat="false" ht="17.15" hidden="false" customHeight="false" outlineLevel="0" collapsed="false">
      <c r="A85" s="0" t="s">
        <v>1184</v>
      </c>
      <c r="B85" s="0" t="s">
        <v>454</v>
      </c>
      <c r="C85" s="5" t="s">
        <v>1217</v>
      </c>
      <c r="E85" s="24" t="n">
        <f aca="false">E53-E69</f>
        <v>0</v>
      </c>
      <c r="F85" s="24" t="n">
        <f aca="false">F53-F69</f>
        <v>1.38971599402093</v>
      </c>
      <c r="G85" s="24" t="n">
        <f aca="false">G53-G69</f>
        <v>0</v>
      </c>
      <c r="H85" s="24" t="n">
        <f aca="false">H53-H69</f>
        <v>0</v>
      </c>
      <c r="I85" s="24" t="n">
        <f aca="false">I53-I69</f>
        <v>0</v>
      </c>
      <c r="J85" s="24" t="n">
        <f aca="false">J53-J69</f>
        <v>0</v>
      </c>
      <c r="K85" s="24" t="n">
        <f aca="false">K53-K69</f>
        <v>0</v>
      </c>
      <c r="L85" s="24" t="n">
        <f aca="false">L53-L69</f>
        <v>0</v>
      </c>
      <c r="M85" s="24" t="n">
        <f aca="false">M53-M69</f>
        <v>0</v>
      </c>
    </row>
    <row r="86" customFormat="false" ht="15" hidden="false" customHeight="false" outlineLevel="0" collapsed="false">
      <c r="A86" s="0" t="s">
        <v>918</v>
      </c>
      <c r="B86" s="0" t="s">
        <v>461</v>
      </c>
      <c r="C86" s="5" t="s">
        <v>1217</v>
      </c>
      <c r="E86" s="24" t="n">
        <f aca="false">E54-E70</f>
        <v>0</v>
      </c>
      <c r="F86" s="24" t="n">
        <f aca="false">F54-F70</f>
        <v>1.50812</v>
      </c>
      <c r="G86" s="24" t="n">
        <f aca="false">G54-G70</f>
        <v>0</v>
      </c>
      <c r="H86" s="24" t="n">
        <f aca="false">H54-H70</f>
        <v>0</v>
      </c>
      <c r="I86" s="24" t="n">
        <f aca="false">I54-I70</f>
        <v>0</v>
      </c>
      <c r="J86" s="24" t="n">
        <f aca="false">J54-J70</f>
        <v>0</v>
      </c>
      <c r="K86" s="24" t="n">
        <f aca="false">K54-K70</f>
        <v>0</v>
      </c>
      <c r="L86" s="24" t="n">
        <f aca="false">L54-L70</f>
        <v>0</v>
      </c>
      <c r="M86" s="24" t="n">
        <f aca="false">M54-M70</f>
        <v>0</v>
      </c>
    </row>
    <row r="87" customFormat="false" ht="17.15" hidden="false" customHeight="false" outlineLevel="0" collapsed="false">
      <c r="A87" s="0" t="s">
        <v>1185</v>
      </c>
      <c r="B87" s="0" t="s">
        <v>465</v>
      </c>
      <c r="C87" s="5" t="s">
        <v>1217</v>
      </c>
      <c r="E87" s="24" t="n">
        <f aca="false">E55-E71</f>
        <v>0</v>
      </c>
      <c r="F87" s="24" t="n">
        <f aca="false">F55-F71</f>
        <v>0.816405</v>
      </c>
      <c r="G87" s="24" t="n">
        <f aca="false">G55-G71</f>
        <v>0</v>
      </c>
      <c r="H87" s="24" t="n">
        <f aca="false">H55-H71</f>
        <v>0</v>
      </c>
      <c r="I87" s="24" t="n">
        <f aca="false">I55-I71</f>
        <v>0</v>
      </c>
      <c r="J87" s="24" t="n">
        <f aca="false">J55-J71</f>
        <v>0</v>
      </c>
      <c r="K87" s="24" t="n">
        <f aca="false">K55-K71</f>
        <v>0</v>
      </c>
      <c r="L87" s="24" t="n">
        <f aca="false">L55-L71</f>
        <v>0</v>
      </c>
      <c r="M87" s="24" t="n">
        <f aca="false">M55-M71</f>
        <v>0</v>
      </c>
    </row>
    <row r="88" customFormat="false" ht="15" hidden="false" customHeight="false" outlineLevel="0" collapsed="false">
      <c r="A88" s="0" t="s">
        <v>956</v>
      </c>
      <c r="B88" s="0" t="s">
        <v>555</v>
      </c>
      <c r="C88" s="5" t="s">
        <v>1217</v>
      </c>
      <c r="E88" s="24" t="n">
        <f aca="false">E56-E72</f>
        <v>0.29</v>
      </c>
      <c r="F88" s="24" t="n">
        <f aca="false">F56-F72</f>
        <v>0.49</v>
      </c>
      <c r="G88" s="24" t="n">
        <f aca="false">G56-G72</f>
        <v>1</v>
      </c>
      <c r="H88" s="24" t="n">
        <f aca="false">H56-H72</f>
        <v>1.2775</v>
      </c>
      <c r="I88" s="24" t="n">
        <f aca="false">I56-I72</f>
        <v>1.5375</v>
      </c>
      <c r="J88" s="24" t="n">
        <f aca="false">J56-J72</f>
        <v>1.5375</v>
      </c>
      <c r="K88" s="24" t="n">
        <f aca="false">K56-K72</f>
        <v>1.5375</v>
      </c>
      <c r="L88" s="24" t="n">
        <f aca="false">L56-L72</f>
        <v>0</v>
      </c>
      <c r="M88" s="24" t="n">
        <f aca="false">M56-M72</f>
        <v>0</v>
      </c>
    </row>
    <row r="89" customFormat="false" ht="15" hidden="false" customHeight="false" outlineLevel="0" collapsed="false">
      <c r="A89" s="0" t="s">
        <v>975</v>
      </c>
      <c r="B89" s="0" t="s">
        <v>584</v>
      </c>
      <c r="C89" s="5" t="s">
        <v>1217</v>
      </c>
      <c r="E89" s="24" t="n">
        <f aca="false">E57-E73</f>
        <v>0</v>
      </c>
      <c r="F89" s="24" t="n">
        <f aca="false">F57-F73</f>
        <v>0</v>
      </c>
      <c r="G89" s="24" t="n">
        <f aca="false">G57-G73</f>
        <v>0.73</v>
      </c>
      <c r="H89" s="24" t="n">
        <f aca="false">H57-H73</f>
        <v>0</v>
      </c>
      <c r="I89" s="24" t="n">
        <f aca="false">I57-I73</f>
        <v>0</v>
      </c>
      <c r="J89" s="24" t="n">
        <f aca="false">J57-J73</f>
        <v>0</v>
      </c>
      <c r="K89" s="24" t="n">
        <f aca="false">K57-K73</f>
        <v>0</v>
      </c>
      <c r="L89" s="24" t="n">
        <f aca="false">L57-L73</f>
        <v>0</v>
      </c>
      <c r="M89" s="24" t="n">
        <f aca="false">M57-M73</f>
        <v>0</v>
      </c>
    </row>
    <row r="90" customFormat="false" ht="17.15" hidden="false" customHeight="false" outlineLevel="0" collapsed="false">
      <c r="A90" s="0" t="s">
        <v>1186</v>
      </c>
      <c r="B90" s="0" t="s">
        <v>995</v>
      </c>
      <c r="C90" s="5" t="s">
        <v>1217</v>
      </c>
      <c r="E90" s="24" t="n">
        <f aca="false">E58-E74</f>
        <v>0</v>
      </c>
      <c r="F90" s="24" t="n">
        <f aca="false">F58-F74</f>
        <v>0</v>
      </c>
      <c r="G90" s="24" t="n">
        <f aca="false">G58-G74</f>
        <v>0.009074</v>
      </c>
      <c r="H90" s="24" t="n">
        <f aca="false">H58-H74</f>
        <v>0.001974</v>
      </c>
      <c r="I90" s="24" t="n">
        <f aca="false">I58-I74</f>
        <v>0</v>
      </c>
      <c r="J90" s="24" t="n">
        <f aca="false">J58-J74</f>
        <v>0</v>
      </c>
      <c r="K90" s="24" t="n">
        <f aca="false">K58-K74</f>
        <v>0</v>
      </c>
      <c r="L90" s="24" t="n">
        <f aca="false">L58-L74</f>
        <v>0</v>
      </c>
      <c r="M90" s="24" t="n">
        <f aca="false">M58-M74</f>
        <v>0</v>
      </c>
    </row>
    <row r="91" customFormat="false" ht="17.15" hidden="false" customHeight="false" outlineLevel="0" collapsed="false">
      <c r="A91" s="0" t="s">
        <v>1187</v>
      </c>
      <c r="B91" s="0" t="s">
        <v>470</v>
      </c>
      <c r="C91" s="5" t="s">
        <v>1217</v>
      </c>
      <c r="E91" s="24" t="n">
        <f aca="false">E59-E75</f>
        <v>0</v>
      </c>
      <c r="F91" s="24" t="n">
        <f aca="false">F59-F75</f>
        <v>0</v>
      </c>
      <c r="G91" s="24" t="n">
        <f aca="false">G59-G75</f>
        <v>1.4302</v>
      </c>
      <c r="H91" s="24" t="n">
        <f aca="false">H59-H75</f>
        <v>0</v>
      </c>
      <c r="I91" s="24" t="n">
        <f aca="false">I59-I75</f>
        <v>0</v>
      </c>
      <c r="J91" s="24" t="n">
        <f aca="false">J59-J75</f>
        <v>0</v>
      </c>
      <c r="K91" s="24" t="n">
        <f aca="false">K59-K75</f>
        <v>0</v>
      </c>
      <c r="L91" s="24" t="n">
        <f aca="false">L59-L75</f>
        <v>0</v>
      </c>
      <c r="M91" s="24" t="n">
        <f aca="false">M59-M75</f>
        <v>0</v>
      </c>
    </row>
    <row r="92" customFormat="false" ht="17.15" hidden="false" customHeight="false" outlineLevel="0" collapsed="false">
      <c r="A92" s="0" t="s">
        <v>1188</v>
      </c>
      <c r="B92" s="0" t="s">
        <v>466</v>
      </c>
      <c r="C92" s="5" t="s">
        <v>1217</v>
      </c>
      <c r="E92" s="24" t="n">
        <f aca="false">E60-E76</f>
        <v>0</v>
      </c>
      <c r="F92" s="24" t="n">
        <f aca="false">F60-F76</f>
        <v>0</v>
      </c>
      <c r="G92" s="24" t="n">
        <f aca="false">G60-G76</f>
        <v>0</v>
      </c>
      <c r="H92" s="24" t="n">
        <f aca="false">H60-H76</f>
        <v>0</v>
      </c>
      <c r="I92" s="24" t="n">
        <f aca="false">I60-I76</f>
        <v>0</v>
      </c>
      <c r="J92" s="24" t="n">
        <f aca="false">J60-J76</f>
        <v>0</v>
      </c>
      <c r="K92" s="24" t="n">
        <f aca="false">K60-K76</f>
        <v>0</v>
      </c>
      <c r="L92" s="24" t="n">
        <f aca="false">L60-L76</f>
        <v>0</v>
      </c>
      <c r="M92" s="24" t="n">
        <f aca="false">M60-M76</f>
        <v>0</v>
      </c>
    </row>
    <row r="93" customFormat="false" ht="17.15" hidden="false" customHeight="false" outlineLevel="0" collapsed="false">
      <c r="A93" s="0" t="s">
        <v>1189</v>
      </c>
      <c r="B93" s="0" t="s">
        <v>450</v>
      </c>
      <c r="C93" s="5" t="s">
        <v>1217</v>
      </c>
      <c r="E93" s="24" t="n">
        <f aca="false">E61-E77</f>
        <v>0</v>
      </c>
      <c r="F93" s="24" t="n">
        <f aca="false">F61-F77</f>
        <v>0</v>
      </c>
      <c r="G93" s="24" t="n">
        <f aca="false">G61-G77</f>
        <v>0</v>
      </c>
      <c r="H93" s="24" t="n">
        <f aca="false">H61-H77</f>
        <v>0</v>
      </c>
      <c r="I93" s="24" t="n">
        <f aca="false">I61-I77</f>
        <v>0</v>
      </c>
      <c r="J93" s="24" t="n">
        <f aca="false">J61-J77</f>
        <v>0</v>
      </c>
      <c r="K93" s="24" t="n">
        <f aca="false">K61-K77</f>
        <v>0</v>
      </c>
      <c r="L93" s="24" t="n">
        <f aca="false">L61-L77</f>
        <v>0</v>
      </c>
      <c r="M93" s="24" t="n">
        <f aca="false">M61-M77</f>
        <v>0</v>
      </c>
    </row>
    <row r="94" customFormat="false" ht="17.15" hidden="false" customHeight="false" outlineLevel="0" collapsed="false">
      <c r="A94" s="5" t="s">
        <v>1190</v>
      </c>
      <c r="B94" s="0" t="s">
        <v>480</v>
      </c>
      <c r="C94" s="5" t="s">
        <v>1217</v>
      </c>
      <c r="E94" s="24" t="n">
        <f aca="false">E62-E78</f>
        <v>0</v>
      </c>
      <c r="F94" s="24" t="n">
        <f aca="false">F62-F78</f>
        <v>0.3</v>
      </c>
      <c r="G94" s="24" t="n">
        <f aca="false">G62-G78</f>
        <v>0.7</v>
      </c>
      <c r="H94" s="24" t="n">
        <f aca="false">H62-H78</f>
        <v>0</v>
      </c>
      <c r="I94" s="24" t="n">
        <f aca="false">I62-I78</f>
        <v>0</v>
      </c>
      <c r="J94" s="24" t="n">
        <f aca="false">J62-J78</f>
        <v>0</v>
      </c>
      <c r="K94" s="24" t="n">
        <f aca="false">K62-K78</f>
        <v>0</v>
      </c>
      <c r="L94" s="24" t="n">
        <f aca="false">L62-L78</f>
        <v>0</v>
      </c>
      <c r="M94" s="24" t="n">
        <f aca="false">M62-M78</f>
        <v>0</v>
      </c>
    </row>
    <row r="95" customFormat="false" ht="17.15" hidden="false" customHeight="false" outlineLevel="0" collapsed="false">
      <c r="A95" s="5" t="s">
        <v>1191</v>
      </c>
      <c r="B95" s="0" t="s">
        <v>577</v>
      </c>
      <c r="C95" s="5" t="s">
        <v>1217</v>
      </c>
      <c r="E95" s="24" t="n">
        <f aca="false">E63-E79</f>
        <v>0</v>
      </c>
      <c r="F95" s="24" t="n">
        <f aca="false">F63-F79</f>
        <v>0</v>
      </c>
      <c r="G95" s="24" t="n">
        <f aca="false">G63-G79</f>
        <v>0</v>
      </c>
      <c r="H95" s="24" t="n">
        <f aca="false">H63-H79</f>
        <v>0</v>
      </c>
      <c r="I95" s="24" t="n">
        <f aca="false">I63-I79</f>
        <v>0</v>
      </c>
      <c r="J95" s="24" t="n">
        <f aca="false">J63-J79</f>
        <v>0</v>
      </c>
      <c r="K95" s="24" t="n">
        <f aca="false">K63-K79</f>
        <v>0</v>
      </c>
      <c r="L95" s="24" t="n">
        <f aca="false">L63-L79</f>
        <v>0</v>
      </c>
      <c r="M95" s="24" t="n">
        <f aca="false">M63-M79</f>
        <v>0</v>
      </c>
    </row>
    <row r="96" customFormat="false" ht="17.15" hidden="false" customHeight="false" outlineLevel="0" collapsed="false">
      <c r="A96" s="5" t="s">
        <v>1192</v>
      </c>
      <c r="B96" s="0" t="s">
        <v>487</v>
      </c>
      <c r="C96" s="5" t="s">
        <v>1217</v>
      </c>
      <c r="E96" s="24" t="n">
        <f aca="false">E64-E80</f>
        <v>0</v>
      </c>
      <c r="F96" s="24" t="n">
        <f aca="false">F64-F80</f>
        <v>0</v>
      </c>
      <c r="G96" s="24" t="n">
        <f aca="false">G64-G80</f>
        <v>3.33333333333333</v>
      </c>
      <c r="H96" s="24" t="n">
        <f aca="false">H64-H80</f>
        <v>1.9895044578405</v>
      </c>
      <c r="I96" s="24" t="n">
        <f aca="false">I64-I80</f>
        <v>2.28121406090902</v>
      </c>
      <c r="J96" s="24" t="n">
        <f aca="false">J64-J80</f>
        <v>2.61252133099745</v>
      </c>
      <c r="K96" s="24" t="n">
        <f aca="false">K64-K80</f>
        <v>2.9885550220479</v>
      </c>
      <c r="L96" s="24" t="n">
        <f aca="false">L64-L80</f>
        <v>2.15384615384616</v>
      </c>
      <c r="M96" s="24" t="n">
        <f aca="false">M64-M80</f>
        <v>2.36923076923077</v>
      </c>
    </row>
    <row r="97" customFormat="false" ht="17.15" hidden="false" customHeight="false" outlineLevel="0" collapsed="false">
      <c r="A97" s="5" t="s">
        <v>1193</v>
      </c>
      <c r="B97" s="0" t="s">
        <v>1129</v>
      </c>
      <c r="C97" s="5" t="s">
        <v>1217</v>
      </c>
      <c r="E97" s="24" t="n">
        <f aca="false">E65-E81</f>
        <v>0</v>
      </c>
      <c r="F97" s="24" t="n">
        <f aca="false">F65-F81</f>
        <v>0</v>
      </c>
      <c r="G97" s="24" t="n">
        <f aca="false">G65-G81</f>
        <v>0</v>
      </c>
      <c r="H97" s="24" t="n">
        <f aca="false">H65-H81</f>
        <v>0</v>
      </c>
      <c r="I97" s="24" t="n">
        <f aca="false">I65-I81</f>
        <v>0</v>
      </c>
      <c r="J97" s="24" t="n">
        <f aca="false">J65-J81</f>
        <v>0</v>
      </c>
      <c r="K97" s="24" t="n">
        <f aca="false">K65-K81</f>
        <v>0</v>
      </c>
      <c r="L97" s="24" t="n">
        <f aca="false">L65-L81</f>
        <v>0</v>
      </c>
      <c r="M97" s="24" t="n">
        <f aca="false">M65-M81</f>
        <v>0</v>
      </c>
    </row>
    <row r="99" customFormat="false" ht="15" hidden="false" customHeight="false" outlineLevel="0" collapsed="false">
      <c r="A99" s="21" t="s">
        <v>1215</v>
      </c>
      <c r="D99" s="24" t="n">
        <v>0</v>
      </c>
      <c r="E99" s="24" t="n">
        <f aca="false">SUM(E51:E65)</f>
        <v>1.61980834349181</v>
      </c>
      <c r="F99" s="24" t="n">
        <f aca="false">SUM(F51:F65)</f>
        <v>8.41312429484715</v>
      </c>
      <c r="G99" s="24" t="n">
        <f aca="false">SUM(G51:G65)</f>
        <v>10.6373714610592</v>
      </c>
      <c r="H99" s="24" t="n">
        <f aca="false">SUM(H51:H65)</f>
        <v>3.2689784578405</v>
      </c>
      <c r="I99" s="24" t="n">
        <f aca="false">SUM(I51:I65)</f>
        <v>3.81871406090902</v>
      </c>
      <c r="J99" s="24" t="n">
        <f aca="false">SUM(J51:J65)</f>
        <v>4.15002133099745</v>
      </c>
      <c r="K99" s="24" t="n">
        <f aca="false">SUM(K51:K65)</f>
        <v>4.5260550220479</v>
      </c>
      <c r="L99" s="24" t="n">
        <f aca="false">SUM(L51:L65)</f>
        <v>2.15384615384616</v>
      </c>
      <c r="M99" s="24" t="n">
        <f aca="false">SUM(M51:M65)</f>
        <v>2.36923076923077</v>
      </c>
    </row>
    <row r="100" customFormat="false" ht="15" hidden="false" customHeight="false" outlineLevel="0" collapsed="false">
      <c r="A100" s="21" t="s">
        <v>1218</v>
      </c>
      <c r="D100" s="24" t="n">
        <v>0</v>
      </c>
      <c r="E100" s="24" t="n">
        <f aca="false">SUM(E67:E81)</f>
        <v>0</v>
      </c>
      <c r="F100" s="24" t="n">
        <f aca="false">SUM(F67:F81)</f>
        <v>0</v>
      </c>
      <c r="G100" s="24" t="n">
        <f aca="false">SUM(G67:G81)</f>
        <v>3.43476412772586</v>
      </c>
      <c r="H100" s="24" t="n">
        <f aca="false">SUM(H67:H81)</f>
        <v>0</v>
      </c>
      <c r="I100" s="24" t="n">
        <f aca="false">SUM(I67:I81)</f>
        <v>0</v>
      </c>
      <c r="J100" s="24" t="n">
        <f aca="false">SUM(J67:J81)</f>
        <v>0</v>
      </c>
      <c r="K100" s="24" t="n">
        <f aca="false">SUM(K67:K81)</f>
        <v>0</v>
      </c>
      <c r="L100" s="24" t="n">
        <f aca="false">SUM(L67:L81)</f>
        <v>0</v>
      </c>
      <c r="M100" s="24" t="n">
        <f aca="false">SUM(M67:M81)</f>
        <v>0</v>
      </c>
    </row>
    <row r="101" customFormat="false" ht="15" hidden="false" customHeight="false" outlineLevel="0" collapsed="false">
      <c r="A101" s="21" t="s">
        <v>1219</v>
      </c>
      <c r="D101" s="24" t="n">
        <v>0</v>
      </c>
      <c r="E101" s="24" t="n">
        <f aca="false">SUM(E83:E97)</f>
        <v>1.61980834349181</v>
      </c>
      <c r="F101" s="24" t="n">
        <f aca="false">SUM(F83:F97)</f>
        <v>8.41312429484715</v>
      </c>
      <c r="G101" s="24" t="n">
        <f aca="false">SUM(G83:G97)</f>
        <v>7.20260733333333</v>
      </c>
      <c r="H101" s="24" t="n">
        <f aca="false">SUM(H83:H97)</f>
        <v>3.2689784578405</v>
      </c>
      <c r="I101" s="24" t="n">
        <f aca="false">SUM(I83:I97)</f>
        <v>3.81871406090902</v>
      </c>
      <c r="J101" s="24" t="n">
        <f aca="false">SUM(J83:J97)</f>
        <v>4.15002133099745</v>
      </c>
      <c r="K101" s="24" t="n">
        <f aca="false">SUM(K83:K97)</f>
        <v>4.5260550220479</v>
      </c>
      <c r="L101" s="24" t="n">
        <f aca="false">SUM(L83:L97)</f>
        <v>2.15384615384616</v>
      </c>
      <c r="M101" s="24" t="n">
        <f aca="false">SUM(M83:M97)</f>
        <v>2.36923076923077</v>
      </c>
    </row>
    <row r="102" customFormat="false" ht="17.15" hidden="false" customHeight="false" outlineLevel="0" collapsed="false">
      <c r="A102" s="21" t="s">
        <v>1220</v>
      </c>
      <c r="D102" s="24" t="n">
        <f aca="false">SUMIFS($L$5:$L$47,$Q$5:$Q$47,1,$P$5:$P$47,2023)</f>
        <v>0</v>
      </c>
      <c r="E102" s="24" t="n">
        <f aca="false">SUMIFS($L$5:$L$47,$Q$5:$Q$47,1,$P$5:$P$47,2024)</f>
        <v>0</v>
      </c>
      <c r="F102" s="24" t="n">
        <f aca="false">SUMIFS($L$5:$L$47,$Q$5:$Q$47,1,$P$5:$P$47,2025)</f>
        <v>0.636</v>
      </c>
      <c r="G102" s="24" t="n">
        <f aca="false">SUMIFS($L$5:$L$47,$Q$5:$Q$47,1,$P$5:$P$47,2026)</f>
        <v>1.678</v>
      </c>
      <c r="H102" s="24" t="n">
        <f aca="false">SUMIFS($L$5:$L$47,$Q$5:$Q$47,1,$P$5:$P$47,2027)</f>
        <v>2.21866666666667</v>
      </c>
      <c r="I102" s="24" t="n">
        <f aca="false">SUMIFS($L$5:$L$47,$Q$5:$Q$47,1,$P$5:$P$47,2028)</f>
        <v>12.7693333333333</v>
      </c>
      <c r="J102" s="24" t="n">
        <f aca="false">SUMIFS($L$5:$L$47,$Q$5:$Q$47,1,$P$5:$P$47,2029)</f>
        <v>1.785</v>
      </c>
      <c r="K102" s="24" t="n">
        <f aca="false">SUMIFS($L$5:$L$47,$Q$5:$Q$47,1,$P$5:$P$47,2030)</f>
        <v>3.116</v>
      </c>
      <c r="L102" s="24" t="n">
        <f aca="false">SUMIFS($L$5:$L$47,$Q$5:$Q$47,1,$P$5:$P$47,2031)</f>
        <v>0</v>
      </c>
      <c r="M102" s="24" t="n">
        <f aca="false">SUMIFS($L$5:$L$47,$Q$5:$Q$47,1,$P$5:$P$47,2032)</f>
        <v>0</v>
      </c>
    </row>
    <row r="103" customFormat="false" ht="17.15" hidden="false" customHeight="false" outlineLevel="0" collapsed="false">
      <c r="A103" s="21" t="s">
        <v>1221</v>
      </c>
      <c r="D103" s="24" t="n">
        <f aca="false">Players!D314</f>
        <v>0.630578355681972</v>
      </c>
      <c r="E103" s="24" t="n">
        <f aca="false">Players!E314</f>
        <v>3.95899900597907</v>
      </c>
      <c r="F103" s="24" t="n">
        <f aca="false">Players!F314</f>
        <v>10.0786333333333</v>
      </c>
      <c r="G103" s="24" t="n">
        <f aca="false">Players!G314</f>
        <v>0</v>
      </c>
      <c r="H103" s="24" t="n">
        <f aca="false">Players!H314</f>
        <v>0</v>
      </c>
      <c r="I103" s="24" t="n">
        <f aca="false">Players!I314</f>
        <v>0</v>
      </c>
      <c r="J103" s="24" t="n">
        <f aca="false">Players!J314</f>
        <v>0</v>
      </c>
      <c r="K103" s="24" t="n">
        <f aca="false">Players!K314</f>
        <v>0</v>
      </c>
      <c r="L103" s="24" t="n">
        <f aca="false">Players!L314</f>
        <v>0</v>
      </c>
      <c r="M103" s="24" t="n">
        <f aca="false">Players!M314</f>
        <v>0</v>
      </c>
    </row>
    <row r="104" customFormat="false" ht="17.15" hidden="false" customHeight="false" outlineLevel="0" collapsed="false">
      <c r="A104" s="21" t="s">
        <v>1222</v>
      </c>
      <c r="D104" s="24" t="n">
        <f aca="false">D99+D102</f>
        <v>0</v>
      </c>
      <c r="E104" s="24" t="n">
        <f aca="false">E99+E102</f>
        <v>1.61980834349181</v>
      </c>
      <c r="F104" s="24" t="n">
        <f aca="false">F99+F102</f>
        <v>9.04912429484715</v>
      </c>
      <c r="G104" s="24" t="n">
        <f aca="false">G99+G102</f>
        <v>12.3153714610592</v>
      </c>
      <c r="H104" s="24" t="n">
        <f aca="false">H99+H102</f>
        <v>5.48764512450717</v>
      </c>
      <c r="I104" s="24" t="n">
        <f aca="false">I99+I102</f>
        <v>16.5880473942424</v>
      </c>
      <c r="J104" s="24" t="n">
        <f aca="false">J99+J102</f>
        <v>5.93502133099745</v>
      </c>
      <c r="K104" s="24" t="n">
        <f aca="false">K99+K102</f>
        <v>7.6420550220479</v>
      </c>
      <c r="L104" s="24" t="n">
        <f aca="false">L99+L102</f>
        <v>2.15384615384616</v>
      </c>
      <c r="M104" s="24" t="n">
        <f aca="false">M99+M102</f>
        <v>2.36923076923077</v>
      </c>
    </row>
    <row r="106" customFormat="false" ht="17.15" hidden="false" customHeight="false" outlineLevel="0" collapsed="false">
      <c r="A106" s="8" t="s">
        <v>1223</v>
      </c>
    </row>
    <row r="107" customFormat="false" ht="17.15" hidden="false" customHeight="false" outlineLevel="0" collapsed="false">
      <c r="A107" s="6" t="s">
        <v>1224</v>
      </c>
      <c r="B107" s="6" t="s">
        <v>1225</v>
      </c>
      <c r="C107" s="6"/>
      <c r="D107" s="6"/>
      <c r="E107" s="7" t="s">
        <v>20</v>
      </c>
      <c r="F107" s="7" t="s">
        <v>21</v>
      </c>
      <c r="G107" s="7" t="s">
        <v>22</v>
      </c>
      <c r="H107" s="7" t="s">
        <v>23</v>
      </c>
      <c r="I107" s="7" t="s">
        <v>24</v>
      </c>
      <c r="J107" s="7" t="s">
        <v>25</v>
      </c>
      <c r="K107" s="7" t="s">
        <v>26</v>
      </c>
      <c r="L107" s="7" t="s">
        <v>27</v>
      </c>
      <c r="M107" s="7" t="s">
        <v>28</v>
      </c>
    </row>
    <row r="108" customFormat="false" ht="17.15" hidden="false" customHeight="false" outlineLevel="0" collapsed="false">
      <c r="A108" s="0" t="s">
        <v>1226</v>
      </c>
      <c r="B108" s="0" t="n">
        <v>2023</v>
      </c>
      <c r="E108" s="29" t="n">
        <f aca="false">MAX(0,MIN(2023+1,2024+MAX(0,MIN(1,asof-2024)))-2024)+MAX(0,MIN(2023+1,2024+1+0)-(MAX(2024,asof)+0))</f>
        <v>0</v>
      </c>
      <c r="F108" s="29" t="n">
        <f aca="false">MAX(0,MIN(2023+1,2025+MAX(0,MIN(1,asof-2025)))-2025)+MAX(0,MIN(2023+1,2025+1+0)-(MAX(2025,asof)+0))</f>
        <v>0</v>
      </c>
      <c r="G108" s="29" t="n">
        <f aca="false">MAX(0,MIN(2023+1,2026+MAX(0,MIN(1,asof-2026)))-2026)+MAX(0,MIN(2023+1,2026+1+0)-(MAX(2026,asof)+0))</f>
        <v>0</v>
      </c>
      <c r="H108" s="29" t="n">
        <f aca="false">MAX(0,MIN(2023+1,2027+MAX(0,MIN(1,asof-2027)))-2027)+MAX(0,MIN(2023+1,2027+1+0)-(MAX(2027,asof)+0))</f>
        <v>0</v>
      </c>
      <c r="I108" s="29" t="n">
        <f aca="false">MAX(0,MIN(2023+1,2028+MAX(0,MIN(1,asof-2028)))-2028)+MAX(0,MIN(2023+1,2028+1+0)-(MAX(2028,asof)+0))</f>
        <v>0</v>
      </c>
      <c r="J108" s="29" t="n">
        <f aca="false">MAX(0,MIN(2023+1,2029+MAX(0,MIN(1,asof-2029)))-2029)+MAX(0,MIN(2023+1,2029+1+0)-(MAX(2029,asof)+0))</f>
        <v>0</v>
      </c>
      <c r="K108" s="29" t="n">
        <f aca="false">MAX(0,MIN(2023+1,2030+MAX(0,MIN(1,asof-2030)))-2030)+MAX(0,MIN(2023+1,2030+1+0)-(MAX(2030,asof)+0))</f>
        <v>0</v>
      </c>
      <c r="L108" s="29" t="n">
        <f aca="false">MAX(0,MIN(2023+1,2031+MAX(0,MIN(1,asof-2031)))-2031)+MAX(0,MIN(2023+1,2031+1+0)-(MAX(2031,asof)+0))</f>
        <v>0</v>
      </c>
      <c r="M108" s="29" t="n">
        <f aca="false">MAX(0,MIN(2023+1,2032+MAX(0,MIN(1,asof-2032)))-2032)+MAX(0,MIN(2023+1,2032+1+0)-(MAX(2032,asof)+0))</f>
        <v>0</v>
      </c>
    </row>
    <row r="109" customFormat="false" ht="17.15" hidden="false" customHeight="false" outlineLevel="0" collapsed="false">
      <c r="A109" s="0" t="s">
        <v>1227</v>
      </c>
      <c r="B109" s="0" t="n">
        <v>2024</v>
      </c>
      <c r="E109" s="29" t="n">
        <f aca="false">MAX(0,MIN(2024+1,2024+MAX(0,MIN(1,asof-2024)))-2024)+MAX(0,MIN(2024+1,2024+1+0)-(MAX(2024,asof)+0))</f>
        <v>1</v>
      </c>
      <c r="F109" s="29" t="n">
        <f aca="false">MAX(0,MIN(2024+1,2025+MAX(0,MIN(1,asof-2025)))-2025)+MAX(0,MIN(2024+1,2025+1+0)-(MAX(2025,asof)+0))</f>
        <v>0</v>
      </c>
      <c r="G109" s="29" t="n">
        <f aca="false">MAX(0,MIN(2024+1,2026+MAX(0,MIN(1,asof-2026)))-2026)+MAX(0,MIN(2024+1,2026+1+0)-(MAX(2026,asof)+0))</f>
        <v>0</v>
      </c>
      <c r="H109" s="29" t="n">
        <f aca="false">MAX(0,MIN(2024+1,2027+MAX(0,MIN(1,asof-2027)))-2027)+MAX(0,MIN(2024+1,2027+1+0)-(MAX(2027,asof)+0))</f>
        <v>0</v>
      </c>
      <c r="I109" s="29" t="n">
        <f aca="false">MAX(0,MIN(2024+1,2028+MAX(0,MIN(1,asof-2028)))-2028)+MAX(0,MIN(2024+1,2028+1+0)-(MAX(2028,asof)+0))</f>
        <v>0</v>
      </c>
      <c r="J109" s="29" t="n">
        <f aca="false">MAX(0,MIN(2024+1,2029+MAX(0,MIN(1,asof-2029)))-2029)+MAX(0,MIN(2024+1,2029+1+0)-(MAX(2029,asof)+0))</f>
        <v>0</v>
      </c>
      <c r="K109" s="29" t="n">
        <f aca="false">MAX(0,MIN(2024+1,2030+MAX(0,MIN(1,asof-2030)))-2030)+MAX(0,MIN(2024+1,2030+1+0)-(MAX(2030,asof)+0))</f>
        <v>0</v>
      </c>
      <c r="L109" s="29" t="n">
        <f aca="false">MAX(0,MIN(2024+1,2031+MAX(0,MIN(1,asof-2031)))-2031)+MAX(0,MIN(2024+1,2031+1+0)-(MAX(2031,asof)+0))</f>
        <v>0</v>
      </c>
      <c r="M109" s="29" t="n">
        <f aca="false">MAX(0,MIN(2024+1,2032+MAX(0,MIN(1,asof-2032)))-2032)+MAX(0,MIN(2024+1,2032+1+0)-(MAX(2032,asof)+0))</f>
        <v>0</v>
      </c>
    </row>
    <row r="110" customFormat="false" ht="17.15" hidden="false" customHeight="false" outlineLevel="0" collapsed="false">
      <c r="A110" s="0" t="s">
        <v>1228</v>
      </c>
      <c r="B110" s="0" t="n">
        <v>2025</v>
      </c>
      <c r="E110" s="29" t="n">
        <f aca="false">MAX(0,MIN(2025+1,2024+MAX(0,MIN(1,asof-2024)))-2024)+MAX(0,MIN(2025+1,2024+1+0)-(MAX(2024,asof)+0))</f>
        <v>1</v>
      </c>
      <c r="F110" s="29" t="n">
        <f aca="false">MAX(0,MIN(2025+1,2025+MAX(0,MIN(1,asof-2025)))-2025)+MAX(0,MIN(2025+1,2025+1+0)-(MAX(2025,asof)+0))</f>
        <v>1</v>
      </c>
      <c r="G110" s="29" t="n">
        <f aca="false">MAX(0,MIN(2025+1,2026+MAX(0,MIN(1,asof-2026)))-2026)+MAX(0,MIN(2025+1,2026+1+0)-(MAX(2026,asof)+0))</f>
        <v>0</v>
      </c>
      <c r="H110" s="29" t="n">
        <f aca="false">MAX(0,MIN(2025+1,2027+MAX(0,MIN(1,asof-2027)))-2027)+MAX(0,MIN(2025+1,2027+1+0)-(MAX(2027,asof)+0))</f>
        <v>0</v>
      </c>
      <c r="I110" s="29" t="n">
        <f aca="false">MAX(0,MIN(2025+1,2028+MAX(0,MIN(1,asof-2028)))-2028)+MAX(0,MIN(2025+1,2028+1+0)-(MAX(2028,asof)+0))</f>
        <v>0</v>
      </c>
      <c r="J110" s="29" t="n">
        <f aca="false">MAX(0,MIN(2025+1,2029+MAX(0,MIN(1,asof-2029)))-2029)+MAX(0,MIN(2025+1,2029+1+0)-(MAX(2029,asof)+0))</f>
        <v>0</v>
      </c>
      <c r="K110" s="29" t="n">
        <f aca="false">MAX(0,MIN(2025+1,2030+MAX(0,MIN(1,asof-2030)))-2030)+MAX(0,MIN(2025+1,2030+1+0)-(MAX(2030,asof)+0))</f>
        <v>0</v>
      </c>
      <c r="L110" s="29" t="n">
        <f aca="false">MAX(0,MIN(2025+1,2031+MAX(0,MIN(1,asof-2031)))-2031)+MAX(0,MIN(2025+1,2031+1+0)-(MAX(2031,asof)+0))</f>
        <v>0</v>
      </c>
      <c r="M110" s="29" t="n">
        <f aca="false">MAX(0,MIN(2025+1,2032+MAX(0,MIN(1,asof-2032)))-2032)+MAX(0,MIN(2025+1,2032+1+0)-(MAX(2032,asof)+0))</f>
        <v>0</v>
      </c>
    </row>
    <row r="111" customFormat="false" ht="17.15" hidden="false" customHeight="false" outlineLevel="0" collapsed="false">
      <c r="A111" s="0" t="s">
        <v>1229</v>
      </c>
      <c r="B111" s="0" t="n">
        <v>2026</v>
      </c>
      <c r="E111" s="29" t="n">
        <f aca="false">MAX(0,MIN(2026+1,2024+MAX(0,MIN(1,asof-2024)))-2024)+MAX(0,MIN(2026+1,2024+1+0)-(MAX(2024,asof)+0))</f>
        <v>1</v>
      </c>
      <c r="F111" s="29" t="n">
        <f aca="false">MAX(0,MIN(2026+1,2025+MAX(0,MIN(1,asof-2025)))-2025)+MAX(0,MIN(2026+1,2025+1+0)-(MAX(2025,asof)+0))</f>
        <v>1</v>
      </c>
      <c r="G111" s="29" t="n">
        <f aca="false">MAX(0,MIN(2026+1,2026+MAX(0,MIN(1,asof-2026)))-2026)+MAX(0,MIN(2026+1,2026+1+0)-(MAX(2026,asof)+0))</f>
        <v>1</v>
      </c>
      <c r="H111" s="29" t="n">
        <f aca="false">MAX(0,MIN(2026+1,2027+MAX(0,MIN(1,asof-2027)))-2027)+MAX(0,MIN(2026+1,2027+1+0)-(MAX(2027,asof)+0))</f>
        <v>0</v>
      </c>
      <c r="I111" s="29" t="n">
        <f aca="false">MAX(0,MIN(2026+1,2028+MAX(0,MIN(1,asof-2028)))-2028)+MAX(0,MIN(2026+1,2028+1+0)-(MAX(2028,asof)+0))</f>
        <v>0</v>
      </c>
      <c r="J111" s="29" t="n">
        <f aca="false">MAX(0,MIN(2026+1,2029+MAX(0,MIN(1,asof-2029)))-2029)+MAX(0,MIN(2026+1,2029+1+0)-(MAX(2029,asof)+0))</f>
        <v>0</v>
      </c>
      <c r="K111" s="29" t="n">
        <f aca="false">MAX(0,MIN(2026+1,2030+MAX(0,MIN(1,asof-2030)))-2030)+MAX(0,MIN(2026+1,2030+1+0)-(MAX(2030,asof)+0))</f>
        <v>0</v>
      </c>
      <c r="L111" s="29" t="n">
        <f aca="false">MAX(0,MIN(2026+1,2031+MAX(0,MIN(1,asof-2031)))-2031)+MAX(0,MIN(2026+1,2031+1+0)-(MAX(2031,asof)+0))</f>
        <v>0</v>
      </c>
      <c r="M111" s="29" t="n">
        <f aca="false">MAX(0,MIN(2026+1,2032+MAX(0,MIN(1,asof-2032)))-2032)+MAX(0,MIN(2026+1,2032+1+0)-(MAX(2032,asof)+0))</f>
        <v>0</v>
      </c>
    </row>
    <row r="112" customFormat="false" ht="17.15" hidden="false" customHeight="false" outlineLevel="0" collapsed="false">
      <c r="A112" s="0" t="s">
        <v>1230</v>
      </c>
      <c r="B112" s="0" t="n">
        <v>2027</v>
      </c>
      <c r="E112" s="29" t="n">
        <f aca="false">MAX(0,MIN(2027+1,2024+MAX(0,MIN(1,asof-2024)))-2024)+MAX(0,MIN(2027+1,2024+1+0)-(MAX(2024,asof)+0))</f>
        <v>1</v>
      </c>
      <c r="F112" s="29" t="n">
        <f aca="false">MAX(0,MIN(2027+1,2025+MAX(0,MIN(1,asof-2025)))-2025)+MAX(0,MIN(2027+1,2025+1+0)-(MAX(2025,asof)+0))</f>
        <v>1</v>
      </c>
      <c r="G112" s="29" t="n">
        <f aca="false">MAX(0,MIN(2027+1,2026+MAX(0,MIN(1,asof-2026)))-2026)+MAX(0,MIN(2027+1,2026+1+0)-(MAX(2026,asof)+0))</f>
        <v>1</v>
      </c>
      <c r="H112" s="29" t="n">
        <f aca="false">MAX(0,MIN(2027+1,2027+MAX(0,MIN(1,asof-2027)))-2027)+MAX(0,MIN(2027+1,2027+1+0)-(MAX(2027,asof)+0))</f>
        <v>1</v>
      </c>
      <c r="I112" s="29" t="n">
        <f aca="false">MAX(0,MIN(2027+1,2028+MAX(0,MIN(1,asof-2028)))-2028)+MAX(0,MIN(2027+1,2028+1+0)-(MAX(2028,asof)+0))</f>
        <v>0</v>
      </c>
      <c r="J112" s="29" t="n">
        <f aca="false">MAX(0,MIN(2027+1,2029+MAX(0,MIN(1,asof-2029)))-2029)+MAX(0,MIN(2027+1,2029+1+0)-(MAX(2029,asof)+0))</f>
        <v>0</v>
      </c>
      <c r="K112" s="29" t="n">
        <f aca="false">MAX(0,MIN(2027+1,2030+MAX(0,MIN(1,asof-2030)))-2030)+MAX(0,MIN(2027+1,2030+1+0)-(MAX(2030,asof)+0))</f>
        <v>0</v>
      </c>
      <c r="L112" s="29" t="n">
        <f aca="false">MAX(0,MIN(2027+1,2031+MAX(0,MIN(1,asof-2031)))-2031)+MAX(0,MIN(2027+1,2031+1+0)-(MAX(2031,asof)+0))</f>
        <v>0</v>
      </c>
      <c r="M112" s="29" t="n">
        <f aca="false">MAX(0,MIN(2027+1,2032+MAX(0,MIN(1,asof-2032)))-2032)+MAX(0,MIN(2027+1,2032+1+0)-(MAX(2032,asof)+0))</f>
        <v>0</v>
      </c>
    </row>
    <row r="113" customFormat="false" ht="17.15" hidden="false" customHeight="false" outlineLevel="0" collapsed="false">
      <c r="A113" s="0" t="s">
        <v>1231</v>
      </c>
      <c r="B113" s="0" t="n">
        <v>2028</v>
      </c>
      <c r="E113" s="29" t="n">
        <f aca="false">MAX(0,MIN(2028+1,2024+MAX(0,MIN(1,asof-2024)))-2024)+MAX(0,MIN(2028+1,2024+1+0)-(MAX(2024,asof)+0))</f>
        <v>1</v>
      </c>
      <c r="F113" s="29" t="n">
        <f aca="false">MAX(0,MIN(2028+1,2025+MAX(0,MIN(1,asof-2025)))-2025)+MAX(0,MIN(2028+1,2025+1+0)-(MAX(2025,asof)+0))</f>
        <v>1</v>
      </c>
      <c r="G113" s="29" t="n">
        <f aca="false">MAX(0,MIN(2028+1,2026+MAX(0,MIN(1,asof-2026)))-2026)+MAX(0,MIN(2028+1,2026+1+0)-(MAX(2026,asof)+0))</f>
        <v>1</v>
      </c>
      <c r="H113" s="29" t="n">
        <f aca="false">MAX(0,MIN(2028+1,2027+MAX(0,MIN(1,asof-2027)))-2027)+MAX(0,MIN(2028+1,2027+1+0)-(MAX(2027,asof)+0))</f>
        <v>1</v>
      </c>
      <c r="I113" s="29" t="n">
        <f aca="false">MAX(0,MIN(2028+1,2028+MAX(0,MIN(1,asof-2028)))-2028)+MAX(0,MIN(2028+1,2028+1+0)-(MAX(2028,asof)+0))</f>
        <v>1</v>
      </c>
      <c r="J113" s="29" t="n">
        <f aca="false">MAX(0,MIN(2028+1,2029+MAX(0,MIN(1,asof-2029)))-2029)+MAX(0,MIN(2028+1,2029+1+0)-(MAX(2029,asof)+0))</f>
        <v>0</v>
      </c>
      <c r="K113" s="29" t="n">
        <f aca="false">MAX(0,MIN(2028+1,2030+MAX(0,MIN(1,asof-2030)))-2030)+MAX(0,MIN(2028+1,2030+1+0)-(MAX(2030,asof)+0))</f>
        <v>0</v>
      </c>
      <c r="L113" s="29" t="n">
        <f aca="false">MAX(0,MIN(2028+1,2031+MAX(0,MIN(1,asof-2031)))-2031)+MAX(0,MIN(2028+1,2031+1+0)-(MAX(2031,asof)+0))</f>
        <v>0</v>
      </c>
      <c r="M113" s="29" t="n">
        <f aca="false">MAX(0,MIN(2028+1,2032+MAX(0,MIN(1,asof-2032)))-2032)+MAX(0,MIN(2028+1,2032+1+0)-(MAX(2032,asof)+0))</f>
        <v>0</v>
      </c>
    </row>
    <row r="114" customFormat="false" ht="17.15" hidden="false" customHeight="false" outlineLevel="0" collapsed="false">
      <c r="A114" s="0" t="s">
        <v>1232</v>
      </c>
      <c r="B114" s="0" t="n">
        <v>2029</v>
      </c>
      <c r="E114" s="29" t="n">
        <f aca="false">MAX(0,MIN(2029+1,2024+MAX(0,MIN(1,asof-2024)))-2024)+MAX(0,MIN(2029+1,2024+1+0)-(MAX(2024,asof)+0))</f>
        <v>1</v>
      </c>
      <c r="F114" s="29" t="n">
        <f aca="false">MAX(0,MIN(2029+1,2025+MAX(0,MIN(1,asof-2025)))-2025)+MAX(0,MIN(2029+1,2025+1+0)-(MAX(2025,asof)+0))</f>
        <v>1</v>
      </c>
      <c r="G114" s="29" t="n">
        <f aca="false">MAX(0,MIN(2029+1,2026+MAX(0,MIN(1,asof-2026)))-2026)+MAX(0,MIN(2029+1,2026+1+0)-(MAX(2026,asof)+0))</f>
        <v>1</v>
      </c>
      <c r="H114" s="29" t="n">
        <f aca="false">MAX(0,MIN(2029+1,2027+MAX(0,MIN(1,asof-2027)))-2027)+MAX(0,MIN(2029+1,2027+1+0)-(MAX(2027,asof)+0))</f>
        <v>1</v>
      </c>
      <c r="I114" s="29" t="n">
        <f aca="false">MAX(0,MIN(2029+1,2028+MAX(0,MIN(1,asof-2028)))-2028)+MAX(0,MIN(2029+1,2028+1+0)-(MAX(2028,asof)+0))</f>
        <v>1</v>
      </c>
      <c r="J114" s="29" t="n">
        <f aca="false">MAX(0,MIN(2029+1,2029+MAX(0,MIN(1,asof-2029)))-2029)+MAX(0,MIN(2029+1,2029+1+0)-(MAX(2029,asof)+0))</f>
        <v>1</v>
      </c>
      <c r="K114" s="29" t="n">
        <f aca="false">MAX(0,MIN(2029+1,2030+MAX(0,MIN(1,asof-2030)))-2030)+MAX(0,MIN(2029+1,2030+1+0)-(MAX(2030,asof)+0))</f>
        <v>0</v>
      </c>
      <c r="L114" s="29" t="n">
        <f aca="false">MAX(0,MIN(2029+1,2031+MAX(0,MIN(1,asof-2031)))-2031)+MAX(0,MIN(2029+1,2031+1+0)-(MAX(2031,asof)+0))</f>
        <v>0</v>
      </c>
      <c r="M114" s="29" t="n">
        <f aca="false">MAX(0,MIN(2029+1,2032+MAX(0,MIN(1,asof-2032)))-2032)+MAX(0,MIN(2029+1,2032+1+0)-(MAX(2032,asof)+0))</f>
        <v>0</v>
      </c>
    </row>
    <row r="115" customFormat="false" ht="17.15" hidden="false" customHeight="false" outlineLevel="0" collapsed="false">
      <c r="A115" s="0" t="s">
        <v>1233</v>
      </c>
      <c r="B115" s="0" t="n">
        <v>2030</v>
      </c>
      <c r="E115" s="29" t="n">
        <f aca="false">MAX(0,MIN(2030+1,2024+MAX(0,MIN(1,asof-2024)))-2024)+MAX(0,MIN(2030+1,2024+1+0)-(MAX(2024,asof)+0))</f>
        <v>1</v>
      </c>
      <c r="F115" s="29" t="n">
        <f aca="false">MAX(0,MIN(2030+1,2025+MAX(0,MIN(1,asof-2025)))-2025)+MAX(0,MIN(2030+1,2025+1+0)-(MAX(2025,asof)+0))</f>
        <v>1</v>
      </c>
      <c r="G115" s="29" t="n">
        <f aca="false">MAX(0,MIN(2030+1,2026+MAX(0,MIN(1,asof-2026)))-2026)+MAX(0,MIN(2030+1,2026+1+0)-(MAX(2026,asof)+0))</f>
        <v>1</v>
      </c>
      <c r="H115" s="29" t="n">
        <f aca="false">MAX(0,MIN(2030+1,2027+MAX(0,MIN(1,asof-2027)))-2027)+MAX(0,MIN(2030+1,2027+1+0)-(MAX(2027,asof)+0))</f>
        <v>1</v>
      </c>
      <c r="I115" s="29" t="n">
        <f aca="false">MAX(0,MIN(2030+1,2028+MAX(0,MIN(1,asof-2028)))-2028)+MAX(0,MIN(2030+1,2028+1+0)-(MAX(2028,asof)+0))</f>
        <v>1</v>
      </c>
      <c r="J115" s="29" t="n">
        <f aca="false">MAX(0,MIN(2030+1,2029+MAX(0,MIN(1,asof-2029)))-2029)+MAX(0,MIN(2030+1,2029+1+0)-(MAX(2029,asof)+0))</f>
        <v>1</v>
      </c>
      <c r="K115" s="29" t="n">
        <f aca="false">MAX(0,MIN(2030+1,2030+MAX(0,MIN(1,asof-2030)))-2030)+MAX(0,MIN(2030+1,2030+1+0)-(MAX(2030,asof)+0))</f>
        <v>1</v>
      </c>
      <c r="L115" s="29" t="n">
        <f aca="false">MAX(0,MIN(2030+1,2031+MAX(0,MIN(1,asof-2031)))-2031)+MAX(0,MIN(2030+1,2031+1+0)-(MAX(2031,asof)+0))</f>
        <v>0</v>
      </c>
      <c r="M115" s="29" t="n">
        <f aca="false">MAX(0,MIN(2030+1,2032+MAX(0,MIN(1,asof-2032)))-2032)+MAX(0,MIN(2030+1,2032+1+0)-(MAX(2032,asof)+0))</f>
        <v>0</v>
      </c>
    </row>
    <row r="116" customFormat="false" ht="17.15" hidden="false" customHeight="false" outlineLevel="0" collapsed="false">
      <c r="A116" s="0" t="s">
        <v>1234</v>
      </c>
      <c r="B116" s="0" t="n">
        <v>2031</v>
      </c>
      <c r="E116" s="29" t="n">
        <f aca="false">MAX(0,MIN(2031+1,2024+MAX(0,MIN(1,asof-2024)))-2024)+MAX(0,MIN(2031+1,2024+1+0)-(MAX(2024,asof)+0))</f>
        <v>1</v>
      </c>
      <c r="F116" s="29" t="n">
        <f aca="false">MAX(0,MIN(2031+1,2025+MAX(0,MIN(1,asof-2025)))-2025)+MAX(0,MIN(2031+1,2025+1+0)-(MAX(2025,asof)+0))</f>
        <v>1</v>
      </c>
      <c r="G116" s="29" t="n">
        <f aca="false">MAX(0,MIN(2031+1,2026+MAX(0,MIN(1,asof-2026)))-2026)+MAX(0,MIN(2031+1,2026+1+0)-(MAX(2026,asof)+0))</f>
        <v>1</v>
      </c>
      <c r="H116" s="29" t="n">
        <f aca="false">MAX(0,MIN(2031+1,2027+MAX(0,MIN(1,asof-2027)))-2027)+MAX(0,MIN(2031+1,2027+1+0)-(MAX(2027,asof)+0))</f>
        <v>1</v>
      </c>
      <c r="I116" s="29" t="n">
        <f aca="false">MAX(0,MIN(2031+1,2028+MAX(0,MIN(1,asof-2028)))-2028)+MAX(0,MIN(2031+1,2028+1+0)-(MAX(2028,asof)+0))</f>
        <v>1</v>
      </c>
      <c r="J116" s="29" t="n">
        <f aca="false">MAX(0,MIN(2031+1,2029+MAX(0,MIN(1,asof-2029)))-2029)+MAX(0,MIN(2031+1,2029+1+0)-(MAX(2029,asof)+0))</f>
        <v>1</v>
      </c>
      <c r="K116" s="29" t="n">
        <f aca="false">MAX(0,MIN(2031+1,2030+MAX(0,MIN(1,asof-2030)))-2030)+MAX(0,MIN(2031+1,2030+1+0)-(MAX(2030,asof)+0))</f>
        <v>1</v>
      </c>
      <c r="L116" s="29" t="n">
        <f aca="false">MAX(0,MIN(2031+1,2031+MAX(0,MIN(1,asof-2031)))-2031)+MAX(0,MIN(2031+1,2031+1+0)-(MAX(2031,asof)+0))</f>
        <v>1</v>
      </c>
      <c r="M116" s="29" t="n">
        <f aca="false">MAX(0,MIN(2031+1,2032+MAX(0,MIN(1,asof-2032)))-2032)+MAX(0,MIN(2031+1,2032+1+0)-(MAX(2032,asof)+0))</f>
        <v>0</v>
      </c>
    </row>
    <row r="117" customFormat="false" ht="17.15" hidden="false" customHeight="false" outlineLevel="0" collapsed="false">
      <c r="A117" s="0" t="s">
        <v>1235</v>
      </c>
      <c r="B117" s="0" t="n">
        <v>2032</v>
      </c>
      <c r="E117" s="29" t="n">
        <f aca="false">MAX(0,MIN(2032+1,2024+MAX(0,MIN(1,asof-2024)))-2024)+MAX(0,MIN(2032+1,2024+1+0)-(MAX(2024,asof)+0))</f>
        <v>1</v>
      </c>
      <c r="F117" s="29" t="n">
        <f aca="false">MAX(0,MIN(2032+1,2025+MAX(0,MIN(1,asof-2025)))-2025)+MAX(0,MIN(2032+1,2025+1+0)-(MAX(2025,asof)+0))</f>
        <v>1</v>
      </c>
      <c r="G117" s="29" t="n">
        <f aca="false">MAX(0,MIN(2032+1,2026+MAX(0,MIN(1,asof-2026)))-2026)+MAX(0,MIN(2032+1,2026+1+0)-(MAX(2026,asof)+0))</f>
        <v>1</v>
      </c>
      <c r="H117" s="29" t="n">
        <f aca="false">MAX(0,MIN(2032+1,2027+MAX(0,MIN(1,asof-2027)))-2027)+MAX(0,MIN(2032+1,2027+1+0)-(MAX(2027,asof)+0))</f>
        <v>1</v>
      </c>
      <c r="I117" s="29" t="n">
        <f aca="false">MAX(0,MIN(2032+1,2028+MAX(0,MIN(1,asof-2028)))-2028)+MAX(0,MIN(2032+1,2028+1+0)-(MAX(2028,asof)+0))</f>
        <v>1</v>
      </c>
      <c r="J117" s="29" t="n">
        <f aca="false">MAX(0,MIN(2032+1,2029+MAX(0,MIN(1,asof-2029)))-2029)+MAX(0,MIN(2032+1,2029+1+0)-(MAX(2029,asof)+0))</f>
        <v>1</v>
      </c>
      <c r="K117" s="29" t="n">
        <f aca="false">MAX(0,MIN(2032+1,2030+MAX(0,MIN(1,asof-2030)))-2030)+MAX(0,MIN(2032+1,2030+1+0)-(MAX(2030,asof)+0))</f>
        <v>1</v>
      </c>
      <c r="L117" s="29" t="n">
        <f aca="false">MAX(0,MIN(2032+1,2031+MAX(0,MIN(1,asof-2031)))-2031)+MAX(0,MIN(2032+1,2031+1+0)-(MAX(2031,asof)+0))</f>
        <v>1</v>
      </c>
      <c r="M117" s="29" t="n">
        <f aca="false">MAX(0,MIN(2032+1,2032+MAX(0,MIN(1,asof-2032)))-2032)+MAX(0,MIN(2032+1,2032+1+0)-(MAX(2032,asof)+0))</f>
        <v>1</v>
      </c>
    </row>
    <row r="119" customFormat="false" ht="17.15" hidden="false" customHeight="false" outlineLevel="0" collapsed="false">
      <c r="A119" s="6" t="s">
        <v>1236</v>
      </c>
      <c r="B119" s="6" t="s">
        <v>1225</v>
      </c>
      <c r="C119" s="6"/>
      <c r="D119" s="6"/>
      <c r="E119" s="7" t="s">
        <v>20</v>
      </c>
      <c r="F119" s="7" t="s">
        <v>21</v>
      </c>
      <c r="G119" s="7" t="s">
        <v>22</v>
      </c>
      <c r="H119" s="7" t="s">
        <v>23</v>
      </c>
      <c r="I119" s="7" t="s">
        <v>24</v>
      </c>
      <c r="J119" s="7" t="s">
        <v>25</v>
      </c>
      <c r="K119" s="7" t="s">
        <v>26</v>
      </c>
      <c r="L119" s="7" t="s">
        <v>27</v>
      </c>
      <c r="M119" s="7" t="s">
        <v>28</v>
      </c>
    </row>
    <row r="120" customFormat="false" ht="17.15" hidden="false" customHeight="false" outlineLevel="0" collapsed="false">
      <c r="A120" s="0" t="s">
        <v>1237</v>
      </c>
      <c r="B120" s="0" t="n">
        <v>2023</v>
      </c>
      <c r="E120" s="29" t="n">
        <f aca="false">MAX(0,MIN(2023+1,2024+MAX(0,MIN(1,asof-2024)))-2024)+((1-dly_d1_s)*MAX(0,MIN(2023+1,2024+1+0)-(MAX(2024,asof)+0))+dly_d1_s*MAX(0,MIN(2023+1,2024+1+dly_d1_m/12)-(MAX(2024,asof)+dly_d1_m/12)))</f>
        <v>0</v>
      </c>
      <c r="F120" s="29" t="n">
        <f aca="false">MAX(0,MIN(2023+1,2025+MAX(0,MIN(1,asof-2025)))-2025)+((1-dly_d1_s)*MAX(0,MIN(2023+1,2025+1+0)-(MAX(2025,asof)+0))+dly_d1_s*MAX(0,MIN(2023+1,2025+1+dly_d1_m/12)-(MAX(2025,asof)+dly_d1_m/12)))</f>
        <v>0</v>
      </c>
      <c r="G120" s="29" t="n">
        <f aca="false">MAX(0,MIN(2023+1,2026+MAX(0,MIN(1,asof-2026)))-2026)+((1-dly_d1_s)*MAX(0,MIN(2023+1,2026+1+0)-(MAX(2026,asof)+0))+dly_d1_s*MAX(0,MIN(2023+1,2026+1+dly_d1_m/12)-(MAX(2026,asof)+dly_d1_m/12)))</f>
        <v>0</v>
      </c>
      <c r="H120" s="29" t="n">
        <f aca="false">MAX(0,MIN(2023+1,2027+MAX(0,MIN(1,asof-2027)))-2027)+((1-dly_d1_s)*MAX(0,MIN(2023+1,2027+1+0)-(MAX(2027,asof)+0))+dly_d1_s*MAX(0,MIN(2023+1,2027+1+dly_d1_m/12)-(MAX(2027,asof)+dly_d1_m/12)))</f>
        <v>0</v>
      </c>
      <c r="I120" s="29" t="n">
        <f aca="false">MAX(0,MIN(2023+1,2028+MAX(0,MIN(1,asof-2028)))-2028)+((1-dly_d1_s)*MAX(0,MIN(2023+1,2028+1+0)-(MAX(2028,asof)+0))+dly_d1_s*MAX(0,MIN(2023+1,2028+1+dly_d1_m/12)-(MAX(2028,asof)+dly_d1_m/12)))</f>
        <v>0</v>
      </c>
      <c r="J120" s="29" t="n">
        <f aca="false">MAX(0,MIN(2023+1,2029+MAX(0,MIN(1,asof-2029)))-2029)+((1-dly_d1_s)*MAX(0,MIN(2023+1,2029+1+0)-(MAX(2029,asof)+0))+dly_d1_s*MAX(0,MIN(2023+1,2029+1+dly_d1_m/12)-(MAX(2029,asof)+dly_d1_m/12)))</f>
        <v>0</v>
      </c>
      <c r="K120" s="29" t="n">
        <f aca="false">MAX(0,MIN(2023+1,2030+MAX(0,MIN(1,asof-2030)))-2030)+((1-dly_d1_s)*MAX(0,MIN(2023+1,2030+1+0)-(MAX(2030,asof)+0))+dly_d1_s*MAX(0,MIN(2023+1,2030+1+dly_d1_m/12)-(MAX(2030,asof)+dly_d1_m/12)))</f>
        <v>0</v>
      </c>
      <c r="L120" s="29" t="n">
        <f aca="false">MAX(0,MIN(2023+1,2031+MAX(0,MIN(1,asof-2031)))-2031)+((1-dly_d1_s)*MAX(0,MIN(2023+1,2031+1+0)-(MAX(2031,asof)+0))+dly_d1_s*MAX(0,MIN(2023+1,2031+1+dly_d1_m/12)-(MAX(2031,asof)+dly_d1_m/12)))</f>
        <v>0</v>
      </c>
      <c r="M120" s="29" t="n">
        <f aca="false">MAX(0,MIN(2023+1,2032+MAX(0,MIN(1,asof-2032)))-2032)+((1-dly_d1_s)*MAX(0,MIN(2023+1,2032+1+0)-(MAX(2032,asof)+0))+dly_d1_s*MAX(0,MIN(2023+1,2032+1+dly_d1_m/12)-(MAX(2032,asof)+dly_d1_m/12)))</f>
        <v>0</v>
      </c>
    </row>
    <row r="121" customFormat="false" ht="17.15" hidden="false" customHeight="false" outlineLevel="0" collapsed="false">
      <c r="A121" s="0" t="s">
        <v>1238</v>
      </c>
      <c r="B121" s="0" t="n">
        <v>2024</v>
      </c>
      <c r="E121" s="29" t="n">
        <f aca="false">MAX(0,MIN(2024+1,2024+MAX(0,MIN(1,asof-2024)))-2024)+((1-dly_d1_s)*MAX(0,MIN(2024+1,2024+1+0)-(MAX(2024,asof)+0))+dly_d1_s*MAX(0,MIN(2024+1,2024+1+dly_d1_m/12)-(MAX(2024,asof)+dly_d1_m/12)))</f>
        <v>1</v>
      </c>
      <c r="F121" s="29" t="n">
        <f aca="false">MAX(0,MIN(2024+1,2025+MAX(0,MIN(1,asof-2025)))-2025)+((1-dly_d1_s)*MAX(0,MIN(2024+1,2025+1+0)-(MAX(2025,asof)+0))+dly_d1_s*MAX(0,MIN(2024+1,2025+1+dly_d1_m/12)-(MAX(2025,asof)+dly_d1_m/12)))</f>
        <v>0</v>
      </c>
      <c r="G121" s="29" t="n">
        <f aca="false">MAX(0,MIN(2024+1,2026+MAX(0,MIN(1,asof-2026)))-2026)+((1-dly_d1_s)*MAX(0,MIN(2024+1,2026+1+0)-(MAX(2026,asof)+0))+dly_d1_s*MAX(0,MIN(2024+1,2026+1+dly_d1_m/12)-(MAX(2026,asof)+dly_d1_m/12)))</f>
        <v>0</v>
      </c>
      <c r="H121" s="29" t="n">
        <f aca="false">MAX(0,MIN(2024+1,2027+MAX(0,MIN(1,asof-2027)))-2027)+((1-dly_d1_s)*MAX(0,MIN(2024+1,2027+1+0)-(MAX(2027,asof)+0))+dly_d1_s*MAX(0,MIN(2024+1,2027+1+dly_d1_m/12)-(MAX(2027,asof)+dly_d1_m/12)))</f>
        <v>0</v>
      </c>
      <c r="I121" s="29" t="n">
        <f aca="false">MAX(0,MIN(2024+1,2028+MAX(0,MIN(1,asof-2028)))-2028)+((1-dly_d1_s)*MAX(0,MIN(2024+1,2028+1+0)-(MAX(2028,asof)+0))+dly_d1_s*MAX(0,MIN(2024+1,2028+1+dly_d1_m/12)-(MAX(2028,asof)+dly_d1_m/12)))</f>
        <v>0</v>
      </c>
      <c r="J121" s="29" t="n">
        <f aca="false">MAX(0,MIN(2024+1,2029+MAX(0,MIN(1,asof-2029)))-2029)+((1-dly_d1_s)*MAX(0,MIN(2024+1,2029+1+0)-(MAX(2029,asof)+0))+dly_d1_s*MAX(0,MIN(2024+1,2029+1+dly_d1_m/12)-(MAX(2029,asof)+dly_d1_m/12)))</f>
        <v>0</v>
      </c>
      <c r="K121" s="29" t="n">
        <f aca="false">MAX(0,MIN(2024+1,2030+MAX(0,MIN(1,asof-2030)))-2030)+((1-dly_d1_s)*MAX(0,MIN(2024+1,2030+1+0)-(MAX(2030,asof)+0))+dly_d1_s*MAX(0,MIN(2024+1,2030+1+dly_d1_m/12)-(MAX(2030,asof)+dly_d1_m/12)))</f>
        <v>0</v>
      </c>
      <c r="L121" s="29" t="n">
        <f aca="false">MAX(0,MIN(2024+1,2031+MAX(0,MIN(1,asof-2031)))-2031)+((1-dly_d1_s)*MAX(0,MIN(2024+1,2031+1+0)-(MAX(2031,asof)+0))+dly_d1_s*MAX(0,MIN(2024+1,2031+1+dly_d1_m/12)-(MAX(2031,asof)+dly_d1_m/12)))</f>
        <v>0</v>
      </c>
      <c r="M121" s="29" t="n">
        <f aca="false">MAX(0,MIN(2024+1,2032+MAX(0,MIN(1,asof-2032)))-2032)+((1-dly_d1_s)*MAX(0,MIN(2024+1,2032+1+0)-(MAX(2032,asof)+0))+dly_d1_s*MAX(0,MIN(2024+1,2032+1+dly_d1_m/12)-(MAX(2032,asof)+dly_d1_m/12)))</f>
        <v>0</v>
      </c>
    </row>
    <row r="122" customFormat="false" ht="17.15" hidden="false" customHeight="false" outlineLevel="0" collapsed="false">
      <c r="A122" s="0" t="s">
        <v>1239</v>
      </c>
      <c r="B122" s="0" t="n">
        <v>2025</v>
      </c>
      <c r="E122" s="29" t="n">
        <f aca="false">MAX(0,MIN(2025+1,2024+MAX(0,MIN(1,asof-2024)))-2024)+((1-dly_d1_s)*MAX(0,MIN(2025+1,2024+1+0)-(MAX(2024,asof)+0))+dly_d1_s*MAX(0,MIN(2025+1,2024+1+dly_d1_m/12)-(MAX(2024,asof)+dly_d1_m/12)))</f>
        <v>1</v>
      </c>
      <c r="F122" s="29" t="n">
        <f aca="false">MAX(0,MIN(2025+1,2025+MAX(0,MIN(1,asof-2025)))-2025)+((1-dly_d1_s)*MAX(0,MIN(2025+1,2025+1+0)-(MAX(2025,asof)+0))+dly_d1_s*MAX(0,MIN(2025+1,2025+1+dly_d1_m/12)-(MAX(2025,asof)+dly_d1_m/12)))</f>
        <v>1</v>
      </c>
      <c r="G122" s="29" t="n">
        <f aca="false">MAX(0,MIN(2025+1,2026+MAX(0,MIN(1,asof-2026)))-2026)+((1-dly_d1_s)*MAX(0,MIN(2025+1,2026+1+0)-(MAX(2026,asof)+0))+dly_d1_s*MAX(0,MIN(2025+1,2026+1+dly_d1_m/12)-(MAX(2026,asof)+dly_d1_m/12)))</f>
        <v>0</v>
      </c>
      <c r="H122" s="29" t="n">
        <f aca="false">MAX(0,MIN(2025+1,2027+MAX(0,MIN(1,asof-2027)))-2027)+((1-dly_d1_s)*MAX(0,MIN(2025+1,2027+1+0)-(MAX(2027,asof)+0))+dly_d1_s*MAX(0,MIN(2025+1,2027+1+dly_d1_m/12)-(MAX(2027,asof)+dly_d1_m/12)))</f>
        <v>0</v>
      </c>
      <c r="I122" s="29" t="n">
        <f aca="false">MAX(0,MIN(2025+1,2028+MAX(0,MIN(1,asof-2028)))-2028)+((1-dly_d1_s)*MAX(0,MIN(2025+1,2028+1+0)-(MAX(2028,asof)+0))+dly_d1_s*MAX(0,MIN(2025+1,2028+1+dly_d1_m/12)-(MAX(2028,asof)+dly_d1_m/12)))</f>
        <v>0</v>
      </c>
      <c r="J122" s="29" t="n">
        <f aca="false">MAX(0,MIN(2025+1,2029+MAX(0,MIN(1,asof-2029)))-2029)+((1-dly_d1_s)*MAX(0,MIN(2025+1,2029+1+0)-(MAX(2029,asof)+0))+dly_d1_s*MAX(0,MIN(2025+1,2029+1+dly_d1_m/12)-(MAX(2029,asof)+dly_d1_m/12)))</f>
        <v>0</v>
      </c>
      <c r="K122" s="29" t="n">
        <f aca="false">MAX(0,MIN(2025+1,2030+MAX(0,MIN(1,asof-2030)))-2030)+((1-dly_d1_s)*MAX(0,MIN(2025+1,2030+1+0)-(MAX(2030,asof)+0))+dly_d1_s*MAX(0,MIN(2025+1,2030+1+dly_d1_m/12)-(MAX(2030,asof)+dly_d1_m/12)))</f>
        <v>0</v>
      </c>
      <c r="L122" s="29" t="n">
        <f aca="false">MAX(0,MIN(2025+1,2031+MAX(0,MIN(1,asof-2031)))-2031)+((1-dly_d1_s)*MAX(0,MIN(2025+1,2031+1+0)-(MAX(2031,asof)+0))+dly_d1_s*MAX(0,MIN(2025+1,2031+1+dly_d1_m/12)-(MAX(2031,asof)+dly_d1_m/12)))</f>
        <v>0</v>
      </c>
      <c r="M122" s="29" t="n">
        <f aca="false">MAX(0,MIN(2025+1,2032+MAX(0,MIN(1,asof-2032)))-2032)+((1-dly_d1_s)*MAX(0,MIN(2025+1,2032+1+0)-(MAX(2032,asof)+0))+dly_d1_s*MAX(0,MIN(2025+1,2032+1+dly_d1_m/12)-(MAX(2032,asof)+dly_d1_m/12)))</f>
        <v>0</v>
      </c>
    </row>
    <row r="123" customFormat="false" ht="17.15" hidden="false" customHeight="false" outlineLevel="0" collapsed="false">
      <c r="A123" s="0" t="s">
        <v>1240</v>
      </c>
      <c r="B123" s="0" t="n">
        <v>2026</v>
      </c>
      <c r="E123" s="29" t="n">
        <f aca="false">MAX(0,MIN(2026+1,2024+MAX(0,MIN(1,asof-2024)))-2024)+((1-dly_d1_s)*MAX(0,MIN(2026+1,2024+1+0)-(MAX(2024,asof)+0))+dly_d1_s*MAX(0,MIN(2026+1,2024+1+dly_d1_m/12)-(MAX(2024,asof)+dly_d1_m/12)))</f>
        <v>1</v>
      </c>
      <c r="F123" s="29" t="n">
        <f aca="false">MAX(0,MIN(2026+1,2025+MAX(0,MIN(1,asof-2025)))-2025)+((1-dly_d1_s)*MAX(0,MIN(2026+1,2025+1+0)-(MAX(2025,asof)+0))+dly_d1_s*MAX(0,MIN(2026+1,2025+1+dly_d1_m/12)-(MAX(2025,asof)+dly_d1_m/12)))</f>
        <v>1</v>
      </c>
      <c r="G123" s="29" t="n">
        <f aca="false">MAX(0,MIN(2026+1,2026+MAX(0,MIN(1,asof-2026)))-2026)+((1-dly_d1_s)*MAX(0,MIN(2026+1,2026+1+0)-(MAX(2026,asof)+0))+dly_d1_s*MAX(0,MIN(2026+1,2026+1+dly_d1_m/12)-(MAX(2026,asof)+dly_d1_m/12)))</f>
        <v>0.938750000000016</v>
      </c>
      <c r="H123" s="29" t="n">
        <f aca="false">MAX(0,MIN(2026+1,2027+MAX(0,MIN(1,asof-2027)))-2027)+((1-dly_d1_s)*MAX(0,MIN(2026+1,2027+1+0)-(MAX(2027,asof)+0))+dly_d1_s*MAX(0,MIN(2026+1,2027+1+dly_d1_m/12)-(MAX(2027,asof)+dly_d1_m/12)))</f>
        <v>0</v>
      </c>
      <c r="I123" s="29" t="n">
        <f aca="false">MAX(0,MIN(2026+1,2028+MAX(0,MIN(1,asof-2028)))-2028)+((1-dly_d1_s)*MAX(0,MIN(2026+1,2028+1+0)-(MAX(2028,asof)+0))+dly_d1_s*MAX(0,MIN(2026+1,2028+1+dly_d1_m/12)-(MAX(2028,asof)+dly_d1_m/12)))</f>
        <v>0</v>
      </c>
      <c r="J123" s="29" t="n">
        <f aca="false">MAX(0,MIN(2026+1,2029+MAX(0,MIN(1,asof-2029)))-2029)+((1-dly_d1_s)*MAX(0,MIN(2026+1,2029+1+0)-(MAX(2029,asof)+0))+dly_d1_s*MAX(0,MIN(2026+1,2029+1+dly_d1_m/12)-(MAX(2029,asof)+dly_d1_m/12)))</f>
        <v>0</v>
      </c>
      <c r="K123" s="29" t="n">
        <f aca="false">MAX(0,MIN(2026+1,2030+MAX(0,MIN(1,asof-2030)))-2030)+((1-dly_d1_s)*MAX(0,MIN(2026+1,2030+1+0)-(MAX(2030,asof)+0))+dly_d1_s*MAX(0,MIN(2026+1,2030+1+dly_d1_m/12)-(MAX(2030,asof)+dly_d1_m/12)))</f>
        <v>0</v>
      </c>
      <c r="L123" s="29" t="n">
        <f aca="false">MAX(0,MIN(2026+1,2031+MAX(0,MIN(1,asof-2031)))-2031)+((1-dly_d1_s)*MAX(0,MIN(2026+1,2031+1+0)-(MAX(2031,asof)+0))+dly_d1_s*MAX(0,MIN(2026+1,2031+1+dly_d1_m/12)-(MAX(2031,asof)+dly_d1_m/12)))</f>
        <v>0</v>
      </c>
      <c r="M123" s="29" t="n">
        <f aca="false">MAX(0,MIN(2026+1,2032+MAX(0,MIN(1,asof-2032)))-2032)+((1-dly_d1_s)*MAX(0,MIN(2026+1,2032+1+0)-(MAX(2032,asof)+0))+dly_d1_s*MAX(0,MIN(2026+1,2032+1+dly_d1_m/12)-(MAX(2032,asof)+dly_d1_m/12)))</f>
        <v>0</v>
      </c>
    </row>
    <row r="124" customFormat="false" ht="17.15" hidden="false" customHeight="false" outlineLevel="0" collapsed="false">
      <c r="A124" s="0" t="s">
        <v>1241</v>
      </c>
      <c r="B124" s="0" t="n">
        <v>2027</v>
      </c>
      <c r="E124" s="29" t="n">
        <f aca="false">MAX(0,MIN(2027+1,2024+MAX(0,MIN(1,asof-2024)))-2024)+((1-dly_d1_s)*MAX(0,MIN(2027+1,2024+1+0)-(MAX(2024,asof)+0))+dly_d1_s*MAX(0,MIN(2027+1,2024+1+dly_d1_m/12)-(MAX(2024,asof)+dly_d1_m/12)))</f>
        <v>1</v>
      </c>
      <c r="F124" s="29" t="n">
        <f aca="false">MAX(0,MIN(2027+1,2025+MAX(0,MIN(1,asof-2025)))-2025)+((1-dly_d1_s)*MAX(0,MIN(2027+1,2025+1+0)-(MAX(2025,asof)+0))+dly_d1_s*MAX(0,MIN(2027+1,2025+1+dly_d1_m/12)-(MAX(2025,asof)+dly_d1_m/12)))</f>
        <v>1</v>
      </c>
      <c r="G124" s="29" t="n">
        <f aca="false">MAX(0,MIN(2027+1,2026+MAX(0,MIN(1,asof-2026)))-2026)+((1-dly_d1_s)*MAX(0,MIN(2027+1,2026+1+0)-(MAX(2026,asof)+0))+dly_d1_s*MAX(0,MIN(2027+1,2026+1+dly_d1_m/12)-(MAX(2026,asof)+dly_d1_m/12)))</f>
        <v>1</v>
      </c>
      <c r="H124" s="29" t="n">
        <f aca="false">MAX(0,MIN(2027+1,2027+MAX(0,MIN(1,asof-2027)))-2027)+((1-dly_d1_s)*MAX(0,MIN(2027+1,2027+1+0)-(MAX(2027,asof)+0))+dly_d1_s*MAX(0,MIN(2027+1,2027+1+dly_d1_m/12)-(MAX(2027,asof)+dly_d1_m/12)))</f>
        <v>0.825</v>
      </c>
      <c r="I124" s="29" t="n">
        <f aca="false">MAX(0,MIN(2027+1,2028+MAX(0,MIN(1,asof-2028)))-2028)+((1-dly_d1_s)*MAX(0,MIN(2027+1,2028+1+0)-(MAX(2028,asof)+0))+dly_d1_s*MAX(0,MIN(2027+1,2028+1+dly_d1_m/12)-(MAX(2028,asof)+dly_d1_m/12)))</f>
        <v>0</v>
      </c>
      <c r="J124" s="29" t="n">
        <f aca="false">MAX(0,MIN(2027+1,2029+MAX(0,MIN(1,asof-2029)))-2029)+((1-dly_d1_s)*MAX(0,MIN(2027+1,2029+1+0)-(MAX(2029,asof)+0))+dly_d1_s*MAX(0,MIN(2027+1,2029+1+dly_d1_m/12)-(MAX(2029,asof)+dly_d1_m/12)))</f>
        <v>0</v>
      </c>
      <c r="K124" s="29" t="n">
        <f aca="false">MAX(0,MIN(2027+1,2030+MAX(0,MIN(1,asof-2030)))-2030)+((1-dly_d1_s)*MAX(0,MIN(2027+1,2030+1+0)-(MAX(2030,asof)+0))+dly_d1_s*MAX(0,MIN(2027+1,2030+1+dly_d1_m/12)-(MAX(2030,asof)+dly_d1_m/12)))</f>
        <v>0</v>
      </c>
      <c r="L124" s="29" t="n">
        <f aca="false">MAX(0,MIN(2027+1,2031+MAX(0,MIN(1,asof-2031)))-2031)+((1-dly_d1_s)*MAX(0,MIN(2027+1,2031+1+0)-(MAX(2031,asof)+0))+dly_d1_s*MAX(0,MIN(2027+1,2031+1+dly_d1_m/12)-(MAX(2031,asof)+dly_d1_m/12)))</f>
        <v>0</v>
      </c>
      <c r="M124" s="29" t="n">
        <f aca="false">MAX(0,MIN(2027+1,2032+MAX(0,MIN(1,asof-2032)))-2032)+((1-dly_d1_s)*MAX(0,MIN(2027+1,2032+1+0)-(MAX(2032,asof)+0))+dly_d1_s*MAX(0,MIN(2027+1,2032+1+dly_d1_m/12)-(MAX(2032,asof)+dly_d1_m/12)))</f>
        <v>0</v>
      </c>
    </row>
    <row r="125" customFormat="false" ht="17.15" hidden="false" customHeight="false" outlineLevel="0" collapsed="false">
      <c r="A125" s="0" t="s">
        <v>1242</v>
      </c>
      <c r="B125" s="0" t="n">
        <v>2028</v>
      </c>
      <c r="E125" s="29" t="n">
        <f aca="false">MAX(0,MIN(2028+1,2024+MAX(0,MIN(1,asof-2024)))-2024)+((1-dly_d1_s)*MAX(0,MIN(2028+1,2024+1+0)-(MAX(2024,asof)+0))+dly_d1_s*MAX(0,MIN(2028+1,2024+1+dly_d1_m/12)-(MAX(2024,asof)+dly_d1_m/12)))</f>
        <v>1</v>
      </c>
      <c r="F125" s="29" t="n">
        <f aca="false">MAX(0,MIN(2028+1,2025+MAX(0,MIN(1,asof-2025)))-2025)+((1-dly_d1_s)*MAX(0,MIN(2028+1,2025+1+0)-(MAX(2025,asof)+0))+dly_d1_s*MAX(0,MIN(2028+1,2025+1+dly_d1_m/12)-(MAX(2025,asof)+dly_d1_m/12)))</f>
        <v>1</v>
      </c>
      <c r="G125" s="29" t="n">
        <f aca="false">MAX(0,MIN(2028+1,2026+MAX(0,MIN(1,asof-2026)))-2026)+((1-dly_d1_s)*MAX(0,MIN(2028+1,2026+1+0)-(MAX(2026,asof)+0))+dly_d1_s*MAX(0,MIN(2028+1,2026+1+dly_d1_m/12)-(MAX(2026,asof)+dly_d1_m/12)))</f>
        <v>1</v>
      </c>
      <c r="H125" s="29" t="n">
        <f aca="false">MAX(0,MIN(2028+1,2027+MAX(0,MIN(1,asof-2027)))-2027)+((1-dly_d1_s)*MAX(0,MIN(2028+1,2027+1+0)-(MAX(2027,asof)+0))+dly_d1_s*MAX(0,MIN(2028+1,2027+1+dly_d1_m/12)-(MAX(2027,asof)+dly_d1_m/12)))</f>
        <v>1</v>
      </c>
      <c r="I125" s="29" t="n">
        <f aca="false">MAX(0,MIN(2028+1,2028+MAX(0,MIN(1,asof-2028)))-2028)+((1-dly_d1_s)*MAX(0,MIN(2028+1,2028+1+0)-(MAX(2028,asof)+0))+dly_d1_s*MAX(0,MIN(2028+1,2028+1+dly_d1_m/12)-(MAX(2028,asof)+dly_d1_m/12)))</f>
        <v>0.825</v>
      </c>
      <c r="J125" s="29" t="n">
        <f aca="false">MAX(0,MIN(2028+1,2029+MAX(0,MIN(1,asof-2029)))-2029)+((1-dly_d1_s)*MAX(0,MIN(2028+1,2029+1+0)-(MAX(2029,asof)+0))+dly_d1_s*MAX(0,MIN(2028+1,2029+1+dly_d1_m/12)-(MAX(2029,asof)+dly_d1_m/12)))</f>
        <v>0</v>
      </c>
      <c r="K125" s="29" t="n">
        <f aca="false">MAX(0,MIN(2028+1,2030+MAX(0,MIN(1,asof-2030)))-2030)+((1-dly_d1_s)*MAX(0,MIN(2028+1,2030+1+0)-(MAX(2030,asof)+0))+dly_d1_s*MAX(0,MIN(2028+1,2030+1+dly_d1_m/12)-(MAX(2030,asof)+dly_d1_m/12)))</f>
        <v>0</v>
      </c>
      <c r="L125" s="29" t="n">
        <f aca="false">MAX(0,MIN(2028+1,2031+MAX(0,MIN(1,asof-2031)))-2031)+((1-dly_d1_s)*MAX(0,MIN(2028+1,2031+1+0)-(MAX(2031,asof)+0))+dly_d1_s*MAX(0,MIN(2028+1,2031+1+dly_d1_m/12)-(MAX(2031,asof)+dly_d1_m/12)))</f>
        <v>0</v>
      </c>
      <c r="M125" s="29" t="n">
        <f aca="false">MAX(0,MIN(2028+1,2032+MAX(0,MIN(1,asof-2032)))-2032)+((1-dly_d1_s)*MAX(0,MIN(2028+1,2032+1+0)-(MAX(2032,asof)+0))+dly_d1_s*MAX(0,MIN(2028+1,2032+1+dly_d1_m/12)-(MAX(2032,asof)+dly_d1_m/12)))</f>
        <v>0</v>
      </c>
    </row>
    <row r="126" customFormat="false" ht="17.15" hidden="false" customHeight="false" outlineLevel="0" collapsed="false">
      <c r="A126" s="0" t="s">
        <v>1243</v>
      </c>
      <c r="B126" s="0" t="n">
        <v>2029</v>
      </c>
      <c r="E126" s="29" t="n">
        <f aca="false">MAX(0,MIN(2029+1,2024+MAX(0,MIN(1,asof-2024)))-2024)+((1-dly_d1_s)*MAX(0,MIN(2029+1,2024+1+0)-(MAX(2024,asof)+0))+dly_d1_s*MAX(0,MIN(2029+1,2024+1+dly_d1_m/12)-(MAX(2024,asof)+dly_d1_m/12)))</f>
        <v>1</v>
      </c>
      <c r="F126" s="29" t="n">
        <f aca="false">MAX(0,MIN(2029+1,2025+MAX(0,MIN(1,asof-2025)))-2025)+((1-dly_d1_s)*MAX(0,MIN(2029+1,2025+1+0)-(MAX(2025,asof)+0))+dly_d1_s*MAX(0,MIN(2029+1,2025+1+dly_d1_m/12)-(MAX(2025,asof)+dly_d1_m/12)))</f>
        <v>1</v>
      </c>
      <c r="G126" s="29" t="n">
        <f aca="false">MAX(0,MIN(2029+1,2026+MAX(0,MIN(1,asof-2026)))-2026)+((1-dly_d1_s)*MAX(0,MIN(2029+1,2026+1+0)-(MAX(2026,asof)+0))+dly_d1_s*MAX(0,MIN(2029+1,2026+1+dly_d1_m/12)-(MAX(2026,asof)+dly_d1_m/12)))</f>
        <v>1</v>
      </c>
      <c r="H126" s="29" t="n">
        <f aca="false">MAX(0,MIN(2029+1,2027+MAX(0,MIN(1,asof-2027)))-2027)+((1-dly_d1_s)*MAX(0,MIN(2029+1,2027+1+0)-(MAX(2027,asof)+0))+dly_d1_s*MAX(0,MIN(2029+1,2027+1+dly_d1_m/12)-(MAX(2027,asof)+dly_d1_m/12)))</f>
        <v>1</v>
      </c>
      <c r="I126" s="29" t="n">
        <f aca="false">MAX(0,MIN(2029+1,2028+MAX(0,MIN(1,asof-2028)))-2028)+((1-dly_d1_s)*MAX(0,MIN(2029+1,2028+1+0)-(MAX(2028,asof)+0))+dly_d1_s*MAX(0,MIN(2029+1,2028+1+dly_d1_m/12)-(MAX(2028,asof)+dly_d1_m/12)))</f>
        <v>1</v>
      </c>
      <c r="J126" s="29" t="n">
        <f aca="false">MAX(0,MIN(2029+1,2029+MAX(0,MIN(1,asof-2029)))-2029)+((1-dly_d1_s)*MAX(0,MIN(2029+1,2029+1+0)-(MAX(2029,asof)+0))+dly_d1_s*MAX(0,MIN(2029+1,2029+1+dly_d1_m/12)-(MAX(2029,asof)+dly_d1_m/12)))</f>
        <v>0.825</v>
      </c>
      <c r="K126" s="29" t="n">
        <f aca="false">MAX(0,MIN(2029+1,2030+MAX(0,MIN(1,asof-2030)))-2030)+((1-dly_d1_s)*MAX(0,MIN(2029+1,2030+1+0)-(MAX(2030,asof)+0))+dly_d1_s*MAX(0,MIN(2029+1,2030+1+dly_d1_m/12)-(MAX(2030,asof)+dly_d1_m/12)))</f>
        <v>0</v>
      </c>
      <c r="L126" s="29" t="n">
        <f aca="false">MAX(0,MIN(2029+1,2031+MAX(0,MIN(1,asof-2031)))-2031)+((1-dly_d1_s)*MAX(0,MIN(2029+1,2031+1+0)-(MAX(2031,asof)+0))+dly_d1_s*MAX(0,MIN(2029+1,2031+1+dly_d1_m/12)-(MAX(2031,asof)+dly_d1_m/12)))</f>
        <v>0</v>
      </c>
      <c r="M126" s="29" t="n">
        <f aca="false">MAX(0,MIN(2029+1,2032+MAX(0,MIN(1,asof-2032)))-2032)+((1-dly_d1_s)*MAX(0,MIN(2029+1,2032+1+0)-(MAX(2032,asof)+0))+dly_d1_s*MAX(0,MIN(2029+1,2032+1+dly_d1_m/12)-(MAX(2032,asof)+dly_d1_m/12)))</f>
        <v>0</v>
      </c>
    </row>
    <row r="127" customFormat="false" ht="17.15" hidden="false" customHeight="false" outlineLevel="0" collapsed="false">
      <c r="A127" s="0" t="s">
        <v>1244</v>
      </c>
      <c r="B127" s="0" t="n">
        <v>2030</v>
      </c>
      <c r="E127" s="29" t="n">
        <f aca="false">MAX(0,MIN(2030+1,2024+MAX(0,MIN(1,asof-2024)))-2024)+((1-dly_d1_s)*MAX(0,MIN(2030+1,2024+1+0)-(MAX(2024,asof)+0))+dly_d1_s*MAX(0,MIN(2030+1,2024+1+dly_d1_m/12)-(MAX(2024,asof)+dly_d1_m/12)))</f>
        <v>1</v>
      </c>
      <c r="F127" s="29" t="n">
        <f aca="false">MAX(0,MIN(2030+1,2025+MAX(0,MIN(1,asof-2025)))-2025)+((1-dly_d1_s)*MAX(0,MIN(2030+1,2025+1+0)-(MAX(2025,asof)+0))+dly_d1_s*MAX(0,MIN(2030+1,2025+1+dly_d1_m/12)-(MAX(2025,asof)+dly_d1_m/12)))</f>
        <v>1</v>
      </c>
      <c r="G127" s="29" t="n">
        <f aca="false">MAX(0,MIN(2030+1,2026+MAX(0,MIN(1,asof-2026)))-2026)+((1-dly_d1_s)*MAX(0,MIN(2030+1,2026+1+0)-(MAX(2026,asof)+0))+dly_d1_s*MAX(0,MIN(2030+1,2026+1+dly_d1_m/12)-(MAX(2026,asof)+dly_d1_m/12)))</f>
        <v>1</v>
      </c>
      <c r="H127" s="29" t="n">
        <f aca="false">MAX(0,MIN(2030+1,2027+MAX(0,MIN(1,asof-2027)))-2027)+((1-dly_d1_s)*MAX(0,MIN(2030+1,2027+1+0)-(MAX(2027,asof)+0))+dly_d1_s*MAX(0,MIN(2030+1,2027+1+dly_d1_m/12)-(MAX(2027,asof)+dly_d1_m/12)))</f>
        <v>1</v>
      </c>
      <c r="I127" s="29" t="n">
        <f aca="false">MAX(0,MIN(2030+1,2028+MAX(0,MIN(1,asof-2028)))-2028)+((1-dly_d1_s)*MAX(0,MIN(2030+1,2028+1+0)-(MAX(2028,asof)+0))+dly_d1_s*MAX(0,MIN(2030+1,2028+1+dly_d1_m/12)-(MAX(2028,asof)+dly_d1_m/12)))</f>
        <v>1</v>
      </c>
      <c r="J127" s="29" t="n">
        <f aca="false">MAX(0,MIN(2030+1,2029+MAX(0,MIN(1,asof-2029)))-2029)+((1-dly_d1_s)*MAX(0,MIN(2030+1,2029+1+0)-(MAX(2029,asof)+0))+dly_d1_s*MAX(0,MIN(2030+1,2029+1+dly_d1_m/12)-(MAX(2029,asof)+dly_d1_m/12)))</f>
        <v>1</v>
      </c>
      <c r="K127" s="29" t="n">
        <f aca="false">MAX(0,MIN(2030+1,2030+MAX(0,MIN(1,asof-2030)))-2030)+((1-dly_d1_s)*MAX(0,MIN(2030+1,2030+1+0)-(MAX(2030,asof)+0))+dly_d1_s*MAX(0,MIN(2030+1,2030+1+dly_d1_m/12)-(MAX(2030,asof)+dly_d1_m/12)))</f>
        <v>0.825</v>
      </c>
      <c r="L127" s="29" t="n">
        <f aca="false">MAX(0,MIN(2030+1,2031+MAX(0,MIN(1,asof-2031)))-2031)+((1-dly_d1_s)*MAX(0,MIN(2030+1,2031+1+0)-(MAX(2031,asof)+0))+dly_d1_s*MAX(0,MIN(2030+1,2031+1+dly_d1_m/12)-(MAX(2031,asof)+dly_d1_m/12)))</f>
        <v>0</v>
      </c>
      <c r="M127" s="29" t="n">
        <f aca="false">MAX(0,MIN(2030+1,2032+MAX(0,MIN(1,asof-2032)))-2032)+((1-dly_d1_s)*MAX(0,MIN(2030+1,2032+1+0)-(MAX(2032,asof)+0))+dly_d1_s*MAX(0,MIN(2030+1,2032+1+dly_d1_m/12)-(MAX(2032,asof)+dly_d1_m/12)))</f>
        <v>0</v>
      </c>
    </row>
    <row r="128" customFormat="false" ht="17.15" hidden="false" customHeight="false" outlineLevel="0" collapsed="false">
      <c r="A128" s="0" t="s">
        <v>1245</v>
      </c>
      <c r="B128" s="0" t="n">
        <v>2031</v>
      </c>
      <c r="E128" s="29" t="n">
        <f aca="false">MAX(0,MIN(2031+1,2024+MAX(0,MIN(1,asof-2024)))-2024)+((1-dly_d1_s)*MAX(0,MIN(2031+1,2024+1+0)-(MAX(2024,asof)+0))+dly_d1_s*MAX(0,MIN(2031+1,2024+1+dly_d1_m/12)-(MAX(2024,asof)+dly_d1_m/12)))</f>
        <v>1</v>
      </c>
      <c r="F128" s="29" t="n">
        <f aca="false">MAX(0,MIN(2031+1,2025+MAX(0,MIN(1,asof-2025)))-2025)+((1-dly_d1_s)*MAX(0,MIN(2031+1,2025+1+0)-(MAX(2025,asof)+0))+dly_d1_s*MAX(0,MIN(2031+1,2025+1+dly_d1_m/12)-(MAX(2025,asof)+dly_d1_m/12)))</f>
        <v>1</v>
      </c>
      <c r="G128" s="29" t="n">
        <f aca="false">MAX(0,MIN(2031+1,2026+MAX(0,MIN(1,asof-2026)))-2026)+((1-dly_d1_s)*MAX(0,MIN(2031+1,2026+1+0)-(MAX(2026,asof)+0))+dly_d1_s*MAX(0,MIN(2031+1,2026+1+dly_d1_m/12)-(MAX(2026,asof)+dly_d1_m/12)))</f>
        <v>1</v>
      </c>
      <c r="H128" s="29" t="n">
        <f aca="false">MAX(0,MIN(2031+1,2027+MAX(0,MIN(1,asof-2027)))-2027)+((1-dly_d1_s)*MAX(0,MIN(2031+1,2027+1+0)-(MAX(2027,asof)+0))+dly_d1_s*MAX(0,MIN(2031+1,2027+1+dly_d1_m/12)-(MAX(2027,asof)+dly_d1_m/12)))</f>
        <v>1</v>
      </c>
      <c r="I128" s="29" t="n">
        <f aca="false">MAX(0,MIN(2031+1,2028+MAX(0,MIN(1,asof-2028)))-2028)+((1-dly_d1_s)*MAX(0,MIN(2031+1,2028+1+0)-(MAX(2028,asof)+0))+dly_d1_s*MAX(0,MIN(2031+1,2028+1+dly_d1_m/12)-(MAX(2028,asof)+dly_d1_m/12)))</f>
        <v>1</v>
      </c>
      <c r="J128" s="29" t="n">
        <f aca="false">MAX(0,MIN(2031+1,2029+MAX(0,MIN(1,asof-2029)))-2029)+((1-dly_d1_s)*MAX(0,MIN(2031+1,2029+1+0)-(MAX(2029,asof)+0))+dly_d1_s*MAX(0,MIN(2031+1,2029+1+dly_d1_m/12)-(MAX(2029,asof)+dly_d1_m/12)))</f>
        <v>1</v>
      </c>
      <c r="K128" s="29" t="n">
        <f aca="false">MAX(0,MIN(2031+1,2030+MAX(0,MIN(1,asof-2030)))-2030)+((1-dly_d1_s)*MAX(0,MIN(2031+1,2030+1+0)-(MAX(2030,asof)+0))+dly_d1_s*MAX(0,MIN(2031+1,2030+1+dly_d1_m/12)-(MAX(2030,asof)+dly_d1_m/12)))</f>
        <v>1</v>
      </c>
      <c r="L128" s="29" t="n">
        <f aca="false">MAX(0,MIN(2031+1,2031+MAX(0,MIN(1,asof-2031)))-2031)+((1-dly_d1_s)*MAX(0,MIN(2031+1,2031+1+0)-(MAX(2031,asof)+0))+dly_d1_s*MAX(0,MIN(2031+1,2031+1+dly_d1_m/12)-(MAX(2031,asof)+dly_d1_m/12)))</f>
        <v>0.825</v>
      </c>
      <c r="M128" s="29" t="n">
        <f aca="false">MAX(0,MIN(2031+1,2032+MAX(0,MIN(1,asof-2032)))-2032)+((1-dly_d1_s)*MAX(0,MIN(2031+1,2032+1+0)-(MAX(2032,asof)+0))+dly_d1_s*MAX(0,MIN(2031+1,2032+1+dly_d1_m/12)-(MAX(2032,asof)+dly_d1_m/12)))</f>
        <v>0</v>
      </c>
    </row>
    <row r="129" customFormat="false" ht="17.15" hidden="false" customHeight="false" outlineLevel="0" collapsed="false">
      <c r="A129" s="0" t="s">
        <v>1246</v>
      </c>
      <c r="B129" s="0" t="n">
        <v>2032</v>
      </c>
      <c r="E129" s="29" t="n">
        <f aca="false">MAX(0,MIN(2032+1,2024+MAX(0,MIN(1,asof-2024)))-2024)+((1-dly_d1_s)*MAX(0,MIN(2032+1,2024+1+0)-(MAX(2024,asof)+0))+dly_d1_s*MAX(0,MIN(2032+1,2024+1+dly_d1_m/12)-(MAX(2024,asof)+dly_d1_m/12)))</f>
        <v>1</v>
      </c>
      <c r="F129" s="29" t="n">
        <f aca="false">MAX(0,MIN(2032+1,2025+MAX(0,MIN(1,asof-2025)))-2025)+((1-dly_d1_s)*MAX(0,MIN(2032+1,2025+1+0)-(MAX(2025,asof)+0))+dly_d1_s*MAX(0,MIN(2032+1,2025+1+dly_d1_m/12)-(MAX(2025,asof)+dly_d1_m/12)))</f>
        <v>1</v>
      </c>
      <c r="G129" s="29" t="n">
        <f aca="false">MAX(0,MIN(2032+1,2026+MAX(0,MIN(1,asof-2026)))-2026)+((1-dly_d1_s)*MAX(0,MIN(2032+1,2026+1+0)-(MAX(2026,asof)+0))+dly_d1_s*MAX(0,MIN(2032+1,2026+1+dly_d1_m/12)-(MAX(2026,asof)+dly_d1_m/12)))</f>
        <v>1</v>
      </c>
      <c r="H129" s="29" t="n">
        <f aca="false">MAX(0,MIN(2032+1,2027+MAX(0,MIN(1,asof-2027)))-2027)+((1-dly_d1_s)*MAX(0,MIN(2032+1,2027+1+0)-(MAX(2027,asof)+0))+dly_d1_s*MAX(0,MIN(2032+1,2027+1+dly_d1_m/12)-(MAX(2027,asof)+dly_d1_m/12)))</f>
        <v>1</v>
      </c>
      <c r="I129" s="29" t="n">
        <f aca="false">MAX(0,MIN(2032+1,2028+MAX(0,MIN(1,asof-2028)))-2028)+((1-dly_d1_s)*MAX(0,MIN(2032+1,2028+1+0)-(MAX(2028,asof)+0))+dly_d1_s*MAX(0,MIN(2032+1,2028+1+dly_d1_m/12)-(MAX(2028,asof)+dly_d1_m/12)))</f>
        <v>1</v>
      </c>
      <c r="J129" s="29" t="n">
        <f aca="false">MAX(0,MIN(2032+1,2029+MAX(0,MIN(1,asof-2029)))-2029)+((1-dly_d1_s)*MAX(0,MIN(2032+1,2029+1+0)-(MAX(2029,asof)+0))+dly_d1_s*MAX(0,MIN(2032+1,2029+1+dly_d1_m/12)-(MAX(2029,asof)+dly_d1_m/12)))</f>
        <v>1</v>
      </c>
      <c r="K129" s="29" t="n">
        <f aca="false">MAX(0,MIN(2032+1,2030+MAX(0,MIN(1,asof-2030)))-2030)+((1-dly_d1_s)*MAX(0,MIN(2032+1,2030+1+0)-(MAX(2030,asof)+0))+dly_d1_s*MAX(0,MIN(2032+1,2030+1+dly_d1_m/12)-(MAX(2030,asof)+dly_d1_m/12)))</f>
        <v>1</v>
      </c>
      <c r="L129" s="29" t="n">
        <f aca="false">MAX(0,MIN(2032+1,2031+MAX(0,MIN(1,asof-2031)))-2031)+((1-dly_d1_s)*MAX(0,MIN(2032+1,2031+1+0)-(MAX(2031,asof)+0))+dly_d1_s*MAX(0,MIN(2032+1,2031+1+dly_d1_m/12)-(MAX(2031,asof)+dly_d1_m/12)))</f>
        <v>1</v>
      </c>
      <c r="M129" s="29" t="n">
        <f aca="false">MAX(0,MIN(2032+1,2032+MAX(0,MIN(1,asof-2032)))-2032)+((1-dly_d1_s)*MAX(0,MIN(2032+1,2032+1+0)-(MAX(2032,asof)+0))+dly_d1_s*MAX(0,MIN(2032+1,2032+1+dly_d1_m/12)-(MAX(2032,asof)+dly_d1_m/12)))</f>
        <v>0.825</v>
      </c>
    </row>
    <row r="131" customFormat="false" ht="17.15" hidden="false" customHeight="false" outlineLevel="0" collapsed="false">
      <c r="A131" s="6" t="s">
        <v>1247</v>
      </c>
      <c r="B131" s="6" t="s">
        <v>1225</v>
      </c>
      <c r="C131" s="6"/>
      <c r="D131" s="6"/>
      <c r="E131" s="7" t="s">
        <v>20</v>
      </c>
      <c r="F131" s="7" t="s">
        <v>21</v>
      </c>
      <c r="G131" s="7" t="s">
        <v>22</v>
      </c>
      <c r="H131" s="7" t="s">
        <v>23</v>
      </c>
      <c r="I131" s="7" t="s">
        <v>24</v>
      </c>
      <c r="J131" s="7" t="s">
        <v>25</v>
      </c>
      <c r="K131" s="7" t="s">
        <v>26</v>
      </c>
      <c r="L131" s="7" t="s">
        <v>27</v>
      </c>
      <c r="M131" s="7" t="s">
        <v>28</v>
      </c>
    </row>
    <row r="132" customFormat="false" ht="17.15" hidden="false" customHeight="false" outlineLevel="0" collapsed="false">
      <c r="A132" s="0" t="s">
        <v>1248</v>
      </c>
      <c r="B132" s="0" t="n">
        <v>2023</v>
      </c>
      <c r="E132" s="29" t="n">
        <f aca="false">MAX(0,MIN(2023+1,2024+MAX(0,MIN(1,asof-2024)))-2024)+IF(AND(2024&gt;=dly_d2_y0,2024&lt;=dly_d2_y1),(1-dly_d2_bind)*((1-dly_d1_s)*MAX(0,MIN(2023+1,2024+1+0)-(MAX(2024,asof)+0))+dly_d1_s*MAX(0,MIN(2023+1,2024+1+dly_d1_m/12)-(MAX(2024,asof)+dly_d1_m/12)))+dly_d2_bind*((1-dly_d1_s)*MAX(0,MIN(2023+1,2024+1+dly_d2_m/12)-(MAX(2024,asof)+dly_d2_m/12))+dly_d1_s*MAX(0,MIN(2023+1,2024+1+(dly_d1_m+dly_d2_m)/12)-(MAX(2024,asof)+(dly_d1_m+dly_d2_m)/12))),((1-dly_d1_s)*MAX(0,MIN(2023+1,2024+1+0)-(MAX(2024,asof)+0))+dly_d1_s*MAX(0,MIN(2023+1,2024+1+dly_d1_m/12)-(MAX(2024,asof)+dly_d1_m/12))))</f>
        <v>0</v>
      </c>
      <c r="F132" s="29" t="n">
        <f aca="false">MAX(0,MIN(2023+1,2025+MAX(0,MIN(1,asof-2025)))-2025)+IF(AND(2025&gt;=dly_d2_y0,2025&lt;=dly_d2_y1),(1-dly_d2_bind)*((1-dly_d1_s)*MAX(0,MIN(2023+1,2025+1+0)-(MAX(2025,asof)+0))+dly_d1_s*MAX(0,MIN(2023+1,2025+1+dly_d1_m/12)-(MAX(2025,asof)+dly_d1_m/12)))+dly_d2_bind*((1-dly_d1_s)*MAX(0,MIN(2023+1,2025+1+dly_d2_m/12)-(MAX(2025,asof)+dly_d2_m/12))+dly_d1_s*MAX(0,MIN(2023+1,2025+1+(dly_d1_m+dly_d2_m)/12)-(MAX(2025,asof)+(dly_d1_m+dly_d2_m)/12))),((1-dly_d1_s)*MAX(0,MIN(2023+1,2025+1+0)-(MAX(2025,asof)+0))+dly_d1_s*MAX(0,MIN(2023+1,2025+1+dly_d1_m/12)-(MAX(2025,asof)+dly_d1_m/12))))</f>
        <v>0</v>
      </c>
      <c r="G132" s="29" t="n">
        <f aca="false">MAX(0,MIN(2023+1,2026+MAX(0,MIN(1,asof-2026)))-2026)+IF(AND(2026&gt;=dly_d2_y0,2026&lt;=dly_d2_y1),(1-dly_d2_bind)*((1-dly_d1_s)*MAX(0,MIN(2023+1,2026+1+0)-(MAX(2026,asof)+0))+dly_d1_s*MAX(0,MIN(2023+1,2026+1+dly_d1_m/12)-(MAX(2026,asof)+dly_d1_m/12)))+dly_d2_bind*((1-dly_d1_s)*MAX(0,MIN(2023+1,2026+1+dly_d2_m/12)-(MAX(2026,asof)+dly_d2_m/12))+dly_d1_s*MAX(0,MIN(2023+1,2026+1+(dly_d1_m+dly_d2_m)/12)-(MAX(2026,asof)+(dly_d1_m+dly_d2_m)/12))),((1-dly_d1_s)*MAX(0,MIN(2023+1,2026+1+0)-(MAX(2026,asof)+0))+dly_d1_s*MAX(0,MIN(2023+1,2026+1+dly_d1_m/12)-(MAX(2026,asof)+dly_d1_m/12))))</f>
        <v>0</v>
      </c>
      <c r="H132" s="29" t="n">
        <f aca="false">MAX(0,MIN(2023+1,2027+MAX(0,MIN(1,asof-2027)))-2027)+IF(AND(2027&gt;=dly_d2_y0,2027&lt;=dly_d2_y1),(1-dly_d2_bind)*((1-dly_d1_s)*MAX(0,MIN(2023+1,2027+1+0)-(MAX(2027,asof)+0))+dly_d1_s*MAX(0,MIN(2023+1,2027+1+dly_d1_m/12)-(MAX(2027,asof)+dly_d1_m/12)))+dly_d2_bind*((1-dly_d1_s)*MAX(0,MIN(2023+1,2027+1+dly_d2_m/12)-(MAX(2027,asof)+dly_d2_m/12))+dly_d1_s*MAX(0,MIN(2023+1,2027+1+(dly_d1_m+dly_d2_m)/12)-(MAX(2027,asof)+(dly_d1_m+dly_d2_m)/12))),((1-dly_d1_s)*MAX(0,MIN(2023+1,2027+1+0)-(MAX(2027,asof)+0))+dly_d1_s*MAX(0,MIN(2023+1,2027+1+dly_d1_m/12)-(MAX(2027,asof)+dly_d1_m/12))))</f>
        <v>0</v>
      </c>
      <c r="I132" s="29" t="n">
        <f aca="false">MAX(0,MIN(2023+1,2028+MAX(0,MIN(1,asof-2028)))-2028)+IF(AND(2028&gt;=dly_d2_y0,2028&lt;=dly_d2_y1),(1-dly_d2_bind)*((1-dly_d1_s)*MAX(0,MIN(2023+1,2028+1+0)-(MAX(2028,asof)+0))+dly_d1_s*MAX(0,MIN(2023+1,2028+1+dly_d1_m/12)-(MAX(2028,asof)+dly_d1_m/12)))+dly_d2_bind*((1-dly_d1_s)*MAX(0,MIN(2023+1,2028+1+dly_d2_m/12)-(MAX(2028,asof)+dly_d2_m/12))+dly_d1_s*MAX(0,MIN(2023+1,2028+1+(dly_d1_m+dly_d2_m)/12)-(MAX(2028,asof)+(dly_d1_m+dly_d2_m)/12))),((1-dly_d1_s)*MAX(0,MIN(2023+1,2028+1+0)-(MAX(2028,asof)+0))+dly_d1_s*MAX(0,MIN(2023+1,2028+1+dly_d1_m/12)-(MAX(2028,asof)+dly_d1_m/12))))</f>
        <v>0</v>
      </c>
      <c r="J132" s="29" t="n">
        <f aca="false">MAX(0,MIN(2023+1,2029+MAX(0,MIN(1,asof-2029)))-2029)+IF(AND(2029&gt;=dly_d2_y0,2029&lt;=dly_d2_y1),(1-dly_d2_bind)*((1-dly_d1_s)*MAX(0,MIN(2023+1,2029+1+0)-(MAX(2029,asof)+0))+dly_d1_s*MAX(0,MIN(2023+1,2029+1+dly_d1_m/12)-(MAX(2029,asof)+dly_d1_m/12)))+dly_d2_bind*((1-dly_d1_s)*MAX(0,MIN(2023+1,2029+1+dly_d2_m/12)-(MAX(2029,asof)+dly_d2_m/12))+dly_d1_s*MAX(0,MIN(2023+1,2029+1+(dly_d1_m+dly_d2_m)/12)-(MAX(2029,asof)+(dly_d1_m+dly_d2_m)/12))),((1-dly_d1_s)*MAX(0,MIN(2023+1,2029+1+0)-(MAX(2029,asof)+0))+dly_d1_s*MAX(0,MIN(2023+1,2029+1+dly_d1_m/12)-(MAX(2029,asof)+dly_d1_m/12))))</f>
        <v>0</v>
      </c>
      <c r="K132" s="29" t="n">
        <f aca="false">MAX(0,MIN(2023+1,2030+MAX(0,MIN(1,asof-2030)))-2030)+IF(AND(2030&gt;=dly_d2_y0,2030&lt;=dly_d2_y1),(1-dly_d2_bind)*((1-dly_d1_s)*MAX(0,MIN(2023+1,2030+1+0)-(MAX(2030,asof)+0))+dly_d1_s*MAX(0,MIN(2023+1,2030+1+dly_d1_m/12)-(MAX(2030,asof)+dly_d1_m/12)))+dly_d2_bind*((1-dly_d1_s)*MAX(0,MIN(2023+1,2030+1+dly_d2_m/12)-(MAX(2030,asof)+dly_d2_m/12))+dly_d1_s*MAX(0,MIN(2023+1,2030+1+(dly_d1_m+dly_d2_m)/12)-(MAX(2030,asof)+(dly_d1_m+dly_d2_m)/12))),((1-dly_d1_s)*MAX(0,MIN(2023+1,2030+1+0)-(MAX(2030,asof)+0))+dly_d1_s*MAX(0,MIN(2023+1,2030+1+dly_d1_m/12)-(MAX(2030,asof)+dly_d1_m/12))))</f>
        <v>0</v>
      </c>
      <c r="L132" s="29" t="n">
        <f aca="false">MAX(0,MIN(2023+1,2031+MAX(0,MIN(1,asof-2031)))-2031)+IF(AND(2031&gt;=dly_d2_y0,2031&lt;=dly_d2_y1),(1-dly_d2_bind)*((1-dly_d1_s)*MAX(0,MIN(2023+1,2031+1+0)-(MAX(2031,asof)+0))+dly_d1_s*MAX(0,MIN(2023+1,2031+1+dly_d1_m/12)-(MAX(2031,asof)+dly_d1_m/12)))+dly_d2_bind*((1-dly_d1_s)*MAX(0,MIN(2023+1,2031+1+dly_d2_m/12)-(MAX(2031,asof)+dly_d2_m/12))+dly_d1_s*MAX(0,MIN(2023+1,2031+1+(dly_d1_m+dly_d2_m)/12)-(MAX(2031,asof)+(dly_d1_m+dly_d2_m)/12))),((1-dly_d1_s)*MAX(0,MIN(2023+1,2031+1+0)-(MAX(2031,asof)+0))+dly_d1_s*MAX(0,MIN(2023+1,2031+1+dly_d1_m/12)-(MAX(2031,asof)+dly_d1_m/12))))</f>
        <v>0</v>
      </c>
      <c r="M132" s="29" t="n">
        <f aca="false">MAX(0,MIN(2023+1,2032+MAX(0,MIN(1,asof-2032)))-2032)+IF(AND(2032&gt;=dly_d2_y0,2032&lt;=dly_d2_y1),(1-dly_d2_bind)*((1-dly_d1_s)*MAX(0,MIN(2023+1,2032+1+0)-(MAX(2032,asof)+0))+dly_d1_s*MAX(0,MIN(2023+1,2032+1+dly_d1_m/12)-(MAX(2032,asof)+dly_d1_m/12)))+dly_d2_bind*((1-dly_d1_s)*MAX(0,MIN(2023+1,2032+1+dly_d2_m/12)-(MAX(2032,asof)+dly_d2_m/12))+dly_d1_s*MAX(0,MIN(2023+1,2032+1+(dly_d1_m+dly_d2_m)/12)-(MAX(2032,asof)+(dly_d1_m+dly_d2_m)/12))),((1-dly_d1_s)*MAX(0,MIN(2023+1,2032+1+0)-(MAX(2032,asof)+0))+dly_d1_s*MAX(0,MIN(2023+1,2032+1+dly_d1_m/12)-(MAX(2032,asof)+dly_d1_m/12))))</f>
        <v>0</v>
      </c>
    </row>
    <row r="133" customFormat="false" ht="17.15" hidden="false" customHeight="false" outlineLevel="0" collapsed="false">
      <c r="A133" s="0" t="s">
        <v>1249</v>
      </c>
      <c r="B133" s="0" t="n">
        <v>2024</v>
      </c>
      <c r="E133" s="29" t="n">
        <f aca="false">MAX(0,MIN(2024+1,2024+MAX(0,MIN(1,asof-2024)))-2024)+IF(AND(2024&gt;=dly_d2_y0,2024&lt;=dly_d2_y1),(1-dly_d2_bind)*((1-dly_d1_s)*MAX(0,MIN(2024+1,2024+1+0)-(MAX(2024,asof)+0))+dly_d1_s*MAX(0,MIN(2024+1,2024+1+dly_d1_m/12)-(MAX(2024,asof)+dly_d1_m/12)))+dly_d2_bind*((1-dly_d1_s)*MAX(0,MIN(2024+1,2024+1+dly_d2_m/12)-(MAX(2024,asof)+dly_d2_m/12))+dly_d1_s*MAX(0,MIN(2024+1,2024+1+(dly_d1_m+dly_d2_m)/12)-(MAX(2024,asof)+(dly_d1_m+dly_d2_m)/12))),((1-dly_d1_s)*MAX(0,MIN(2024+1,2024+1+0)-(MAX(2024,asof)+0))+dly_d1_s*MAX(0,MIN(2024+1,2024+1+dly_d1_m/12)-(MAX(2024,asof)+dly_d1_m/12))))</f>
        <v>1</v>
      </c>
      <c r="F133" s="29" t="n">
        <f aca="false">MAX(0,MIN(2024+1,2025+MAX(0,MIN(1,asof-2025)))-2025)+IF(AND(2025&gt;=dly_d2_y0,2025&lt;=dly_d2_y1),(1-dly_d2_bind)*((1-dly_d1_s)*MAX(0,MIN(2024+1,2025+1+0)-(MAX(2025,asof)+0))+dly_d1_s*MAX(0,MIN(2024+1,2025+1+dly_d1_m/12)-(MAX(2025,asof)+dly_d1_m/12)))+dly_d2_bind*((1-dly_d1_s)*MAX(0,MIN(2024+1,2025+1+dly_d2_m/12)-(MAX(2025,asof)+dly_d2_m/12))+dly_d1_s*MAX(0,MIN(2024+1,2025+1+(dly_d1_m+dly_d2_m)/12)-(MAX(2025,asof)+(dly_d1_m+dly_d2_m)/12))),((1-dly_d1_s)*MAX(0,MIN(2024+1,2025+1+0)-(MAX(2025,asof)+0))+dly_d1_s*MAX(0,MIN(2024+1,2025+1+dly_d1_m/12)-(MAX(2025,asof)+dly_d1_m/12))))</f>
        <v>0</v>
      </c>
      <c r="G133" s="29" t="n">
        <f aca="false">MAX(0,MIN(2024+1,2026+MAX(0,MIN(1,asof-2026)))-2026)+IF(AND(2026&gt;=dly_d2_y0,2026&lt;=dly_d2_y1),(1-dly_d2_bind)*((1-dly_d1_s)*MAX(0,MIN(2024+1,2026+1+0)-(MAX(2026,asof)+0))+dly_d1_s*MAX(0,MIN(2024+1,2026+1+dly_d1_m/12)-(MAX(2026,asof)+dly_d1_m/12)))+dly_d2_bind*((1-dly_d1_s)*MAX(0,MIN(2024+1,2026+1+dly_d2_m/12)-(MAX(2026,asof)+dly_d2_m/12))+dly_d1_s*MAX(0,MIN(2024+1,2026+1+(dly_d1_m+dly_d2_m)/12)-(MAX(2026,asof)+(dly_d1_m+dly_d2_m)/12))),((1-dly_d1_s)*MAX(0,MIN(2024+1,2026+1+0)-(MAX(2026,asof)+0))+dly_d1_s*MAX(0,MIN(2024+1,2026+1+dly_d1_m/12)-(MAX(2026,asof)+dly_d1_m/12))))</f>
        <v>0</v>
      </c>
      <c r="H133" s="29" t="n">
        <f aca="false">MAX(0,MIN(2024+1,2027+MAX(0,MIN(1,asof-2027)))-2027)+IF(AND(2027&gt;=dly_d2_y0,2027&lt;=dly_d2_y1),(1-dly_d2_bind)*((1-dly_d1_s)*MAX(0,MIN(2024+1,2027+1+0)-(MAX(2027,asof)+0))+dly_d1_s*MAX(0,MIN(2024+1,2027+1+dly_d1_m/12)-(MAX(2027,asof)+dly_d1_m/12)))+dly_d2_bind*((1-dly_d1_s)*MAX(0,MIN(2024+1,2027+1+dly_d2_m/12)-(MAX(2027,asof)+dly_d2_m/12))+dly_d1_s*MAX(0,MIN(2024+1,2027+1+(dly_d1_m+dly_d2_m)/12)-(MAX(2027,asof)+(dly_d1_m+dly_d2_m)/12))),((1-dly_d1_s)*MAX(0,MIN(2024+1,2027+1+0)-(MAX(2027,asof)+0))+dly_d1_s*MAX(0,MIN(2024+1,2027+1+dly_d1_m/12)-(MAX(2027,asof)+dly_d1_m/12))))</f>
        <v>0</v>
      </c>
      <c r="I133" s="29" t="n">
        <f aca="false">MAX(0,MIN(2024+1,2028+MAX(0,MIN(1,asof-2028)))-2028)+IF(AND(2028&gt;=dly_d2_y0,2028&lt;=dly_d2_y1),(1-dly_d2_bind)*((1-dly_d1_s)*MAX(0,MIN(2024+1,2028+1+0)-(MAX(2028,asof)+0))+dly_d1_s*MAX(0,MIN(2024+1,2028+1+dly_d1_m/12)-(MAX(2028,asof)+dly_d1_m/12)))+dly_d2_bind*((1-dly_d1_s)*MAX(0,MIN(2024+1,2028+1+dly_d2_m/12)-(MAX(2028,asof)+dly_d2_m/12))+dly_d1_s*MAX(0,MIN(2024+1,2028+1+(dly_d1_m+dly_d2_m)/12)-(MAX(2028,asof)+(dly_d1_m+dly_d2_m)/12))),((1-dly_d1_s)*MAX(0,MIN(2024+1,2028+1+0)-(MAX(2028,asof)+0))+dly_d1_s*MAX(0,MIN(2024+1,2028+1+dly_d1_m/12)-(MAX(2028,asof)+dly_d1_m/12))))</f>
        <v>0</v>
      </c>
      <c r="J133" s="29" t="n">
        <f aca="false">MAX(0,MIN(2024+1,2029+MAX(0,MIN(1,asof-2029)))-2029)+IF(AND(2029&gt;=dly_d2_y0,2029&lt;=dly_d2_y1),(1-dly_d2_bind)*((1-dly_d1_s)*MAX(0,MIN(2024+1,2029+1+0)-(MAX(2029,asof)+0))+dly_d1_s*MAX(0,MIN(2024+1,2029+1+dly_d1_m/12)-(MAX(2029,asof)+dly_d1_m/12)))+dly_d2_bind*((1-dly_d1_s)*MAX(0,MIN(2024+1,2029+1+dly_d2_m/12)-(MAX(2029,asof)+dly_d2_m/12))+dly_d1_s*MAX(0,MIN(2024+1,2029+1+(dly_d1_m+dly_d2_m)/12)-(MAX(2029,asof)+(dly_d1_m+dly_d2_m)/12))),((1-dly_d1_s)*MAX(0,MIN(2024+1,2029+1+0)-(MAX(2029,asof)+0))+dly_d1_s*MAX(0,MIN(2024+1,2029+1+dly_d1_m/12)-(MAX(2029,asof)+dly_d1_m/12))))</f>
        <v>0</v>
      </c>
      <c r="K133" s="29" t="n">
        <f aca="false">MAX(0,MIN(2024+1,2030+MAX(0,MIN(1,asof-2030)))-2030)+IF(AND(2030&gt;=dly_d2_y0,2030&lt;=dly_d2_y1),(1-dly_d2_bind)*((1-dly_d1_s)*MAX(0,MIN(2024+1,2030+1+0)-(MAX(2030,asof)+0))+dly_d1_s*MAX(0,MIN(2024+1,2030+1+dly_d1_m/12)-(MAX(2030,asof)+dly_d1_m/12)))+dly_d2_bind*((1-dly_d1_s)*MAX(0,MIN(2024+1,2030+1+dly_d2_m/12)-(MAX(2030,asof)+dly_d2_m/12))+dly_d1_s*MAX(0,MIN(2024+1,2030+1+(dly_d1_m+dly_d2_m)/12)-(MAX(2030,asof)+(dly_d1_m+dly_d2_m)/12))),((1-dly_d1_s)*MAX(0,MIN(2024+1,2030+1+0)-(MAX(2030,asof)+0))+dly_d1_s*MAX(0,MIN(2024+1,2030+1+dly_d1_m/12)-(MAX(2030,asof)+dly_d1_m/12))))</f>
        <v>0</v>
      </c>
      <c r="L133" s="29" t="n">
        <f aca="false">MAX(0,MIN(2024+1,2031+MAX(0,MIN(1,asof-2031)))-2031)+IF(AND(2031&gt;=dly_d2_y0,2031&lt;=dly_d2_y1),(1-dly_d2_bind)*((1-dly_d1_s)*MAX(0,MIN(2024+1,2031+1+0)-(MAX(2031,asof)+0))+dly_d1_s*MAX(0,MIN(2024+1,2031+1+dly_d1_m/12)-(MAX(2031,asof)+dly_d1_m/12)))+dly_d2_bind*((1-dly_d1_s)*MAX(0,MIN(2024+1,2031+1+dly_d2_m/12)-(MAX(2031,asof)+dly_d2_m/12))+dly_d1_s*MAX(0,MIN(2024+1,2031+1+(dly_d1_m+dly_d2_m)/12)-(MAX(2031,asof)+(dly_d1_m+dly_d2_m)/12))),((1-dly_d1_s)*MAX(0,MIN(2024+1,2031+1+0)-(MAX(2031,asof)+0))+dly_d1_s*MAX(0,MIN(2024+1,2031+1+dly_d1_m/12)-(MAX(2031,asof)+dly_d1_m/12))))</f>
        <v>0</v>
      </c>
      <c r="M133" s="29" t="n">
        <f aca="false">MAX(0,MIN(2024+1,2032+MAX(0,MIN(1,asof-2032)))-2032)+IF(AND(2032&gt;=dly_d2_y0,2032&lt;=dly_d2_y1),(1-dly_d2_bind)*((1-dly_d1_s)*MAX(0,MIN(2024+1,2032+1+0)-(MAX(2032,asof)+0))+dly_d1_s*MAX(0,MIN(2024+1,2032+1+dly_d1_m/12)-(MAX(2032,asof)+dly_d1_m/12)))+dly_d2_bind*((1-dly_d1_s)*MAX(0,MIN(2024+1,2032+1+dly_d2_m/12)-(MAX(2032,asof)+dly_d2_m/12))+dly_d1_s*MAX(0,MIN(2024+1,2032+1+(dly_d1_m+dly_d2_m)/12)-(MAX(2032,asof)+(dly_d1_m+dly_d2_m)/12))),((1-dly_d1_s)*MAX(0,MIN(2024+1,2032+1+0)-(MAX(2032,asof)+0))+dly_d1_s*MAX(0,MIN(2024+1,2032+1+dly_d1_m/12)-(MAX(2032,asof)+dly_d1_m/12))))</f>
        <v>0</v>
      </c>
    </row>
    <row r="134" customFormat="false" ht="17.15" hidden="false" customHeight="false" outlineLevel="0" collapsed="false">
      <c r="A134" s="0" t="s">
        <v>1250</v>
      </c>
      <c r="B134" s="0" t="n">
        <v>2025</v>
      </c>
      <c r="E134" s="29" t="n">
        <f aca="false">MAX(0,MIN(2025+1,2024+MAX(0,MIN(1,asof-2024)))-2024)+IF(AND(2024&gt;=dly_d2_y0,2024&lt;=dly_d2_y1),(1-dly_d2_bind)*((1-dly_d1_s)*MAX(0,MIN(2025+1,2024+1+0)-(MAX(2024,asof)+0))+dly_d1_s*MAX(0,MIN(2025+1,2024+1+dly_d1_m/12)-(MAX(2024,asof)+dly_d1_m/12)))+dly_d2_bind*((1-dly_d1_s)*MAX(0,MIN(2025+1,2024+1+dly_d2_m/12)-(MAX(2024,asof)+dly_d2_m/12))+dly_d1_s*MAX(0,MIN(2025+1,2024+1+(dly_d1_m+dly_d2_m)/12)-(MAX(2024,asof)+(dly_d1_m+dly_d2_m)/12))),((1-dly_d1_s)*MAX(0,MIN(2025+1,2024+1+0)-(MAX(2024,asof)+0))+dly_d1_s*MAX(0,MIN(2025+1,2024+1+dly_d1_m/12)-(MAX(2024,asof)+dly_d1_m/12))))</f>
        <v>1</v>
      </c>
      <c r="F134" s="29" t="n">
        <f aca="false">MAX(0,MIN(2025+1,2025+MAX(0,MIN(1,asof-2025)))-2025)+IF(AND(2025&gt;=dly_d2_y0,2025&lt;=dly_d2_y1),(1-dly_d2_bind)*((1-dly_d1_s)*MAX(0,MIN(2025+1,2025+1+0)-(MAX(2025,asof)+0))+dly_d1_s*MAX(0,MIN(2025+1,2025+1+dly_d1_m/12)-(MAX(2025,asof)+dly_d1_m/12)))+dly_d2_bind*((1-dly_d1_s)*MAX(0,MIN(2025+1,2025+1+dly_d2_m/12)-(MAX(2025,asof)+dly_d2_m/12))+dly_d1_s*MAX(0,MIN(2025+1,2025+1+(dly_d1_m+dly_d2_m)/12)-(MAX(2025,asof)+(dly_d1_m+dly_d2_m)/12))),((1-dly_d1_s)*MAX(0,MIN(2025+1,2025+1+0)-(MAX(2025,asof)+0))+dly_d1_s*MAX(0,MIN(2025+1,2025+1+dly_d1_m/12)-(MAX(2025,asof)+dly_d1_m/12))))</f>
        <v>1</v>
      </c>
      <c r="G134" s="29" t="n">
        <f aca="false">MAX(0,MIN(2025+1,2026+MAX(0,MIN(1,asof-2026)))-2026)+IF(AND(2026&gt;=dly_d2_y0,2026&lt;=dly_d2_y1),(1-dly_d2_bind)*((1-dly_d1_s)*MAX(0,MIN(2025+1,2026+1+0)-(MAX(2026,asof)+0))+dly_d1_s*MAX(0,MIN(2025+1,2026+1+dly_d1_m/12)-(MAX(2026,asof)+dly_d1_m/12)))+dly_d2_bind*((1-dly_d1_s)*MAX(0,MIN(2025+1,2026+1+dly_d2_m/12)-(MAX(2026,asof)+dly_d2_m/12))+dly_d1_s*MAX(0,MIN(2025+1,2026+1+(dly_d1_m+dly_d2_m)/12)-(MAX(2026,asof)+(dly_d1_m+dly_d2_m)/12))),((1-dly_d1_s)*MAX(0,MIN(2025+1,2026+1+0)-(MAX(2026,asof)+0))+dly_d1_s*MAX(0,MIN(2025+1,2026+1+dly_d1_m/12)-(MAX(2026,asof)+dly_d1_m/12))))</f>
        <v>0</v>
      </c>
      <c r="H134" s="29" t="n">
        <f aca="false">MAX(0,MIN(2025+1,2027+MAX(0,MIN(1,asof-2027)))-2027)+IF(AND(2027&gt;=dly_d2_y0,2027&lt;=dly_d2_y1),(1-dly_d2_bind)*((1-dly_d1_s)*MAX(0,MIN(2025+1,2027+1+0)-(MAX(2027,asof)+0))+dly_d1_s*MAX(0,MIN(2025+1,2027+1+dly_d1_m/12)-(MAX(2027,asof)+dly_d1_m/12)))+dly_d2_bind*((1-dly_d1_s)*MAX(0,MIN(2025+1,2027+1+dly_d2_m/12)-(MAX(2027,asof)+dly_d2_m/12))+dly_d1_s*MAX(0,MIN(2025+1,2027+1+(dly_d1_m+dly_d2_m)/12)-(MAX(2027,asof)+(dly_d1_m+dly_d2_m)/12))),((1-dly_d1_s)*MAX(0,MIN(2025+1,2027+1+0)-(MAX(2027,asof)+0))+dly_d1_s*MAX(0,MIN(2025+1,2027+1+dly_d1_m/12)-(MAX(2027,asof)+dly_d1_m/12))))</f>
        <v>0</v>
      </c>
      <c r="I134" s="29" t="n">
        <f aca="false">MAX(0,MIN(2025+1,2028+MAX(0,MIN(1,asof-2028)))-2028)+IF(AND(2028&gt;=dly_d2_y0,2028&lt;=dly_d2_y1),(1-dly_d2_bind)*((1-dly_d1_s)*MAX(0,MIN(2025+1,2028+1+0)-(MAX(2028,asof)+0))+dly_d1_s*MAX(0,MIN(2025+1,2028+1+dly_d1_m/12)-(MAX(2028,asof)+dly_d1_m/12)))+dly_d2_bind*((1-dly_d1_s)*MAX(0,MIN(2025+1,2028+1+dly_d2_m/12)-(MAX(2028,asof)+dly_d2_m/12))+dly_d1_s*MAX(0,MIN(2025+1,2028+1+(dly_d1_m+dly_d2_m)/12)-(MAX(2028,asof)+(dly_d1_m+dly_d2_m)/12))),((1-dly_d1_s)*MAX(0,MIN(2025+1,2028+1+0)-(MAX(2028,asof)+0))+dly_d1_s*MAX(0,MIN(2025+1,2028+1+dly_d1_m/12)-(MAX(2028,asof)+dly_d1_m/12))))</f>
        <v>0</v>
      </c>
      <c r="J134" s="29" t="n">
        <f aca="false">MAX(0,MIN(2025+1,2029+MAX(0,MIN(1,asof-2029)))-2029)+IF(AND(2029&gt;=dly_d2_y0,2029&lt;=dly_d2_y1),(1-dly_d2_bind)*((1-dly_d1_s)*MAX(0,MIN(2025+1,2029+1+0)-(MAX(2029,asof)+0))+dly_d1_s*MAX(0,MIN(2025+1,2029+1+dly_d1_m/12)-(MAX(2029,asof)+dly_d1_m/12)))+dly_d2_bind*((1-dly_d1_s)*MAX(0,MIN(2025+1,2029+1+dly_d2_m/12)-(MAX(2029,asof)+dly_d2_m/12))+dly_d1_s*MAX(0,MIN(2025+1,2029+1+(dly_d1_m+dly_d2_m)/12)-(MAX(2029,asof)+(dly_d1_m+dly_d2_m)/12))),((1-dly_d1_s)*MAX(0,MIN(2025+1,2029+1+0)-(MAX(2029,asof)+0))+dly_d1_s*MAX(0,MIN(2025+1,2029+1+dly_d1_m/12)-(MAX(2029,asof)+dly_d1_m/12))))</f>
        <v>0</v>
      </c>
      <c r="K134" s="29" t="n">
        <f aca="false">MAX(0,MIN(2025+1,2030+MAX(0,MIN(1,asof-2030)))-2030)+IF(AND(2030&gt;=dly_d2_y0,2030&lt;=dly_d2_y1),(1-dly_d2_bind)*((1-dly_d1_s)*MAX(0,MIN(2025+1,2030+1+0)-(MAX(2030,asof)+0))+dly_d1_s*MAX(0,MIN(2025+1,2030+1+dly_d1_m/12)-(MAX(2030,asof)+dly_d1_m/12)))+dly_d2_bind*((1-dly_d1_s)*MAX(0,MIN(2025+1,2030+1+dly_d2_m/12)-(MAX(2030,asof)+dly_d2_m/12))+dly_d1_s*MAX(0,MIN(2025+1,2030+1+(dly_d1_m+dly_d2_m)/12)-(MAX(2030,asof)+(dly_d1_m+dly_d2_m)/12))),((1-dly_d1_s)*MAX(0,MIN(2025+1,2030+1+0)-(MAX(2030,asof)+0))+dly_d1_s*MAX(0,MIN(2025+1,2030+1+dly_d1_m/12)-(MAX(2030,asof)+dly_d1_m/12))))</f>
        <v>0</v>
      </c>
      <c r="L134" s="29" t="n">
        <f aca="false">MAX(0,MIN(2025+1,2031+MAX(0,MIN(1,asof-2031)))-2031)+IF(AND(2031&gt;=dly_d2_y0,2031&lt;=dly_d2_y1),(1-dly_d2_bind)*((1-dly_d1_s)*MAX(0,MIN(2025+1,2031+1+0)-(MAX(2031,asof)+0))+dly_d1_s*MAX(0,MIN(2025+1,2031+1+dly_d1_m/12)-(MAX(2031,asof)+dly_d1_m/12)))+dly_d2_bind*((1-dly_d1_s)*MAX(0,MIN(2025+1,2031+1+dly_d2_m/12)-(MAX(2031,asof)+dly_d2_m/12))+dly_d1_s*MAX(0,MIN(2025+1,2031+1+(dly_d1_m+dly_d2_m)/12)-(MAX(2031,asof)+(dly_d1_m+dly_d2_m)/12))),((1-dly_d1_s)*MAX(0,MIN(2025+1,2031+1+0)-(MAX(2031,asof)+0))+dly_d1_s*MAX(0,MIN(2025+1,2031+1+dly_d1_m/12)-(MAX(2031,asof)+dly_d1_m/12))))</f>
        <v>0</v>
      </c>
      <c r="M134" s="29" t="n">
        <f aca="false">MAX(0,MIN(2025+1,2032+MAX(0,MIN(1,asof-2032)))-2032)+IF(AND(2032&gt;=dly_d2_y0,2032&lt;=dly_d2_y1),(1-dly_d2_bind)*((1-dly_d1_s)*MAX(0,MIN(2025+1,2032+1+0)-(MAX(2032,asof)+0))+dly_d1_s*MAX(0,MIN(2025+1,2032+1+dly_d1_m/12)-(MAX(2032,asof)+dly_d1_m/12)))+dly_d2_bind*((1-dly_d1_s)*MAX(0,MIN(2025+1,2032+1+dly_d2_m/12)-(MAX(2032,asof)+dly_d2_m/12))+dly_d1_s*MAX(0,MIN(2025+1,2032+1+(dly_d1_m+dly_d2_m)/12)-(MAX(2032,asof)+(dly_d1_m+dly_d2_m)/12))),((1-dly_d1_s)*MAX(0,MIN(2025+1,2032+1+0)-(MAX(2032,asof)+0))+dly_d1_s*MAX(0,MIN(2025+1,2032+1+dly_d1_m/12)-(MAX(2032,asof)+dly_d1_m/12))))</f>
        <v>0</v>
      </c>
    </row>
    <row r="135" customFormat="false" ht="17.15" hidden="false" customHeight="false" outlineLevel="0" collapsed="false">
      <c r="A135" s="0" t="s">
        <v>1251</v>
      </c>
      <c r="B135" s="0" t="n">
        <v>2026</v>
      </c>
      <c r="E135" s="29" t="n">
        <f aca="false">MAX(0,MIN(2026+1,2024+MAX(0,MIN(1,asof-2024)))-2024)+IF(AND(2024&gt;=dly_d2_y0,2024&lt;=dly_d2_y1),(1-dly_d2_bind)*((1-dly_d1_s)*MAX(0,MIN(2026+1,2024+1+0)-(MAX(2024,asof)+0))+dly_d1_s*MAX(0,MIN(2026+1,2024+1+dly_d1_m/12)-(MAX(2024,asof)+dly_d1_m/12)))+dly_d2_bind*((1-dly_d1_s)*MAX(0,MIN(2026+1,2024+1+dly_d2_m/12)-(MAX(2024,asof)+dly_d2_m/12))+dly_d1_s*MAX(0,MIN(2026+1,2024+1+(dly_d1_m+dly_d2_m)/12)-(MAX(2024,asof)+(dly_d1_m+dly_d2_m)/12))),((1-dly_d1_s)*MAX(0,MIN(2026+1,2024+1+0)-(MAX(2024,asof)+0))+dly_d1_s*MAX(0,MIN(2026+1,2024+1+dly_d1_m/12)-(MAX(2024,asof)+dly_d1_m/12))))</f>
        <v>1</v>
      </c>
      <c r="F135" s="29" t="n">
        <f aca="false">MAX(0,MIN(2026+1,2025+MAX(0,MIN(1,asof-2025)))-2025)+IF(AND(2025&gt;=dly_d2_y0,2025&lt;=dly_d2_y1),(1-dly_d2_bind)*((1-dly_d1_s)*MAX(0,MIN(2026+1,2025+1+0)-(MAX(2025,asof)+0))+dly_d1_s*MAX(0,MIN(2026+1,2025+1+dly_d1_m/12)-(MAX(2025,asof)+dly_d1_m/12)))+dly_d2_bind*((1-dly_d1_s)*MAX(0,MIN(2026+1,2025+1+dly_d2_m/12)-(MAX(2025,asof)+dly_d2_m/12))+dly_d1_s*MAX(0,MIN(2026+1,2025+1+(dly_d1_m+dly_d2_m)/12)-(MAX(2025,asof)+(dly_d1_m+dly_d2_m)/12))),((1-dly_d1_s)*MAX(0,MIN(2026+1,2025+1+0)-(MAX(2025,asof)+0))+dly_d1_s*MAX(0,MIN(2026+1,2025+1+dly_d1_m/12)-(MAX(2025,asof)+dly_d1_m/12))))</f>
        <v>1</v>
      </c>
      <c r="G135" s="29" t="n">
        <f aca="false">MAX(0,MIN(2026+1,2026+MAX(0,MIN(1,asof-2026)))-2026)+IF(AND(2026&gt;=dly_d2_y0,2026&lt;=dly_d2_y1),(1-dly_d2_bind)*((1-dly_d1_s)*MAX(0,MIN(2026+1,2026+1+0)-(MAX(2026,asof)+0))+dly_d1_s*MAX(0,MIN(2026+1,2026+1+dly_d1_m/12)-(MAX(2026,asof)+dly_d1_m/12)))+dly_d2_bind*((1-dly_d1_s)*MAX(0,MIN(2026+1,2026+1+dly_d2_m/12)-(MAX(2026,asof)+dly_d2_m/12))+dly_d1_s*MAX(0,MIN(2026+1,2026+1+(dly_d1_m+dly_d2_m)/12)-(MAX(2026,asof)+(dly_d1_m+dly_d2_m)/12))),((1-dly_d1_s)*MAX(0,MIN(2026+1,2026+1+0)-(MAX(2026,asof)+0))+dly_d1_s*MAX(0,MIN(2026+1,2026+1+dly_d1_m/12)-(MAX(2026,asof)+dly_d1_m/12))))</f>
        <v>0.938750000000016</v>
      </c>
      <c r="H135" s="29" t="n">
        <f aca="false">MAX(0,MIN(2026+1,2027+MAX(0,MIN(1,asof-2027)))-2027)+IF(AND(2027&gt;=dly_d2_y0,2027&lt;=dly_d2_y1),(1-dly_d2_bind)*((1-dly_d1_s)*MAX(0,MIN(2026+1,2027+1+0)-(MAX(2027,asof)+0))+dly_d1_s*MAX(0,MIN(2026+1,2027+1+dly_d1_m/12)-(MAX(2027,asof)+dly_d1_m/12)))+dly_d2_bind*((1-dly_d1_s)*MAX(0,MIN(2026+1,2027+1+dly_d2_m/12)-(MAX(2027,asof)+dly_d2_m/12))+dly_d1_s*MAX(0,MIN(2026+1,2027+1+(dly_d1_m+dly_d2_m)/12)-(MAX(2027,asof)+(dly_d1_m+dly_d2_m)/12))),((1-dly_d1_s)*MAX(0,MIN(2026+1,2027+1+0)-(MAX(2027,asof)+0))+dly_d1_s*MAX(0,MIN(2026+1,2027+1+dly_d1_m/12)-(MAX(2027,asof)+dly_d1_m/12))))</f>
        <v>0</v>
      </c>
      <c r="I135" s="29" t="n">
        <f aca="false">MAX(0,MIN(2026+1,2028+MAX(0,MIN(1,asof-2028)))-2028)+IF(AND(2028&gt;=dly_d2_y0,2028&lt;=dly_d2_y1),(1-dly_d2_bind)*((1-dly_d1_s)*MAX(0,MIN(2026+1,2028+1+0)-(MAX(2028,asof)+0))+dly_d1_s*MAX(0,MIN(2026+1,2028+1+dly_d1_m/12)-(MAX(2028,asof)+dly_d1_m/12)))+dly_d2_bind*((1-dly_d1_s)*MAX(0,MIN(2026+1,2028+1+dly_d2_m/12)-(MAX(2028,asof)+dly_d2_m/12))+dly_d1_s*MAX(0,MIN(2026+1,2028+1+(dly_d1_m+dly_d2_m)/12)-(MAX(2028,asof)+(dly_d1_m+dly_d2_m)/12))),((1-dly_d1_s)*MAX(0,MIN(2026+1,2028+1+0)-(MAX(2028,asof)+0))+dly_d1_s*MAX(0,MIN(2026+1,2028+1+dly_d1_m/12)-(MAX(2028,asof)+dly_d1_m/12))))</f>
        <v>0</v>
      </c>
      <c r="J135" s="29" t="n">
        <f aca="false">MAX(0,MIN(2026+1,2029+MAX(0,MIN(1,asof-2029)))-2029)+IF(AND(2029&gt;=dly_d2_y0,2029&lt;=dly_d2_y1),(1-dly_d2_bind)*((1-dly_d1_s)*MAX(0,MIN(2026+1,2029+1+0)-(MAX(2029,asof)+0))+dly_d1_s*MAX(0,MIN(2026+1,2029+1+dly_d1_m/12)-(MAX(2029,asof)+dly_d1_m/12)))+dly_d2_bind*((1-dly_d1_s)*MAX(0,MIN(2026+1,2029+1+dly_d2_m/12)-(MAX(2029,asof)+dly_d2_m/12))+dly_d1_s*MAX(0,MIN(2026+1,2029+1+(dly_d1_m+dly_d2_m)/12)-(MAX(2029,asof)+(dly_d1_m+dly_d2_m)/12))),((1-dly_d1_s)*MAX(0,MIN(2026+1,2029+1+0)-(MAX(2029,asof)+0))+dly_d1_s*MAX(0,MIN(2026+1,2029+1+dly_d1_m/12)-(MAX(2029,asof)+dly_d1_m/12))))</f>
        <v>0</v>
      </c>
      <c r="K135" s="29" t="n">
        <f aca="false">MAX(0,MIN(2026+1,2030+MAX(0,MIN(1,asof-2030)))-2030)+IF(AND(2030&gt;=dly_d2_y0,2030&lt;=dly_d2_y1),(1-dly_d2_bind)*((1-dly_d1_s)*MAX(0,MIN(2026+1,2030+1+0)-(MAX(2030,asof)+0))+dly_d1_s*MAX(0,MIN(2026+1,2030+1+dly_d1_m/12)-(MAX(2030,asof)+dly_d1_m/12)))+dly_d2_bind*((1-dly_d1_s)*MAX(0,MIN(2026+1,2030+1+dly_d2_m/12)-(MAX(2030,asof)+dly_d2_m/12))+dly_d1_s*MAX(0,MIN(2026+1,2030+1+(dly_d1_m+dly_d2_m)/12)-(MAX(2030,asof)+(dly_d1_m+dly_d2_m)/12))),((1-dly_d1_s)*MAX(0,MIN(2026+1,2030+1+0)-(MAX(2030,asof)+0))+dly_d1_s*MAX(0,MIN(2026+1,2030+1+dly_d1_m/12)-(MAX(2030,asof)+dly_d1_m/12))))</f>
        <v>0</v>
      </c>
      <c r="L135" s="29" t="n">
        <f aca="false">MAX(0,MIN(2026+1,2031+MAX(0,MIN(1,asof-2031)))-2031)+IF(AND(2031&gt;=dly_d2_y0,2031&lt;=dly_d2_y1),(1-dly_d2_bind)*((1-dly_d1_s)*MAX(0,MIN(2026+1,2031+1+0)-(MAX(2031,asof)+0))+dly_d1_s*MAX(0,MIN(2026+1,2031+1+dly_d1_m/12)-(MAX(2031,asof)+dly_d1_m/12)))+dly_d2_bind*((1-dly_d1_s)*MAX(0,MIN(2026+1,2031+1+dly_d2_m/12)-(MAX(2031,asof)+dly_d2_m/12))+dly_d1_s*MAX(0,MIN(2026+1,2031+1+(dly_d1_m+dly_d2_m)/12)-(MAX(2031,asof)+(dly_d1_m+dly_d2_m)/12))),((1-dly_d1_s)*MAX(0,MIN(2026+1,2031+1+0)-(MAX(2031,asof)+0))+dly_d1_s*MAX(0,MIN(2026+1,2031+1+dly_d1_m/12)-(MAX(2031,asof)+dly_d1_m/12))))</f>
        <v>0</v>
      </c>
      <c r="M135" s="29" t="n">
        <f aca="false">MAX(0,MIN(2026+1,2032+MAX(0,MIN(1,asof-2032)))-2032)+IF(AND(2032&gt;=dly_d2_y0,2032&lt;=dly_d2_y1),(1-dly_d2_bind)*((1-dly_d1_s)*MAX(0,MIN(2026+1,2032+1+0)-(MAX(2032,asof)+0))+dly_d1_s*MAX(0,MIN(2026+1,2032+1+dly_d1_m/12)-(MAX(2032,asof)+dly_d1_m/12)))+dly_d2_bind*((1-dly_d1_s)*MAX(0,MIN(2026+1,2032+1+dly_d2_m/12)-(MAX(2032,asof)+dly_d2_m/12))+dly_d1_s*MAX(0,MIN(2026+1,2032+1+(dly_d1_m+dly_d2_m)/12)-(MAX(2032,asof)+(dly_d1_m+dly_d2_m)/12))),((1-dly_d1_s)*MAX(0,MIN(2026+1,2032+1+0)-(MAX(2032,asof)+0))+dly_d1_s*MAX(0,MIN(2026+1,2032+1+dly_d1_m/12)-(MAX(2032,asof)+dly_d1_m/12))))</f>
        <v>0</v>
      </c>
    </row>
    <row r="136" customFormat="false" ht="17.15" hidden="false" customHeight="false" outlineLevel="0" collapsed="false">
      <c r="A136" s="0" t="s">
        <v>1252</v>
      </c>
      <c r="B136" s="0" t="n">
        <v>2027</v>
      </c>
      <c r="E136" s="29" t="n">
        <f aca="false">MAX(0,MIN(2027+1,2024+MAX(0,MIN(1,asof-2024)))-2024)+IF(AND(2024&gt;=dly_d2_y0,2024&lt;=dly_d2_y1),(1-dly_d2_bind)*((1-dly_d1_s)*MAX(0,MIN(2027+1,2024+1+0)-(MAX(2024,asof)+0))+dly_d1_s*MAX(0,MIN(2027+1,2024+1+dly_d1_m/12)-(MAX(2024,asof)+dly_d1_m/12)))+dly_d2_bind*((1-dly_d1_s)*MAX(0,MIN(2027+1,2024+1+dly_d2_m/12)-(MAX(2024,asof)+dly_d2_m/12))+dly_d1_s*MAX(0,MIN(2027+1,2024+1+(dly_d1_m+dly_d2_m)/12)-(MAX(2024,asof)+(dly_d1_m+dly_d2_m)/12))),((1-dly_d1_s)*MAX(0,MIN(2027+1,2024+1+0)-(MAX(2024,asof)+0))+dly_d1_s*MAX(0,MIN(2027+1,2024+1+dly_d1_m/12)-(MAX(2024,asof)+dly_d1_m/12))))</f>
        <v>1</v>
      </c>
      <c r="F136" s="29" t="n">
        <f aca="false">MAX(0,MIN(2027+1,2025+MAX(0,MIN(1,asof-2025)))-2025)+IF(AND(2025&gt;=dly_d2_y0,2025&lt;=dly_d2_y1),(1-dly_d2_bind)*((1-dly_d1_s)*MAX(0,MIN(2027+1,2025+1+0)-(MAX(2025,asof)+0))+dly_d1_s*MAX(0,MIN(2027+1,2025+1+dly_d1_m/12)-(MAX(2025,asof)+dly_d1_m/12)))+dly_d2_bind*((1-dly_d1_s)*MAX(0,MIN(2027+1,2025+1+dly_d2_m/12)-(MAX(2025,asof)+dly_d2_m/12))+dly_d1_s*MAX(0,MIN(2027+1,2025+1+(dly_d1_m+dly_d2_m)/12)-(MAX(2025,asof)+(dly_d1_m+dly_d2_m)/12))),((1-dly_d1_s)*MAX(0,MIN(2027+1,2025+1+0)-(MAX(2025,asof)+0))+dly_d1_s*MAX(0,MIN(2027+1,2025+1+dly_d1_m/12)-(MAX(2025,asof)+dly_d1_m/12))))</f>
        <v>1</v>
      </c>
      <c r="G136" s="29" t="n">
        <f aca="false">MAX(0,MIN(2027+1,2026+MAX(0,MIN(1,asof-2026)))-2026)+IF(AND(2026&gt;=dly_d2_y0,2026&lt;=dly_d2_y1),(1-dly_d2_bind)*((1-dly_d1_s)*MAX(0,MIN(2027+1,2026+1+0)-(MAX(2026,asof)+0))+dly_d1_s*MAX(0,MIN(2027+1,2026+1+dly_d1_m/12)-(MAX(2026,asof)+dly_d1_m/12)))+dly_d2_bind*((1-dly_d1_s)*MAX(0,MIN(2027+1,2026+1+dly_d2_m/12)-(MAX(2026,asof)+dly_d2_m/12))+dly_d1_s*MAX(0,MIN(2027+1,2026+1+(dly_d1_m+dly_d2_m)/12)-(MAX(2026,asof)+(dly_d1_m+dly_d2_m)/12))),((1-dly_d1_s)*MAX(0,MIN(2027+1,2026+1+0)-(MAX(2026,asof)+0))+dly_d1_s*MAX(0,MIN(2027+1,2026+1+dly_d1_m/12)-(MAX(2026,asof)+dly_d1_m/12))))</f>
        <v>1</v>
      </c>
      <c r="H136" s="29" t="n">
        <f aca="false">MAX(0,MIN(2027+1,2027+MAX(0,MIN(1,asof-2027)))-2027)+IF(AND(2027&gt;=dly_d2_y0,2027&lt;=dly_d2_y1),(1-dly_d2_bind)*((1-dly_d1_s)*MAX(0,MIN(2027+1,2027+1+0)-(MAX(2027,asof)+0))+dly_d1_s*MAX(0,MIN(2027+1,2027+1+dly_d1_m/12)-(MAX(2027,asof)+dly_d1_m/12)))+dly_d2_bind*((1-dly_d1_s)*MAX(0,MIN(2027+1,2027+1+dly_d2_m/12)-(MAX(2027,asof)+dly_d2_m/12))+dly_d1_s*MAX(0,MIN(2027+1,2027+1+(dly_d1_m+dly_d2_m)/12)-(MAX(2027,asof)+(dly_d1_m+dly_d2_m)/12))),((1-dly_d1_s)*MAX(0,MIN(2027+1,2027+1+0)-(MAX(2027,asof)+0))+dly_d1_s*MAX(0,MIN(2027+1,2027+1+dly_d1_m/12)-(MAX(2027,asof)+dly_d1_m/12))))</f>
        <v>0.495</v>
      </c>
      <c r="I136" s="29" t="n">
        <f aca="false">MAX(0,MIN(2027+1,2028+MAX(0,MIN(1,asof-2028)))-2028)+IF(AND(2028&gt;=dly_d2_y0,2028&lt;=dly_d2_y1),(1-dly_d2_bind)*((1-dly_d1_s)*MAX(0,MIN(2027+1,2028+1+0)-(MAX(2028,asof)+0))+dly_d1_s*MAX(0,MIN(2027+1,2028+1+dly_d1_m/12)-(MAX(2028,asof)+dly_d1_m/12)))+dly_d2_bind*((1-dly_d1_s)*MAX(0,MIN(2027+1,2028+1+dly_d2_m/12)-(MAX(2028,asof)+dly_d2_m/12))+dly_d1_s*MAX(0,MIN(2027+1,2028+1+(dly_d1_m+dly_d2_m)/12)-(MAX(2028,asof)+(dly_d1_m+dly_d2_m)/12))),((1-dly_d1_s)*MAX(0,MIN(2027+1,2028+1+0)-(MAX(2028,asof)+0))+dly_d1_s*MAX(0,MIN(2027+1,2028+1+dly_d1_m/12)-(MAX(2028,asof)+dly_d1_m/12))))</f>
        <v>0</v>
      </c>
      <c r="J136" s="29" t="n">
        <f aca="false">MAX(0,MIN(2027+1,2029+MAX(0,MIN(1,asof-2029)))-2029)+IF(AND(2029&gt;=dly_d2_y0,2029&lt;=dly_d2_y1),(1-dly_d2_bind)*((1-dly_d1_s)*MAX(0,MIN(2027+1,2029+1+0)-(MAX(2029,asof)+0))+dly_d1_s*MAX(0,MIN(2027+1,2029+1+dly_d1_m/12)-(MAX(2029,asof)+dly_d1_m/12)))+dly_d2_bind*((1-dly_d1_s)*MAX(0,MIN(2027+1,2029+1+dly_d2_m/12)-(MAX(2029,asof)+dly_d2_m/12))+dly_d1_s*MAX(0,MIN(2027+1,2029+1+(dly_d1_m+dly_d2_m)/12)-(MAX(2029,asof)+(dly_d1_m+dly_d2_m)/12))),((1-dly_d1_s)*MAX(0,MIN(2027+1,2029+1+0)-(MAX(2029,asof)+0))+dly_d1_s*MAX(0,MIN(2027+1,2029+1+dly_d1_m/12)-(MAX(2029,asof)+dly_d1_m/12))))</f>
        <v>0</v>
      </c>
      <c r="K136" s="29" t="n">
        <f aca="false">MAX(0,MIN(2027+1,2030+MAX(0,MIN(1,asof-2030)))-2030)+IF(AND(2030&gt;=dly_d2_y0,2030&lt;=dly_d2_y1),(1-dly_d2_bind)*((1-dly_d1_s)*MAX(0,MIN(2027+1,2030+1+0)-(MAX(2030,asof)+0))+dly_d1_s*MAX(0,MIN(2027+1,2030+1+dly_d1_m/12)-(MAX(2030,asof)+dly_d1_m/12)))+dly_d2_bind*((1-dly_d1_s)*MAX(0,MIN(2027+1,2030+1+dly_d2_m/12)-(MAX(2030,asof)+dly_d2_m/12))+dly_d1_s*MAX(0,MIN(2027+1,2030+1+(dly_d1_m+dly_d2_m)/12)-(MAX(2030,asof)+(dly_d1_m+dly_d2_m)/12))),((1-dly_d1_s)*MAX(0,MIN(2027+1,2030+1+0)-(MAX(2030,asof)+0))+dly_d1_s*MAX(0,MIN(2027+1,2030+1+dly_d1_m/12)-(MAX(2030,asof)+dly_d1_m/12))))</f>
        <v>0</v>
      </c>
      <c r="L136" s="29" t="n">
        <f aca="false">MAX(0,MIN(2027+1,2031+MAX(0,MIN(1,asof-2031)))-2031)+IF(AND(2031&gt;=dly_d2_y0,2031&lt;=dly_d2_y1),(1-dly_d2_bind)*((1-dly_d1_s)*MAX(0,MIN(2027+1,2031+1+0)-(MAX(2031,asof)+0))+dly_d1_s*MAX(0,MIN(2027+1,2031+1+dly_d1_m/12)-(MAX(2031,asof)+dly_d1_m/12)))+dly_d2_bind*((1-dly_d1_s)*MAX(0,MIN(2027+1,2031+1+dly_d2_m/12)-(MAX(2031,asof)+dly_d2_m/12))+dly_d1_s*MAX(0,MIN(2027+1,2031+1+(dly_d1_m+dly_d2_m)/12)-(MAX(2031,asof)+(dly_d1_m+dly_d2_m)/12))),((1-dly_d1_s)*MAX(0,MIN(2027+1,2031+1+0)-(MAX(2031,asof)+0))+dly_d1_s*MAX(0,MIN(2027+1,2031+1+dly_d1_m/12)-(MAX(2031,asof)+dly_d1_m/12))))</f>
        <v>0</v>
      </c>
      <c r="M136" s="29" t="n">
        <f aca="false">MAX(0,MIN(2027+1,2032+MAX(0,MIN(1,asof-2032)))-2032)+IF(AND(2032&gt;=dly_d2_y0,2032&lt;=dly_d2_y1),(1-dly_d2_bind)*((1-dly_d1_s)*MAX(0,MIN(2027+1,2032+1+0)-(MAX(2032,asof)+0))+dly_d1_s*MAX(0,MIN(2027+1,2032+1+dly_d1_m/12)-(MAX(2032,asof)+dly_d1_m/12)))+dly_d2_bind*((1-dly_d1_s)*MAX(0,MIN(2027+1,2032+1+dly_d2_m/12)-(MAX(2032,asof)+dly_d2_m/12))+dly_d1_s*MAX(0,MIN(2027+1,2032+1+(dly_d1_m+dly_d2_m)/12)-(MAX(2032,asof)+(dly_d1_m+dly_d2_m)/12))),((1-dly_d1_s)*MAX(0,MIN(2027+1,2032+1+0)-(MAX(2032,asof)+0))+dly_d1_s*MAX(0,MIN(2027+1,2032+1+dly_d1_m/12)-(MAX(2032,asof)+dly_d1_m/12))))</f>
        <v>0</v>
      </c>
    </row>
    <row r="137" customFormat="false" ht="17.15" hidden="false" customHeight="false" outlineLevel="0" collapsed="false">
      <c r="A137" s="0" t="s">
        <v>1253</v>
      </c>
      <c r="B137" s="0" t="n">
        <v>2028</v>
      </c>
      <c r="E137" s="29" t="n">
        <f aca="false">MAX(0,MIN(2028+1,2024+MAX(0,MIN(1,asof-2024)))-2024)+IF(AND(2024&gt;=dly_d2_y0,2024&lt;=dly_d2_y1),(1-dly_d2_bind)*((1-dly_d1_s)*MAX(0,MIN(2028+1,2024+1+0)-(MAX(2024,asof)+0))+dly_d1_s*MAX(0,MIN(2028+1,2024+1+dly_d1_m/12)-(MAX(2024,asof)+dly_d1_m/12)))+dly_d2_bind*((1-dly_d1_s)*MAX(0,MIN(2028+1,2024+1+dly_d2_m/12)-(MAX(2024,asof)+dly_d2_m/12))+dly_d1_s*MAX(0,MIN(2028+1,2024+1+(dly_d1_m+dly_d2_m)/12)-(MAX(2024,asof)+(dly_d1_m+dly_d2_m)/12))),((1-dly_d1_s)*MAX(0,MIN(2028+1,2024+1+0)-(MAX(2024,asof)+0))+dly_d1_s*MAX(0,MIN(2028+1,2024+1+dly_d1_m/12)-(MAX(2024,asof)+dly_d1_m/12))))</f>
        <v>1</v>
      </c>
      <c r="F137" s="29" t="n">
        <f aca="false">MAX(0,MIN(2028+1,2025+MAX(0,MIN(1,asof-2025)))-2025)+IF(AND(2025&gt;=dly_d2_y0,2025&lt;=dly_d2_y1),(1-dly_d2_bind)*((1-dly_d1_s)*MAX(0,MIN(2028+1,2025+1+0)-(MAX(2025,asof)+0))+dly_d1_s*MAX(0,MIN(2028+1,2025+1+dly_d1_m/12)-(MAX(2025,asof)+dly_d1_m/12)))+dly_d2_bind*((1-dly_d1_s)*MAX(0,MIN(2028+1,2025+1+dly_d2_m/12)-(MAX(2025,asof)+dly_d2_m/12))+dly_d1_s*MAX(0,MIN(2028+1,2025+1+(dly_d1_m+dly_d2_m)/12)-(MAX(2025,asof)+(dly_d1_m+dly_d2_m)/12))),((1-dly_d1_s)*MAX(0,MIN(2028+1,2025+1+0)-(MAX(2025,asof)+0))+dly_d1_s*MAX(0,MIN(2028+1,2025+1+dly_d1_m/12)-(MAX(2025,asof)+dly_d1_m/12))))</f>
        <v>1</v>
      </c>
      <c r="G137" s="29" t="n">
        <f aca="false">MAX(0,MIN(2028+1,2026+MAX(0,MIN(1,asof-2026)))-2026)+IF(AND(2026&gt;=dly_d2_y0,2026&lt;=dly_d2_y1),(1-dly_d2_bind)*((1-dly_d1_s)*MAX(0,MIN(2028+1,2026+1+0)-(MAX(2026,asof)+0))+dly_d1_s*MAX(0,MIN(2028+1,2026+1+dly_d1_m/12)-(MAX(2026,asof)+dly_d1_m/12)))+dly_d2_bind*((1-dly_d1_s)*MAX(0,MIN(2028+1,2026+1+dly_d2_m/12)-(MAX(2026,asof)+dly_d2_m/12))+dly_d1_s*MAX(0,MIN(2028+1,2026+1+(dly_d1_m+dly_d2_m)/12)-(MAX(2026,asof)+(dly_d1_m+dly_d2_m)/12))),((1-dly_d1_s)*MAX(0,MIN(2028+1,2026+1+0)-(MAX(2026,asof)+0))+dly_d1_s*MAX(0,MIN(2028+1,2026+1+dly_d1_m/12)-(MAX(2026,asof)+dly_d1_m/12))))</f>
        <v>1</v>
      </c>
      <c r="H137" s="29" t="n">
        <f aca="false">MAX(0,MIN(2028+1,2027+MAX(0,MIN(1,asof-2027)))-2027)+IF(AND(2027&gt;=dly_d2_y0,2027&lt;=dly_d2_y1),(1-dly_d2_bind)*((1-dly_d1_s)*MAX(0,MIN(2028+1,2027+1+0)-(MAX(2027,asof)+0))+dly_d1_s*MAX(0,MIN(2028+1,2027+1+dly_d1_m/12)-(MAX(2027,asof)+dly_d1_m/12)))+dly_d2_bind*((1-dly_d1_s)*MAX(0,MIN(2028+1,2027+1+dly_d2_m/12)-(MAX(2027,asof)+dly_d2_m/12))+dly_d1_s*MAX(0,MIN(2028+1,2027+1+(dly_d1_m+dly_d2_m)/12)-(MAX(2027,asof)+(dly_d1_m+dly_d2_m)/12))),((1-dly_d1_s)*MAX(0,MIN(2028+1,2027+1+0)-(MAX(2027,asof)+0))+dly_d1_s*MAX(0,MIN(2028+1,2027+1+dly_d1_m/12)-(MAX(2027,asof)+dly_d1_m/12))))</f>
        <v>0.93</v>
      </c>
      <c r="I137" s="29" t="n">
        <f aca="false">MAX(0,MIN(2028+1,2028+MAX(0,MIN(1,asof-2028)))-2028)+IF(AND(2028&gt;=dly_d2_y0,2028&lt;=dly_d2_y1),(1-dly_d2_bind)*((1-dly_d1_s)*MAX(0,MIN(2028+1,2028+1+0)-(MAX(2028,asof)+0))+dly_d1_s*MAX(0,MIN(2028+1,2028+1+dly_d1_m/12)-(MAX(2028,asof)+dly_d1_m/12)))+dly_d2_bind*((1-dly_d1_s)*MAX(0,MIN(2028+1,2028+1+dly_d2_m/12)-(MAX(2028,asof)+dly_d2_m/12))+dly_d1_s*MAX(0,MIN(2028+1,2028+1+(dly_d1_m+dly_d2_m)/12)-(MAX(2028,asof)+(dly_d1_m+dly_d2_m)/12))),((1-dly_d1_s)*MAX(0,MIN(2028+1,2028+1+0)-(MAX(2028,asof)+0))+dly_d1_s*MAX(0,MIN(2028+1,2028+1+dly_d1_m/12)-(MAX(2028,asof)+dly_d1_m/12))))</f>
        <v>0.495</v>
      </c>
      <c r="J137" s="29" t="n">
        <f aca="false">MAX(0,MIN(2028+1,2029+MAX(0,MIN(1,asof-2029)))-2029)+IF(AND(2029&gt;=dly_d2_y0,2029&lt;=dly_d2_y1),(1-dly_d2_bind)*((1-dly_d1_s)*MAX(0,MIN(2028+1,2029+1+0)-(MAX(2029,asof)+0))+dly_d1_s*MAX(0,MIN(2028+1,2029+1+dly_d1_m/12)-(MAX(2029,asof)+dly_d1_m/12)))+dly_d2_bind*((1-dly_d1_s)*MAX(0,MIN(2028+1,2029+1+dly_d2_m/12)-(MAX(2029,asof)+dly_d2_m/12))+dly_d1_s*MAX(0,MIN(2028+1,2029+1+(dly_d1_m+dly_d2_m)/12)-(MAX(2029,asof)+(dly_d1_m+dly_d2_m)/12))),((1-dly_d1_s)*MAX(0,MIN(2028+1,2029+1+0)-(MAX(2029,asof)+0))+dly_d1_s*MAX(0,MIN(2028+1,2029+1+dly_d1_m/12)-(MAX(2029,asof)+dly_d1_m/12))))</f>
        <v>0</v>
      </c>
      <c r="K137" s="29" t="n">
        <f aca="false">MAX(0,MIN(2028+1,2030+MAX(0,MIN(1,asof-2030)))-2030)+IF(AND(2030&gt;=dly_d2_y0,2030&lt;=dly_d2_y1),(1-dly_d2_bind)*((1-dly_d1_s)*MAX(0,MIN(2028+1,2030+1+0)-(MAX(2030,asof)+0))+dly_d1_s*MAX(0,MIN(2028+1,2030+1+dly_d1_m/12)-(MAX(2030,asof)+dly_d1_m/12)))+dly_d2_bind*((1-dly_d1_s)*MAX(0,MIN(2028+1,2030+1+dly_d2_m/12)-(MAX(2030,asof)+dly_d2_m/12))+dly_d1_s*MAX(0,MIN(2028+1,2030+1+(dly_d1_m+dly_d2_m)/12)-(MAX(2030,asof)+(dly_d1_m+dly_d2_m)/12))),((1-dly_d1_s)*MAX(0,MIN(2028+1,2030+1+0)-(MAX(2030,asof)+0))+dly_d1_s*MAX(0,MIN(2028+1,2030+1+dly_d1_m/12)-(MAX(2030,asof)+dly_d1_m/12))))</f>
        <v>0</v>
      </c>
      <c r="L137" s="29" t="n">
        <f aca="false">MAX(0,MIN(2028+1,2031+MAX(0,MIN(1,asof-2031)))-2031)+IF(AND(2031&gt;=dly_d2_y0,2031&lt;=dly_d2_y1),(1-dly_d2_bind)*((1-dly_d1_s)*MAX(0,MIN(2028+1,2031+1+0)-(MAX(2031,asof)+0))+dly_d1_s*MAX(0,MIN(2028+1,2031+1+dly_d1_m/12)-(MAX(2031,asof)+dly_d1_m/12)))+dly_d2_bind*((1-dly_d1_s)*MAX(0,MIN(2028+1,2031+1+dly_d2_m/12)-(MAX(2031,asof)+dly_d2_m/12))+dly_d1_s*MAX(0,MIN(2028+1,2031+1+(dly_d1_m+dly_d2_m)/12)-(MAX(2031,asof)+(dly_d1_m+dly_d2_m)/12))),((1-dly_d1_s)*MAX(0,MIN(2028+1,2031+1+0)-(MAX(2031,asof)+0))+dly_d1_s*MAX(0,MIN(2028+1,2031+1+dly_d1_m/12)-(MAX(2031,asof)+dly_d1_m/12))))</f>
        <v>0</v>
      </c>
      <c r="M137" s="29" t="n">
        <f aca="false">MAX(0,MIN(2028+1,2032+MAX(0,MIN(1,asof-2032)))-2032)+IF(AND(2032&gt;=dly_d2_y0,2032&lt;=dly_d2_y1),(1-dly_d2_bind)*((1-dly_d1_s)*MAX(0,MIN(2028+1,2032+1+0)-(MAX(2032,asof)+0))+dly_d1_s*MAX(0,MIN(2028+1,2032+1+dly_d1_m/12)-(MAX(2032,asof)+dly_d1_m/12)))+dly_d2_bind*((1-dly_d1_s)*MAX(0,MIN(2028+1,2032+1+dly_d2_m/12)-(MAX(2032,asof)+dly_d2_m/12))+dly_d1_s*MAX(0,MIN(2028+1,2032+1+(dly_d1_m+dly_d2_m)/12)-(MAX(2032,asof)+(dly_d1_m+dly_d2_m)/12))),((1-dly_d1_s)*MAX(0,MIN(2028+1,2032+1+0)-(MAX(2032,asof)+0))+dly_d1_s*MAX(0,MIN(2028+1,2032+1+dly_d1_m/12)-(MAX(2032,asof)+dly_d1_m/12))))</f>
        <v>0</v>
      </c>
    </row>
    <row r="138" customFormat="false" ht="17.15" hidden="false" customHeight="false" outlineLevel="0" collapsed="false">
      <c r="A138" s="0" t="s">
        <v>1254</v>
      </c>
      <c r="B138" s="0" t="n">
        <v>2029</v>
      </c>
      <c r="E138" s="29" t="n">
        <f aca="false">MAX(0,MIN(2029+1,2024+MAX(0,MIN(1,asof-2024)))-2024)+IF(AND(2024&gt;=dly_d2_y0,2024&lt;=dly_d2_y1),(1-dly_d2_bind)*((1-dly_d1_s)*MAX(0,MIN(2029+1,2024+1+0)-(MAX(2024,asof)+0))+dly_d1_s*MAX(0,MIN(2029+1,2024+1+dly_d1_m/12)-(MAX(2024,asof)+dly_d1_m/12)))+dly_d2_bind*((1-dly_d1_s)*MAX(0,MIN(2029+1,2024+1+dly_d2_m/12)-(MAX(2024,asof)+dly_d2_m/12))+dly_d1_s*MAX(0,MIN(2029+1,2024+1+(dly_d1_m+dly_d2_m)/12)-(MAX(2024,asof)+(dly_d1_m+dly_d2_m)/12))),((1-dly_d1_s)*MAX(0,MIN(2029+1,2024+1+0)-(MAX(2024,asof)+0))+dly_d1_s*MAX(0,MIN(2029+1,2024+1+dly_d1_m/12)-(MAX(2024,asof)+dly_d1_m/12))))</f>
        <v>1</v>
      </c>
      <c r="F138" s="29" t="n">
        <f aca="false">MAX(0,MIN(2029+1,2025+MAX(0,MIN(1,asof-2025)))-2025)+IF(AND(2025&gt;=dly_d2_y0,2025&lt;=dly_d2_y1),(1-dly_d2_bind)*((1-dly_d1_s)*MAX(0,MIN(2029+1,2025+1+0)-(MAX(2025,asof)+0))+dly_d1_s*MAX(0,MIN(2029+1,2025+1+dly_d1_m/12)-(MAX(2025,asof)+dly_d1_m/12)))+dly_d2_bind*((1-dly_d1_s)*MAX(0,MIN(2029+1,2025+1+dly_d2_m/12)-(MAX(2025,asof)+dly_d2_m/12))+dly_d1_s*MAX(0,MIN(2029+1,2025+1+(dly_d1_m+dly_d2_m)/12)-(MAX(2025,asof)+(dly_d1_m+dly_d2_m)/12))),((1-dly_d1_s)*MAX(0,MIN(2029+1,2025+1+0)-(MAX(2025,asof)+0))+dly_d1_s*MAX(0,MIN(2029+1,2025+1+dly_d1_m/12)-(MAX(2025,asof)+dly_d1_m/12))))</f>
        <v>1</v>
      </c>
      <c r="G138" s="29" t="n">
        <f aca="false">MAX(0,MIN(2029+1,2026+MAX(0,MIN(1,asof-2026)))-2026)+IF(AND(2026&gt;=dly_d2_y0,2026&lt;=dly_d2_y1),(1-dly_d2_bind)*((1-dly_d1_s)*MAX(0,MIN(2029+1,2026+1+0)-(MAX(2026,asof)+0))+dly_d1_s*MAX(0,MIN(2029+1,2026+1+dly_d1_m/12)-(MAX(2026,asof)+dly_d1_m/12)))+dly_d2_bind*((1-dly_d1_s)*MAX(0,MIN(2029+1,2026+1+dly_d2_m/12)-(MAX(2026,asof)+dly_d2_m/12))+dly_d1_s*MAX(0,MIN(2029+1,2026+1+(dly_d1_m+dly_d2_m)/12)-(MAX(2026,asof)+(dly_d1_m+dly_d2_m)/12))),((1-dly_d1_s)*MAX(0,MIN(2029+1,2026+1+0)-(MAX(2026,asof)+0))+dly_d1_s*MAX(0,MIN(2029+1,2026+1+dly_d1_m/12)-(MAX(2026,asof)+dly_d1_m/12))))</f>
        <v>1</v>
      </c>
      <c r="H138" s="29" t="n">
        <f aca="false">MAX(0,MIN(2029+1,2027+MAX(0,MIN(1,asof-2027)))-2027)+IF(AND(2027&gt;=dly_d2_y0,2027&lt;=dly_d2_y1),(1-dly_d2_bind)*((1-dly_d1_s)*MAX(0,MIN(2029+1,2027+1+0)-(MAX(2027,asof)+0))+dly_d1_s*MAX(0,MIN(2029+1,2027+1+dly_d1_m/12)-(MAX(2027,asof)+dly_d1_m/12)))+dly_d2_bind*((1-dly_d1_s)*MAX(0,MIN(2029+1,2027+1+dly_d2_m/12)-(MAX(2027,asof)+dly_d2_m/12))+dly_d1_s*MAX(0,MIN(2029+1,2027+1+(dly_d1_m+dly_d2_m)/12)-(MAX(2027,asof)+(dly_d1_m+dly_d2_m)/12))),((1-dly_d1_s)*MAX(0,MIN(2029+1,2027+1+0)-(MAX(2027,asof)+0))+dly_d1_s*MAX(0,MIN(2029+1,2027+1+dly_d1_m/12)-(MAX(2027,asof)+dly_d1_m/12))))</f>
        <v>1</v>
      </c>
      <c r="I138" s="29" t="n">
        <f aca="false">MAX(0,MIN(2029+1,2028+MAX(0,MIN(1,asof-2028)))-2028)+IF(AND(2028&gt;=dly_d2_y0,2028&lt;=dly_d2_y1),(1-dly_d2_bind)*((1-dly_d1_s)*MAX(0,MIN(2029+1,2028+1+0)-(MAX(2028,asof)+0))+dly_d1_s*MAX(0,MIN(2029+1,2028+1+dly_d1_m/12)-(MAX(2028,asof)+dly_d1_m/12)))+dly_d2_bind*((1-dly_d1_s)*MAX(0,MIN(2029+1,2028+1+dly_d2_m/12)-(MAX(2028,asof)+dly_d2_m/12))+dly_d1_s*MAX(0,MIN(2029+1,2028+1+(dly_d1_m+dly_d2_m)/12)-(MAX(2028,asof)+(dly_d1_m+dly_d2_m)/12))),((1-dly_d1_s)*MAX(0,MIN(2029+1,2028+1+0)-(MAX(2028,asof)+0))+dly_d1_s*MAX(0,MIN(2029+1,2028+1+dly_d1_m/12)-(MAX(2028,asof)+dly_d1_m/12))))</f>
        <v>0.93</v>
      </c>
      <c r="J138" s="29" t="n">
        <f aca="false">MAX(0,MIN(2029+1,2029+MAX(0,MIN(1,asof-2029)))-2029)+IF(AND(2029&gt;=dly_d2_y0,2029&lt;=dly_d2_y1),(1-dly_d2_bind)*((1-dly_d1_s)*MAX(0,MIN(2029+1,2029+1+0)-(MAX(2029,asof)+0))+dly_d1_s*MAX(0,MIN(2029+1,2029+1+dly_d1_m/12)-(MAX(2029,asof)+dly_d1_m/12)))+dly_d2_bind*((1-dly_d1_s)*MAX(0,MIN(2029+1,2029+1+dly_d2_m/12)-(MAX(2029,asof)+dly_d2_m/12))+dly_d1_s*MAX(0,MIN(2029+1,2029+1+(dly_d1_m+dly_d2_m)/12)-(MAX(2029,asof)+(dly_d1_m+dly_d2_m)/12))),((1-dly_d1_s)*MAX(0,MIN(2029+1,2029+1+0)-(MAX(2029,asof)+0))+dly_d1_s*MAX(0,MIN(2029+1,2029+1+dly_d1_m/12)-(MAX(2029,asof)+dly_d1_m/12))))</f>
        <v>0.825</v>
      </c>
      <c r="K138" s="29" t="n">
        <f aca="false">MAX(0,MIN(2029+1,2030+MAX(0,MIN(1,asof-2030)))-2030)+IF(AND(2030&gt;=dly_d2_y0,2030&lt;=dly_d2_y1),(1-dly_d2_bind)*((1-dly_d1_s)*MAX(0,MIN(2029+1,2030+1+0)-(MAX(2030,asof)+0))+dly_d1_s*MAX(0,MIN(2029+1,2030+1+dly_d1_m/12)-(MAX(2030,asof)+dly_d1_m/12)))+dly_d2_bind*((1-dly_d1_s)*MAX(0,MIN(2029+1,2030+1+dly_d2_m/12)-(MAX(2030,asof)+dly_d2_m/12))+dly_d1_s*MAX(0,MIN(2029+1,2030+1+(dly_d1_m+dly_d2_m)/12)-(MAX(2030,asof)+(dly_d1_m+dly_d2_m)/12))),((1-dly_d1_s)*MAX(0,MIN(2029+1,2030+1+0)-(MAX(2030,asof)+0))+dly_d1_s*MAX(0,MIN(2029+1,2030+1+dly_d1_m/12)-(MAX(2030,asof)+dly_d1_m/12))))</f>
        <v>0</v>
      </c>
      <c r="L138" s="29" t="n">
        <f aca="false">MAX(0,MIN(2029+1,2031+MAX(0,MIN(1,asof-2031)))-2031)+IF(AND(2031&gt;=dly_d2_y0,2031&lt;=dly_d2_y1),(1-dly_d2_bind)*((1-dly_d1_s)*MAX(0,MIN(2029+1,2031+1+0)-(MAX(2031,asof)+0))+dly_d1_s*MAX(0,MIN(2029+1,2031+1+dly_d1_m/12)-(MAX(2031,asof)+dly_d1_m/12)))+dly_d2_bind*((1-dly_d1_s)*MAX(0,MIN(2029+1,2031+1+dly_d2_m/12)-(MAX(2031,asof)+dly_d2_m/12))+dly_d1_s*MAX(0,MIN(2029+1,2031+1+(dly_d1_m+dly_d2_m)/12)-(MAX(2031,asof)+(dly_d1_m+dly_d2_m)/12))),((1-dly_d1_s)*MAX(0,MIN(2029+1,2031+1+0)-(MAX(2031,asof)+0))+dly_d1_s*MAX(0,MIN(2029+1,2031+1+dly_d1_m/12)-(MAX(2031,asof)+dly_d1_m/12))))</f>
        <v>0</v>
      </c>
      <c r="M138" s="29" t="n">
        <f aca="false">MAX(0,MIN(2029+1,2032+MAX(0,MIN(1,asof-2032)))-2032)+IF(AND(2032&gt;=dly_d2_y0,2032&lt;=dly_d2_y1),(1-dly_d2_bind)*((1-dly_d1_s)*MAX(0,MIN(2029+1,2032+1+0)-(MAX(2032,asof)+0))+dly_d1_s*MAX(0,MIN(2029+1,2032+1+dly_d1_m/12)-(MAX(2032,asof)+dly_d1_m/12)))+dly_d2_bind*((1-dly_d1_s)*MAX(0,MIN(2029+1,2032+1+dly_d2_m/12)-(MAX(2032,asof)+dly_d2_m/12))+dly_d1_s*MAX(0,MIN(2029+1,2032+1+(dly_d1_m+dly_d2_m)/12)-(MAX(2032,asof)+(dly_d1_m+dly_d2_m)/12))),((1-dly_d1_s)*MAX(0,MIN(2029+1,2032+1+0)-(MAX(2032,asof)+0))+dly_d1_s*MAX(0,MIN(2029+1,2032+1+dly_d1_m/12)-(MAX(2032,asof)+dly_d1_m/12))))</f>
        <v>0</v>
      </c>
    </row>
    <row r="139" customFormat="false" ht="17.15" hidden="false" customHeight="false" outlineLevel="0" collapsed="false">
      <c r="A139" s="0" t="s">
        <v>1255</v>
      </c>
      <c r="B139" s="0" t="n">
        <v>2030</v>
      </c>
      <c r="E139" s="29" t="n">
        <f aca="false">MAX(0,MIN(2030+1,2024+MAX(0,MIN(1,asof-2024)))-2024)+IF(AND(2024&gt;=dly_d2_y0,2024&lt;=dly_d2_y1),(1-dly_d2_bind)*((1-dly_d1_s)*MAX(0,MIN(2030+1,2024+1+0)-(MAX(2024,asof)+0))+dly_d1_s*MAX(0,MIN(2030+1,2024+1+dly_d1_m/12)-(MAX(2024,asof)+dly_d1_m/12)))+dly_d2_bind*((1-dly_d1_s)*MAX(0,MIN(2030+1,2024+1+dly_d2_m/12)-(MAX(2024,asof)+dly_d2_m/12))+dly_d1_s*MAX(0,MIN(2030+1,2024+1+(dly_d1_m+dly_d2_m)/12)-(MAX(2024,asof)+(dly_d1_m+dly_d2_m)/12))),((1-dly_d1_s)*MAX(0,MIN(2030+1,2024+1+0)-(MAX(2024,asof)+0))+dly_d1_s*MAX(0,MIN(2030+1,2024+1+dly_d1_m/12)-(MAX(2024,asof)+dly_d1_m/12))))</f>
        <v>1</v>
      </c>
      <c r="F139" s="29" t="n">
        <f aca="false">MAX(0,MIN(2030+1,2025+MAX(0,MIN(1,asof-2025)))-2025)+IF(AND(2025&gt;=dly_d2_y0,2025&lt;=dly_d2_y1),(1-dly_d2_bind)*((1-dly_d1_s)*MAX(0,MIN(2030+1,2025+1+0)-(MAX(2025,asof)+0))+dly_d1_s*MAX(0,MIN(2030+1,2025+1+dly_d1_m/12)-(MAX(2025,asof)+dly_d1_m/12)))+dly_d2_bind*((1-dly_d1_s)*MAX(0,MIN(2030+1,2025+1+dly_d2_m/12)-(MAX(2025,asof)+dly_d2_m/12))+dly_d1_s*MAX(0,MIN(2030+1,2025+1+(dly_d1_m+dly_d2_m)/12)-(MAX(2025,asof)+(dly_d1_m+dly_d2_m)/12))),((1-dly_d1_s)*MAX(0,MIN(2030+1,2025+1+0)-(MAX(2025,asof)+0))+dly_d1_s*MAX(0,MIN(2030+1,2025+1+dly_d1_m/12)-(MAX(2025,asof)+dly_d1_m/12))))</f>
        <v>1</v>
      </c>
      <c r="G139" s="29" t="n">
        <f aca="false">MAX(0,MIN(2030+1,2026+MAX(0,MIN(1,asof-2026)))-2026)+IF(AND(2026&gt;=dly_d2_y0,2026&lt;=dly_d2_y1),(1-dly_d2_bind)*((1-dly_d1_s)*MAX(0,MIN(2030+1,2026+1+0)-(MAX(2026,asof)+0))+dly_d1_s*MAX(0,MIN(2030+1,2026+1+dly_d1_m/12)-(MAX(2026,asof)+dly_d1_m/12)))+dly_d2_bind*((1-dly_d1_s)*MAX(0,MIN(2030+1,2026+1+dly_d2_m/12)-(MAX(2026,asof)+dly_d2_m/12))+dly_d1_s*MAX(0,MIN(2030+1,2026+1+(dly_d1_m+dly_d2_m)/12)-(MAX(2026,asof)+(dly_d1_m+dly_d2_m)/12))),((1-dly_d1_s)*MAX(0,MIN(2030+1,2026+1+0)-(MAX(2026,asof)+0))+dly_d1_s*MAX(0,MIN(2030+1,2026+1+dly_d1_m/12)-(MAX(2026,asof)+dly_d1_m/12))))</f>
        <v>1</v>
      </c>
      <c r="H139" s="29" t="n">
        <f aca="false">MAX(0,MIN(2030+1,2027+MAX(0,MIN(1,asof-2027)))-2027)+IF(AND(2027&gt;=dly_d2_y0,2027&lt;=dly_d2_y1),(1-dly_d2_bind)*((1-dly_d1_s)*MAX(0,MIN(2030+1,2027+1+0)-(MAX(2027,asof)+0))+dly_d1_s*MAX(0,MIN(2030+1,2027+1+dly_d1_m/12)-(MAX(2027,asof)+dly_d1_m/12)))+dly_d2_bind*((1-dly_d1_s)*MAX(0,MIN(2030+1,2027+1+dly_d2_m/12)-(MAX(2027,asof)+dly_d2_m/12))+dly_d1_s*MAX(0,MIN(2030+1,2027+1+(dly_d1_m+dly_d2_m)/12)-(MAX(2027,asof)+(dly_d1_m+dly_d2_m)/12))),((1-dly_d1_s)*MAX(0,MIN(2030+1,2027+1+0)-(MAX(2027,asof)+0))+dly_d1_s*MAX(0,MIN(2030+1,2027+1+dly_d1_m/12)-(MAX(2027,asof)+dly_d1_m/12))))</f>
        <v>1</v>
      </c>
      <c r="I139" s="29" t="n">
        <f aca="false">MAX(0,MIN(2030+1,2028+MAX(0,MIN(1,asof-2028)))-2028)+IF(AND(2028&gt;=dly_d2_y0,2028&lt;=dly_d2_y1),(1-dly_d2_bind)*((1-dly_d1_s)*MAX(0,MIN(2030+1,2028+1+0)-(MAX(2028,asof)+0))+dly_d1_s*MAX(0,MIN(2030+1,2028+1+dly_d1_m/12)-(MAX(2028,asof)+dly_d1_m/12)))+dly_d2_bind*((1-dly_d1_s)*MAX(0,MIN(2030+1,2028+1+dly_d2_m/12)-(MAX(2028,asof)+dly_d2_m/12))+dly_d1_s*MAX(0,MIN(2030+1,2028+1+(dly_d1_m+dly_d2_m)/12)-(MAX(2028,asof)+(dly_d1_m+dly_d2_m)/12))),((1-dly_d1_s)*MAX(0,MIN(2030+1,2028+1+0)-(MAX(2028,asof)+0))+dly_d1_s*MAX(0,MIN(2030+1,2028+1+dly_d1_m/12)-(MAX(2028,asof)+dly_d1_m/12))))</f>
        <v>1</v>
      </c>
      <c r="J139" s="29" t="n">
        <f aca="false">MAX(0,MIN(2030+1,2029+MAX(0,MIN(1,asof-2029)))-2029)+IF(AND(2029&gt;=dly_d2_y0,2029&lt;=dly_d2_y1),(1-dly_d2_bind)*((1-dly_d1_s)*MAX(0,MIN(2030+1,2029+1+0)-(MAX(2029,asof)+0))+dly_d1_s*MAX(0,MIN(2030+1,2029+1+dly_d1_m/12)-(MAX(2029,asof)+dly_d1_m/12)))+dly_d2_bind*((1-dly_d1_s)*MAX(0,MIN(2030+1,2029+1+dly_d2_m/12)-(MAX(2029,asof)+dly_d2_m/12))+dly_d1_s*MAX(0,MIN(2030+1,2029+1+(dly_d1_m+dly_d2_m)/12)-(MAX(2029,asof)+(dly_d1_m+dly_d2_m)/12))),((1-dly_d1_s)*MAX(0,MIN(2030+1,2029+1+0)-(MAX(2029,asof)+0))+dly_d1_s*MAX(0,MIN(2030+1,2029+1+dly_d1_m/12)-(MAX(2029,asof)+dly_d1_m/12))))</f>
        <v>1</v>
      </c>
      <c r="K139" s="29" t="n">
        <f aca="false">MAX(0,MIN(2030+1,2030+MAX(0,MIN(1,asof-2030)))-2030)+IF(AND(2030&gt;=dly_d2_y0,2030&lt;=dly_d2_y1),(1-dly_d2_bind)*((1-dly_d1_s)*MAX(0,MIN(2030+1,2030+1+0)-(MAX(2030,asof)+0))+dly_d1_s*MAX(0,MIN(2030+1,2030+1+dly_d1_m/12)-(MAX(2030,asof)+dly_d1_m/12)))+dly_d2_bind*((1-dly_d1_s)*MAX(0,MIN(2030+1,2030+1+dly_d2_m/12)-(MAX(2030,asof)+dly_d2_m/12))+dly_d1_s*MAX(0,MIN(2030+1,2030+1+(dly_d1_m+dly_d2_m)/12)-(MAX(2030,asof)+(dly_d1_m+dly_d2_m)/12))),((1-dly_d1_s)*MAX(0,MIN(2030+1,2030+1+0)-(MAX(2030,asof)+0))+dly_d1_s*MAX(0,MIN(2030+1,2030+1+dly_d1_m/12)-(MAX(2030,asof)+dly_d1_m/12))))</f>
        <v>0.825</v>
      </c>
      <c r="L139" s="29" t="n">
        <f aca="false">MAX(0,MIN(2030+1,2031+MAX(0,MIN(1,asof-2031)))-2031)+IF(AND(2031&gt;=dly_d2_y0,2031&lt;=dly_d2_y1),(1-dly_d2_bind)*((1-dly_d1_s)*MAX(0,MIN(2030+1,2031+1+0)-(MAX(2031,asof)+0))+dly_d1_s*MAX(0,MIN(2030+1,2031+1+dly_d1_m/12)-(MAX(2031,asof)+dly_d1_m/12)))+dly_d2_bind*((1-dly_d1_s)*MAX(0,MIN(2030+1,2031+1+dly_d2_m/12)-(MAX(2031,asof)+dly_d2_m/12))+dly_d1_s*MAX(0,MIN(2030+1,2031+1+(dly_d1_m+dly_d2_m)/12)-(MAX(2031,asof)+(dly_d1_m+dly_d2_m)/12))),((1-dly_d1_s)*MAX(0,MIN(2030+1,2031+1+0)-(MAX(2031,asof)+0))+dly_d1_s*MAX(0,MIN(2030+1,2031+1+dly_d1_m/12)-(MAX(2031,asof)+dly_d1_m/12))))</f>
        <v>0</v>
      </c>
      <c r="M139" s="29" t="n">
        <f aca="false">MAX(0,MIN(2030+1,2032+MAX(0,MIN(1,asof-2032)))-2032)+IF(AND(2032&gt;=dly_d2_y0,2032&lt;=dly_d2_y1),(1-dly_d2_bind)*((1-dly_d1_s)*MAX(0,MIN(2030+1,2032+1+0)-(MAX(2032,asof)+0))+dly_d1_s*MAX(0,MIN(2030+1,2032+1+dly_d1_m/12)-(MAX(2032,asof)+dly_d1_m/12)))+dly_d2_bind*((1-dly_d1_s)*MAX(0,MIN(2030+1,2032+1+dly_d2_m/12)-(MAX(2032,asof)+dly_d2_m/12))+dly_d1_s*MAX(0,MIN(2030+1,2032+1+(dly_d1_m+dly_d2_m)/12)-(MAX(2032,asof)+(dly_d1_m+dly_d2_m)/12))),((1-dly_d1_s)*MAX(0,MIN(2030+1,2032+1+0)-(MAX(2032,asof)+0))+dly_d1_s*MAX(0,MIN(2030+1,2032+1+dly_d1_m/12)-(MAX(2032,asof)+dly_d1_m/12))))</f>
        <v>0</v>
      </c>
    </row>
    <row r="140" customFormat="false" ht="17.15" hidden="false" customHeight="false" outlineLevel="0" collapsed="false">
      <c r="A140" s="0" t="s">
        <v>1256</v>
      </c>
      <c r="B140" s="0" t="n">
        <v>2031</v>
      </c>
      <c r="E140" s="29" t="n">
        <f aca="false">MAX(0,MIN(2031+1,2024+MAX(0,MIN(1,asof-2024)))-2024)+IF(AND(2024&gt;=dly_d2_y0,2024&lt;=dly_d2_y1),(1-dly_d2_bind)*((1-dly_d1_s)*MAX(0,MIN(2031+1,2024+1+0)-(MAX(2024,asof)+0))+dly_d1_s*MAX(0,MIN(2031+1,2024+1+dly_d1_m/12)-(MAX(2024,asof)+dly_d1_m/12)))+dly_d2_bind*((1-dly_d1_s)*MAX(0,MIN(2031+1,2024+1+dly_d2_m/12)-(MAX(2024,asof)+dly_d2_m/12))+dly_d1_s*MAX(0,MIN(2031+1,2024+1+(dly_d1_m+dly_d2_m)/12)-(MAX(2024,asof)+(dly_d1_m+dly_d2_m)/12))),((1-dly_d1_s)*MAX(0,MIN(2031+1,2024+1+0)-(MAX(2024,asof)+0))+dly_d1_s*MAX(0,MIN(2031+1,2024+1+dly_d1_m/12)-(MAX(2024,asof)+dly_d1_m/12))))</f>
        <v>1</v>
      </c>
      <c r="F140" s="29" t="n">
        <f aca="false">MAX(0,MIN(2031+1,2025+MAX(0,MIN(1,asof-2025)))-2025)+IF(AND(2025&gt;=dly_d2_y0,2025&lt;=dly_d2_y1),(1-dly_d2_bind)*((1-dly_d1_s)*MAX(0,MIN(2031+1,2025+1+0)-(MAX(2025,asof)+0))+dly_d1_s*MAX(0,MIN(2031+1,2025+1+dly_d1_m/12)-(MAX(2025,asof)+dly_d1_m/12)))+dly_d2_bind*((1-dly_d1_s)*MAX(0,MIN(2031+1,2025+1+dly_d2_m/12)-(MAX(2025,asof)+dly_d2_m/12))+dly_d1_s*MAX(0,MIN(2031+1,2025+1+(dly_d1_m+dly_d2_m)/12)-(MAX(2025,asof)+(dly_d1_m+dly_d2_m)/12))),((1-dly_d1_s)*MAX(0,MIN(2031+1,2025+1+0)-(MAX(2025,asof)+0))+dly_d1_s*MAX(0,MIN(2031+1,2025+1+dly_d1_m/12)-(MAX(2025,asof)+dly_d1_m/12))))</f>
        <v>1</v>
      </c>
      <c r="G140" s="29" t="n">
        <f aca="false">MAX(0,MIN(2031+1,2026+MAX(0,MIN(1,asof-2026)))-2026)+IF(AND(2026&gt;=dly_d2_y0,2026&lt;=dly_d2_y1),(1-dly_d2_bind)*((1-dly_d1_s)*MAX(0,MIN(2031+1,2026+1+0)-(MAX(2026,asof)+0))+dly_d1_s*MAX(0,MIN(2031+1,2026+1+dly_d1_m/12)-(MAX(2026,asof)+dly_d1_m/12)))+dly_d2_bind*((1-dly_d1_s)*MAX(0,MIN(2031+1,2026+1+dly_d2_m/12)-(MAX(2026,asof)+dly_d2_m/12))+dly_d1_s*MAX(0,MIN(2031+1,2026+1+(dly_d1_m+dly_d2_m)/12)-(MAX(2026,asof)+(dly_d1_m+dly_d2_m)/12))),((1-dly_d1_s)*MAX(0,MIN(2031+1,2026+1+0)-(MAX(2026,asof)+0))+dly_d1_s*MAX(0,MIN(2031+1,2026+1+dly_d1_m/12)-(MAX(2026,asof)+dly_d1_m/12))))</f>
        <v>1</v>
      </c>
      <c r="H140" s="29" t="n">
        <f aca="false">MAX(0,MIN(2031+1,2027+MAX(0,MIN(1,asof-2027)))-2027)+IF(AND(2027&gt;=dly_d2_y0,2027&lt;=dly_d2_y1),(1-dly_d2_bind)*((1-dly_d1_s)*MAX(0,MIN(2031+1,2027+1+0)-(MAX(2027,asof)+0))+dly_d1_s*MAX(0,MIN(2031+1,2027+1+dly_d1_m/12)-(MAX(2027,asof)+dly_d1_m/12)))+dly_d2_bind*((1-dly_d1_s)*MAX(0,MIN(2031+1,2027+1+dly_d2_m/12)-(MAX(2027,asof)+dly_d2_m/12))+dly_d1_s*MAX(0,MIN(2031+1,2027+1+(dly_d1_m+dly_d2_m)/12)-(MAX(2027,asof)+(dly_d1_m+dly_d2_m)/12))),((1-dly_d1_s)*MAX(0,MIN(2031+1,2027+1+0)-(MAX(2027,asof)+0))+dly_d1_s*MAX(0,MIN(2031+1,2027+1+dly_d1_m/12)-(MAX(2027,asof)+dly_d1_m/12))))</f>
        <v>1</v>
      </c>
      <c r="I140" s="29" t="n">
        <f aca="false">MAX(0,MIN(2031+1,2028+MAX(0,MIN(1,asof-2028)))-2028)+IF(AND(2028&gt;=dly_d2_y0,2028&lt;=dly_d2_y1),(1-dly_d2_bind)*((1-dly_d1_s)*MAX(0,MIN(2031+1,2028+1+0)-(MAX(2028,asof)+0))+dly_d1_s*MAX(0,MIN(2031+1,2028+1+dly_d1_m/12)-(MAX(2028,asof)+dly_d1_m/12)))+dly_d2_bind*((1-dly_d1_s)*MAX(0,MIN(2031+1,2028+1+dly_d2_m/12)-(MAX(2028,asof)+dly_d2_m/12))+dly_d1_s*MAX(0,MIN(2031+1,2028+1+(dly_d1_m+dly_d2_m)/12)-(MAX(2028,asof)+(dly_d1_m+dly_d2_m)/12))),((1-dly_d1_s)*MAX(0,MIN(2031+1,2028+1+0)-(MAX(2028,asof)+0))+dly_d1_s*MAX(0,MIN(2031+1,2028+1+dly_d1_m/12)-(MAX(2028,asof)+dly_d1_m/12))))</f>
        <v>1</v>
      </c>
      <c r="J140" s="29" t="n">
        <f aca="false">MAX(0,MIN(2031+1,2029+MAX(0,MIN(1,asof-2029)))-2029)+IF(AND(2029&gt;=dly_d2_y0,2029&lt;=dly_d2_y1),(1-dly_d2_bind)*((1-dly_d1_s)*MAX(0,MIN(2031+1,2029+1+0)-(MAX(2029,asof)+0))+dly_d1_s*MAX(0,MIN(2031+1,2029+1+dly_d1_m/12)-(MAX(2029,asof)+dly_d1_m/12)))+dly_d2_bind*((1-dly_d1_s)*MAX(0,MIN(2031+1,2029+1+dly_d2_m/12)-(MAX(2029,asof)+dly_d2_m/12))+dly_d1_s*MAX(0,MIN(2031+1,2029+1+(dly_d1_m+dly_d2_m)/12)-(MAX(2029,asof)+(dly_d1_m+dly_d2_m)/12))),((1-dly_d1_s)*MAX(0,MIN(2031+1,2029+1+0)-(MAX(2029,asof)+0))+dly_d1_s*MAX(0,MIN(2031+1,2029+1+dly_d1_m/12)-(MAX(2029,asof)+dly_d1_m/12))))</f>
        <v>1</v>
      </c>
      <c r="K140" s="29" t="n">
        <f aca="false">MAX(0,MIN(2031+1,2030+MAX(0,MIN(1,asof-2030)))-2030)+IF(AND(2030&gt;=dly_d2_y0,2030&lt;=dly_d2_y1),(1-dly_d2_bind)*((1-dly_d1_s)*MAX(0,MIN(2031+1,2030+1+0)-(MAX(2030,asof)+0))+dly_d1_s*MAX(0,MIN(2031+1,2030+1+dly_d1_m/12)-(MAX(2030,asof)+dly_d1_m/12)))+dly_d2_bind*((1-dly_d1_s)*MAX(0,MIN(2031+1,2030+1+dly_d2_m/12)-(MAX(2030,asof)+dly_d2_m/12))+dly_d1_s*MAX(0,MIN(2031+1,2030+1+(dly_d1_m+dly_d2_m)/12)-(MAX(2030,asof)+(dly_d1_m+dly_d2_m)/12))),((1-dly_d1_s)*MAX(0,MIN(2031+1,2030+1+0)-(MAX(2030,asof)+0))+dly_d1_s*MAX(0,MIN(2031+1,2030+1+dly_d1_m/12)-(MAX(2030,asof)+dly_d1_m/12))))</f>
        <v>1</v>
      </c>
      <c r="L140" s="29" t="n">
        <f aca="false">MAX(0,MIN(2031+1,2031+MAX(0,MIN(1,asof-2031)))-2031)+IF(AND(2031&gt;=dly_d2_y0,2031&lt;=dly_d2_y1),(1-dly_d2_bind)*((1-dly_d1_s)*MAX(0,MIN(2031+1,2031+1+0)-(MAX(2031,asof)+0))+dly_d1_s*MAX(0,MIN(2031+1,2031+1+dly_d1_m/12)-(MAX(2031,asof)+dly_d1_m/12)))+dly_d2_bind*((1-dly_d1_s)*MAX(0,MIN(2031+1,2031+1+dly_d2_m/12)-(MAX(2031,asof)+dly_d2_m/12))+dly_d1_s*MAX(0,MIN(2031+1,2031+1+(dly_d1_m+dly_d2_m)/12)-(MAX(2031,asof)+(dly_d1_m+dly_d2_m)/12))),((1-dly_d1_s)*MAX(0,MIN(2031+1,2031+1+0)-(MAX(2031,asof)+0))+dly_d1_s*MAX(0,MIN(2031+1,2031+1+dly_d1_m/12)-(MAX(2031,asof)+dly_d1_m/12))))</f>
        <v>0.825</v>
      </c>
      <c r="M140" s="29" t="n">
        <f aca="false">MAX(0,MIN(2031+1,2032+MAX(0,MIN(1,asof-2032)))-2032)+IF(AND(2032&gt;=dly_d2_y0,2032&lt;=dly_d2_y1),(1-dly_d2_bind)*((1-dly_d1_s)*MAX(0,MIN(2031+1,2032+1+0)-(MAX(2032,asof)+0))+dly_d1_s*MAX(0,MIN(2031+1,2032+1+dly_d1_m/12)-(MAX(2032,asof)+dly_d1_m/12)))+dly_d2_bind*((1-dly_d1_s)*MAX(0,MIN(2031+1,2032+1+dly_d2_m/12)-(MAX(2032,asof)+dly_d2_m/12))+dly_d1_s*MAX(0,MIN(2031+1,2032+1+(dly_d1_m+dly_d2_m)/12)-(MAX(2032,asof)+(dly_d1_m+dly_d2_m)/12))),((1-dly_d1_s)*MAX(0,MIN(2031+1,2032+1+0)-(MAX(2032,asof)+0))+dly_d1_s*MAX(0,MIN(2031+1,2032+1+dly_d1_m/12)-(MAX(2032,asof)+dly_d1_m/12))))</f>
        <v>0</v>
      </c>
    </row>
    <row r="141" customFormat="false" ht="17.15" hidden="false" customHeight="false" outlineLevel="0" collapsed="false">
      <c r="A141" s="0" t="s">
        <v>1257</v>
      </c>
      <c r="B141" s="0" t="n">
        <v>2032</v>
      </c>
      <c r="E141" s="29" t="n">
        <f aca="false">MAX(0,MIN(2032+1,2024+MAX(0,MIN(1,asof-2024)))-2024)+IF(AND(2024&gt;=dly_d2_y0,2024&lt;=dly_d2_y1),(1-dly_d2_bind)*((1-dly_d1_s)*MAX(0,MIN(2032+1,2024+1+0)-(MAX(2024,asof)+0))+dly_d1_s*MAX(0,MIN(2032+1,2024+1+dly_d1_m/12)-(MAX(2024,asof)+dly_d1_m/12)))+dly_d2_bind*((1-dly_d1_s)*MAX(0,MIN(2032+1,2024+1+dly_d2_m/12)-(MAX(2024,asof)+dly_d2_m/12))+dly_d1_s*MAX(0,MIN(2032+1,2024+1+(dly_d1_m+dly_d2_m)/12)-(MAX(2024,asof)+(dly_d1_m+dly_d2_m)/12))),((1-dly_d1_s)*MAX(0,MIN(2032+1,2024+1+0)-(MAX(2024,asof)+0))+dly_d1_s*MAX(0,MIN(2032+1,2024+1+dly_d1_m/12)-(MAX(2024,asof)+dly_d1_m/12))))</f>
        <v>1</v>
      </c>
      <c r="F141" s="29" t="n">
        <f aca="false">MAX(0,MIN(2032+1,2025+MAX(0,MIN(1,asof-2025)))-2025)+IF(AND(2025&gt;=dly_d2_y0,2025&lt;=dly_d2_y1),(1-dly_d2_bind)*((1-dly_d1_s)*MAX(0,MIN(2032+1,2025+1+0)-(MAX(2025,asof)+0))+dly_d1_s*MAX(0,MIN(2032+1,2025+1+dly_d1_m/12)-(MAX(2025,asof)+dly_d1_m/12)))+dly_d2_bind*((1-dly_d1_s)*MAX(0,MIN(2032+1,2025+1+dly_d2_m/12)-(MAX(2025,asof)+dly_d2_m/12))+dly_d1_s*MAX(0,MIN(2032+1,2025+1+(dly_d1_m+dly_d2_m)/12)-(MAX(2025,asof)+(dly_d1_m+dly_d2_m)/12))),((1-dly_d1_s)*MAX(0,MIN(2032+1,2025+1+0)-(MAX(2025,asof)+0))+dly_d1_s*MAX(0,MIN(2032+1,2025+1+dly_d1_m/12)-(MAX(2025,asof)+dly_d1_m/12))))</f>
        <v>1</v>
      </c>
      <c r="G141" s="29" t="n">
        <f aca="false">MAX(0,MIN(2032+1,2026+MAX(0,MIN(1,asof-2026)))-2026)+IF(AND(2026&gt;=dly_d2_y0,2026&lt;=dly_d2_y1),(1-dly_d2_bind)*((1-dly_d1_s)*MAX(0,MIN(2032+1,2026+1+0)-(MAX(2026,asof)+0))+dly_d1_s*MAX(0,MIN(2032+1,2026+1+dly_d1_m/12)-(MAX(2026,asof)+dly_d1_m/12)))+dly_d2_bind*((1-dly_d1_s)*MAX(0,MIN(2032+1,2026+1+dly_d2_m/12)-(MAX(2026,asof)+dly_d2_m/12))+dly_d1_s*MAX(0,MIN(2032+1,2026+1+(dly_d1_m+dly_d2_m)/12)-(MAX(2026,asof)+(dly_d1_m+dly_d2_m)/12))),((1-dly_d1_s)*MAX(0,MIN(2032+1,2026+1+0)-(MAX(2026,asof)+0))+dly_d1_s*MAX(0,MIN(2032+1,2026+1+dly_d1_m/12)-(MAX(2026,asof)+dly_d1_m/12))))</f>
        <v>1</v>
      </c>
      <c r="H141" s="29" t="n">
        <f aca="false">MAX(0,MIN(2032+1,2027+MAX(0,MIN(1,asof-2027)))-2027)+IF(AND(2027&gt;=dly_d2_y0,2027&lt;=dly_d2_y1),(1-dly_d2_bind)*((1-dly_d1_s)*MAX(0,MIN(2032+1,2027+1+0)-(MAX(2027,asof)+0))+dly_d1_s*MAX(0,MIN(2032+1,2027+1+dly_d1_m/12)-(MAX(2027,asof)+dly_d1_m/12)))+dly_d2_bind*((1-dly_d1_s)*MAX(0,MIN(2032+1,2027+1+dly_d2_m/12)-(MAX(2027,asof)+dly_d2_m/12))+dly_d1_s*MAX(0,MIN(2032+1,2027+1+(dly_d1_m+dly_d2_m)/12)-(MAX(2027,asof)+(dly_d1_m+dly_d2_m)/12))),((1-dly_d1_s)*MAX(0,MIN(2032+1,2027+1+0)-(MAX(2027,asof)+0))+dly_d1_s*MAX(0,MIN(2032+1,2027+1+dly_d1_m/12)-(MAX(2027,asof)+dly_d1_m/12))))</f>
        <v>1</v>
      </c>
      <c r="I141" s="29" t="n">
        <f aca="false">MAX(0,MIN(2032+1,2028+MAX(0,MIN(1,asof-2028)))-2028)+IF(AND(2028&gt;=dly_d2_y0,2028&lt;=dly_d2_y1),(1-dly_d2_bind)*((1-dly_d1_s)*MAX(0,MIN(2032+1,2028+1+0)-(MAX(2028,asof)+0))+dly_d1_s*MAX(0,MIN(2032+1,2028+1+dly_d1_m/12)-(MAX(2028,asof)+dly_d1_m/12)))+dly_d2_bind*((1-dly_d1_s)*MAX(0,MIN(2032+1,2028+1+dly_d2_m/12)-(MAX(2028,asof)+dly_d2_m/12))+dly_d1_s*MAX(0,MIN(2032+1,2028+1+(dly_d1_m+dly_d2_m)/12)-(MAX(2028,asof)+(dly_d1_m+dly_d2_m)/12))),((1-dly_d1_s)*MAX(0,MIN(2032+1,2028+1+0)-(MAX(2028,asof)+0))+dly_d1_s*MAX(0,MIN(2032+1,2028+1+dly_d1_m/12)-(MAX(2028,asof)+dly_d1_m/12))))</f>
        <v>1</v>
      </c>
      <c r="J141" s="29" t="n">
        <f aca="false">MAX(0,MIN(2032+1,2029+MAX(0,MIN(1,asof-2029)))-2029)+IF(AND(2029&gt;=dly_d2_y0,2029&lt;=dly_d2_y1),(1-dly_d2_bind)*((1-dly_d1_s)*MAX(0,MIN(2032+1,2029+1+0)-(MAX(2029,asof)+0))+dly_d1_s*MAX(0,MIN(2032+1,2029+1+dly_d1_m/12)-(MAX(2029,asof)+dly_d1_m/12)))+dly_d2_bind*((1-dly_d1_s)*MAX(0,MIN(2032+1,2029+1+dly_d2_m/12)-(MAX(2029,asof)+dly_d2_m/12))+dly_d1_s*MAX(0,MIN(2032+1,2029+1+(dly_d1_m+dly_d2_m)/12)-(MAX(2029,asof)+(dly_d1_m+dly_d2_m)/12))),((1-dly_d1_s)*MAX(0,MIN(2032+1,2029+1+0)-(MAX(2029,asof)+0))+dly_d1_s*MAX(0,MIN(2032+1,2029+1+dly_d1_m/12)-(MAX(2029,asof)+dly_d1_m/12))))</f>
        <v>1</v>
      </c>
      <c r="K141" s="29" t="n">
        <f aca="false">MAX(0,MIN(2032+1,2030+MAX(0,MIN(1,asof-2030)))-2030)+IF(AND(2030&gt;=dly_d2_y0,2030&lt;=dly_d2_y1),(1-dly_d2_bind)*((1-dly_d1_s)*MAX(0,MIN(2032+1,2030+1+0)-(MAX(2030,asof)+0))+dly_d1_s*MAX(0,MIN(2032+1,2030+1+dly_d1_m/12)-(MAX(2030,asof)+dly_d1_m/12)))+dly_d2_bind*((1-dly_d1_s)*MAX(0,MIN(2032+1,2030+1+dly_d2_m/12)-(MAX(2030,asof)+dly_d2_m/12))+dly_d1_s*MAX(0,MIN(2032+1,2030+1+(dly_d1_m+dly_d2_m)/12)-(MAX(2030,asof)+(dly_d1_m+dly_d2_m)/12))),((1-dly_d1_s)*MAX(0,MIN(2032+1,2030+1+0)-(MAX(2030,asof)+0))+dly_d1_s*MAX(0,MIN(2032+1,2030+1+dly_d1_m/12)-(MAX(2030,asof)+dly_d1_m/12))))</f>
        <v>1</v>
      </c>
      <c r="L141" s="29" t="n">
        <f aca="false">MAX(0,MIN(2032+1,2031+MAX(0,MIN(1,asof-2031)))-2031)+IF(AND(2031&gt;=dly_d2_y0,2031&lt;=dly_d2_y1),(1-dly_d2_bind)*((1-dly_d1_s)*MAX(0,MIN(2032+1,2031+1+0)-(MAX(2031,asof)+0))+dly_d1_s*MAX(0,MIN(2032+1,2031+1+dly_d1_m/12)-(MAX(2031,asof)+dly_d1_m/12)))+dly_d2_bind*((1-dly_d1_s)*MAX(0,MIN(2032+1,2031+1+dly_d2_m/12)-(MAX(2031,asof)+dly_d2_m/12))+dly_d1_s*MAX(0,MIN(2032+1,2031+1+(dly_d1_m+dly_d2_m)/12)-(MAX(2031,asof)+(dly_d1_m+dly_d2_m)/12))),((1-dly_d1_s)*MAX(0,MIN(2032+1,2031+1+0)-(MAX(2031,asof)+0))+dly_d1_s*MAX(0,MIN(2032+1,2031+1+dly_d1_m/12)-(MAX(2031,asof)+dly_d1_m/12))))</f>
        <v>1</v>
      </c>
      <c r="M141" s="29" t="n">
        <f aca="false">MAX(0,MIN(2032+1,2032+MAX(0,MIN(1,asof-2032)))-2032)+IF(AND(2032&gt;=dly_d2_y0,2032&lt;=dly_d2_y1),(1-dly_d2_bind)*((1-dly_d1_s)*MAX(0,MIN(2032+1,2032+1+0)-(MAX(2032,asof)+0))+dly_d1_s*MAX(0,MIN(2032+1,2032+1+dly_d1_m/12)-(MAX(2032,asof)+dly_d1_m/12)))+dly_d2_bind*((1-dly_d1_s)*MAX(0,MIN(2032+1,2032+1+dly_d2_m/12)-(MAX(2032,asof)+dly_d2_m/12))+dly_d1_s*MAX(0,MIN(2032+1,2032+1+(dly_d1_m+dly_d2_m)/12)-(MAX(2032,asof)+(dly_d1_m+dly_d2_m)/12))),((1-dly_d1_s)*MAX(0,MIN(2032+1,2032+1+0)-(MAX(2032,asof)+0))+dly_d1_s*MAX(0,MIN(2032+1,2032+1+dly_d1_m/12)-(MAX(2032,asof)+dly_d1_m/12))))</f>
        <v>0.825</v>
      </c>
    </row>
    <row r="143" customFormat="false" ht="17.15" hidden="false" customHeight="false" outlineLevel="0" collapsed="false">
      <c r="A143" s="8" t="s">
        <v>1258</v>
      </c>
    </row>
    <row r="144" customFormat="false" ht="15" hidden="false" customHeight="false" outlineLevel="0" collapsed="false">
      <c r="A144" s="6" t="s">
        <v>13</v>
      </c>
      <c r="B144" s="6" t="s">
        <v>1259</v>
      </c>
      <c r="C144" s="6"/>
      <c r="D144" s="7" t="s">
        <v>19</v>
      </c>
      <c r="E144" s="7" t="s">
        <v>20</v>
      </c>
      <c r="F144" s="7" t="s">
        <v>21</v>
      </c>
      <c r="G144" s="7" t="s">
        <v>22</v>
      </c>
      <c r="H144" s="7" t="s">
        <v>23</v>
      </c>
      <c r="I144" s="7" t="s">
        <v>24</v>
      </c>
      <c r="J144" s="7" t="s">
        <v>25</v>
      </c>
      <c r="K144" s="7" t="s">
        <v>26</v>
      </c>
      <c r="L144" s="7" t="s">
        <v>27</v>
      </c>
      <c r="M144" s="7" t="s">
        <v>28</v>
      </c>
    </row>
    <row r="145" customFormat="false" ht="15" hidden="false" customHeight="false" outlineLevel="0" collapsed="false">
      <c r="A145" s="5" t="s">
        <v>1260</v>
      </c>
      <c r="D145" s="24" t="n">
        <f aca="false">SUM($D$103:D103)</f>
        <v>0.630578355681972</v>
      </c>
      <c r="E145" s="24" t="n">
        <f aca="false">SUM($D$103:E103)</f>
        <v>4.58957736166105</v>
      </c>
      <c r="F145" s="24" t="n">
        <f aca="false">SUM($D$103:F103)</f>
        <v>14.6682106949944</v>
      </c>
      <c r="G145" s="24" t="n">
        <f aca="false">SUM($D$103:G103)</f>
        <v>14.6682106949944</v>
      </c>
      <c r="H145" s="24" t="n">
        <f aca="false">SUM($D$103:H103)</f>
        <v>14.6682106949944</v>
      </c>
      <c r="I145" s="24" t="n">
        <f aca="false">SUM($D$103:I103)</f>
        <v>14.6682106949944</v>
      </c>
      <c r="J145" s="24" t="n">
        <f aca="false">SUM($D$103:J103)</f>
        <v>14.6682106949944</v>
      </c>
      <c r="K145" s="24" t="n">
        <f aca="false">SUM($D$103:K103)</f>
        <v>14.6682106949944</v>
      </c>
      <c r="L145" s="24" t="n">
        <f aca="false">SUM($D$103:L103)</f>
        <v>14.6682106949944</v>
      </c>
      <c r="M145" s="24" t="n">
        <f aca="false">SUM($D$103:M103)</f>
        <v>14.6682106949944</v>
      </c>
    </row>
    <row r="146" customFormat="false" ht="15" hidden="false" customHeight="false" outlineLevel="0" collapsed="false">
      <c r="A146" s="5" t="s">
        <v>1261</v>
      </c>
      <c r="D146" s="24" t="n">
        <f aca="false">SUM($D$100:D100)</f>
        <v>0</v>
      </c>
      <c r="E146" s="24" t="n">
        <f aca="false">SUM($D$100:E100)</f>
        <v>0</v>
      </c>
      <c r="F146" s="24" t="n">
        <f aca="false">SUM($D$100:F100)</f>
        <v>0</v>
      </c>
      <c r="G146" s="24" t="n">
        <f aca="false">SUM($D$100:G100)</f>
        <v>3.43476412772586</v>
      </c>
      <c r="H146" s="24" t="n">
        <f aca="false">SUM($D$100:H100)</f>
        <v>3.43476412772586</v>
      </c>
      <c r="I146" s="24" t="n">
        <f aca="false">SUM($D$100:I100)</f>
        <v>3.43476412772586</v>
      </c>
      <c r="J146" s="24" t="n">
        <f aca="false">SUM($D$100:J100)</f>
        <v>3.43476412772586</v>
      </c>
      <c r="K146" s="24" t="n">
        <f aca="false">SUM($D$100:K100)</f>
        <v>3.43476412772586</v>
      </c>
      <c r="L146" s="24" t="n">
        <f aca="false">SUM($D$100:L100)</f>
        <v>3.43476412772586</v>
      </c>
      <c r="M146" s="24" t="n">
        <f aca="false">SUM($D$100:M100)</f>
        <v>3.43476412772586</v>
      </c>
    </row>
    <row r="147" customFormat="false" ht="15" hidden="false" customHeight="false" outlineLevel="0" collapsed="false">
      <c r="A147" s="5" t="s">
        <v>1262</v>
      </c>
      <c r="B147" s="0" t="s">
        <v>1263</v>
      </c>
      <c r="D147" s="24" t="n">
        <f aca="false">SUMPRODUCT($E$101:$M$101,$E$108:$M$108)</f>
        <v>0</v>
      </c>
      <c r="E147" s="24" t="n">
        <f aca="false">SUMPRODUCT($E$101:$M$101,$E$109:$M$109)</f>
        <v>1.61980834349181</v>
      </c>
      <c r="F147" s="24" t="n">
        <f aca="false">SUMPRODUCT($E$101:$M$101,$E$110:$M$110)</f>
        <v>10.032932638339</v>
      </c>
      <c r="G147" s="24" t="n">
        <f aca="false">SUMPRODUCT($E$101:$M$101,$E$111:$M$111)</f>
        <v>17.2355399716723</v>
      </c>
      <c r="H147" s="24" t="n">
        <f aca="false">SUMPRODUCT($E$101:$M$101,$E$112:$M$112)</f>
        <v>20.5045184295128</v>
      </c>
      <c r="I147" s="24" t="n">
        <f aca="false">SUMPRODUCT($E$101:$M$101,$E$113:$M$113)</f>
        <v>24.3232324904218</v>
      </c>
      <c r="J147" s="24" t="n">
        <f aca="false">SUMPRODUCT($E$101:$M$101,$E$114:$M$114)</f>
        <v>28.4732538214193</v>
      </c>
      <c r="K147" s="24" t="n">
        <f aca="false">SUMPRODUCT($E$101:$M$101,$E$115:$M$115)</f>
        <v>32.9993088434672</v>
      </c>
      <c r="L147" s="24" t="n">
        <f aca="false">SUMPRODUCT($E$101:$M$101,$E$116:$M$116)</f>
        <v>35.1531549973133</v>
      </c>
      <c r="M147" s="24" t="n">
        <f aca="false">SUMPRODUCT($E$101:$M$101,$E$117:$M$117)</f>
        <v>37.5223857665441</v>
      </c>
    </row>
    <row r="148" customFormat="false" ht="15" hidden="false" customHeight="false" outlineLevel="0" collapsed="false">
      <c r="A148" s="5" t="s">
        <v>1262</v>
      </c>
      <c r="B148" s="0" t="s">
        <v>1264</v>
      </c>
      <c r="D148" s="24" t="n">
        <f aca="false">SUMPRODUCT($E$101:$M$101,$E$120:$M$120)</f>
        <v>0</v>
      </c>
      <c r="E148" s="24" t="n">
        <f aca="false">SUMPRODUCT($E$101:$M$101,$E$121:$M$121)</f>
        <v>1.61980834349181</v>
      </c>
      <c r="F148" s="24" t="n">
        <f aca="false">SUMPRODUCT($E$101:$M$101,$E$122:$M$122)</f>
        <v>10.032932638339</v>
      </c>
      <c r="G148" s="24" t="n">
        <f aca="false">SUMPRODUCT($E$101:$M$101,$E$123:$M$123)</f>
        <v>16.7943802725057</v>
      </c>
      <c r="H148" s="24" t="n">
        <f aca="false">SUMPRODUCT($E$101:$M$101,$E$124:$M$124)</f>
        <v>19.9324471993907</v>
      </c>
      <c r="I148" s="24" t="n">
        <f aca="false">SUMPRODUCT($E$101:$M$101,$E$125:$M$125)</f>
        <v>23.6549575297627</v>
      </c>
      <c r="J148" s="24" t="n">
        <f aca="false">SUMPRODUCT($E$101:$M$101,$E$126:$M$126)</f>
        <v>27.7470000884947</v>
      </c>
      <c r="K148" s="24" t="n">
        <f aca="false">SUMPRODUCT($E$101:$M$101,$E$127:$M$127)</f>
        <v>32.2072492146088</v>
      </c>
      <c r="L148" s="24" t="n">
        <f aca="false">SUMPRODUCT($E$101:$M$101,$E$128:$M$128)</f>
        <v>34.7762319203902</v>
      </c>
      <c r="M148" s="24" t="n">
        <f aca="false">SUMPRODUCT($E$101:$M$101,$E$129:$M$129)</f>
        <v>37.1077703819287</v>
      </c>
    </row>
    <row r="149" customFormat="false" ht="15" hidden="false" customHeight="false" outlineLevel="0" collapsed="false">
      <c r="A149" s="5" t="s">
        <v>1262</v>
      </c>
      <c r="B149" s="0" t="s">
        <v>1265</v>
      </c>
      <c r="D149" s="24" t="n">
        <f aca="false">SUMPRODUCT($E$101:$M$101,$E$132:$M$132)</f>
        <v>0</v>
      </c>
      <c r="E149" s="24" t="n">
        <f aca="false">SUMPRODUCT($E$101:$M$101,$E$133:$M$133)</f>
        <v>1.61980834349181</v>
      </c>
      <c r="F149" s="24" t="n">
        <f aca="false">SUMPRODUCT($E$101:$M$101,$E$134:$M$134)</f>
        <v>10.032932638339</v>
      </c>
      <c r="G149" s="24" t="n">
        <f aca="false">SUMPRODUCT($E$101:$M$101,$E$135:$M$135)</f>
        <v>16.7943802725057</v>
      </c>
      <c r="H149" s="24" t="n">
        <f aca="false">SUMPRODUCT($E$101:$M$101,$E$136:$M$136)</f>
        <v>18.8536843083033</v>
      </c>
      <c r="I149" s="24" t="n">
        <f aca="false">SUMPRODUCT($E$101:$M$101,$E$137:$M$137)</f>
        <v>22.1659533976139</v>
      </c>
      <c r="J149" s="24" t="n">
        <f aca="false">SUMPRODUCT($E$101:$M$101,$E$138:$M$138)</f>
        <v>27.4796901042311</v>
      </c>
      <c r="K149" s="24" t="n">
        <f aca="false">SUMPRODUCT($E$101:$M$101,$E$139:$M$139)</f>
        <v>32.2072492146088</v>
      </c>
      <c r="L149" s="24" t="n">
        <f aca="false">SUMPRODUCT($E$101:$M$101,$E$140:$M$140)</f>
        <v>34.7762319203902</v>
      </c>
      <c r="M149" s="24" t="n">
        <f aca="false">SUMPRODUCT($E$101:$M$101,$E$141:$M$141)</f>
        <v>37.1077703819287</v>
      </c>
    </row>
    <row r="150" customFormat="false" ht="15" hidden="false" customHeight="false" outlineLevel="0" collapsed="false">
      <c r="A150" s="5" t="s">
        <v>1266</v>
      </c>
      <c r="B150" s="0" t="s">
        <v>1263</v>
      </c>
      <c r="D150" s="24" t="n">
        <f aca="false">SUMPRODUCT($L$5:$L$47,$Q$5:$Q$47,($M$5:$M$47&lt;=2023+1)*1)</f>
        <v>0</v>
      </c>
      <c r="E150" s="24" t="n">
        <f aca="false">SUMPRODUCT($L$5:$L$47,$Q$5:$Q$47,($M$5:$M$47&lt;=2024+1)*1)</f>
        <v>0</v>
      </c>
      <c r="F150" s="24" t="n">
        <f aca="false">SUMPRODUCT($L$5:$L$47,$Q$5:$Q$47,($M$5:$M$47&lt;=2025+1)*1)</f>
        <v>0.636</v>
      </c>
      <c r="G150" s="24" t="n">
        <f aca="false">SUMPRODUCT($L$5:$L$47,$Q$5:$Q$47,($M$5:$M$47&lt;=2026+1)*1)</f>
        <v>2.314</v>
      </c>
      <c r="H150" s="24" t="n">
        <f aca="false">SUMPRODUCT($L$5:$L$47,$Q$5:$Q$47,($M$5:$M$47&lt;=2027+1)*1)</f>
        <v>4.53266666666667</v>
      </c>
      <c r="I150" s="24" t="n">
        <f aca="false">SUMPRODUCT($L$5:$L$47,$Q$5:$Q$47,($M$5:$M$47&lt;=2028+1)*1)</f>
        <v>17.302</v>
      </c>
      <c r="J150" s="24" t="n">
        <f aca="false">SUMPRODUCT($L$5:$L$47,$Q$5:$Q$47,($M$5:$M$47&lt;=2029+1)*1)</f>
        <v>19.087</v>
      </c>
      <c r="K150" s="24" t="n">
        <f aca="false">SUMPRODUCT($L$5:$L$47,$Q$5:$Q$47,($M$5:$M$47&lt;=2030+1)*1)</f>
        <v>22.203</v>
      </c>
      <c r="L150" s="24" t="n">
        <f aca="false">SUMPRODUCT($L$5:$L$47,$Q$5:$Q$47,($M$5:$M$47&lt;=2031+1)*1)</f>
        <v>22.203</v>
      </c>
      <c r="M150" s="24" t="n">
        <f aca="false">SUMPRODUCT($L$5:$L$47,$Q$5:$Q$47,($M$5:$M$47&lt;=2032+1)*1)</f>
        <v>22.203</v>
      </c>
    </row>
    <row r="151" customFormat="false" ht="15" hidden="false" customHeight="false" outlineLevel="0" collapsed="false">
      <c r="A151" s="5" t="s">
        <v>1266</v>
      </c>
      <c r="B151" s="0" t="s">
        <v>1264</v>
      </c>
      <c r="D151" s="24" t="n">
        <f aca="false">SUMPRODUCT($L$5:$L$47,$Q$5:$Q$47,((($J$5:$J$47&gt;0)+($J$5:$J$47&lt;=0)*(1-dly_d1_s))*($N$5:$N$47&lt;=2023+1)+($J$5:$J$47&lt;=0)*dly_d1_s*($O$5:$O$47&lt;=2023+1)))</f>
        <v>0</v>
      </c>
      <c r="E151" s="24" t="n">
        <f aca="false">SUMPRODUCT($L$5:$L$47,$Q$5:$Q$47,((($J$5:$J$47&gt;0)+($J$5:$J$47&lt;=0)*(1-dly_d1_s))*($N$5:$N$47&lt;=2024+1)+($J$5:$J$47&lt;=0)*dly_d1_s*($O$5:$O$47&lt;=2024+1)))</f>
        <v>0</v>
      </c>
      <c r="F151" s="24" t="n">
        <f aca="false">SUMPRODUCT($L$5:$L$47,$Q$5:$Q$47,((($J$5:$J$47&gt;0)+($J$5:$J$47&lt;=0)*(1-dly_d1_s))*($N$5:$N$47&lt;=2025+1)+($J$5:$J$47&lt;=0)*dly_d1_s*($O$5:$O$47&lt;=2025+1)))</f>
        <v>0.636</v>
      </c>
      <c r="G151" s="24" t="n">
        <f aca="false">SUMPRODUCT($L$5:$L$47,$Q$5:$Q$47,((($J$5:$J$47&gt;0)+($J$5:$J$47&lt;=0)*(1-dly_d1_s))*($N$5:$N$47&lt;=2026+1)+($J$5:$J$47&lt;=0)*dly_d1_s*($O$5:$O$47&lt;=2026+1)))</f>
        <v>2.0907</v>
      </c>
      <c r="H151" s="24" t="n">
        <f aca="false">SUMPRODUCT($L$5:$L$47,$Q$5:$Q$47,((($J$5:$J$47&gt;0)+($J$5:$J$47&lt;=0)*(1-dly_d1_s))*($N$5:$N$47&lt;=2027+1)+($J$5:$J$47&lt;=0)*dly_d1_s*($O$5:$O$47&lt;=2027+1)))</f>
        <v>4.16213333333333</v>
      </c>
      <c r="I151" s="24" t="n">
        <f aca="false">SUMPRODUCT($L$5:$L$47,$Q$5:$Q$47,((($J$5:$J$47&gt;0)+($J$5:$J$47&lt;=0)*(1-dly_d1_s))*($N$5:$N$47&lt;=2028+1)+($J$5:$J$47&lt;=0)*dly_d1_s*($O$5:$O$47&lt;=2028+1)))</f>
        <v>13.2563166666667</v>
      </c>
      <c r="J151" s="24" t="n">
        <f aca="false">SUMPRODUCT($L$5:$L$47,$Q$5:$Q$47,((($J$5:$J$47&gt;0)+($J$5:$J$47&lt;=0)*(1-dly_d1_s))*($N$5:$N$47&lt;=2029+1)+($J$5:$J$47&lt;=0)*dly_d1_s*($O$5:$O$47&lt;=2029+1)))</f>
        <v>18.46225</v>
      </c>
      <c r="K151" s="24" t="n">
        <f aca="false">SUMPRODUCT($L$5:$L$47,$Q$5:$Q$47,((($J$5:$J$47&gt;0)+($J$5:$J$47&lt;=0)*(1-dly_d1_s))*($N$5:$N$47&lt;=2030+1)+($J$5:$J$47&lt;=0)*dly_d1_s*($O$5:$O$47&lt;=2030+1)))</f>
        <v>21.1124</v>
      </c>
      <c r="L151" s="24" t="n">
        <f aca="false">SUMPRODUCT($L$5:$L$47,$Q$5:$Q$47,((($J$5:$J$47&gt;0)+($J$5:$J$47&lt;=0)*(1-dly_d1_s))*($N$5:$N$47&lt;=2031+1)+($J$5:$J$47&lt;=0)*dly_d1_s*($O$5:$O$47&lt;=2031+1)))</f>
        <v>22.203</v>
      </c>
      <c r="M151" s="24" t="n">
        <f aca="false">SUMPRODUCT($L$5:$L$47,$Q$5:$Q$47,((($J$5:$J$47&gt;0)+($J$5:$J$47&lt;=0)*(1-dly_d1_s))*($N$5:$N$47&lt;=2032+1)+($J$5:$J$47&lt;=0)*dly_d1_s*($O$5:$O$47&lt;=2032+1)))</f>
        <v>22.203</v>
      </c>
    </row>
    <row r="152" customFormat="false" ht="15" hidden="false" customHeight="false" outlineLevel="0" collapsed="false">
      <c r="A152" s="5" t="s">
        <v>1266</v>
      </c>
      <c r="B152" s="0" t="s">
        <v>1265</v>
      </c>
      <c r="D152" s="24" t="n">
        <f aca="false">SUMPRODUCT($L$5:$L$47,$Q$5:$Q$47,(1-dly_d2_bind*$R$5:$R$47)*((($J$5:$J$47&gt;0)+($J$5:$J$47&lt;=0)*(1-dly_d1_s))*($N$5:$N$47&lt;=2023+1)+($J$5:$J$47&lt;=0)*dly_d1_s*($O$5:$O$47&lt;=2023+1))+dly_d2_bind*$R$5:$R$47*((($J$5:$J$47&gt;0)+($J$5:$J$47&lt;=0)*(1-dly_d1_s))*($N$5:$N$47+dly_d2_m/12&lt;=2023+1)+($J$5:$J$47&lt;=0)*dly_d1_s*($O$5:$O$47+dly_d2_m/12&lt;=2023+1)))</f>
        <v>0</v>
      </c>
      <c r="E152" s="24" t="n">
        <f aca="false">SUMPRODUCT($L$5:$L$47,$Q$5:$Q$47,(1-dly_d2_bind*$R$5:$R$47)*((($J$5:$J$47&gt;0)+($J$5:$J$47&lt;=0)*(1-dly_d1_s))*($N$5:$N$47&lt;=2024+1)+($J$5:$J$47&lt;=0)*dly_d1_s*($O$5:$O$47&lt;=2024+1))+dly_d2_bind*$R$5:$R$47*((($J$5:$J$47&gt;0)+($J$5:$J$47&lt;=0)*(1-dly_d1_s))*($N$5:$N$47+dly_d2_m/12&lt;=2024+1)+($J$5:$J$47&lt;=0)*dly_d1_s*($O$5:$O$47+dly_d2_m/12&lt;=2024+1)))</f>
        <v>0</v>
      </c>
      <c r="F152" s="24" t="n">
        <f aca="false">SUMPRODUCT($L$5:$L$47,$Q$5:$Q$47,(1-dly_d2_bind*$R$5:$R$47)*((($J$5:$J$47&gt;0)+($J$5:$J$47&lt;=0)*(1-dly_d1_s))*($N$5:$N$47&lt;=2025+1)+($J$5:$J$47&lt;=0)*dly_d1_s*($O$5:$O$47&lt;=2025+1))+dly_d2_bind*$R$5:$R$47*((($J$5:$J$47&gt;0)+($J$5:$J$47&lt;=0)*(1-dly_d1_s))*($N$5:$N$47+dly_d2_m/12&lt;=2025+1)+($J$5:$J$47&lt;=0)*dly_d1_s*($O$5:$O$47+dly_d2_m/12&lt;=2025+1)))</f>
        <v>0.636</v>
      </c>
      <c r="G152" s="24" t="n">
        <f aca="false">SUMPRODUCT($L$5:$L$47,$Q$5:$Q$47,(1-dly_d2_bind*$R$5:$R$47)*((($J$5:$J$47&gt;0)+($J$5:$J$47&lt;=0)*(1-dly_d1_s))*($N$5:$N$47&lt;=2026+1)+($J$5:$J$47&lt;=0)*dly_d1_s*($O$5:$O$47&lt;=2026+1))+dly_d2_bind*$R$5:$R$47*((($J$5:$J$47&gt;0)+($J$5:$J$47&lt;=0)*(1-dly_d1_s))*($N$5:$N$47+dly_d2_m/12&lt;=2026+1)+($J$5:$J$47&lt;=0)*dly_d1_s*($O$5:$O$47+dly_d2_m/12&lt;=2026+1)))</f>
        <v>2.0907</v>
      </c>
      <c r="H152" s="24" t="n">
        <f aca="false">SUMPRODUCT($L$5:$L$47,$Q$5:$Q$47,(1-dly_d2_bind*$R$5:$R$47)*((($J$5:$J$47&gt;0)+($J$5:$J$47&lt;=0)*(1-dly_d1_s))*($N$5:$N$47&lt;=2027+1)+($J$5:$J$47&lt;=0)*dly_d1_s*($O$5:$O$47&lt;=2027+1))+dly_d2_bind*$R$5:$R$47*((($J$5:$J$47&gt;0)+($J$5:$J$47&lt;=0)*(1-dly_d1_s))*($N$5:$N$47+dly_d2_m/12&lt;=2027+1)+($J$5:$J$47&lt;=0)*dly_d1_s*($O$5:$O$47+dly_d2_m/12&lt;=2027+1)))</f>
        <v>3.4728</v>
      </c>
      <c r="I152" s="24" t="n">
        <f aca="false">SUMPRODUCT($L$5:$L$47,$Q$5:$Q$47,(1-dly_d2_bind*$R$5:$R$47)*((($J$5:$J$47&gt;0)+($J$5:$J$47&lt;=0)*(1-dly_d1_s))*($N$5:$N$47&lt;=2028+1)+($J$5:$J$47&lt;=0)*dly_d1_s*($O$5:$O$47&lt;=2028+1))+dly_d2_bind*$R$5:$R$47*((($J$5:$J$47&gt;0)+($J$5:$J$47&lt;=0)*(1-dly_d1_s))*($N$5:$N$47+dly_d2_m/12&lt;=2028+1)+($J$5:$J$47&lt;=0)*dly_d1_s*($O$5:$O$47+dly_d2_m/12&lt;=2028+1)))</f>
        <v>10.3383633333333</v>
      </c>
      <c r="J152" s="24" t="n">
        <f aca="false">SUMPRODUCT($L$5:$L$47,$Q$5:$Q$47,(1-dly_d2_bind*$R$5:$R$47)*((($J$5:$J$47&gt;0)+($J$5:$J$47&lt;=0)*(1-dly_d1_s))*($N$5:$N$47&lt;=2029+1)+($J$5:$J$47&lt;=0)*dly_d1_s*($O$5:$O$47&lt;=2029+1))+dly_d2_bind*$R$5:$R$47*((($J$5:$J$47&gt;0)+($J$5:$J$47&lt;=0)*(1-dly_d1_s))*($N$5:$N$47+dly_d2_m/12&lt;=2029+1)+($J$5:$J$47&lt;=0)*dly_d1_s*($O$5:$O$47+dly_d2_m/12&lt;=2029+1)))</f>
        <v>16.8655366666667</v>
      </c>
      <c r="K152" s="24" t="n">
        <f aca="false">SUMPRODUCT($L$5:$L$47,$Q$5:$Q$47,(1-dly_d2_bind*$R$5:$R$47)*((($J$5:$J$47&gt;0)+($J$5:$J$47&lt;=0)*(1-dly_d1_s))*($N$5:$N$47&lt;=2030+1)+($J$5:$J$47&lt;=0)*dly_d1_s*($O$5:$O$47&lt;=2030+1))+dly_d2_bind*$R$5:$R$47*((($J$5:$J$47&gt;0)+($J$5:$J$47&lt;=0)*(1-dly_d1_s))*($N$5:$N$47+dly_d2_m/12&lt;=2030+1)+($J$5:$J$47&lt;=0)*dly_d1_s*($O$5:$O$47+dly_d2_m/12&lt;=2030+1)))</f>
        <v>21.1124</v>
      </c>
      <c r="L152" s="24" t="n">
        <f aca="false">SUMPRODUCT($L$5:$L$47,$Q$5:$Q$47,(1-dly_d2_bind*$R$5:$R$47)*((($J$5:$J$47&gt;0)+($J$5:$J$47&lt;=0)*(1-dly_d1_s))*($N$5:$N$47&lt;=2031+1)+($J$5:$J$47&lt;=0)*dly_d1_s*($O$5:$O$47&lt;=2031+1))+dly_d2_bind*$R$5:$R$47*((($J$5:$J$47&gt;0)+($J$5:$J$47&lt;=0)*(1-dly_d1_s))*($N$5:$N$47+dly_d2_m/12&lt;=2031+1)+($J$5:$J$47&lt;=0)*dly_d1_s*($O$5:$O$47+dly_d2_m/12&lt;=2031+1)))</f>
        <v>22.203</v>
      </c>
      <c r="M152" s="24" t="n">
        <f aca="false">SUMPRODUCT($L$5:$L$47,$Q$5:$Q$47,(1-dly_d2_bind*$R$5:$R$47)*((($J$5:$J$47&gt;0)+($J$5:$J$47&lt;=0)*(1-dly_d1_s))*($N$5:$N$47&lt;=2032+1)+($J$5:$J$47&lt;=0)*dly_d1_s*($O$5:$O$47&lt;=2032+1))+dly_d2_bind*$R$5:$R$47*((($J$5:$J$47&gt;0)+($J$5:$J$47&lt;=0)*(1-dly_d1_s))*($N$5:$N$47+dly_d2_m/12&lt;=2032+1)+($J$5:$J$47&lt;=0)*dly_d1_s*($O$5:$O$47+dly_d2_m/12&lt;=2032+1)))</f>
        <v>22.203</v>
      </c>
    </row>
    <row r="153" customFormat="false" ht="17.15" hidden="false" customHeight="false" outlineLevel="0" collapsed="false">
      <c r="A153" s="21" t="s">
        <v>1267</v>
      </c>
      <c r="B153" s="20" t="s">
        <v>1263</v>
      </c>
      <c r="D153" s="25" t="n">
        <f aca="false">D145+D146+D147+D150</f>
        <v>0.630578355681972</v>
      </c>
      <c r="E153" s="25" t="n">
        <f aca="false">E145+E146+E147+E150</f>
        <v>6.20938570515285</v>
      </c>
      <c r="F153" s="25" t="n">
        <f aca="false">F145+F146+F147+F150</f>
        <v>25.3371433333333</v>
      </c>
      <c r="G153" s="25" t="n">
        <f aca="false">G145+G146+G147+G150</f>
        <v>37.6525147943925</v>
      </c>
      <c r="H153" s="25" t="n">
        <f aca="false">H145+H146+H147+H150</f>
        <v>43.1401599188997</v>
      </c>
      <c r="I153" s="25" t="n">
        <f aca="false">I145+I146+I147+I150</f>
        <v>59.7282073131421</v>
      </c>
      <c r="J153" s="25" t="n">
        <f aca="false">J145+J146+J147+J150</f>
        <v>65.6632286441395</v>
      </c>
      <c r="K153" s="25" t="n">
        <f aca="false">K145+K146+K147+K150</f>
        <v>73.3052836661874</v>
      </c>
      <c r="L153" s="25" t="n">
        <f aca="false">L145+L146+L147+L150</f>
        <v>75.4591298200336</v>
      </c>
      <c r="M153" s="25" t="n">
        <f aca="false">M145+M146+M147+M150</f>
        <v>77.8283605892643</v>
      </c>
    </row>
    <row r="154" customFormat="false" ht="17.15" hidden="false" customHeight="false" outlineLevel="0" collapsed="false">
      <c r="A154" s="21" t="s">
        <v>1267</v>
      </c>
      <c r="B154" s="20" t="s">
        <v>1264</v>
      </c>
      <c r="D154" s="25" t="n">
        <f aca="false">D145+D146+D148+D151</f>
        <v>0.630578355681972</v>
      </c>
      <c r="E154" s="25" t="n">
        <f aca="false">E145+E146+E148+E151</f>
        <v>6.20938570515285</v>
      </c>
      <c r="F154" s="25" t="n">
        <f aca="false">F145+F146+F148+F151</f>
        <v>25.3371433333333</v>
      </c>
      <c r="G154" s="25" t="n">
        <f aca="false">G145+G146+G148+G151</f>
        <v>36.988055095226</v>
      </c>
      <c r="H154" s="25" t="n">
        <f aca="false">H145+H146+H148+H151</f>
        <v>42.1975553554443</v>
      </c>
      <c r="I154" s="25" t="n">
        <f aca="false">I145+I146+I148+I151</f>
        <v>55.0142490191496</v>
      </c>
      <c r="J154" s="25" t="n">
        <f aca="false">J145+J146+J148+J151</f>
        <v>64.3122249112149</v>
      </c>
      <c r="K154" s="25" t="n">
        <f aca="false">K145+K146+K148+K151</f>
        <v>71.422624037329</v>
      </c>
      <c r="L154" s="25" t="n">
        <f aca="false">L145+L146+L148+L151</f>
        <v>75.0822067431105</v>
      </c>
      <c r="M154" s="25" t="n">
        <f aca="false">M145+M146+M148+M151</f>
        <v>77.413745204649</v>
      </c>
    </row>
    <row r="155" customFormat="false" ht="17.15" hidden="false" customHeight="false" outlineLevel="0" collapsed="false">
      <c r="A155" s="21" t="s">
        <v>1267</v>
      </c>
      <c r="B155" s="20" t="s">
        <v>1265</v>
      </c>
      <c r="D155" s="25" t="n">
        <f aca="false">D145+D146+D149+D152</f>
        <v>0.630578355681972</v>
      </c>
      <c r="E155" s="25" t="n">
        <f aca="false">E145+E146+E149+E152</f>
        <v>6.20938570515285</v>
      </c>
      <c r="F155" s="25" t="n">
        <f aca="false">F145+F146+F149+F152</f>
        <v>25.3371433333333</v>
      </c>
      <c r="G155" s="25" t="n">
        <f aca="false">G145+G146+G149+G152</f>
        <v>36.988055095226</v>
      </c>
      <c r="H155" s="25" t="n">
        <f aca="false">H145+H146+H149+H152</f>
        <v>40.4294591310236</v>
      </c>
      <c r="I155" s="25" t="n">
        <f aca="false">I145+I146+I149+I152</f>
        <v>50.6072915536675</v>
      </c>
      <c r="J155" s="25" t="n">
        <f aca="false">J145+J146+J149+J152</f>
        <v>62.448201593618</v>
      </c>
      <c r="K155" s="25" t="n">
        <f aca="false">K145+K146+K149+K152</f>
        <v>71.422624037329</v>
      </c>
      <c r="L155" s="25" t="n">
        <f aca="false">L145+L146+L149+L152</f>
        <v>75.0822067431105</v>
      </c>
      <c r="M155" s="25" t="n">
        <f aca="false">M145+M146+M149+M152</f>
        <v>77.413745204649</v>
      </c>
    </row>
    <row r="156" customFormat="false" ht="17.15" hidden="false" customHeight="false" outlineLevel="0" collapsed="false">
      <c r="A156" s="5" t="s">
        <v>1268</v>
      </c>
      <c r="B156" s="0" t="s">
        <v>1263</v>
      </c>
      <c r="D156" s="24" t="n">
        <f aca="false">0</f>
        <v>0</v>
      </c>
      <c r="E156" s="24" t="n">
        <f aca="false">E153-D153-E103</f>
        <v>1.61980834349181</v>
      </c>
      <c r="F156" s="24" t="n">
        <f aca="false">F153-E153-F103</f>
        <v>9.04912429484715</v>
      </c>
      <c r="G156" s="24" t="n">
        <f aca="false">G153-F153-G103</f>
        <v>12.3153714610592</v>
      </c>
      <c r="H156" s="24" t="n">
        <f aca="false">H153-G153-H103</f>
        <v>5.48764512450717</v>
      </c>
      <c r="I156" s="24" t="n">
        <f aca="false">I153-H153-I103</f>
        <v>16.5880473942424</v>
      </c>
      <c r="J156" s="24" t="n">
        <f aca="false">J153-I153-J103</f>
        <v>5.93502133099746</v>
      </c>
      <c r="K156" s="24" t="n">
        <f aca="false">K153-J153-K103</f>
        <v>7.6420550220479</v>
      </c>
      <c r="L156" s="24" t="n">
        <f aca="false">L153-K153-L103</f>
        <v>2.15384615384615</v>
      </c>
      <c r="M156" s="24" t="n">
        <f aca="false">M153-L153-M103</f>
        <v>2.36923076923078</v>
      </c>
    </row>
    <row r="157" customFormat="false" ht="17.15" hidden="false" customHeight="false" outlineLevel="0" collapsed="false">
      <c r="A157" s="5" t="s">
        <v>1268</v>
      </c>
      <c r="B157" s="0" t="s">
        <v>1264</v>
      </c>
      <c r="D157" s="24" t="n">
        <f aca="false">0</f>
        <v>0</v>
      </c>
      <c r="E157" s="24" t="n">
        <f aca="false">E154-D154-E103</f>
        <v>1.61980834349181</v>
      </c>
      <c r="F157" s="24" t="n">
        <f aca="false">F154-E154-F103</f>
        <v>9.04912429484715</v>
      </c>
      <c r="G157" s="24" t="n">
        <f aca="false">G154-F154-G103</f>
        <v>11.6509117618926</v>
      </c>
      <c r="H157" s="24" t="n">
        <f aca="false">H154-G154-H103</f>
        <v>5.20950026021831</v>
      </c>
      <c r="I157" s="24" t="n">
        <f aca="false">I154-H154-I103</f>
        <v>12.8166936637054</v>
      </c>
      <c r="J157" s="24" t="n">
        <f aca="false">J154-I154-J103</f>
        <v>9.29797589206531</v>
      </c>
      <c r="K157" s="24" t="n">
        <f aca="false">K154-J154-K103</f>
        <v>7.11039912611409</v>
      </c>
      <c r="L157" s="24" t="n">
        <f aca="false">L154-K154-L103</f>
        <v>3.65958270578145</v>
      </c>
      <c r="M157" s="24" t="n">
        <f aca="false">M154-L154-M103</f>
        <v>2.33153846153847</v>
      </c>
    </row>
    <row r="158" customFormat="false" ht="17.15" hidden="false" customHeight="false" outlineLevel="0" collapsed="false">
      <c r="A158" s="5" t="s">
        <v>1268</v>
      </c>
      <c r="B158" s="0" t="s">
        <v>1265</v>
      </c>
      <c r="D158" s="24" t="n">
        <f aca="false">0</f>
        <v>0</v>
      </c>
      <c r="E158" s="24" t="n">
        <f aca="false">E155-D155-E103</f>
        <v>1.61980834349181</v>
      </c>
      <c r="F158" s="24" t="n">
        <f aca="false">F155-E155-F103</f>
        <v>9.04912429484715</v>
      </c>
      <c r="G158" s="24" t="n">
        <f aca="false">G155-F155-G103</f>
        <v>11.6509117618926</v>
      </c>
      <c r="H158" s="24" t="n">
        <f aca="false">H155-G155-H103</f>
        <v>3.4414040357976</v>
      </c>
      <c r="I158" s="24" t="n">
        <f aca="false">I155-H155-I103</f>
        <v>10.1778324226439</v>
      </c>
      <c r="J158" s="24" t="n">
        <f aca="false">J155-I155-J103</f>
        <v>11.8409100399505</v>
      </c>
      <c r="K158" s="24" t="n">
        <f aca="false">K155-J155-K103</f>
        <v>8.97442244371105</v>
      </c>
      <c r="L158" s="24" t="n">
        <f aca="false">L155-K155-L103</f>
        <v>3.65958270578145</v>
      </c>
      <c r="M158" s="24" t="n">
        <f aca="false">M155-L155-M103</f>
        <v>2.33153846153847</v>
      </c>
    </row>
    <row r="159" customFormat="false" ht="17.15" hidden="false" customHeight="false" outlineLevel="0" collapsed="false">
      <c r="A159" s="5" t="s">
        <v>1269</v>
      </c>
      <c r="B159" s="0" t="s">
        <v>1264</v>
      </c>
      <c r="D159" s="24" t="n">
        <f aca="false">D153-D154</f>
        <v>0</v>
      </c>
      <c r="E159" s="24" t="n">
        <f aca="false">E153-E154</f>
        <v>0</v>
      </c>
      <c r="F159" s="24" t="n">
        <f aca="false">F153-F154</f>
        <v>0</v>
      </c>
      <c r="G159" s="24" t="n">
        <f aca="false">G153-G154</f>
        <v>0.66445969916655</v>
      </c>
      <c r="H159" s="24" t="n">
        <f aca="false">H153-H154</f>
        <v>0.942604563455411</v>
      </c>
      <c r="I159" s="24" t="n">
        <f aca="false">I153-I154</f>
        <v>4.71395829399242</v>
      </c>
      <c r="J159" s="24" t="n">
        <f aca="false">J153-J154</f>
        <v>1.35100373292457</v>
      </c>
      <c r="K159" s="24" t="n">
        <f aca="false">K153-K154</f>
        <v>1.88265962885838</v>
      </c>
      <c r="L159" s="24" t="n">
        <f aca="false">L153-L154</f>
        <v>0.376923076923077</v>
      </c>
      <c r="M159" s="24" t="n">
        <f aca="false">M153-M154</f>
        <v>0.414615384615388</v>
      </c>
    </row>
    <row r="160" customFormat="false" ht="17.15" hidden="false" customHeight="false" outlineLevel="0" collapsed="false">
      <c r="A160" s="5" t="s">
        <v>1269</v>
      </c>
      <c r="B160" s="0" t="s">
        <v>1265</v>
      </c>
      <c r="D160" s="24" t="n">
        <f aca="false">D153-D155</f>
        <v>0</v>
      </c>
      <c r="E160" s="24" t="n">
        <f aca="false">E153-E155</f>
        <v>0</v>
      </c>
      <c r="F160" s="24" t="n">
        <f aca="false">F153-F155</f>
        <v>0</v>
      </c>
      <c r="G160" s="24" t="n">
        <f aca="false">G153-G155</f>
        <v>0.66445969916655</v>
      </c>
      <c r="H160" s="24" t="n">
        <f aca="false">H153-H155</f>
        <v>2.71070078787612</v>
      </c>
      <c r="I160" s="24" t="n">
        <f aca="false">I153-I155</f>
        <v>9.12091575947456</v>
      </c>
      <c r="J160" s="24" t="n">
        <f aca="false">J153-J155</f>
        <v>3.21502705052153</v>
      </c>
      <c r="K160" s="24" t="n">
        <f aca="false">K153-K155</f>
        <v>1.88265962885838</v>
      </c>
      <c r="L160" s="24" t="n">
        <f aca="false">L153-L155</f>
        <v>0.376923076923077</v>
      </c>
      <c r="M160" s="24" t="n">
        <f aca="false">M153-M155</f>
        <v>0.414615384615388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14" style="0" width="50"/>
  </cols>
  <sheetData>
    <row r="1" customFormat="false" ht="17.15" hidden="false" customHeight="false" outlineLevel="0" collapsed="false">
      <c r="A1" s="0" t="s">
        <v>1270</v>
      </c>
    </row>
    <row r="2" customFormat="false" ht="17.15" hidden="false" customHeight="false" outlineLevel="0" collapsed="false">
      <c r="A2" s="5" t="s">
        <v>1271</v>
      </c>
    </row>
    <row r="3" customFormat="false" ht="15" hidden="false" customHeight="false" outlineLevel="0" collapsed="false">
      <c r="A3" s="6" t="s">
        <v>13</v>
      </c>
      <c r="B3" s="6" t="s">
        <v>1213</v>
      </c>
      <c r="C3" s="6" t="s">
        <v>15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6" t="s">
        <v>18</v>
      </c>
    </row>
    <row r="4" customFormat="false" ht="17.15" hidden="false" customHeight="false" outlineLevel="0" collapsed="false">
      <c r="A4" s="5" t="s">
        <v>1272</v>
      </c>
      <c r="D4" s="0" t="n">
        <f aca="false">MAX(0,1-lag_bldg/12)</f>
        <v>0</v>
      </c>
      <c r="E4" s="0" t="n">
        <f aca="false">MAX(0,MIN(lag_bldg/12,2-lag_bldg/12))</f>
        <v>0.5</v>
      </c>
      <c r="F4" s="0" t="n">
        <f aca="false">MAX(0,MIN(1,lag_bldg/12-1))</f>
        <v>0.5</v>
      </c>
    </row>
    <row r="5" customFormat="false" ht="17.15" hidden="false" customHeight="false" outlineLevel="0" collapsed="false">
      <c r="A5" s="5" t="s">
        <v>1273</v>
      </c>
      <c r="D5" s="0" t="n">
        <f aca="false">MAX(0,1-lag_bldg_lo/12)</f>
        <v>0</v>
      </c>
      <c r="E5" s="0" t="n">
        <f aca="false">MAX(0,MIN(lag_bldg_lo/12,2-lag_bldg_lo/12))</f>
        <v>1</v>
      </c>
      <c r="F5" s="0" t="n">
        <f aca="false">MAX(0,MIN(1,lag_bldg_lo/12-1))</f>
        <v>0</v>
      </c>
    </row>
    <row r="6" customFormat="false" ht="17.15" hidden="false" customHeight="false" outlineLevel="0" collapsed="false">
      <c r="A6" s="5" t="s">
        <v>1274</v>
      </c>
      <c r="D6" s="0" t="n">
        <f aca="false">MAX(0,1-lag_bldg_hi/12)</f>
        <v>0</v>
      </c>
      <c r="E6" s="0" t="n">
        <f aca="false">MAX(0,MIN(lag_bldg_hi/12,2-lag_bldg_hi/12))</f>
        <v>0</v>
      </c>
      <c r="F6" s="0" t="n">
        <f aca="false">MAX(0,MIN(1,lag_bldg_hi/12-1))</f>
        <v>1</v>
      </c>
    </row>
    <row r="7" customFormat="false" ht="17.15" hidden="false" customHeight="false" outlineLevel="0" collapsed="false">
      <c r="A7" s="0" t="s">
        <v>1275</v>
      </c>
      <c r="C7" s="0" t="s">
        <v>325</v>
      </c>
      <c r="D7" s="29" t="n">
        <f aca="false">Players!D5*TK_CapexIT_H100+Players!D6*TK_CapexIT_GB200+Players!D7*TK_CapexIT_GB300+Players!D8*TK_CapexIT_VR200+Players!D9*TK_CapexIT_RU</f>
        <v>27.510214</v>
      </c>
      <c r="E7" s="29" t="n">
        <f aca="false">Players!E5*TK_CapexIT_H100+Players!E6*TK_CapexIT_GB200+Players!E7*TK_CapexIT_GB300+Players!E8*TK_CapexIT_VR200+Players!E9*TK_CapexIT_RU</f>
        <v>27.510214</v>
      </c>
      <c r="F7" s="29" t="n">
        <f aca="false">Players!F5*TK_CapexIT_H100+Players!F6*TK_CapexIT_GB200+Players!F7*TK_CapexIT_GB300+Players!F8*TK_CapexIT_VR200+Players!F9*TK_CapexIT_RU</f>
        <v>26.009088</v>
      </c>
      <c r="G7" s="29" t="n">
        <f aca="false">Players!G5*TK_CapexIT_H100+Players!G6*TK_CapexIT_GB200+Players!G7*TK_CapexIT_GB300+Players!G8*TK_CapexIT_VR200+Players!G9*TK_CapexIT_RU</f>
        <v>33.41403216</v>
      </c>
      <c r="H7" s="29" t="n">
        <f aca="false">Players!H5*TK_CapexIT_H100+Players!H6*TK_CapexIT_GB200+Players!H7*TK_CapexIT_GB300+Players!H8*TK_CapexIT_VR200+Players!H9*TK_CapexIT_RU</f>
        <v>38.3403893327246</v>
      </c>
      <c r="I7" s="29" t="n">
        <f aca="false">Players!I5*TK_CapexIT_H100+Players!I6*TK_CapexIT_GB200+Players!I7*TK_CapexIT_GB300+Players!I8*TK_CapexIT_VR200+Players!I9*TK_CapexIT_RU</f>
        <v>41.3326208898258</v>
      </c>
      <c r="J7" s="29" t="n">
        <f aca="false">Players!J5*TK_CapexIT_H100+Players!J6*TK_CapexIT_GB200+Players!J7*TK_CapexIT_GB300+Players!J8*TK_CapexIT_VR200+Players!J9*TK_CapexIT_RU</f>
        <v>41.3326208898258</v>
      </c>
      <c r="K7" s="29" t="n">
        <f aca="false">Players!K5*TK_CapexIT_H100+Players!K6*TK_CapexIT_GB200+Players!K7*TK_CapexIT_GB300+Players!K8*TK_CapexIT_VR200+Players!K9*TK_CapexIT_RU</f>
        <v>41.3326208898258</v>
      </c>
      <c r="L7" s="29" t="n">
        <f aca="false">Players!L5*TK_CapexIT_H100+Players!L6*TK_CapexIT_GB200+Players!L7*TK_CapexIT_GB300+Players!L8*TK_CapexIT_VR200+Players!L9*TK_CapexIT_RU</f>
        <v>41.3326208898258</v>
      </c>
      <c r="M7" s="29" t="n">
        <f aca="false">Players!M5*TK_CapexIT_H100+Players!M6*TK_CapexIT_GB200+Players!M7*TK_CapexIT_GB300+Players!M8*TK_CapexIT_VR200+Players!M9*TK_CapexIT_RU</f>
        <v>41.3326208898258</v>
      </c>
    </row>
    <row r="8" customFormat="false" ht="17.15" hidden="false" customHeight="false" outlineLevel="0" collapsed="false">
      <c r="A8" s="0" t="s">
        <v>1276</v>
      </c>
      <c r="C8" s="0" t="s">
        <v>325</v>
      </c>
      <c r="D8" s="29" t="n">
        <f aca="false">Players!D5*TK_CapexFacility_H100+Players!D6*TK_CapexFacility_GB200+Players!D7*TK_CapexFacility_GB300+Players!D8*TK_CapexFacility_VR200+Players!D9*TK_CapexFacility_RU</f>
        <v>12.67</v>
      </c>
      <c r="E8" s="29" t="n">
        <f aca="false">Players!E5*TK_CapexFacility_H100+Players!E6*TK_CapexFacility_GB200+Players!E7*TK_CapexFacility_GB300+Players!E8*TK_CapexFacility_VR200+Players!E9*TK_CapexFacility_RU</f>
        <v>12.67</v>
      </c>
      <c r="F8" s="29" t="n">
        <f aca="false">Players!F5*TK_CapexFacility_H100+Players!F6*TK_CapexFacility_GB200+Players!F7*TK_CapexFacility_GB300+Players!F8*TK_CapexFacility_VR200+Players!F9*TK_CapexFacility_RU</f>
        <v>12.67</v>
      </c>
      <c r="G8" s="29" t="n">
        <f aca="false">Players!G5*TK_CapexFacility_H100+Players!G6*TK_CapexFacility_GB200+Players!G7*TK_CapexFacility_GB300+Players!G8*TK_CapexFacility_VR200+Players!G9*TK_CapexFacility_RU</f>
        <v>12.67</v>
      </c>
      <c r="H8" s="29" t="n">
        <f aca="false">Players!H5*TK_CapexFacility_H100+Players!H6*TK_CapexFacility_GB200+Players!H7*TK_CapexFacility_GB300+Players!H8*TK_CapexFacility_VR200+Players!H9*TK_CapexFacility_RU</f>
        <v>12.67</v>
      </c>
      <c r="I8" s="29" t="n">
        <f aca="false">Players!I5*TK_CapexFacility_H100+Players!I6*TK_CapexFacility_GB200+Players!I7*TK_CapexFacility_GB300+Players!I8*TK_CapexFacility_VR200+Players!I9*TK_CapexFacility_RU</f>
        <v>12.67</v>
      </c>
      <c r="J8" s="29" t="n">
        <f aca="false">Players!J5*TK_CapexFacility_H100+Players!J6*TK_CapexFacility_GB200+Players!J7*TK_CapexFacility_GB300+Players!J8*TK_CapexFacility_VR200+Players!J9*TK_CapexFacility_RU</f>
        <v>12.67</v>
      </c>
      <c r="K8" s="29" t="n">
        <f aca="false">Players!K5*TK_CapexFacility_H100+Players!K6*TK_CapexFacility_GB200+Players!K7*TK_CapexFacility_GB300+Players!K8*TK_CapexFacility_VR200+Players!K9*TK_CapexFacility_RU</f>
        <v>12.67</v>
      </c>
      <c r="L8" s="29" t="n">
        <f aca="false">Players!L5*TK_CapexFacility_H100+Players!L6*TK_CapexFacility_GB200+Players!L7*TK_CapexFacility_GB300+Players!L8*TK_CapexFacility_VR200+Players!L9*TK_CapexFacility_RU</f>
        <v>12.67</v>
      </c>
      <c r="M8" s="29" t="n">
        <f aca="false">Players!M5*TK_CapexFacility_H100+Players!M6*TK_CapexFacility_GB200+Players!M7*TK_CapexFacility_GB300+Players!M8*TK_CapexFacility_VR200+Players!M9*TK_CapexFacility_RU</f>
        <v>12.67</v>
      </c>
    </row>
    <row r="10" customFormat="false" ht="17.15" hidden="false" customHeight="false" outlineLevel="0" collapsed="false">
      <c r="A10" s="8" t="s">
        <v>844</v>
      </c>
      <c r="B10" s="20" t="s">
        <v>441</v>
      </c>
      <c r="N10" s="20" t="s">
        <v>1277</v>
      </c>
    </row>
    <row r="11" customFormat="false" ht="17.15" hidden="false" customHeight="false" outlineLevel="0" collapsed="false">
      <c r="A11" s="5" t="s">
        <v>1278</v>
      </c>
      <c r="B11" s="0" t="s">
        <v>847</v>
      </c>
      <c r="C11" s="0" t="s">
        <v>325</v>
      </c>
      <c r="D11" s="19" t="str">
        <f aca="false">IF(In!H104="","",In!H104)</f>
        <v/>
      </c>
      <c r="E11" s="30" t="n">
        <f aca="false">IF(In!I104="","",In!I104)</f>
        <v>44.477</v>
      </c>
      <c r="F11" s="30" t="n">
        <f aca="false">IF(In!J104="","",In!J104)</f>
        <v>64.551</v>
      </c>
      <c r="G11" s="30" t="n">
        <f aca="false">IF(In!K104="","",In!K104)</f>
        <v>115.948</v>
      </c>
      <c r="H11" s="30" t="n">
        <f aca="false">IF(In!L104="","",In!L104)</f>
        <v>192.827</v>
      </c>
      <c r="I11" s="30" t="n">
        <f aca="false">IF(In!M104="","",In!M104)</f>
        <v>216.787</v>
      </c>
      <c r="J11" s="30" t="n">
        <f aca="false">IF(In!N104="","",In!N104)</f>
        <v>251.173</v>
      </c>
      <c r="K11" s="19" t="str">
        <f aca="false">IF(In!O104="","",In!O104)</f>
        <v/>
      </c>
      <c r="L11" s="19" t="str">
        <f aca="false">IF(In!P104="","",In!P104)</f>
        <v/>
      </c>
      <c r="M11" s="19" t="str">
        <f aca="false">IF(In!Q104="","",In!Q104)</f>
        <v/>
      </c>
    </row>
    <row r="12" customFormat="false" ht="15" hidden="false" customHeight="false" outlineLevel="0" collapsed="false">
      <c r="A12" s="5" t="s">
        <v>1279</v>
      </c>
      <c r="B12" s="0" t="s">
        <v>1280</v>
      </c>
      <c r="C12" s="0" t="s">
        <v>33</v>
      </c>
      <c r="D12" s="26" t="n">
        <f aca="false">(D11&lt;&gt;"")</f>
        <v>0</v>
      </c>
      <c r="E12" s="26" t="n">
        <f aca="false">(E11&lt;&gt;"")+D12</f>
        <v>1</v>
      </c>
      <c r="F12" s="26" t="n">
        <f aca="false">(F11&lt;&gt;"")+E12</f>
        <v>2</v>
      </c>
      <c r="G12" s="26" t="n">
        <f aca="false">(G11&lt;&gt;"")+F12</f>
        <v>3</v>
      </c>
      <c r="H12" s="26" t="n">
        <f aca="false">(H11&lt;&gt;"")+G12</f>
        <v>4</v>
      </c>
      <c r="I12" s="26" t="n">
        <f aca="false">(I11&lt;&gt;"")+H12</f>
        <v>5</v>
      </c>
      <c r="J12" s="26" t="n">
        <f aca="false">(J11&lt;&gt;"")+I12</f>
        <v>6</v>
      </c>
      <c r="K12" s="26" t="n">
        <f aca="false">(K11&lt;&gt;"")+J12</f>
        <v>6</v>
      </c>
      <c r="L12" s="26" t="n">
        <f aca="false">(L11&lt;&gt;"")+K12</f>
        <v>6</v>
      </c>
      <c r="M12" s="26" t="n">
        <f aca="false">(M11&lt;&gt;"")+L12</f>
        <v>6</v>
      </c>
    </row>
    <row r="13" customFormat="false" ht="15" hidden="false" customHeight="false" outlineLevel="0" collapsed="false">
      <c r="A13" s="5" t="s">
        <v>1281</v>
      </c>
      <c r="B13" s="0" t="s">
        <v>857</v>
      </c>
      <c r="C13" s="0" t="s">
        <v>325</v>
      </c>
      <c r="D13" s="31" t="n">
        <f aca="false">IF(D11&lt;&gt;"",D11,E13)</f>
        <v>44.477</v>
      </c>
      <c r="E13" s="31" t="n">
        <f aca="false">IF(E11&lt;&gt;"",E11,F13)</f>
        <v>44.477</v>
      </c>
      <c r="F13" s="31" t="n">
        <f aca="false">IF(F11&lt;&gt;"",F11,G13)</f>
        <v>64.551</v>
      </c>
      <c r="G13" s="31" t="n">
        <f aca="false">IF(G11&lt;&gt;"",G11,H13)</f>
        <v>115.948</v>
      </c>
      <c r="H13" s="31" t="n">
        <f aca="false">IF(H11&lt;&gt;"",H11,I13)</f>
        <v>192.827</v>
      </c>
      <c r="I13" s="31" t="n">
        <f aca="false">IF(I11&lt;&gt;"",I11,J13)</f>
        <v>216.787</v>
      </c>
      <c r="J13" s="31" t="n">
        <f aca="false">IF(J11&lt;&gt;"",J11,K13)</f>
        <v>251.173</v>
      </c>
      <c r="K13" s="0" t="str">
        <f aca="false">IF(K11&lt;&gt;"",K11,L13)</f>
        <v/>
      </c>
      <c r="L13" s="0" t="str">
        <f aca="false">IF(L11&lt;&gt;"",L11,M13)</f>
        <v/>
      </c>
      <c r="M13" s="0" t="str">
        <f aca="false">IF(M11&lt;&gt;"",M11,"")</f>
        <v/>
      </c>
    </row>
    <row r="14" customFormat="false" ht="15" hidden="false" customHeight="false" outlineLevel="0" collapsed="false">
      <c r="A14" s="5" t="s">
        <v>1282</v>
      </c>
      <c r="B14" s="0" t="s">
        <v>1283</v>
      </c>
      <c r="C14" s="0" t="s">
        <v>325</v>
      </c>
      <c r="D14" s="32" t="str">
        <f aca="false">IF(D11&lt;&gt;"",D11,IF(0&gt;0,""*(1+cap_g_ext),""))</f>
        <v/>
      </c>
      <c r="E14" s="32" t="n">
        <f aca="false">IF(E11&lt;&gt;"",E11,IF(D12&gt;0,D14*(1+cap_g_ext),""))</f>
        <v>44.477</v>
      </c>
      <c r="F14" s="32" t="n">
        <f aca="false">IF(F11&lt;&gt;"",F11,IF(E12&gt;0,E14*(1+cap_g_ext),""))</f>
        <v>64.551</v>
      </c>
      <c r="G14" s="32" t="n">
        <f aca="false">IF(G11&lt;&gt;"",G11,IF(F12&gt;0,F14*(1+cap_g_ext),""))</f>
        <v>115.948</v>
      </c>
      <c r="H14" s="32" t="n">
        <f aca="false">IF(H11&lt;&gt;"",H11,IF(G12&gt;0,G14*(1+cap_g_ext),""))</f>
        <v>192.827</v>
      </c>
      <c r="I14" s="32" t="n">
        <f aca="false">IF(I11&lt;&gt;"",I11,IF(H12&gt;0,H14*(1+cap_g_ext),""))</f>
        <v>216.787</v>
      </c>
      <c r="J14" s="32" t="n">
        <f aca="false">IF(J11&lt;&gt;"",J11,IF(I12&gt;0,I14*(1+cap_g_ext),""))</f>
        <v>251.173</v>
      </c>
      <c r="K14" s="32" t="n">
        <f aca="false">IF(K11&lt;&gt;"",K11,IF(J12&gt;0,J14*(1+cap_g_ext),""))</f>
        <v>276.2903</v>
      </c>
      <c r="L14" s="32" t="n">
        <f aca="false">IF(L11&lt;&gt;"",L11,IF(K12&gt;0,K14*(1+cap_g_ext),""))</f>
        <v>303.91933</v>
      </c>
      <c r="M14" s="32" t="n">
        <f aca="false">IF(M11&lt;&gt;"",M11,IF(L12&gt;0,L14*(1+cap_g_ext),""))</f>
        <v>334.311263</v>
      </c>
    </row>
    <row r="15" customFormat="false" ht="15" hidden="false" customHeight="false" outlineLevel="0" collapsed="false">
      <c r="A15" s="5" t="s">
        <v>1284</v>
      </c>
      <c r="B15" s="0" t="s">
        <v>1285</v>
      </c>
      <c r="C15" s="0" t="s">
        <v>325</v>
      </c>
      <c r="D15" s="32" t="str">
        <f aca="false">IF(OR(D14="",AND(fye_msft&lt;12,E14="")),"",D14*fye_msft/12+IF(fye_msft&lt;12,E14,0)*(12-fye_msft)/12)</f>
        <v/>
      </c>
      <c r="E15" s="32" t="n">
        <f aca="false">IF(OR(E14="",AND(fye_msft&lt;12,F14="")),"",E14*fye_msft/12+IF(fye_msft&lt;12,F14,0)*(12-fye_msft)/12)</f>
        <v>54.514</v>
      </c>
      <c r="F15" s="32" t="n">
        <f aca="false">IF(OR(F14="",AND(fye_msft&lt;12,G14="")),"",F14*fye_msft/12+IF(fye_msft&lt;12,G14,0)*(12-fye_msft)/12)</f>
        <v>90.2495</v>
      </c>
      <c r="G15" s="32" t="n">
        <f aca="false">IF(OR(G14="",AND(fye_msft&lt;12,H14="")),"",G14*fye_msft/12+IF(fye_msft&lt;12,H14,0)*(12-fye_msft)/12)</f>
        <v>154.3875</v>
      </c>
      <c r="H15" s="32" t="n">
        <f aca="false">IF(OR(H14="",AND(fye_msft&lt;12,I14="")),"",H14*fye_msft/12+IF(fye_msft&lt;12,I14,0)*(12-fye_msft)/12)</f>
        <v>204.807</v>
      </c>
      <c r="I15" s="32" t="n">
        <f aca="false">IF(OR(I14="",AND(fye_msft&lt;12,J14="")),"",I14*fye_msft/12+IF(fye_msft&lt;12,J14,0)*(12-fye_msft)/12)</f>
        <v>233.98</v>
      </c>
      <c r="J15" s="32" t="n">
        <f aca="false">IF(OR(J14="",AND(fye_msft&lt;12,K14="")),"",J14*fye_msft/12+IF(fye_msft&lt;12,K14,0)*(12-fye_msft)/12)</f>
        <v>263.73165</v>
      </c>
      <c r="K15" s="32" t="n">
        <f aca="false">IF(OR(K14="",AND(fye_msft&lt;12,L14="")),"",K14*fye_msft/12+IF(fye_msft&lt;12,L14,0)*(12-fye_msft)/12)</f>
        <v>290.104815</v>
      </c>
      <c r="L15" s="32" t="n">
        <f aca="false">IF(OR(L14="",AND(fye_msft&lt;12,M14="")),"",L14*fye_msft/12+IF(fye_msft&lt;12,M14,0)*(12-fye_msft)/12)</f>
        <v>319.1152965</v>
      </c>
      <c r="M15" s="32" t="n">
        <f aca="false">IF(OR(M14="",AND(fye_msft&lt;12,IF(M14="","",M14*(1+cap_g_ext))="")),"",M14*fye_msft/12+IF(fye_msft&lt;12,IF(M14="","",M14*(1+cap_g_ext)),0)*(12-fye_msft)/12)</f>
        <v>351.02682615</v>
      </c>
    </row>
    <row r="16" customFormat="false" ht="17.15" hidden="false" customHeight="false" outlineLevel="0" collapsed="false">
      <c r="A16" s="5" t="s">
        <v>1286</v>
      </c>
      <c r="B16" s="0" t="s">
        <v>1287</v>
      </c>
      <c r="C16" s="0" t="s">
        <v>325</v>
      </c>
      <c r="D16" s="32" t="str">
        <f aca="false">IF(D15="","",D15*ai_sh)</f>
        <v/>
      </c>
      <c r="E16" s="32" t="n">
        <f aca="false">IF(E15="","",E15*ai_sh)</f>
        <v>46.3369</v>
      </c>
      <c r="F16" s="32" t="n">
        <f aca="false">IF(F15="","",F15*ai_sh)</f>
        <v>76.712075</v>
      </c>
      <c r="G16" s="32" t="n">
        <f aca="false">IF(G15="","",G15*ai_sh)</f>
        <v>131.229375</v>
      </c>
      <c r="H16" s="32" t="n">
        <f aca="false">IF(H15="","",H15*ai_sh)</f>
        <v>174.08595</v>
      </c>
      <c r="I16" s="32" t="n">
        <f aca="false">IF(I15="","",I15*ai_sh)</f>
        <v>198.883</v>
      </c>
      <c r="J16" s="32" t="n">
        <f aca="false">IF(J15="","",J15*ai_sh)</f>
        <v>224.1719025</v>
      </c>
      <c r="K16" s="32" t="n">
        <f aca="false">IF(K15="","",K15*ai_sh)</f>
        <v>246.58909275</v>
      </c>
      <c r="L16" s="32" t="n">
        <f aca="false">IF(L15="","",L15*ai_sh)</f>
        <v>271.248002025</v>
      </c>
      <c r="M16" s="32" t="n">
        <f aca="false">IF(M15="","",M15*ai_sh)</f>
        <v>298.3728022275</v>
      </c>
    </row>
    <row r="17" customFormat="false" ht="17.15" hidden="false" customHeight="false" outlineLevel="0" collapsed="false">
      <c r="A17" s="5" t="s">
        <v>1288</v>
      </c>
      <c r="B17" s="0" t="s">
        <v>1289</v>
      </c>
      <c r="C17" s="0" t="s">
        <v>325</v>
      </c>
      <c r="D17" s="29" t="n">
        <f aca="false">(1-Players!D38)*D$7+Players!D38*TK_NonNV_Hold_Maia*TK_CapexIT_VR200</f>
        <v>25.4337277924695</v>
      </c>
      <c r="E17" s="29" t="n">
        <f aca="false">(1-Players!E38)*E$7+Players!E38*TK_NonNV_Hold_Maia*TK_CapexIT_VR200</f>
        <v>25.4337277924695</v>
      </c>
      <c r="F17" s="29" t="n">
        <f aca="false">(1-Players!F38)*F$7+Players!F38*TK_NonNV_Hold_Maia*TK_CapexIT_VR200</f>
        <v>24.2901851177648</v>
      </c>
      <c r="G17" s="29" t="n">
        <f aca="false">(1-Players!G38)*G$7+Players!G38*TK_NonNV_Hold_Maia*TK_CapexIT_VR200</f>
        <v>29.9311970319981</v>
      </c>
      <c r="H17" s="29" t="n">
        <f aca="false">(1-Players!H38)*H$7+Players!H38*TK_NonNV_Hold_Maia*TK_CapexIT_VR200</f>
        <v>33.0020089706715</v>
      </c>
      <c r="I17" s="29" t="n">
        <f aca="false">(1-Players!I38)*I$7+Players!I38*TK_NonNV_Hold_Maia*TK_CapexIT_VR200</f>
        <v>35.2555042907785</v>
      </c>
      <c r="J17" s="29" t="n">
        <f aca="false">(1-Players!J38)*J$7+Players!J38*TK_NonNV_Hold_Maia*TK_CapexIT_VR200</f>
        <v>35.1976655218092</v>
      </c>
      <c r="K17" s="29" t="n">
        <f aca="false">(1-Players!K38)*K$7+Players!K38*TK_NonNV_Hold_Maia*TK_CapexIT_VR200</f>
        <v>35.1976655218092</v>
      </c>
      <c r="L17" s="29" t="n">
        <f aca="false">(1-Players!L38)*L$7+Players!L38*TK_NonNV_Hold_Maia*TK_CapexIT_VR200</f>
        <v>35.1976655218092</v>
      </c>
      <c r="M17" s="29" t="n">
        <f aca="false">(1-Players!M38)*M$7+Players!M38*TK_NonNV_Hold_Maia*TK_CapexIT_VR200</f>
        <v>35.1976655218092</v>
      </c>
    </row>
    <row r="18" customFormat="false" ht="17.15" hidden="false" customHeight="false" outlineLevel="0" collapsed="false">
      <c r="A18" s="5" t="s">
        <v>1290</v>
      </c>
      <c r="B18" s="0" t="s">
        <v>1291</v>
      </c>
      <c r="C18" s="0" t="s">
        <v>325</v>
      </c>
      <c r="D18" s="29" t="n">
        <f aca="false">(1-Players!D38)*D$8+Players!D38*TK_NonNV_Hold_Maia*TK_CapexFacility_VR200</f>
        <v>11.1609392244584</v>
      </c>
      <c r="E18" s="29" t="n">
        <f aca="false">(1-Players!E38)*E$8+Players!E38*TK_NonNV_Hold_Maia*TK_CapexFacility_VR200</f>
        <v>11.1609392244584</v>
      </c>
      <c r="F18" s="29" t="n">
        <f aca="false">(1-Players!F38)*F$8+Players!F38*TK_NonNV_Hold_Maia*TK_CapexFacility_VR200</f>
        <v>11.1609392244584</v>
      </c>
      <c r="G18" s="29" t="n">
        <f aca="false">(1-Players!G38)*G$8+Players!G38*TK_NonNV_Hold_Maia*TK_CapexFacility_VR200</f>
        <v>11.1609392244584</v>
      </c>
      <c r="H18" s="29" t="n">
        <f aca="false">(1-Players!H38)*H$8+Players!H38*TK_NonNV_Hold_Maia*TK_CapexFacility_VR200</f>
        <v>10.9398997029418</v>
      </c>
      <c r="I18" s="29" t="n">
        <f aca="false">(1-Players!I38)*I$8+Players!I38*TK_NonNV_Hold_Maia*TK_CapexFacility_VR200</f>
        <v>10.9619484555566</v>
      </c>
      <c r="J18" s="29" t="n">
        <f aca="false">(1-Players!J38)*J$8+Players!J38*TK_NonNV_Hold_Maia*TK_CapexFacility_VR200</f>
        <v>10.9456921278958</v>
      </c>
      <c r="K18" s="29" t="n">
        <f aca="false">(1-Players!K38)*K$8+Players!K38*TK_NonNV_Hold_Maia*TK_CapexFacility_VR200</f>
        <v>10.9456921278958</v>
      </c>
      <c r="L18" s="29" t="n">
        <f aca="false">(1-Players!L38)*L$8+Players!L38*TK_NonNV_Hold_Maia*TK_CapexFacility_VR200</f>
        <v>10.9456921278958</v>
      </c>
      <c r="M18" s="29" t="n">
        <f aca="false">(1-Players!M38)*M$8+Players!M38*TK_NonNV_Hold_Maia*TK_CapexFacility_VR200</f>
        <v>10.9456921278958</v>
      </c>
    </row>
    <row r="19" customFormat="false" ht="17.15" hidden="false" customHeight="false" outlineLevel="0" collapsed="false">
      <c r="A19" s="5" t="s">
        <v>1292</v>
      </c>
      <c r="B19" s="0" t="s">
        <v>1293</v>
      </c>
      <c r="C19" s="0" t="s">
        <v>325</v>
      </c>
      <c r="D19" s="32" t="str">
        <f aca="false">IF(OR(D16="",D16="",D16=""),"",D17/(D17+D18)*D16+D18/(D17+D18)*(CapexGW!$D$4*D16+CapexGW!$E$4*D16+CapexGW!$F$4*D16))</f>
        <v/>
      </c>
      <c r="E19" s="32" t="str">
        <f aca="false">IF(OR(E16="",D16="",E16=""),"",E17/(E17+E18)*E16+E18/(E17+E18)*(CapexGW!$D$4*E16+CapexGW!$E$4*D16+CapexGW!$F$4*E16))</f>
        <v/>
      </c>
      <c r="F19" s="32" t="str">
        <f aca="false">IF(OR(F16="",E16="",D16=""),"",F17/(F17+F18)*F16+F18/(F17+F18)*(CapexGW!$D$4*F16+CapexGW!$E$4*E16+CapexGW!$F$4*D16))</f>
        <v/>
      </c>
      <c r="G19" s="32" t="n">
        <f aca="false">IF(OR(G16="",F16="",E16=""),"",G17/(G17+G18)*G16+G18/(G17+G18)*(CapexGW!$D$4*G16+CapexGW!$E$4*F16+CapexGW!$F$4*E16))</f>
        <v>112.29699318904</v>
      </c>
      <c r="H19" s="32" t="n">
        <f aca="false">IF(OR(H16="",G16="",F16=""),"",H17/(H17+H18)*H16+H18/(H17+H18)*(CapexGW!$D$4*H16+CapexGW!$E$4*G16+CapexGW!$F$4*F16))</f>
        <v>156.62986872582</v>
      </c>
      <c r="I19" s="32" t="n">
        <f aca="false">IF(OR(I16="",H16="",G16=""),"",I17/(I17+I18)*I16+I18/(I17+I18)*(CapexGW!$D$4*I16+CapexGW!$E$4*H16+CapexGW!$F$4*G16))</f>
        <v>187.919181422701</v>
      </c>
      <c r="J19" s="32" t="n">
        <f aca="false">IF(OR(J16="",I16="",H16=""),"",J17/(J17+J18)*J16+J18/(J17+J18)*(CapexGW!$D$4*J16+CapexGW!$E$4*I16+CapexGW!$F$4*H16))</f>
        <v>215.232046375117</v>
      </c>
      <c r="K19" s="32" t="n">
        <f aca="false">IF(OR(K16="",J16="",I16=""),"",K17/(K17+K18)*K16+K18/(K17+K18)*(CapexGW!$D$4*K16+CapexGW!$E$4*J16+CapexGW!$F$4*I16))</f>
        <v>238.27210081649</v>
      </c>
      <c r="L19" s="32" t="n">
        <f aca="false">IF(OR(L16="",K16="",J16=""),"",L17/(L17+L18)*L16+L18/(L17+L18)*(CapexGW!$D$4*L16+CapexGW!$E$4*K16+CapexGW!$F$4*J16))</f>
        <v>262.739850894371</v>
      </c>
      <c r="M19" s="32" t="n">
        <f aca="false">IF(OR(M16="",L16="",K16=""),"",M17/(M17+M18)*M16+M18/(M17+M18)*(CapexGW!$D$4*M16+CapexGW!$E$4*L16+CapexGW!$F$4*K16))</f>
        <v>289.013835983808</v>
      </c>
    </row>
    <row r="20" customFormat="false" ht="17.15" hidden="false" customHeight="false" outlineLevel="0" collapsed="false">
      <c r="A20" s="5" t="s">
        <v>1294</v>
      </c>
      <c r="B20" s="0" t="s">
        <v>1295</v>
      </c>
      <c r="C20" s="0" t="s">
        <v>75</v>
      </c>
      <c r="D20" s="25" t="str">
        <f aca="false">IF(D19="","",D19/(D17+D18))</f>
        <v/>
      </c>
      <c r="E20" s="25" t="str">
        <f aca="false">IF(E19="","",E19/(E17+E18))</f>
        <v/>
      </c>
      <c r="F20" s="25" t="str">
        <f aca="false">IF(F19="","",F19/(F17+F18))</f>
        <v/>
      </c>
      <c r="G20" s="25" t="n">
        <f aca="false">IF(G19="","",G19/(G17+G18))</f>
        <v>2.73280981276305</v>
      </c>
      <c r="H20" s="25" t="n">
        <f aca="false">IF(H19="","",H19/(H17+H18))</f>
        <v>3.56447576934396</v>
      </c>
      <c r="I20" s="25" t="n">
        <f aca="false">IF(I19="","",I19/(I17+I18))</f>
        <v>4.06597876464757</v>
      </c>
      <c r="J20" s="25" t="n">
        <f aca="false">IF(J19="","",J19/(J17+J18))</f>
        <v>4.6644209987717</v>
      </c>
      <c r="K20" s="25" t="n">
        <f aca="false">IF(K19="","",K19/(K17+K18))</f>
        <v>5.16373564804974</v>
      </c>
      <c r="L20" s="25" t="n">
        <f aca="false">IF(L19="","",L19/(L17+L18))</f>
        <v>5.69399073402824</v>
      </c>
      <c r="M20" s="25" t="n">
        <f aca="false">IF(M19="","",M19/(M17+M18))</f>
        <v>6.26338980743106</v>
      </c>
    </row>
    <row r="21" customFormat="false" ht="17.15" hidden="false" customHeight="false" outlineLevel="0" collapsed="false">
      <c r="A21" s="5" t="s">
        <v>1296</v>
      </c>
      <c r="B21" s="0" t="s">
        <v>1297</v>
      </c>
      <c r="C21" s="0" t="s">
        <v>75</v>
      </c>
      <c r="D21" s="19" t="n">
        <f aca="false">Players!D36</f>
        <v>0</v>
      </c>
      <c r="E21" s="27" t="n">
        <f aca="false">Players!E36</f>
        <v>0</v>
      </c>
      <c r="F21" s="27" t="n">
        <f aca="false">Players!F36</f>
        <v>2.13527</v>
      </c>
      <c r="G21" s="27" t="n">
        <f aca="false">Players!G36</f>
        <v>0.770955</v>
      </c>
      <c r="H21" s="27" t="n">
        <f aca="false">Players!H36</f>
        <v>0.9</v>
      </c>
      <c r="I21" s="27" t="n">
        <f aca="false">Players!I36</f>
        <v>1.894</v>
      </c>
      <c r="J21" s="27" t="n">
        <f aca="false">Players!J36</f>
        <v>0</v>
      </c>
      <c r="K21" s="27" t="n">
        <f aca="false">Players!K36</f>
        <v>0</v>
      </c>
      <c r="L21" s="27" t="n">
        <f aca="false">Players!L36</f>
        <v>0</v>
      </c>
      <c r="M21" s="27" t="n">
        <f aca="false">Players!M36</f>
        <v>0</v>
      </c>
    </row>
    <row r="22" customFormat="false" ht="17.15" hidden="false" customHeight="false" outlineLevel="0" collapsed="false">
      <c r="A22" s="5" t="s">
        <v>1298</v>
      </c>
      <c r="B22" s="0" t="s">
        <v>1299</v>
      </c>
      <c r="C22" s="0" t="s">
        <v>75</v>
      </c>
      <c r="D22" s="24" t="n">
        <f aca="false">IF(AND(2023&gt;=2027,D20&lt;&gt;""),D20,D21)</f>
        <v>0</v>
      </c>
      <c r="E22" s="24" t="n">
        <f aca="false">IF(AND(2024&gt;=2027,E20&lt;&gt;""),E20,E21)</f>
        <v>0</v>
      </c>
      <c r="F22" s="24" t="n">
        <f aca="false">IF(AND(2025&gt;=2027,F20&lt;&gt;""),F20,F21)</f>
        <v>2.13527</v>
      </c>
      <c r="G22" s="24" t="n">
        <f aca="false">IF(AND(2026&gt;=2027,G20&lt;&gt;""),G20,G21)</f>
        <v>0.770955</v>
      </c>
      <c r="H22" s="24" t="n">
        <f aca="false">IF(AND(2027&gt;=2027,H20&lt;&gt;""),H20,H21)</f>
        <v>3.56447576934396</v>
      </c>
      <c r="I22" s="24" t="n">
        <f aca="false">IF(AND(2028&gt;=2027,I20&lt;&gt;""),I20,I21)</f>
        <v>4.06597876464757</v>
      </c>
      <c r="J22" s="24" t="n">
        <f aca="false">IF(AND(2029&gt;=2027,J20&lt;&gt;""),J20,J21)</f>
        <v>4.6644209987717</v>
      </c>
      <c r="K22" s="24" t="n">
        <f aca="false">IF(AND(2030&gt;=2027,K20&lt;&gt;""),K20,K21)</f>
        <v>5.16373564804974</v>
      </c>
      <c r="L22" s="24" t="n">
        <f aca="false">IF(AND(2031&gt;=2027,L20&lt;&gt;""),L20,L21)</f>
        <v>5.69399073402824</v>
      </c>
      <c r="M22" s="24" t="n">
        <f aca="false">IF(AND(2032&gt;=2027,M20&lt;&gt;""),M20,M21)</f>
        <v>6.26338980743106</v>
      </c>
    </row>
    <row r="23" customFormat="false" ht="17.15" hidden="false" customHeight="false" outlineLevel="0" collapsed="false">
      <c r="A23" s="5" t="s">
        <v>1300</v>
      </c>
      <c r="B23" s="0" t="s">
        <v>1301</v>
      </c>
      <c r="C23" s="0" t="s">
        <v>75</v>
      </c>
      <c r="D23" s="24" t="n">
        <f aca="false">N(Players!D30)</f>
        <v>0</v>
      </c>
      <c r="E23" s="24" t="n">
        <f aca="false">IF(2024&gt;=2027,D23+E22,N(Players!E30))</f>
        <v>1.593775</v>
      </c>
      <c r="F23" s="24" t="n">
        <f aca="false">IF(2025&gt;=2027,E23+F22,N(Players!F30))</f>
        <v>3.729045</v>
      </c>
      <c r="G23" s="24" t="n">
        <f aca="false">IF(2026&gt;=2027,F23+G22,N(Players!G30))</f>
        <v>4.5</v>
      </c>
      <c r="H23" s="24" t="n">
        <f aca="false">IF(2027&gt;=2027,G23+H22,N(Players!H30))</f>
        <v>8.06447576934396</v>
      </c>
      <c r="I23" s="24" t="n">
        <f aca="false">IF(2028&gt;=2027,H23+I22,N(Players!I30))</f>
        <v>12.1304545339915</v>
      </c>
      <c r="J23" s="24" t="n">
        <f aca="false">IF(2029&gt;=2027,I23+J22,N(Players!J30))</f>
        <v>16.7948755327632</v>
      </c>
      <c r="K23" s="24" t="n">
        <f aca="false">IF(2030&gt;=2027,J23+K22,N(Players!K30))</f>
        <v>21.958611180813</v>
      </c>
      <c r="L23" s="24" t="n">
        <f aca="false">IF(2031&gt;=2027,K23+L22,N(Players!L30))</f>
        <v>27.6526019148412</v>
      </c>
      <c r="M23" s="24" t="n">
        <f aca="false">IF(2032&gt;=2027,L23+M22,N(Players!M30))</f>
        <v>33.9159917222723</v>
      </c>
    </row>
    <row r="24" customFormat="false" ht="17.15" hidden="false" customHeight="false" outlineLevel="0" collapsed="false">
      <c r="A24" s="5" t="s">
        <v>1302</v>
      </c>
      <c r="B24" s="0" t="s">
        <v>1303</v>
      </c>
      <c r="C24" s="0" t="s">
        <v>75</v>
      </c>
      <c r="D24" s="24" t="str">
        <f aca="false">IF(D20="","",D20*ai_sh_lo/ai_sh)</f>
        <v/>
      </c>
      <c r="E24" s="24" t="str">
        <f aca="false">IF(E20="","",E20*ai_sh_lo/ai_sh)</f>
        <v/>
      </c>
      <c r="F24" s="24" t="str">
        <f aca="false">IF(F20="","",F20*ai_sh_lo/ai_sh)</f>
        <v/>
      </c>
      <c r="G24" s="24" t="n">
        <f aca="false">IF(G20="","",G20*ai_sh_lo/ai_sh)</f>
        <v>2.4113027759674</v>
      </c>
      <c r="H24" s="24" t="n">
        <f aca="false">IF(H20="","",H20*ai_sh_lo/ai_sh)</f>
        <v>3.1451256788329</v>
      </c>
      <c r="I24" s="24" t="n">
        <f aca="false">IF(I20="","",I20*ai_sh_lo/ai_sh)</f>
        <v>3.58762832174786</v>
      </c>
      <c r="J24" s="24" t="n">
        <f aca="false">IF(J20="","",J20*ai_sh_lo/ai_sh)</f>
        <v>4.1156655871515</v>
      </c>
      <c r="K24" s="24" t="n">
        <f aca="false">IF(K20="","",K20*ai_sh_lo/ai_sh)</f>
        <v>4.55623733651447</v>
      </c>
      <c r="L24" s="24" t="n">
        <f aca="false">IF(L20="","",L20*ai_sh_lo/ai_sh)</f>
        <v>5.02410947120139</v>
      </c>
      <c r="M24" s="24" t="n">
        <f aca="false">IF(M20="","",M20*ai_sh_lo/ai_sh)</f>
        <v>5.52652041832152</v>
      </c>
    </row>
    <row r="25" customFormat="false" ht="17.15" hidden="false" customHeight="false" outlineLevel="0" collapsed="false">
      <c r="A25" s="5" t="s">
        <v>1304</v>
      </c>
      <c r="B25" s="0" t="s">
        <v>1305</v>
      </c>
      <c r="C25" s="0" t="s">
        <v>75</v>
      </c>
      <c r="D25" s="24" t="str">
        <f aca="false">IF(D20="","",D20*ai_sh_hi/ai_sh)</f>
        <v/>
      </c>
      <c r="E25" s="24" t="str">
        <f aca="false">IF(E20="","",E20*ai_sh_hi/ai_sh)</f>
        <v/>
      </c>
      <c r="F25" s="24" t="str">
        <f aca="false">IF(F20="","",F20*ai_sh_hi/ai_sh)</f>
        <v/>
      </c>
      <c r="G25" s="24" t="n">
        <f aca="false">IF(G20="","",G20*ai_sh_hi/ai_sh)</f>
        <v>3.0543168495587</v>
      </c>
      <c r="H25" s="24" t="n">
        <f aca="false">IF(H20="","",H20*ai_sh_hi/ai_sh)</f>
        <v>3.98382585985501</v>
      </c>
      <c r="I25" s="24" t="n">
        <f aca="false">IF(I20="","",I20*ai_sh_hi/ai_sh)</f>
        <v>4.54432920754729</v>
      </c>
      <c r="J25" s="24" t="n">
        <f aca="false">IF(J20="","",J20*ai_sh_hi/ai_sh)</f>
        <v>5.2131764103919</v>
      </c>
      <c r="K25" s="24" t="n">
        <f aca="false">IF(K20="","",K20*ai_sh_hi/ai_sh)</f>
        <v>5.771233959585</v>
      </c>
      <c r="L25" s="24" t="n">
        <f aca="false">IF(L20="","",L20*ai_sh_hi/ai_sh)</f>
        <v>6.36387199685509</v>
      </c>
      <c r="M25" s="24" t="n">
        <f aca="false">IF(M20="","",M20*ai_sh_hi/ai_sh)</f>
        <v>7.0002591965406</v>
      </c>
    </row>
    <row r="26" customFormat="false" ht="17.15" hidden="false" customHeight="false" outlineLevel="0" collapsed="false">
      <c r="A26" s="5" t="s">
        <v>1306</v>
      </c>
      <c r="B26" s="0" t="s">
        <v>1307</v>
      </c>
      <c r="C26" s="0" t="s">
        <v>75</v>
      </c>
      <c r="D26" s="24" t="str">
        <f aca="false">IF(OR(D16="",D16="",D16=""),"",(D17/(D17+D18)*D16+D18/(D17+D18)*(CapexGW!$D$5*D16+CapexGW!$E$5*D16+CapexGW!$F$5*D16))/(D17+D18))</f>
        <v/>
      </c>
      <c r="E26" s="24" t="str">
        <f aca="false">IF(OR(E16="",D16="",E16=""),"",(E17/(E17+E18)*E16+E18/(E17+E18)*(CapexGW!$D$5*E16+CapexGW!$E$5*D16+CapexGW!$F$5*E16))/(E17+E18))</f>
        <v/>
      </c>
      <c r="F26" s="24" t="str">
        <f aca="false">IF(OR(F16="",E16="",D16=""),"",(F17/(F17+F18)*F16+F18/(F17+F18)*(CapexGW!$D$5*F16+CapexGW!$E$5*E16+CapexGW!$F$5*D16))/(F17+F18))</f>
        <v/>
      </c>
      <c r="G26" s="24" t="n">
        <f aca="false">IF(OR(G16="",F16="",E16=""),"",(G17/(G17+G18)*G16+G18/(G17+G18)*(CapexGW!$D$5*G16+CapexGW!$E$5*F16+CapexGW!$F$5*E16))/(G17+G18))</f>
        <v>2.83319556951972</v>
      </c>
      <c r="H26" s="24" t="n">
        <f aca="false">IF(OR(H16="",G16="",F16=""),"",(H17/(H17+H18)*H16+H18/(H17+H18)*(CapexGW!$D$5*H16+CapexGW!$E$5*G16+CapexGW!$F$5*F16))/(H17+H18))</f>
        <v>3.71891578944627</v>
      </c>
      <c r="I26" s="24" t="n">
        <f aca="false">IF(OR(I16="",H16="",G16=""),"",(I17/(I17+I18)*I16+I18/(I17+I18)*(CapexGW!$D$5*I16+CapexGW!$E$5*H16+CapexGW!$F$5*G16))/(I17+I18))</f>
        <v>4.17594597512608</v>
      </c>
      <c r="J26" s="24" t="n">
        <f aca="false">IF(OR(J16="",I16="",H16=""),"",(J17/(J17+J18)*J16+J18/(J17+J18)*(CapexGW!$D$5*J16+CapexGW!$E$5*I16+CapexGW!$F$5*H16))/(J17+J18))</f>
        <v>4.72815847521363</v>
      </c>
      <c r="K26" s="24" t="n">
        <f aca="false">IF(OR(K16="",J16="",I16=""),"",(K17/(K17+K18)*K16+K18/(K17+K18)*(CapexGW!$D$5*K16+CapexGW!$E$5*J16+CapexGW!$F$5*I16))/(K17+K18))</f>
        <v>5.22873736508205</v>
      </c>
      <c r="L26" s="24" t="n">
        <f aca="false">IF(OR(L16="",K16="",J16=""),"",(L17/(L17+L18)*L16+L18/(L17+L18)*(CapexGW!$D$5*L16+CapexGW!$E$5*K16+CapexGW!$F$5*J16))/(L17+L18))</f>
        <v>5.75161110159025</v>
      </c>
      <c r="M26" s="24" t="n">
        <f aca="false">IF(OR(M16="",L16="",K16=""),"",(M17/(M17+M18)*M16+M18/(M17+M18)*(CapexGW!$D$5*M16+CapexGW!$E$5*L16+CapexGW!$F$5*K16))/(M17+M18))</f>
        <v>6.32677221174928</v>
      </c>
    </row>
    <row r="27" customFormat="false" ht="17.15" hidden="false" customHeight="false" outlineLevel="0" collapsed="false">
      <c r="A27" s="5" t="s">
        <v>1308</v>
      </c>
      <c r="B27" s="0" t="s">
        <v>1309</v>
      </c>
      <c r="C27" s="0" t="s">
        <v>75</v>
      </c>
      <c r="D27" s="24" t="str">
        <f aca="false">IF(OR(D16="",D16="",D16=""),"",(D17/(D17+D18)*D16+D18/(D17+D18)*(CapexGW!$D$6*D16+CapexGW!$E$6*D16+CapexGW!$F$6*D16))/(D17+D18))</f>
        <v/>
      </c>
      <c r="E27" s="24" t="str">
        <f aca="false">IF(OR(E16="",D16="",E16=""),"",(E17/(E17+E18)*E16+E18/(E17+E18)*(CapexGW!$D$6*E16+CapexGW!$E$6*D16+CapexGW!$F$6*E16))/(E17+E18))</f>
        <v/>
      </c>
      <c r="F27" s="24" t="str">
        <f aca="false">IF(OR(F16="",E16="",D16=""),"",(F17/(F17+F18)*F16+F18/(F17+F18)*(CapexGW!$D$6*F16+CapexGW!$E$6*E16+CapexGW!$F$6*D16))/(F17+F18))</f>
        <v/>
      </c>
      <c r="G27" s="24" t="n">
        <f aca="false">IF(OR(G16="",F16="",E16=""),"",(G17/(G17+G18)*G16+G18/(G17+G18)*(CapexGW!$D$6*G16+CapexGW!$E$6*F16+CapexGW!$F$6*E16))/(G17+G18))</f>
        <v>2.63242405600638</v>
      </c>
      <c r="H27" s="24" t="n">
        <f aca="false">IF(OR(H16="",G16="",F16=""),"",(H17/(H17+H18)*H16+H18/(H17+H18)*(CapexGW!$D$6*H16+CapexGW!$E$6*G16+CapexGW!$F$6*F16))/(H17+H18))</f>
        <v>3.41003574924164</v>
      </c>
      <c r="I27" s="24" t="n">
        <f aca="false">IF(OR(I16="",H16="",G16=""),"",(I17/(I17+I18)*I16+I18/(I17+I18)*(CapexGW!$D$6*I16+CapexGW!$E$6*H16+CapexGW!$F$6*G16))/(I17+I18))</f>
        <v>3.95601155416906</v>
      </c>
      <c r="J27" s="24" t="n">
        <f aca="false">IF(OR(J16="",I16="",H16=""),"",(J17/(J17+J18)*J16+J18/(J17+J18)*(CapexGW!$D$6*J16+CapexGW!$E$6*I16+CapexGW!$F$6*H16))/(J17+J18))</f>
        <v>4.60068352232977</v>
      </c>
      <c r="K27" s="24" t="n">
        <f aca="false">IF(OR(K16="",J16="",I16=""),"",(K17/(K17+K18)*K16+K18/(K17+K18)*(CapexGW!$D$6*K16+CapexGW!$E$6*J16+CapexGW!$F$6*I16))/(K17+K18))</f>
        <v>5.09873393101743</v>
      </c>
      <c r="L27" s="24" t="n">
        <f aca="false">IF(OR(L16="",K16="",J16=""),"",(L17/(L17+L18)*L16+L18/(L17+L18)*(CapexGW!$D$6*L16+CapexGW!$E$6*K16+CapexGW!$F$6*J16))/(L17+L18))</f>
        <v>5.63637036646622</v>
      </c>
      <c r="M27" s="24" t="n">
        <f aca="false">IF(OR(M16="",L16="",K16=""),"",(M17/(M17+M18)*M16+M18/(M17+M18)*(CapexGW!$D$6*M16+CapexGW!$E$6*L16+CapexGW!$F$6*K16))/(M17+M18))</f>
        <v>6.20000740311284</v>
      </c>
    </row>
    <row r="29" customFormat="false" ht="17.15" hidden="false" customHeight="false" outlineLevel="0" collapsed="false">
      <c r="A29" s="8" t="s">
        <v>880</v>
      </c>
      <c r="B29" s="20" t="s">
        <v>446</v>
      </c>
      <c r="N29" s="20" t="s">
        <v>1310</v>
      </c>
    </row>
    <row r="30" customFormat="false" ht="17.15" hidden="false" customHeight="false" outlineLevel="0" collapsed="false">
      <c r="A30" s="5" t="s">
        <v>1278</v>
      </c>
      <c r="B30" s="0" t="s">
        <v>882</v>
      </c>
      <c r="C30" s="0" t="s">
        <v>325</v>
      </c>
      <c r="D30" s="19" t="str">
        <f aca="false">IF(In!H105="","",In!H105)</f>
        <v/>
      </c>
      <c r="E30" s="19" t="str">
        <f aca="false">IF(In!I105="","",In!I105)</f>
        <v/>
      </c>
      <c r="F30" s="30" t="n">
        <f aca="false">IF(In!J105="","",In!J105)</f>
        <v>91.447</v>
      </c>
      <c r="G30" s="30" t="n">
        <f aca="false">IF(In!K105="","",In!K105)</f>
        <v>200</v>
      </c>
      <c r="H30" s="30" t="n">
        <f aca="false">IF(In!L105="","",In!L105)</f>
        <v>300.979</v>
      </c>
      <c r="I30" s="30" t="n">
        <f aca="false">IF(In!M105="","",In!M105)</f>
        <v>339.451</v>
      </c>
      <c r="J30" s="19" t="str">
        <f aca="false">IF(In!N105="","",In!N105)</f>
        <v/>
      </c>
      <c r="K30" s="19" t="str">
        <f aca="false">IF(In!O105="","",In!O105)</f>
        <v/>
      </c>
      <c r="L30" s="19" t="str">
        <f aca="false">IF(In!P105="","",In!P105)</f>
        <v/>
      </c>
      <c r="M30" s="19" t="str">
        <f aca="false">IF(In!Q105="","",In!Q105)</f>
        <v/>
      </c>
    </row>
    <row r="31" customFormat="false" ht="15" hidden="false" customHeight="false" outlineLevel="0" collapsed="false">
      <c r="A31" s="5" t="s">
        <v>1279</v>
      </c>
      <c r="B31" s="0" t="s">
        <v>1311</v>
      </c>
      <c r="C31" s="0" t="s">
        <v>33</v>
      </c>
      <c r="D31" s="26" t="n">
        <f aca="false">(D30&lt;&gt;"")</f>
        <v>0</v>
      </c>
      <c r="E31" s="26" t="n">
        <f aca="false">(E30&lt;&gt;"")+D31</f>
        <v>0</v>
      </c>
      <c r="F31" s="26" t="n">
        <f aca="false">(F30&lt;&gt;"")+E31</f>
        <v>1</v>
      </c>
      <c r="G31" s="26" t="n">
        <f aca="false">(G30&lt;&gt;"")+F31</f>
        <v>2</v>
      </c>
      <c r="H31" s="26" t="n">
        <f aca="false">(H30&lt;&gt;"")+G31</f>
        <v>3</v>
      </c>
      <c r="I31" s="26" t="n">
        <f aca="false">(I30&lt;&gt;"")+H31</f>
        <v>4</v>
      </c>
      <c r="J31" s="26" t="n">
        <f aca="false">(J30&lt;&gt;"")+I31</f>
        <v>4</v>
      </c>
      <c r="K31" s="26" t="n">
        <f aca="false">(K30&lt;&gt;"")+J31</f>
        <v>4</v>
      </c>
      <c r="L31" s="26" t="n">
        <f aca="false">(L30&lt;&gt;"")+K31</f>
        <v>4</v>
      </c>
      <c r="M31" s="26" t="n">
        <f aca="false">(M30&lt;&gt;"")+L31</f>
        <v>4</v>
      </c>
    </row>
    <row r="32" customFormat="false" ht="15" hidden="false" customHeight="false" outlineLevel="0" collapsed="false">
      <c r="A32" s="5" t="s">
        <v>1281</v>
      </c>
      <c r="B32" s="0" t="s">
        <v>887</v>
      </c>
      <c r="C32" s="0" t="s">
        <v>325</v>
      </c>
      <c r="D32" s="31" t="n">
        <f aca="false">IF(D30&lt;&gt;"",D30,E32)</f>
        <v>91.447</v>
      </c>
      <c r="E32" s="31" t="n">
        <f aca="false">IF(E30&lt;&gt;"",E30,F32)</f>
        <v>91.447</v>
      </c>
      <c r="F32" s="31" t="n">
        <f aca="false">IF(F30&lt;&gt;"",F30,G32)</f>
        <v>91.447</v>
      </c>
      <c r="G32" s="31" t="n">
        <f aca="false">IF(G30&lt;&gt;"",G30,H32)</f>
        <v>200</v>
      </c>
      <c r="H32" s="31" t="n">
        <f aca="false">IF(H30&lt;&gt;"",H30,I32)</f>
        <v>300.979</v>
      </c>
      <c r="I32" s="31" t="n">
        <f aca="false">IF(I30&lt;&gt;"",I30,J32)</f>
        <v>339.451</v>
      </c>
      <c r="J32" s="0" t="str">
        <f aca="false">IF(J30&lt;&gt;"",J30,K32)</f>
        <v/>
      </c>
      <c r="K32" s="0" t="str">
        <f aca="false">IF(K30&lt;&gt;"",K30,L32)</f>
        <v/>
      </c>
      <c r="L32" s="0" t="str">
        <f aca="false">IF(L30&lt;&gt;"",L30,M32)</f>
        <v/>
      </c>
      <c r="M32" s="0" t="str">
        <f aca="false">IF(M30&lt;&gt;"",M30,"")</f>
        <v/>
      </c>
    </row>
    <row r="33" customFormat="false" ht="15" hidden="false" customHeight="false" outlineLevel="0" collapsed="false">
      <c r="A33" s="5" t="s">
        <v>1282</v>
      </c>
      <c r="B33" s="0" t="s">
        <v>1312</v>
      </c>
      <c r="C33" s="0" t="s">
        <v>325</v>
      </c>
      <c r="D33" s="32" t="str">
        <f aca="false">IF(D30&lt;&gt;"",D30,IF(0&gt;0,""*(1+cap_g_ext),""))</f>
        <v/>
      </c>
      <c r="E33" s="32" t="str">
        <f aca="false">IF(E30&lt;&gt;"",E30,IF(D31&gt;0,D33*(1+cap_g_ext),""))</f>
        <v/>
      </c>
      <c r="F33" s="32" t="n">
        <f aca="false">IF(F30&lt;&gt;"",F30,IF(E31&gt;0,E33*(1+cap_g_ext),""))</f>
        <v>91.447</v>
      </c>
      <c r="G33" s="32" t="n">
        <f aca="false">IF(G30&lt;&gt;"",G30,IF(F31&gt;0,F33*(1+cap_g_ext),""))</f>
        <v>200</v>
      </c>
      <c r="H33" s="32" t="n">
        <f aca="false">IF(H30&lt;&gt;"",H30,IF(G31&gt;0,G33*(1+cap_g_ext),""))</f>
        <v>300.979</v>
      </c>
      <c r="I33" s="32" t="n">
        <f aca="false">IF(I30&lt;&gt;"",I30,IF(H31&gt;0,H33*(1+cap_g_ext),""))</f>
        <v>339.451</v>
      </c>
      <c r="J33" s="32" t="n">
        <f aca="false">IF(J30&lt;&gt;"",J30,IF(I31&gt;0,I33*(1+cap_g_ext),""))</f>
        <v>373.3961</v>
      </c>
      <c r="K33" s="32" t="n">
        <f aca="false">IF(K30&lt;&gt;"",K30,IF(J31&gt;0,J33*(1+cap_g_ext),""))</f>
        <v>410.73571</v>
      </c>
      <c r="L33" s="32" t="n">
        <f aca="false">IF(L30&lt;&gt;"",L30,IF(K31&gt;0,K33*(1+cap_g_ext),""))</f>
        <v>451.809281</v>
      </c>
      <c r="M33" s="32" t="n">
        <f aca="false">IF(M30&lt;&gt;"",M30,IF(L31&gt;0,L33*(1+cap_g_ext),""))</f>
        <v>496.9902091</v>
      </c>
    </row>
    <row r="34" customFormat="false" ht="15" hidden="false" customHeight="false" outlineLevel="0" collapsed="false">
      <c r="A34" s="5" t="s">
        <v>1284</v>
      </c>
      <c r="B34" s="0" t="s">
        <v>1313</v>
      </c>
      <c r="C34" s="0" t="s">
        <v>325</v>
      </c>
      <c r="D34" s="32" t="str">
        <f aca="false">IF(OR(D33="",AND(fye_googl&lt;12,E33="")),"",D33*fye_googl/12+IF(fye_googl&lt;12,E33,0)*(12-fye_googl)/12)</f>
        <v/>
      </c>
      <c r="E34" s="32" t="str">
        <f aca="false">IF(OR(E33="",AND(fye_googl&lt;12,F33="")),"",E33*fye_googl/12+IF(fye_googl&lt;12,F33,0)*(12-fye_googl)/12)</f>
        <v/>
      </c>
      <c r="F34" s="32" t="n">
        <f aca="false">IF(OR(F33="",AND(fye_googl&lt;12,G33="")),"",F33*fye_googl/12+IF(fye_googl&lt;12,G33,0)*(12-fye_googl)/12)</f>
        <v>91.447</v>
      </c>
      <c r="G34" s="32" t="n">
        <f aca="false">IF(OR(G33="",AND(fye_googl&lt;12,H33="")),"",G33*fye_googl/12+IF(fye_googl&lt;12,H33,0)*(12-fye_googl)/12)</f>
        <v>200</v>
      </c>
      <c r="H34" s="32" t="n">
        <f aca="false">IF(OR(H33="",AND(fye_googl&lt;12,I33="")),"",H33*fye_googl/12+IF(fye_googl&lt;12,I33,0)*(12-fye_googl)/12)</f>
        <v>300.979</v>
      </c>
      <c r="I34" s="32" t="n">
        <f aca="false">IF(OR(I33="",AND(fye_googl&lt;12,J33="")),"",I33*fye_googl/12+IF(fye_googl&lt;12,J33,0)*(12-fye_googl)/12)</f>
        <v>339.451</v>
      </c>
      <c r="J34" s="32" t="n">
        <f aca="false">IF(OR(J33="",AND(fye_googl&lt;12,K33="")),"",J33*fye_googl/12+IF(fye_googl&lt;12,K33,0)*(12-fye_googl)/12)</f>
        <v>373.3961</v>
      </c>
      <c r="K34" s="32" t="n">
        <f aca="false">IF(OR(K33="",AND(fye_googl&lt;12,L33="")),"",K33*fye_googl/12+IF(fye_googl&lt;12,L33,0)*(12-fye_googl)/12)</f>
        <v>410.73571</v>
      </c>
      <c r="L34" s="32" t="n">
        <f aca="false">IF(OR(L33="",AND(fye_googl&lt;12,M33="")),"",L33*fye_googl/12+IF(fye_googl&lt;12,M33,0)*(12-fye_googl)/12)</f>
        <v>451.809281</v>
      </c>
      <c r="M34" s="32" t="n">
        <f aca="false">IF(OR(M33="",AND(fye_googl&lt;12,IF(M33="","",M33*(1+cap_g_ext))="")),"",M33*fye_googl/12+IF(fye_googl&lt;12,IF(M33="","",M33*(1+cap_g_ext)),0)*(12-fye_googl)/12)</f>
        <v>496.9902091</v>
      </c>
    </row>
    <row r="35" customFormat="false" ht="17.15" hidden="false" customHeight="false" outlineLevel="0" collapsed="false">
      <c r="A35" s="5" t="s">
        <v>1286</v>
      </c>
      <c r="B35" s="0" t="s">
        <v>1314</v>
      </c>
      <c r="C35" s="0" t="s">
        <v>325</v>
      </c>
      <c r="D35" s="32" t="str">
        <f aca="false">IF(D34="","",D34*ai_sh)</f>
        <v/>
      </c>
      <c r="E35" s="32" t="str">
        <f aca="false">IF(E34="","",E34*ai_sh)</f>
        <v/>
      </c>
      <c r="F35" s="32" t="n">
        <f aca="false">IF(F34="","",F34*ai_sh)</f>
        <v>77.72995</v>
      </c>
      <c r="G35" s="32" t="n">
        <f aca="false">IF(G34="","",G34*ai_sh)</f>
        <v>170</v>
      </c>
      <c r="H35" s="32" t="n">
        <f aca="false">IF(H34="","",H34*ai_sh)</f>
        <v>255.83215</v>
      </c>
      <c r="I35" s="32" t="n">
        <f aca="false">IF(I34="","",I34*ai_sh)</f>
        <v>288.53335</v>
      </c>
      <c r="J35" s="32" t="n">
        <f aca="false">IF(J34="","",J34*ai_sh)</f>
        <v>317.386685</v>
      </c>
      <c r="K35" s="32" t="n">
        <f aca="false">IF(K34="","",K34*ai_sh)</f>
        <v>349.1253535</v>
      </c>
      <c r="L35" s="32" t="n">
        <f aca="false">IF(L34="","",L34*ai_sh)</f>
        <v>384.03788885</v>
      </c>
      <c r="M35" s="32" t="n">
        <f aca="false">IF(M34="","",M34*ai_sh)</f>
        <v>422.441677735</v>
      </c>
    </row>
    <row r="36" customFormat="false" ht="17.15" hidden="false" customHeight="false" outlineLevel="0" collapsed="false">
      <c r="A36" s="5" t="s">
        <v>1288</v>
      </c>
      <c r="B36" s="0" t="s">
        <v>1315</v>
      </c>
      <c r="C36" s="0" t="s">
        <v>325</v>
      </c>
      <c r="D36" s="29" t="n">
        <f aca="false">(1-Players!D57)*D$7+Players!D57*TK_NonNV_Hold_TPU*TK_CapexIT_VR200</f>
        <v>26.6067889972</v>
      </c>
      <c r="E36" s="29" t="n">
        <f aca="false">(1-Players!E57)*E$7+Players!E57*TK_NonNV_Hold_TPU*TK_CapexIT_VR200</f>
        <v>26.6067889972</v>
      </c>
      <c r="F36" s="29" t="n">
        <f aca="false">(1-Players!F57)*F$7+Players!F57*TK_NonNV_Hold_TPU*TK_CapexIT_VR200</f>
        <v>26.2360108752</v>
      </c>
      <c r="G36" s="29" t="n">
        <f aca="false">(1-Players!G57)*G$7+Players!G57*TK_NonNV_Hold_TPU*TK_CapexIT_VR200</f>
        <v>28.06503208272</v>
      </c>
      <c r="H36" s="29" t="n">
        <f aca="false">(1-Players!H57)*H$7+Players!H57*TK_NonNV_Hold_TPU*TK_CapexIT_VR200</f>
        <v>29.281842304383</v>
      </c>
      <c r="I36" s="29" t="n">
        <f aca="false">(1-Players!I57)*I$7+Players!I57*TK_NonNV_Hold_TPU*TK_CapexIT_VR200</f>
        <v>30.020923498987</v>
      </c>
      <c r="J36" s="29" t="n">
        <f aca="false">(1-Players!J57)*J$7+Players!J57*TK_NonNV_Hold_TPU*TK_CapexIT_VR200</f>
        <v>30.020923498987</v>
      </c>
      <c r="K36" s="29" t="n">
        <f aca="false">(1-Players!K57)*K$7+Players!K57*TK_NonNV_Hold_TPU*TK_CapexIT_VR200</f>
        <v>30.020923498987</v>
      </c>
      <c r="L36" s="29" t="n">
        <f aca="false">(1-Players!L57)*L$7+Players!L57*TK_NonNV_Hold_TPU*TK_CapexIT_VR200</f>
        <v>30.020923498987</v>
      </c>
      <c r="M36" s="29" t="n">
        <f aca="false">(1-Players!M57)*M$7+Players!M57*TK_NonNV_Hold_TPU*TK_CapexIT_VR200</f>
        <v>30.020923498987</v>
      </c>
    </row>
    <row r="37" customFormat="false" ht="17.15" hidden="false" customHeight="false" outlineLevel="0" collapsed="false">
      <c r="A37" s="5" t="s">
        <v>1290</v>
      </c>
      <c r="B37" s="0" t="s">
        <v>1316</v>
      </c>
      <c r="C37" s="0" t="s">
        <v>325</v>
      </c>
      <c r="D37" s="29" t="n">
        <f aca="false">(1-Players!D57)*D$8+Players!D57*TK_NonNV_Hold_TPU*TK_CapexFacility_VR200</f>
        <v>9.807847</v>
      </c>
      <c r="E37" s="29" t="n">
        <f aca="false">(1-Players!E57)*E$8+Players!E57*TK_NonNV_Hold_TPU*TK_CapexFacility_VR200</f>
        <v>9.807847</v>
      </c>
      <c r="F37" s="29" t="n">
        <f aca="false">(1-Players!F57)*F$8+Players!F57*TK_NonNV_Hold_TPU*TK_CapexFacility_VR200</f>
        <v>9.807847</v>
      </c>
      <c r="G37" s="29" t="n">
        <f aca="false">(1-Players!G57)*G$8+Players!G57*TK_NonNV_Hold_TPU*TK_CapexFacility_VR200</f>
        <v>9.807847</v>
      </c>
      <c r="H37" s="29" t="n">
        <f aca="false">(1-Players!H57)*H$8+Players!H57*TK_NonNV_Hold_TPU*TK_CapexFacility_VR200</f>
        <v>9.807847</v>
      </c>
      <c r="I37" s="29" t="n">
        <f aca="false">(1-Players!I57)*I$8+Players!I57*TK_NonNV_Hold_TPU*TK_CapexFacility_VR200</f>
        <v>9.807847</v>
      </c>
      <c r="J37" s="29" t="n">
        <f aca="false">(1-Players!J57)*J$8+Players!J57*TK_NonNV_Hold_TPU*TK_CapexFacility_VR200</f>
        <v>9.807847</v>
      </c>
      <c r="K37" s="29" t="n">
        <f aca="false">(1-Players!K57)*K$8+Players!K57*TK_NonNV_Hold_TPU*TK_CapexFacility_VR200</f>
        <v>9.807847</v>
      </c>
      <c r="L37" s="29" t="n">
        <f aca="false">(1-Players!L57)*L$8+Players!L57*TK_NonNV_Hold_TPU*TK_CapexFacility_VR200</f>
        <v>9.807847</v>
      </c>
      <c r="M37" s="29" t="n">
        <f aca="false">(1-Players!M57)*M$8+Players!M57*TK_NonNV_Hold_TPU*TK_CapexFacility_VR200</f>
        <v>9.807847</v>
      </c>
    </row>
    <row r="38" customFormat="false" ht="17.15" hidden="false" customHeight="false" outlineLevel="0" collapsed="false">
      <c r="A38" s="5" t="s">
        <v>1292</v>
      </c>
      <c r="B38" s="0" t="s">
        <v>1317</v>
      </c>
      <c r="C38" s="0" t="s">
        <v>325</v>
      </c>
      <c r="D38" s="32" t="str">
        <f aca="false">IF(OR(D35="",D35="",D35=""),"",D36/(D36+D37)*D35+D37/(D36+D37)*(CapexGW!$D$4*D35+CapexGW!$E$4*D35+CapexGW!$F$4*D35))</f>
        <v/>
      </c>
      <c r="E38" s="32" t="str">
        <f aca="false">IF(OR(E35="",D35="",E35=""),"",E36/(E36+E37)*E35+E37/(E36+E37)*(CapexGW!$D$4*E35+CapexGW!$E$4*D35+CapexGW!$F$4*E35))</f>
        <v/>
      </c>
      <c r="F38" s="32" t="str">
        <f aca="false">IF(OR(F35="",E35="",D35=""),"",F36/(F36+F37)*F35+F37/(F36+F37)*(CapexGW!$D$4*F35+CapexGW!$E$4*E35+CapexGW!$F$4*D35))</f>
        <v/>
      </c>
      <c r="G38" s="32" t="str">
        <f aca="false">IF(OR(G35="",F35="",E35=""),"",G36/(G36+G37)*G35+G37/(G36+G37)*(CapexGW!$D$4*G35+CapexGW!$E$4*F35+CapexGW!$F$4*E35))</f>
        <v/>
      </c>
      <c r="H38" s="32" t="n">
        <f aca="false">IF(OR(H35="",G35="",F35=""),"",H36/(H36+H37)*H35+H37/(H36+H37)*(CapexGW!$D$4*H35+CapexGW!$E$4*G35+CapexGW!$F$4*F35))</f>
        <v>222.720762202986</v>
      </c>
      <c r="I38" s="32" t="n">
        <f aca="false">IF(OR(I35="",H35="",G35=""),"",I36/(I36+I37)*I35+I37/(I36+I37)*(CapexGW!$D$4*I35+CapexGW!$E$4*H35+CapexGW!$F$4*G35))</f>
        <v>269.912572746136</v>
      </c>
      <c r="J38" s="32" t="n">
        <f aca="false">IF(OR(J35="",I35="",H35=""),"",J36/(J36+J37)*J35+J37/(J36+J37)*(CapexGW!$D$4*J35+CapexGW!$E$4*I35+CapexGW!$F$4*H35))</f>
        <v>306.255202086431</v>
      </c>
      <c r="K38" s="32" t="n">
        <f aca="false">IF(OR(K35="",J35="",I35=""),"",K36/(K36+K37)*K35+K37/(K36+K37)*(CapexGW!$D$4*K35+CapexGW!$E$4*J35+CapexGW!$F$4*I35))</f>
        <v>337.757125294133</v>
      </c>
      <c r="L38" s="32" t="n">
        <f aca="false">IF(OR(L35="",K35="",J35=""),"",L36/(L36+L37)*L35+L37/(L36+L37)*(CapexGW!$D$4*L35+CapexGW!$E$4*K35+CapexGW!$F$4*J35))</f>
        <v>371.532837823546</v>
      </c>
      <c r="M38" s="32" t="n">
        <f aca="false">IF(OR(M35="",L35="",K35=""),"",M36/(M36+M37)*M35+M37/(M36+M37)*(CapexGW!$D$4*M35+CapexGW!$E$4*L35+CapexGW!$F$4*K35))</f>
        <v>408.686121605901</v>
      </c>
    </row>
    <row r="39" customFormat="false" ht="17.15" hidden="false" customHeight="false" outlineLevel="0" collapsed="false">
      <c r="A39" s="5" t="s">
        <v>1294</v>
      </c>
      <c r="B39" s="0" t="s">
        <v>1318</v>
      </c>
      <c r="C39" s="0" t="s">
        <v>75</v>
      </c>
      <c r="D39" s="25" t="str">
        <f aca="false">IF(D38="","",D38/(D36+D37))</f>
        <v/>
      </c>
      <c r="E39" s="25" t="str">
        <f aca="false">IF(E38="","",E38/(E36+E37))</f>
        <v/>
      </c>
      <c r="F39" s="25" t="str">
        <f aca="false">IF(F38="","",F38/(F36+F37))</f>
        <v/>
      </c>
      <c r="G39" s="25" t="str">
        <f aca="false">IF(G38="","",G38/(G36+G37))</f>
        <v/>
      </c>
      <c r="H39" s="25" t="n">
        <f aca="false">IF(H38="","",H38/(H36+H37))</f>
        <v>5.69768565998842</v>
      </c>
      <c r="I39" s="25" t="n">
        <f aca="false">IF(I38="","",I38/(I36+I37))</f>
        <v>6.77682412398346</v>
      </c>
      <c r="J39" s="25" t="n">
        <f aca="false">IF(J38="","",J38/(J36+J37))</f>
        <v>7.68929590970478</v>
      </c>
      <c r="K39" s="25" t="n">
        <f aca="false">IF(K38="","",K38/(K36+K37))</f>
        <v>8.4802297701538</v>
      </c>
      <c r="L39" s="25" t="n">
        <f aca="false">IF(L38="","",L38/(L36+L37))</f>
        <v>9.32825274716918</v>
      </c>
      <c r="M39" s="25" t="n">
        <f aca="false">IF(M38="","",M38/(M36+M37))</f>
        <v>10.2610780218861</v>
      </c>
    </row>
    <row r="40" customFormat="false" ht="17.15" hidden="false" customHeight="false" outlineLevel="0" collapsed="false">
      <c r="A40" s="5" t="s">
        <v>1296</v>
      </c>
      <c r="B40" s="0" t="s">
        <v>1319</v>
      </c>
      <c r="C40" s="0" t="s">
        <v>75</v>
      </c>
      <c r="D40" s="19" t="n">
        <f aca="false">Players!D55</f>
        <v>0</v>
      </c>
      <c r="E40" s="27" t="n">
        <f aca="false">Players!E55</f>
        <v>1.32980834349181</v>
      </c>
      <c r="F40" s="27" t="n">
        <f aca="false">Players!F55</f>
        <v>2.40961330082622</v>
      </c>
      <c r="G40" s="27" t="n">
        <f aca="false">Players!G55</f>
        <v>1.29267912772586</v>
      </c>
      <c r="H40" s="27" t="n">
        <f aca="false">Players!H55</f>
        <v>0</v>
      </c>
      <c r="I40" s="27" t="n">
        <f aca="false">Players!I55</f>
        <v>0</v>
      </c>
      <c r="J40" s="27" t="n">
        <f aca="false">Players!J55</f>
        <v>0</v>
      </c>
      <c r="K40" s="27" t="n">
        <f aca="false">Players!K55</f>
        <v>0</v>
      </c>
      <c r="L40" s="27" t="n">
        <f aca="false">Players!L55</f>
        <v>0</v>
      </c>
      <c r="M40" s="27" t="n">
        <f aca="false">Players!M55</f>
        <v>0</v>
      </c>
    </row>
    <row r="41" customFormat="false" ht="17.15" hidden="false" customHeight="false" outlineLevel="0" collapsed="false">
      <c r="A41" s="5" t="s">
        <v>1298</v>
      </c>
      <c r="B41" s="0" t="s">
        <v>1320</v>
      </c>
      <c r="C41" s="0" t="s">
        <v>75</v>
      </c>
      <c r="D41" s="24" t="n">
        <f aca="false">IF(AND(2023&gt;=2027,D39&lt;&gt;""),D39,D40)</f>
        <v>0</v>
      </c>
      <c r="E41" s="24" t="n">
        <f aca="false">IF(AND(2024&gt;=2027,E39&lt;&gt;""),E39,E40)</f>
        <v>1.32980834349181</v>
      </c>
      <c r="F41" s="24" t="n">
        <f aca="false">IF(AND(2025&gt;=2027,F39&lt;&gt;""),F39,F40)</f>
        <v>2.40961330082622</v>
      </c>
      <c r="G41" s="24" t="n">
        <f aca="false">IF(AND(2026&gt;=2027,G39&lt;&gt;""),G39,G40)</f>
        <v>1.29267912772586</v>
      </c>
      <c r="H41" s="24" t="n">
        <f aca="false">IF(AND(2027&gt;=2027,H39&lt;&gt;""),H39,H40)</f>
        <v>5.69768565998842</v>
      </c>
      <c r="I41" s="24" t="n">
        <f aca="false">IF(AND(2028&gt;=2027,I39&lt;&gt;""),I39,I40)</f>
        <v>6.77682412398346</v>
      </c>
      <c r="J41" s="24" t="n">
        <f aca="false">IF(AND(2029&gt;=2027,J39&lt;&gt;""),J39,J40)</f>
        <v>7.68929590970478</v>
      </c>
      <c r="K41" s="24" t="n">
        <f aca="false">IF(AND(2030&gt;=2027,K39&lt;&gt;""),K39,K40)</f>
        <v>8.4802297701538</v>
      </c>
      <c r="L41" s="24" t="n">
        <f aca="false">IF(AND(2031&gt;=2027,L39&lt;&gt;""),L39,L40)</f>
        <v>9.32825274716918</v>
      </c>
      <c r="M41" s="24" t="n">
        <f aca="false">IF(AND(2032&gt;=2027,M39&lt;&gt;""),M39,M40)</f>
        <v>10.2610780218861</v>
      </c>
    </row>
    <row r="42" customFormat="false" ht="17.15" hidden="false" customHeight="false" outlineLevel="0" collapsed="false">
      <c r="A42" s="5" t="s">
        <v>1300</v>
      </c>
      <c r="B42" s="0" t="s">
        <v>1321</v>
      </c>
      <c r="C42" s="0" t="s">
        <v>75</v>
      </c>
      <c r="D42" s="24" t="n">
        <f aca="false">N(Players!D49)</f>
        <v>0.560578355681972</v>
      </c>
      <c r="E42" s="24" t="n">
        <f aca="false">IF(2024&gt;=2027,D42+E41,N(Players!E49))</f>
        <v>1.89038669917378</v>
      </c>
      <c r="F42" s="24" t="n">
        <f aca="false">IF(2025&gt;=2027,E42+F41,N(Players!F49))</f>
        <v>4.3</v>
      </c>
      <c r="G42" s="24" t="n">
        <f aca="false">IF(2026&gt;=2027,F42+G41,N(Players!G49))</f>
        <v>5.59267912772586</v>
      </c>
      <c r="H42" s="24" t="n">
        <f aca="false">IF(2027&gt;=2027,G42+H41,N(Players!H49))</f>
        <v>11.2903647877143</v>
      </c>
      <c r="I42" s="24" t="n">
        <f aca="false">IF(2028&gt;=2027,H42+I41,N(Players!I49))</f>
        <v>18.0671889116977</v>
      </c>
      <c r="J42" s="24" t="n">
        <f aca="false">IF(2029&gt;=2027,I42+J41,N(Players!J49))</f>
        <v>25.7564848214025</v>
      </c>
      <c r="K42" s="24" t="n">
        <f aca="false">IF(2030&gt;=2027,J42+K41,N(Players!K49))</f>
        <v>34.2367145915563</v>
      </c>
      <c r="L42" s="24" t="n">
        <f aca="false">IF(2031&gt;=2027,K42+L41,N(Players!L49))</f>
        <v>43.5649673387255</v>
      </c>
      <c r="M42" s="24" t="n">
        <f aca="false">IF(2032&gt;=2027,L42+M41,N(Players!M49))</f>
        <v>53.8260453606116</v>
      </c>
    </row>
    <row r="43" customFormat="false" ht="17.15" hidden="false" customHeight="false" outlineLevel="0" collapsed="false">
      <c r="A43" s="5" t="s">
        <v>1302</v>
      </c>
      <c r="B43" s="0" t="s">
        <v>1322</v>
      </c>
      <c r="C43" s="0" t="s">
        <v>75</v>
      </c>
      <c r="D43" s="24" t="str">
        <f aca="false">IF(D39="","",D39*ai_sh_lo/ai_sh)</f>
        <v/>
      </c>
      <c r="E43" s="24" t="str">
        <f aca="false">IF(E39="","",E39*ai_sh_lo/ai_sh)</f>
        <v/>
      </c>
      <c r="F43" s="24" t="str">
        <f aca="false">IF(F39="","",F39*ai_sh_lo/ai_sh)</f>
        <v/>
      </c>
      <c r="G43" s="24" t="str">
        <f aca="false">IF(G39="","",G39*ai_sh_lo/ai_sh)</f>
        <v/>
      </c>
      <c r="H43" s="24" t="n">
        <f aca="false">IF(H39="","",H39*ai_sh_lo/ai_sh)</f>
        <v>5.02736969998979</v>
      </c>
      <c r="I43" s="24" t="n">
        <f aca="false">IF(I39="","",I39*ai_sh_lo/ai_sh)</f>
        <v>5.97955069763246</v>
      </c>
      <c r="J43" s="24" t="n">
        <f aca="false">IF(J39="","",J39*ai_sh_lo/ai_sh)</f>
        <v>6.78467286150421</v>
      </c>
      <c r="K43" s="24" t="n">
        <f aca="false">IF(K39="","",K39*ai_sh_lo/ai_sh)</f>
        <v>7.48255567954747</v>
      </c>
      <c r="L43" s="24" t="n">
        <f aca="false">IF(L39="","",L39*ai_sh_lo/ai_sh)</f>
        <v>8.23081124750222</v>
      </c>
      <c r="M43" s="24" t="n">
        <f aca="false">IF(M39="","",M39*ai_sh_lo/ai_sh)</f>
        <v>9.05389237225244</v>
      </c>
    </row>
    <row r="44" customFormat="false" ht="17.15" hidden="false" customHeight="false" outlineLevel="0" collapsed="false">
      <c r="A44" s="5" t="s">
        <v>1304</v>
      </c>
      <c r="B44" s="0" t="s">
        <v>1323</v>
      </c>
      <c r="C44" s="0" t="s">
        <v>75</v>
      </c>
      <c r="D44" s="24" t="str">
        <f aca="false">IF(D39="","",D39*ai_sh_hi/ai_sh)</f>
        <v/>
      </c>
      <c r="E44" s="24" t="str">
        <f aca="false">IF(E39="","",E39*ai_sh_hi/ai_sh)</f>
        <v/>
      </c>
      <c r="F44" s="24" t="str">
        <f aca="false">IF(F39="","",F39*ai_sh_hi/ai_sh)</f>
        <v/>
      </c>
      <c r="G44" s="24" t="str">
        <f aca="false">IF(G39="","",G39*ai_sh_hi/ai_sh)</f>
        <v/>
      </c>
      <c r="H44" s="24" t="n">
        <f aca="false">IF(H39="","",H39*ai_sh_hi/ai_sh)</f>
        <v>6.36800161998706</v>
      </c>
      <c r="I44" s="24" t="n">
        <f aca="false">IF(I39="","",I39*ai_sh_hi/ai_sh)</f>
        <v>7.57409755033445</v>
      </c>
      <c r="J44" s="24" t="n">
        <f aca="false">IF(J39="","",J39*ai_sh_hi/ai_sh)</f>
        <v>8.59391895790534</v>
      </c>
      <c r="K44" s="24" t="n">
        <f aca="false">IF(K39="","",K39*ai_sh_hi/ai_sh)</f>
        <v>9.47790386076013</v>
      </c>
      <c r="L44" s="24" t="n">
        <f aca="false">IF(L39="","",L39*ai_sh_hi/ai_sh)</f>
        <v>10.4256942468361</v>
      </c>
      <c r="M44" s="24" t="n">
        <f aca="false">IF(M39="","",M39*ai_sh_hi/ai_sh)</f>
        <v>11.4682636715198</v>
      </c>
    </row>
    <row r="45" customFormat="false" ht="17.15" hidden="false" customHeight="false" outlineLevel="0" collapsed="false">
      <c r="A45" s="5" t="s">
        <v>1306</v>
      </c>
      <c r="B45" s="0" t="s">
        <v>1324</v>
      </c>
      <c r="C45" s="0" t="s">
        <v>75</v>
      </c>
      <c r="D45" s="24" t="str">
        <f aca="false">IF(OR(D35="",D35="",D35=""),"",(D36/(D36+D37)*D35+D37/(D36+D37)*(CapexGW!$D$5*D35+CapexGW!$E$5*D35+CapexGW!$F$5*D35))/(D36+D37))</f>
        <v/>
      </c>
      <c r="E45" s="24" t="str">
        <f aca="false">IF(OR(E35="",D35="",E35=""),"",(E36/(E36+E37)*E35+E37/(E36+E37)*(CapexGW!$D$5*E35+CapexGW!$E$5*D35+CapexGW!$F$5*E35))/(E36+E37))</f>
        <v/>
      </c>
      <c r="F45" s="24" t="str">
        <f aca="false">IF(OR(F35="",E35="",D35=""),"",(F36/(F36+F37)*F35+F37/(F36+F37)*(CapexGW!$D$5*F35+CapexGW!$E$5*E35+CapexGW!$F$5*D35))/(F36+F37))</f>
        <v/>
      </c>
      <c r="G45" s="24" t="str">
        <f aca="false">IF(OR(G35="",F35="",E35=""),"",(G36/(G36+G37)*G35+G37/(G36+G37)*(CapexGW!$D$5*G35+CapexGW!$E$5*F35+CapexGW!$F$5*E35))/(G36+G37))</f>
        <v/>
      </c>
      <c r="H45" s="24" t="n">
        <f aca="false">IF(OR(H35="",G35="",F35=""),"",(H36/(H36+H37)*H35+H37/(H36+H37)*(CapexGW!$D$5*H35+CapexGW!$E$5*G35+CapexGW!$F$5*F35))/(H36+H37))</f>
        <v>5.99381402276187</v>
      </c>
      <c r="I45" s="24" t="n">
        <f aca="false">IF(OR(I35="",H35="",G35=""),"",(I36/(I36+I37)*I35+I37/(I36+I37)*(CapexGW!$D$5*I35+CapexGW!$E$5*H35+CapexGW!$F$5*G35))/(I36+I37))</f>
        <v>7.04216238453379</v>
      </c>
      <c r="J45" s="24" t="n">
        <f aca="false">IF(OR(J35="",I35="",H35=""),"",(J36/(J36+J37)*J35+J37/(J36+J37)*(CapexGW!$D$5*J35+CapexGW!$E$5*I35+CapexGW!$F$5*H35))/(J36+J37))</f>
        <v>7.79038716194428</v>
      </c>
      <c r="K45" s="24" t="n">
        <f aca="false">IF(OR(K35="",J35="",I35=""),"",(K36/(K36+K37)*K35+K37/(K36+K37)*(CapexGW!$D$5*K35+CapexGW!$E$5*J35+CapexGW!$F$5*I35))/(K36+K37))</f>
        <v>8.56942587813871</v>
      </c>
      <c r="L45" s="24" t="n">
        <f aca="false">IF(OR(L35="",K35="",J35=""),"",(L36/(L36+L37)*L35+L37/(L36+L37)*(CapexGW!$D$5*L35+CapexGW!$E$5*K35+CapexGW!$F$5*J35))/(L36+L37))</f>
        <v>9.42636846595258</v>
      </c>
      <c r="M45" s="24" t="n">
        <f aca="false">IF(OR(M35="",L35="",K35=""),"",(M36/(M36+M37)*M35+M37/(M36+M37)*(CapexGW!$D$5*M35+CapexGW!$E$5*L35+CapexGW!$F$5*K35))/(M36+M37))</f>
        <v>10.3690053125478</v>
      </c>
    </row>
    <row r="46" customFormat="false" ht="17.15" hidden="false" customHeight="false" outlineLevel="0" collapsed="false">
      <c r="A46" s="5" t="s">
        <v>1308</v>
      </c>
      <c r="B46" s="0" t="s">
        <v>1325</v>
      </c>
      <c r="C46" s="0" t="s">
        <v>75</v>
      </c>
      <c r="D46" s="24" t="str">
        <f aca="false">IF(OR(D35="",D35="",D35=""),"",(D36/(D36+D37)*D35+D37/(D36+D37)*(CapexGW!$D$6*D35+CapexGW!$E$6*D35+CapexGW!$F$6*D35))/(D36+D37))</f>
        <v/>
      </c>
      <c r="E46" s="24" t="str">
        <f aca="false">IF(OR(E35="",D35="",E35=""),"",(E36/(E36+E37)*E35+E37/(E36+E37)*(CapexGW!$D$6*E35+CapexGW!$E$6*D35+CapexGW!$F$6*E35))/(E36+E37))</f>
        <v/>
      </c>
      <c r="F46" s="24" t="str">
        <f aca="false">IF(OR(F35="",E35="",D35=""),"",(F36/(F36+F37)*F35+F37/(F36+F37)*(CapexGW!$D$6*F35+CapexGW!$E$6*E35+CapexGW!$F$6*D35))/(F36+F37))</f>
        <v/>
      </c>
      <c r="G46" s="24" t="str">
        <f aca="false">IF(OR(G35="",F35="",E35=""),"",(G36/(G36+G37)*G35+G37/(G36+G37)*(CapexGW!$D$6*G35+CapexGW!$E$6*F35+CapexGW!$F$6*E35))/(G36+G37))</f>
        <v/>
      </c>
      <c r="H46" s="24" t="n">
        <f aca="false">IF(OR(H35="",G35="",F35=""),"",(H36/(H36+H37)*H35+H37/(H36+H37)*(CapexGW!$D$6*H35+CapexGW!$E$6*G35+CapexGW!$F$6*F35))/(H36+H37))</f>
        <v>5.40155729721498</v>
      </c>
      <c r="I46" s="24" t="n">
        <f aca="false">IF(OR(I35="",H35="",G35=""),"",(I36/(I36+I37)*I35+I37/(I36+I37)*(CapexGW!$D$6*I35+CapexGW!$E$6*H35+CapexGW!$F$6*G35))/(I36+I37))</f>
        <v>6.51148586343312</v>
      </c>
      <c r="J46" s="24" t="n">
        <f aca="false">IF(OR(J35="",I35="",H35=""),"",(J36/(J36+J37)*J35+J37/(J36+J37)*(CapexGW!$D$6*J35+CapexGW!$E$6*I35+CapexGW!$F$6*H35))/(J36+J37))</f>
        <v>7.58820465746527</v>
      </c>
      <c r="K46" s="24" t="n">
        <f aca="false">IF(OR(K35="",J35="",I35=""),"",(K36/(K36+K37)*K35+K37/(K36+K37)*(CapexGW!$D$6*K35+CapexGW!$E$6*J35+CapexGW!$F$6*I35))/(K36+K37))</f>
        <v>8.3910336621689</v>
      </c>
      <c r="L46" s="24" t="n">
        <f aca="false">IF(OR(L35="",K35="",J35=""),"",(L36/(L36+L37)*L35+L37/(L36+L37)*(CapexGW!$D$6*L35+CapexGW!$E$6*K35+CapexGW!$F$6*J35))/(L36+L37))</f>
        <v>9.23013702838579</v>
      </c>
      <c r="M46" s="24" t="n">
        <f aca="false">IF(OR(M35="",L35="",K35=""),"",(M36/(M36+M37)*M35+M37/(M36+M37)*(CapexGW!$D$6*M35+CapexGW!$E$6*L35+CapexGW!$F$6*K35))/(M36+M37))</f>
        <v>10.1531507312244</v>
      </c>
    </row>
    <row r="48" customFormat="false" ht="17.15" hidden="false" customHeight="false" outlineLevel="0" collapsed="false">
      <c r="A48" s="8" t="s">
        <v>899</v>
      </c>
      <c r="B48" s="20" t="s">
        <v>454</v>
      </c>
      <c r="N48" s="20" t="s">
        <v>1326</v>
      </c>
    </row>
    <row r="49" customFormat="false" ht="17.15" hidden="false" customHeight="false" outlineLevel="0" collapsed="false">
      <c r="A49" s="5" t="s">
        <v>1278</v>
      </c>
      <c r="B49" s="0" t="s">
        <v>901</v>
      </c>
      <c r="C49" s="0" t="s">
        <v>325</v>
      </c>
      <c r="D49" s="19" t="str">
        <f aca="false">IF(In!H106="","",In!H106)</f>
        <v/>
      </c>
      <c r="E49" s="19" t="str">
        <f aca="false">IF(In!I106="","",In!I106)</f>
        <v/>
      </c>
      <c r="F49" s="30" t="n">
        <f aca="false">IF(In!J106="","",In!J106)</f>
        <v>128.32</v>
      </c>
      <c r="G49" s="30" t="n">
        <f aca="false">IF(In!K106="","",In!K106)</f>
        <v>220</v>
      </c>
      <c r="H49" s="30" t="n">
        <f aca="false">IF(In!L106="","",In!L106)</f>
        <v>275.063</v>
      </c>
      <c r="I49" s="30" t="n">
        <f aca="false">IF(In!M106="","",In!M106)</f>
        <v>292.927</v>
      </c>
      <c r="J49" s="19" t="str">
        <f aca="false">IF(In!N106="","",In!N106)</f>
        <v/>
      </c>
      <c r="K49" s="19" t="str">
        <f aca="false">IF(In!O106="","",In!O106)</f>
        <v/>
      </c>
      <c r="L49" s="19" t="str">
        <f aca="false">IF(In!P106="","",In!P106)</f>
        <v/>
      </c>
      <c r="M49" s="19" t="str">
        <f aca="false">IF(In!Q106="","",In!Q106)</f>
        <v/>
      </c>
    </row>
    <row r="50" customFormat="false" ht="15" hidden="false" customHeight="false" outlineLevel="0" collapsed="false">
      <c r="A50" s="5" t="s">
        <v>1279</v>
      </c>
      <c r="B50" s="0" t="s">
        <v>1327</v>
      </c>
      <c r="C50" s="0" t="s">
        <v>33</v>
      </c>
      <c r="D50" s="26" t="n">
        <f aca="false">(D49&lt;&gt;"")</f>
        <v>0</v>
      </c>
      <c r="E50" s="26" t="n">
        <f aca="false">(E49&lt;&gt;"")+D50</f>
        <v>0</v>
      </c>
      <c r="F50" s="26" t="n">
        <f aca="false">(F49&lt;&gt;"")+E50</f>
        <v>1</v>
      </c>
      <c r="G50" s="26" t="n">
        <f aca="false">(G49&lt;&gt;"")+F50</f>
        <v>2</v>
      </c>
      <c r="H50" s="26" t="n">
        <f aca="false">(H49&lt;&gt;"")+G50</f>
        <v>3</v>
      </c>
      <c r="I50" s="26" t="n">
        <f aca="false">(I49&lt;&gt;"")+H50</f>
        <v>4</v>
      </c>
      <c r="J50" s="26" t="n">
        <f aca="false">(J49&lt;&gt;"")+I50</f>
        <v>4</v>
      </c>
      <c r="K50" s="26" t="n">
        <f aca="false">(K49&lt;&gt;"")+J50</f>
        <v>4</v>
      </c>
      <c r="L50" s="26" t="n">
        <f aca="false">(L49&lt;&gt;"")+K50</f>
        <v>4</v>
      </c>
      <c r="M50" s="26" t="n">
        <f aca="false">(M49&lt;&gt;"")+L50</f>
        <v>4</v>
      </c>
    </row>
    <row r="51" customFormat="false" ht="15" hidden="false" customHeight="false" outlineLevel="0" collapsed="false">
      <c r="A51" s="5" t="s">
        <v>1281</v>
      </c>
      <c r="B51" s="0" t="s">
        <v>906</v>
      </c>
      <c r="C51" s="0" t="s">
        <v>325</v>
      </c>
      <c r="D51" s="31" t="n">
        <f aca="false">IF(D49&lt;&gt;"",D49,E51)</f>
        <v>128.32</v>
      </c>
      <c r="E51" s="31" t="n">
        <f aca="false">IF(E49&lt;&gt;"",E49,F51)</f>
        <v>128.32</v>
      </c>
      <c r="F51" s="31" t="n">
        <f aca="false">IF(F49&lt;&gt;"",F49,G51)</f>
        <v>128.32</v>
      </c>
      <c r="G51" s="31" t="n">
        <f aca="false">IF(G49&lt;&gt;"",G49,H51)</f>
        <v>220</v>
      </c>
      <c r="H51" s="31" t="n">
        <f aca="false">IF(H49&lt;&gt;"",H49,I51)</f>
        <v>275.063</v>
      </c>
      <c r="I51" s="31" t="n">
        <f aca="false">IF(I49&lt;&gt;"",I49,J51)</f>
        <v>292.927</v>
      </c>
      <c r="J51" s="0" t="str">
        <f aca="false">IF(J49&lt;&gt;"",J49,K51)</f>
        <v/>
      </c>
      <c r="K51" s="0" t="str">
        <f aca="false">IF(K49&lt;&gt;"",K49,L51)</f>
        <v/>
      </c>
      <c r="L51" s="0" t="str">
        <f aca="false">IF(L49&lt;&gt;"",L49,M51)</f>
        <v/>
      </c>
      <c r="M51" s="0" t="str">
        <f aca="false">IF(M49&lt;&gt;"",M49,"")</f>
        <v/>
      </c>
    </row>
    <row r="52" customFormat="false" ht="15" hidden="false" customHeight="false" outlineLevel="0" collapsed="false">
      <c r="A52" s="5" t="s">
        <v>1282</v>
      </c>
      <c r="B52" s="0" t="s">
        <v>1328</v>
      </c>
      <c r="C52" s="0" t="s">
        <v>325</v>
      </c>
      <c r="D52" s="32" t="str">
        <f aca="false">IF(D49&lt;&gt;"",D49,IF(0&gt;0,""*(1+cap_g_ext),""))</f>
        <v/>
      </c>
      <c r="E52" s="32" t="str">
        <f aca="false">IF(E49&lt;&gt;"",E49,IF(D50&gt;0,D52*(1+cap_g_ext),""))</f>
        <v/>
      </c>
      <c r="F52" s="32" t="n">
        <f aca="false">IF(F49&lt;&gt;"",F49,IF(E50&gt;0,E52*(1+cap_g_ext),""))</f>
        <v>128.32</v>
      </c>
      <c r="G52" s="32" t="n">
        <f aca="false">IF(G49&lt;&gt;"",G49,IF(F50&gt;0,F52*(1+cap_g_ext),""))</f>
        <v>220</v>
      </c>
      <c r="H52" s="32" t="n">
        <f aca="false">IF(H49&lt;&gt;"",H49,IF(G50&gt;0,G52*(1+cap_g_ext),""))</f>
        <v>275.063</v>
      </c>
      <c r="I52" s="32" t="n">
        <f aca="false">IF(I49&lt;&gt;"",I49,IF(H50&gt;0,H52*(1+cap_g_ext),""))</f>
        <v>292.927</v>
      </c>
      <c r="J52" s="32" t="n">
        <f aca="false">IF(J49&lt;&gt;"",J49,IF(I50&gt;0,I52*(1+cap_g_ext),""))</f>
        <v>322.2197</v>
      </c>
      <c r="K52" s="32" t="n">
        <f aca="false">IF(K49&lt;&gt;"",K49,IF(J50&gt;0,J52*(1+cap_g_ext),""))</f>
        <v>354.44167</v>
      </c>
      <c r="L52" s="32" t="n">
        <f aca="false">IF(L49&lt;&gt;"",L49,IF(K50&gt;0,K52*(1+cap_g_ext),""))</f>
        <v>389.885837</v>
      </c>
      <c r="M52" s="32" t="n">
        <f aca="false">IF(M49&lt;&gt;"",M49,IF(L50&gt;0,L52*(1+cap_g_ext),""))</f>
        <v>428.8744207</v>
      </c>
    </row>
    <row r="53" customFormat="false" ht="15" hidden="false" customHeight="false" outlineLevel="0" collapsed="false">
      <c r="A53" s="5" t="s">
        <v>1284</v>
      </c>
      <c r="B53" s="0" t="s">
        <v>1329</v>
      </c>
      <c r="C53" s="0" t="s">
        <v>325</v>
      </c>
      <c r="D53" s="32" t="str">
        <f aca="false">IF(OR(D52="",AND(fye_amzn&lt;12,E52="")),"",D52*fye_amzn/12+IF(fye_amzn&lt;12,E52,0)*(12-fye_amzn)/12)</f>
        <v/>
      </c>
      <c r="E53" s="32" t="str">
        <f aca="false">IF(OR(E52="",AND(fye_amzn&lt;12,F52="")),"",E52*fye_amzn/12+IF(fye_amzn&lt;12,F52,0)*(12-fye_amzn)/12)</f>
        <v/>
      </c>
      <c r="F53" s="32" t="n">
        <f aca="false">IF(OR(F52="",AND(fye_amzn&lt;12,G52="")),"",F52*fye_amzn/12+IF(fye_amzn&lt;12,G52,0)*(12-fye_amzn)/12)</f>
        <v>128.32</v>
      </c>
      <c r="G53" s="32" t="n">
        <f aca="false">IF(OR(G52="",AND(fye_amzn&lt;12,H52="")),"",G52*fye_amzn/12+IF(fye_amzn&lt;12,H52,0)*(12-fye_amzn)/12)</f>
        <v>220</v>
      </c>
      <c r="H53" s="32" t="n">
        <f aca="false">IF(OR(H52="",AND(fye_amzn&lt;12,I52="")),"",H52*fye_amzn/12+IF(fye_amzn&lt;12,I52,0)*(12-fye_amzn)/12)</f>
        <v>275.063</v>
      </c>
      <c r="I53" s="32" t="n">
        <f aca="false">IF(OR(I52="",AND(fye_amzn&lt;12,J52="")),"",I52*fye_amzn/12+IF(fye_amzn&lt;12,J52,0)*(12-fye_amzn)/12)</f>
        <v>292.927</v>
      </c>
      <c r="J53" s="32" t="n">
        <f aca="false">IF(OR(J52="",AND(fye_amzn&lt;12,K52="")),"",J52*fye_amzn/12+IF(fye_amzn&lt;12,K52,0)*(12-fye_amzn)/12)</f>
        <v>322.2197</v>
      </c>
      <c r="K53" s="32" t="n">
        <f aca="false">IF(OR(K52="",AND(fye_amzn&lt;12,L52="")),"",K52*fye_amzn/12+IF(fye_amzn&lt;12,L52,0)*(12-fye_amzn)/12)</f>
        <v>354.44167</v>
      </c>
      <c r="L53" s="32" t="n">
        <f aca="false">IF(OR(L52="",AND(fye_amzn&lt;12,M52="")),"",L52*fye_amzn/12+IF(fye_amzn&lt;12,M52,0)*(12-fye_amzn)/12)</f>
        <v>389.885837</v>
      </c>
      <c r="M53" s="32" t="n">
        <f aca="false">IF(OR(M52="",AND(fye_amzn&lt;12,IF(M52="","",M52*(1+cap_g_ext))="")),"",M52*fye_amzn/12+IF(fye_amzn&lt;12,IF(M52="","",M52*(1+cap_g_ext)),0)*(12-fye_amzn)/12)</f>
        <v>428.8744207</v>
      </c>
    </row>
    <row r="54" customFormat="false" ht="17.15" hidden="false" customHeight="false" outlineLevel="0" collapsed="false">
      <c r="A54" s="5" t="s">
        <v>1286</v>
      </c>
      <c r="B54" s="0" t="s">
        <v>1330</v>
      </c>
      <c r="C54" s="0" t="s">
        <v>325</v>
      </c>
      <c r="D54" s="32" t="str">
        <f aca="false">IF(D53="","",D53*ai_amzn)</f>
        <v/>
      </c>
      <c r="E54" s="32" t="str">
        <f aca="false">IF(E53="","",E53*ai_amzn)</f>
        <v/>
      </c>
      <c r="F54" s="32" t="n">
        <f aca="false">IF(F53="","",F53*ai_amzn)</f>
        <v>87.2576</v>
      </c>
      <c r="G54" s="32" t="n">
        <f aca="false">IF(G53="","",G53*ai_amzn)</f>
        <v>149.6</v>
      </c>
      <c r="H54" s="32" t="n">
        <f aca="false">IF(H53="","",H53*ai_amzn)</f>
        <v>187.04284</v>
      </c>
      <c r="I54" s="32" t="n">
        <f aca="false">IF(I53="","",I53*ai_amzn)</f>
        <v>199.19036</v>
      </c>
      <c r="J54" s="32" t="n">
        <f aca="false">IF(J53="","",J53*ai_amzn)</f>
        <v>219.109396</v>
      </c>
      <c r="K54" s="32" t="n">
        <f aca="false">IF(K53="","",K53*ai_amzn)</f>
        <v>241.0203356</v>
      </c>
      <c r="L54" s="32" t="n">
        <f aca="false">IF(L53="","",L53*ai_amzn)</f>
        <v>265.12236916</v>
      </c>
      <c r="M54" s="32" t="n">
        <f aca="false">IF(M53="","",M53*ai_amzn)</f>
        <v>291.634606076</v>
      </c>
    </row>
    <row r="55" customFormat="false" ht="17.15" hidden="false" customHeight="false" outlineLevel="0" collapsed="false">
      <c r="A55" s="5" t="s">
        <v>1288</v>
      </c>
      <c r="B55" s="0" t="s">
        <v>1331</v>
      </c>
      <c r="C55" s="0" t="s">
        <v>325</v>
      </c>
      <c r="D55" s="29" t="n">
        <f aca="false">(1-Players!D76)*D$7+Players!D76*TK_NonNV_Hold_Trn*TK_CapexIT_VR200</f>
        <v>24.4399126824</v>
      </c>
      <c r="E55" s="29" t="n">
        <f aca="false">(1-Players!E76)*E$7+Players!E76*TK_NonNV_Hold_Trn*TK_CapexIT_VR200</f>
        <v>24.4399126824</v>
      </c>
      <c r="F55" s="29" t="n">
        <f aca="false">(1-Players!F76)*F$7+Players!F76*TK_NonNV_Hold_Trn*TK_CapexIT_VR200</f>
        <v>23.9445411024</v>
      </c>
      <c r="G55" s="29" t="n">
        <f aca="false">(1-Players!G76)*G$7+Players!G76*TK_NonNV_Hold_Trn*TK_CapexIT_VR200</f>
        <v>26.3881726752</v>
      </c>
      <c r="H55" s="29" t="n">
        <f aca="false">(1-Players!H76)*H$7+Players!H76*TK_NonNV_Hold_Trn*TK_CapexIT_VR200</f>
        <v>28.0138705421991</v>
      </c>
      <c r="I55" s="29" t="n">
        <f aca="false">(1-Players!I76)*I$7+Players!I76*TK_NonNV_Hold_Trn*TK_CapexIT_VR200</f>
        <v>29.0013069560425</v>
      </c>
      <c r="J55" s="29" t="n">
        <f aca="false">(1-Players!J76)*J$7+Players!J76*TK_NonNV_Hold_Trn*TK_CapexIT_VR200</f>
        <v>29.0013069560425</v>
      </c>
      <c r="K55" s="29" t="n">
        <f aca="false">(1-Players!K76)*K$7+Players!K76*TK_NonNV_Hold_Trn*TK_CapexIT_VR200</f>
        <v>29.0013069560425</v>
      </c>
      <c r="L55" s="29" t="n">
        <f aca="false">(1-Players!L76)*L$7+Players!L76*TK_NonNV_Hold_Trn*TK_CapexIT_VR200</f>
        <v>29.0013069560425</v>
      </c>
      <c r="M55" s="29" t="n">
        <f aca="false">(1-Players!M76)*M$7+Players!M76*TK_NonNV_Hold_Trn*TK_CapexIT_VR200</f>
        <v>29.0013069560425</v>
      </c>
    </row>
    <row r="56" customFormat="false" ht="17.15" hidden="false" customHeight="false" outlineLevel="0" collapsed="false">
      <c r="A56" s="5" t="s">
        <v>1290</v>
      </c>
      <c r="B56" s="0" t="s">
        <v>1332</v>
      </c>
      <c r="C56" s="0" t="s">
        <v>325</v>
      </c>
      <c r="D56" s="29" t="n">
        <f aca="false">(1-Players!D76)*D$8+Players!D76*TK_NonNV_Hold_Trn*TK_CapexFacility_VR200</f>
        <v>9.359329</v>
      </c>
      <c r="E56" s="29" t="n">
        <f aca="false">(1-Players!E76)*E$8+Players!E76*TK_NonNV_Hold_Trn*TK_CapexFacility_VR200</f>
        <v>9.359329</v>
      </c>
      <c r="F56" s="29" t="n">
        <f aca="false">(1-Players!F76)*F$8+Players!F76*TK_NonNV_Hold_Trn*TK_CapexFacility_VR200</f>
        <v>9.359329</v>
      </c>
      <c r="G56" s="29" t="n">
        <f aca="false">(1-Players!G76)*G$8+Players!G76*TK_NonNV_Hold_Trn*TK_CapexFacility_VR200</f>
        <v>9.359329</v>
      </c>
      <c r="H56" s="29" t="n">
        <f aca="false">(1-Players!H76)*H$8+Players!H76*TK_NonNV_Hold_Trn*TK_CapexFacility_VR200</f>
        <v>9.359329</v>
      </c>
      <c r="I56" s="29" t="n">
        <f aca="false">(1-Players!I76)*I$8+Players!I76*TK_NonNV_Hold_Trn*TK_CapexFacility_VR200</f>
        <v>9.359329</v>
      </c>
      <c r="J56" s="29" t="n">
        <f aca="false">(1-Players!J76)*J$8+Players!J76*TK_NonNV_Hold_Trn*TK_CapexFacility_VR200</f>
        <v>9.359329</v>
      </c>
      <c r="K56" s="29" t="n">
        <f aca="false">(1-Players!K76)*K$8+Players!K76*TK_NonNV_Hold_Trn*TK_CapexFacility_VR200</f>
        <v>9.359329</v>
      </c>
      <c r="L56" s="29" t="n">
        <f aca="false">(1-Players!L76)*L$8+Players!L76*TK_NonNV_Hold_Trn*TK_CapexFacility_VR200</f>
        <v>9.359329</v>
      </c>
      <c r="M56" s="29" t="n">
        <f aca="false">(1-Players!M76)*M$8+Players!M76*TK_NonNV_Hold_Trn*TK_CapexFacility_VR200</f>
        <v>9.359329</v>
      </c>
    </row>
    <row r="57" customFormat="false" ht="17.15" hidden="false" customHeight="false" outlineLevel="0" collapsed="false">
      <c r="A57" s="5" t="s">
        <v>1292</v>
      </c>
      <c r="B57" s="0" t="s">
        <v>1333</v>
      </c>
      <c r="C57" s="0" t="s">
        <v>325</v>
      </c>
      <c r="D57" s="32" t="str">
        <f aca="false">IF(OR(D54="",D54="",D54=""),"",D55/(D55+D56)*D54+D56/(D55+D56)*(CapexGW!$D$4*D54+CapexGW!$E$4*D54+CapexGW!$F$4*D54))</f>
        <v/>
      </c>
      <c r="E57" s="32" t="str">
        <f aca="false">IF(OR(E54="",D54="",E54=""),"",E55/(E55+E56)*E54+E56/(E55+E56)*(CapexGW!$D$4*E54+CapexGW!$E$4*D54+CapexGW!$F$4*E54))</f>
        <v/>
      </c>
      <c r="F57" s="32" t="str">
        <f aca="false">IF(OR(F54="",E54="",D54=""),"",F55/(F55+F56)*F54+F56/(F55+F56)*(CapexGW!$D$4*F54+CapexGW!$E$4*E54+CapexGW!$F$4*D54))</f>
        <v/>
      </c>
      <c r="G57" s="32" t="str">
        <f aca="false">IF(OR(G54="",F54="",E54=""),"",G55/(G55+G56)*G54+G56/(G55+G56)*(CapexGW!$D$4*G54+CapexGW!$E$4*F54+CapexGW!$F$4*E54))</f>
        <v/>
      </c>
      <c r="H57" s="32" t="n">
        <f aca="false">IF(OR(H54="",G54="",F54=""),"",H55/(H55+H56)*H54+H56/(H55+H56)*(CapexGW!$D$4*H54+CapexGW!$E$4*G54+CapexGW!$F$4*F54))</f>
        <v>169.859901898753</v>
      </c>
      <c r="I57" s="32" t="n">
        <f aca="false">IF(OR(I54="",H54="",G54=""),"",I55/(I55+I56)*I54+I56/(I55+I56)*(CapexGW!$D$4*I54+CapexGW!$E$4*H54+CapexGW!$F$4*G54))</f>
        <v>191.658874712</v>
      </c>
      <c r="J57" s="32" t="n">
        <f aca="false">IF(OR(J54="",I54="",H54=""),"",J55/(J55+J56)*J54+J56/(J55+J56)*(CapexGW!$D$4*J54+CapexGW!$E$4*I54+CapexGW!$F$4*H54))</f>
        <v>212.767605168569</v>
      </c>
      <c r="K57" s="32" t="n">
        <f aca="false">IF(OR(K54="",J54="",I54=""),"",K55/(K55+K56)*K54+K56/(K55+K56)*(CapexGW!$D$4*K54+CapexGW!$E$4*J54+CapexGW!$F$4*I54))</f>
        <v>233.244497410019</v>
      </c>
      <c r="L57" s="32" t="n">
        <f aca="false">IF(OR(L54="",K54="",J54=""),"",L55/(L55+L56)*L54+L56/(L55+L56)*(CapexGW!$D$4*L54+CapexGW!$E$4*K54+CapexGW!$F$4*J54))</f>
        <v>256.568947151021</v>
      </c>
      <c r="M57" s="32" t="n">
        <f aca="false">IF(OR(M54="",L54="",K54=""),"",M55/(M55+M56)*M54+M56/(M55+M56)*(CapexGW!$D$4*M54+CapexGW!$E$4*L54+CapexGW!$F$4*K54))</f>
        <v>282.225841866123</v>
      </c>
    </row>
    <row r="58" customFormat="false" ht="17.15" hidden="false" customHeight="false" outlineLevel="0" collapsed="false">
      <c r="A58" s="5" t="s">
        <v>1294</v>
      </c>
      <c r="B58" s="0" t="s">
        <v>1334</v>
      </c>
      <c r="C58" s="0" t="s">
        <v>75</v>
      </c>
      <c r="D58" s="25" t="str">
        <f aca="false">IF(D57="","",D57/(D55+D56))</f>
        <v/>
      </c>
      <c r="E58" s="25" t="str">
        <f aca="false">IF(E57="","",E57/(E55+E56))</f>
        <v/>
      </c>
      <c r="F58" s="25" t="str">
        <f aca="false">IF(F57="","",F57/(F55+F56))</f>
        <v/>
      </c>
      <c r="G58" s="25" t="str">
        <f aca="false">IF(G57="","",G57/(G55+G56))</f>
        <v/>
      </c>
      <c r="H58" s="25" t="n">
        <f aca="false">IF(H57="","",H57/(H55+H56))</f>
        <v>4.54496548273742</v>
      </c>
      <c r="I58" s="25" t="n">
        <f aca="false">IF(I57="","",I57/(I55+I56))</f>
        <v>4.99623819927339</v>
      </c>
      <c r="J58" s="25" t="n">
        <f aca="false">IF(J57="","",J57/(J55+J56))</f>
        <v>5.54650880690247</v>
      </c>
      <c r="K58" s="25" t="n">
        <f aca="false">IF(K57="","",K57/(K55+K56))</f>
        <v>6.08030840983174</v>
      </c>
      <c r="L58" s="25" t="n">
        <f aca="false">IF(L57="","",L57/(L55+L56))</f>
        <v>6.68833925081491</v>
      </c>
      <c r="M58" s="25" t="n">
        <f aca="false">IF(M57="","",M57/(M55+M56))</f>
        <v>7.35717317589641</v>
      </c>
    </row>
    <row r="59" customFormat="false" ht="17.15" hidden="false" customHeight="false" outlineLevel="0" collapsed="false">
      <c r="A59" s="5" t="s">
        <v>1296</v>
      </c>
      <c r="B59" s="0" t="s">
        <v>1335</v>
      </c>
      <c r="C59" s="0" t="s">
        <v>75</v>
      </c>
      <c r="D59" s="19" t="n">
        <f aca="false">Players!D74</f>
        <v>0</v>
      </c>
      <c r="E59" s="27" t="n">
        <f aca="false">Players!E74</f>
        <v>0</v>
      </c>
      <c r="F59" s="27" t="n">
        <f aca="false">Players!F74</f>
        <v>1.38971599402093</v>
      </c>
      <c r="G59" s="27" t="n">
        <f aca="false">Players!G74</f>
        <v>0.527</v>
      </c>
      <c r="H59" s="27" t="n">
        <f aca="false">Players!H74</f>
        <v>0</v>
      </c>
      <c r="I59" s="27" t="n">
        <f aca="false">Players!I74</f>
        <v>0.888</v>
      </c>
      <c r="J59" s="27" t="n">
        <f aca="false">Players!J74</f>
        <v>0</v>
      </c>
      <c r="K59" s="27" t="n">
        <f aca="false">Players!K74</f>
        <v>0</v>
      </c>
      <c r="L59" s="27" t="n">
        <f aca="false">Players!L74</f>
        <v>0</v>
      </c>
      <c r="M59" s="27" t="n">
        <f aca="false">Players!M74</f>
        <v>0</v>
      </c>
    </row>
    <row r="60" customFormat="false" ht="17.15" hidden="false" customHeight="false" outlineLevel="0" collapsed="false">
      <c r="A60" s="5" t="s">
        <v>1298</v>
      </c>
      <c r="B60" s="0" t="s">
        <v>1336</v>
      </c>
      <c r="C60" s="0" t="s">
        <v>75</v>
      </c>
      <c r="D60" s="24" t="n">
        <f aca="false">IF(AND(2023&gt;=2027,D58&lt;&gt;""),D58,D59)</f>
        <v>0</v>
      </c>
      <c r="E60" s="24" t="n">
        <f aca="false">IF(AND(2024&gt;=2027,E58&lt;&gt;""),E58,E59)</f>
        <v>0</v>
      </c>
      <c r="F60" s="24" t="n">
        <f aca="false">IF(AND(2025&gt;=2027,F58&lt;&gt;""),F58,F59)</f>
        <v>1.38971599402093</v>
      </c>
      <c r="G60" s="24" t="n">
        <f aca="false">IF(AND(2026&gt;=2027,G58&lt;&gt;""),G58,G59)</f>
        <v>0.527</v>
      </c>
      <c r="H60" s="24" t="n">
        <f aca="false">IF(AND(2027&gt;=2027,H58&lt;&gt;""),H58,H59)</f>
        <v>4.54496548273742</v>
      </c>
      <c r="I60" s="24" t="n">
        <f aca="false">IF(AND(2028&gt;=2027,I58&lt;&gt;""),I58,I59)</f>
        <v>4.99623819927339</v>
      </c>
      <c r="J60" s="24" t="n">
        <f aca="false">IF(AND(2029&gt;=2027,J58&lt;&gt;""),J58,J59)</f>
        <v>5.54650880690247</v>
      </c>
      <c r="K60" s="24" t="n">
        <f aca="false">IF(AND(2030&gt;=2027,K58&lt;&gt;""),K58,K59)</f>
        <v>6.08030840983174</v>
      </c>
      <c r="L60" s="24" t="n">
        <f aca="false">IF(AND(2031&gt;=2027,L58&lt;&gt;""),L58,L59)</f>
        <v>6.68833925081491</v>
      </c>
      <c r="M60" s="24" t="n">
        <f aca="false">IF(AND(2032&gt;=2027,M58&lt;&gt;""),M58,M59)</f>
        <v>7.35717317589641</v>
      </c>
    </row>
    <row r="61" customFormat="false" ht="17.15" hidden="false" customHeight="false" outlineLevel="0" collapsed="false">
      <c r="A61" s="5" t="s">
        <v>1300</v>
      </c>
      <c r="B61" s="0" t="s">
        <v>1337</v>
      </c>
      <c r="C61" s="0" t="s">
        <v>75</v>
      </c>
      <c r="D61" s="24" t="n">
        <f aca="false">N(Players!D68)</f>
        <v>0</v>
      </c>
      <c r="E61" s="24" t="n">
        <f aca="false">IF(2024&gt;=2027,D61+E60,N(Players!E68))</f>
        <v>0.810284005979073</v>
      </c>
      <c r="F61" s="24" t="n">
        <f aca="false">IF(2025&gt;=2027,E61+F60,N(Players!F68))</f>
        <v>2.2</v>
      </c>
      <c r="G61" s="24" t="n">
        <f aca="false">IF(2026&gt;=2027,F61+G60,N(Players!G68))</f>
        <v>2.727</v>
      </c>
      <c r="H61" s="24" t="n">
        <f aca="false">IF(2027&gt;=2027,G61+H60,N(Players!H68))</f>
        <v>7.27196548273742</v>
      </c>
      <c r="I61" s="24" t="n">
        <f aca="false">IF(2028&gt;=2027,H61+I60,N(Players!I68))</f>
        <v>12.2682036820108</v>
      </c>
      <c r="J61" s="24" t="n">
        <f aca="false">IF(2029&gt;=2027,I61+J60,N(Players!J68))</f>
        <v>17.8147124889133</v>
      </c>
      <c r="K61" s="24" t="n">
        <f aca="false">IF(2030&gt;=2027,J61+K60,N(Players!K68))</f>
        <v>23.895020898745</v>
      </c>
      <c r="L61" s="24" t="n">
        <f aca="false">IF(2031&gt;=2027,K61+L60,N(Players!L68))</f>
        <v>30.5833601495599</v>
      </c>
      <c r="M61" s="24" t="n">
        <f aca="false">IF(2032&gt;=2027,L61+M60,N(Players!M68))</f>
        <v>37.9405333254563</v>
      </c>
    </row>
    <row r="62" customFormat="false" ht="17.15" hidden="false" customHeight="false" outlineLevel="0" collapsed="false">
      <c r="A62" s="5" t="s">
        <v>1302</v>
      </c>
      <c r="B62" s="0" t="s">
        <v>1338</v>
      </c>
      <c r="C62" s="0" t="s">
        <v>75</v>
      </c>
      <c r="D62" s="24" t="str">
        <f aca="false">IF(D58="","",D58*ai_amzn_lo/ai_amzn)</f>
        <v/>
      </c>
      <c r="E62" s="24" t="str">
        <f aca="false">IF(E58="","",E58*ai_amzn_lo/ai_amzn)</f>
        <v/>
      </c>
      <c r="F62" s="24" t="str">
        <f aca="false">IF(F58="","",F58*ai_amzn_lo/ai_amzn)</f>
        <v/>
      </c>
      <c r="G62" s="24" t="str">
        <f aca="false">IF(G58="","",G58*ai_amzn_lo/ai_amzn)</f>
        <v/>
      </c>
      <c r="H62" s="24" t="n">
        <f aca="false">IF(H58="","",H58*ai_amzn_lo/ai_amzn)</f>
        <v>4.0102636612389</v>
      </c>
      <c r="I62" s="24" t="n">
        <f aca="false">IF(I58="","",I58*ai_amzn_lo/ai_amzn)</f>
        <v>4.40844546994711</v>
      </c>
      <c r="J62" s="24" t="n">
        <f aca="false">IF(J58="","",J58*ai_amzn_lo/ai_amzn)</f>
        <v>4.89397835903159</v>
      </c>
      <c r="K62" s="24" t="n">
        <f aca="false">IF(K58="","",K58*ai_amzn_lo/ai_amzn)</f>
        <v>5.36497800867506</v>
      </c>
      <c r="L62" s="24" t="n">
        <f aca="false">IF(L58="","",L58*ai_amzn_lo/ai_amzn)</f>
        <v>5.90147580954257</v>
      </c>
      <c r="M62" s="24" t="n">
        <f aca="false">IF(M58="","",M58*ai_amzn_lo/ai_amzn)</f>
        <v>6.49162339049683</v>
      </c>
    </row>
    <row r="63" customFormat="false" ht="17.15" hidden="false" customHeight="false" outlineLevel="0" collapsed="false">
      <c r="A63" s="5" t="s">
        <v>1304</v>
      </c>
      <c r="B63" s="0" t="s">
        <v>1339</v>
      </c>
      <c r="C63" s="0" t="s">
        <v>75</v>
      </c>
      <c r="D63" s="24" t="str">
        <f aca="false">IF(D58="","",D58*ai_amzn_hi/ai_amzn)</f>
        <v/>
      </c>
      <c r="E63" s="24" t="str">
        <f aca="false">IF(E58="","",E58*ai_amzn_hi/ai_amzn)</f>
        <v/>
      </c>
      <c r="F63" s="24" t="str">
        <f aca="false">IF(F58="","",F58*ai_amzn_hi/ai_amzn)</f>
        <v/>
      </c>
      <c r="G63" s="24" t="str">
        <f aca="false">IF(G58="","",G58*ai_amzn_hi/ai_amzn)</f>
        <v/>
      </c>
      <c r="H63" s="24" t="n">
        <f aca="false">IF(H58="","",H58*ai_amzn_hi/ai_amzn)</f>
        <v>5.01282957654863</v>
      </c>
      <c r="I63" s="24" t="n">
        <f aca="false">IF(I58="","",I58*ai_amzn_hi/ai_amzn)</f>
        <v>5.51055683743389</v>
      </c>
      <c r="J63" s="24" t="n">
        <f aca="false">IF(J58="","",J58*ai_amzn_hi/ai_amzn)</f>
        <v>6.11747294878949</v>
      </c>
      <c r="K63" s="24" t="n">
        <f aca="false">IF(K58="","",K58*ai_amzn_hi/ai_amzn)</f>
        <v>6.70622251084383</v>
      </c>
      <c r="L63" s="24" t="n">
        <f aca="false">IF(L58="","",L58*ai_amzn_hi/ai_amzn)</f>
        <v>7.37684476192821</v>
      </c>
      <c r="M63" s="24" t="n">
        <f aca="false">IF(M58="","",M58*ai_amzn_hi/ai_amzn)</f>
        <v>8.11452923812104</v>
      </c>
    </row>
    <row r="64" customFormat="false" ht="17.15" hidden="false" customHeight="false" outlineLevel="0" collapsed="false">
      <c r="A64" s="5" t="s">
        <v>1306</v>
      </c>
      <c r="B64" s="0" t="s">
        <v>1340</v>
      </c>
      <c r="C64" s="0" t="s">
        <v>75</v>
      </c>
      <c r="D64" s="24" t="str">
        <f aca="false">IF(OR(D54="",D54="",D54=""),"",(D55/(D55+D56)*D54+D56/(D55+D56)*(CapexGW!$D$5*D54+CapexGW!$E$5*D54+CapexGW!$F$5*D54))/(D55+D56))</f>
        <v/>
      </c>
      <c r="E64" s="24" t="str">
        <f aca="false">IF(OR(E54="",D54="",E54=""),"",(E55/(E55+E56)*E54+E56/(E55+E56)*(CapexGW!$D$5*E54+CapexGW!$E$5*D54+CapexGW!$F$5*E54))/(E55+E56))</f>
        <v/>
      </c>
      <c r="F64" s="24" t="str">
        <f aca="false">IF(OR(F54="",E54="",D54=""),"",(F55/(F55+F56)*F54+F56/(F55+F56)*(CapexGW!$D$5*F54+CapexGW!$E$5*E54+CapexGW!$F$5*D54))/(F55+F56))</f>
        <v/>
      </c>
      <c r="G64" s="24" t="str">
        <f aca="false">IF(OR(G54="",F54="",E54=""),"",(G55/(G55+G56)*G54+G56/(G55+G56)*(CapexGW!$D$5*G54+CapexGW!$E$5*F54+CapexGW!$F$5*E54))/(G55+G56))</f>
        <v/>
      </c>
      <c r="H64" s="24" t="n">
        <f aca="false">IF(OR(H54="",G54="",F54=""),"",(H55/(H55+H56)*H54+H56/(H55+H56)*(CapexGW!$D$5*H54+CapexGW!$E$5*G54+CapexGW!$F$5*F54))/(H55+H56))</f>
        <v>4.75383625682402</v>
      </c>
      <c r="I64" s="24" t="n">
        <f aca="false">IF(OR(I54="",H54="",G54=""),"",(I55/(I55+I56)*I54+I56/(I55+I56)*(CapexGW!$D$5*I54+CapexGW!$E$5*H54+CapexGW!$F$5*G54))/(I55+I56))</f>
        <v>5.11531081756493</v>
      </c>
      <c r="J64" s="24" t="n">
        <f aca="false">IF(OR(J54="",I54="",H54=""),"",(J55/(J55+J56)*J54+J56/(J55+J56)*(CapexGW!$D$5*J54+CapexGW!$E$5*I54+CapexGW!$F$5*H54))/(J55+J56))</f>
        <v>5.58513934379948</v>
      </c>
      <c r="K64" s="24" t="n">
        <f aca="false">IF(OR(K54="",J54="",I54=""),"",(K55/(K55+K56)*K54+K56/(K55+K56)*(CapexGW!$D$5*K54+CapexGW!$E$5*J54+CapexGW!$F$5*I54))/(K55+K56))</f>
        <v>6.14365327817943</v>
      </c>
      <c r="L64" s="24" t="n">
        <f aca="false">IF(OR(L54="",K54="",J54=""),"",(L55/(L55+L56)*L54+L56/(L55+L56)*(CapexGW!$D$5*L54+CapexGW!$E$5*K54+CapexGW!$F$5*J54))/(L55+L56))</f>
        <v>6.75801860599737</v>
      </c>
      <c r="M64" s="24" t="n">
        <f aca="false">IF(OR(M54="",L54="",K54=""),"",(M55/(M55+M56)*M54+M56/(M55+M56)*(CapexGW!$D$5*M54+CapexGW!$E$5*L54+CapexGW!$F$5*K54))/(M55+M56))</f>
        <v>7.43382046659711</v>
      </c>
    </row>
    <row r="65" customFormat="false" ht="17.15" hidden="false" customHeight="false" outlineLevel="0" collapsed="false">
      <c r="A65" s="5" t="s">
        <v>1308</v>
      </c>
      <c r="B65" s="0" t="s">
        <v>1341</v>
      </c>
      <c r="C65" s="0" t="s">
        <v>75</v>
      </c>
      <c r="D65" s="24" t="str">
        <f aca="false">IF(OR(D54="",D54="",D54=""),"",(D55/(D55+D56)*D54+D56/(D55+D56)*(CapexGW!$D$6*D54+CapexGW!$E$6*D54+CapexGW!$F$6*D54))/(D55+D56))</f>
        <v/>
      </c>
      <c r="E65" s="24" t="str">
        <f aca="false">IF(OR(E54="",D54="",E54=""),"",(E55/(E55+E56)*E54+E56/(E55+E56)*(CapexGW!$D$6*E54+CapexGW!$E$6*D54+CapexGW!$F$6*E54))/(E55+E56))</f>
        <v/>
      </c>
      <c r="F65" s="24" t="str">
        <f aca="false">IF(OR(F54="",E54="",D54=""),"",(F55/(F55+F56)*F54+F56/(F55+F56)*(CapexGW!$D$6*F54+CapexGW!$E$6*E54+CapexGW!$F$6*D54))/(F55+F56))</f>
        <v/>
      </c>
      <c r="G65" s="24" t="str">
        <f aca="false">IF(OR(G54="",F54="",E54=""),"",(G55/(G55+G56)*G54+G56/(G55+G56)*(CapexGW!$D$6*G54+CapexGW!$E$6*F54+CapexGW!$F$6*E54))/(G55+G56))</f>
        <v/>
      </c>
      <c r="H65" s="24" t="n">
        <f aca="false">IF(OR(H54="",G54="",F54=""),"",(H55/(H55+H56)*H54+H56/(H55+H56)*(CapexGW!$D$6*H54+CapexGW!$E$6*G54+CapexGW!$F$6*F54))/(H55+H56))</f>
        <v>4.33609470865083</v>
      </c>
      <c r="I65" s="24" t="n">
        <f aca="false">IF(OR(I54="",H54="",G54=""),"",(I55/(I55+I56)*I54+I56/(I55+I56)*(CapexGW!$D$6*I54+CapexGW!$E$6*H54+CapexGW!$F$6*G54))/(I55+I56))</f>
        <v>4.87716558098185</v>
      </c>
      <c r="J65" s="24" t="n">
        <f aca="false">IF(OR(J54="",I54="",H54=""),"",(J55/(J55+J56)*J54+J56/(J55+J56)*(CapexGW!$D$6*J54+CapexGW!$E$6*I54+CapexGW!$F$6*H54))/(J55+J56))</f>
        <v>5.50787827000546</v>
      </c>
      <c r="K65" s="24" t="n">
        <f aca="false">IF(OR(K54="",J54="",I54=""),"",(K55/(K55+K56)*K54+K56/(K55+K56)*(CapexGW!$D$6*K54+CapexGW!$E$6*J54+CapexGW!$F$6*I54))/(K55+K56))</f>
        <v>6.01696354148405</v>
      </c>
      <c r="L65" s="24" t="n">
        <f aca="false">IF(OR(L54="",K54="",J54=""),"",(L55/(L55+L56)*L54+L56/(L55+L56)*(CapexGW!$D$6*L54+CapexGW!$E$6*K54+CapexGW!$F$6*J54))/(L55+L56))</f>
        <v>6.61865989563246</v>
      </c>
      <c r="M65" s="24" t="n">
        <f aca="false">IF(OR(M54="",L54="",K54=""),"",(M55/(M55+M56)*M54+M56/(M55+M56)*(CapexGW!$D$6*M54+CapexGW!$E$6*L54+CapexGW!$F$6*K54))/(M55+M56))</f>
        <v>7.28052588519571</v>
      </c>
    </row>
    <row r="67" customFormat="false" ht="17.15" hidden="false" customHeight="false" outlineLevel="0" collapsed="false">
      <c r="A67" s="8" t="s">
        <v>918</v>
      </c>
      <c r="B67" s="20" t="s">
        <v>461</v>
      </c>
      <c r="N67" s="20" t="s">
        <v>1342</v>
      </c>
    </row>
    <row r="68" customFormat="false" ht="17.15" hidden="false" customHeight="false" outlineLevel="0" collapsed="false">
      <c r="A68" s="5" t="s">
        <v>1278</v>
      </c>
      <c r="B68" s="0" t="s">
        <v>920</v>
      </c>
      <c r="C68" s="0" t="s">
        <v>325</v>
      </c>
      <c r="D68" s="19" t="str">
        <f aca="false">IF(In!H107="","",In!H107)</f>
        <v/>
      </c>
      <c r="E68" s="19" t="str">
        <f aca="false">IF(In!I107="","",In!I107)</f>
        <v/>
      </c>
      <c r="F68" s="19" t="str">
        <f aca="false">IF(In!J107="","",In!J107)</f>
        <v/>
      </c>
      <c r="G68" s="30" t="n">
        <f aca="false">IF(In!K107="","",In!K107)</f>
        <v>140</v>
      </c>
      <c r="H68" s="19" t="str">
        <f aca="false">IF(In!L107="","",In!L107)</f>
        <v/>
      </c>
      <c r="I68" s="19" t="str">
        <f aca="false">IF(In!M107="","",In!M107)</f>
        <v/>
      </c>
      <c r="J68" s="19" t="str">
        <f aca="false">IF(In!N107="","",In!N107)</f>
        <v/>
      </c>
      <c r="K68" s="19" t="str">
        <f aca="false">IF(In!O107="","",In!O107)</f>
        <v/>
      </c>
      <c r="L68" s="19" t="str">
        <f aca="false">IF(In!P107="","",In!P107)</f>
        <v/>
      </c>
      <c r="M68" s="19" t="str">
        <f aca="false">IF(In!Q107="","",In!Q107)</f>
        <v/>
      </c>
    </row>
    <row r="69" customFormat="false" ht="15" hidden="false" customHeight="false" outlineLevel="0" collapsed="false">
      <c r="A69" s="5" t="s">
        <v>1279</v>
      </c>
      <c r="B69" s="0" t="s">
        <v>1343</v>
      </c>
      <c r="C69" s="0" t="s">
        <v>33</v>
      </c>
      <c r="D69" s="26" t="n">
        <f aca="false">(D68&lt;&gt;"")</f>
        <v>0</v>
      </c>
      <c r="E69" s="26" t="n">
        <f aca="false">(E68&lt;&gt;"")+D69</f>
        <v>0</v>
      </c>
      <c r="F69" s="26" t="n">
        <f aca="false">(F68&lt;&gt;"")+E69</f>
        <v>0</v>
      </c>
      <c r="G69" s="26" t="n">
        <f aca="false">(G68&lt;&gt;"")+F69</f>
        <v>1</v>
      </c>
      <c r="H69" s="26" t="n">
        <f aca="false">(H68&lt;&gt;"")+G69</f>
        <v>1</v>
      </c>
      <c r="I69" s="26" t="n">
        <f aca="false">(I68&lt;&gt;"")+H69</f>
        <v>1</v>
      </c>
      <c r="J69" s="26" t="n">
        <f aca="false">(J68&lt;&gt;"")+I69</f>
        <v>1</v>
      </c>
      <c r="K69" s="26" t="n">
        <f aca="false">(K68&lt;&gt;"")+J69</f>
        <v>1</v>
      </c>
      <c r="L69" s="26" t="n">
        <f aca="false">(L68&lt;&gt;"")+K69</f>
        <v>1</v>
      </c>
      <c r="M69" s="26" t="n">
        <f aca="false">(M68&lt;&gt;"")+L69</f>
        <v>1</v>
      </c>
    </row>
    <row r="70" customFormat="false" ht="15" hidden="false" customHeight="false" outlineLevel="0" collapsed="false">
      <c r="A70" s="5" t="s">
        <v>1281</v>
      </c>
      <c r="B70" s="0" t="s">
        <v>925</v>
      </c>
      <c r="C70" s="0" t="s">
        <v>325</v>
      </c>
      <c r="D70" s="31" t="n">
        <f aca="false">IF(D68&lt;&gt;"",D68,E70)</f>
        <v>140</v>
      </c>
      <c r="E70" s="31" t="n">
        <f aca="false">IF(E68&lt;&gt;"",E68,F70)</f>
        <v>140</v>
      </c>
      <c r="F70" s="31" t="n">
        <f aca="false">IF(F68&lt;&gt;"",F68,G70)</f>
        <v>140</v>
      </c>
      <c r="G70" s="31" t="n">
        <f aca="false">IF(G68&lt;&gt;"",G68,H70)</f>
        <v>140</v>
      </c>
      <c r="H70" s="0" t="str">
        <f aca="false">IF(H68&lt;&gt;"",H68,I70)</f>
        <v/>
      </c>
      <c r="I70" s="0" t="str">
        <f aca="false">IF(I68&lt;&gt;"",I68,J70)</f>
        <v/>
      </c>
      <c r="J70" s="0" t="str">
        <f aca="false">IF(J68&lt;&gt;"",J68,K70)</f>
        <v/>
      </c>
      <c r="K70" s="0" t="str">
        <f aca="false">IF(K68&lt;&gt;"",K68,L70)</f>
        <v/>
      </c>
      <c r="L70" s="0" t="str">
        <f aca="false">IF(L68&lt;&gt;"",L68,M70)</f>
        <v/>
      </c>
      <c r="M70" s="0" t="str">
        <f aca="false">IF(M68&lt;&gt;"",M68,"")</f>
        <v/>
      </c>
    </row>
    <row r="71" customFormat="false" ht="15" hidden="false" customHeight="false" outlineLevel="0" collapsed="false">
      <c r="A71" s="5" t="s">
        <v>1282</v>
      </c>
      <c r="B71" s="0" t="s">
        <v>1344</v>
      </c>
      <c r="C71" s="0" t="s">
        <v>325</v>
      </c>
      <c r="D71" s="32" t="str">
        <f aca="false">IF(D68&lt;&gt;"",D68,IF(0&gt;0,""*(1+cap_g_ext),""))</f>
        <v/>
      </c>
      <c r="E71" s="32" t="str">
        <f aca="false">IF(E68&lt;&gt;"",E68,IF(D69&gt;0,D71*(1+cap_g_ext),""))</f>
        <v/>
      </c>
      <c r="F71" s="32" t="str">
        <f aca="false">IF(F68&lt;&gt;"",F68,IF(E69&gt;0,E71*(1+cap_g_ext),""))</f>
        <v/>
      </c>
      <c r="G71" s="32" t="n">
        <f aca="false">IF(G68&lt;&gt;"",G68,IF(F69&gt;0,F71*(1+cap_g_ext),""))</f>
        <v>140</v>
      </c>
      <c r="H71" s="32" t="n">
        <f aca="false">IF(H68&lt;&gt;"",H68,IF(G69&gt;0,G71*(1+cap_g_ext),""))</f>
        <v>154</v>
      </c>
      <c r="I71" s="32" t="n">
        <f aca="false">IF(I68&lt;&gt;"",I68,IF(H69&gt;0,H71*(1+cap_g_ext),""))</f>
        <v>169.4</v>
      </c>
      <c r="J71" s="32" t="n">
        <f aca="false">IF(J68&lt;&gt;"",J68,IF(I69&gt;0,I71*(1+cap_g_ext),""))</f>
        <v>186.34</v>
      </c>
      <c r="K71" s="32" t="n">
        <f aca="false">IF(K68&lt;&gt;"",K68,IF(J69&gt;0,J71*(1+cap_g_ext),""))</f>
        <v>204.974</v>
      </c>
      <c r="L71" s="32" t="n">
        <f aca="false">IF(L68&lt;&gt;"",L68,IF(K69&gt;0,K71*(1+cap_g_ext),""))</f>
        <v>225.4714</v>
      </c>
      <c r="M71" s="32" t="n">
        <f aca="false">IF(M68&lt;&gt;"",M68,IF(L69&gt;0,L71*(1+cap_g_ext),""))</f>
        <v>248.01854</v>
      </c>
    </row>
    <row r="72" customFormat="false" ht="15" hidden="false" customHeight="false" outlineLevel="0" collapsed="false">
      <c r="A72" s="5" t="s">
        <v>1284</v>
      </c>
      <c r="B72" s="0" t="s">
        <v>1345</v>
      </c>
      <c r="C72" s="0" t="s">
        <v>325</v>
      </c>
      <c r="D72" s="32" t="str">
        <f aca="false">IF(OR(D71="",AND(fye_meta&lt;12,E71="")),"",D71*fye_meta/12+IF(fye_meta&lt;12,E71,0)*(12-fye_meta)/12)</f>
        <v/>
      </c>
      <c r="E72" s="32" t="str">
        <f aca="false">IF(OR(E71="",AND(fye_meta&lt;12,F71="")),"",E71*fye_meta/12+IF(fye_meta&lt;12,F71,0)*(12-fye_meta)/12)</f>
        <v/>
      </c>
      <c r="F72" s="32" t="str">
        <f aca="false">IF(OR(F71="",AND(fye_meta&lt;12,G71="")),"",F71*fye_meta/12+IF(fye_meta&lt;12,G71,0)*(12-fye_meta)/12)</f>
        <v/>
      </c>
      <c r="G72" s="32" t="n">
        <f aca="false">IF(OR(G71="",AND(fye_meta&lt;12,H71="")),"",G71*fye_meta/12+IF(fye_meta&lt;12,H71,0)*(12-fye_meta)/12)</f>
        <v>140</v>
      </c>
      <c r="H72" s="32" t="n">
        <f aca="false">IF(OR(H71="",AND(fye_meta&lt;12,I71="")),"",H71*fye_meta/12+IF(fye_meta&lt;12,I71,0)*(12-fye_meta)/12)</f>
        <v>154</v>
      </c>
      <c r="I72" s="32" t="n">
        <f aca="false">IF(OR(I71="",AND(fye_meta&lt;12,J71="")),"",I71*fye_meta/12+IF(fye_meta&lt;12,J71,0)*(12-fye_meta)/12)</f>
        <v>169.4</v>
      </c>
      <c r="J72" s="32" t="n">
        <f aca="false">IF(OR(J71="",AND(fye_meta&lt;12,K71="")),"",J71*fye_meta/12+IF(fye_meta&lt;12,K71,0)*(12-fye_meta)/12)</f>
        <v>186.34</v>
      </c>
      <c r="K72" s="32" t="n">
        <f aca="false">IF(OR(K71="",AND(fye_meta&lt;12,L71="")),"",K71*fye_meta/12+IF(fye_meta&lt;12,L71,0)*(12-fye_meta)/12)</f>
        <v>204.974</v>
      </c>
      <c r="L72" s="32" t="n">
        <f aca="false">IF(OR(L71="",AND(fye_meta&lt;12,M71="")),"",L71*fye_meta/12+IF(fye_meta&lt;12,M71,0)*(12-fye_meta)/12)</f>
        <v>225.4714</v>
      </c>
      <c r="M72" s="32" t="n">
        <f aca="false">IF(OR(M71="",AND(fye_meta&lt;12,IF(M71="","",M71*(1+cap_g_ext))="")),"",M71*fye_meta/12+IF(fye_meta&lt;12,IF(M71="","",M71*(1+cap_g_ext)),0)*(12-fye_meta)/12)</f>
        <v>248.01854</v>
      </c>
    </row>
    <row r="73" customFormat="false" ht="17.15" hidden="false" customHeight="false" outlineLevel="0" collapsed="false">
      <c r="A73" s="5" t="s">
        <v>1286</v>
      </c>
      <c r="B73" s="0" t="s">
        <v>1346</v>
      </c>
      <c r="C73" s="0" t="s">
        <v>325</v>
      </c>
      <c r="D73" s="32" t="str">
        <f aca="false">IF(D72="","",D72*ai_sh)</f>
        <v/>
      </c>
      <c r="E73" s="32" t="str">
        <f aca="false">IF(E72="","",E72*ai_sh)</f>
        <v/>
      </c>
      <c r="F73" s="32" t="str">
        <f aca="false">IF(F72="","",F72*ai_sh)</f>
        <v/>
      </c>
      <c r="G73" s="32" t="n">
        <f aca="false">IF(G72="","",G72*ai_sh)</f>
        <v>119</v>
      </c>
      <c r="H73" s="32" t="n">
        <f aca="false">IF(H72="","",H72*ai_sh)</f>
        <v>130.9</v>
      </c>
      <c r="I73" s="32" t="n">
        <f aca="false">IF(I72="","",I72*ai_sh)</f>
        <v>143.99</v>
      </c>
      <c r="J73" s="32" t="n">
        <f aca="false">IF(J72="","",J72*ai_sh)</f>
        <v>158.389</v>
      </c>
      <c r="K73" s="32" t="n">
        <f aca="false">IF(K72="","",K72*ai_sh)</f>
        <v>174.2279</v>
      </c>
      <c r="L73" s="32" t="n">
        <f aca="false">IF(L72="","",L72*ai_sh)</f>
        <v>191.65069</v>
      </c>
      <c r="M73" s="32" t="n">
        <f aca="false">IF(M72="","",M72*ai_sh)</f>
        <v>210.815759</v>
      </c>
    </row>
    <row r="74" customFormat="false" ht="17.15" hidden="false" customHeight="false" outlineLevel="0" collapsed="false">
      <c r="A74" s="5" t="s">
        <v>1288</v>
      </c>
      <c r="B74" s="0" t="s">
        <v>1347</v>
      </c>
      <c r="C74" s="0" t="s">
        <v>325</v>
      </c>
      <c r="D74" s="29" t="n">
        <f aca="false">(1-Players!D95)*D$7+Players!D95*TK_NonNV_Hold_AMD*TK_CapexIT_VR200</f>
        <v>28.5674343946187</v>
      </c>
      <c r="E74" s="29" t="n">
        <f aca="false">(1-Players!E95)*E$7+Players!E95*TK_NonNV_Hold_AMD*TK_CapexIT_VR200</f>
        <v>28.5674343946187</v>
      </c>
      <c r="F74" s="29" t="n">
        <f aca="false">(1-Players!F95)*F$7+Players!F95*TK_NonNV_Hold_AMD*TK_CapexIT_VR200</f>
        <v>27.423891719914</v>
      </c>
      <c r="G74" s="29" t="n">
        <f aca="false">(1-Players!G95)*G$7+Players!G95*TK_NonNV_Hold_AMD*TK_CapexIT_VR200</f>
        <v>33.0649036341473</v>
      </c>
      <c r="H74" s="29" t="n">
        <f aca="false">(1-Players!H95)*H$7+Players!H95*TK_NonNV_Hold_AMD*TK_CapexIT_VR200</f>
        <v>36.5947249242921</v>
      </c>
      <c r="I74" s="29" t="n">
        <f aca="false">(1-Players!I95)*I$7+Players!I95*TK_NonNV_Hold_AMD*TK_CapexIT_VR200</f>
        <v>38.802433936281</v>
      </c>
      <c r="J74" s="29" t="n">
        <f aca="false">(1-Players!J95)*J$7+Players!J95*TK_NonNV_Hold_AMD*TK_CapexIT_VR200</f>
        <v>38.7783529603329</v>
      </c>
      <c r="K74" s="29" t="n">
        <f aca="false">(1-Players!K95)*K$7+Players!K95*TK_NonNV_Hold_AMD*TK_CapexIT_VR200</f>
        <v>38.7783529603329</v>
      </c>
      <c r="L74" s="29" t="n">
        <f aca="false">(1-Players!L95)*L$7+Players!L95*TK_NonNV_Hold_AMD*TK_CapexIT_VR200</f>
        <v>38.7783529603329</v>
      </c>
      <c r="M74" s="29" t="n">
        <f aca="false">(1-Players!M95)*M$7+Players!M95*TK_NonNV_Hold_AMD*TK_CapexIT_VR200</f>
        <v>38.7783529603329</v>
      </c>
    </row>
    <row r="75" customFormat="false" ht="17.15" hidden="false" customHeight="false" outlineLevel="0" collapsed="false">
      <c r="A75" s="5" t="s">
        <v>1290</v>
      </c>
      <c r="B75" s="0" t="s">
        <v>1348</v>
      </c>
      <c r="C75" s="0" t="s">
        <v>325</v>
      </c>
      <c r="D75" s="29" t="n">
        <f aca="false">(1-Players!D95)*D$8+Players!D95*TK_NonNV_Hold_AMD*TK_CapexFacility_VR200</f>
        <v>12.2172817673375</v>
      </c>
      <c r="E75" s="29" t="n">
        <f aca="false">(1-Players!E95)*E$8+Players!E95*TK_NonNV_Hold_AMD*TK_CapexFacility_VR200</f>
        <v>12.2172817673375</v>
      </c>
      <c r="F75" s="29" t="n">
        <f aca="false">(1-Players!F95)*F$8+Players!F95*TK_NonNV_Hold_AMD*TK_CapexFacility_VR200</f>
        <v>12.2172817673375</v>
      </c>
      <c r="G75" s="29" t="n">
        <f aca="false">(1-Players!G95)*G$8+Players!G95*TK_NonNV_Hold_AMD*TK_CapexFacility_VR200</f>
        <v>12.2172817673375</v>
      </c>
      <c r="H75" s="29" t="n">
        <f aca="false">(1-Players!H95)*H$8+Players!H95*TK_NonNV_Hold_AMD*TK_CapexFacility_VR200</f>
        <v>12.1509699108826</v>
      </c>
      <c r="I75" s="29" t="n">
        <f aca="false">(1-Players!I95)*I$8+Players!I95*TK_NonNV_Hold_AMD*TK_CapexFacility_VR200</f>
        <v>12.157584536667</v>
      </c>
      <c r="J75" s="29" t="n">
        <f aca="false">(1-Players!J95)*J$8+Players!J95*TK_NonNV_Hold_AMD*TK_CapexFacility_VR200</f>
        <v>12.1527076383687</v>
      </c>
      <c r="K75" s="29" t="n">
        <f aca="false">(1-Players!K95)*K$8+Players!K95*TK_NonNV_Hold_AMD*TK_CapexFacility_VR200</f>
        <v>12.1527076383687</v>
      </c>
      <c r="L75" s="29" t="n">
        <f aca="false">(1-Players!L95)*L$8+Players!L95*TK_NonNV_Hold_AMD*TK_CapexFacility_VR200</f>
        <v>12.1527076383687</v>
      </c>
      <c r="M75" s="29" t="n">
        <f aca="false">(1-Players!M95)*M$8+Players!M95*TK_NonNV_Hold_AMD*TK_CapexFacility_VR200</f>
        <v>12.1527076383687</v>
      </c>
    </row>
    <row r="76" customFormat="false" ht="17.15" hidden="false" customHeight="false" outlineLevel="0" collapsed="false">
      <c r="A76" s="5" t="s">
        <v>1292</v>
      </c>
      <c r="B76" s="0" t="s">
        <v>1349</v>
      </c>
      <c r="C76" s="0" t="s">
        <v>325</v>
      </c>
      <c r="D76" s="32" t="str">
        <f aca="false">IF(OR(D73="",D73="",D73=""),"",D74/(D74+D75)*D73+D75/(D74+D75)*(CapexGW!$D$4*D73+CapexGW!$E$4*D73+CapexGW!$F$4*D73))</f>
        <v/>
      </c>
      <c r="E76" s="32" t="str">
        <f aca="false">IF(OR(E73="",D73="",E73=""),"",E74/(E74+E75)*E73+E75/(E74+E75)*(CapexGW!$D$4*E73+CapexGW!$E$4*D73+CapexGW!$F$4*E73))</f>
        <v/>
      </c>
      <c r="F76" s="32" t="str">
        <f aca="false">IF(OR(F73="",E73="",D73=""),"",F74/(F74+F75)*F73+F75/(F74+F75)*(CapexGW!$D$4*F73+CapexGW!$E$4*E73+CapexGW!$F$4*D73))</f>
        <v/>
      </c>
      <c r="G76" s="32" t="str">
        <f aca="false">IF(OR(G73="",F73="",E73=""),"",G74/(G74+G75)*G73+G75/(G74+G75)*(CapexGW!$D$4*G73+CapexGW!$E$4*F73+CapexGW!$F$4*E73))</f>
        <v/>
      </c>
      <c r="H76" s="32" t="str">
        <f aca="false">IF(OR(H73="",G73="",F73=""),"",H74/(H74+H75)*H73+H75/(H74+H75)*(CapexGW!$D$4*H73+CapexGW!$E$4*G73+CapexGW!$F$4*F73))</f>
        <v/>
      </c>
      <c r="I76" s="32" t="n">
        <f aca="false">IF(OR(I73="",H73="",G73=""),"",I74/(I74+I75)*I73+I75/(I74+I75)*(CapexGW!$D$4*I73+CapexGW!$E$4*H73+CapexGW!$F$4*G73))</f>
        <v>139.447607424122</v>
      </c>
      <c r="J76" s="32" t="n">
        <f aca="false">IF(OR(J73="",I73="",H73=""),"",J74/(J74+J75)*J73+J75/(J74+J75)*(CapexGW!$D$4*J73+CapexGW!$E$4*I73+CapexGW!$F$4*H73))</f>
        <v>153.391532721958</v>
      </c>
      <c r="K76" s="32" t="n">
        <f aca="false">IF(OR(K73="",J73="",I73=""),"",K74/(K74+K75)*K73+K75/(K74+K75)*(CapexGW!$D$4*K73+CapexGW!$E$4*J73+CapexGW!$F$4*I73))</f>
        <v>168.730685994154</v>
      </c>
      <c r="L76" s="32" t="n">
        <f aca="false">IF(OR(L73="",K73="",J73=""),"",L74/(L74+L75)*L73+L75/(L74+L75)*(CapexGW!$D$4*L73+CapexGW!$E$4*K73+CapexGW!$F$4*J73))</f>
        <v>185.603754593569</v>
      </c>
      <c r="M76" s="32" t="n">
        <f aca="false">IF(OR(M73="",L73="",K73=""),"",M74/(M74+M75)*M73+M75/(M74+M75)*(CapexGW!$D$4*M73+CapexGW!$E$4*L73+CapexGW!$F$4*K73))</f>
        <v>204.164130052926</v>
      </c>
    </row>
    <row r="77" customFormat="false" ht="17.15" hidden="false" customHeight="false" outlineLevel="0" collapsed="false">
      <c r="A77" s="5" t="s">
        <v>1294</v>
      </c>
      <c r="B77" s="0" t="s">
        <v>1350</v>
      </c>
      <c r="C77" s="0" t="s">
        <v>75</v>
      </c>
      <c r="D77" s="25" t="str">
        <f aca="false">IF(D76="","",D76/(D74+D75))</f>
        <v/>
      </c>
      <c r="E77" s="25" t="str">
        <f aca="false">IF(E76="","",E76/(E74+E75))</f>
        <v/>
      </c>
      <c r="F77" s="25" t="str">
        <f aca="false">IF(F76="","",F76/(F74+F75))</f>
        <v/>
      </c>
      <c r="G77" s="25" t="str">
        <f aca="false">IF(G76="","",G76/(G74+G75))</f>
        <v/>
      </c>
      <c r="H77" s="25" t="str">
        <f aca="false">IF(H76="","",H76/(H74+H75))</f>
        <v/>
      </c>
      <c r="I77" s="25" t="n">
        <f aca="false">IF(I76="","",I76/(I74+I75))</f>
        <v>2.73641202658016</v>
      </c>
      <c r="J77" s="25" t="n">
        <f aca="false">IF(J76="","",J76/(J74+J75))</f>
        <v>3.01174825182942</v>
      </c>
      <c r="K77" s="25" t="n">
        <f aca="false">IF(K76="","",K76/(K74+K75))</f>
        <v>3.31292307701236</v>
      </c>
      <c r="L77" s="25" t="n">
        <f aca="false">IF(L76="","",L76/(L74+L75))</f>
        <v>3.6442153847136</v>
      </c>
      <c r="M77" s="25" t="n">
        <f aca="false">IF(M76="","",M76/(M74+M75))</f>
        <v>4.00863692318496</v>
      </c>
    </row>
    <row r="78" customFormat="false" ht="17.15" hidden="false" customHeight="false" outlineLevel="0" collapsed="false">
      <c r="A78" s="5" t="s">
        <v>1296</v>
      </c>
      <c r="B78" s="0" t="s">
        <v>1351</v>
      </c>
      <c r="C78" s="0" t="s">
        <v>75</v>
      </c>
      <c r="D78" s="19" t="n">
        <f aca="false">Players!D93</f>
        <v>0</v>
      </c>
      <c r="E78" s="27" t="n">
        <f aca="false">Players!E93</f>
        <v>0</v>
      </c>
      <c r="F78" s="27" t="n">
        <f aca="false">Players!F93</f>
        <v>1.50812</v>
      </c>
      <c r="G78" s="27" t="n">
        <f aca="false">Players!G93</f>
        <v>0.676</v>
      </c>
      <c r="H78" s="27" t="n">
        <f aca="false">Players!H93</f>
        <v>0.192</v>
      </c>
      <c r="I78" s="27" t="n">
        <f aca="false">Players!I93</f>
        <v>2.786</v>
      </c>
      <c r="J78" s="27" t="n">
        <f aca="false">Players!J93</f>
        <v>0.368</v>
      </c>
      <c r="K78" s="27" t="n">
        <f aca="false">Players!K93</f>
        <v>0</v>
      </c>
      <c r="L78" s="27" t="n">
        <f aca="false">Players!L93</f>
        <v>0</v>
      </c>
      <c r="M78" s="27" t="n">
        <f aca="false">Players!M93</f>
        <v>0</v>
      </c>
    </row>
    <row r="79" customFormat="false" ht="17.15" hidden="false" customHeight="false" outlineLevel="0" collapsed="false">
      <c r="A79" s="5" t="s">
        <v>1298</v>
      </c>
      <c r="B79" s="0" t="s">
        <v>1352</v>
      </c>
      <c r="C79" s="0" t="s">
        <v>75</v>
      </c>
      <c r="D79" s="24" t="n">
        <f aca="false">IF(AND(2023&gt;=2027,D77&lt;&gt;""),D77,D78)</f>
        <v>0</v>
      </c>
      <c r="E79" s="24" t="n">
        <f aca="false">IF(AND(2024&gt;=2027,E77&lt;&gt;""),E77,E78)</f>
        <v>0</v>
      </c>
      <c r="F79" s="24" t="n">
        <f aca="false">IF(AND(2025&gt;=2027,F77&lt;&gt;""),F77,F78)</f>
        <v>1.50812</v>
      </c>
      <c r="G79" s="24" t="n">
        <f aca="false">IF(AND(2026&gt;=2027,G77&lt;&gt;""),G77,G78)</f>
        <v>0.676</v>
      </c>
      <c r="H79" s="24" t="n">
        <f aca="false">IF(AND(2027&gt;=2027,H77&lt;&gt;""),H77,H78)</f>
        <v>0.192</v>
      </c>
      <c r="I79" s="24" t="n">
        <f aca="false">IF(AND(2028&gt;=2027,I77&lt;&gt;""),I77,I78)</f>
        <v>2.73641202658016</v>
      </c>
      <c r="J79" s="24" t="n">
        <f aca="false">IF(AND(2029&gt;=2027,J77&lt;&gt;""),J77,J78)</f>
        <v>3.01174825182942</v>
      </c>
      <c r="K79" s="24" t="n">
        <f aca="false">IF(AND(2030&gt;=2027,K77&lt;&gt;""),K77,K78)</f>
        <v>3.31292307701236</v>
      </c>
      <c r="L79" s="24" t="n">
        <f aca="false">IF(AND(2031&gt;=2027,L77&lt;&gt;""),L77,L78)</f>
        <v>3.6442153847136</v>
      </c>
      <c r="M79" s="24" t="n">
        <f aca="false">IF(AND(2032&gt;=2027,M77&lt;&gt;""),M77,M78)</f>
        <v>4.00863692318496</v>
      </c>
    </row>
    <row r="80" customFormat="false" ht="17.15" hidden="false" customHeight="false" outlineLevel="0" collapsed="false">
      <c r="A80" s="5" t="s">
        <v>1300</v>
      </c>
      <c r="B80" s="0" t="s">
        <v>1353</v>
      </c>
      <c r="C80" s="0" t="s">
        <v>75</v>
      </c>
      <c r="D80" s="24" t="n">
        <f aca="false">N(Players!D87)</f>
        <v>0</v>
      </c>
      <c r="E80" s="24" t="n">
        <f aca="false">IF(2024&gt;=2027,D80+E79,N(Players!E87))</f>
        <v>0.968475</v>
      </c>
      <c r="F80" s="24" t="n">
        <f aca="false">IF(2025&gt;=2027,E80+F79,N(Players!F87))</f>
        <v>2.476595</v>
      </c>
      <c r="G80" s="24" t="n">
        <f aca="false">IF(2026&gt;=2027,F80+G79,N(Players!G87))</f>
        <v>3.152595</v>
      </c>
      <c r="H80" s="24" t="n">
        <f aca="false">IF(2027&gt;=2027,G80+H79,N(Players!H87))</f>
        <v>3.344595</v>
      </c>
      <c r="I80" s="24" t="n">
        <f aca="false">IF(2028&gt;=2027,H80+I79,N(Players!I87))</f>
        <v>6.08100702658016</v>
      </c>
      <c r="J80" s="24" t="n">
        <f aca="false">IF(2029&gt;=2027,I80+J79,N(Players!J87))</f>
        <v>9.09275527840958</v>
      </c>
      <c r="K80" s="24" t="n">
        <f aca="false">IF(2030&gt;=2027,J80+K79,N(Players!K87))</f>
        <v>12.4056783554219</v>
      </c>
      <c r="L80" s="24" t="n">
        <f aca="false">IF(2031&gt;=2027,K80+L79,N(Players!L87))</f>
        <v>16.0498937401355</v>
      </c>
      <c r="M80" s="24" t="n">
        <f aca="false">IF(2032&gt;=2027,L80+M79,N(Players!M87))</f>
        <v>20.0585306633205</v>
      </c>
    </row>
    <row r="81" customFormat="false" ht="17.15" hidden="false" customHeight="false" outlineLevel="0" collapsed="false">
      <c r="A81" s="5" t="s">
        <v>1302</v>
      </c>
      <c r="B81" s="0" t="s">
        <v>1354</v>
      </c>
      <c r="C81" s="0" t="s">
        <v>75</v>
      </c>
      <c r="D81" s="24" t="str">
        <f aca="false">IF(D77="","",D77*ai_sh_lo/ai_sh)</f>
        <v/>
      </c>
      <c r="E81" s="24" t="str">
        <f aca="false">IF(E77="","",E77*ai_sh_lo/ai_sh)</f>
        <v/>
      </c>
      <c r="F81" s="24" t="str">
        <f aca="false">IF(F77="","",F77*ai_sh_lo/ai_sh)</f>
        <v/>
      </c>
      <c r="G81" s="24" t="str">
        <f aca="false">IF(G77="","",G77*ai_sh_lo/ai_sh)</f>
        <v/>
      </c>
      <c r="H81" s="24" t="str">
        <f aca="false">IF(H77="","",H77*ai_sh_lo/ai_sh)</f>
        <v/>
      </c>
      <c r="I81" s="24" t="n">
        <f aca="false">IF(I77="","",I77*ai_sh_lo/ai_sh)</f>
        <v>2.41448119992367</v>
      </c>
      <c r="J81" s="24" t="n">
        <f aca="false">IF(J77="","",J77*ai_sh_lo/ai_sh)</f>
        <v>2.65742492808478</v>
      </c>
      <c r="K81" s="24" t="n">
        <f aca="false">IF(K77="","",K77*ai_sh_lo/ai_sh)</f>
        <v>2.92316742089326</v>
      </c>
      <c r="L81" s="24" t="n">
        <f aca="false">IF(L77="","",L77*ai_sh_lo/ai_sh)</f>
        <v>3.21548416298259</v>
      </c>
      <c r="M81" s="24" t="n">
        <f aca="false">IF(M77="","",M77*ai_sh_lo/ai_sh)</f>
        <v>3.53703257928085</v>
      </c>
    </row>
    <row r="82" customFormat="false" ht="17.15" hidden="false" customHeight="false" outlineLevel="0" collapsed="false">
      <c r="A82" s="5" t="s">
        <v>1304</v>
      </c>
      <c r="B82" s="0" t="s">
        <v>1355</v>
      </c>
      <c r="C82" s="0" t="s">
        <v>75</v>
      </c>
      <c r="D82" s="24" t="str">
        <f aca="false">IF(D77="","",D77*ai_sh_hi/ai_sh)</f>
        <v/>
      </c>
      <c r="E82" s="24" t="str">
        <f aca="false">IF(E77="","",E77*ai_sh_hi/ai_sh)</f>
        <v/>
      </c>
      <c r="F82" s="24" t="str">
        <f aca="false">IF(F77="","",F77*ai_sh_hi/ai_sh)</f>
        <v/>
      </c>
      <c r="G82" s="24" t="str">
        <f aca="false">IF(G77="","",G77*ai_sh_hi/ai_sh)</f>
        <v/>
      </c>
      <c r="H82" s="24" t="str">
        <f aca="false">IF(H77="","",H77*ai_sh_hi/ai_sh)</f>
        <v/>
      </c>
      <c r="I82" s="24" t="n">
        <f aca="false">IF(I77="","",I77*ai_sh_hi/ai_sh)</f>
        <v>3.05834285323665</v>
      </c>
      <c r="J82" s="24" t="n">
        <f aca="false">IF(J77="","",J77*ai_sh_hi/ai_sh)</f>
        <v>3.36607157557406</v>
      </c>
      <c r="K82" s="24" t="n">
        <f aca="false">IF(K77="","",K77*ai_sh_hi/ai_sh)</f>
        <v>3.70267873313146</v>
      </c>
      <c r="L82" s="24" t="n">
        <f aca="false">IF(L77="","",L77*ai_sh_hi/ai_sh)</f>
        <v>4.07294660644461</v>
      </c>
      <c r="M82" s="24" t="n">
        <f aca="false">IF(M77="","",M77*ai_sh_hi/ai_sh)</f>
        <v>4.48024126708907</v>
      </c>
    </row>
    <row r="83" customFormat="false" ht="17.15" hidden="false" customHeight="false" outlineLevel="0" collapsed="false">
      <c r="A83" s="5" t="s">
        <v>1306</v>
      </c>
      <c r="B83" s="0" t="s">
        <v>1356</v>
      </c>
      <c r="C83" s="0" t="s">
        <v>75</v>
      </c>
      <c r="D83" s="24" t="str">
        <f aca="false">IF(OR(D73="",D73="",D73=""),"",(D74/(D74+D75)*D73+D75/(D74+D75)*(CapexGW!$D$5*D73+CapexGW!$E$5*D73+CapexGW!$F$5*D73))/(D74+D75))</f>
        <v/>
      </c>
      <c r="E83" s="24" t="str">
        <f aca="false">IF(OR(E73="",D73="",E73=""),"",(E74/(E74+E75)*E73+E75/(E74+E75)*(CapexGW!$D$5*E73+CapexGW!$E$5*D73+CapexGW!$F$5*E73))/(E74+E75))</f>
        <v/>
      </c>
      <c r="F83" s="24" t="str">
        <f aca="false">IF(OR(F73="",E73="",D73=""),"",(F74/(F74+F75)*F73+F75/(F74+F75)*(CapexGW!$D$5*F73+CapexGW!$E$5*E73+CapexGW!$F$5*D73))/(F74+F75))</f>
        <v/>
      </c>
      <c r="G83" s="24" t="str">
        <f aca="false">IF(OR(G73="",F73="",E73=""),"",(G74/(G74+G75)*G73+G75/(G74+G75)*(CapexGW!$D$5*G73+CapexGW!$E$5*F73+CapexGW!$F$5*E73))/(G74+G75))</f>
        <v/>
      </c>
      <c r="H83" s="24" t="str">
        <f aca="false">IF(OR(H73="",G73="",F73=""),"",(H74/(H74+H75)*H73+H75/(H74+H75)*(CapexGW!$D$5*H73+CapexGW!$E$5*G73+CapexGW!$F$5*F73))/(H74+H75))</f>
        <v/>
      </c>
      <c r="I83" s="24" t="n">
        <f aca="false">IF(OR(I73="",H73="",G73=""),"",(I74/(I74+I75)*I73+I75/(I74+I75)*(CapexGW!$D$5*I73+CapexGW!$E$5*H73+CapexGW!$F$5*G73))/(I74+I75))</f>
        <v>2.76426715148981</v>
      </c>
      <c r="J83" s="24" t="n">
        <f aca="false">IF(OR(J73="",I73="",H73=""),"",(J74/(J74+J75)*J73+J75/(J74+J75)*(CapexGW!$D$5*J73+CapexGW!$E$5*I73+CapexGW!$F$5*H73))/(J74+J75))</f>
        <v>3.04241143665279</v>
      </c>
      <c r="K83" s="24" t="n">
        <f aca="false">IF(OR(K73="",J73="",I73=""),"",(K74/(K74+K75)*K73+K75/(K74+K75)*(CapexGW!$D$5*K73+CapexGW!$E$5*J73+CapexGW!$F$5*I73))/(K74+K75))</f>
        <v>3.34665258031807</v>
      </c>
      <c r="L83" s="24" t="n">
        <f aca="false">IF(OR(L73="",K73="",J73=""),"",(L74/(L74+L75)*L73+L75/(L74+L75)*(CapexGW!$D$5*L73+CapexGW!$E$5*K73+CapexGW!$F$5*J73))/(L74+L75))</f>
        <v>3.68131783834987</v>
      </c>
      <c r="M83" s="24" t="n">
        <f aca="false">IF(OR(M73="",L73="",K73=""),"",(M74/(M74+M75)*M73+M75/(M74+M75)*(CapexGW!$D$5*M73+CapexGW!$E$5*L73+CapexGW!$F$5*K73))/(M74+M75))</f>
        <v>4.04944962218486</v>
      </c>
    </row>
    <row r="84" customFormat="false" ht="17.15" hidden="false" customHeight="false" outlineLevel="0" collapsed="false">
      <c r="A84" s="5" t="s">
        <v>1308</v>
      </c>
      <c r="B84" s="0" t="s">
        <v>1357</v>
      </c>
      <c r="C84" s="0" t="s">
        <v>75</v>
      </c>
      <c r="D84" s="24" t="str">
        <f aca="false">IF(OR(D73="",D73="",D73=""),"",(D74/(D74+D75)*D73+D75/(D74+D75)*(CapexGW!$D$6*D73+CapexGW!$E$6*D73+CapexGW!$F$6*D73))/(D74+D75))</f>
        <v/>
      </c>
      <c r="E84" s="24" t="str">
        <f aca="false">IF(OR(E73="",D73="",E73=""),"",(E74/(E74+E75)*E73+E75/(E74+E75)*(CapexGW!$D$6*E73+CapexGW!$E$6*D73+CapexGW!$F$6*E73))/(E74+E75))</f>
        <v/>
      </c>
      <c r="F84" s="24" t="str">
        <f aca="false">IF(OR(F73="",E73="",D73=""),"",(F74/(F74+F75)*F73+F75/(F74+F75)*(CapexGW!$D$6*F73+CapexGW!$E$6*E73+CapexGW!$F$6*D73))/(F74+F75))</f>
        <v/>
      </c>
      <c r="G84" s="24" t="str">
        <f aca="false">IF(OR(G73="",F73="",E73=""),"",(G74/(G74+G75)*G73+G75/(G74+G75)*(CapexGW!$D$6*G73+CapexGW!$E$6*F73+CapexGW!$F$6*E73))/(G74+G75))</f>
        <v/>
      </c>
      <c r="H84" s="24" t="str">
        <f aca="false">IF(OR(H73="",G73="",F73=""),"",(H74/(H74+H75)*H73+H75/(H74+H75)*(CapexGW!$D$6*H73+CapexGW!$E$6*G73+CapexGW!$F$6*F73))/(H74+H75))</f>
        <v/>
      </c>
      <c r="I84" s="24" t="n">
        <f aca="false">IF(OR(I73="",H73="",G73=""),"",(I74/(I74+I75)*I73+I75/(I74+I75)*(CapexGW!$D$6*I73+CapexGW!$E$6*H73+CapexGW!$F$6*G73))/(I74+I75))</f>
        <v>2.70855690167051</v>
      </c>
      <c r="J84" s="24" t="n">
        <f aca="false">IF(OR(J73="",I73="",H73=""),"",(J74/(J74+J75)*J73+J75/(J74+J75)*(CapexGW!$D$6*J73+CapexGW!$E$6*I73+CapexGW!$F$6*H73))/(J74+J75))</f>
        <v>2.98108506700605</v>
      </c>
      <c r="K84" s="24" t="n">
        <f aca="false">IF(OR(K73="",J73="",I73=""),"",(K74/(K74+K75)*K73+K75/(K74+K75)*(CapexGW!$D$6*K73+CapexGW!$E$6*J73+CapexGW!$F$6*I73))/(K74+K75))</f>
        <v>3.27919357370666</v>
      </c>
      <c r="L84" s="24" t="n">
        <f aca="false">IF(OR(L73="",K73="",J73=""),"",(L74/(L74+L75)*L73+L75/(L74+L75)*(CapexGW!$D$6*L73+CapexGW!$E$6*K73+CapexGW!$F$6*J73))/(L74+L75))</f>
        <v>3.60711293107732</v>
      </c>
      <c r="M84" s="24" t="n">
        <f aca="false">IF(OR(M73="",L73="",K73=""),"",(M74/(M74+M75)*M73+M75/(M74+M75)*(CapexGW!$D$6*M73+CapexGW!$E$6*L73+CapexGW!$F$6*K73))/(M74+M75))</f>
        <v>3.96782422418505</v>
      </c>
    </row>
    <row r="86" customFormat="false" ht="17.15" hidden="false" customHeight="false" outlineLevel="0" collapsed="false">
      <c r="A86" s="8" t="s">
        <v>937</v>
      </c>
      <c r="B86" s="20" t="s">
        <v>465</v>
      </c>
      <c r="N86" s="20" t="s">
        <v>1358</v>
      </c>
    </row>
    <row r="87" customFormat="false" ht="17.15" hidden="false" customHeight="false" outlineLevel="0" collapsed="false">
      <c r="A87" s="5" t="s">
        <v>1278</v>
      </c>
      <c r="B87" s="0" t="s">
        <v>939</v>
      </c>
      <c r="C87" s="0" t="s">
        <v>325</v>
      </c>
      <c r="D87" s="19" t="str">
        <f aca="false">IF(In!H108="","",In!H108)</f>
        <v/>
      </c>
      <c r="E87" s="19" t="str">
        <f aca="false">IF(In!I108="","",In!I108)</f>
        <v/>
      </c>
      <c r="F87" s="30" t="n">
        <f aca="false">IF(In!J108="","",In!J108)</f>
        <v>21.215</v>
      </c>
      <c r="G87" s="30" t="n">
        <f aca="false">IF(In!K108="","",In!K108)</f>
        <v>55.663</v>
      </c>
      <c r="H87" s="30" t="n">
        <f aca="false">IF(In!L108="","",In!L108)</f>
        <v>92.5</v>
      </c>
      <c r="I87" s="30" t="n">
        <f aca="false">IF(In!M108="","",In!M108)</f>
        <v>100.962</v>
      </c>
      <c r="J87" s="30" t="n">
        <f aca="false">IF(In!N108="","",In!N108)</f>
        <v>84.848</v>
      </c>
      <c r="K87" s="19" t="str">
        <f aca="false">IF(In!O108="","",In!O108)</f>
        <v/>
      </c>
      <c r="L87" s="19" t="str">
        <f aca="false">IF(In!P108="","",In!P108)</f>
        <v/>
      </c>
      <c r="M87" s="19" t="str">
        <f aca="false">IF(In!Q108="","",In!Q108)</f>
        <v/>
      </c>
    </row>
    <row r="88" customFormat="false" ht="15" hidden="false" customHeight="false" outlineLevel="0" collapsed="false">
      <c r="A88" s="5" t="s">
        <v>1279</v>
      </c>
      <c r="B88" s="0" t="s">
        <v>1359</v>
      </c>
      <c r="C88" s="0" t="s">
        <v>33</v>
      </c>
      <c r="D88" s="26" t="n">
        <f aca="false">(D87&lt;&gt;"")</f>
        <v>0</v>
      </c>
      <c r="E88" s="26" t="n">
        <f aca="false">(E87&lt;&gt;"")+D88</f>
        <v>0</v>
      </c>
      <c r="F88" s="26" t="n">
        <f aca="false">(F87&lt;&gt;"")+E88</f>
        <v>1</v>
      </c>
      <c r="G88" s="26" t="n">
        <f aca="false">(G87&lt;&gt;"")+F88</f>
        <v>2</v>
      </c>
      <c r="H88" s="26" t="n">
        <f aca="false">(H87&lt;&gt;"")+G88</f>
        <v>3</v>
      </c>
      <c r="I88" s="26" t="n">
        <f aca="false">(I87&lt;&gt;"")+H88</f>
        <v>4</v>
      </c>
      <c r="J88" s="26" t="n">
        <f aca="false">(J87&lt;&gt;"")+I88</f>
        <v>5</v>
      </c>
      <c r="K88" s="26" t="n">
        <f aca="false">(K87&lt;&gt;"")+J88</f>
        <v>5</v>
      </c>
      <c r="L88" s="26" t="n">
        <f aca="false">(L87&lt;&gt;"")+K88</f>
        <v>5</v>
      </c>
      <c r="M88" s="26" t="n">
        <f aca="false">(M87&lt;&gt;"")+L88</f>
        <v>5</v>
      </c>
    </row>
    <row r="89" customFormat="false" ht="15" hidden="false" customHeight="false" outlineLevel="0" collapsed="false">
      <c r="A89" s="5" t="s">
        <v>1281</v>
      </c>
      <c r="B89" s="0" t="s">
        <v>944</v>
      </c>
      <c r="C89" s="0" t="s">
        <v>325</v>
      </c>
      <c r="D89" s="31" t="n">
        <f aca="false">IF(D87&lt;&gt;"",D87,E89)</f>
        <v>21.215</v>
      </c>
      <c r="E89" s="31" t="n">
        <f aca="false">IF(E87&lt;&gt;"",E87,F89)</f>
        <v>21.215</v>
      </c>
      <c r="F89" s="31" t="n">
        <f aca="false">IF(F87&lt;&gt;"",F87,G89)</f>
        <v>21.215</v>
      </c>
      <c r="G89" s="31" t="n">
        <f aca="false">IF(G87&lt;&gt;"",G87,H89)</f>
        <v>55.663</v>
      </c>
      <c r="H89" s="31" t="n">
        <f aca="false">IF(H87&lt;&gt;"",H87,I89)</f>
        <v>92.5</v>
      </c>
      <c r="I89" s="31" t="n">
        <f aca="false">IF(I87&lt;&gt;"",I87,J89)</f>
        <v>100.962</v>
      </c>
      <c r="J89" s="31" t="n">
        <f aca="false">IF(J87&lt;&gt;"",J87,K89)</f>
        <v>84.848</v>
      </c>
      <c r="K89" s="0" t="str">
        <f aca="false">IF(K87&lt;&gt;"",K87,L89)</f>
        <v/>
      </c>
      <c r="L89" s="0" t="str">
        <f aca="false">IF(L87&lt;&gt;"",L87,M89)</f>
        <v/>
      </c>
      <c r="M89" s="0" t="str">
        <f aca="false">IF(M87&lt;&gt;"",M87,"")</f>
        <v/>
      </c>
    </row>
    <row r="90" customFormat="false" ht="15" hidden="false" customHeight="false" outlineLevel="0" collapsed="false">
      <c r="A90" s="5" t="s">
        <v>1282</v>
      </c>
      <c r="B90" s="0" t="s">
        <v>1360</v>
      </c>
      <c r="C90" s="0" t="s">
        <v>325</v>
      </c>
      <c r="D90" s="32" t="str">
        <f aca="false">IF(D87&lt;&gt;"",D87,IF(0&gt;0,""*(1+cap_g_ext),""))</f>
        <v/>
      </c>
      <c r="E90" s="32" t="str">
        <f aca="false">IF(E87&lt;&gt;"",E87,IF(D88&gt;0,D90*(1+cap_g_ext),""))</f>
        <v/>
      </c>
      <c r="F90" s="32" t="n">
        <f aca="false">IF(F87&lt;&gt;"",F87,IF(E88&gt;0,E90*(1+cap_g_ext),""))</f>
        <v>21.215</v>
      </c>
      <c r="G90" s="32" t="n">
        <f aca="false">IF(G87&lt;&gt;"",G87,IF(F88&gt;0,F90*(1+cap_g_ext),""))</f>
        <v>55.663</v>
      </c>
      <c r="H90" s="32" t="n">
        <f aca="false">IF(H87&lt;&gt;"",H87,IF(G88&gt;0,G90*(1+cap_g_ext),""))</f>
        <v>92.5</v>
      </c>
      <c r="I90" s="32" t="n">
        <f aca="false">IF(I87&lt;&gt;"",I87,IF(H88&gt;0,H90*(1+cap_g_ext),""))</f>
        <v>100.962</v>
      </c>
      <c r="J90" s="32" t="n">
        <f aca="false">IF(J87&lt;&gt;"",J87,IF(I88&gt;0,I90*(1+cap_g_ext),""))</f>
        <v>84.848</v>
      </c>
      <c r="K90" s="32" t="n">
        <f aca="false">IF(K87&lt;&gt;"",K87,IF(J88&gt;0,J90*(1+cap_g_ext),""))</f>
        <v>93.3328</v>
      </c>
      <c r="L90" s="32" t="n">
        <f aca="false">IF(L87&lt;&gt;"",L87,IF(K88&gt;0,K90*(1+cap_g_ext),""))</f>
        <v>102.66608</v>
      </c>
      <c r="M90" s="32" t="n">
        <f aca="false">IF(M87&lt;&gt;"",M87,IF(L88&gt;0,L90*(1+cap_g_ext),""))</f>
        <v>112.932688</v>
      </c>
    </row>
    <row r="91" customFormat="false" ht="15" hidden="false" customHeight="false" outlineLevel="0" collapsed="false">
      <c r="A91" s="5" t="s">
        <v>1284</v>
      </c>
      <c r="B91" s="0" t="s">
        <v>1361</v>
      </c>
      <c r="C91" s="0" t="s">
        <v>325</v>
      </c>
      <c r="D91" s="32" t="str">
        <f aca="false">IF(OR(D90="",AND(fye_orcl&lt;12,E90="")),"",D90*fye_orcl/12+IF(fye_orcl&lt;12,E90,0)*(12-fye_orcl)/12)</f>
        <v/>
      </c>
      <c r="E91" s="32" t="str">
        <f aca="false">IF(OR(E90="",AND(fye_orcl&lt;12,F90="")),"",E90*fye_orcl/12+IF(fye_orcl&lt;12,F90,0)*(12-fye_orcl)/12)</f>
        <v/>
      </c>
      <c r="F91" s="32" t="n">
        <f aca="false">IF(OR(F90="",AND(fye_orcl&lt;12,G90="")),"",F90*fye_orcl/12+IF(fye_orcl&lt;12,G90,0)*(12-fye_orcl)/12)</f>
        <v>41.3096666666667</v>
      </c>
      <c r="G91" s="32" t="n">
        <f aca="false">IF(OR(G90="",AND(fye_orcl&lt;12,H90="")),"",G90*fye_orcl/12+IF(fye_orcl&lt;12,H90,0)*(12-fye_orcl)/12)</f>
        <v>77.15125</v>
      </c>
      <c r="H91" s="32" t="n">
        <f aca="false">IF(OR(H90="",AND(fye_orcl&lt;12,I90="")),"",H90*fye_orcl/12+IF(fye_orcl&lt;12,I90,0)*(12-fye_orcl)/12)</f>
        <v>97.4361666666667</v>
      </c>
      <c r="I91" s="32" t="n">
        <f aca="false">IF(OR(I90="",AND(fye_orcl&lt;12,J90="")),"",I90*fye_orcl/12+IF(fye_orcl&lt;12,J90,0)*(12-fye_orcl)/12)</f>
        <v>91.5621666666667</v>
      </c>
      <c r="J91" s="32" t="n">
        <f aca="false">IF(OR(J90="",AND(fye_orcl&lt;12,K90="")),"",J90*fye_orcl/12+IF(fye_orcl&lt;12,K90,0)*(12-fye_orcl)/12)</f>
        <v>89.7974666666667</v>
      </c>
      <c r="K91" s="32" t="n">
        <f aca="false">IF(OR(K90="",AND(fye_orcl&lt;12,L90="")),"",K90*fye_orcl/12+IF(fye_orcl&lt;12,L90,0)*(12-fye_orcl)/12)</f>
        <v>98.7772133333334</v>
      </c>
      <c r="L91" s="32" t="n">
        <f aca="false">IF(OR(L90="",AND(fye_orcl&lt;12,M90="")),"",L90*fye_orcl/12+IF(fye_orcl&lt;12,M90,0)*(12-fye_orcl)/12)</f>
        <v>108.654934666667</v>
      </c>
      <c r="M91" s="32" t="n">
        <f aca="false">IF(OR(M90="",AND(fye_orcl&lt;12,IF(M90="","",M90*(1+cap_g_ext))="")),"",M90*fye_orcl/12+IF(fye_orcl&lt;12,IF(M90="","",M90*(1+cap_g_ext)),0)*(12-fye_orcl)/12)</f>
        <v>119.520428133333</v>
      </c>
    </row>
    <row r="92" customFormat="false" ht="17.15" hidden="false" customHeight="false" outlineLevel="0" collapsed="false">
      <c r="A92" s="5" t="s">
        <v>1286</v>
      </c>
      <c r="B92" s="0" t="s">
        <v>1362</v>
      </c>
      <c r="C92" s="0" t="s">
        <v>325</v>
      </c>
      <c r="D92" s="32" t="str">
        <f aca="false">IF(D91="","",D91*ai_sh)</f>
        <v/>
      </c>
      <c r="E92" s="32" t="str">
        <f aca="false">IF(E91="","",E91*ai_sh)</f>
        <v/>
      </c>
      <c r="F92" s="32" t="n">
        <f aca="false">IF(F91="","",F91*ai_sh)</f>
        <v>35.1132166666667</v>
      </c>
      <c r="G92" s="32" t="n">
        <f aca="false">IF(G91="","",G91*ai_sh)</f>
        <v>65.5785625</v>
      </c>
      <c r="H92" s="32" t="n">
        <f aca="false">IF(H91="","",H91*ai_sh)</f>
        <v>82.8207416666667</v>
      </c>
      <c r="I92" s="32" t="n">
        <f aca="false">IF(I91="","",I91*ai_sh)</f>
        <v>77.8278416666667</v>
      </c>
      <c r="J92" s="32" t="n">
        <f aca="false">IF(J91="","",J91*ai_sh)</f>
        <v>76.3278466666667</v>
      </c>
      <c r="K92" s="32" t="n">
        <f aca="false">IF(K91="","",K91*ai_sh)</f>
        <v>83.9606313333333</v>
      </c>
      <c r="L92" s="32" t="n">
        <f aca="false">IF(L91="","",L91*ai_sh)</f>
        <v>92.3566944666667</v>
      </c>
      <c r="M92" s="32" t="n">
        <f aca="false">IF(M91="","",M91*ai_sh)</f>
        <v>101.592363913333</v>
      </c>
    </row>
    <row r="93" customFormat="false" ht="17.15" hidden="false" customHeight="false" outlineLevel="0" collapsed="false">
      <c r="A93" s="5" t="s">
        <v>1288</v>
      </c>
      <c r="B93" s="0" t="s">
        <v>1363</v>
      </c>
      <c r="C93" s="0" t="s">
        <v>325</v>
      </c>
      <c r="D93" s="29" t="n">
        <f aca="false">(1-Players!D114)*D$7+Players!D114*TK_NonNV_Hold_AMD*TK_CapexIT_VR200</f>
        <v>28.5674343946187</v>
      </c>
      <c r="E93" s="29" t="n">
        <f aca="false">(1-Players!E114)*E$7+Players!E114*TK_NonNV_Hold_AMD*TK_CapexIT_VR200</f>
        <v>28.5674343946187</v>
      </c>
      <c r="F93" s="29" t="n">
        <f aca="false">(1-Players!F114)*F$7+Players!F114*TK_NonNV_Hold_AMD*TK_CapexIT_VR200</f>
        <v>27.423891719914</v>
      </c>
      <c r="G93" s="29" t="n">
        <f aca="false">(1-Players!G114)*G$7+Players!G114*TK_NonNV_Hold_AMD*TK_CapexIT_VR200</f>
        <v>33.0649036341473</v>
      </c>
      <c r="H93" s="29" t="n">
        <f aca="false">(1-Players!H114)*H$7+Players!H114*TK_NonNV_Hold_AMD*TK_CapexIT_VR200</f>
        <v>36.5947249242921</v>
      </c>
      <c r="I93" s="29" t="n">
        <f aca="false">(1-Players!I114)*I$7+Players!I114*TK_NonNV_Hold_AMD*TK_CapexIT_VR200</f>
        <v>38.802433936281</v>
      </c>
      <c r="J93" s="29" t="n">
        <f aca="false">(1-Players!J114)*J$7+Players!J114*TK_NonNV_Hold_AMD*TK_CapexIT_VR200</f>
        <v>38.7783529603329</v>
      </c>
      <c r="K93" s="29" t="n">
        <f aca="false">(1-Players!K114)*K$7+Players!K114*TK_NonNV_Hold_AMD*TK_CapexIT_VR200</f>
        <v>38.7783529603329</v>
      </c>
      <c r="L93" s="29" t="n">
        <f aca="false">(1-Players!L114)*L$7+Players!L114*TK_NonNV_Hold_AMD*TK_CapexIT_VR200</f>
        <v>38.7783529603329</v>
      </c>
      <c r="M93" s="29" t="n">
        <f aca="false">(1-Players!M114)*M$7+Players!M114*TK_NonNV_Hold_AMD*TK_CapexIT_VR200</f>
        <v>38.7783529603329</v>
      </c>
    </row>
    <row r="94" customFormat="false" ht="17.15" hidden="false" customHeight="false" outlineLevel="0" collapsed="false">
      <c r="A94" s="5" t="s">
        <v>1290</v>
      </c>
      <c r="B94" s="0" t="s">
        <v>1364</v>
      </c>
      <c r="C94" s="0" t="s">
        <v>325</v>
      </c>
      <c r="D94" s="29" t="n">
        <f aca="false">(1-Players!D114)*D$8+Players!D114*TK_NonNV_Hold_AMD*TK_CapexFacility_VR200</f>
        <v>12.2172817673375</v>
      </c>
      <c r="E94" s="29" t="n">
        <f aca="false">(1-Players!E114)*E$8+Players!E114*TK_NonNV_Hold_AMD*TK_CapexFacility_VR200</f>
        <v>12.2172817673375</v>
      </c>
      <c r="F94" s="29" t="n">
        <f aca="false">(1-Players!F114)*F$8+Players!F114*TK_NonNV_Hold_AMD*TK_CapexFacility_VR200</f>
        <v>12.2172817673375</v>
      </c>
      <c r="G94" s="29" t="n">
        <f aca="false">(1-Players!G114)*G$8+Players!G114*TK_NonNV_Hold_AMD*TK_CapexFacility_VR200</f>
        <v>12.2172817673375</v>
      </c>
      <c r="H94" s="29" t="n">
        <f aca="false">(1-Players!H114)*H$8+Players!H114*TK_NonNV_Hold_AMD*TK_CapexFacility_VR200</f>
        <v>12.1509699108826</v>
      </c>
      <c r="I94" s="29" t="n">
        <f aca="false">(1-Players!I114)*I$8+Players!I114*TK_NonNV_Hold_AMD*TK_CapexFacility_VR200</f>
        <v>12.157584536667</v>
      </c>
      <c r="J94" s="29" t="n">
        <f aca="false">(1-Players!J114)*J$8+Players!J114*TK_NonNV_Hold_AMD*TK_CapexFacility_VR200</f>
        <v>12.1527076383687</v>
      </c>
      <c r="K94" s="29" t="n">
        <f aca="false">(1-Players!K114)*K$8+Players!K114*TK_NonNV_Hold_AMD*TK_CapexFacility_VR200</f>
        <v>12.1527076383687</v>
      </c>
      <c r="L94" s="29" t="n">
        <f aca="false">(1-Players!L114)*L$8+Players!L114*TK_NonNV_Hold_AMD*TK_CapexFacility_VR200</f>
        <v>12.1527076383687</v>
      </c>
      <c r="M94" s="29" t="n">
        <f aca="false">(1-Players!M114)*M$8+Players!M114*TK_NonNV_Hold_AMD*TK_CapexFacility_VR200</f>
        <v>12.1527076383687</v>
      </c>
    </row>
    <row r="95" customFormat="false" ht="17.15" hidden="false" customHeight="false" outlineLevel="0" collapsed="false">
      <c r="A95" s="5" t="s">
        <v>1292</v>
      </c>
      <c r="B95" s="0" t="s">
        <v>1365</v>
      </c>
      <c r="C95" s="0" t="s">
        <v>325</v>
      </c>
      <c r="D95" s="32" t="str">
        <f aca="false">IF(OR(D92="",D92="",D92=""),"",D93/(D93+D94)*D92+D94/(D93+D94)*(CapexGW!$D$4*D92+CapexGW!$E$4*D92+CapexGW!$F$4*D92))</f>
        <v/>
      </c>
      <c r="E95" s="32" t="str">
        <f aca="false">IF(OR(E92="",D92="",E92=""),"",E93/(E93+E94)*E92+E94/(E93+E94)*(CapexGW!$D$4*E92+CapexGW!$E$4*D92+CapexGW!$F$4*E92))</f>
        <v/>
      </c>
      <c r="F95" s="32" t="str">
        <f aca="false">IF(OR(F92="",E92="",D92=""),"",F93/(F93+F94)*F92+F94/(F93+F94)*(CapexGW!$D$4*F92+CapexGW!$E$4*E92+CapexGW!$F$4*D92))</f>
        <v/>
      </c>
      <c r="G95" s="32" t="str">
        <f aca="false">IF(OR(G92="",F92="",E92=""),"",G93/(G93+G94)*G92+G94/(G93+G94)*(CapexGW!$D$4*G92+CapexGW!$E$4*F92+CapexGW!$F$4*E92))</f>
        <v/>
      </c>
      <c r="H95" s="32" t="n">
        <f aca="false">IF(OR(H92="",G92="",F92=""),"",H93/(H93+H94)*H92+H94/(H93+H94)*(CapexGW!$D$4*H92+CapexGW!$E$4*G92+CapexGW!$F$4*F92))</f>
        <v>74.7256483079768</v>
      </c>
      <c r="I95" s="32" t="n">
        <f aca="false">IF(OR(I92="",H92="",G92=""),"",I93/(I93+I94)*I92+I94/(I93+I94)*(CapexGW!$D$4*I92+CapexGW!$E$4*H92+CapexGW!$F$4*G92))</f>
        <v>76.9622607093551</v>
      </c>
      <c r="J95" s="32" t="n">
        <f aca="false">IF(OR(J92="",I92="",H92=""),"",J93/(J93+J94)*J92+J94/(J93+J94)*(CapexGW!$D$4*J92+CapexGW!$E$4*I92+CapexGW!$F$4*H92))</f>
        <v>77.2814421172012</v>
      </c>
      <c r="K95" s="32" t="n">
        <f aca="false">IF(OR(K92="",J92="",I92=""),"",K93/(K93+K94)*K92+K94/(K93+K94)*(CapexGW!$D$4*K92+CapexGW!$E$4*J92+CapexGW!$F$4*I92))</f>
        <v>82.3183230996079</v>
      </c>
      <c r="L95" s="32" t="n">
        <f aca="false">IF(OR(L92="",K92="",J92=""),"",L93/(L93+L94)*L92+L94/(L93+L94)*(CapexGW!$D$4*L92+CapexGW!$E$4*K92+CapexGW!$F$4*J92))</f>
        <v>89.4426691334345</v>
      </c>
      <c r="M95" s="32" t="n">
        <f aca="false">IF(OR(M92="",L92="",K92=""),"",M93/(M93+M94)*M92+M94/(M93+M94)*(CapexGW!$D$4*M92+CapexGW!$E$4*L92+CapexGW!$F$4*K92))</f>
        <v>98.386936046778</v>
      </c>
    </row>
    <row r="96" customFormat="false" ht="17.15" hidden="false" customHeight="false" outlineLevel="0" collapsed="false">
      <c r="A96" s="5" t="s">
        <v>1294</v>
      </c>
      <c r="B96" s="0" t="s">
        <v>1366</v>
      </c>
      <c r="C96" s="0" t="s">
        <v>75</v>
      </c>
      <c r="D96" s="25" t="str">
        <f aca="false">IF(D95="","",D95/(D93+D94))</f>
        <v/>
      </c>
      <c r="E96" s="25" t="str">
        <f aca="false">IF(E95="","",E95/(E93+E94))</f>
        <v/>
      </c>
      <c r="F96" s="25" t="str">
        <f aca="false">IF(F95="","",F95/(F93+F94))</f>
        <v/>
      </c>
      <c r="G96" s="25" t="str">
        <f aca="false">IF(G95="","",G95/(G93+G94))</f>
        <v/>
      </c>
      <c r="H96" s="25" t="n">
        <f aca="false">IF(H95="","",H95/(H93+H94))</f>
        <v>1.53296918960021</v>
      </c>
      <c r="I96" s="25" t="n">
        <f aca="false">IF(I95="","",I95/(I93+I94))</f>
        <v>1.51024789659781</v>
      </c>
      <c r="J96" s="25" t="n">
        <f aca="false">IF(J95="","",J95/(J93+J94))</f>
        <v>1.51737350859666</v>
      </c>
      <c r="K96" s="25" t="n">
        <f aca="false">IF(K95="","",K95/(K93+K94))</f>
        <v>1.61626956383678</v>
      </c>
      <c r="L96" s="25" t="n">
        <f aca="false">IF(L95="","",L95/(L93+L94))</f>
        <v>1.75615170942886</v>
      </c>
      <c r="M96" s="25" t="n">
        <f aca="false">IF(M95="","",M95/(M93+M94))</f>
        <v>1.93176688037174</v>
      </c>
    </row>
    <row r="97" customFormat="false" ht="17.15" hidden="false" customHeight="false" outlineLevel="0" collapsed="false">
      <c r="A97" s="5" t="s">
        <v>1296</v>
      </c>
      <c r="B97" s="0" t="s">
        <v>1367</v>
      </c>
      <c r="C97" s="0" t="s">
        <v>75</v>
      </c>
      <c r="D97" s="19" t="n">
        <f aca="false">Players!D112</f>
        <v>0</v>
      </c>
      <c r="E97" s="27" t="n">
        <f aca="false">Players!E112</f>
        <v>0</v>
      </c>
      <c r="F97" s="27" t="n">
        <f aca="false">Players!F112</f>
        <v>0.816405</v>
      </c>
      <c r="G97" s="27" t="n">
        <f aca="false">Players!G112</f>
        <v>1.54613</v>
      </c>
      <c r="H97" s="27" t="n">
        <f aca="false">Players!H112</f>
        <v>0.166666666666667</v>
      </c>
      <c r="I97" s="27" t="n">
        <f aca="false">Players!I112</f>
        <v>5.58333333333333</v>
      </c>
      <c r="J97" s="27" t="n">
        <f aca="false">Players!J112</f>
        <v>0</v>
      </c>
      <c r="K97" s="27" t="n">
        <f aca="false">Players!K112</f>
        <v>0</v>
      </c>
      <c r="L97" s="27" t="n">
        <f aca="false">Players!L112</f>
        <v>0</v>
      </c>
      <c r="M97" s="27" t="n">
        <f aca="false">Players!M112</f>
        <v>0</v>
      </c>
    </row>
    <row r="98" customFormat="false" ht="17.15" hidden="false" customHeight="false" outlineLevel="0" collapsed="false">
      <c r="A98" s="5" t="s">
        <v>1298</v>
      </c>
      <c r="B98" s="0" t="s">
        <v>1368</v>
      </c>
      <c r="C98" s="0" t="s">
        <v>75</v>
      </c>
      <c r="D98" s="24" t="n">
        <f aca="false">IF(AND(2023&gt;=2027,D96&lt;&gt;""),D96,D97)</f>
        <v>0</v>
      </c>
      <c r="E98" s="24" t="n">
        <f aca="false">IF(AND(2024&gt;=2027,E96&lt;&gt;""),E96,E97)</f>
        <v>0</v>
      </c>
      <c r="F98" s="24" t="n">
        <f aca="false">IF(AND(2025&gt;=2027,F96&lt;&gt;""),F96,F97)</f>
        <v>0.816405</v>
      </c>
      <c r="G98" s="24" t="n">
        <f aca="false">IF(AND(2026&gt;=2027,G96&lt;&gt;""),G96,G97)</f>
        <v>1.54613</v>
      </c>
      <c r="H98" s="24" t="n">
        <f aca="false">IF(AND(2027&gt;=2027,H96&lt;&gt;""),H96,H97)</f>
        <v>1.53296918960021</v>
      </c>
      <c r="I98" s="24" t="n">
        <f aca="false">IF(AND(2028&gt;=2027,I96&lt;&gt;""),I96,I97)</f>
        <v>1.51024789659781</v>
      </c>
      <c r="J98" s="24" t="n">
        <f aca="false">IF(AND(2029&gt;=2027,J96&lt;&gt;""),J96,J97)</f>
        <v>1.51737350859666</v>
      </c>
      <c r="K98" s="24" t="n">
        <f aca="false">IF(AND(2030&gt;=2027,K96&lt;&gt;""),K96,K97)</f>
        <v>1.61626956383678</v>
      </c>
      <c r="L98" s="24" t="n">
        <f aca="false">IF(AND(2031&gt;=2027,L96&lt;&gt;""),L96,L97)</f>
        <v>1.75615170942886</v>
      </c>
      <c r="M98" s="24" t="n">
        <f aca="false">IF(AND(2032&gt;=2027,M96&lt;&gt;""),M96,M97)</f>
        <v>1.93176688037174</v>
      </c>
    </row>
    <row r="99" customFormat="false" ht="17.15" hidden="false" customHeight="false" outlineLevel="0" collapsed="false">
      <c r="A99" s="5" t="s">
        <v>1300</v>
      </c>
      <c r="B99" s="0" t="s">
        <v>1369</v>
      </c>
      <c r="C99" s="0" t="s">
        <v>75</v>
      </c>
      <c r="D99" s="24" t="n">
        <f aca="false">N(Players!D106)</f>
        <v>0</v>
      </c>
      <c r="E99" s="24" t="n">
        <f aca="false">IF(2024&gt;=2027,D99+E98,N(Players!E106))</f>
        <v>0.386465</v>
      </c>
      <c r="F99" s="24" t="n">
        <f aca="false">IF(2025&gt;=2027,E99+F98,N(Players!F106))</f>
        <v>1.20287</v>
      </c>
      <c r="G99" s="24" t="n">
        <f aca="false">IF(2026&gt;=2027,F99+G98,N(Players!G106))</f>
        <v>2.749</v>
      </c>
      <c r="H99" s="24" t="n">
        <f aca="false">IF(2027&gt;=2027,G99+H98,N(Players!H106))</f>
        <v>4.28196918960021</v>
      </c>
      <c r="I99" s="24" t="n">
        <f aca="false">IF(2028&gt;=2027,H99+I98,N(Players!I106))</f>
        <v>5.79221708619802</v>
      </c>
      <c r="J99" s="24" t="n">
        <f aca="false">IF(2029&gt;=2027,I99+J98,N(Players!J106))</f>
        <v>7.30959059479468</v>
      </c>
      <c r="K99" s="24" t="n">
        <f aca="false">IF(2030&gt;=2027,J99+K98,N(Players!K106))</f>
        <v>8.92586015863146</v>
      </c>
      <c r="L99" s="24" t="n">
        <f aca="false">IF(2031&gt;=2027,K99+L98,N(Players!L106))</f>
        <v>10.6820118680603</v>
      </c>
      <c r="M99" s="24" t="n">
        <f aca="false">IF(2032&gt;=2027,L99+M98,N(Players!M106))</f>
        <v>12.6137787484321</v>
      </c>
    </row>
    <row r="100" customFormat="false" ht="17.15" hidden="false" customHeight="false" outlineLevel="0" collapsed="false">
      <c r="A100" s="5" t="s">
        <v>1302</v>
      </c>
      <c r="B100" s="0" t="s">
        <v>1370</v>
      </c>
      <c r="C100" s="0" t="s">
        <v>75</v>
      </c>
      <c r="D100" s="24" t="str">
        <f aca="false">IF(D96="","",D96*ai_sh_lo/ai_sh)</f>
        <v/>
      </c>
      <c r="E100" s="24" t="str">
        <f aca="false">IF(E96="","",E96*ai_sh_lo/ai_sh)</f>
        <v/>
      </c>
      <c r="F100" s="24" t="str">
        <f aca="false">IF(F96="","",F96*ai_sh_lo/ai_sh)</f>
        <v/>
      </c>
      <c r="G100" s="24" t="str">
        <f aca="false">IF(G96="","",G96*ai_sh_lo/ai_sh)</f>
        <v/>
      </c>
      <c r="H100" s="24" t="n">
        <f aca="false">IF(H96="","",H96*ai_sh_lo/ai_sh)</f>
        <v>1.35261987317666</v>
      </c>
      <c r="I100" s="24" t="n">
        <f aca="false">IF(I96="","",I96*ai_sh_lo/ai_sh)</f>
        <v>1.33257167346866</v>
      </c>
      <c r="J100" s="24" t="n">
        <f aca="false">IF(J96="","",J96*ai_sh_lo/ai_sh)</f>
        <v>1.33885897817353</v>
      </c>
      <c r="K100" s="24" t="n">
        <f aca="false">IF(K96="","",K96*ai_sh_lo/ai_sh)</f>
        <v>1.42612020338539</v>
      </c>
      <c r="L100" s="24" t="n">
        <f aca="false">IF(L96="","",L96*ai_sh_lo/ai_sh)</f>
        <v>1.54954562596664</v>
      </c>
      <c r="M100" s="24" t="n">
        <f aca="false">IF(M96="","",M96*ai_sh_lo/ai_sh)</f>
        <v>1.7045001885633</v>
      </c>
    </row>
    <row r="101" customFormat="false" ht="17.15" hidden="false" customHeight="false" outlineLevel="0" collapsed="false">
      <c r="A101" s="5" t="s">
        <v>1304</v>
      </c>
      <c r="B101" s="0" t="s">
        <v>1371</v>
      </c>
      <c r="C101" s="0" t="s">
        <v>75</v>
      </c>
      <c r="D101" s="24" t="str">
        <f aca="false">IF(D96="","",D96*ai_sh_hi/ai_sh)</f>
        <v/>
      </c>
      <c r="E101" s="24" t="str">
        <f aca="false">IF(E96="","",E96*ai_sh_hi/ai_sh)</f>
        <v/>
      </c>
      <c r="F101" s="24" t="str">
        <f aca="false">IF(F96="","",F96*ai_sh_hi/ai_sh)</f>
        <v/>
      </c>
      <c r="G101" s="24" t="str">
        <f aca="false">IF(G96="","",G96*ai_sh_hi/ai_sh)</f>
        <v/>
      </c>
      <c r="H101" s="24" t="n">
        <f aca="false">IF(H96="","",H96*ai_sh_hi/ai_sh)</f>
        <v>1.71331850602376</v>
      </c>
      <c r="I101" s="24" t="n">
        <f aca="false">IF(I96="","",I96*ai_sh_hi/ai_sh)</f>
        <v>1.68792411972696</v>
      </c>
      <c r="J101" s="24" t="n">
        <f aca="false">IF(J96="","",J96*ai_sh_hi/ai_sh)</f>
        <v>1.6958880390198</v>
      </c>
      <c r="K101" s="24" t="n">
        <f aca="false">IF(K96="","",K96*ai_sh_hi/ai_sh)</f>
        <v>1.80641892428816</v>
      </c>
      <c r="L101" s="24" t="n">
        <f aca="false">IF(L96="","",L96*ai_sh_hi/ai_sh)</f>
        <v>1.96275779289107</v>
      </c>
      <c r="M101" s="24" t="n">
        <f aca="false">IF(M96="","",M96*ai_sh_hi/ai_sh)</f>
        <v>2.15903357218018</v>
      </c>
    </row>
    <row r="102" customFormat="false" ht="17.15" hidden="false" customHeight="false" outlineLevel="0" collapsed="false">
      <c r="A102" s="5" t="s">
        <v>1306</v>
      </c>
      <c r="B102" s="0" t="s">
        <v>1372</v>
      </c>
      <c r="C102" s="0" t="s">
        <v>75</v>
      </c>
      <c r="D102" s="24" t="str">
        <f aca="false">IF(OR(D92="",D92="",D92=""),"",(D93/(D93+D94)*D92+D94/(D93+D94)*(CapexGW!$D$5*D92+CapexGW!$E$5*D92+CapexGW!$F$5*D92))/(D93+D94))</f>
        <v/>
      </c>
      <c r="E102" s="24" t="str">
        <f aca="false">IF(OR(E92="",D92="",E92=""),"",(E93/(E93+E94)*E92+E94/(E93+E94)*(CapexGW!$D$5*E92+CapexGW!$E$5*D92+CapexGW!$F$5*E92))/(E93+E94))</f>
        <v/>
      </c>
      <c r="F102" s="24" t="str">
        <f aca="false">IF(OR(F92="",E92="",D92=""),"",(F93/(F93+F94)*F92+F94/(F93+F94)*(CapexGW!$D$5*F92+CapexGW!$E$5*E92+CapexGW!$F$5*D92))/(F93+F94))</f>
        <v/>
      </c>
      <c r="G102" s="24" t="str">
        <f aca="false">IF(OR(G92="",F92="",E92=""),"",(G93/(G93+G94)*G92+G94/(G93+G94)*(CapexGW!$D$5*G92+CapexGW!$E$5*F92+CapexGW!$F$5*E92))/(G93+G94))</f>
        <v/>
      </c>
      <c r="H102" s="24" t="n">
        <f aca="false">IF(OR(H92="",G92="",F92=""),"",(H93/(H93+H94)*H92+H94/(H93+H94)*(CapexGW!$D$5*H92+CapexGW!$E$5*G92+CapexGW!$F$5*F92))/(H93+H94))</f>
        <v>1.61086507742391</v>
      </c>
      <c r="I102" s="24" t="n">
        <f aca="false">IF(OR(I92="",H92="",G92=""),"",(I93/(I93+I94)*I92+I94/(I93+I94)*(CapexGW!$D$5*I92+CapexGW!$E$5*H92+CapexGW!$F$5*G92))/(I93+I94))</f>
        <v>1.5506078171358</v>
      </c>
      <c r="J102" s="24" t="n">
        <f aca="false">IF(OR(J92="",I92="",H92=""),"",(J93/(J93+J94)*J92+J94/(J93+J94)*(CapexGW!$D$5*J92+CapexGW!$E$5*I92+CapexGW!$F$5*H92))/(J93+J94))</f>
        <v>1.50567769381404</v>
      </c>
      <c r="K102" s="24" t="n">
        <f aca="false">IF(OR(K92="",J92="",I92=""),"",(K93/(K93+K94)*K92+K94/(K93+K94)*(CapexGW!$D$5*K92+CapexGW!$E$5*J92+CapexGW!$F$5*I92))/(K93+K94))</f>
        <v>1.61275584161224</v>
      </c>
      <c r="L102" s="24" t="n">
        <f aca="false">IF(OR(L92="",K92="",J92=""),"",(L93/(L93+L94)*L92+L94/(L93+L94)*(CapexGW!$D$5*L92+CapexGW!$E$5*K92+CapexGW!$F$5*J92))/(L93+L94))</f>
        <v>1.77403142577347</v>
      </c>
      <c r="M102" s="24" t="n">
        <f aca="false">IF(OR(M92="",L92="",K92=""),"",(M93/(M93+M94)*M92+M94/(M93+M94)*(CapexGW!$D$5*M92+CapexGW!$E$5*L92+CapexGW!$F$5*K92))/(M93+M94))</f>
        <v>1.95143456835082</v>
      </c>
    </row>
    <row r="103" customFormat="false" ht="17.15" hidden="false" customHeight="false" outlineLevel="0" collapsed="false">
      <c r="A103" s="5" t="s">
        <v>1308</v>
      </c>
      <c r="B103" s="0" t="s">
        <v>1373</v>
      </c>
      <c r="C103" s="0" t="s">
        <v>75</v>
      </c>
      <c r="D103" s="24" t="str">
        <f aca="false">IF(OR(D92="",D92="",D92=""),"",(D93/(D93+D94)*D92+D94/(D93+D94)*(CapexGW!$D$6*D92+CapexGW!$E$6*D92+CapexGW!$F$6*D92))/(D93+D94))</f>
        <v/>
      </c>
      <c r="E103" s="24" t="str">
        <f aca="false">IF(OR(E92="",D92="",E92=""),"",(E93/(E93+E94)*E92+E94/(E93+E94)*(CapexGW!$D$6*E92+CapexGW!$E$6*D92+CapexGW!$F$6*E92))/(E93+E94))</f>
        <v/>
      </c>
      <c r="F103" s="24" t="str">
        <f aca="false">IF(OR(F92="",E92="",D92=""),"",(F93/(F93+F94)*F92+F94/(F93+F94)*(CapexGW!$D$6*F92+CapexGW!$E$6*E92+CapexGW!$F$6*D92))/(F93+F94))</f>
        <v/>
      </c>
      <c r="G103" s="24" t="str">
        <f aca="false">IF(OR(G92="",F92="",E92=""),"",(G93/(G93+G94)*G92+G94/(G93+G94)*(CapexGW!$D$6*G92+CapexGW!$E$6*F92+CapexGW!$F$6*E92))/(G93+G94))</f>
        <v/>
      </c>
      <c r="H103" s="24" t="n">
        <f aca="false">IF(OR(H92="",G92="",F92=""),"",(H93/(H93+H94)*H92+H94/(H93+H94)*(CapexGW!$D$6*H92+CapexGW!$E$6*G92+CapexGW!$F$6*F92))/(H93+H94))</f>
        <v>1.45507330177651</v>
      </c>
      <c r="I103" s="24" t="n">
        <f aca="false">IF(OR(I92="",H92="",G92=""),"",(I93/(I93+I94)*I92+I94/(I93+I94)*(CapexGW!$D$6*I92+CapexGW!$E$6*H92+CapexGW!$F$6*G92))/(I93+I94))</f>
        <v>1.46988797605982</v>
      </c>
      <c r="J103" s="24" t="n">
        <f aca="false">IF(OR(J92="",I92="",H92=""),"",(J93/(J93+J94)*J92+J94/(J93+J94)*(CapexGW!$D$6*J92+CapexGW!$E$6*I92+CapexGW!$F$6*H92))/(J93+J94))</f>
        <v>1.52906932337929</v>
      </c>
      <c r="K103" s="24" t="n">
        <f aca="false">IF(OR(K92="",J92="",I92=""),"",(K93/(K93+K94)*K92+K94/(K93+K94)*(CapexGW!$D$6*K92+CapexGW!$E$6*J92+CapexGW!$F$6*I92))/(K93+K94))</f>
        <v>1.61978328606131</v>
      </c>
      <c r="L103" s="24" t="n">
        <f aca="false">IF(OR(L92="",K92="",J92=""),"",(L93/(L93+L94)*L92+L94/(L93+L94)*(CapexGW!$D$6*L92+CapexGW!$E$6*K92+CapexGW!$F$6*J92))/(L93+L94))</f>
        <v>1.73827199308424</v>
      </c>
      <c r="M103" s="24" t="n">
        <f aca="false">IF(OR(M92="",L92="",K92=""),"",(M93/(M93+M94)*M92+M94/(M93+M94)*(CapexGW!$D$6*M92+CapexGW!$E$6*L92+CapexGW!$F$6*K92))/(M93+M94))</f>
        <v>1.91209919239267</v>
      </c>
    </row>
    <row r="105" customFormat="false" ht="17.15" hidden="false" customHeight="false" outlineLevel="0" collapsed="false">
      <c r="A105" s="8" t="s">
        <v>956</v>
      </c>
      <c r="B105" s="20" t="s">
        <v>555</v>
      </c>
      <c r="N105" s="20" t="s">
        <v>1374</v>
      </c>
    </row>
    <row r="106" customFormat="false" ht="17.15" hidden="false" customHeight="false" outlineLevel="0" collapsed="false">
      <c r="A106" s="5" t="s">
        <v>1278</v>
      </c>
      <c r="B106" s="0" t="s">
        <v>958</v>
      </c>
      <c r="C106" s="0" t="s">
        <v>325</v>
      </c>
      <c r="D106" s="19" t="str">
        <f aca="false">IF(In!H109="","",In!H109)</f>
        <v/>
      </c>
      <c r="E106" s="19" t="str">
        <f aca="false">IF(In!I109="","",In!I109)</f>
        <v/>
      </c>
      <c r="F106" s="19" t="str">
        <f aca="false">IF(In!J109="","",In!J109)</f>
        <v/>
      </c>
      <c r="G106" s="30" t="n">
        <f aca="false">IF(In!K109="","",In!K109)</f>
        <v>37</v>
      </c>
      <c r="H106" s="30" t="n">
        <f aca="false">IF(In!L109="","",In!L109)</f>
        <v>46.476</v>
      </c>
      <c r="I106" s="30" t="n">
        <f aca="false">IF(In!M109="","",In!M109)</f>
        <v>50.129</v>
      </c>
      <c r="J106" s="19" t="str">
        <f aca="false">IF(In!N109="","",In!N109)</f>
        <v/>
      </c>
      <c r="K106" s="19" t="str">
        <f aca="false">IF(In!O109="","",In!O109)</f>
        <v/>
      </c>
      <c r="L106" s="19" t="str">
        <f aca="false">IF(In!P109="","",In!P109)</f>
        <v/>
      </c>
      <c r="M106" s="19" t="str">
        <f aca="false">IF(In!Q109="","",In!Q109)</f>
        <v/>
      </c>
    </row>
    <row r="107" customFormat="false" ht="15" hidden="false" customHeight="false" outlineLevel="0" collapsed="false">
      <c r="A107" s="5" t="s">
        <v>1279</v>
      </c>
      <c r="B107" s="0" t="s">
        <v>1375</v>
      </c>
      <c r="C107" s="0" t="s">
        <v>33</v>
      </c>
      <c r="D107" s="26" t="n">
        <f aca="false">(D106&lt;&gt;"")</f>
        <v>0</v>
      </c>
      <c r="E107" s="26" t="n">
        <f aca="false">(E106&lt;&gt;"")+D107</f>
        <v>0</v>
      </c>
      <c r="F107" s="26" t="n">
        <f aca="false">(F106&lt;&gt;"")+E107</f>
        <v>0</v>
      </c>
      <c r="G107" s="26" t="n">
        <f aca="false">(G106&lt;&gt;"")+F107</f>
        <v>1</v>
      </c>
      <c r="H107" s="26" t="n">
        <f aca="false">(H106&lt;&gt;"")+G107</f>
        <v>2</v>
      </c>
      <c r="I107" s="26" t="n">
        <f aca="false">(I106&lt;&gt;"")+H107</f>
        <v>3</v>
      </c>
      <c r="J107" s="26" t="n">
        <f aca="false">(J106&lt;&gt;"")+I107</f>
        <v>3</v>
      </c>
      <c r="K107" s="26" t="n">
        <f aca="false">(K106&lt;&gt;"")+J107</f>
        <v>3</v>
      </c>
      <c r="L107" s="26" t="n">
        <f aca="false">(L106&lt;&gt;"")+K107</f>
        <v>3</v>
      </c>
      <c r="M107" s="26" t="n">
        <f aca="false">(M106&lt;&gt;"")+L107</f>
        <v>3</v>
      </c>
    </row>
    <row r="108" customFormat="false" ht="15" hidden="false" customHeight="false" outlineLevel="0" collapsed="false">
      <c r="A108" s="5" t="s">
        <v>1281</v>
      </c>
      <c r="B108" s="0" t="s">
        <v>963</v>
      </c>
      <c r="C108" s="0" t="s">
        <v>325</v>
      </c>
      <c r="D108" s="31" t="n">
        <f aca="false">IF(D106&lt;&gt;"",D106,E108)</f>
        <v>37</v>
      </c>
      <c r="E108" s="31" t="n">
        <f aca="false">IF(E106&lt;&gt;"",E106,F108)</f>
        <v>37</v>
      </c>
      <c r="F108" s="31" t="n">
        <f aca="false">IF(F106&lt;&gt;"",F106,G108)</f>
        <v>37</v>
      </c>
      <c r="G108" s="31" t="n">
        <f aca="false">IF(G106&lt;&gt;"",G106,H108)</f>
        <v>37</v>
      </c>
      <c r="H108" s="31" t="n">
        <f aca="false">IF(H106&lt;&gt;"",H106,I108)</f>
        <v>46.476</v>
      </c>
      <c r="I108" s="31" t="n">
        <f aca="false">IF(I106&lt;&gt;"",I106,J108)</f>
        <v>50.129</v>
      </c>
      <c r="J108" s="0" t="str">
        <f aca="false">IF(J106&lt;&gt;"",J106,K108)</f>
        <v/>
      </c>
      <c r="K108" s="0" t="str">
        <f aca="false">IF(K106&lt;&gt;"",K106,L108)</f>
        <v/>
      </c>
      <c r="L108" s="0" t="str">
        <f aca="false">IF(L106&lt;&gt;"",L106,M108)</f>
        <v/>
      </c>
      <c r="M108" s="0" t="str">
        <f aca="false">IF(M106&lt;&gt;"",M106,"")</f>
        <v/>
      </c>
    </row>
    <row r="109" customFormat="false" ht="15" hidden="false" customHeight="false" outlineLevel="0" collapsed="false">
      <c r="A109" s="5" t="s">
        <v>1282</v>
      </c>
      <c r="B109" s="0" t="s">
        <v>1376</v>
      </c>
      <c r="C109" s="0" t="s">
        <v>325</v>
      </c>
      <c r="D109" s="32" t="str">
        <f aca="false">IF(D106&lt;&gt;"",D106,IF(0&gt;0,""*(1+cap_g_ext),""))</f>
        <v/>
      </c>
      <c r="E109" s="32" t="str">
        <f aca="false">IF(E106&lt;&gt;"",E106,IF(D107&gt;0,D109*(1+cap_g_ext),""))</f>
        <v/>
      </c>
      <c r="F109" s="32" t="str">
        <f aca="false">IF(F106&lt;&gt;"",F106,IF(E107&gt;0,E109*(1+cap_g_ext),""))</f>
        <v/>
      </c>
      <c r="G109" s="32" t="n">
        <f aca="false">IF(G106&lt;&gt;"",G106,IF(F107&gt;0,F109*(1+cap_g_ext),""))</f>
        <v>37</v>
      </c>
      <c r="H109" s="32" t="n">
        <f aca="false">IF(H106&lt;&gt;"",H106,IF(G107&gt;0,G109*(1+cap_g_ext),""))</f>
        <v>46.476</v>
      </c>
      <c r="I109" s="32" t="n">
        <f aca="false">IF(I106&lt;&gt;"",I106,IF(H107&gt;0,H109*(1+cap_g_ext),""))</f>
        <v>50.129</v>
      </c>
      <c r="J109" s="32" t="n">
        <f aca="false">IF(J106&lt;&gt;"",J106,IF(I107&gt;0,I109*(1+cap_g_ext),""))</f>
        <v>55.1419</v>
      </c>
      <c r="K109" s="32" t="n">
        <f aca="false">IF(K106&lt;&gt;"",K106,IF(J107&gt;0,J109*(1+cap_g_ext),""))</f>
        <v>60.65609</v>
      </c>
      <c r="L109" s="32" t="n">
        <f aca="false">IF(L106&lt;&gt;"",L106,IF(K107&gt;0,K109*(1+cap_g_ext),""))</f>
        <v>66.721699</v>
      </c>
      <c r="M109" s="32" t="n">
        <f aca="false">IF(M106&lt;&gt;"",M106,IF(L107&gt;0,L109*(1+cap_g_ext),""))</f>
        <v>73.3938689</v>
      </c>
    </row>
    <row r="110" customFormat="false" ht="15" hidden="false" customHeight="false" outlineLevel="0" collapsed="false">
      <c r="A110" s="5" t="s">
        <v>1284</v>
      </c>
      <c r="B110" s="0" t="s">
        <v>1377</v>
      </c>
      <c r="C110" s="0" t="s">
        <v>325</v>
      </c>
      <c r="D110" s="32" t="str">
        <f aca="false">IF(OR(D109="",AND(fye_crwv&lt;12,E109="")),"",D109*fye_crwv/12+IF(fye_crwv&lt;12,E109,0)*(12-fye_crwv)/12)</f>
        <v/>
      </c>
      <c r="E110" s="32" t="str">
        <f aca="false">IF(OR(E109="",AND(fye_crwv&lt;12,F109="")),"",E109*fye_crwv/12+IF(fye_crwv&lt;12,F109,0)*(12-fye_crwv)/12)</f>
        <v/>
      </c>
      <c r="F110" s="32" t="str">
        <f aca="false">IF(OR(F109="",AND(fye_crwv&lt;12,G109="")),"",F109*fye_crwv/12+IF(fye_crwv&lt;12,G109,0)*(12-fye_crwv)/12)</f>
        <v/>
      </c>
      <c r="G110" s="32" t="n">
        <f aca="false">IF(OR(G109="",AND(fye_crwv&lt;12,H109="")),"",G109*fye_crwv/12+IF(fye_crwv&lt;12,H109,0)*(12-fye_crwv)/12)</f>
        <v>37</v>
      </c>
      <c r="H110" s="32" t="n">
        <f aca="false">IF(OR(H109="",AND(fye_crwv&lt;12,I109="")),"",H109*fye_crwv/12+IF(fye_crwv&lt;12,I109,0)*(12-fye_crwv)/12)</f>
        <v>46.476</v>
      </c>
      <c r="I110" s="32" t="n">
        <f aca="false">IF(OR(I109="",AND(fye_crwv&lt;12,J109="")),"",I109*fye_crwv/12+IF(fye_crwv&lt;12,J109,0)*(12-fye_crwv)/12)</f>
        <v>50.129</v>
      </c>
      <c r="J110" s="32" t="n">
        <f aca="false">IF(OR(J109="",AND(fye_crwv&lt;12,K109="")),"",J109*fye_crwv/12+IF(fye_crwv&lt;12,K109,0)*(12-fye_crwv)/12)</f>
        <v>55.1419</v>
      </c>
      <c r="K110" s="32" t="n">
        <f aca="false">IF(OR(K109="",AND(fye_crwv&lt;12,L109="")),"",K109*fye_crwv/12+IF(fye_crwv&lt;12,L109,0)*(12-fye_crwv)/12)</f>
        <v>60.65609</v>
      </c>
      <c r="L110" s="32" t="n">
        <f aca="false">IF(OR(L109="",AND(fye_crwv&lt;12,M109="")),"",L109*fye_crwv/12+IF(fye_crwv&lt;12,M109,0)*(12-fye_crwv)/12)</f>
        <v>66.721699</v>
      </c>
      <c r="M110" s="32" t="n">
        <f aca="false">IF(OR(M109="",AND(fye_crwv&lt;12,IF(M109="","",M109*(1+cap_g_ext))="")),"",M109*fye_crwv/12+IF(fye_crwv&lt;12,IF(M109="","",M109*(1+cap_g_ext)),0)*(12-fye_crwv)/12)</f>
        <v>73.3938689</v>
      </c>
    </row>
    <row r="111" customFormat="false" ht="17.15" hidden="false" customHeight="false" outlineLevel="0" collapsed="false">
      <c r="A111" s="5" t="s">
        <v>1286</v>
      </c>
      <c r="B111" s="0" t="s">
        <v>1378</v>
      </c>
      <c r="C111" s="0" t="s">
        <v>325</v>
      </c>
      <c r="D111" s="32" t="str">
        <f aca="false">IF(D110="","",D110*ai_sh)</f>
        <v/>
      </c>
      <c r="E111" s="32" t="str">
        <f aca="false">IF(E110="","",E110*ai_sh)</f>
        <v/>
      </c>
      <c r="F111" s="32" t="str">
        <f aca="false">IF(F110="","",F110*ai_sh)</f>
        <v/>
      </c>
      <c r="G111" s="32" t="n">
        <f aca="false">IF(G110="","",G110*ai_sh)</f>
        <v>31.45</v>
      </c>
      <c r="H111" s="32" t="n">
        <f aca="false">IF(H110="","",H110*ai_sh)</f>
        <v>39.5046</v>
      </c>
      <c r="I111" s="32" t="n">
        <f aca="false">IF(I110="","",I110*ai_sh)</f>
        <v>42.60965</v>
      </c>
      <c r="J111" s="32" t="n">
        <f aca="false">IF(J110="","",J110*ai_sh)</f>
        <v>46.870615</v>
      </c>
      <c r="K111" s="32" t="n">
        <f aca="false">IF(K110="","",K110*ai_sh)</f>
        <v>51.5576765</v>
      </c>
      <c r="L111" s="32" t="n">
        <f aca="false">IF(L110="","",L110*ai_sh)</f>
        <v>56.71344415</v>
      </c>
      <c r="M111" s="32" t="n">
        <f aca="false">IF(M110="","",M110*ai_sh)</f>
        <v>62.384788565</v>
      </c>
    </row>
    <row r="112" customFormat="false" ht="17.15" hidden="false" customHeight="false" outlineLevel="0" collapsed="false">
      <c r="A112" s="5" t="s">
        <v>1288</v>
      </c>
      <c r="B112" s="0" t="s">
        <v>1379</v>
      </c>
      <c r="C112" s="0" t="s">
        <v>325</v>
      </c>
      <c r="D112" s="29" t="n">
        <f aca="false">(1-Players!D133)*D$7+Players!D133*TK_NonNV_Hold_AMD*TK_CapexIT_VR200</f>
        <v>27.510214</v>
      </c>
      <c r="E112" s="29" t="n">
        <f aca="false">(1-Players!E133)*E$7+Players!E133*TK_NonNV_Hold_AMD*TK_CapexIT_VR200</f>
        <v>27.510214</v>
      </c>
      <c r="F112" s="29" t="n">
        <f aca="false">(1-Players!F133)*F$7+Players!F133*TK_NonNV_Hold_AMD*TK_CapexIT_VR200</f>
        <v>26.009088</v>
      </c>
      <c r="G112" s="29" t="n">
        <f aca="false">(1-Players!G133)*G$7+Players!G133*TK_NonNV_Hold_AMD*TK_CapexIT_VR200</f>
        <v>33.41403216</v>
      </c>
      <c r="H112" s="29" t="n">
        <f aca="false">(1-Players!H133)*H$7+Players!H133*TK_NonNV_Hold_AMD*TK_CapexIT_VR200</f>
        <v>38.3403893327246</v>
      </c>
      <c r="I112" s="29" t="n">
        <f aca="false">(1-Players!I133)*I$7+Players!I133*TK_NonNV_Hold_AMD*TK_CapexIT_VR200</f>
        <v>41.3326208898258</v>
      </c>
      <c r="J112" s="29" t="n">
        <f aca="false">(1-Players!J133)*J$7+Players!J133*TK_NonNV_Hold_AMD*TK_CapexIT_VR200</f>
        <v>41.3326208898258</v>
      </c>
      <c r="K112" s="29" t="n">
        <f aca="false">(1-Players!K133)*K$7+Players!K133*TK_NonNV_Hold_AMD*TK_CapexIT_VR200</f>
        <v>41.3326208898258</v>
      </c>
      <c r="L112" s="29" t="n">
        <f aca="false">(1-Players!L133)*L$7+Players!L133*TK_NonNV_Hold_AMD*TK_CapexIT_VR200</f>
        <v>41.3326208898258</v>
      </c>
      <c r="M112" s="29" t="n">
        <f aca="false">(1-Players!M133)*M$7+Players!M133*TK_NonNV_Hold_AMD*TK_CapexIT_VR200</f>
        <v>41.3326208898258</v>
      </c>
    </row>
    <row r="113" customFormat="false" ht="17.15" hidden="false" customHeight="false" outlineLevel="0" collapsed="false">
      <c r="A113" s="5" t="s">
        <v>1290</v>
      </c>
      <c r="B113" s="0" t="s">
        <v>1380</v>
      </c>
      <c r="C113" s="0" t="s">
        <v>325</v>
      </c>
      <c r="D113" s="29" t="n">
        <f aca="false">(1-Players!D133)*D$8+Players!D133*TK_NonNV_Hold_AMD*TK_CapexFacility_VR200</f>
        <v>12.67</v>
      </c>
      <c r="E113" s="29" t="n">
        <f aca="false">(1-Players!E133)*E$8+Players!E133*TK_NonNV_Hold_AMD*TK_CapexFacility_VR200</f>
        <v>12.67</v>
      </c>
      <c r="F113" s="29" t="n">
        <f aca="false">(1-Players!F133)*F$8+Players!F133*TK_NonNV_Hold_AMD*TK_CapexFacility_VR200</f>
        <v>12.67</v>
      </c>
      <c r="G113" s="29" t="n">
        <f aca="false">(1-Players!G133)*G$8+Players!G133*TK_NonNV_Hold_AMD*TK_CapexFacility_VR200</f>
        <v>12.67</v>
      </c>
      <c r="H113" s="29" t="n">
        <f aca="false">(1-Players!H133)*H$8+Players!H133*TK_NonNV_Hold_AMD*TK_CapexFacility_VR200</f>
        <v>12.67</v>
      </c>
      <c r="I113" s="29" t="n">
        <f aca="false">(1-Players!I133)*I$8+Players!I133*TK_NonNV_Hold_AMD*TK_CapexFacility_VR200</f>
        <v>12.67</v>
      </c>
      <c r="J113" s="29" t="n">
        <f aca="false">(1-Players!J133)*J$8+Players!J133*TK_NonNV_Hold_AMD*TK_CapexFacility_VR200</f>
        <v>12.67</v>
      </c>
      <c r="K113" s="29" t="n">
        <f aca="false">(1-Players!K133)*K$8+Players!K133*TK_NonNV_Hold_AMD*TK_CapexFacility_VR200</f>
        <v>12.67</v>
      </c>
      <c r="L113" s="29" t="n">
        <f aca="false">(1-Players!L133)*L$8+Players!L133*TK_NonNV_Hold_AMD*TK_CapexFacility_VR200</f>
        <v>12.67</v>
      </c>
      <c r="M113" s="29" t="n">
        <f aca="false">(1-Players!M133)*M$8+Players!M133*TK_NonNV_Hold_AMD*TK_CapexFacility_VR200</f>
        <v>12.67</v>
      </c>
    </row>
    <row r="114" customFormat="false" ht="17.15" hidden="false" customHeight="false" outlineLevel="0" collapsed="false">
      <c r="A114" s="5" t="s">
        <v>1292</v>
      </c>
      <c r="B114" s="0" t="s">
        <v>1381</v>
      </c>
      <c r="C114" s="0" t="s">
        <v>325</v>
      </c>
      <c r="D114" s="32" t="str">
        <f aca="false">IF(OR(D111="",D111="",D111=""),"",D112/(D112+D113)*D111+D113/(D112+D113)*(CapexGW!$D$4*D111+CapexGW!$E$4*D111+CapexGW!$F$4*D111))</f>
        <v/>
      </c>
      <c r="E114" s="32" t="str">
        <f aca="false">IF(OR(E111="",D111="",E111=""),"",E112/(E112+E113)*E111+E113/(E112+E113)*(CapexGW!$D$4*E111+CapexGW!$E$4*D111+CapexGW!$F$4*E111))</f>
        <v/>
      </c>
      <c r="F114" s="32" t="str">
        <f aca="false">IF(OR(F111="",E111="",D111=""),"",F112/(F112+F113)*F111+F113/(F112+F113)*(CapexGW!$D$4*F111+CapexGW!$E$4*E111+CapexGW!$F$4*D111))</f>
        <v/>
      </c>
      <c r="G114" s="32" t="str">
        <f aca="false">IF(OR(G111="",F111="",E111=""),"",G112/(G112+G113)*G111+G113/(G112+G113)*(CapexGW!$D$4*G111+CapexGW!$E$4*F111+CapexGW!$F$4*E111))</f>
        <v/>
      </c>
      <c r="H114" s="32" t="str">
        <f aca="false">IF(OR(H111="",G111="",F111=""),"",H112/(H112+H113)*H111+H113/(H112+H113)*(CapexGW!$D$4*H111+CapexGW!$E$4*G111+CapexGW!$F$4*F111))</f>
        <v/>
      </c>
      <c r="I114" s="32" t="n">
        <f aca="false">IF(OR(I111="",H111="",G111=""),"",I112/(I112+I113)*I111+I113/(I112+I113)*(CapexGW!$D$4*I111+CapexGW!$E$4*H111+CapexGW!$F$4*G111))</f>
        <v>40.9362705785759</v>
      </c>
      <c r="J114" s="32" t="n">
        <f aca="false">IF(OR(J111="",I111="",H111=""),"",J112/(J112+J113)*J111+J113/(J112+J113)*(CapexGW!$D$4*J111+CapexGW!$E$4*I111+CapexGW!$F$4*H111))</f>
        <v>45.5066641937924</v>
      </c>
      <c r="K114" s="32" t="n">
        <f aca="false">IF(OR(K111="",J111="",I111=""),"",K112/(K112+K113)*K111+K113/(K112+K113)*(CapexGW!$D$4*K111+CapexGW!$E$4*J111+CapexGW!$F$4*I111))</f>
        <v>49.9581563090036</v>
      </c>
      <c r="L114" s="32" t="n">
        <f aca="false">IF(OR(L111="",K111="",J111=""),"",L112/(L112+L113)*L111+L113/(L112+L113)*(CapexGW!$D$4*L111+CapexGW!$E$4*K111+CapexGW!$F$4*J111))</f>
        <v>54.953971939904</v>
      </c>
      <c r="M114" s="32" t="n">
        <f aca="false">IF(OR(M111="",L111="",K111=""),"",M112/(M112+M113)*M111+M113/(M112+M113)*(CapexGW!$D$4*M111+CapexGW!$E$4*L111+CapexGW!$F$4*K111))</f>
        <v>60.4493691338944</v>
      </c>
    </row>
    <row r="115" customFormat="false" ht="17.15" hidden="false" customHeight="false" outlineLevel="0" collapsed="false">
      <c r="A115" s="5" t="s">
        <v>1294</v>
      </c>
      <c r="B115" s="0" t="s">
        <v>1382</v>
      </c>
      <c r="C115" s="0" t="s">
        <v>75</v>
      </c>
      <c r="D115" s="25" t="str">
        <f aca="false">IF(D114="","",D114/(D112+D113))</f>
        <v/>
      </c>
      <c r="E115" s="25" t="str">
        <f aca="false">IF(E114="","",E114/(E112+E113))</f>
        <v/>
      </c>
      <c r="F115" s="25" t="str">
        <f aca="false">IF(F114="","",F114/(F112+F113))</f>
        <v/>
      </c>
      <c r="G115" s="25" t="str">
        <f aca="false">IF(G114="","",G114/(G112+G113))</f>
        <v/>
      </c>
      <c r="H115" s="25" t="str">
        <f aca="false">IF(H114="","",H114/(H112+H113))</f>
        <v/>
      </c>
      <c r="I115" s="25" t="n">
        <f aca="false">IF(I114="","",I114/(I112+I113))</f>
        <v>0.758042293208187</v>
      </c>
      <c r="J115" s="25" t="n">
        <f aca="false">IF(J114="","",J114/(J112+J113))</f>
        <v>0.842675104355277</v>
      </c>
      <c r="K115" s="25" t="n">
        <f aca="false">IF(K114="","",K114/(K112+K113))</f>
        <v>0.925106142735673</v>
      </c>
      <c r="L115" s="25" t="n">
        <f aca="false">IF(L114="","",L114/(L112+L113))</f>
        <v>1.01761675700924</v>
      </c>
      <c r="M115" s="25" t="n">
        <f aca="false">IF(M114="","",M114/(M112+M113))</f>
        <v>1.11937843271016</v>
      </c>
    </row>
    <row r="116" customFormat="false" ht="17.15" hidden="false" customHeight="false" outlineLevel="0" collapsed="false">
      <c r="A116" s="5" t="s">
        <v>1296</v>
      </c>
      <c r="B116" s="0" t="s">
        <v>1383</v>
      </c>
      <c r="C116" s="0" t="s">
        <v>75</v>
      </c>
      <c r="D116" s="19" t="n">
        <f aca="false">Players!D131</f>
        <v>0</v>
      </c>
      <c r="E116" s="27" t="n">
        <f aca="false">Players!E131</f>
        <v>0.29</v>
      </c>
      <c r="F116" s="27" t="n">
        <f aca="false">Players!F131</f>
        <v>0.49</v>
      </c>
      <c r="G116" s="27" t="n">
        <f aca="false">Players!G131</f>
        <v>1</v>
      </c>
      <c r="H116" s="27" t="n">
        <f aca="false">Players!H131</f>
        <v>1.5375</v>
      </c>
      <c r="I116" s="27" t="n">
        <f aca="false">Players!I131</f>
        <v>1.5375</v>
      </c>
      <c r="J116" s="27" t="n">
        <f aca="false">Players!J131</f>
        <v>1.5375</v>
      </c>
      <c r="K116" s="27" t="n">
        <f aca="false">Players!K131</f>
        <v>1.5375</v>
      </c>
      <c r="L116" s="27" t="n">
        <f aca="false">Players!L131</f>
        <v>0</v>
      </c>
      <c r="M116" s="27" t="n">
        <f aca="false">Players!M131</f>
        <v>0</v>
      </c>
    </row>
    <row r="117" customFormat="false" ht="17.15" hidden="false" customHeight="false" outlineLevel="0" collapsed="false">
      <c r="A117" s="5" t="s">
        <v>1298</v>
      </c>
      <c r="B117" s="0" t="s">
        <v>1384</v>
      </c>
      <c r="C117" s="0" t="s">
        <v>75</v>
      </c>
      <c r="D117" s="24" t="n">
        <f aca="false">IF(AND(2023&gt;=2027,D115&lt;&gt;""),D115,D116)</f>
        <v>0</v>
      </c>
      <c r="E117" s="24" t="n">
        <f aca="false">IF(AND(2024&gt;=2027,E115&lt;&gt;""),E115,E116)</f>
        <v>0.29</v>
      </c>
      <c r="F117" s="24" t="n">
        <f aca="false">IF(AND(2025&gt;=2027,F115&lt;&gt;""),F115,F116)</f>
        <v>0.49</v>
      </c>
      <c r="G117" s="24" t="n">
        <f aca="false">IF(AND(2026&gt;=2027,G115&lt;&gt;""),G115,G116)</f>
        <v>1</v>
      </c>
      <c r="H117" s="24" t="n">
        <f aca="false">IF(AND(2027&gt;=2027,H115&lt;&gt;""),H115,H116)</f>
        <v>1.5375</v>
      </c>
      <c r="I117" s="24" t="n">
        <f aca="false">IF(AND(2028&gt;=2027,I115&lt;&gt;""),I115,I116)</f>
        <v>0.758042293208187</v>
      </c>
      <c r="J117" s="24" t="n">
        <f aca="false">IF(AND(2029&gt;=2027,J115&lt;&gt;""),J115,J116)</f>
        <v>0.842675104355277</v>
      </c>
      <c r="K117" s="24" t="n">
        <f aca="false">IF(AND(2030&gt;=2027,K115&lt;&gt;""),K115,K116)</f>
        <v>0.925106142735673</v>
      </c>
      <c r="L117" s="24" t="n">
        <f aca="false">IF(AND(2031&gt;=2027,L115&lt;&gt;""),L115,L116)</f>
        <v>1.01761675700924</v>
      </c>
      <c r="M117" s="24" t="n">
        <f aca="false">IF(AND(2032&gt;=2027,M115&lt;&gt;""),M115,M116)</f>
        <v>1.11937843271016</v>
      </c>
    </row>
    <row r="118" customFormat="false" ht="17.15" hidden="false" customHeight="false" outlineLevel="0" collapsed="false">
      <c r="A118" s="5" t="s">
        <v>1300</v>
      </c>
      <c r="B118" s="0" t="s">
        <v>1385</v>
      </c>
      <c r="C118" s="0" t="s">
        <v>75</v>
      </c>
      <c r="D118" s="24" t="n">
        <f aca="false">N(Players!D125)</f>
        <v>0.07</v>
      </c>
      <c r="E118" s="24" t="n">
        <f aca="false">IF(2024&gt;=2027,D118+E117,N(Players!E125))</f>
        <v>0.36</v>
      </c>
      <c r="F118" s="24" t="n">
        <f aca="false">IF(2025&gt;=2027,E118+F117,N(Players!F125))</f>
        <v>0.85</v>
      </c>
      <c r="G118" s="24" t="n">
        <f aca="false">IF(2026&gt;=2027,F118+G117,N(Players!G125))</f>
        <v>1.85</v>
      </c>
      <c r="H118" s="24" t="n">
        <f aca="false">IF(2027&gt;=2027,G118+H117,N(Players!H125))</f>
        <v>3.3875</v>
      </c>
      <c r="I118" s="24" t="n">
        <f aca="false">IF(2028&gt;=2027,H118+I117,N(Players!I125))</f>
        <v>4.14554229320819</v>
      </c>
      <c r="J118" s="24" t="n">
        <f aca="false">IF(2029&gt;=2027,I118+J117,N(Players!J125))</f>
        <v>4.98821739756346</v>
      </c>
      <c r="K118" s="24" t="n">
        <f aca="false">IF(2030&gt;=2027,J118+K117,N(Players!K125))</f>
        <v>5.91332354029914</v>
      </c>
      <c r="L118" s="24" t="n">
        <f aca="false">IF(2031&gt;=2027,K118+L117,N(Players!L125))</f>
        <v>6.93094029730838</v>
      </c>
      <c r="M118" s="24" t="n">
        <f aca="false">IF(2032&gt;=2027,L118+M117,N(Players!M125))</f>
        <v>8.05031873001854</v>
      </c>
    </row>
    <row r="119" customFormat="false" ht="17.15" hidden="false" customHeight="false" outlineLevel="0" collapsed="false">
      <c r="A119" s="5" t="s">
        <v>1302</v>
      </c>
      <c r="B119" s="0" t="s">
        <v>1386</v>
      </c>
      <c r="C119" s="0" t="s">
        <v>75</v>
      </c>
      <c r="D119" s="24" t="str">
        <f aca="false">IF(D115="","",D115*ai_sh_lo/ai_sh)</f>
        <v/>
      </c>
      <c r="E119" s="24" t="str">
        <f aca="false">IF(E115="","",E115*ai_sh_lo/ai_sh)</f>
        <v/>
      </c>
      <c r="F119" s="24" t="str">
        <f aca="false">IF(F115="","",F115*ai_sh_lo/ai_sh)</f>
        <v/>
      </c>
      <c r="G119" s="24" t="str">
        <f aca="false">IF(G115="","",G115*ai_sh_lo/ai_sh)</f>
        <v/>
      </c>
      <c r="H119" s="24" t="str">
        <f aca="false">IF(H115="","",H115*ai_sh_lo/ai_sh)</f>
        <v/>
      </c>
      <c r="I119" s="24" t="n">
        <f aca="false">IF(I115="","",I115*ai_sh_lo/ai_sh)</f>
        <v>0.668860846948401</v>
      </c>
      <c r="J119" s="24" t="n">
        <f aca="false">IF(J115="","",J115*ai_sh_lo/ai_sh)</f>
        <v>0.743536856784068</v>
      </c>
      <c r="K119" s="24" t="n">
        <f aca="false">IF(K115="","",K115*ai_sh_lo/ai_sh)</f>
        <v>0.816270125943241</v>
      </c>
      <c r="L119" s="24" t="n">
        <f aca="false">IF(L115="","",L115*ai_sh_lo/ai_sh)</f>
        <v>0.897897138537565</v>
      </c>
      <c r="M119" s="24" t="n">
        <f aca="false">IF(M115="","",M115*ai_sh_lo/ai_sh)</f>
        <v>0.987686852391321</v>
      </c>
    </row>
    <row r="120" customFormat="false" ht="17.15" hidden="false" customHeight="false" outlineLevel="0" collapsed="false">
      <c r="A120" s="5" t="s">
        <v>1304</v>
      </c>
      <c r="B120" s="0" t="s">
        <v>1387</v>
      </c>
      <c r="C120" s="0" t="s">
        <v>75</v>
      </c>
      <c r="D120" s="24" t="str">
        <f aca="false">IF(D115="","",D115*ai_sh_hi/ai_sh)</f>
        <v/>
      </c>
      <c r="E120" s="24" t="str">
        <f aca="false">IF(E115="","",E115*ai_sh_hi/ai_sh)</f>
        <v/>
      </c>
      <c r="F120" s="24" t="str">
        <f aca="false">IF(F115="","",F115*ai_sh_hi/ai_sh)</f>
        <v/>
      </c>
      <c r="G120" s="24" t="str">
        <f aca="false">IF(G115="","",G115*ai_sh_hi/ai_sh)</f>
        <v/>
      </c>
      <c r="H120" s="24" t="str">
        <f aca="false">IF(H115="","",H115*ai_sh_hi/ai_sh)</f>
        <v/>
      </c>
      <c r="I120" s="24" t="n">
        <f aca="false">IF(I115="","",I115*ai_sh_hi/ai_sh)</f>
        <v>0.847223739467974</v>
      </c>
      <c r="J120" s="24" t="n">
        <f aca="false">IF(J115="","",J115*ai_sh_hi/ai_sh)</f>
        <v>0.941813351926486</v>
      </c>
      <c r="K120" s="24" t="n">
        <f aca="false">IF(K115="","",K115*ai_sh_hi/ai_sh)</f>
        <v>1.0339421595281</v>
      </c>
      <c r="L120" s="24" t="n">
        <f aca="false">IF(L115="","",L115*ai_sh_hi/ai_sh)</f>
        <v>1.13733637548092</v>
      </c>
      <c r="M120" s="24" t="n">
        <f aca="false">IF(M115="","",M115*ai_sh_hi/ai_sh)</f>
        <v>1.25107001302901</v>
      </c>
    </row>
    <row r="121" customFormat="false" ht="17.15" hidden="false" customHeight="false" outlineLevel="0" collapsed="false">
      <c r="A121" s="5" t="s">
        <v>1306</v>
      </c>
      <c r="B121" s="0" t="s">
        <v>1388</v>
      </c>
      <c r="C121" s="0" t="s">
        <v>75</v>
      </c>
      <c r="D121" s="24" t="str">
        <f aca="false">IF(OR(D111="",D111="",D111=""),"",(D112/(D112+D113)*D111+D113/(D112+D113)*(CapexGW!$D$5*D111+CapexGW!$E$5*D111+CapexGW!$F$5*D111))/(D112+D113))</f>
        <v/>
      </c>
      <c r="E121" s="24" t="str">
        <f aca="false">IF(OR(E111="",D111="",E111=""),"",(E112/(E112+E113)*E111+E113/(E112+E113)*(CapexGW!$D$5*E111+CapexGW!$E$5*D111+CapexGW!$F$5*E111))/(E112+E113))</f>
        <v/>
      </c>
      <c r="F121" s="24" t="str">
        <f aca="false">IF(OR(F111="",E111="",D111=""),"",(F112/(F112+F113)*F111+F113/(F112+F113)*(CapexGW!$D$5*F111+CapexGW!$E$5*E111+CapexGW!$F$5*D111))/(F112+F113))</f>
        <v/>
      </c>
      <c r="G121" s="24" t="str">
        <f aca="false">IF(OR(G111="",F111="",E111=""),"",(G112/(G112+G113)*G111+G113/(G112+G113)*(CapexGW!$D$5*G111+CapexGW!$E$5*F111+CapexGW!$F$5*E111))/(G112+G113))</f>
        <v/>
      </c>
      <c r="H121" s="24" t="str">
        <f aca="false">IF(OR(H111="",G111="",F111=""),"",(H112/(H112+H113)*H111+H113/(H112+H113)*(CapexGW!$D$5*H111+CapexGW!$E$5*G111+CapexGW!$F$5*F111))/(H112+H113))</f>
        <v/>
      </c>
      <c r="I121" s="24" t="n">
        <f aca="false">IF(OR(I111="",H111="",G111=""),"",(I112/(I112+I113)*I111+I113/(I112+I113)*(CapexGW!$D$5*I111+CapexGW!$E$5*H111+CapexGW!$F$5*G111))/(I112+I113))</f>
        <v>0.775539185621652</v>
      </c>
      <c r="J121" s="24" t="n">
        <f aca="false">IF(OR(J111="",I111="",H111=""),"",(J112/(J112+J113)*J111+J113/(J112+J113)*(CapexGW!$D$5*J111+CapexGW!$E$5*I111+CapexGW!$F$5*H111))/(J112+J113))</f>
        <v>0.849420160073553</v>
      </c>
      <c r="K121" s="24" t="n">
        <f aca="false">IF(OR(K111="",J111="",I111=""),"",(K112/(K112+K113)*K111+K113/(K112+K113)*(CapexGW!$D$5*K111+CapexGW!$E$5*J111+CapexGW!$F$5*I111))/(K112+K113))</f>
        <v>0.934362176080909</v>
      </c>
      <c r="L121" s="24" t="n">
        <f aca="false">IF(OR(L111="",K111="",J111=""),"",(L112/(L112+L113)*L111+L113/(L112+L113)*(CapexGW!$D$5*L111+CapexGW!$E$5*K111+CapexGW!$F$5*J111))/(L112+L113))</f>
        <v>1.027798393689</v>
      </c>
      <c r="M121" s="24" t="n">
        <f aca="false">IF(OR(M111="",L111="",K111=""),"",(M112/(M112+M113)*M111+M113/(M112+M113)*(CapexGW!$D$5*M111+CapexGW!$E$5*L111+CapexGW!$F$5*K111))/(M112+M113))</f>
        <v>1.1305782330579</v>
      </c>
    </row>
    <row r="122" customFormat="false" ht="17.15" hidden="false" customHeight="false" outlineLevel="0" collapsed="false">
      <c r="A122" s="5" t="s">
        <v>1308</v>
      </c>
      <c r="B122" s="0" t="s">
        <v>1389</v>
      </c>
      <c r="C122" s="0" t="s">
        <v>75</v>
      </c>
      <c r="D122" s="24" t="str">
        <f aca="false">IF(OR(D111="",D111="",D111=""),"",(D112/(D112+D113)*D111+D113/(D112+D113)*(CapexGW!$D$6*D111+CapexGW!$E$6*D111+CapexGW!$F$6*D111))/(D112+D113))</f>
        <v/>
      </c>
      <c r="E122" s="24" t="str">
        <f aca="false">IF(OR(E111="",D111="",E111=""),"",(E112/(E112+E113)*E111+E113/(E112+E113)*(CapexGW!$D$6*E111+CapexGW!$E$6*D111+CapexGW!$F$6*E111))/(E112+E113))</f>
        <v/>
      </c>
      <c r="F122" s="24" t="str">
        <f aca="false">IF(OR(F111="",E111="",D111=""),"",(F112/(F112+F113)*F111+F113/(F112+F113)*(CapexGW!$D$6*F111+CapexGW!$E$6*E111+CapexGW!$F$6*D111))/(F112+F113))</f>
        <v/>
      </c>
      <c r="G122" s="24" t="str">
        <f aca="false">IF(OR(G111="",F111="",E111=""),"",(G112/(G112+G113)*G111+G113/(G112+G113)*(CapexGW!$D$6*G111+CapexGW!$E$6*F111+CapexGW!$F$6*E111))/(G112+G113))</f>
        <v/>
      </c>
      <c r="H122" s="24" t="str">
        <f aca="false">IF(OR(H111="",G111="",F111=""),"",(H112/(H112+H113)*H111+H113/(H112+H113)*(CapexGW!$D$6*H111+CapexGW!$E$6*G111+CapexGW!$F$6*F111))/(H112+H113))</f>
        <v/>
      </c>
      <c r="I122" s="24" t="n">
        <f aca="false">IF(OR(I111="",H111="",G111=""),"",(I112/(I112+I113)*I111+I113/(I112+I113)*(CapexGW!$D$6*I111+CapexGW!$E$6*H111+CapexGW!$F$6*G111))/(I112+I113))</f>
        <v>0.740545400794723</v>
      </c>
      <c r="J122" s="24" t="n">
        <f aca="false">IF(OR(J111="",I111="",H111=""),"",(J112/(J112+J113)*J111+J113/(J112+J113)*(CapexGW!$D$6*J111+CapexGW!$E$6*I111+CapexGW!$F$6*H111))/(J112+J113))</f>
        <v>0.835930048637001</v>
      </c>
      <c r="K122" s="24" t="n">
        <f aca="false">IF(OR(K111="",J111="",I111=""),"",(K112/(K112+K113)*K111+K113/(K112+K113)*(CapexGW!$D$6*K111+CapexGW!$E$6*J111+CapexGW!$F$6*I111))/(K112+K113))</f>
        <v>0.915850109390436</v>
      </c>
      <c r="L122" s="24" t="n">
        <f aca="false">IF(OR(L111="",K111="",J111=""),"",(L112/(L112+L113)*L111+L113/(L112+L113)*(CapexGW!$D$6*L111+CapexGW!$E$6*K111+CapexGW!$F$6*J111))/(L112+L113))</f>
        <v>1.00743512032948</v>
      </c>
      <c r="M122" s="24" t="n">
        <f aca="false">IF(OR(M111="",L111="",K111=""),"",(M112/(M112+M113)*M111+M113/(M112+M113)*(CapexGW!$D$6*M111+CapexGW!$E$6*L111+CapexGW!$F$6*K111))/(M112+M113))</f>
        <v>1.10817863236243</v>
      </c>
    </row>
    <row r="124" customFormat="false" ht="17.15" hidden="false" customHeight="false" outlineLevel="0" collapsed="false">
      <c r="A124" s="8" t="s">
        <v>975</v>
      </c>
      <c r="B124" s="20" t="s">
        <v>584</v>
      </c>
      <c r="N124" s="20" t="s">
        <v>1390</v>
      </c>
    </row>
    <row r="125" customFormat="false" ht="17.15" hidden="false" customHeight="false" outlineLevel="0" collapsed="false">
      <c r="A125" s="5" t="s">
        <v>1278</v>
      </c>
      <c r="B125" s="0" t="s">
        <v>977</v>
      </c>
      <c r="C125" s="0" t="s">
        <v>325</v>
      </c>
      <c r="D125" s="19" t="str">
        <f aca="false">IF(In!H110="","",In!H110)</f>
        <v/>
      </c>
      <c r="E125" s="19" t="str">
        <f aca="false">IF(In!I110="","",In!I110)</f>
        <v/>
      </c>
      <c r="F125" s="30" t="n">
        <f aca="false">IF(In!J110="","",In!J110)</f>
        <v>4.066</v>
      </c>
      <c r="G125" s="30" t="n">
        <f aca="false">IF(In!K110="","",In!K110)</f>
        <v>22.5</v>
      </c>
      <c r="H125" s="30" t="n">
        <f aca="false">IF(In!L110="","",In!L110)</f>
        <v>27.243</v>
      </c>
      <c r="I125" s="30" t="n">
        <f aca="false">IF(In!M110="","",In!M110)</f>
        <v>38.39</v>
      </c>
      <c r="J125" s="19" t="str">
        <f aca="false">IF(In!N110="","",In!N110)</f>
        <v/>
      </c>
      <c r="K125" s="19" t="str">
        <f aca="false">IF(In!O110="","",In!O110)</f>
        <v/>
      </c>
      <c r="L125" s="19" t="str">
        <f aca="false">IF(In!P110="","",In!P110)</f>
        <v/>
      </c>
      <c r="M125" s="19" t="str">
        <f aca="false">IF(In!Q110="","",In!Q110)</f>
        <v/>
      </c>
    </row>
    <row r="126" customFormat="false" ht="15" hidden="false" customHeight="false" outlineLevel="0" collapsed="false">
      <c r="A126" s="5" t="s">
        <v>1279</v>
      </c>
      <c r="B126" s="0" t="s">
        <v>1391</v>
      </c>
      <c r="C126" s="0" t="s">
        <v>33</v>
      </c>
      <c r="D126" s="26" t="n">
        <f aca="false">(D125&lt;&gt;"")</f>
        <v>0</v>
      </c>
      <c r="E126" s="26" t="n">
        <f aca="false">(E125&lt;&gt;"")+D126</f>
        <v>0</v>
      </c>
      <c r="F126" s="26" t="n">
        <f aca="false">(F125&lt;&gt;"")+E126</f>
        <v>1</v>
      </c>
      <c r="G126" s="26" t="n">
        <f aca="false">(G125&lt;&gt;"")+F126</f>
        <v>2</v>
      </c>
      <c r="H126" s="26" t="n">
        <f aca="false">(H125&lt;&gt;"")+G126</f>
        <v>3</v>
      </c>
      <c r="I126" s="26" t="n">
        <f aca="false">(I125&lt;&gt;"")+H126</f>
        <v>4</v>
      </c>
      <c r="J126" s="26" t="n">
        <f aca="false">(J125&lt;&gt;"")+I126</f>
        <v>4</v>
      </c>
      <c r="K126" s="26" t="n">
        <f aca="false">(K125&lt;&gt;"")+J126</f>
        <v>4</v>
      </c>
      <c r="L126" s="26" t="n">
        <f aca="false">(L125&lt;&gt;"")+K126</f>
        <v>4</v>
      </c>
      <c r="M126" s="26" t="n">
        <f aca="false">(M125&lt;&gt;"")+L126</f>
        <v>4</v>
      </c>
    </row>
    <row r="127" customFormat="false" ht="15" hidden="false" customHeight="false" outlineLevel="0" collapsed="false">
      <c r="A127" s="5" t="s">
        <v>1281</v>
      </c>
      <c r="B127" s="0" t="s">
        <v>982</v>
      </c>
      <c r="C127" s="0" t="s">
        <v>325</v>
      </c>
      <c r="D127" s="31" t="n">
        <f aca="false">IF(D125&lt;&gt;"",D125,E127)</f>
        <v>4.066</v>
      </c>
      <c r="E127" s="31" t="n">
        <f aca="false">IF(E125&lt;&gt;"",E125,F127)</f>
        <v>4.066</v>
      </c>
      <c r="F127" s="31" t="n">
        <f aca="false">IF(F125&lt;&gt;"",F125,G127)</f>
        <v>4.066</v>
      </c>
      <c r="G127" s="31" t="n">
        <f aca="false">IF(G125&lt;&gt;"",G125,H127)</f>
        <v>22.5</v>
      </c>
      <c r="H127" s="31" t="n">
        <f aca="false">IF(H125&lt;&gt;"",H125,I127)</f>
        <v>27.243</v>
      </c>
      <c r="I127" s="31" t="n">
        <f aca="false">IF(I125&lt;&gt;"",I125,J127)</f>
        <v>38.39</v>
      </c>
      <c r="J127" s="0" t="str">
        <f aca="false">IF(J125&lt;&gt;"",J125,K127)</f>
        <v/>
      </c>
      <c r="K127" s="0" t="str">
        <f aca="false">IF(K125&lt;&gt;"",K125,L127)</f>
        <v/>
      </c>
      <c r="L127" s="0" t="str">
        <f aca="false">IF(L125&lt;&gt;"",L125,M127)</f>
        <v/>
      </c>
      <c r="M127" s="0" t="str">
        <f aca="false">IF(M125&lt;&gt;"",M125,"")</f>
        <v/>
      </c>
    </row>
    <row r="128" customFormat="false" ht="15" hidden="false" customHeight="false" outlineLevel="0" collapsed="false">
      <c r="A128" s="5" t="s">
        <v>1282</v>
      </c>
      <c r="B128" s="0" t="s">
        <v>1392</v>
      </c>
      <c r="C128" s="0" t="s">
        <v>325</v>
      </c>
      <c r="D128" s="32" t="str">
        <f aca="false">IF(D125&lt;&gt;"",D125,IF(0&gt;0,""*(1+cap_g_ext),""))</f>
        <v/>
      </c>
      <c r="E128" s="32" t="str">
        <f aca="false">IF(E125&lt;&gt;"",E125,IF(D126&gt;0,D128*(1+cap_g_ext),""))</f>
        <v/>
      </c>
      <c r="F128" s="32" t="n">
        <f aca="false">IF(F125&lt;&gt;"",F125,IF(E126&gt;0,E128*(1+cap_g_ext),""))</f>
        <v>4.066</v>
      </c>
      <c r="G128" s="32" t="n">
        <f aca="false">IF(G125&lt;&gt;"",G125,IF(F126&gt;0,F128*(1+cap_g_ext),""))</f>
        <v>22.5</v>
      </c>
      <c r="H128" s="32" t="n">
        <f aca="false">IF(H125&lt;&gt;"",H125,IF(G126&gt;0,G128*(1+cap_g_ext),""))</f>
        <v>27.243</v>
      </c>
      <c r="I128" s="32" t="n">
        <f aca="false">IF(I125&lt;&gt;"",I125,IF(H126&gt;0,H128*(1+cap_g_ext),""))</f>
        <v>38.39</v>
      </c>
      <c r="J128" s="32" t="n">
        <f aca="false">IF(J125&lt;&gt;"",J125,IF(I126&gt;0,I128*(1+cap_g_ext),""))</f>
        <v>42.229</v>
      </c>
      <c r="K128" s="32" t="n">
        <f aca="false">IF(K125&lt;&gt;"",K125,IF(J126&gt;0,J128*(1+cap_g_ext),""))</f>
        <v>46.4519</v>
      </c>
      <c r="L128" s="32" t="n">
        <f aca="false">IF(L125&lt;&gt;"",L125,IF(K126&gt;0,K128*(1+cap_g_ext),""))</f>
        <v>51.09709</v>
      </c>
      <c r="M128" s="32" t="n">
        <f aca="false">IF(M125&lt;&gt;"",M125,IF(L126&gt;0,L128*(1+cap_g_ext),""))</f>
        <v>56.206799</v>
      </c>
    </row>
    <row r="129" customFormat="false" ht="15" hidden="false" customHeight="false" outlineLevel="0" collapsed="false">
      <c r="A129" s="5" t="s">
        <v>1284</v>
      </c>
      <c r="B129" s="0" t="s">
        <v>1393</v>
      </c>
      <c r="C129" s="0" t="s">
        <v>325</v>
      </c>
      <c r="D129" s="32" t="str">
        <f aca="false">IF(OR(D128="",AND(fye_nbis&lt;12,E128="")),"",D128*fye_nbis/12+IF(fye_nbis&lt;12,E128,0)*(12-fye_nbis)/12)</f>
        <v/>
      </c>
      <c r="E129" s="32" t="str">
        <f aca="false">IF(OR(E128="",AND(fye_nbis&lt;12,F128="")),"",E128*fye_nbis/12+IF(fye_nbis&lt;12,F128,0)*(12-fye_nbis)/12)</f>
        <v/>
      </c>
      <c r="F129" s="32" t="n">
        <f aca="false">IF(OR(F128="",AND(fye_nbis&lt;12,G128="")),"",F128*fye_nbis/12+IF(fye_nbis&lt;12,G128,0)*(12-fye_nbis)/12)</f>
        <v>4.066</v>
      </c>
      <c r="G129" s="32" t="n">
        <f aca="false">IF(OR(G128="",AND(fye_nbis&lt;12,H128="")),"",G128*fye_nbis/12+IF(fye_nbis&lt;12,H128,0)*(12-fye_nbis)/12)</f>
        <v>22.5</v>
      </c>
      <c r="H129" s="32" t="n">
        <f aca="false">IF(OR(H128="",AND(fye_nbis&lt;12,I128="")),"",H128*fye_nbis/12+IF(fye_nbis&lt;12,I128,0)*(12-fye_nbis)/12)</f>
        <v>27.243</v>
      </c>
      <c r="I129" s="32" t="n">
        <f aca="false">IF(OR(I128="",AND(fye_nbis&lt;12,J128="")),"",I128*fye_nbis/12+IF(fye_nbis&lt;12,J128,0)*(12-fye_nbis)/12)</f>
        <v>38.39</v>
      </c>
      <c r="J129" s="32" t="n">
        <f aca="false">IF(OR(J128="",AND(fye_nbis&lt;12,K128="")),"",J128*fye_nbis/12+IF(fye_nbis&lt;12,K128,0)*(12-fye_nbis)/12)</f>
        <v>42.229</v>
      </c>
      <c r="K129" s="32" t="n">
        <f aca="false">IF(OR(K128="",AND(fye_nbis&lt;12,L128="")),"",K128*fye_nbis/12+IF(fye_nbis&lt;12,L128,0)*(12-fye_nbis)/12)</f>
        <v>46.4519</v>
      </c>
      <c r="L129" s="32" t="n">
        <f aca="false">IF(OR(L128="",AND(fye_nbis&lt;12,M128="")),"",L128*fye_nbis/12+IF(fye_nbis&lt;12,M128,0)*(12-fye_nbis)/12)</f>
        <v>51.09709</v>
      </c>
      <c r="M129" s="32" t="n">
        <f aca="false">IF(OR(M128="",AND(fye_nbis&lt;12,IF(M128="","",M128*(1+cap_g_ext))="")),"",M128*fye_nbis/12+IF(fye_nbis&lt;12,IF(M128="","",M128*(1+cap_g_ext)),0)*(12-fye_nbis)/12)</f>
        <v>56.206799</v>
      </c>
    </row>
    <row r="130" customFormat="false" ht="17.15" hidden="false" customHeight="false" outlineLevel="0" collapsed="false">
      <c r="A130" s="5" t="s">
        <v>1286</v>
      </c>
      <c r="B130" s="0" t="s">
        <v>1394</v>
      </c>
      <c r="C130" s="0" t="s">
        <v>325</v>
      </c>
      <c r="D130" s="32" t="str">
        <f aca="false">IF(D129="","",D129*ai_sh)</f>
        <v/>
      </c>
      <c r="E130" s="32" t="str">
        <f aca="false">IF(E129="","",E129*ai_sh)</f>
        <v/>
      </c>
      <c r="F130" s="32" t="n">
        <f aca="false">IF(F129="","",F129*ai_sh)</f>
        <v>3.4561</v>
      </c>
      <c r="G130" s="32" t="n">
        <f aca="false">IF(G129="","",G129*ai_sh)</f>
        <v>19.125</v>
      </c>
      <c r="H130" s="32" t="n">
        <f aca="false">IF(H129="","",H129*ai_sh)</f>
        <v>23.15655</v>
      </c>
      <c r="I130" s="32" t="n">
        <f aca="false">IF(I129="","",I129*ai_sh)</f>
        <v>32.6315</v>
      </c>
      <c r="J130" s="32" t="n">
        <f aca="false">IF(J129="","",J129*ai_sh)</f>
        <v>35.89465</v>
      </c>
      <c r="K130" s="32" t="n">
        <f aca="false">IF(K129="","",K129*ai_sh)</f>
        <v>39.484115</v>
      </c>
      <c r="L130" s="32" t="n">
        <f aca="false">IF(L129="","",L129*ai_sh)</f>
        <v>43.4325265</v>
      </c>
      <c r="M130" s="32" t="n">
        <f aca="false">IF(M129="","",M129*ai_sh)</f>
        <v>47.77577915</v>
      </c>
    </row>
    <row r="131" customFormat="false" ht="17.15" hidden="false" customHeight="false" outlineLevel="0" collapsed="false">
      <c r="A131" s="5" t="s">
        <v>1288</v>
      </c>
      <c r="B131" s="0" t="s">
        <v>1395</v>
      </c>
      <c r="C131" s="0" t="s">
        <v>325</v>
      </c>
      <c r="D131" s="29" t="n">
        <f aca="false">(1-Players!D152)*D$7+Players!D152*TK_NonNV_Hold_AMD*TK_CapexIT_VR200</f>
        <v>27.510214</v>
      </c>
      <c r="E131" s="29" t="n">
        <f aca="false">(1-Players!E152)*E$7+Players!E152*TK_NonNV_Hold_AMD*TK_CapexIT_VR200</f>
        <v>27.510214</v>
      </c>
      <c r="F131" s="29" t="n">
        <f aca="false">(1-Players!F152)*F$7+Players!F152*TK_NonNV_Hold_AMD*TK_CapexIT_VR200</f>
        <v>26.009088</v>
      </c>
      <c r="G131" s="29" t="n">
        <f aca="false">(1-Players!G152)*G$7+Players!G152*TK_NonNV_Hold_AMD*TK_CapexIT_VR200</f>
        <v>33.41403216</v>
      </c>
      <c r="H131" s="29" t="n">
        <f aca="false">(1-Players!H152)*H$7+Players!H152*TK_NonNV_Hold_AMD*TK_CapexIT_VR200</f>
        <v>38.3403893327246</v>
      </c>
      <c r="I131" s="29" t="n">
        <f aca="false">(1-Players!I152)*I$7+Players!I152*TK_NonNV_Hold_AMD*TK_CapexIT_VR200</f>
        <v>41.3326208898258</v>
      </c>
      <c r="J131" s="29" t="n">
        <f aca="false">(1-Players!J152)*J$7+Players!J152*TK_NonNV_Hold_AMD*TK_CapexIT_VR200</f>
        <v>41.3326208898258</v>
      </c>
      <c r="K131" s="29" t="n">
        <f aca="false">(1-Players!K152)*K$7+Players!K152*TK_NonNV_Hold_AMD*TK_CapexIT_VR200</f>
        <v>41.3326208898258</v>
      </c>
      <c r="L131" s="29" t="n">
        <f aca="false">(1-Players!L152)*L$7+Players!L152*TK_NonNV_Hold_AMD*TK_CapexIT_VR200</f>
        <v>41.3326208898258</v>
      </c>
      <c r="M131" s="29" t="n">
        <f aca="false">(1-Players!M152)*M$7+Players!M152*TK_NonNV_Hold_AMD*TK_CapexIT_VR200</f>
        <v>41.3326208898258</v>
      </c>
    </row>
    <row r="132" customFormat="false" ht="17.15" hidden="false" customHeight="false" outlineLevel="0" collapsed="false">
      <c r="A132" s="5" t="s">
        <v>1290</v>
      </c>
      <c r="B132" s="0" t="s">
        <v>1396</v>
      </c>
      <c r="C132" s="0" t="s">
        <v>325</v>
      </c>
      <c r="D132" s="29" t="n">
        <f aca="false">(1-Players!D152)*D$8+Players!D152*TK_NonNV_Hold_AMD*TK_CapexFacility_VR200</f>
        <v>12.67</v>
      </c>
      <c r="E132" s="29" t="n">
        <f aca="false">(1-Players!E152)*E$8+Players!E152*TK_NonNV_Hold_AMD*TK_CapexFacility_VR200</f>
        <v>12.67</v>
      </c>
      <c r="F132" s="29" t="n">
        <f aca="false">(1-Players!F152)*F$8+Players!F152*TK_NonNV_Hold_AMD*TK_CapexFacility_VR200</f>
        <v>12.67</v>
      </c>
      <c r="G132" s="29" t="n">
        <f aca="false">(1-Players!G152)*G$8+Players!G152*TK_NonNV_Hold_AMD*TK_CapexFacility_VR200</f>
        <v>12.67</v>
      </c>
      <c r="H132" s="29" t="n">
        <f aca="false">(1-Players!H152)*H$8+Players!H152*TK_NonNV_Hold_AMD*TK_CapexFacility_VR200</f>
        <v>12.67</v>
      </c>
      <c r="I132" s="29" t="n">
        <f aca="false">(1-Players!I152)*I$8+Players!I152*TK_NonNV_Hold_AMD*TK_CapexFacility_VR200</f>
        <v>12.67</v>
      </c>
      <c r="J132" s="29" t="n">
        <f aca="false">(1-Players!J152)*J$8+Players!J152*TK_NonNV_Hold_AMD*TK_CapexFacility_VR200</f>
        <v>12.67</v>
      </c>
      <c r="K132" s="29" t="n">
        <f aca="false">(1-Players!K152)*K$8+Players!K152*TK_NonNV_Hold_AMD*TK_CapexFacility_VR200</f>
        <v>12.67</v>
      </c>
      <c r="L132" s="29" t="n">
        <f aca="false">(1-Players!L152)*L$8+Players!L152*TK_NonNV_Hold_AMD*TK_CapexFacility_VR200</f>
        <v>12.67</v>
      </c>
      <c r="M132" s="29" t="n">
        <f aca="false">(1-Players!M152)*M$8+Players!M152*TK_NonNV_Hold_AMD*TK_CapexFacility_VR200</f>
        <v>12.67</v>
      </c>
    </row>
    <row r="133" customFormat="false" ht="17.15" hidden="false" customHeight="false" outlineLevel="0" collapsed="false">
      <c r="A133" s="5" t="s">
        <v>1292</v>
      </c>
      <c r="B133" s="0" t="s">
        <v>1397</v>
      </c>
      <c r="C133" s="0" t="s">
        <v>325</v>
      </c>
      <c r="D133" s="32" t="str">
        <f aca="false">IF(OR(D130="",D130="",D130=""),"",D131/(D131+D132)*D130+D132/(D131+D132)*(CapexGW!$D$4*D130+CapexGW!$E$4*D130+CapexGW!$F$4*D130))</f>
        <v/>
      </c>
      <c r="E133" s="32" t="str">
        <f aca="false">IF(OR(E130="",D130="",E130=""),"",E131/(E131+E132)*E130+E132/(E131+E132)*(CapexGW!$D$4*E130+CapexGW!$E$4*D130+CapexGW!$F$4*E130))</f>
        <v/>
      </c>
      <c r="F133" s="32" t="str">
        <f aca="false">IF(OR(F130="",E130="",D130=""),"",F131/(F131+F132)*F130+F132/(F131+F132)*(CapexGW!$D$4*F130+CapexGW!$E$4*E130+CapexGW!$F$4*D130))</f>
        <v/>
      </c>
      <c r="G133" s="32" t="str">
        <f aca="false">IF(OR(G130="",F130="",E130=""),"",G131/(G131+G132)*G130+G132/(G131+G132)*(CapexGW!$D$4*G130+CapexGW!$E$4*F130+CapexGW!$F$4*E130))</f>
        <v/>
      </c>
      <c r="H133" s="32" t="n">
        <f aca="false">IF(OR(H130="",G130="",F130=""),"",H131/(H131+H132)*H130+H132/(H131+H132)*(CapexGW!$D$4*H130+CapexGW!$E$4*G130+CapexGW!$F$4*F130))</f>
        <v>20.2092637321112</v>
      </c>
      <c r="I133" s="32" t="n">
        <f aca="false">IF(OR(I130="",H130="",G130=""),"",I131/(I131+I132)*I130+I132/(I131+I132)*(CapexGW!$D$4*I130+CapexGW!$E$4*H130+CapexGW!$F$4*G130))</f>
        <v>29.9355662962077</v>
      </c>
      <c r="J133" s="32" t="n">
        <f aca="false">IF(OR(J130="",I130="",H130=""),"",J131/(J131+J132)*J130+J132/(J131+J132)*(CapexGW!$D$4*J130+CapexGW!$E$4*I130+CapexGW!$F$4*H130))</f>
        <v>34.0175574241266</v>
      </c>
      <c r="K133" s="32" t="n">
        <f aca="false">IF(OR(K130="",J130="",I130=""),"",K131/(K131+K132)*K130+K132/(K131+K132)*(CapexGW!$D$4*K130+CapexGW!$E$4*J130+CapexGW!$F$4*I130))</f>
        <v>38.2591637715224</v>
      </c>
      <c r="L133" s="32" t="n">
        <f aca="false">IF(OR(L130="",K130="",J130=""),"",L131/(L131+L132)*L130+L132/(L131+L132)*(CapexGW!$D$4*L130+CapexGW!$E$4*K130+CapexGW!$F$4*J130))</f>
        <v>42.0850801486747</v>
      </c>
      <c r="M133" s="32" t="n">
        <f aca="false">IF(OR(M130="",L130="",K130=""),"",M131/(M131+M132)*M130+M132/(M131+M132)*(CapexGW!$D$4*M130+CapexGW!$E$4*L130+CapexGW!$F$4*K130))</f>
        <v>46.2935881635422</v>
      </c>
    </row>
    <row r="134" customFormat="false" ht="17.15" hidden="false" customHeight="false" outlineLevel="0" collapsed="false">
      <c r="A134" s="5" t="s">
        <v>1294</v>
      </c>
      <c r="B134" s="0" t="s">
        <v>1398</v>
      </c>
      <c r="C134" s="0" t="s">
        <v>75</v>
      </c>
      <c r="D134" s="25" t="str">
        <f aca="false">IF(D133="","",D133/(D131+D132))</f>
        <v/>
      </c>
      <c r="E134" s="25" t="str">
        <f aca="false">IF(E133="","",E133/(E131+E132))</f>
        <v/>
      </c>
      <c r="F134" s="25" t="str">
        <f aca="false">IF(F133="","",F133/(F131+F132))</f>
        <v/>
      </c>
      <c r="G134" s="25" t="str">
        <f aca="false">IF(G133="","",G133/(G131+G132))</f>
        <v/>
      </c>
      <c r="H134" s="25" t="n">
        <f aca="false">IF(H133="","",H133/(H131+H132))</f>
        <v>0.396179366526544</v>
      </c>
      <c r="I134" s="25" t="n">
        <f aca="false">IF(I133="","",I133/(I131+I132))</f>
        <v>0.554335434150153</v>
      </c>
      <c r="J134" s="25" t="n">
        <f aca="false">IF(J133="","",J133/(J131+J132))</f>
        <v>0.629924193744744</v>
      </c>
      <c r="K134" s="25" t="n">
        <f aca="false">IF(K133="","",K133/(K131+K132))</f>
        <v>0.708468647282461</v>
      </c>
      <c r="L134" s="25" t="n">
        <f aca="false">IF(L133="","",L133/(L131+L132))</f>
        <v>0.779315512010707</v>
      </c>
      <c r="M134" s="25" t="n">
        <f aca="false">IF(M133="","",M133/(M131+M132))</f>
        <v>0.857247063211778</v>
      </c>
    </row>
    <row r="135" customFormat="false" ht="17.15" hidden="false" customHeight="false" outlineLevel="0" collapsed="false">
      <c r="A135" s="5" t="s">
        <v>1296</v>
      </c>
      <c r="B135" s="0" t="s">
        <v>1399</v>
      </c>
      <c r="C135" s="0" t="s">
        <v>75</v>
      </c>
      <c r="D135" s="19" t="n">
        <f aca="false">Players!D150</f>
        <v>0</v>
      </c>
      <c r="E135" s="27" t="n">
        <f aca="false">Players!E150</f>
        <v>0</v>
      </c>
      <c r="F135" s="27" t="n">
        <f aca="false">Players!F150</f>
        <v>0</v>
      </c>
      <c r="G135" s="27" t="n">
        <f aca="false">Players!G150</f>
        <v>0.73</v>
      </c>
      <c r="H135" s="27" t="n">
        <f aca="false">Players!H150</f>
        <v>0</v>
      </c>
      <c r="I135" s="27" t="n">
        <f aca="false">Players!I150</f>
        <v>0</v>
      </c>
      <c r="J135" s="27" t="n">
        <f aca="false">Players!J150</f>
        <v>0</v>
      </c>
      <c r="K135" s="27" t="n">
        <f aca="false">Players!K150</f>
        <v>0</v>
      </c>
      <c r="L135" s="27" t="n">
        <f aca="false">Players!L150</f>
        <v>0</v>
      </c>
      <c r="M135" s="27" t="n">
        <f aca="false">Players!M150</f>
        <v>0</v>
      </c>
    </row>
    <row r="136" customFormat="false" ht="17.15" hidden="false" customHeight="false" outlineLevel="0" collapsed="false">
      <c r="A136" s="5" t="s">
        <v>1298</v>
      </c>
      <c r="B136" s="0" t="s">
        <v>1400</v>
      </c>
      <c r="C136" s="0" t="s">
        <v>75</v>
      </c>
      <c r="D136" s="24" t="n">
        <f aca="false">IF(AND(2023&gt;=2027,D134&lt;&gt;""),D134,D135)</f>
        <v>0</v>
      </c>
      <c r="E136" s="24" t="n">
        <f aca="false">IF(AND(2024&gt;=2027,E134&lt;&gt;""),E134,E135)</f>
        <v>0</v>
      </c>
      <c r="F136" s="24" t="n">
        <f aca="false">IF(AND(2025&gt;=2027,F134&lt;&gt;""),F134,F135)</f>
        <v>0</v>
      </c>
      <c r="G136" s="24" t="n">
        <f aca="false">IF(AND(2026&gt;=2027,G134&lt;&gt;""),G134,G135)</f>
        <v>0.73</v>
      </c>
      <c r="H136" s="24" t="n">
        <f aca="false">IF(AND(2027&gt;=2027,H134&lt;&gt;""),H134,H135)</f>
        <v>0.396179366526544</v>
      </c>
      <c r="I136" s="24" t="n">
        <f aca="false">IF(AND(2028&gt;=2027,I134&lt;&gt;""),I134,I135)</f>
        <v>0.554335434150153</v>
      </c>
      <c r="J136" s="24" t="n">
        <f aca="false">IF(AND(2029&gt;=2027,J134&lt;&gt;""),J134,J135)</f>
        <v>0.629924193744744</v>
      </c>
      <c r="K136" s="24" t="n">
        <f aca="false">IF(AND(2030&gt;=2027,K134&lt;&gt;""),K134,K135)</f>
        <v>0.708468647282461</v>
      </c>
      <c r="L136" s="24" t="n">
        <f aca="false">IF(AND(2031&gt;=2027,L134&lt;&gt;""),L134,L135)</f>
        <v>0.779315512010707</v>
      </c>
      <c r="M136" s="24" t="n">
        <f aca="false">IF(AND(2032&gt;=2027,M134&lt;&gt;""),M134,M135)</f>
        <v>0.857247063211778</v>
      </c>
    </row>
    <row r="137" customFormat="false" ht="17.15" hidden="false" customHeight="false" outlineLevel="0" collapsed="false">
      <c r="A137" s="5" t="s">
        <v>1300</v>
      </c>
      <c r="B137" s="0" t="s">
        <v>1401</v>
      </c>
      <c r="C137" s="0" t="s">
        <v>75</v>
      </c>
      <c r="D137" s="24" t="n">
        <f aca="false">N(Players!D144)</f>
        <v>0</v>
      </c>
      <c r="E137" s="24" t="n">
        <f aca="false">IF(2024&gt;=2027,D137+E136,N(Players!E144))</f>
        <v>0</v>
      </c>
      <c r="F137" s="24" t="n">
        <f aca="false">IF(2025&gt;=2027,E137+F136,N(Players!F144))</f>
        <v>0.17</v>
      </c>
      <c r="G137" s="24" t="n">
        <f aca="false">IF(2026&gt;=2027,F137+G136,N(Players!G144))</f>
        <v>0.9</v>
      </c>
      <c r="H137" s="24" t="n">
        <f aca="false">IF(2027&gt;=2027,G137+H136,N(Players!H144))</f>
        <v>1.29617936652654</v>
      </c>
      <c r="I137" s="24" t="n">
        <f aca="false">IF(2028&gt;=2027,H137+I136,N(Players!I144))</f>
        <v>1.8505148006767</v>
      </c>
      <c r="J137" s="24" t="n">
        <f aca="false">IF(2029&gt;=2027,I137+J136,N(Players!J144))</f>
        <v>2.48043899442144</v>
      </c>
      <c r="K137" s="24" t="n">
        <f aca="false">IF(2030&gt;=2027,J137+K136,N(Players!K144))</f>
        <v>3.1889076417039</v>
      </c>
      <c r="L137" s="24" t="n">
        <f aca="false">IF(2031&gt;=2027,K137+L136,N(Players!L144))</f>
        <v>3.96822315371461</v>
      </c>
      <c r="M137" s="24" t="n">
        <f aca="false">IF(2032&gt;=2027,L137+M136,N(Players!M144))</f>
        <v>4.82547021692639</v>
      </c>
    </row>
    <row r="138" customFormat="false" ht="17.15" hidden="false" customHeight="false" outlineLevel="0" collapsed="false">
      <c r="A138" s="5" t="s">
        <v>1302</v>
      </c>
      <c r="B138" s="0" t="s">
        <v>1402</v>
      </c>
      <c r="C138" s="0" t="s">
        <v>75</v>
      </c>
      <c r="D138" s="24" t="str">
        <f aca="false">IF(D134="","",D134*ai_sh_lo/ai_sh)</f>
        <v/>
      </c>
      <c r="E138" s="24" t="str">
        <f aca="false">IF(E134="","",E134*ai_sh_lo/ai_sh)</f>
        <v/>
      </c>
      <c r="F138" s="24" t="str">
        <f aca="false">IF(F134="","",F134*ai_sh_lo/ai_sh)</f>
        <v/>
      </c>
      <c r="G138" s="24" t="str">
        <f aca="false">IF(G134="","",G134*ai_sh_lo/ai_sh)</f>
        <v/>
      </c>
      <c r="H138" s="24" t="n">
        <f aca="false">IF(H134="","",H134*ai_sh_lo/ai_sh)</f>
        <v>0.349570029288127</v>
      </c>
      <c r="I138" s="24" t="n">
        <f aca="false">IF(I134="","",I134*ai_sh_lo/ai_sh)</f>
        <v>0.489119500720723</v>
      </c>
      <c r="J138" s="24" t="n">
        <f aca="false">IF(J134="","",J134*ai_sh_lo/ai_sh)</f>
        <v>0.555815465068891</v>
      </c>
      <c r="K138" s="24" t="n">
        <f aca="false">IF(K134="","",K134*ai_sh_lo/ai_sh)</f>
        <v>0.625119394660995</v>
      </c>
      <c r="L138" s="24" t="n">
        <f aca="false">IF(L134="","",L134*ai_sh_lo/ai_sh)</f>
        <v>0.687631334127094</v>
      </c>
      <c r="M138" s="24" t="n">
        <f aca="false">IF(M134="","",M134*ai_sh_lo/ai_sh)</f>
        <v>0.756394467539804</v>
      </c>
    </row>
    <row r="139" customFormat="false" ht="17.15" hidden="false" customHeight="false" outlineLevel="0" collapsed="false">
      <c r="A139" s="5" t="s">
        <v>1304</v>
      </c>
      <c r="B139" s="0" t="s">
        <v>1403</v>
      </c>
      <c r="C139" s="0" t="s">
        <v>75</v>
      </c>
      <c r="D139" s="24" t="str">
        <f aca="false">IF(D134="","",D134*ai_sh_hi/ai_sh)</f>
        <v/>
      </c>
      <c r="E139" s="24" t="str">
        <f aca="false">IF(E134="","",E134*ai_sh_hi/ai_sh)</f>
        <v/>
      </c>
      <c r="F139" s="24" t="str">
        <f aca="false">IF(F134="","",F134*ai_sh_hi/ai_sh)</f>
        <v/>
      </c>
      <c r="G139" s="24" t="str">
        <f aca="false">IF(G134="","",G134*ai_sh_hi/ai_sh)</f>
        <v/>
      </c>
      <c r="H139" s="24" t="n">
        <f aca="false">IF(H134="","",H134*ai_sh_hi/ai_sh)</f>
        <v>0.442788703764961</v>
      </c>
      <c r="I139" s="24" t="n">
        <f aca="false">IF(I134="","",I134*ai_sh_hi/ai_sh)</f>
        <v>0.619551367579582</v>
      </c>
      <c r="J139" s="24" t="n">
        <f aca="false">IF(J134="","",J134*ai_sh_hi/ai_sh)</f>
        <v>0.704032922420596</v>
      </c>
      <c r="K139" s="24" t="n">
        <f aca="false">IF(K134="","",K134*ai_sh_hi/ai_sh)</f>
        <v>0.791817899903927</v>
      </c>
      <c r="L139" s="24" t="n">
        <f aca="false">IF(L134="","",L134*ai_sh_hi/ai_sh)</f>
        <v>0.870999689894319</v>
      </c>
      <c r="M139" s="24" t="n">
        <f aca="false">IF(M134="","",M134*ai_sh_hi/ai_sh)</f>
        <v>0.958099658883752</v>
      </c>
    </row>
    <row r="140" customFormat="false" ht="17.15" hidden="false" customHeight="false" outlineLevel="0" collapsed="false">
      <c r="A140" s="5" t="s">
        <v>1306</v>
      </c>
      <c r="B140" s="0" t="s">
        <v>1404</v>
      </c>
      <c r="C140" s="0" t="s">
        <v>75</v>
      </c>
      <c r="D140" s="24" t="str">
        <f aca="false">IF(OR(D130="",D130="",D130=""),"",(D131/(D131+D132)*D130+D132/(D131+D132)*(CapexGW!$D$5*D130+CapexGW!$E$5*D130+CapexGW!$F$5*D130))/(D131+D132))</f>
        <v/>
      </c>
      <c r="E140" s="24" t="str">
        <f aca="false">IF(OR(E130="",D130="",E130=""),"",(E131/(E131+E132)*E130+E132/(E131+E132)*(CapexGW!$D$5*E130+CapexGW!$E$5*D130+CapexGW!$F$5*E130))/(E131+E132))</f>
        <v/>
      </c>
      <c r="F140" s="24" t="str">
        <f aca="false">IF(OR(F130="",E130="",D130=""),"",(F131/(F131+F132)*F130+F132/(F131+F132)*(CapexGW!$D$5*F130+CapexGW!$E$5*E130+CapexGW!$F$5*D130))/(F131+F132))</f>
        <v/>
      </c>
      <c r="G140" s="24" t="str">
        <f aca="false">IF(OR(G130="",F130="",E130=""),"",(G131/(G131+G132)*G130+G132/(G131+G132)*(CapexGW!$D$5*G130+CapexGW!$E$5*F130+CapexGW!$F$5*E130))/(G131+G132))</f>
        <v/>
      </c>
      <c r="H140" s="24" t="n">
        <f aca="false">IF(OR(H130="",G130="",F130=""),"",(H131/(H131+H132)*H130+H132/(H131+H132)*(CapexGW!$D$5*H130+CapexGW!$E$5*G130+CapexGW!$F$5*F130))/(H131+H132))</f>
        <v>0.434327021988487</v>
      </c>
      <c r="I140" s="24" t="n">
        <f aca="false">IF(OR(I130="",H130="",G130=""),"",(I131/(I131+I132)*I130+I132/(I131+I132)*(CapexGW!$D$5*I130+CapexGW!$E$5*H130+CapexGW!$F$5*G130))/(I131+I132))</f>
        <v>0.563093112571118</v>
      </c>
      <c r="J140" s="24" t="n">
        <f aca="false">IF(OR(J130="",I130="",H130=""),"",(J131/(J131+J132)*J130+J132/(J131+J132)*(CapexGW!$D$5*J130+CapexGW!$E$5*I130+CapexGW!$F$5*H130))/(J131+J132))</f>
        <v>0.650506492154715</v>
      </c>
      <c r="K140" s="24" t="n">
        <f aca="false">IF(OR(K130="",J130="",I130=""),"",(K131/(K131+K132)*K130+K132/(K131+K132)*(CapexGW!$D$5*K130+CapexGW!$E$5*J130+CapexGW!$F$5*I130))/(K131+K132))</f>
        <v>0.715557141370187</v>
      </c>
      <c r="L140" s="24" t="n">
        <f aca="false">IF(OR(L130="",K130="",J130=""),"",(L131/(L131+L132)*L130+L132/(L131+L132)*(CapexGW!$D$5*L130+CapexGW!$E$5*K130+CapexGW!$F$5*J130))/(L131+L132))</f>
        <v>0.787112855507205</v>
      </c>
      <c r="M140" s="24" t="n">
        <f aca="false">IF(OR(M130="",L130="",K130=""),"",(M131/(M131+M132)*M130+M132/(M131+M132)*(CapexGW!$D$5*M130+CapexGW!$E$5*L130+CapexGW!$F$5*K130))/(M131+M132))</f>
        <v>0.865824141057926</v>
      </c>
    </row>
    <row r="141" customFormat="false" ht="17.15" hidden="false" customHeight="false" outlineLevel="0" collapsed="false">
      <c r="A141" s="5" t="s">
        <v>1308</v>
      </c>
      <c r="B141" s="0" t="s">
        <v>1405</v>
      </c>
      <c r="C141" s="0" t="s">
        <v>75</v>
      </c>
      <c r="D141" s="24" t="str">
        <f aca="false">IF(OR(D130="",D130="",D130=""),"",(D131/(D131+D132)*D130+D132/(D131+D132)*(CapexGW!$D$6*D130+CapexGW!$E$6*D130+CapexGW!$F$6*D130))/(D131+D132))</f>
        <v/>
      </c>
      <c r="E141" s="24" t="str">
        <f aca="false">IF(OR(E130="",D130="",E130=""),"",(E131/(E131+E132)*E130+E132/(E131+E132)*(CapexGW!$D$6*E130+CapexGW!$E$6*D130+CapexGW!$F$6*E130))/(E131+E132))</f>
        <v/>
      </c>
      <c r="F141" s="24" t="str">
        <f aca="false">IF(OR(F130="",E130="",D130=""),"",(F131/(F131+F132)*F130+F132/(F131+F132)*(CapexGW!$D$6*F130+CapexGW!$E$6*E130+CapexGW!$F$6*D130))/(F131+F132))</f>
        <v/>
      </c>
      <c r="G141" s="24" t="str">
        <f aca="false">IF(OR(G130="",F130="",E130=""),"",(G131/(G131+G132)*G130+G132/(G131+G132)*(CapexGW!$D$6*G130+CapexGW!$E$6*F130+CapexGW!$F$6*E130))/(G131+G132))</f>
        <v/>
      </c>
      <c r="H141" s="24" t="n">
        <f aca="false">IF(OR(H130="",G130="",F130=""),"",(H131/(H131+H132)*H130+H132/(H131+H132)*(CapexGW!$D$6*H130+CapexGW!$E$6*G130+CapexGW!$F$6*F130))/(H131+H132))</f>
        <v>0.358031711064601</v>
      </c>
      <c r="I141" s="24" t="n">
        <f aca="false">IF(OR(I130="",H130="",G130=""),"",(I131/(I131+I132)*I130+I132/(I131+I132)*(CapexGW!$D$6*I130+CapexGW!$E$6*H130+CapexGW!$F$6*G130))/(I131+I132))</f>
        <v>0.545577755729188</v>
      </c>
      <c r="J141" s="24" t="n">
        <f aca="false">IF(OR(J130="",I130="",H130=""),"",(J131/(J131+J132)*J130+J132/(J131+J132)*(CapexGW!$D$6*J130+CapexGW!$E$6*I130+CapexGW!$F$6*H130))/(J131+J132))</f>
        <v>0.609341895334772</v>
      </c>
      <c r="K141" s="24" t="n">
        <f aca="false">IF(OR(K130="",J130="",I130=""),"",(K131/(K131+K132)*K130+K132/(K131+K132)*(CapexGW!$D$6*K130+CapexGW!$E$6*J130+CapexGW!$F$6*I130))/(K131+K132))</f>
        <v>0.701380153194735</v>
      </c>
      <c r="L141" s="24" t="n">
        <f aca="false">IF(OR(L130="",K130="",J130=""),"",(L131/(L131+L132)*L130+L132/(L131+L132)*(CapexGW!$D$6*L130+CapexGW!$E$6*K130+CapexGW!$F$6*J130))/(L131+L132))</f>
        <v>0.771518168514208</v>
      </c>
      <c r="M141" s="24" t="n">
        <f aca="false">IF(OR(M130="",L130="",K130=""),"",(M131/(M131+M132)*M130+M132/(M131+M132)*(CapexGW!$D$6*M130+CapexGW!$E$6*L130+CapexGW!$F$6*K130))/(M131+M132))</f>
        <v>0.848669985365629</v>
      </c>
    </row>
    <row r="143" customFormat="false" ht="15" hidden="false" customHeight="false" outlineLevel="0" collapsed="false">
      <c r="A143" s="21" t="s">
        <v>1406</v>
      </c>
    </row>
    <row r="144" customFormat="false" ht="17.15" hidden="false" customHeight="false" outlineLevel="0" collapsed="false">
      <c r="A144" s="5" t="s">
        <v>1407</v>
      </c>
      <c r="D144" s="24" t="n">
        <f aca="false">IF(D20="",D21,D20)+IF(D39="",D40,D39)+IF(D58="",D59,D58)+IF(D77="",D78,D77)+IF(D96="",D97,D96)+IF(D115="",D116,D115)+IF(D134="",D135,D134)</f>
        <v>0</v>
      </c>
      <c r="E144" s="24" t="n">
        <f aca="false">IF(E20="",E21,E20)+IF(E39="",E40,E39)+IF(E58="",E59,E58)+IF(E77="",E78,E77)+IF(E96="",E97,E96)+IF(E115="",E116,E115)+IF(E134="",E135,E134)</f>
        <v>1.61980834349181</v>
      </c>
      <c r="F144" s="24" t="n">
        <f aca="false">IF(F20="",F21,F20)+IF(F39="",F40,F39)+IF(F58="",F59,F58)+IF(F77="",F78,F77)+IF(F96="",F97,F96)+IF(F115="",F116,F115)+IF(F134="",F135,F134)</f>
        <v>8.74912429484715</v>
      </c>
      <c r="G144" s="24" t="n">
        <f aca="false">IF(G20="",G21,G20)+IF(G39="",G40,G39)+IF(G58="",G59,G58)+IF(G77="",G78,G77)+IF(G96="",G97,G96)+IF(G115="",G116,G115)+IF(G134="",G135,G134)</f>
        <v>8.50461894048891</v>
      </c>
      <c r="H144" s="24" t="n">
        <f aca="false">IF(H20="",H21,H20)+IF(H39="",H40,H39)+IF(H58="",H59,H58)+IF(H77="",H78,H77)+IF(H96="",H97,H96)+IF(H115="",H116,H115)+IF(H134="",H135,H134)</f>
        <v>17.4657754681966</v>
      </c>
      <c r="I144" s="24" t="n">
        <f aca="false">IF(I20="",I21,I20)+IF(I39="",I40,I39)+IF(I58="",I59,I58)+IF(I77="",I78,I77)+IF(I96="",I97,I96)+IF(I115="",I116,I115)+IF(I134="",I135,I134)</f>
        <v>21.3980787384407</v>
      </c>
      <c r="J144" s="24" t="n">
        <f aca="false">IF(J20="",J21,J20)+IF(J39="",J40,J39)+IF(J58="",J59,J58)+IF(J77="",J78,J77)+IF(J96="",J97,J96)+IF(J115="",J116,J115)+IF(J134="",J135,J134)</f>
        <v>23.901946773905</v>
      </c>
      <c r="K144" s="24" t="n">
        <f aca="false">IF(K20="",K21,K20)+IF(K39="",K40,K39)+IF(K58="",K59,K58)+IF(K77="",K78,K77)+IF(K96="",K97,K96)+IF(K115="",K116,K115)+IF(K134="",K135,K134)</f>
        <v>26.2870412589026</v>
      </c>
      <c r="L144" s="24" t="n">
        <f aca="false">IF(L20="",L21,L20)+IF(L39="",L40,L39)+IF(L58="",L59,L58)+IF(L77="",L78,L77)+IF(L96="",L97,L96)+IF(L115="",L116,L115)+IF(L134="",L135,L134)</f>
        <v>28.9078820951747</v>
      </c>
      <c r="M144" s="24" t="n">
        <f aca="false">IF(M20="",M21,M20)+IF(M39="",M40,M39)+IF(M58="",M59,M58)+IF(M77="",M78,M77)+IF(M96="",M97,M96)+IF(M115="",M116,M115)+IF(M134="",M135,M134)</f>
        <v>31.7986703046922</v>
      </c>
    </row>
    <row r="145" customFormat="false" ht="17.15" hidden="false" customHeight="false" outlineLevel="0" collapsed="false">
      <c r="A145" s="5" t="s">
        <v>1408</v>
      </c>
      <c r="D145" s="24" t="n">
        <f aca="false">D21+D40+D59+D78+D97+D116+D135</f>
        <v>0</v>
      </c>
      <c r="E145" s="24" t="n">
        <f aca="false">E21+E40+E59+E78+E97+E116+E135</f>
        <v>1.61980834349181</v>
      </c>
      <c r="F145" s="24" t="n">
        <f aca="false">F21+F40+F59+F78+F97+F116+F135</f>
        <v>8.74912429484715</v>
      </c>
      <c r="G145" s="24" t="n">
        <f aca="false">G21+G40+G59+G78+G97+G116+G135</f>
        <v>6.54276412772586</v>
      </c>
      <c r="H145" s="24" t="n">
        <f aca="false">H21+H40+H59+H78+H97+H116+H135</f>
        <v>2.79616666666667</v>
      </c>
      <c r="I145" s="24" t="n">
        <f aca="false">I21+I40+I59+I78+I97+I116+I135</f>
        <v>12.6888333333333</v>
      </c>
      <c r="J145" s="24" t="n">
        <f aca="false">J21+J40+J59+J78+J97+J116+J135</f>
        <v>1.9055</v>
      </c>
      <c r="K145" s="24" t="n">
        <f aca="false">K21+K40+K59+K78+K97+K116+K135</f>
        <v>1.5375</v>
      </c>
      <c r="L145" s="24" t="n">
        <f aca="false">L21+L40+L59+L78+L97+L116+L135</f>
        <v>0</v>
      </c>
      <c r="M145" s="24" t="n">
        <f aca="false">M21+M40+M59+M78+M97+M116+M135</f>
        <v>0</v>
      </c>
    </row>
    <row r="146" customFormat="false" ht="17.15" hidden="false" customHeight="false" outlineLevel="0" collapsed="false">
      <c r="A146" s="5" t="s">
        <v>1409</v>
      </c>
      <c r="D146" s="24" t="n">
        <f aca="false">IF(AND(2023&gt;=2027,2023&lt;=2029),D144-D145,0)</f>
        <v>0</v>
      </c>
      <c r="E146" s="24" t="n">
        <f aca="false">IF(AND(2024&gt;=2027,2024&lt;=2029),E144-E145,0)</f>
        <v>0</v>
      </c>
      <c r="F146" s="24" t="n">
        <f aca="false">IF(AND(2025&gt;=2027,2025&lt;=2029),F144-F145,0)</f>
        <v>0</v>
      </c>
      <c r="G146" s="24" t="n">
        <f aca="false">IF(AND(2026&gt;=2027,2026&lt;=2029),G144-G145,0)</f>
        <v>0</v>
      </c>
      <c r="H146" s="24" t="n">
        <f aca="false">IF(AND(2027&gt;=2027,2027&lt;=2029),H144-H145,0)</f>
        <v>14.6696088015299</v>
      </c>
      <c r="I146" s="24" t="n">
        <f aca="false">IF(AND(2028&gt;=2027,2028&lt;=2029),I144-I145,0)</f>
        <v>8.70924540510739</v>
      </c>
      <c r="J146" s="24" t="n">
        <f aca="false">IF(AND(2029&gt;=2027,2029&lt;=2029),J144-J145,0)</f>
        <v>21.996446773905</v>
      </c>
      <c r="K146" s="24" t="n">
        <f aca="false">IF(AND(2030&gt;=2027,2030&lt;=2029),K144-K145,0)</f>
        <v>0</v>
      </c>
      <c r="L146" s="24" t="n">
        <f aca="false">IF(AND(2031&gt;=2027,2031&lt;=2029),L144-L145,0)</f>
        <v>0</v>
      </c>
      <c r="M146" s="24" t="n">
        <f aca="false">IF(AND(2032&gt;=2027,2032&lt;=2029),M144-M145,0)</f>
        <v>0</v>
      </c>
    </row>
    <row r="147" customFormat="false" ht="17.15" hidden="false" customHeight="false" outlineLevel="0" collapsed="false">
      <c r="A147" s="5" t="s">
        <v>1410</v>
      </c>
      <c r="D147" s="24" t="n">
        <f aca="false">IF(D24="",D21,D24)+IF(D43="",D40,D43)+IF(D62="",D59,D62)+IF(D81="",D78,D81)+IF(D100="",D97,D100)+IF(D119="",D116,D119)+IF(D138="",D135,D138)</f>
        <v>0</v>
      </c>
      <c r="E147" s="24" t="n">
        <f aca="false">IF(E24="",E21,E24)+IF(E43="",E40,E43)+IF(E62="",E59,E62)+IF(E81="",E78,E81)+IF(E100="",E97,E100)+IF(E119="",E116,E119)+IF(E138="",E135,E138)</f>
        <v>1.61980834349181</v>
      </c>
      <c r="F147" s="24" t="n">
        <f aca="false">IF(F24="",F21,F24)+IF(F43="",F40,F43)+IF(F62="",F59,F62)+IF(F81="",F78,F81)+IF(F100="",F97,F100)+IF(F119="",F116,F119)+IF(F138="",F135,F138)</f>
        <v>8.74912429484715</v>
      </c>
      <c r="G147" s="24" t="n">
        <f aca="false">IF(G24="",G21,G24)+IF(G43="",G40,G43)+IF(G62="",G59,G62)+IF(G81="",G78,G81)+IF(G100="",G97,G100)+IF(G119="",G116,G119)+IF(G138="",G135,G138)</f>
        <v>8.18311190369325</v>
      </c>
      <c r="H147" s="24" t="n">
        <f aca="false">IF(H24="",H21,H24)+IF(H43="",H40,H43)+IF(H62="",H59,H62)+IF(H81="",H78,H81)+IF(H100="",H97,H100)+IF(H119="",H116,H119)+IF(H138="",H135,H138)</f>
        <v>15.6144489425264</v>
      </c>
      <c r="I147" s="24" t="n">
        <f aca="false">IF(I24="",I21,I24)+IF(I43="",I40,I43)+IF(I62="",I59,I62)+IF(I81="",I78,I81)+IF(I100="",I97,I100)+IF(I119="",I116,I119)+IF(I138="",I135,I138)</f>
        <v>18.8806577103889</v>
      </c>
      <c r="J147" s="24" t="n">
        <f aca="false">IF(J24="",J21,J24)+IF(J43="",J40,J43)+IF(J62="",J59,J62)+IF(J81="",J78,J81)+IF(J100="",J97,J100)+IF(J119="",J116,J119)+IF(J138="",J135,J138)</f>
        <v>21.0899530357986</v>
      </c>
      <c r="K147" s="24" t="n">
        <f aca="false">IF(K24="",K21,K24)+IF(K43="",K40,K43)+IF(K62="",K59,K62)+IF(K81="",K78,K81)+IF(K100="",K97,K100)+IF(K119="",K116,K119)+IF(K138="",K135,K138)</f>
        <v>23.1944481696199</v>
      </c>
      <c r="L147" s="24" t="n">
        <f aca="false">IF(L24="",L21,L24)+IF(L43="",L40,L43)+IF(L62="",L59,L62)+IF(L81="",L78,L81)+IF(L100="",L97,L100)+IF(L119="",L116,L119)+IF(L138="",L135,L138)</f>
        <v>25.5069547898601</v>
      </c>
      <c r="M147" s="24" t="n">
        <f aca="false">IF(M24="",M21,M24)+IF(M43="",M40,M43)+IF(M62="",M59,M62)+IF(M81="",M78,M81)+IF(M100="",M97,M100)+IF(M119="",M116,M119)+IF(M138="",M135,M138)</f>
        <v>28.0576502688461</v>
      </c>
    </row>
    <row r="148" customFormat="false" ht="17.15" hidden="false" customHeight="false" outlineLevel="0" collapsed="false">
      <c r="A148" s="5" t="s">
        <v>1411</v>
      </c>
      <c r="D148" s="24" t="n">
        <f aca="false">IF(D25="",D21,D25)+IF(D44="",D40,D44)+IF(D63="",D59,D63)+IF(D82="",D78,D82)+IF(D101="",D97,D101)+IF(D120="",D116,D120)+IF(D139="",D135,D139)</f>
        <v>0</v>
      </c>
      <c r="E148" s="24" t="n">
        <f aca="false">IF(E25="",E21,E25)+IF(E44="",E40,E44)+IF(E63="",E59,E63)+IF(E82="",E78,E82)+IF(E101="",E97,E101)+IF(E120="",E116,E120)+IF(E139="",E135,E139)</f>
        <v>1.61980834349181</v>
      </c>
      <c r="F148" s="24" t="n">
        <f aca="false">IF(F25="",F21,F25)+IF(F44="",F40,F44)+IF(F63="",F59,F63)+IF(F82="",F78,F82)+IF(F101="",F97,F101)+IF(F120="",F116,F120)+IF(F139="",F135,F139)</f>
        <v>8.74912429484715</v>
      </c>
      <c r="G148" s="24" t="n">
        <f aca="false">IF(G25="",G21,G25)+IF(G44="",G40,G44)+IF(G63="",G59,G63)+IF(G82="",G78,G82)+IF(G101="",G97,G101)+IF(G120="",G116,G120)+IF(G139="",G135,G139)</f>
        <v>8.82612597728456</v>
      </c>
      <c r="H148" s="24" t="n">
        <f aca="false">IF(H25="",H21,H25)+IF(H44="",H40,H44)+IF(H63="",H59,H63)+IF(H82="",H78,H82)+IF(H101="",H97,H101)+IF(H120="",H116,H120)+IF(H139="",H135,H139)</f>
        <v>19.2502642661794</v>
      </c>
      <c r="I148" s="24" t="n">
        <f aca="false">IF(I25="",I21,I25)+IF(I44="",I40,I44)+IF(I63="",I59,I63)+IF(I82="",I78,I82)+IF(I101="",I97,I101)+IF(I120="",I116,I120)+IF(I139="",I135,I139)</f>
        <v>23.8420256753268</v>
      </c>
      <c r="J148" s="24" t="n">
        <f aca="false">IF(J25="",J21,J25)+IF(J44="",J40,J44)+IF(J63="",J59,J63)+IF(J82="",J78,J82)+IF(J101="",J97,J101)+IF(J120="",J116,J120)+IF(J139="",J135,J139)</f>
        <v>26.6323742060277</v>
      </c>
      <c r="K148" s="24" t="n">
        <f aca="false">IF(K25="",K21,K25)+IF(K44="",K40,K44)+IF(K63="",K59,K63)+IF(K82="",K78,K82)+IF(K101="",K97,K101)+IF(K120="",K116,K120)+IF(K139="",K135,K139)</f>
        <v>29.2902180480406</v>
      </c>
      <c r="L148" s="24" t="n">
        <f aca="false">IF(L25="",L21,L25)+IF(L44="",L40,L44)+IF(L63="",L59,L63)+IF(L82="",L78,L82)+IF(L101="",L97,L101)+IF(L120="",L116,L120)+IF(L139="",L135,L139)</f>
        <v>32.2104514703304</v>
      </c>
      <c r="M148" s="24" t="n">
        <f aca="false">IF(M25="",M21,M25)+IF(M44="",M40,M44)+IF(M63="",M59,M63)+IF(M82="",M78,M82)+IF(M101="",M97,M101)+IF(M120="",M116,M120)+IF(M139="",M135,M139)</f>
        <v>35.4314966173634</v>
      </c>
    </row>
    <row r="149" customFormat="false" ht="17.15" hidden="false" customHeight="false" outlineLevel="0" collapsed="false">
      <c r="A149" s="5" t="s">
        <v>1412</v>
      </c>
      <c r="D149" s="24" t="n">
        <f aca="false">IF(D26="",D21,D26)+IF(D45="",D40,D45)+IF(D64="",D59,D64)+IF(D83="",D78,D83)+IF(D102="",D97,D102)+IF(D121="",D116,D121)+IF(D140="",D135,D140)</f>
        <v>0</v>
      </c>
      <c r="E149" s="24" t="n">
        <f aca="false">IF(E26="",E21,E26)+IF(E45="",E40,E45)+IF(E64="",E59,E64)+IF(E83="",E78,E83)+IF(E102="",E97,E102)+IF(E121="",E116,E121)+IF(E140="",E135,E140)</f>
        <v>1.61980834349181</v>
      </c>
      <c r="F149" s="24" t="n">
        <f aca="false">IF(F26="",F21,F26)+IF(F45="",F40,F45)+IF(F64="",F59,F64)+IF(F83="",F78,F83)+IF(F102="",F97,F102)+IF(F121="",F116,F121)+IF(F140="",F135,F140)</f>
        <v>8.74912429484715</v>
      </c>
      <c r="G149" s="24" t="n">
        <f aca="false">IF(G26="",G21,G26)+IF(G45="",G40,G45)+IF(G64="",G59,G64)+IF(G83="",G78,G83)+IF(G102="",G97,G102)+IF(G121="",G116,G121)+IF(G140="",G135,G140)</f>
        <v>8.60500469724557</v>
      </c>
      <c r="H149" s="24" t="n">
        <f aca="false">IF(H26="",H21,H26)+IF(H45="",H40,H45)+IF(H64="",H59,H64)+IF(H83="",H78,H83)+IF(H102="",H97,H102)+IF(H121="",H116,H121)+IF(H140="",H135,H140)</f>
        <v>18.2412581684446</v>
      </c>
      <c r="I149" s="24" t="n">
        <f aca="false">IF(I26="",I21,I26)+IF(I45="",I40,I45)+IF(I64="",I59,I64)+IF(I83="",I78,I83)+IF(I102="",I97,I102)+IF(I121="",I116,I121)+IF(I140="",I135,I140)</f>
        <v>21.9869264440432</v>
      </c>
      <c r="J149" s="24" t="n">
        <f aca="false">IF(J26="",J21,J26)+IF(J45="",J40,J45)+IF(J64="",J59,J64)+IF(J83="",J78,J83)+IF(J102="",J97,J102)+IF(J121="",J116,J121)+IF(J140="",J135,J140)</f>
        <v>24.1517007636525</v>
      </c>
      <c r="K149" s="24" t="n">
        <f aca="false">IF(K26="",K21,K26)+IF(K45="",K40,K45)+IF(K64="",K59,K64)+IF(K83="",K78,K83)+IF(K102="",K97,K102)+IF(K121="",K116,K121)+IF(K140="",K135,K140)</f>
        <v>26.5511442607816</v>
      </c>
      <c r="L149" s="24" t="n">
        <f aca="false">IF(L26="",L21,L26)+IF(L45="",L40,L45)+IF(L64="",L59,L64)+IF(L83="",L78,L83)+IF(L102="",L97,L102)+IF(L121="",L116,L121)+IF(L140="",L135,L140)</f>
        <v>29.2062586868597</v>
      </c>
      <c r="M149" s="24" t="n">
        <f aca="false">IF(M26="",M21,M26)+IF(M45="",M40,M45)+IF(M64="",M59,M64)+IF(M83="",M78,M83)+IF(M102="",M97,M102)+IF(M121="",M116,M121)+IF(M140="",M135,M140)</f>
        <v>32.1268845555457</v>
      </c>
    </row>
    <row r="150" customFormat="false" ht="17.15" hidden="false" customHeight="false" outlineLevel="0" collapsed="false">
      <c r="A150" s="5" t="s">
        <v>1413</v>
      </c>
      <c r="D150" s="24" t="n">
        <f aca="false">IF(D27="",D21,D27)+IF(D46="",D40,D46)+IF(D65="",D59,D65)+IF(D84="",D78,D84)+IF(D103="",D97,D103)+IF(D122="",D116,D122)+IF(D141="",D135,D141)</f>
        <v>0</v>
      </c>
      <c r="E150" s="24" t="n">
        <f aca="false">IF(E27="",E21,E27)+IF(E46="",E40,E46)+IF(E65="",E59,E65)+IF(E84="",E78,E84)+IF(E103="",E97,E103)+IF(E122="",E116,E122)+IF(E141="",E135,E141)</f>
        <v>1.61980834349181</v>
      </c>
      <c r="F150" s="24" t="n">
        <f aca="false">IF(F27="",F21,F27)+IF(F46="",F40,F46)+IF(F65="",F59,F65)+IF(F84="",F78,F84)+IF(F103="",F97,F103)+IF(F122="",F116,F122)+IF(F141="",F135,F141)</f>
        <v>8.74912429484715</v>
      </c>
      <c r="G150" s="24" t="n">
        <f aca="false">IF(G27="",G21,G27)+IF(G46="",G40,G46)+IF(G65="",G59,G65)+IF(G84="",G78,G84)+IF(G103="",G97,G103)+IF(G122="",G116,G122)+IF(G141="",G135,G141)</f>
        <v>8.40423318373224</v>
      </c>
      <c r="H150" s="24" t="n">
        <f aca="false">IF(H27="",H21,H27)+IF(H46="",H40,H46)+IF(H65="",H59,H65)+IF(H84="",H78,H84)+IF(H103="",H97,H103)+IF(H122="",H116,H122)+IF(H141="",H135,H141)</f>
        <v>16.6902927679486</v>
      </c>
      <c r="I150" s="24" t="n">
        <f aca="false">IF(I27="",I21,I27)+IF(I46="",I40,I46)+IF(I65="",I59,I65)+IF(I84="",I78,I84)+IF(I103="",I97,I103)+IF(I122="",I116,I122)+IF(I141="",I135,I141)</f>
        <v>20.8092310328383</v>
      </c>
      <c r="J150" s="24" t="n">
        <f aca="false">IF(J27="",J21,J27)+IF(J46="",J40,J46)+IF(J65="",J59,J65)+IF(J84="",J78,J84)+IF(J103="",J97,J103)+IF(J122="",J116,J122)+IF(J141="",J135,J141)</f>
        <v>23.6521927841576</v>
      </c>
      <c r="K150" s="24" t="n">
        <f aca="false">IF(K27="",K21,K27)+IF(K46="",K40,K46)+IF(K65="",K59,K65)+IF(K84="",K78,K84)+IF(K103="",K97,K103)+IF(K122="",K116,K122)+IF(K141="",K135,K141)</f>
        <v>26.0229382570235</v>
      </c>
      <c r="L150" s="24" t="n">
        <f aca="false">IF(L27="",L21,L27)+IF(L46="",L40,L46)+IF(L65="",L59,L65)+IF(L84="",L78,L84)+IF(L103="",L97,L103)+IF(L122="",L116,L122)+IF(L141="",L135,L141)</f>
        <v>28.6095055034897</v>
      </c>
      <c r="M150" s="24" t="n">
        <f aca="false">IF(M27="",M21,M27)+IF(M46="",M40,M46)+IF(M65="",M59,M65)+IF(M84="",M78,M84)+IF(M103="",M97,M103)+IF(M122="",M116,M122)+IF(M141="",M135,M141)</f>
        <v>31.4704560538387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6"/>
    <col collapsed="false" customWidth="true" hidden="false" outlineLevel="0" max="14" min="14" style="0" width="30"/>
  </cols>
  <sheetData>
    <row r="1" customFormat="false" ht="17.15" hidden="false" customHeight="false" outlineLevel="0" collapsed="false">
      <c r="A1" s="0" t="s">
        <v>1414</v>
      </c>
    </row>
    <row r="2" customFormat="false" ht="17.15" hidden="false" customHeight="false" outlineLevel="0" collapsed="false">
      <c r="A2" s="5" t="s">
        <v>1415</v>
      </c>
    </row>
    <row r="3" customFormat="false" ht="15" hidden="false" customHeight="false" outlineLevel="0" collapsed="false">
      <c r="A3" s="6" t="s">
        <v>13</v>
      </c>
      <c r="B3" s="6" t="s">
        <v>1259</v>
      </c>
      <c r="C3" s="6" t="s">
        <v>1416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6" t="s">
        <v>18</v>
      </c>
    </row>
    <row r="4" customFormat="false" ht="17.15" hidden="false" customHeight="false" outlineLevel="0" collapsed="false">
      <c r="A4" s="0" t="s">
        <v>1417</v>
      </c>
      <c r="C4" s="0" t="s">
        <v>1263</v>
      </c>
      <c r="D4" s="24" t="n">
        <f aca="false">Pipeline!D156</f>
        <v>0</v>
      </c>
      <c r="E4" s="24" t="n">
        <f aca="false">Pipeline!E156</f>
        <v>1.61980834349181</v>
      </c>
      <c r="F4" s="24" t="n">
        <f aca="false">Pipeline!F156</f>
        <v>9.04912429484715</v>
      </c>
      <c r="G4" s="24" t="n">
        <f aca="false">Pipeline!G156</f>
        <v>12.3153714610592</v>
      </c>
      <c r="H4" s="24" t="n">
        <f aca="false">Pipeline!H156</f>
        <v>5.48764512450717</v>
      </c>
      <c r="I4" s="24" t="n">
        <f aca="false">Pipeline!I156</f>
        <v>16.5880473942424</v>
      </c>
      <c r="J4" s="24" t="n">
        <f aca="false">Pipeline!J156</f>
        <v>5.93502133099746</v>
      </c>
      <c r="K4" s="24" t="n">
        <f aca="false">Pipeline!K156</f>
        <v>7.6420550220479</v>
      </c>
      <c r="L4" s="24" t="n">
        <f aca="false">Pipeline!L156</f>
        <v>2.15384615384615</v>
      </c>
      <c r="M4" s="24" t="n">
        <f aca="false">Pipeline!M156</f>
        <v>2.36923076923078</v>
      </c>
    </row>
    <row r="5" customFormat="false" ht="17.15" hidden="false" customHeight="false" outlineLevel="0" collapsed="false">
      <c r="A5" s="5" t="s">
        <v>1418</v>
      </c>
      <c r="C5" s="0" t="s">
        <v>1263</v>
      </c>
      <c r="D5" s="24" t="n">
        <f aca="false">CapexGW!D146</f>
        <v>0</v>
      </c>
      <c r="E5" s="24" t="n">
        <f aca="false">CapexGW!E146</f>
        <v>0</v>
      </c>
      <c r="F5" s="24" t="n">
        <f aca="false">CapexGW!F146</f>
        <v>0</v>
      </c>
      <c r="G5" s="24" t="n">
        <f aca="false">CapexGW!G146</f>
        <v>0</v>
      </c>
      <c r="H5" s="24" t="n">
        <f aca="false">CapexGW!H146</f>
        <v>14.6696088015299</v>
      </c>
      <c r="I5" s="24" t="n">
        <f aca="false">CapexGW!I146</f>
        <v>8.70924540510739</v>
      </c>
      <c r="J5" s="24" t="n">
        <f aca="false">CapexGW!J146</f>
        <v>21.996446773905</v>
      </c>
      <c r="K5" s="24" t="n">
        <f aca="false">CapexGW!K146</f>
        <v>0</v>
      </c>
      <c r="L5" s="24" t="n">
        <f aca="false">CapexGW!L146</f>
        <v>0</v>
      </c>
      <c r="M5" s="24" t="n">
        <f aca="false">CapexGW!M146</f>
        <v>0</v>
      </c>
    </row>
    <row r="6" customFormat="false" ht="15" hidden="false" customHeight="false" outlineLevel="0" collapsed="false">
      <c r="A6" s="5" t="s">
        <v>1419</v>
      </c>
      <c r="D6" s="24" t="n">
        <f aca="false">Pipeline!D103</f>
        <v>0.630578355681972</v>
      </c>
      <c r="E6" s="24" t="n">
        <f aca="false">Pipeline!E103</f>
        <v>3.95899900597907</v>
      </c>
      <c r="F6" s="24" t="n">
        <f aca="false">Pipeline!F103</f>
        <v>10.0786333333333</v>
      </c>
      <c r="G6" s="24" t="n">
        <f aca="false">Pipeline!G103</f>
        <v>0</v>
      </c>
      <c r="H6" s="24" t="n">
        <f aca="false">Pipeline!H103</f>
        <v>0</v>
      </c>
      <c r="I6" s="24" t="n">
        <f aca="false">Pipeline!I103</f>
        <v>0</v>
      </c>
      <c r="J6" s="24" t="n">
        <f aca="false">Pipeline!J103</f>
        <v>0</v>
      </c>
      <c r="K6" s="24" t="n">
        <f aca="false">Pipeline!K103</f>
        <v>0</v>
      </c>
      <c r="L6" s="24" t="n">
        <f aca="false">Pipeline!L103</f>
        <v>0</v>
      </c>
      <c r="M6" s="24" t="n">
        <f aca="false">Pipeline!M103</f>
        <v>0</v>
      </c>
    </row>
    <row r="8" customFormat="false" ht="15" hidden="false" customHeight="false" outlineLevel="0" collapsed="false">
      <c r="A8" s="33" t="s">
        <v>1420</v>
      </c>
    </row>
    <row r="9" customFormat="false" ht="17.15" hidden="false" customHeight="false" outlineLevel="0" collapsed="false">
      <c r="A9" s="21" t="s">
        <v>1421</v>
      </c>
    </row>
    <row r="10" customFormat="false" ht="17.15" hidden="false" customHeight="false" outlineLevel="0" collapsed="false">
      <c r="A10" s="5" t="s">
        <v>1422</v>
      </c>
      <c r="B10" s="0" t="s">
        <v>1423</v>
      </c>
      <c r="C10" s="0" t="s">
        <v>1263</v>
      </c>
      <c r="D10" s="24" t="n">
        <f aca="false">0</f>
        <v>0</v>
      </c>
      <c r="E10" s="24" t="n">
        <f aca="false">(E$4+E$5)</f>
        <v>1.61980834349181</v>
      </c>
      <c r="F10" s="24" t="n">
        <f aca="false">(F$4+F$5)</f>
        <v>9.04912429484715</v>
      </c>
      <c r="G10" s="24" t="n">
        <f aca="false">(G$4+G$5)</f>
        <v>12.3153714610592</v>
      </c>
      <c r="H10" s="24" t="n">
        <f aca="false">(H$4+H$5)</f>
        <v>20.1572539260371</v>
      </c>
      <c r="I10" s="24" t="n">
        <f aca="false">(I$4+I$5)*SIL_In!$I$27</f>
        <v>25.2972927993498</v>
      </c>
      <c r="J10" s="24" t="n">
        <f aca="false">(J$4+J$5)*SIL_In!$J$27</f>
        <v>27.9314681049025</v>
      </c>
      <c r="K10" s="24" t="n">
        <f aca="false">(Pipeline!J153+SUM($E$12:J12))*K11</f>
        <v>28.580591340872</v>
      </c>
      <c r="L10" s="24" t="n">
        <f aca="false">(Pipeline!K153+SUM($E$12:K12))*L11</f>
        <v>24.9494803667107</v>
      </c>
      <c r="M10" s="24" t="n">
        <f aca="false">(Pipeline!L153+SUM($E$12:L12))*M11</f>
        <v>16.4568601332265</v>
      </c>
    </row>
    <row r="11" customFormat="false" ht="17.15" hidden="false" customHeight="false" outlineLevel="0" collapsed="false">
      <c r="A11" s="5" t="s">
        <v>1424</v>
      </c>
      <c r="B11" s="0" t="s">
        <v>1423</v>
      </c>
      <c r="D11" s="23" t="str">
        <f aca="false">""</f>
        <v/>
      </c>
      <c r="E11" s="23" t="str">
        <f aca="false">""</f>
        <v/>
      </c>
      <c r="F11" s="23" t="str">
        <f aca="false">""</f>
        <v/>
      </c>
      <c r="G11" s="23" t="str">
        <f aca="false">""</f>
        <v/>
      </c>
      <c r="H11" s="23" t="str">
        <f aca="false">""</f>
        <v/>
      </c>
      <c r="I11" s="23" t="str">
        <f aca="false">""</f>
        <v/>
      </c>
      <c r="J11" s="23" t="n">
        <f aca="false">IFERROR(J10/(Pipeline!I153+SUM($E$12:I12)),g_lt)</f>
        <v>0.336090190100812</v>
      </c>
      <c r="K11" s="23" t="n">
        <f aca="false">$J$11+(g_lt-$J$11)*(2030-2029)/3</f>
        <v>0.257393460067208</v>
      </c>
      <c r="L11" s="23" t="n">
        <f aca="false">$J$11+(g_lt-$J$11)*(2031-2029)/3</f>
        <v>0.178696730033604</v>
      </c>
      <c r="M11" s="23" t="n">
        <f aca="false">$J$11+(g_lt-$J$11)*(2032-2029)/3</f>
        <v>0.1</v>
      </c>
    </row>
    <row r="12" customFormat="false" ht="17.15" hidden="false" customHeight="false" outlineLevel="0" collapsed="false">
      <c r="A12" s="5" t="s">
        <v>1425</v>
      </c>
      <c r="B12" s="0" t="s">
        <v>1423</v>
      </c>
      <c r="D12" s="24" t="n">
        <f aca="false">0</f>
        <v>0</v>
      </c>
      <c r="E12" s="24" t="n">
        <f aca="false">E10-E$4</f>
        <v>0</v>
      </c>
      <c r="F12" s="24" t="n">
        <f aca="false">F10-F$4</f>
        <v>0</v>
      </c>
      <c r="G12" s="24" t="n">
        <f aca="false">G10-G$4</f>
        <v>0</v>
      </c>
      <c r="H12" s="24" t="n">
        <f aca="false">H10-H$4</f>
        <v>14.6696088015299</v>
      </c>
      <c r="I12" s="24" t="n">
        <f aca="false">I10-I$4</f>
        <v>8.70924540510739</v>
      </c>
      <c r="J12" s="24" t="n">
        <f aca="false">J10-J$4</f>
        <v>21.996446773905</v>
      </c>
      <c r="K12" s="24" t="n">
        <f aca="false">K10-K$4</f>
        <v>20.9385363188241</v>
      </c>
      <c r="L12" s="24" t="n">
        <f aca="false">L10-L$4</f>
        <v>22.7956342128645</v>
      </c>
      <c r="M12" s="24" t="n">
        <f aca="false">M10-M$4</f>
        <v>14.0876293639957</v>
      </c>
    </row>
    <row r="13" customFormat="false" ht="17.15" hidden="false" customHeight="false" outlineLevel="0" collapsed="false">
      <c r="A13" s="21" t="s">
        <v>1267</v>
      </c>
      <c r="B13" s="20" t="s">
        <v>1423</v>
      </c>
      <c r="C13" s="20" t="s">
        <v>1263</v>
      </c>
      <c r="D13" s="25" t="n">
        <f aca="false">Pipeline!D153+SUMPRODUCT($E$12:$M$12,Pipeline!$E$108:$M$108)</f>
        <v>0.630578355681972</v>
      </c>
      <c r="E13" s="25" t="n">
        <f aca="false">Pipeline!E153+SUMPRODUCT($E$12:$M$12,Pipeline!$E$109:$M$109)</f>
        <v>6.20938570515285</v>
      </c>
      <c r="F13" s="25" t="n">
        <f aca="false">Pipeline!F153+SUMPRODUCT($E$12:$M$12,Pipeline!$E$110:$M$110)</f>
        <v>25.3371433333333</v>
      </c>
      <c r="G13" s="25" t="n">
        <f aca="false">Pipeline!G153+SUMPRODUCT($E$12:$M$12,Pipeline!$E$111:$M$111)</f>
        <v>37.6525147943925</v>
      </c>
      <c r="H13" s="25" t="n">
        <f aca="false">Pipeline!H153+SUMPRODUCT($E$12:$M$12,Pipeline!$E$112:$M$112)</f>
        <v>57.8097687204296</v>
      </c>
      <c r="I13" s="25" t="n">
        <f aca="false">Pipeline!I153+SUMPRODUCT($E$12:$M$12,Pipeline!$E$113:$M$113)</f>
        <v>83.1070615197793</v>
      </c>
      <c r="J13" s="25" t="n">
        <f aca="false">Pipeline!J153+SUMPRODUCT($E$12:$M$12,Pipeline!$E$114:$M$114)</f>
        <v>111.038529624682</v>
      </c>
      <c r="K13" s="25" t="n">
        <f aca="false">Pipeline!K153+SUMPRODUCT($E$12:$M$12,Pipeline!$E$115:$M$115)</f>
        <v>139.619120965554</v>
      </c>
      <c r="L13" s="25" t="n">
        <f aca="false">Pipeline!L153+SUMPRODUCT($E$12:$M$12,Pipeline!$E$116:$M$116)</f>
        <v>164.568601332265</v>
      </c>
      <c r="M13" s="25" t="n">
        <f aca="false">Pipeline!M153+SUMPRODUCT($E$12:$M$12,Pipeline!$E$117:$M$117)</f>
        <v>181.025461465491</v>
      </c>
    </row>
    <row r="14" customFormat="false" ht="17.15" hidden="false" customHeight="false" outlineLevel="0" collapsed="false">
      <c r="A14" s="21" t="s">
        <v>1267</v>
      </c>
      <c r="B14" s="20" t="s">
        <v>1423</v>
      </c>
      <c r="C14" s="20" t="s">
        <v>1264</v>
      </c>
      <c r="D14" s="25" t="n">
        <f aca="false">Pipeline!D154+SUMPRODUCT($E$12:$M$12,Pipeline!$E$120:$M$120)</f>
        <v>0.630578355681972</v>
      </c>
      <c r="E14" s="25" t="n">
        <f aca="false">Pipeline!E154+SUMPRODUCT($E$12:$M$12,Pipeline!$E$121:$M$121)</f>
        <v>6.20938570515285</v>
      </c>
      <c r="F14" s="25" t="n">
        <f aca="false">Pipeline!F154+SUMPRODUCT($E$12:$M$12,Pipeline!$E$122:$M$122)</f>
        <v>25.3371433333333</v>
      </c>
      <c r="G14" s="25" t="n">
        <f aca="false">Pipeline!G154+SUMPRODUCT($E$12:$M$12,Pipeline!$E$123:$M$123)</f>
        <v>36.988055095226</v>
      </c>
      <c r="H14" s="25" t="n">
        <f aca="false">Pipeline!H154+SUMPRODUCT($E$12:$M$12,Pipeline!$E$124:$M$124)</f>
        <v>54.2999826167064</v>
      </c>
      <c r="I14" s="25" t="n">
        <f aca="false">Pipeline!I154+SUMPRODUCT($E$12:$M$12,Pipeline!$E$125:$M$125)</f>
        <v>76.8689852798931</v>
      </c>
      <c r="J14" s="25" t="n">
        <f aca="false">Pipeline!J154+SUMPRODUCT($E$12:$M$12,Pipeline!$E$126:$M$126)</f>
        <v>105.838147706324</v>
      </c>
      <c r="K14" s="25" t="n">
        <f aca="false">Pipeline!K154+SUMPRODUCT($E$12:$M$12,Pipeline!$E$127:$M$127)</f>
        <v>134.072217480901</v>
      </c>
      <c r="L14" s="25" t="n">
        <f aca="false">Pipeline!L154+SUMPRODUCT($E$12:$M$12,Pipeline!$E$128:$M$128)</f>
        <v>160.20244226809</v>
      </c>
      <c r="M14" s="25" t="n">
        <f aca="false">Pipeline!M154+SUMPRODUCT($E$12:$M$12,Pipeline!$E$129:$M$129)</f>
        <v>178.145510942176</v>
      </c>
    </row>
    <row r="15" customFormat="false" ht="17.15" hidden="false" customHeight="false" outlineLevel="0" collapsed="false">
      <c r="A15" s="21" t="s">
        <v>1267</v>
      </c>
      <c r="B15" s="20" t="s">
        <v>1423</v>
      </c>
      <c r="C15" s="20" t="s">
        <v>1265</v>
      </c>
      <c r="D15" s="25" t="n">
        <f aca="false">Pipeline!D155+SUMPRODUCT($E$12:$M$12,Pipeline!$E$132:$M$132)</f>
        <v>0.630578355681972</v>
      </c>
      <c r="E15" s="25" t="n">
        <f aca="false">Pipeline!E155+SUMPRODUCT($E$12:$M$12,Pipeline!$E$133:$M$133)</f>
        <v>6.20938570515285</v>
      </c>
      <c r="F15" s="25" t="n">
        <f aca="false">Pipeline!F155+SUMPRODUCT($E$12:$M$12,Pipeline!$E$134:$M$134)</f>
        <v>25.3371433333333</v>
      </c>
      <c r="G15" s="25" t="n">
        <f aca="false">Pipeline!G155+SUMPRODUCT($E$12:$M$12,Pipeline!$E$135:$M$135)</f>
        <v>36.988055095226</v>
      </c>
      <c r="H15" s="25" t="n">
        <f aca="false">Pipeline!H155+SUMPRODUCT($E$12:$M$12,Pipeline!$E$136:$M$136)</f>
        <v>47.6909154877809</v>
      </c>
      <c r="I15" s="25" t="n">
        <f aca="false">Pipeline!I155+SUMPRODUCT($E$12:$M$12,Pipeline!$E$137:$M$137)</f>
        <v>68.5611042146184</v>
      </c>
      <c r="J15" s="25" t="n">
        <f aca="false">Pipeline!J155+SUMPRODUCT($E$12:$M$12,Pipeline!$E$138:$M$138)</f>
        <v>103.364477210369</v>
      </c>
      <c r="K15" s="25" t="n">
        <f aca="false">Pipeline!K155+SUMPRODUCT($E$12:$M$12,Pipeline!$E$139:$M$139)</f>
        <v>134.072217480901</v>
      </c>
      <c r="L15" s="25" t="n">
        <f aca="false">Pipeline!L155+SUMPRODUCT($E$12:$M$12,Pipeline!$E$140:$M$140)</f>
        <v>160.20244226809</v>
      </c>
      <c r="M15" s="25" t="n">
        <f aca="false">Pipeline!M155+SUMPRODUCT($E$12:$M$12,Pipeline!$E$141:$M$141)</f>
        <v>178.145510942176</v>
      </c>
    </row>
    <row r="16" customFormat="false" ht="17.15" hidden="false" customHeight="false" outlineLevel="0" collapsed="false">
      <c r="A16" s="5" t="s">
        <v>1159</v>
      </c>
      <c r="B16" s="0" t="s">
        <v>1423</v>
      </c>
      <c r="C16" s="0" t="s">
        <v>1263</v>
      </c>
      <c r="D16" s="24" t="str">
        <f aca="false">""</f>
        <v/>
      </c>
      <c r="E16" s="24" t="n">
        <f aca="false">(D13+E13)/2</f>
        <v>3.41998203041741</v>
      </c>
      <c r="F16" s="24" t="n">
        <f aca="false">(E13+F13)/2</f>
        <v>15.7732645192431</v>
      </c>
      <c r="G16" s="24" t="n">
        <f aca="false">(F13+G13)/2</f>
        <v>31.4948290638629</v>
      </c>
      <c r="H16" s="24" t="n">
        <f aca="false">(G13+H13)/2</f>
        <v>47.7311417574111</v>
      </c>
      <c r="I16" s="24" t="n">
        <f aca="false">(H13+I13)/2</f>
        <v>70.4584151201045</v>
      </c>
      <c r="J16" s="24" t="n">
        <f aca="false">(I13+J13)/2</f>
        <v>97.0727955722306</v>
      </c>
      <c r="K16" s="24" t="n">
        <f aca="false">(J13+K13)/2</f>
        <v>125.328825295118</v>
      </c>
      <c r="L16" s="24" t="n">
        <f aca="false">(K13+L13)/2</f>
        <v>152.093861148909</v>
      </c>
      <c r="M16" s="24" t="n">
        <f aca="false">(L13+M13)/2</f>
        <v>172.797031398878</v>
      </c>
    </row>
    <row r="17" customFormat="false" ht="17.15" hidden="false" customHeight="false" outlineLevel="0" collapsed="false">
      <c r="A17" s="5" t="s">
        <v>1159</v>
      </c>
      <c r="B17" s="0" t="s">
        <v>1423</v>
      </c>
      <c r="C17" s="0" t="s">
        <v>1264</v>
      </c>
      <c r="D17" s="24" t="str">
        <f aca="false">""</f>
        <v/>
      </c>
      <c r="E17" s="24" t="n">
        <f aca="false">(D14+E14)/2</f>
        <v>3.41998203041741</v>
      </c>
      <c r="F17" s="24" t="n">
        <f aca="false">(E14+F14)/2</f>
        <v>15.7732645192431</v>
      </c>
      <c r="G17" s="24" t="n">
        <f aca="false">(F14+G14)/2</f>
        <v>31.1625992142797</v>
      </c>
      <c r="H17" s="24" t="n">
        <f aca="false">(G14+H14)/2</f>
        <v>45.6440188559662</v>
      </c>
      <c r="I17" s="24" t="n">
        <f aca="false">(H14+I14)/2</f>
        <v>65.5844839482998</v>
      </c>
      <c r="J17" s="24" t="n">
        <f aca="false">(I14+J14)/2</f>
        <v>91.3535664931085</v>
      </c>
      <c r="K17" s="24" t="n">
        <f aca="false">(J14+K14)/2</f>
        <v>119.955182593613</v>
      </c>
      <c r="L17" s="24" t="n">
        <f aca="false">(K14+L14)/2</f>
        <v>147.137329874496</v>
      </c>
      <c r="M17" s="24" t="n">
        <f aca="false">(L14+M14)/2</f>
        <v>169.173976605133</v>
      </c>
    </row>
    <row r="18" customFormat="false" ht="17.15" hidden="false" customHeight="false" outlineLevel="0" collapsed="false">
      <c r="A18" s="5" t="s">
        <v>1159</v>
      </c>
      <c r="B18" s="0" t="s">
        <v>1423</v>
      </c>
      <c r="C18" s="0" t="s">
        <v>1265</v>
      </c>
      <c r="D18" s="24" t="str">
        <f aca="false">""</f>
        <v/>
      </c>
      <c r="E18" s="24" t="n">
        <f aca="false">(D15+E15)/2</f>
        <v>3.41998203041741</v>
      </c>
      <c r="F18" s="24" t="n">
        <f aca="false">(E15+F15)/2</f>
        <v>15.7732645192431</v>
      </c>
      <c r="G18" s="24" t="n">
        <f aca="false">(F15+G15)/2</f>
        <v>31.1625992142797</v>
      </c>
      <c r="H18" s="24" t="n">
        <f aca="false">(G15+H15)/2</f>
        <v>42.3394852915034</v>
      </c>
      <c r="I18" s="24" t="n">
        <f aca="false">(H15+I15)/2</f>
        <v>58.1260098511997</v>
      </c>
      <c r="J18" s="24" t="n">
        <f aca="false">(I15+J15)/2</f>
        <v>85.9627907124939</v>
      </c>
      <c r="K18" s="24" t="n">
        <f aca="false">(J15+K15)/2</f>
        <v>118.718347345635</v>
      </c>
      <c r="L18" s="24" t="n">
        <f aca="false">(K15+L15)/2</f>
        <v>147.137329874496</v>
      </c>
      <c r="M18" s="24" t="n">
        <f aca="false">(L15+M15)/2</f>
        <v>169.173976605133</v>
      </c>
    </row>
    <row r="19" customFormat="false" ht="17.15" hidden="false" customHeight="false" outlineLevel="0" collapsed="false">
      <c r="A19" s="5" t="s">
        <v>1268</v>
      </c>
      <c r="B19" s="0" t="s">
        <v>1423</v>
      </c>
      <c r="C19" s="0" t="s">
        <v>1263</v>
      </c>
      <c r="D19" s="24" t="n">
        <f aca="false">0</f>
        <v>0</v>
      </c>
      <c r="E19" s="24" t="n">
        <f aca="false">E13-D13-E$6</f>
        <v>1.61980834349181</v>
      </c>
      <c r="F19" s="24" t="n">
        <f aca="false">F13-E13-F$6</f>
        <v>9.04912429484715</v>
      </c>
      <c r="G19" s="24" t="n">
        <f aca="false">G13-F13-G$6</f>
        <v>12.3153714610592</v>
      </c>
      <c r="H19" s="24" t="n">
        <f aca="false">H13-G13-H$6</f>
        <v>20.1572539260371</v>
      </c>
      <c r="I19" s="24" t="n">
        <f aca="false">I13-H13-I$6</f>
        <v>25.2972927993498</v>
      </c>
      <c r="J19" s="24" t="n">
        <f aca="false">J13-I13-J$6</f>
        <v>27.9314681049025</v>
      </c>
      <c r="K19" s="24" t="n">
        <f aca="false">K13-J13-K$6</f>
        <v>28.580591340872</v>
      </c>
      <c r="L19" s="24" t="n">
        <f aca="false">L13-K13-L$6</f>
        <v>24.9494803667106</v>
      </c>
      <c r="M19" s="24" t="n">
        <f aca="false">M13-L13-M$6</f>
        <v>16.4568601332265</v>
      </c>
    </row>
    <row r="20" customFormat="false" ht="17.15" hidden="false" customHeight="false" outlineLevel="0" collapsed="false">
      <c r="A20" s="5" t="s">
        <v>1268</v>
      </c>
      <c r="B20" s="0" t="s">
        <v>1423</v>
      </c>
      <c r="C20" s="0" t="s">
        <v>1264</v>
      </c>
      <c r="D20" s="24" t="n">
        <f aca="false">0</f>
        <v>0</v>
      </c>
      <c r="E20" s="24" t="n">
        <f aca="false">E14-D14-E$6</f>
        <v>1.61980834349181</v>
      </c>
      <c r="F20" s="24" t="n">
        <f aca="false">F14-E14-F$6</f>
        <v>9.04912429484715</v>
      </c>
      <c r="G20" s="24" t="n">
        <f aca="false">G14-F14-G$6</f>
        <v>11.6509117618926</v>
      </c>
      <c r="H20" s="24" t="n">
        <f aca="false">H14-G14-H$6</f>
        <v>17.3119275214805</v>
      </c>
      <c r="I20" s="24" t="n">
        <f aca="false">I14-H14-I$6</f>
        <v>22.5690026631867</v>
      </c>
      <c r="J20" s="24" t="n">
        <f aca="false">J14-I14-J$6</f>
        <v>28.9691624264308</v>
      </c>
      <c r="K20" s="24" t="n">
        <f aca="false">K14-J14-K$6</f>
        <v>28.2340697745774</v>
      </c>
      <c r="L20" s="24" t="n">
        <f aca="false">L14-K14-L$6</f>
        <v>26.1302247871889</v>
      </c>
      <c r="M20" s="24" t="n">
        <f aca="false">M14-L14-M$6</f>
        <v>17.9430686740862</v>
      </c>
    </row>
    <row r="21" customFormat="false" ht="17.15" hidden="false" customHeight="false" outlineLevel="0" collapsed="false">
      <c r="A21" s="5" t="s">
        <v>1268</v>
      </c>
      <c r="B21" s="0" t="s">
        <v>1423</v>
      </c>
      <c r="C21" s="0" t="s">
        <v>1265</v>
      </c>
      <c r="D21" s="24" t="n">
        <f aca="false">0</f>
        <v>0</v>
      </c>
      <c r="E21" s="24" t="n">
        <f aca="false">E15-D15-E$6</f>
        <v>1.61980834349181</v>
      </c>
      <c r="F21" s="24" t="n">
        <f aca="false">F15-E15-F$6</f>
        <v>9.04912429484715</v>
      </c>
      <c r="G21" s="24" t="n">
        <f aca="false">G15-F15-G$6</f>
        <v>11.6509117618926</v>
      </c>
      <c r="H21" s="24" t="n">
        <f aca="false">H15-G15-H$6</f>
        <v>10.7028603925549</v>
      </c>
      <c r="I21" s="24" t="n">
        <f aca="false">I15-H15-I$6</f>
        <v>20.8701887268376</v>
      </c>
      <c r="J21" s="24" t="n">
        <f aca="false">J15-I15-J$6</f>
        <v>34.803372995751</v>
      </c>
      <c r="K21" s="24" t="n">
        <f aca="false">K15-J15-K$6</f>
        <v>30.7077402705319</v>
      </c>
      <c r="L21" s="24" t="n">
        <f aca="false">L15-K15-L$6</f>
        <v>26.1302247871889</v>
      </c>
      <c r="M21" s="24" t="n">
        <f aca="false">M15-L15-M$6</f>
        <v>17.9430686740862</v>
      </c>
    </row>
    <row r="22" customFormat="false" ht="17.15" hidden="false" customHeight="false" outlineLevel="0" collapsed="false">
      <c r="A22" s="5" t="s">
        <v>1269</v>
      </c>
      <c r="B22" s="0" t="s">
        <v>1423</v>
      </c>
      <c r="C22" s="0" t="s">
        <v>1264</v>
      </c>
      <c r="D22" s="24" t="n">
        <f aca="false">D13-D14</f>
        <v>0</v>
      </c>
      <c r="E22" s="24" t="n">
        <f aca="false">E13-E14</f>
        <v>0</v>
      </c>
      <c r="F22" s="24" t="n">
        <f aca="false">F13-F14</f>
        <v>0</v>
      </c>
      <c r="G22" s="24" t="n">
        <f aca="false">G13-G14</f>
        <v>0.66445969916655</v>
      </c>
      <c r="H22" s="24" t="n">
        <f aca="false">H13-H14</f>
        <v>3.50978610372314</v>
      </c>
      <c r="I22" s="24" t="n">
        <f aca="false">I13-I14</f>
        <v>6.23807623988623</v>
      </c>
      <c r="J22" s="24" t="n">
        <f aca="false">J13-J14</f>
        <v>5.20038191835795</v>
      </c>
      <c r="K22" s="24" t="n">
        <f aca="false">K13-K14</f>
        <v>5.5469034846526</v>
      </c>
      <c r="L22" s="24" t="n">
        <f aca="false">L13-L14</f>
        <v>4.36615906417435</v>
      </c>
      <c r="M22" s="24" t="n">
        <f aca="false">M13-M14</f>
        <v>2.87995052331465</v>
      </c>
    </row>
    <row r="23" customFormat="false" ht="17.15" hidden="false" customHeight="false" outlineLevel="0" collapsed="false">
      <c r="A23" s="5" t="s">
        <v>1269</v>
      </c>
      <c r="B23" s="0" t="s">
        <v>1423</v>
      </c>
      <c r="C23" s="0" t="s">
        <v>1265</v>
      </c>
      <c r="D23" s="24" t="n">
        <f aca="false">D13-D15</f>
        <v>0</v>
      </c>
      <c r="E23" s="24" t="n">
        <f aca="false">E13-E15</f>
        <v>0</v>
      </c>
      <c r="F23" s="24" t="n">
        <f aca="false">F13-F15</f>
        <v>0</v>
      </c>
      <c r="G23" s="24" t="n">
        <f aca="false">G13-G15</f>
        <v>0.66445969916655</v>
      </c>
      <c r="H23" s="24" t="n">
        <f aca="false">H13-H15</f>
        <v>10.1188532326487</v>
      </c>
      <c r="I23" s="24" t="n">
        <f aca="false">I13-I15</f>
        <v>14.5459573051609</v>
      </c>
      <c r="J23" s="24" t="n">
        <f aca="false">J13-J15</f>
        <v>7.67405241431243</v>
      </c>
      <c r="K23" s="24" t="n">
        <f aca="false">K13-K15</f>
        <v>5.5469034846526</v>
      </c>
      <c r="L23" s="24" t="n">
        <f aca="false">L13-L15</f>
        <v>4.36615906417435</v>
      </c>
      <c r="M23" s="24" t="n">
        <f aca="false">M13-M15</f>
        <v>2.87995052331465</v>
      </c>
    </row>
    <row r="25" customFormat="false" ht="17.15" hidden="false" customHeight="false" outlineLevel="0" collapsed="false">
      <c r="A25" s="21" t="s">
        <v>1426</v>
      </c>
    </row>
    <row r="26" customFormat="false" ht="17.15" hidden="false" customHeight="false" outlineLevel="0" collapsed="false">
      <c r="A26" s="5" t="s">
        <v>1422</v>
      </c>
      <c r="B26" s="0" t="s">
        <v>1427</v>
      </c>
      <c r="C26" s="0" t="s">
        <v>1263</v>
      </c>
      <c r="D26" s="24" t="n">
        <f aca="false">0</f>
        <v>0</v>
      </c>
      <c r="E26" s="24" t="n">
        <f aca="false">(E$4+E$5)</f>
        <v>1.61980834349181</v>
      </c>
      <c r="F26" s="24" t="n">
        <f aca="false">(F$4+F$5)</f>
        <v>9.04912429484715</v>
      </c>
      <c r="G26" s="24" t="n">
        <f aca="false">(G$4+G$5)</f>
        <v>12.3153714610592</v>
      </c>
      <c r="H26" s="24" t="n">
        <f aca="false">(H$4+H$5)</f>
        <v>20.1572539260371</v>
      </c>
      <c r="I26" s="24" t="n">
        <f aca="false">(I$4+I$5)*SIL_In!$I$28</f>
        <v>20.2378342394798</v>
      </c>
      <c r="J26" s="24" t="n">
        <f aca="false">(J$4+J$5)*SIL_In!$J$28</f>
        <v>23.7417478891671</v>
      </c>
      <c r="K26" s="24" t="n">
        <f aca="false">(Pipeline!J153+SUM($E$28:J28))*K27</f>
        <v>24.0355692421623</v>
      </c>
      <c r="L26" s="24" t="n">
        <f aca="false">(Pipeline!K153+SUM($E$28:K28))*L27</f>
        <v>21.1467959909579</v>
      </c>
      <c r="M26" s="24" t="n">
        <f aca="false">(Pipeline!L153+SUM($E$28:L28))*M27</f>
        <v>14.6971716082197</v>
      </c>
    </row>
    <row r="27" customFormat="false" ht="17.15" hidden="false" customHeight="false" outlineLevel="0" collapsed="false">
      <c r="A27" s="5" t="s">
        <v>1424</v>
      </c>
      <c r="B27" s="0" t="s">
        <v>1427</v>
      </c>
      <c r="D27" s="23" t="str">
        <f aca="false">""</f>
        <v/>
      </c>
      <c r="E27" s="23" t="str">
        <f aca="false">""</f>
        <v/>
      </c>
      <c r="F27" s="23" t="str">
        <f aca="false">""</f>
        <v/>
      </c>
      <c r="G27" s="23" t="str">
        <f aca="false">""</f>
        <v/>
      </c>
      <c r="H27" s="23" t="str">
        <f aca="false">""</f>
        <v/>
      </c>
      <c r="I27" s="23" t="str">
        <f aca="false">""</f>
        <v/>
      </c>
      <c r="J27" s="23" t="n">
        <f aca="false">IFERROR(J26/(Pipeline!I153+SUM($E$28:I28)),g_lt)</f>
        <v>0.304195734254164</v>
      </c>
      <c r="K27" s="23" t="n">
        <f aca="false">$J$27+(g_lt-$J$27)*(2030-2029)/3</f>
        <v>0.236130489502776</v>
      </c>
      <c r="L27" s="23" t="n">
        <f aca="false">$J$27+(g_lt-$J$27)*(2031-2029)/3</f>
        <v>0.168065244751388</v>
      </c>
      <c r="M27" s="23" t="n">
        <f aca="false">$J$27+(g_lt-$J$27)*(2032-2029)/3</f>
        <v>0.1</v>
      </c>
    </row>
    <row r="28" customFormat="false" ht="17.15" hidden="false" customHeight="false" outlineLevel="0" collapsed="false">
      <c r="A28" s="5" t="s">
        <v>1425</v>
      </c>
      <c r="B28" s="0" t="s">
        <v>1427</v>
      </c>
      <c r="D28" s="24" t="n">
        <f aca="false">0</f>
        <v>0</v>
      </c>
      <c r="E28" s="24" t="n">
        <f aca="false">E26-E$4</f>
        <v>0</v>
      </c>
      <c r="F28" s="24" t="n">
        <f aca="false">F26-F$4</f>
        <v>0</v>
      </c>
      <c r="G28" s="24" t="n">
        <f aca="false">G26-G$4</f>
        <v>0</v>
      </c>
      <c r="H28" s="24" t="n">
        <f aca="false">H26-H$4</f>
        <v>14.6696088015299</v>
      </c>
      <c r="I28" s="24" t="n">
        <f aca="false">I26-I$4</f>
        <v>3.64978684523744</v>
      </c>
      <c r="J28" s="24" t="n">
        <f aca="false">J26-J$4</f>
        <v>17.8067265581697</v>
      </c>
      <c r="K28" s="24" t="n">
        <f aca="false">K26-K$4</f>
        <v>16.3935142201144</v>
      </c>
      <c r="L28" s="24" t="n">
        <f aca="false">L26-L$4</f>
        <v>18.9929498371117</v>
      </c>
      <c r="M28" s="24" t="n">
        <f aca="false">M26-M$4</f>
        <v>12.3279408389889</v>
      </c>
    </row>
    <row r="29" customFormat="false" ht="17.15" hidden="false" customHeight="false" outlineLevel="0" collapsed="false">
      <c r="A29" s="21" t="s">
        <v>1267</v>
      </c>
      <c r="B29" s="20" t="s">
        <v>1427</v>
      </c>
      <c r="C29" s="20" t="s">
        <v>1263</v>
      </c>
      <c r="D29" s="25" t="n">
        <f aca="false">Pipeline!D153+SUMPRODUCT($E$28:$M$28,Pipeline!$E$108:$M$108)</f>
        <v>0.630578355681972</v>
      </c>
      <c r="E29" s="25" t="n">
        <f aca="false">Pipeline!E153+SUMPRODUCT($E$28:$M$28,Pipeline!$E$109:$M$109)</f>
        <v>6.20938570515285</v>
      </c>
      <c r="F29" s="25" t="n">
        <f aca="false">Pipeline!F153+SUMPRODUCT($E$28:$M$28,Pipeline!$E$110:$M$110)</f>
        <v>25.3371433333333</v>
      </c>
      <c r="G29" s="25" t="n">
        <f aca="false">Pipeline!G153+SUMPRODUCT($E$28:$M$28,Pipeline!$E$111:$M$111)</f>
        <v>37.6525147943925</v>
      </c>
      <c r="H29" s="25" t="n">
        <f aca="false">Pipeline!H153+SUMPRODUCT($E$28:$M$28,Pipeline!$E$112:$M$112)</f>
        <v>57.8097687204296</v>
      </c>
      <c r="I29" s="25" t="n">
        <f aca="false">Pipeline!I153+SUMPRODUCT($E$28:$M$28,Pipeline!$E$113:$M$113)</f>
        <v>78.0476029599094</v>
      </c>
      <c r="J29" s="25" t="n">
        <f aca="false">Pipeline!J153+SUMPRODUCT($E$28:$M$28,Pipeline!$E$114:$M$114)</f>
        <v>101.789350849077</v>
      </c>
      <c r="K29" s="25" t="n">
        <f aca="false">Pipeline!K153+SUMPRODUCT($E$28:$M$28,Pipeline!$E$115:$M$115)</f>
        <v>125.824920091239</v>
      </c>
      <c r="L29" s="25" t="n">
        <f aca="false">Pipeline!L153+SUMPRODUCT($E$28:$M$28,Pipeline!$E$116:$M$116)</f>
        <v>146.971716082197</v>
      </c>
      <c r="M29" s="25" t="n">
        <f aca="false">Pipeline!M153+SUMPRODUCT($E$28:$M$28,Pipeline!$E$117:$M$117)</f>
        <v>161.668887690416</v>
      </c>
    </row>
    <row r="30" customFormat="false" ht="17.15" hidden="false" customHeight="false" outlineLevel="0" collapsed="false">
      <c r="A30" s="21" t="s">
        <v>1267</v>
      </c>
      <c r="B30" s="20" t="s">
        <v>1427</v>
      </c>
      <c r="C30" s="20" t="s">
        <v>1264</v>
      </c>
      <c r="D30" s="25" t="n">
        <f aca="false">Pipeline!D154+SUMPRODUCT($E$28:$M$28,Pipeline!$E$120:$M$120)</f>
        <v>0.630578355681972</v>
      </c>
      <c r="E30" s="25" t="n">
        <f aca="false">Pipeline!E154+SUMPRODUCT($E$28:$M$28,Pipeline!$E$121:$M$121)</f>
        <v>6.20938570515285</v>
      </c>
      <c r="F30" s="25" t="n">
        <f aca="false">Pipeline!F154+SUMPRODUCT($E$28:$M$28,Pipeline!$E$122:$M$122)</f>
        <v>25.3371433333333</v>
      </c>
      <c r="G30" s="25" t="n">
        <f aca="false">Pipeline!G154+SUMPRODUCT($E$28:$M$28,Pipeline!$E$123:$M$123)</f>
        <v>36.988055095226</v>
      </c>
      <c r="H30" s="25" t="n">
        <f aca="false">Pipeline!H154+SUMPRODUCT($E$28:$M$28,Pipeline!$E$124:$M$124)</f>
        <v>54.2999826167064</v>
      </c>
      <c r="I30" s="25" t="n">
        <f aca="false">Pipeline!I154+SUMPRODUCT($E$28:$M$28,Pipeline!$E$125:$M$125)</f>
        <v>72.6949319680004</v>
      </c>
      <c r="J30" s="25" t="n">
        <f aca="false">Pipeline!J154+SUMPRODUCT($E$28:$M$28,Pipeline!$E$126:$M$126)</f>
        <v>97.3221699684723</v>
      </c>
      <c r="K30" s="25" t="n">
        <f aca="false">Pipeline!K154+SUMPRODUCT($E$28:$M$28,Pipeline!$E$127:$M$127)</f>
        <v>121.07339547386</v>
      </c>
      <c r="L30" s="25" t="n">
        <f aca="false">Pipeline!L154+SUMPRODUCT($E$28:$M$28,Pipeline!$E$128:$M$128)</f>
        <v>143.271026783779</v>
      </c>
      <c r="M30" s="25" t="n">
        <f aca="false">Pipeline!M154+SUMPRODUCT($E$28:$M$28,Pipeline!$E$129:$M$129)</f>
        <v>159.096882658978</v>
      </c>
    </row>
    <row r="31" customFormat="false" ht="17.15" hidden="false" customHeight="false" outlineLevel="0" collapsed="false">
      <c r="A31" s="21" t="s">
        <v>1267</v>
      </c>
      <c r="B31" s="20" t="s">
        <v>1427</v>
      </c>
      <c r="C31" s="20" t="s">
        <v>1265</v>
      </c>
      <c r="D31" s="25" t="n">
        <f aca="false">Pipeline!D155+SUMPRODUCT($E$28:$M$28,Pipeline!$E$132:$M$132)</f>
        <v>0.630578355681972</v>
      </c>
      <c r="E31" s="25" t="n">
        <f aca="false">Pipeline!E155+SUMPRODUCT($E$28:$M$28,Pipeline!$E$133:$M$133)</f>
        <v>6.20938570515285</v>
      </c>
      <c r="F31" s="25" t="n">
        <f aca="false">Pipeline!F155+SUMPRODUCT($E$28:$M$28,Pipeline!$E$134:$M$134)</f>
        <v>25.3371433333333</v>
      </c>
      <c r="G31" s="25" t="n">
        <f aca="false">Pipeline!G155+SUMPRODUCT($E$28:$M$28,Pipeline!$E$135:$M$135)</f>
        <v>36.988055095226</v>
      </c>
      <c r="H31" s="25" t="n">
        <f aca="false">Pipeline!H155+SUMPRODUCT($E$28:$M$28,Pipeline!$E$136:$M$136)</f>
        <v>47.6909154877809</v>
      </c>
      <c r="I31" s="25" t="n">
        <f aca="false">Pipeline!I155+SUMPRODUCT($E$28:$M$28,Pipeline!$E$137:$M$137)</f>
        <v>66.0566722274828</v>
      </c>
      <c r="J31" s="25" t="n">
        <f aca="false">Pipeline!J155+SUMPRODUCT($E$28:$M$28,Pipeline!$E$138:$M$138)</f>
        <v>95.2026615717087</v>
      </c>
      <c r="K31" s="25" t="n">
        <f aca="false">Pipeline!K155+SUMPRODUCT($E$28:$M$28,Pipeline!$E$139:$M$139)</f>
        <v>121.07339547386</v>
      </c>
      <c r="L31" s="25" t="n">
        <f aca="false">Pipeline!L155+SUMPRODUCT($E$28:$M$28,Pipeline!$E$140:$M$140)</f>
        <v>143.271026783779</v>
      </c>
      <c r="M31" s="25" t="n">
        <f aca="false">Pipeline!M155+SUMPRODUCT($E$28:$M$28,Pipeline!$E$141:$M$141)</f>
        <v>159.096882658978</v>
      </c>
    </row>
    <row r="32" customFormat="false" ht="17.15" hidden="false" customHeight="false" outlineLevel="0" collapsed="false">
      <c r="A32" s="5" t="s">
        <v>1159</v>
      </c>
      <c r="B32" s="0" t="s">
        <v>1427</v>
      </c>
      <c r="C32" s="0" t="s">
        <v>1263</v>
      </c>
      <c r="D32" s="24" t="str">
        <f aca="false">""</f>
        <v/>
      </c>
      <c r="E32" s="24" t="n">
        <f aca="false">(D29+E29)/2</f>
        <v>3.41998203041741</v>
      </c>
      <c r="F32" s="24" t="n">
        <f aca="false">(E29+F29)/2</f>
        <v>15.7732645192431</v>
      </c>
      <c r="G32" s="24" t="n">
        <f aca="false">(F29+G29)/2</f>
        <v>31.4948290638629</v>
      </c>
      <c r="H32" s="24" t="n">
        <f aca="false">(G29+H29)/2</f>
        <v>47.7311417574111</v>
      </c>
      <c r="I32" s="24" t="n">
        <f aca="false">(H29+I29)/2</f>
        <v>67.9286858401695</v>
      </c>
      <c r="J32" s="24" t="n">
        <f aca="false">(I29+J29)/2</f>
        <v>89.9184769044929</v>
      </c>
      <c r="K32" s="24" t="n">
        <f aca="false">(J29+K29)/2</f>
        <v>113.807135470158</v>
      </c>
      <c r="L32" s="24" t="n">
        <f aca="false">(K29+L29)/2</f>
        <v>136.398318086718</v>
      </c>
      <c r="M32" s="24" t="n">
        <f aca="false">(L29+M29)/2</f>
        <v>154.320301886307</v>
      </c>
    </row>
    <row r="33" customFormat="false" ht="17.15" hidden="false" customHeight="false" outlineLevel="0" collapsed="false">
      <c r="A33" s="5" t="s">
        <v>1159</v>
      </c>
      <c r="B33" s="0" t="s">
        <v>1427</v>
      </c>
      <c r="C33" s="0" t="s">
        <v>1264</v>
      </c>
      <c r="D33" s="24" t="str">
        <f aca="false">""</f>
        <v/>
      </c>
      <c r="E33" s="24" t="n">
        <f aca="false">(D30+E30)/2</f>
        <v>3.41998203041741</v>
      </c>
      <c r="F33" s="24" t="n">
        <f aca="false">(E30+F30)/2</f>
        <v>15.7732645192431</v>
      </c>
      <c r="G33" s="24" t="n">
        <f aca="false">(F30+G30)/2</f>
        <v>31.1625992142797</v>
      </c>
      <c r="H33" s="24" t="n">
        <f aca="false">(G30+H30)/2</f>
        <v>45.6440188559662</v>
      </c>
      <c r="I33" s="24" t="n">
        <f aca="false">(H30+I30)/2</f>
        <v>63.4974572923534</v>
      </c>
      <c r="J33" s="24" t="n">
        <f aca="false">(I30+J30)/2</f>
        <v>85.0085509682363</v>
      </c>
      <c r="K33" s="24" t="n">
        <f aca="false">(J30+K30)/2</f>
        <v>109.197782721166</v>
      </c>
      <c r="L33" s="24" t="n">
        <f aca="false">(K30+L30)/2</f>
        <v>132.17221112882</v>
      </c>
      <c r="M33" s="24" t="n">
        <f aca="false">(L30+M30)/2</f>
        <v>151.183954721378</v>
      </c>
    </row>
    <row r="34" customFormat="false" ht="17.15" hidden="false" customHeight="false" outlineLevel="0" collapsed="false">
      <c r="A34" s="5" t="s">
        <v>1159</v>
      </c>
      <c r="B34" s="0" t="s">
        <v>1427</v>
      </c>
      <c r="C34" s="0" t="s">
        <v>1265</v>
      </c>
      <c r="D34" s="24" t="str">
        <f aca="false">""</f>
        <v/>
      </c>
      <c r="E34" s="24" t="n">
        <f aca="false">(D31+E31)/2</f>
        <v>3.41998203041741</v>
      </c>
      <c r="F34" s="24" t="n">
        <f aca="false">(E31+F31)/2</f>
        <v>15.7732645192431</v>
      </c>
      <c r="G34" s="24" t="n">
        <f aca="false">(F31+G31)/2</f>
        <v>31.1625992142797</v>
      </c>
      <c r="H34" s="24" t="n">
        <f aca="false">(G31+H31)/2</f>
        <v>42.3394852915034</v>
      </c>
      <c r="I34" s="24" t="n">
        <f aca="false">(H31+I31)/2</f>
        <v>56.8737938576318</v>
      </c>
      <c r="J34" s="24" t="n">
        <f aca="false">(I31+J31)/2</f>
        <v>80.6296668995958</v>
      </c>
      <c r="K34" s="24" t="n">
        <f aca="false">(J31+K31)/2</f>
        <v>108.138028522785</v>
      </c>
      <c r="L34" s="24" t="n">
        <f aca="false">(K31+L31)/2</f>
        <v>132.17221112882</v>
      </c>
      <c r="M34" s="24" t="n">
        <f aca="false">(L31+M31)/2</f>
        <v>151.183954721378</v>
      </c>
    </row>
    <row r="35" customFormat="false" ht="17.15" hidden="false" customHeight="false" outlineLevel="0" collapsed="false">
      <c r="A35" s="5" t="s">
        <v>1268</v>
      </c>
      <c r="B35" s="0" t="s">
        <v>1427</v>
      </c>
      <c r="C35" s="0" t="s">
        <v>1263</v>
      </c>
      <c r="D35" s="24" t="n">
        <f aca="false">0</f>
        <v>0</v>
      </c>
      <c r="E35" s="24" t="n">
        <f aca="false">E29-D29-E$6</f>
        <v>1.61980834349181</v>
      </c>
      <c r="F35" s="24" t="n">
        <f aca="false">F29-E29-F$6</f>
        <v>9.04912429484715</v>
      </c>
      <c r="G35" s="24" t="n">
        <f aca="false">G29-F29-G$6</f>
        <v>12.3153714610592</v>
      </c>
      <c r="H35" s="24" t="n">
        <f aca="false">H29-G29-H$6</f>
        <v>20.1572539260371</v>
      </c>
      <c r="I35" s="24" t="n">
        <f aca="false">I29-H29-I$6</f>
        <v>20.2378342394798</v>
      </c>
      <c r="J35" s="24" t="n">
        <f aca="false">J29-I29-J$6</f>
        <v>23.7417478891671</v>
      </c>
      <c r="K35" s="24" t="n">
        <f aca="false">K29-J29-K$6</f>
        <v>24.0355692421623</v>
      </c>
      <c r="L35" s="24" t="n">
        <f aca="false">L29-K29-L$6</f>
        <v>21.1467959909579</v>
      </c>
      <c r="M35" s="24" t="n">
        <f aca="false">M29-L29-M$6</f>
        <v>14.6971716082197</v>
      </c>
    </row>
    <row r="36" customFormat="false" ht="17.15" hidden="false" customHeight="false" outlineLevel="0" collapsed="false">
      <c r="A36" s="5" t="s">
        <v>1268</v>
      </c>
      <c r="B36" s="0" t="s">
        <v>1427</v>
      </c>
      <c r="C36" s="0" t="s">
        <v>1264</v>
      </c>
      <c r="D36" s="24" t="n">
        <f aca="false">0</f>
        <v>0</v>
      </c>
      <c r="E36" s="24" t="n">
        <f aca="false">E30-D30-E$6</f>
        <v>1.61980834349181</v>
      </c>
      <c r="F36" s="24" t="n">
        <f aca="false">F30-E30-F$6</f>
        <v>9.04912429484715</v>
      </c>
      <c r="G36" s="24" t="n">
        <f aca="false">G30-F30-G$6</f>
        <v>11.6509117618926</v>
      </c>
      <c r="H36" s="24" t="n">
        <f aca="false">H30-G30-H$6</f>
        <v>17.3119275214805</v>
      </c>
      <c r="I36" s="24" t="n">
        <f aca="false">I30-H30-I$6</f>
        <v>18.394949351294</v>
      </c>
      <c r="J36" s="24" t="n">
        <f aca="false">J30-I30-J$6</f>
        <v>24.6272380004719</v>
      </c>
      <c r="K36" s="24" t="n">
        <f aca="false">K30-J30-K$6</f>
        <v>23.7512255053881</v>
      </c>
      <c r="L36" s="24" t="n">
        <f aca="false">L30-K30-L$6</f>
        <v>22.1976313099187</v>
      </c>
      <c r="M36" s="24" t="n">
        <f aca="false">M30-L30-M$6</f>
        <v>15.8258558751989</v>
      </c>
    </row>
    <row r="37" customFormat="false" ht="17.15" hidden="false" customHeight="false" outlineLevel="0" collapsed="false">
      <c r="A37" s="5" t="s">
        <v>1268</v>
      </c>
      <c r="B37" s="0" t="s">
        <v>1427</v>
      </c>
      <c r="C37" s="0" t="s">
        <v>1265</v>
      </c>
      <c r="D37" s="24" t="n">
        <f aca="false">0</f>
        <v>0</v>
      </c>
      <c r="E37" s="24" t="n">
        <f aca="false">E31-D31-E$6</f>
        <v>1.61980834349181</v>
      </c>
      <c r="F37" s="24" t="n">
        <f aca="false">F31-E31-F$6</f>
        <v>9.04912429484715</v>
      </c>
      <c r="G37" s="24" t="n">
        <f aca="false">G31-F31-G$6</f>
        <v>11.6509117618926</v>
      </c>
      <c r="H37" s="24" t="n">
        <f aca="false">H31-G31-H$6</f>
        <v>10.7028603925549</v>
      </c>
      <c r="I37" s="24" t="n">
        <f aca="false">I31-H31-I$6</f>
        <v>18.365756739702</v>
      </c>
      <c r="J37" s="24" t="n">
        <f aca="false">J31-I31-J$6</f>
        <v>29.1459893442258</v>
      </c>
      <c r="K37" s="24" t="n">
        <f aca="false">K31-J31-K$6</f>
        <v>25.8707339021517</v>
      </c>
      <c r="L37" s="24" t="n">
        <f aca="false">L31-K31-L$6</f>
        <v>22.1976313099187</v>
      </c>
      <c r="M37" s="24" t="n">
        <f aca="false">M31-L31-M$6</f>
        <v>15.8258558751989</v>
      </c>
    </row>
    <row r="38" customFormat="false" ht="17.15" hidden="false" customHeight="false" outlineLevel="0" collapsed="false">
      <c r="A38" s="5" t="s">
        <v>1269</v>
      </c>
      <c r="B38" s="0" t="s">
        <v>1427</v>
      </c>
      <c r="C38" s="0" t="s">
        <v>1264</v>
      </c>
      <c r="D38" s="24" t="n">
        <f aca="false">D29-D30</f>
        <v>0</v>
      </c>
      <c r="E38" s="24" t="n">
        <f aca="false">E29-E30</f>
        <v>0</v>
      </c>
      <c r="F38" s="24" t="n">
        <f aca="false">F29-F30</f>
        <v>0</v>
      </c>
      <c r="G38" s="24" t="n">
        <f aca="false">G29-G30</f>
        <v>0.66445969916655</v>
      </c>
      <c r="H38" s="24" t="n">
        <f aca="false">H29-H30</f>
        <v>3.50978610372314</v>
      </c>
      <c r="I38" s="24" t="n">
        <f aca="false">I29-I30</f>
        <v>5.35267099190898</v>
      </c>
      <c r="J38" s="24" t="n">
        <f aca="false">J29-J30</f>
        <v>4.46718088060425</v>
      </c>
      <c r="K38" s="24" t="n">
        <f aca="false">K29-K30</f>
        <v>4.75152461737838</v>
      </c>
      <c r="L38" s="24" t="n">
        <f aca="false">L29-L30</f>
        <v>3.70068929841764</v>
      </c>
      <c r="M38" s="24" t="n">
        <f aca="false">M29-M30</f>
        <v>2.57200503143844</v>
      </c>
    </row>
    <row r="39" customFormat="false" ht="17.15" hidden="false" customHeight="false" outlineLevel="0" collapsed="false">
      <c r="A39" s="5" t="s">
        <v>1269</v>
      </c>
      <c r="B39" s="0" t="s">
        <v>1427</v>
      </c>
      <c r="C39" s="0" t="s">
        <v>1265</v>
      </c>
      <c r="D39" s="24" t="n">
        <f aca="false">D29-D31</f>
        <v>0</v>
      </c>
      <c r="E39" s="24" t="n">
        <f aca="false">E29-E31</f>
        <v>0</v>
      </c>
      <c r="F39" s="24" t="n">
        <f aca="false">F29-F31</f>
        <v>0</v>
      </c>
      <c r="G39" s="24" t="n">
        <f aca="false">G29-G31</f>
        <v>0.66445969916655</v>
      </c>
      <c r="H39" s="24" t="n">
        <f aca="false">H29-H31</f>
        <v>10.1188532326487</v>
      </c>
      <c r="I39" s="24" t="n">
        <f aca="false">I29-I31</f>
        <v>11.9909307324266</v>
      </c>
      <c r="J39" s="24" t="n">
        <f aca="false">J29-J31</f>
        <v>6.58668927736784</v>
      </c>
      <c r="K39" s="24" t="n">
        <f aca="false">K29-K31</f>
        <v>4.75152461737838</v>
      </c>
      <c r="L39" s="24" t="n">
        <f aca="false">L29-L31</f>
        <v>3.70068929841764</v>
      </c>
      <c r="M39" s="24" t="n">
        <f aca="false">M29-M31</f>
        <v>2.57200503143844</v>
      </c>
    </row>
    <row r="41" customFormat="false" ht="17.15" hidden="false" customHeight="false" outlineLevel="0" collapsed="false">
      <c r="A41" s="21" t="s">
        <v>1428</v>
      </c>
    </row>
    <row r="42" customFormat="false" ht="17.15" hidden="false" customHeight="false" outlineLevel="0" collapsed="false">
      <c r="A42" s="5" t="s">
        <v>1422</v>
      </c>
      <c r="B42" s="0" t="s">
        <v>1429</v>
      </c>
      <c r="C42" s="0" t="s">
        <v>1263</v>
      </c>
      <c r="D42" s="24" t="n">
        <f aca="false">0</f>
        <v>0</v>
      </c>
      <c r="E42" s="24" t="n">
        <f aca="false">(E$4+E$5)</f>
        <v>1.61980834349181</v>
      </c>
      <c r="F42" s="24" t="n">
        <f aca="false">(F$4+F$5)</f>
        <v>9.04912429484715</v>
      </c>
      <c r="G42" s="24" t="n">
        <f aca="false">(G$4+G$5)</f>
        <v>12.3153714610592</v>
      </c>
      <c r="H42" s="24" t="n">
        <f aca="false">(H$4+H$5)</f>
        <v>20.1572539260371</v>
      </c>
      <c r="I42" s="24" t="n">
        <f aca="false">(I$4+I$5)*SIL_In!$I$29</f>
        <v>15.1783756796099</v>
      </c>
      <c r="J42" s="24" t="n">
        <f aca="false">(J$4+J$5)*SIL_In!$J$29</f>
        <v>16.7588808629415</v>
      </c>
      <c r="K42" s="24" t="n">
        <f aca="false">(Pipeline!J153+SUM($E$44:J44))*K43</f>
        <v>16.7295036859268</v>
      </c>
      <c r="L42" s="24" t="n">
        <f aca="false">(Pipeline!K153+SUM($E$44:K44))*L43</f>
        <v>15.2478293784383</v>
      </c>
      <c r="M42" s="24" t="n">
        <f aca="false">(Pipeline!L153+SUM($E$44:L44))*M43</f>
        <v>12.1724358327346</v>
      </c>
    </row>
    <row r="43" customFormat="false" ht="17.15" hidden="false" customHeight="false" outlineLevel="0" collapsed="false">
      <c r="A43" s="5" t="s">
        <v>1424</v>
      </c>
      <c r="B43" s="0" t="s">
        <v>1429</v>
      </c>
      <c r="D43" s="23" t="str">
        <f aca="false">""</f>
        <v/>
      </c>
      <c r="E43" s="23" t="str">
        <f aca="false">""</f>
        <v/>
      </c>
      <c r="F43" s="23" t="str">
        <f aca="false">""</f>
        <v/>
      </c>
      <c r="G43" s="23" t="str">
        <f aca="false">""</f>
        <v/>
      </c>
      <c r="H43" s="23" t="str">
        <f aca="false">""</f>
        <v/>
      </c>
      <c r="I43" s="23" t="str">
        <f aca="false">""</f>
        <v/>
      </c>
      <c r="J43" s="23" t="n">
        <f aca="false">IFERROR(J42/(Pipeline!I153+SUM($E$44:I44)),g_lt)</f>
        <v>0.229611000535759</v>
      </c>
      <c r="K43" s="23" t="n">
        <f aca="false">$J$43+(g_lt-$J$43)*(2030-2029)/3</f>
        <v>0.186407333690506</v>
      </c>
      <c r="L43" s="23" t="n">
        <f aca="false">$J$43+(g_lt-$J$43)*(2031-2029)/3</f>
        <v>0.143203666845253</v>
      </c>
      <c r="M43" s="23" t="n">
        <f aca="false">$J$43+(g_lt-$J$43)*(2032-2029)/3</f>
        <v>0.1</v>
      </c>
    </row>
    <row r="44" customFormat="false" ht="17.15" hidden="false" customHeight="false" outlineLevel="0" collapsed="false">
      <c r="A44" s="5" t="s">
        <v>1425</v>
      </c>
      <c r="B44" s="0" t="s">
        <v>1429</v>
      </c>
      <c r="D44" s="24" t="n">
        <f aca="false">0</f>
        <v>0</v>
      </c>
      <c r="E44" s="24" t="n">
        <f aca="false">E42-E$4</f>
        <v>0</v>
      </c>
      <c r="F44" s="24" t="n">
        <f aca="false">F42-F$4</f>
        <v>0</v>
      </c>
      <c r="G44" s="24" t="n">
        <f aca="false">G42-G$4</f>
        <v>0</v>
      </c>
      <c r="H44" s="24" t="n">
        <f aca="false">H42-H$4</f>
        <v>14.6696088015299</v>
      </c>
      <c r="I44" s="24" t="n">
        <f aca="false">I42-I$4</f>
        <v>-1.40967171463251</v>
      </c>
      <c r="J44" s="24" t="n">
        <f aca="false">J42-J$4</f>
        <v>10.823859531944</v>
      </c>
      <c r="K44" s="24" t="n">
        <f aca="false">K42-K$4</f>
        <v>9.08744866387885</v>
      </c>
      <c r="L44" s="24" t="n">
        <f aca="false">L42-L$4</f>
        <v>13.0939832245922</v>
      </c>
      <c r="M44" s="24" t="n">
        <f aca="false">M42-M$4</f>
        <v>9.80320506350382</v>
      </c>
    </row>
    <row r="45" customFormat="false" ht="17.15" hidden="false" customHeight="false" outlineLevel="0" collapsed="false">
      <c r="A45" s="21" t="s">
        <v>1267</v>
      </c>
      <c r="B45" s="20" t="s">
        <v>1429</v>
      </c>
      <c r="C45" s="20" t="s">
        <v>1263</v>
      </c>
      <c r="D45" s="25" t="n">
        <f aca="false">Pipeline!D153+SUMPRODUCT($E$44:$M$44,Pipeline!$E$108:$M$108)</f>
        <v>0.630578355681972</v>
      </c>
      <c r="E45" s="25" t="n">
        <f aca="false">Pipeline!E153+SUMPRODUCT($E$44:$M$44,Pipeline!$E$109:$M$109)</f>
        <v>6.20938570515285</v>
      </c>
      <c r="F45" s="25" t="n">
        <f aca="false">Pipeline!F153+SUMPRODUCT($E$44:$M$44,Pipeline!$E$110:$M$110)</f>
        <v>25.3371433333333</v>
      </c>
      <c r="G45" s="25" t="n">
        <f aca="false">Pipeline!G153+SUMPRODUCT($E$44:$M$44,Pipeline!$E$111:$M$111)</f>
        <v>37.6525147943925</v>
      </c>
      <c r="H45" s="25" t="n">
        <f aca="false">Pipeline!H153+SUMPRODUCT($E$44:$M$44,Pipeline!$E$112:$M$112)</f>
        <v>57.8097687204296</v>
      </c>
      <c r="I45" s="25" t="n">
        <f aca="false">Pipeline!I153+SUMPRODUCT($E$44:$M$44,Pipeline!$E$113:$M$113)</f>
        <v>72.9881444000394</v>
      </c>
      <c r="J45" s="25" t="n">
        <f aca="false">Pipeline!J153+SUMPRODUCT($E$44:$M$44,Pipeline!$E$114:$M$114)</f>
        <v>89.7470252629809</v>
      </c>
      <c r="K45" s="25" t="n">
        <f aca="false">Pipeline!K153+SUMPRODUCT($E$44:$M$44,Pipeline!$E$115:$M$115)</f>
        <v>106.476528948908</v>
      </c>
      <c r="L45" s="25" t="n">
        <f aca="false">Pipeline!L153+SUMPRODUCT($E$44:$M$44,Pipeline!$E$116:$M$116)</f>
        <v>121.724358327346</v>
      </c>
      <c r="M45" s="25" t="n">
        <f aca="false">Pipeline!M153+SUMPRODUCT($E$44:$M$44,Pipeline!$E$117:$M$117)</f>
        <v>133.896794160081</v>
      </c>
    </row>
    <row r="46" customFormat="false" ht="17.15" hidden="false" customHeight="false" outlineLevel="0" collapsed="false">
      <c r="A46" s="21" t="s">
        <v>1267</v>
      </c>
      <c r="B46" s="20" t="s">
        <v>1429</v>
      </c>
      <c r="C46" s="20" t="s">
        <v>1264</v>
      </c>
      <c r="D46" s="25" t="n">
        <f aca="false">Pipeline!D154+SUMPRODUCT($E$44:$M$44,Pipeline!$E$120:$M$120)</f>
        <v>0.630578355681972</v>
      </c>
      <c r="E46" s="25" t="n">
        <f aca="false">Pipeline!E154+SUMPRODUCT($E$44:$M$44,Pipeline!$E$121:$M$121)</f>
        <v>6.20938570515285</v>
      </c>
      <c r="F46" s="25" t="n">
        <f aca="false">Pipeline!F154+SUMPRODUCT($E$44:$M$44,Pipeline!$E$122:$M$122)</f>
        <v>25.3371433333333</v>
      </c>
      <c r="G46" s="25" t="n">
        <f aca="false">Pipeline!G154+SUMPRODUCT($E$44:$M$44,Pipeline!$E$123:$M$123)</f>
        <v>36.988055095226</v>
      </c>
      <c r="H46" s="25" t="n">
        <f aca="false">Pipeline!H154+SUMPRODUCT($E$44:$M$44,Pipeline!$E$124:$M$124)</f>
        <v>54.2999826167064</v>
      </c>
      <c r="I46" s="25" t="n">
        <f aca="false">Pipeline!I154+SUMPRODUCT($E$44:$M$44,Pipeline!$E$125:$M$125)</f>
        <v>68.5208786561077</v>
      </c>
      <c r="J46" s="25" t="n">
        <f aca="false">Pipeline!J154+SUMPRODUCT($E$44:$M$44,Pipeline!$E$126:$M$126)</f>
        <v>86.5018461119662</v>
      </c>
      <c r="K46" s="25" t="n">
        <f aca="false">Pipeline!K154+SUMPRODUCT($E$44:$M$44,Pipeline!$E$127:$M$127)</f>
        <v>103.003565803871</v>
      </c>
      <c r="L46" s="25" t="n">
        <f aca="false">Pipeline!L154+SUMPRODUCT($E$44:$M$44,Pipeline!$E$128:$M$128)</f>
        <v>119.055988186119</v>
      </c>
      <c r="M46" s="25" t="n">
        <f aca="false">Pipeline!M154+SUMPRODUCT($E$44:$M$44,Pipeline!$E$129:$M$129)</f>
        <v>131.766617889352</v>
      </c>
    </row>
    <row r="47" customFormat="false" ht="17.15" hidden="false" customHeight="false" outlineLevel="0" collapsed="false">
      <c r="A47" s="21" t="s">
        <v>1267</v>
      </c>
      <c r="B47" s="20" t="s">
        <v>1429</v>
      </c>
      <c r="C47" s="20" t="s">
        <v>1265</v>
      </c>
      <c r="D47" s="25" t="n">
        <f aca="false">Pipeline!D155+SUMPRODUCT($E$44:$M$44,Pipeline!$E$132:$M$132)</f>
        <v>0.630578355681972</v>
      </c>
      <c r="E47" s="25" t="n">
        <f aca="false">Pipeline!E155+SUMPRODUCT($E$44:$M$44,Pipeline!$E$133:$M$133)</f>
        <v>6.20938570515285</v>
      </c>
      <c r="F47" s="25" t="n">
        <f aca="false">Pipeline!F155+SUMPRODUCT($E$44:$M$44,Pipeline!$E$134:$M$134)</f>
        <v>25.3371433333333</v>
      </c>
      <c r="G47" s="25" t="n">
        <f aca="false">Pipeline!G155+SUMPRODUCT($E$44:$M$44,Pipeline!$E$135:$M$135)</f>
        <v>36.988055095226</v>
      </c>
      <c r="H47" s="25" t="n">
        <f aca="false">Pipeline!H155+SUMPRODUCT($E$44:$M$44,Pipeline!$E$136:$M$136)</f>
        <v>47.6909154877809</v>
      </c>
      <c r="I47" s="25" t="n">
        <f aca="false">Pipeline!I155+SUMPRODUCT($E$44:$M$44,Pipeline!$E$137:$M$137)</f>
        <v>63.5522402403472</v>
      </c>
      <c r="J47" s="25" t="n">
        <f aca="false">Pipeline!J155+SUMPRODUCT($E$44:$M$44,Pipeline!$E$138:$M$138)</f>
        <v>84.7364998143935</v>
      </c>
      <c r="K47" s="25" t="n">
        <f aca="false">Pipeline!K155+SUMPRODUCT($E$44:$M$44,Pipeline!$E$139:$M$139)</f>
        <v>103.003565803871</v>
      </c>
      <c r="L47" s="25" t="n">
        <f aca="false">Pipeline!L155+SUMPRODUCT($E$44:$M$44,Pipeline!$E$140:$M$140)</f>
        <v>119.055988186119</v>
      </c>
      <c r="M47" s="25" t="n">
        <f aca="false">Pipeline!M155+SUMPRODUCT($E$44:$M$44,Pipeline!$E$141:$M$141)</f>
        <v>131.766617889352</v>
      </c>
    </row>
    <row r="48" customFormat="false" ht="17.15" hidden="false" customHeight="false" outlineLevel="0" collapsed="false">
      <c r="A48" s="5" t="s">
        <v>1159</v>
      </c>
      <c r="B48" s="0" t="s">
        <v>1429</v>
      </c>
      <c r="C48" s="0" t="s">
        <v>1263</v>
      </c>
      <c r="D48" s="24" t="str">
        <f aca="false">""</f>
        <v/>
      </c>
      <c r="E48" s="24" t="n">
        <f aca="false">(D45+E45)/2</f>
        <v>3.41998203041741</v>
      </c>
      <c r="F48" s="24" t="n">
        <f aca="false">(E45+F45)/2</f>
        <v>15.7732645192431</v>
      </c>
      <c r="G48" s="24" t="n">
        <f aca="false">(F45+G45)/2</f>
        <v>31.4948290638629</v>
      </c>
      <c r="H48" s="24" t="n">
        <f aca="false">(G45+H45)/2</f>
        <v>47.7311417574111</v>
      </c>
      <c r="I48" s="24" t="n">
        <f aca="false">(H45+I45)/2</f>
        <v>65.3989565602345</v>
      </c>
      <c r="J48" s="24" t="n">
        <f aca="false">(I45+J45)/2</f>
        <v>81.3675848315102</v>
      </c>
      <c r="K48" s="24" t="n">
        <f aca="false">(J45+K45)/2</f>
        <v>98.1117771059443</v>
      </c>
      <c r="L48" s="24" t="n">
        <f aca="false">(K45+L45)/2</f>
        <v>114.100443638127</v>
      </c>
      <c r="M48" s="24" t="n">
        <f aca="false">(L45+M45)/2</f>
        <v>127.810576243713</v>
      </c>
    </row>
    <row r="49" customFormat="false" ht="17.15" hidden="false" customHeight="false" outlineLevel="0" collapsed="false">
      <c r="A49" s="5" t="s">
        <v>1159</v>
      </c>
      <c r="B49" s="0" t="s">
        <v>1429</v>
      </c>
      <c r="C49" s="0" t="s">
        <v>1264</v>
      </c>
      <c r="D49" s="24" t="str">
        <f aca="false">""</f>
        <v/>
      </c>
      <c r="E49" s="24" t="n">
        <f aca="false">(D46+E46)/2</f>
        <v>3.41998203041741</v>
      </c>
      <c r="F49" s="24" t="n">
        <f aca="false">(E46+F46)/2</f>
        <v>15.7732645192431</v>
      </c>
      <c r="G49" s="24" t="n">
        <f aca="false">(F46+G46)/2</f>
        <v>31.1625992142797</v>
      </c>
      <c r="H49" s="24" t="n">
        <f aca="false">(G46+H46)/2</f>
        <v>45.6440188559662</v>
      </c>
      <c r="I49" s="24" t="n">
        <f aca="false">(H46+I46)/2</f>
        <v>61.4104306364071</v>
      </c>
      <c r="J49" s="24" t="n">
        <f aca="false">(I46+J46)/2</f>
        <v>77.5113623840369</v>
      </c>
      <c r="K49" s="24" t="n">
        <f aca="false">(J46+K46)/2</f>
        <v>94.7527059579183</v>
      </c>
      <c r="L49" s="24" t="n">
        <f aca="false">(K46+L46)/2</f>
        <v>111.029776994995</v>
      </c>
      <c r="M49" s="24" t="n">
        <f aca="false">(L46+M46)/2</f>
        <v>125.411303037736</v>
      </c>
    </row>
    <row r="50" customFormat="false" ht="17.15" hidden="false" customHeight="false" outlineLevel="0" collapsed="false">
      <c r="A50" s="5" t="s">
        <v>1159</v>
      </c>
      <c r="B50" s="0" t="s">
        <v>1429</v>
      </c>
      <c r="C50" s="0" t="s">
        <v>1265</v>
      </c>
      <c r="D50" s="24" t="str">
        <f aca="false">""</f>
        <v/>
      </c>
      <c r="E50" s="24" t="n">
        <f aca="false">(D47+E47)/2</f>
        <v>3.41998203041741</v>
      </c>
      <c r="F50" s="24" t="n">
        <f aca="false">(E47+F47)/2</f>
        <v>15.7732645192431</v>
      </c>
      <c r="G50" s="24" t="n">
        <f aca="false">(F47+G47)/2</f>
        <v>31.1625992142797</v>
      </c>
      <c r="H50" s="24" t="n">
        <f aca="false">(G47+H47)/2</f>
        <v>42.3394852915034</v>
      </c>
      <c r="I50" s="24" t="n">
        <f aca="false">(H47+I47)/2</f>
        <v>55.621577864064</v>
      </c>
      <c r="J50" s="24" t="n">
        <f aca="false">(I47+J47)/2</f>
        <v>74.1443700273703</v>
      </c>
      <c r="K50" s="24" t="n">
        <f aca="false">(J47+K47)/2</f>
        <v>93.870032809132</v>
      </c>
      <c r="L50" s="24" t="n">
        <f aca="false">(K47+L47)/2</f>
        <v>111.029776994995</v>
      </c>
      <c r="M50" s="24" t="n">
        <f aca="false">(L47+M47)/2</f>
        <v>125.411303037736</v>
      </c>
    </row>
    <row r="51" customFormat="false" ht="17.15" hidden="false" customHeight="false" outlineLevel="0" collapsed="false">
      <c r="A51" s="5" t="s">
        <v>1268</v>
      </c>
      <c r="B51" s="0" t="s">
        <v>1429</v>
      </c>
      <c r="C51" s="0" t="s">
        <v>1263</v>
      </c>
      <c r="D51" s="24" t="n">
        <f aca="false">0</f>
        <v>0</v>
      </c>
      <c r="E51" s="24" t="n">
        <f aca="false">E45-D45-E$6</f>
        <v>1.61980834349181</v>
      </c>
      <c r="F51" s="24" t="n">
        <f aca="false">F45-E45-F$6</f>
        <v>9.04912429484715</v>
      </c>
      <c r="G51" s="24" t="n">
        <f aca="false">G45-F45-G$6</f>
        <v>12.3153714610592</v>
      </c>
      <c r="H51" s="24" t="n">
        <f aca="false">H45-G45-H$6</f>
        <v>20.1572539260371</v>
      </c>
      <c r="I51" s="24" t="n">
        <f aca="false">I45-H45-I$6</f>
        <v>15.1783756796099</v>
      </c>
      <c r="J51" s="24" t="n">
        <f aca="false">J45-I45-J$6</f>
        <v>16.7588808629415</v>
      </c>
      <c r="K51" s="24" t="n">
        <f aca="false">K45-J45-K$6</f>
        <v>16.7295036859268</v>
      </c>
      <c r="L51" s="24" t="n">
        <f aca="false">L45-K45-L$6</f>
        <v>15.2478293784383</v>
      </c>
      <c r="M51" s="24" t="n">
        <f aca="false">M45-L45-M$6</f>
        <v>12.1724358327346</v>
      </c>
    </row>
    <row r="52" customFormat="false" ht="17.15" hidden="false" customHeight="false" outlineLevel="0" collapsed="false">
      <c r="A52" s="5" t="s">
        <v>1268</v>
      </c>
      <c r="B52" s="0" t="s">
        <v>1429</v>
      </c>
      <c r="C52" s="0" t="s">
        <v>1264</v>
      </c>
      <c r="D52" s="24" t="n">
        <f aca="false">0</f>
        <v>0</v>
      </c>
      <c r="E52" s="24" t="n">
        <f aca="false">E46-D46-E$6</f>
        <v>1.61980834349181</v>
      </c>
      <c r="F52" s="24" t="n">
        <f aca="false">F46-E46-F$6</f>
        <v>9.04912429484715</v>
      </c>
      <c r="G52" s="24" t="n">
        <f aca="false">G46-F46-G$6</f>
        <v>11.6509117618926</v>
      </c>
      <c r="H52" s="24" t="n">
        <f aca="false">H46-G46-H$6</f>
        <v>17.3119275214805</v>
      </c>
      <c r="I52" s="24" t="n">
        <f aca="false">I46-H46-I$6</f>
        <v>14.2208960394013</v>
      </c>
      <c r="J52" s="24" t="n">
        <f aca="false">J46-I46-J$6</f>
        <v>17.9809674558585</v>
      </c>
      <c r="K52" s="24" t="n">
        <f aca="false">K46-J46-K$6</f>
        <v>16.5017196919043</v>
      </c>
      <c r="L52" s="24" t="n">
        <f aca="false">L46-K46-L$6</f>
        <v>16.0524223822488</v>
      </c>
      <c r="M52" s="24" t="n">
        <f aca="false">M46-L46-M$6</f>
        <v>12.7106297032328</v>
      </c>
    </row>
    <row r="53" customFormat="false" ht="17.15" hidden="false" customHeight="false" outlineLevel="0" collapsed="false">
      <c r="A53" s="5" t="s">
        <v>1268</v>
      </c>
      <c r="B53" s="0" t="s">
        <v>1429</v>
      </c>
      <c r="C53" s="0" t="s">
        <v>1265</v>
      </c>
      <c r="D53" s="24" t="n">
        <f aca="false">0</f>
        <v>0</v>
      </c>
      <c r="E53" s="24" t="n">
        <f aca="false">E47-D47-E$6</f>
        <v>1.61980834349181</v>
      </c>
      <c r="F53" s="24" t="n">
        <f aca="false">F47-E47-F$6</f>
        <v>9.04912429484715</v>
      </c>
      <c r="G53" s="24" t="n">
        <f aca="false">G47-F47-G$6</f>
        <v>11.6509117618926</v>
      </c>
      <c r="H53" s="24" t="n">
        <f aca="false">H47-G47-H$6</f>
        <v>10.7028603925549</v>
      </c>
      <c r="I53" s="24" t="n">
        <f aca="false">I47-H47-I$6</f>
        <v>15.8613247525663</v>
      </c>
      <c r="J53" s="24" t="n">
        <f aca="false">J47-I47-J$6</f>
        <v>21.1842595740463</v>
      </c>
      <c r="K53" s="24" t="n">
        <f aca="false">K47-J47-K$6</f>
        <v>18.267065989477</v>
      </c>
      <c r="L53" s="24" t="n">
        <f aca="false">L47-K47-L$6</f>
        <v>16.0524223822488</v>
      </c>
      <c r="M53" s="24" t="n">
        <f aca="false">M47-L47-M$6</f>
        <v>12.7106297032328</v>
      </c>
    </row>
    <row r="54" customFormat="false" ht="17.15" hidden="false" customHeight="false" outlineLevel="0" collapsed="false">
      <c r="A54" s="5" t="s">
        <v>1269</v>
      </c>
      <c r="B54" s="0" t="s">
        <v>1429</v>
      </c>
      <c r="C54" s="0" t="s">
        <v>1264</v>
      </c>
      <c r="D54" s="24" t="n">
        <f aca="false">D45-D46</f>
        <v>0</v>
      </c>
      <c r="E54" s="24" t="n">
        <f aca="false">E45-E46</f>
        <v>0</v>
      </c>
      <c r="F54" s="24" t="n">
        <f aca="false">F45-F46</f>
        <v>0</v>
      </c>
      <c r="G54" s="24" t="n">
        <f aca="false">G45-G46</f>
        <v>0.66445969916655</v>
      </c>
      <c r="H54" s="24" t="n">
        <f aca="false">H45-H46</f>
        <v>3.50978610372314</v>
      </c>
      <c r="I54" s="24" t="n">
        <f aca="false">I45-I46</f>
        <v>4.46726574393173</v>
      </c>
      <c r="J54" s="24" t="n">
        <f aca="false">J45-J46</f>
        <v>3.24517915101477</v>
      </c>
      <c r="K54" s="24" t="n">
        <f aca="false">K45-K46</f>
        <v>3.47296314503718</v>
      </c>
      <c r="L54" s="24" t="n">
        <f aca="false">L45-L46</f>
        <v>2.6683701412267</v>
      </c>
      <c r="M54" s="24" t="n">
        <f aca="false">M45-M46</f>
        <v>2.13017627072855</v>
      </c>
    </row>
    <row r="55" customFormat="false" ht="17.15" hidden="false" customHeight="false" outlineLevel="0" collapsed="false">
      <c r="A55" s="5" t="s">
        <v>1269</v>
      </c>
      <c r="B55" s="0" t="s">
        <v>1429</v>
      </c>
      <c r="C55" s="0" t="s">
        <v>1265</v>
      </c>
      <c r="D55" s="24" t="n">
        <f aca="false">D45-D47</f>
        <v>0</v>
      </c>
      <c r="E55" s="24" t="n">
        <f aca="false">E45-E47</f>
        <v>0</v>
      </c>
      <c r="F55" s="24" t="n">
        <f aca="false">F45-F47</f>
        <v>0</v>
      </c>
      <c r="G55" s="24" t="n">
        <f aca="false">G45-G47</f>
        <v>0.66445969916655</v>
      </c>
      <c r="H55" s="24" t="n">
        <f aca="false">H45-H47</f>
        <v>10.1188532326487</v>
      </c>
      <c r="I55" s="24" t="n">
        <f aca="false">I45-I47</f>
        <v>9.43590415969224</v>
      </c>
      <c r="J55" s="24" t="n">
        <f aca="false">J45-J47</f>
        <v>5.01052544858746</v>
      </c>
      <c r="K55" s="24" t="n">
        <f aca="false">K45-K47</f>
        <v>3.47296314503718</v>
      </c>
      <c r="L55" s="24" t="n">
        <f aca="false">L45-L47</f>
        <v>2.6683701412267</v>
      </c>
      <c r="M55" s="24" t="n">
        <f aca="false">M45-M47</f>
        <v>2.13017627072855</v>
      </c>
    </row>
    <row r="57" customFormat="false" ht="19.4" hidden="false" customHeight="false" outlineLevel="0" collapsed="false">
      <c r="A57" s="34" t="s">
        <v>1430</v>
      </c>
    </row>
    <row r="58" customFormat="false" ht="17.15" hidden="false" customHeight="false" outlineLevel="0" collapsed="false">
      <c r="A58" s="21" t="s">
        <v>1431</v>
      </c>
    </row>
    <row r="59" customFormat="false" ht="17.15" hidden="false" customHeight="false" outlineLevel="0" collapsed="false">
      <c r="A59" s="5" t="s">
        <v>1422</v>
      </c>
      <c r="B59" s="0" t="s">
        <v>1423</v>
      </c>
      <c r="C59" s="0" t="s">
        <v>1263</v>
      </c>
      <c r="D59" s="24" t="n">
        <f aca="false">0</f>
        <v>0</v>
      </c>
      <c r="E59" s="24" t="n">
        <f aca="false">E$4</f>
        <v>1.61980834349181</v>
      </c>
      <c r="F59" s="24" t="n">
        <f aca="false">F$4</f>
        <v>9.04912429484715</v>
      </c>
      <c r="G59" s="24" t="n">
        <f aca="false">G$4</f>
        <v>12.3153714610592</v>
      </c>
      <c r="H59" s="24" t="n">
        <f aca="false">H$4</f>
        <v>5.48764512450717</v>
      </c>
      <c r="I59" s="24" t="n">
        <f aca="false">I$4*SIL_In!$I$27</f>
        <v>16.5880473942424</v>
      </c>
      <c r="J59" s="24" t="n">
        <f aca="false">J$4*SIL_In!$J$27</f>
        <v>5.93502133099746</v>
      </c>
      <c r="K59" s="24" t="n">
        <f aca="false">(Pipeline!J153+SUM($E$61:J61))*K60</f>
        <v>6.53861925191925</v>
      </c>
      <c r="L59" s="24" t="n">
        <f aca="false">(Pipeline!K153+SUM($E$61:K61))*L60</f>
        <v>7.20495364687336</v>
      </c>
      <c r="M59" s="24" t="n">
        <f aca="false">(Pipeline!L153+SUM($E$61:L61))*M60</f>
        <v>7.94068015429321</v>
      </c>
    </row>
    <row r="60" customFormat="false" ht="17.15" hidden="false" customHeight="false" outlineLevel="0" collapsed="false">
      <c r="A60" s="5" t="s">
        <v>1424</v>
      </c>
      <c r="B60" s="0" t="s">
        <v>1423</v>
      </c>
      <c r="D60" s="23" t="str">
        <f aca="false">""</f>
        <v/>
      </c>
      <c r="E60" s="23" t="str">
        <f aca="false">""</f>
        <v/>
      </c>
      <c r="F60" s="23" t="str">
        <f aca="false">""</f>
        <v/>
      </c>
      <c r="G60" s="23" t="str">
        <f aca="false">""</f>
        <v/>
      </c>
      <c r="H60" s="23" t="str">
        <f aca="false">""</f>
        <v/>
      </c>
      <c r="I60" s="23" t="str">
        <f aca="false">""</f>
        <v/>
      </c>
      <c r="J60" s="23" t="n">
        <f aca="false">IFERROR(J59/(Pipeline!I153+SUM($E$61:I61)),g_lt)</f>
        <v>0.0993671432306921</v>
      </c>
      <c r="K60" s="23" t="n">
        <f aca="false">$J$60+(g_lt-$J$60)*(2030-2029)/3</f>
        <v>0.0995780954871281</v>
      </c>
      <c r="L60" s="23" t="n">
        <f aca="false">$J$60+(g_lt-$J$60)*(2031-2029)/3</f>
        <v>0.099789047743564</v>
      </c>
      <c r="M60" s="23" t="n">
        <f aca="false">$J$60+(g_lt-$J$60)*(2032-2029)/3</f>
        <v>0.1</v>
      </c>
    </row>
    <row r="61" customFormat="false" ht="17.15" hidden="false" customHeight="false" outlineLevel="0" collapsed="false">
      <c r="A61" s="5" t="s">
        <v>1425</v>
      </c>
      <c r="B61" s="0" t="s">
        <v>1423</v>
      </c>
      <c r="D61" s="24" t="n">
        <f aca="false">0</f>
        <v>0</v>
      </c>
      <c r="E61" s="24" t="n">
        <f aca="false">E59-E$4</f>
        <v>0</v>
      </c>
      <c r="F61" s="24" t="n">
        <f aca="false">F59-F$4</f>
        <v>0</v>
      </c>
      <c r="G61" s="24" t="n">
        <f aca="false">G59-G$4</f>
        <v>0</v>
      </c>
      <c r="H61" s="24" t="n">
        <f aca="false">H59-H$4</f>
        <v>0</v>
      </c>
      <c r="I61" s="24" t="n">
        <f aca="false">I59-I$4</f>
        <v>0</v>
      </c>
      <c r="J61" s="24" t="n">
        <f aca="false">J59-J$4</f>
        <v>0</v>
      </c>
      <c r="K61" s="24" t="n">
        <f aca="false">K59-K$4</f>
        <v>-1.10343577012865</v>
      </c>
      <c r="L61" s="24" t="n">
        <f aca="false">L59-L$4</f>
        <v>5.05110749302721</v>
      </c>
      <c r="M61" s="24" t="n">
        <f aca="false">M59-M$4</f>
        <v>5.57144938506243</v>
      </c>
    </row>
    <row r="62" customFormat="false" ht="17.15" hidden="false" customHeight="false" outlineLevel="0" collapsed="false">
      <c r="A62" s="21" t="s">
        <v>1267</v>
      </c>
      <c r="B62" s="20" t="s">
        <v>1423</v>
      </c>
      <c r="C62" s="20" t="s">
        <v>1263</v>
      </c>
      <c r="D62" s="25" t="n">
        <f aca="false">Pipeline!D153+SUMPRODUCT($E$61:$M$61,Pipeline!$E$108:$M$108)</f>
        <v>0.630578355681972</v>
      </c>
      <c r="E62" s="25" t="n">
        <f aca="false">Pipeline!E153+SUMPRODUCT($E$61:$M$61,Pipeline!$E$109:$M$109)</f>
        <v>6.20938570515285</v>
      </c>
      <c r="F62" s="25" t="n">
        <f aca="false">Pipeline!F153+SUMPRODUCT($E$61:$M$61,Pipeline!$E$110:$M$110)</f>
        <v>25.3371433333333</v>
      </c>
      <c r="G62" s="25" t="n">
        <f aca="false">Pipeline!G153+SUMPRODUCT($E$61:$M$61,Pipeline!$E$111:$M$111)</f>
        <v>37.6525147943925</v>
      </c>
      <c r="H62" s="25" t="n">
        <f aca="false">Pipeline!H153+SUMPRODUCT($E$61:$M$61,Pipeline!$E$112:$M$112)</f>
        <v>43.1401599188997</v>
      </c>
      <c r="I62" s="25" t="n">
        <f aca="false">Pipeline!I153+SUMPRODUCT($E$61:$M$61,Pipeline!$E$113:$M$113)</f>
        <v>59.7282073131421</v>
      </c>
      <c r="J62" s="25" t="n">
        <f aca="false">Pipeline!J153+SUMPRODUCT($E$61:$M$61,Pipeline!$E$114:$M$114)</f>
        <v>65.6632286441395</v>
      </c>
      <c r="K62" s="25" t="n">
        <f aca="false">Pipeline!K153+SUMPRODUCT($E$61:$M$61,Pipeline!$E$115:$M$115)</f>
        <v>72.2018478960588</v>
      </c>
      <c r="L62" s="25" t="n">
        <f aca="false">Pipeline!L153+SUMPRODUCT($E$61:$M$61,Pipeline!$E$116:$M$116)</f>
        <v>79.4068015429321</v>
      </c>
      <c r="M62" s="25" t="n">
        <f aca="false">Pipeline!M153+SUMPRODUCT($E$61:$M$61,Pipeline!$E$117:$M$117)</f>
        <v>87.3474816972253</v>
      </c>
    </row>
    <row r="63" customFormat="false" ht="17.15" hidden="false" customHeight="false" outlineLevel="0" collapsed="false">
      <c r="A63" s="21" t="s">
        <v>1267</v>
      </c>
      <c r="B63" s="20" t="s">
        <v>1423</v>
      </c>
      <c r="C63" s="20" t="s">
        <v>1264</v>
      </c>
      <c r="D63" s="25" t="n">
        <f aca="false">Pipeline!D154+SUMPRODUCT($E$61:$M$61,Pipeline!$E$120:$M$120)</f>
        <v>0.630578355681972</v>
      </c>
      <c r="E63" s="25" t="n">
        <f aca="false">Pipeline!E154+SUMPRODUCT($E$61:$M$61,Pipeline!$E$121:$M$121)</f>
        <v>6.20938570515285</v>
      </c>
      <c r="F63" s="25" t="n">
        <f aca="false">Pipeline!F154+SUMPRODUCT($E$61:$M$61,Pipeline!$E$122:$M$122)</f>
        <v>25.3371433333333</v>
      </c>
      <c r="G63" s="25" t="n">
        <f aca="false">Pipeline!G154+SUMPRODUCT($E$61:$M$61,Pipeline!$E$123:$M$123)</f>
        <v>36.988055095226</v>
      </c>
      <c r="H63" s="25" t="n">
        <f aca="false">Pipeline!H154+SUMPRODUCT($E$61:$M$61,Pipeline!$E$124:$M$124)</f>
        <v>42.1975553554443</v>
      </c>
      <c r="I63" s="25" t="n">
        <f aca="false">Pipeline!I154+SUMPRODUCT($E$61:$M$61,Pipeline!$E$125:$M$125)</f>
        <v>55.0142490191496</v>
      </c>
      <c r="J63" s="25" t="n">
        <f aca="false">Pipeline!J154+SUMPRODUCT($E$61:$M$61,Pipeline!$E$126:$M$126)</f>
        <v>64.3122249112149</v>
      </c>
      <c r="K63" s="25" t="n">
        <f aca="false">Pipeline!K154+SUMPRODUCT($E$61:$M$61,Pipeline!$E$127:$M$127)</f>
        <v>70.5122895269729</v>
      </c>
      <c r="L63" s="25" t="n">
        <f aca="false">Pipeline!L154+SUMPRODUCT($E$61:$M$61,Pipeline!$E$128:$M$128)</f>
        <v>78.1459346547293</v>
      </c>
      <c r="M63" s="25" t="n">
        <f aca="false">Pipeline!M154+SUMPRODUCT($E$61:$M$61,Pipeline!$E$129:$M$129)</f>
        <v>85.957862670224</v>
      </c>
    </row>
    <row r="64" customFormat="false" ht="17.15" hidden="false" customHeight="false" outlineLevel="0" collapsed="false">
      <c r="A64" s="21" t="s">
        <v>1267</v>
      </c>
      <c r="B64" s="20" t="s">
        <v>1423</v>
      </c>
      <c r="C64" s="20" t="s">
        <v>1265</v>
      </c>
      <c r="D64" s="25" t="n">
        <f aca="false">Pipeline!D155+SUMPRODUCT($E$61:$M$61,Pipeline!$E$132:$M$132)</f>
        <v>0.630578355681972</v>
      </c>
      <c r="E64" s="25" t="n">
        <f aca="false">Pipeline!E155+SUMPRODUCT($E$61:$M$61,Pipeline!$E$133:$M$133)</f>
        <v>6.20938570515285</v>
      </c>
      <c r="F64" s="25" t="n">
        <f aca="false">Pipeline!F155+SUMPRODUCT($E$61:$M$61,Pipeline!$E$134:$M$134)</f>
        <v>25.3371433333333</v>
      </c>
      <c r="G64" s="25" t="n">
        <f aca="false">Pipeline!G155+SUMPRODUCT($E$61:$M$61,Pipeline!$E$135:$M$135)</f>
        <v>36.988055095226</v>
      </c>
      <c r="H64" s="25" t="n">
        <f aca="false">Pipeline!H155+SUMPRODUCT($E$61:$M$61,Pipeline!$E$136:$M$136)</f>
        <v>40.4294591310236</v>
      </c>
      <c r="I64" s="25" t="n">
        <f aca="false">Pipeline!I155+SUMPRODUCT($E$61:$M$61,Pipeline!$E$137:$M$137)</f>
        <v>50.6072915536675</v>
      </c>
      <c r="J64" s="25" t="n">
        <f aca="false">Pipeline!J155+SUMPRODUCT($E$61:$M$61,Pipeline!$E$138:$M$138)</f>
        <v>62.448201593618</v>
      </c>
      <c r="K64" s="25" t="n">
        <f aca="false">Pipeline!K155+SUMPRODUCT($E$61:$M$61,Pipeline!$E$139:$M$139)</f>
        <v>70.5122895269729</v>
      </c>
      <c r="L64" s="25" t="n">
        <f aca="false">Pipeline!L155+SUMPRODUCT($E$61:$M$61,Pipeline!$E$140:$M$140)</f>
        <v>78.1459346547293</v>
      </c>
      <c r="M64" s="25" t="n">
        <f aca="false">Pipeline!M155+SUMPRODUCT($E$61:$M$61,Pipeline!$E$141:$M$141)</f>
        <v>85.957862670224</v>
      </c>
    </row>
    <row r="65" customFormat="false" ht="17.15" hidden="false" customHeight="false" outlineLevel="0" collapsed="false">
      <c r="A65" s="5" t="s">
        <v>1159</v>
      </c>
      <c r="B65" s="0" t="s">
        <v>1423</v>
      </c>
      <c r="C65" s="0" t="s">
        <v>1263</v>
      </c>
      <c r="D65" s="24" t="str">
        <f aca="false">""</f>
        <v/>
      </c>
      <c r="E65" s="24" t="n">
        <f aca="false">(D62+E62)/2</f>
        <v>3.41998203041741</v>
      </c>
      <c r="F65" s="24" t="n">
        <f aca="false">(E62+F62)/2</f>
        <v>15.7732645192431</v>
      </c>
      <c r="G65" s="24" t="n">
        <f aca="false">(F62+G62)/2</f>
        <v>31.4948290638629</v>
      </c>
      <c r="H65" s="24" t="n">
        <f aca="false">(G62+H62)/2</f>
        <v>40.3963373566461</v>
      </c>
      <c r="I65" s="24" t="n">
        <f aca="false">(H62+I62)/2</f>
        <v>51.4341836160209</v>
      </c>
      <c r="J65" s="24" t="n">
        <f aca="false">(I62+J62)/2</f>
        <v>62.6957179786408</v>
      </c>
      <c r="K65" s="24" t="n">
        <f aca="false">(J62+K62)/2</f>
        <v>68.9325382700991</v>
      </c>
      <c r="L65" s="24" t="n">
        <f aca="false">(K62+L62)/2</f>
        <v>75.8043247194954</v>
      </c>
      <c r="M65" s="24" t="n">
        <f aca="false">(L62+M62)/2</f>
        <v>83.3771416200787</v>
      </c>
    </row>
    <row r="66" customFormat="false" ht="17.15" hidden="false" customHeight="false" outlineLevel="0" collapsed="false">
      <c r="A66" s="5" t="s">
        <v>1159</v>
      </c>
      <c r="B66" s="0" t="s">
        <v>1423</v>
      </c>
      <c r="C66" s="0" t="s">
        <v>1264</v>
      </c>
      <c r="D66" s="24" t="str">
        <f aca="false">""</f>
        <v/>
      </c>
      <c r="E66" s="24" t="n">
        <f aca="false">(D63+E63)/2</f>
        <v>3.41998203041741</v>
      </c>
      <c r="F66" s="24" t="n">
        <f aca="false">(E63+F63)/2</f>
        <v>15.7732645192431</v>
      </c>
      <c r="G66" s="24" t="n">
        <f aca="false">(F63+G63)/2</f>
        <v>31.1625992142797</v>
      </c>
      <c r="H66" s="24" t="n">
        <f aca="false">(G63+H63)/2</f>
        <v>39.5928052253351</v>
      </c>
      <c r="I66" s="24" t="n">
        <f aca="false">(H63+I63)/2</f>
        <v>48.605902187297</v>
      </c>
      <c r="J66" s="24" t="n">
        <f aca="false">(I63+J63)/2</f>
        <v>59.6632369651823</v>
      </c>
      <c r="K66" s="24" t="n">
        <f aca="false">(J63+K63)/2</f>
        <v>67.4122572190939</v>
      </c>
      <c r="L66" s="24" t="n">
        <f aca="false">(K63+L63)/2</f>
        <v>74.3291120908511</v>
      </c>
      <c r="M66" s="24" t="n">
        <f aca="false">(L63+M63)/2</f>
        <v>82.0518986624767</v>
      </c>
    </row>
    <row r="67" customFormat="false" ht="17.15" hidden="false" customHeight="false" outlineLevel="0" collapsed="false">
      <c r="A67" s="5" t="s">
        <v>1159</v>
      </c>
      <c r="B67" s="0" t="s">
        <v>1423</v>
      </c>
      <c r="C67" s="0" t="s">
        <v>1265</v>
      </c>
      <c r="D67" s="24" t="str">
        <f aca="false">""</f>
        <v/>
      </c>
      <c r="E67" s="24" t="n">
        <f aca="false">(D64+E64)/2</f>
        <v>3.41998203041741</v>
      </c>
      <c r="F67" s="24" t="n">
        <f aca="false">(E64+F64)/2</f>
        <v>15.7732645192431</v>
      </c>
      <c r="G67" s="24" t="n">
        <f aca="false">(F64+G64)/2</f>
        <v>31.1625992142797</v>
      </c>
      <c r="H67" s="24" t="n">
        <f aca="false">(G64+H64)/2</f>
        <v>38.7087571131248</v>
      </c>
      <c r="I67" s="24" t="n">
        <f aca="false">(H64+I64)/2</f>
        <v>45.5183753423455</v>
      </c>
      <c r="J67" s="24" t="n">
        <f aca="false">(I64+J64)/2</f>
        <v>56.5277465736427</v>
      </c>
      <c r="K67" s="24" t="n">
        <f aca="false">(J64+K64)/2</f>
        <v>66.4802455602954</v>
      </c>
      <c r="L67" s="24" t="n">
        <f aca="false">(K64+L64)/2</f>
        <v>74.3291120908511</v>
      </c>
      <c r="M67" s="24" t="n">
        <f aca="false">(L64+M64)/2</f>
        <v>82.0518986624767</v>
      </c>
    </row>
    <row r="68" customFormat="false" ht="17.15" hidden="false" customHeight="false" outlineLevel="0" collapsed="false">
      <c r="A68" s="5" t="s">
        <v>1268</v>
      </c>
      <c r="B68" s="0" t="s">
        <v>1423</v>
      </c>
      <c r="C68" s="0" t="s">
        <v>1263</v>
      </c>
      <c r="D68" s="24" t="n">
        <f aca="false">0</f>
        <v>0</v>
      </c>
      <c r="E68" s="24" t="n">
        <f aca="false">E62-D62-E$6</f>
        <v>1.61980834349181</v>
      </c>
      <c r="F68" s="24" t="n">
        <f aca="false">F62-E62-F$6</f>
        <v>9.04912429484715</v>
      </c>
      <c r="G68" s="24" t="n">
        <f aca="false">G62-F62-G$6</f>
        <v>12.3153714610592</v>
      </c>
      <c r="H68" s="24" t="n">
        <f aca="false">H62-G62-H$6</f>
        <v>5.48764512450717</v>
      </c>
      <c r="I68" s="24" t="n">
        <f aca="false">I62-H62-I$6</f>
        <v>16.5880473942424</v>
      </c>
      <c r="J68" s="24" t="n">
        <f aca="false">J62-I62-J$6</f>
        <v>5.93502133099746</v>
      </c>
      <c r="K68" s="24" t="n">
        <f aca="false">K62-J62-K$6</f>
        <v>6.53861925191924</v>
      </c>
      <c r="L68" s="24" t="n">
        <f aca="false">L62-K62-L$6</f>
        <v>7.20495364687336</v>
      </c>
      <c r="M68" s="24" t="n">
        <f aca="false">M62-L62-M$6</f>
        <v>7.9406801542932</v>
      </c>
    </row>
    <row r="69" customFormat="false" ht="17.15" hidden="false" customHeight="false" outlineLevel="0" collapsed="false">
      <c r="A69" s="5" t="s">
        <v>1268</v>
      </c>
      <c r="B69" s="0" t="s">
        <v>1423</v>
      </c>
      <c r="C69" s="0" t="s">
        <v>1264</v>
      </c>
      <c r="D69" s="24" t="n">
        <f aca="false">0</f>
        <v>0</v>
      </c>
      <c r="E69" s="24" t="n">
        <f aca="false">E63-D63-E$6</f>
        <v>1.61980834349181</v>
      </c>
      <c r="F69" s="24" t="n">
        <f aca="false">F63-E63-F$6</f>
        <v>9.04912429484715</v>
      </c>
      <c r="G69" s="24" t="n">
        <f aca="false">G63-F63-G$6</f>
        <v>11.6509117618926</v>
      </c>
      <c r="H69" s="24" t="n">
        <f aca="false">H63-G63-H$6</f>
        <v>5.20950026021831</v>
      </c>
      <c r="I69" s="24" t="n">
        <f aca="false">I63-H63-I$6</f>
        <v>12.8166936637054</v>
      </c>
      <c r="J69" s="24" t="n">
        <f aca="false">J63-I63-J$6</f>
        <v>9.29797589206531</v>
      </c>
      <c r="K69" s="24" t="n">
        <f aca="false">K63-J63-K$6</f>
        <v>6.20006461575795</v>
      </c>
      <c r="L69" s="24" t="n">
        <f aca="false">L63-K63-L$6</f>
        <v>7.63364512775638</v>
      </c>
      <c r="M69" s="24" t="n">
        <f aca="false">M63-L63-M$6</f>
        <v>7.81192801549474</v>
      </c>
    </row>
    <row r="70" customFormat="false" ht="17.15" hidden="false" customHeight="false" outlineLevel="0" collapsed="false">
      <c r="A70" s="5" t="s">
        <v>1268</v>
      </c>
      <c r="B70" s="0" t="s">
        <v>1423</v>
      </c>
      <c r="C70" s="0" t="s">
        <v>1265</v>
      </c>
      <c r="D70" s="24" t="n">
        <f aca="false">0</f>
        <v>0</v>
      </c>
      <c r="E70" s="24" t="n">
        <f aca="false">E64-D64-E$6</f>
        <v>1.61980834349181</v>
      </c>
      <c r="F70" s="24" t="n">
        <f aca="false">F64-E64-F$6</f>
        <v>9.04912429484715</v>
      </c>
      <c r="G70" s="24" t="n">
        <f aca="false">G64-F64-G$6</f>
        <v>11.6509117618926</v>
      </c>
      <c r="H70" s="24" t="n">
        <f aca="false">H64-G64-H$6</f>
        <v>3.4414040357976</v>
      </c>
      <c r="I70" s="24" t="n">
        <f aca="false">I64-H64-I$6</f>
        <v>10.1778324226439</v>
      </c>
      <c r="J70" s="24" t="n">
        <f aca="false">J64-I64-J$6</f>
        <v>11.8409100399505</v>
      </c>
      <c r="K70" s="24" t="n">
        <f aca="false">K64-J64-K$6</f>
        <v>8.06408793335491</v>
      </c>
      <c r="L70" s="24" t="n">
        <f aca="false">L64-K64-L$6</f>
        <v>7.63364512775638</v>
      </c>
      <c r="M70" s="24" t="n">
        <f aca="false">M64-L64-M$6</f>
        <v>7.81192801549474</v>
      </c>
    </row>
    <row r="71" customFormat="false" ht="17.15" hidden="false" customHeight="false" outlineLevel="0" collapsed="false">
      <c r="A71" s="5" t="s">
        <v>1269</v>
      </c>
      <c r="B71" s="0" t="s">
        <v>1423</v>
      </c>
      <c r="C71" s="0" t="s">
        <v>1264</v>
      </c>
      <c r="D71" s="24" t="n">
        <f aca="false">D62-D63</f>
        <v>0</v>
      </c>
      <c r="E71" s="24" t="n">
        <f aca="false">E62-E63</f>
        <v>0</v>
      </c>
      <c r="F71" s="24" t="n">
        <f aca="false">F62-F63</f>
        <v>0</v>
      </c>
      <c r="G71" s="24" t="n">
        <f aca="false">G62-G63</f>
        <v>0.66445969916655</v>
      </c>
      <c r="H71" s="24" t="n">
        <f aca="false">H62-H63</f>
        <v>0.942604563455411</v>
      </c>
      <c r="I71" s="24" t="n">
        <f aca="false">I62-I63</f>
        <v>4.71395829399242</v>
      </c>
      <c r="J71" s="24" t="n">
        <f aca="false">J62-J63</f>
        <v>1.35100373292457</v>
      </c>
      <c r="K71" s="24" t="n">
        <f aca="false">K62-K63</f>
        <v>1.68955836908586</v>
      </c>
      <c r="L71" s="24" t="n">
        <f aca="false">L62-L63</f>
        <v>1.26086688820284</v>
      </c>
      <c r="M71" s="24" t="n">
        <f aca="false">M62-M63</f>
        <v>1.3896190270013</v>
      </c>
    </row>
    <row r="72" customFormat="false" ht="17.15" hidden="false" customHeight="false" outlineLevel="0" collapsed="false">
      <c r="A72" s="5" t="s">
        <v>1269</v>
      </c>
      <c r="B72" s="0" t="s">
        <v>1423</v>
      </c>
      <c r="C72" s="0" t="s">
        <v>1265</v>
      </c>
      <c r="D72" s="24" t="n">
        <f aca="false">D62-D64</f>
        <v>0</v>
      </c>
      <c r="E72" s="24" t="n">
        <f aca="false">E62-E64</f>
        <v>0</v>
      </c>
      <c r="F72" s="24" t="n">
        <f aca="false">F62-F64</f>
        <v>0</v>
      </c>
      <c r="G72" s="24" t="n">
        <f aca="false">G62-G64</f>
        <v>0.66445969916655</v>
      </c>
      <c r="H72" s="24" t="n">
        <f aca="false">H62-H64</f>
        <v>2.71070078787612</v>
      </c>
      <c r="I72" s="24" t="n">
        <f aca="false">I62-I64</f>
        <v>9.12091575947456</v>
      </c>
      <c r="J72" s="24" t="n">
        <f aca="false">J62-J64</f>
        <v>3.21502705052153</v>
      </c>
      <c r="K72" s="24" t="n">
        <f aca="false">K62-K64</f>
        <v>1.68955836908586</v>
      </c>
      <c r="L72" s="24" t="n">
        <f aca="false">L62-L64</f>
        <v>1.26086688820284</v>
      </c>
      <c r="M72" s="24" t="n">
        <f aca="false">M62-M64</f>
        <v>1.3896190270013</v>
      </c>
    </row>
    <row r="74" customFormat="false" ht="17.15" hidden="false" customHeight="false" outlineLevel="0" collapsed="false">
      <c r="A74" s="21" t="s">
        <v>1432</v>
      </c>
    </row>
    <row r="75" customFormat="false" ht="17.15" hidden="false" customHeight="false" outlineLevel="0" collapsed="false">
      <c r="A75" s="5" t="s">
        <v>1422</v>
      </c>
      <c r="B75" s="0" t="s">
        <v>1427</v>
      </c>
      <c r="C75" s="0" t="s">
        <v>1263</v>
      </c>
      <c r="D75" s="24" t="n">
        <f aca="false">0</f>
        <v>0</v>
      </c>
      <c r="E75" s="24" t="n">
        <f aca="false">E$4</f>
        <v>1.61980834349181</v>
      </c>
      <c r="F75" s="24" t="n">
        <f aca="false">F$4</f>
        <v>9.04912429484715</v>
      </c>
      <c r="G75" s="24" t="n">
        <f aca="false">G$4</f>
        <v>12.3153714610592</v>
      </c>
      <c r="H75" s="24" t="n">
        <f aca="false">H$4</f>
        <v>5.48764512450717</v>
      </c>
      <c r="I75" s="24" t="n">
        <f aca="false">I$4*SIL_In!$I$28</f>
        <v>13.2704379153939</v>
      </c>
      <c r="J75" s="24" t="n">
        <f aca="false">J$4*SIL_In!$J$28</f>
        <v>5.04476813134784</v>
      </c>
      <c r="K75" s="24" t="n">
        <f aca="false">(Pipeline!J153+SUM($E$77:J77))*K76</f>
        <v>5.71245814313154</v>
      </c>
      <c r="L75" s="24" t="n">
        <f aca="false">(Pipeline!K153+SUM($E$77:K77))*L76</f>
        <v>6.48011522219174</v>
      </c>
      <c r="M75" s="24" t="n">
        <f aca="false">(Pipeline!L153+SUM($E$77:L77))*M76</f>
        <v>7.36479393309647</v>
      </c>
    </row>
    <row r="76" customFormat="false" ht="17.15" hidden="false" customHeight="false" outlineLevel="0" collapsed="false">
      <c r="A76" s="5" t="s">
        <v>1424</v>
      </c>
      <c r="B76" s="0" t="s">
        <v>1427</v>
      </c>
      <c r="D76" s="23" t="str">
        <f aca="false">""</f>
        <v/>
      </c>
      <c r="E76" s="23" t="str">
        <f aca="false">""</f>
        <v/>
      </c>
      <c r="F76" s="23" t="str">
        <f aca="false">""</f>
        <v/>
      </c>
      <c r="G76" s="23" t="str">
        <f aca="false">""</f>
        <v/>
      </c>
      <c r="H76" s="23" t="str">
        <f aca="false">""</f>
        <v/>
      </c>
      <c r="I76" s="23" t="str">
        <f aca="false">""</f>
        <v/>
      </c>
      <c r="J76" s="23" t="n">
        <f aca="false">IFERROR(J75/(Pipeline!I153+SUM($E$77:I77)),g_lt)</f>
        <v>0.0894294392370538</v>
      </c>
      <c r="K76" s="23" t="n">
        <f aca="false">$J$76+(g_lt-$J$76)*(2030-2029)/3</f>
        <v>0.0929529594913692</v>
      </c>
      <c r="L76" s="23" t="n">
        <f aca="false">$J$76+(g_lt-$J$76)*(2031-2029)/3</f>
        <v>0.0964764797456846</v>
      </c>
      <c r="M76" s="23" t="n">
        <f aca="false">$J$76+(g_lt-$J$76)*(2032-2029)/3</f>
        <v>0.1</v>
      </c>
    </row>
    <row r="77" customFormat="false" ht="17.15" hidden="false" customHeight="false" outlineLevel="0" collapsed="false">
      <c r="A77" s="5" t="s">
        <v>1425</v>
      </c>
      <c r="B77" s="0" t="s">
        <v>1427</v>
      </c>
      <c r="D77" s="24" t="n">
        <f aca="false">0</f>
        <v>0</v>
      </c>
      <c r="E77" s="24" t="n">
        <f aca="false">E75-E$4</f>
        <v>0</v>
      </c>
      <c r="F77" s="24" t="n">
        <f aca="false">F75-F$4</f>
        <v>0</v>
      </c>
      <c r="G77" s="24" t="n">
        <f aca="false">G75-G$4</f>
        <v>0</v>
      </c>
      <c r="H77" s="24" t="n">
        <f aca="false">H75-H$4</f>
        <v>0</v>
      </c>
      <c r="I77" s="24" t="n">
        <f aca="false">I75-I$4</f>
        <v>-3.31760947884847</v>
      </c>
      <c r="J77" s="24" t="n">
        <f aca="false">J75-J$4</f>
        <v>-0.890253199649619</v>
      </c>
      <c r="K77" s="24" t="n">
        <f aca="false">K75-K$4</f>
        <v>-1.92959687891636</v>
      </c>
      <c r="L77" s="24" t="n">
        <f aca="false">L75-L$4</f>
        <v>4.3262690683456</v>
      </c>
      <c r="M77" s="24" t="n">
        <f aca="false">M75-M$4</f>
        <v>4.99556316386569</v>
      </c>
    </row>
    <row r="78" customFormat="false" ht="17.15" hidden="false" customHeight="false" outlineLevel="0" collapsed="false">
      <c r="A78" s="21" t="s">
        <v>1267</v>
      </c>
      <c r="B78" s="20" t="s">
        <v>1427</v>
      </c>
      <c r="C78" s="20" t="s">
        <v>1263</v>
      </c>
      <c r="D78" s="25" t="n">
        <f aca="false">Pipeline!D153+SUMPRODUCT($E$77:$M$77,Pipeline!$E$108:$M$108)</f>
        <v>0.630578355681972</v>
      </c>
      <c r="E78" s="25" t="n">
        <f aca="false">Pipeline!E153+SUMPRODUCT($E$77:$M$77,Pipeline!$E$109:$M$109)</f>
        <v>6.20938570515285</v>
      </c>
      <c r="F78" s="25" t="n">
        <f aca="false">Pipeline!F153+SUMPRODUCT($E$77:$M$77,Pipeline!$E$110:$M$110)</f>
        <v>25.3371433333333</v>
      </c>
      <c r="G78" s="25" t="n">
        <f aca="false">Pipeline!G153+SUMPRODUCT($E$77:$M$77,Pipeline!$E$111:$M$111)</f>
        <v>37.6525147943925</v>
      </c>
      <c r="H78" s="25" t="n">
        <f aca="false">Pipeline!H153+SUMPRODUCT($E$77:$M$77,Pipeline!$E$112:$M$112)</f>
        <v>43.1401599188997</v>
      </c>
      <c r="I78" s="25" t="n">
        <f aca="false">Pipeline!I153+SUMPRODUCT($E$77:$M$77,Pipeline!$E$113:$M$113)</f>
        <v>56.4105978342936</v>
      </c>
      <c r="J78" s="25" t="n">
        <f aca="false">Pipeline!J153+SUMPRODUCT($E$77:$M$77,Pipeline!$E$114:$M$114)</f>
        <v>61.4553659656414</v>
      </c>
      <c r="K78" s="25" t="n">
        <f aca="false">Pipeline!K153+SUMPRODUCT($E$77:$M$77,Pipeline!$E$115:$M$115)</f>
        <v>67.167824108773</v>
      </c>
      <c r="L78" s="25" t="n">
        <f aca="false">Pipeline!L153+SUMPRODUCT($E$77:$M$77,Pipeline!$E$116:$M$116)</f>
        <v>73.6479393309647</v>
      </c>
      <c r="M78" s="25" t="n">
        <f aca="false">Pipeline!M153+SUMPRODUCT($E$77:$M$77,Pipeline!$E$117:$M$117)</f>
        <v>81.0127332640612</v>
      </c>
    </row>
    <row r="79" customFormat="false" ht="17.15" hidden="false" customHeight="false" outlineLevel="0" collapsed="false">
      <c r="A79" s="21" t="s">
        <v>1267</v>
      </c>
      <c r="B79" s="20" t="s">
        <v>1427</v>
      </c>
      <c r="C79" s="20" t="s">
        <v>1264</v>
      </c>
      <c r="D79" s="25" t="n">
        <f aca="false">Pipeline!D154+SUMPRODUCT($E$77:$M$77,Pipeline!$E$120:$M$120)</f>
        <v>0.630578355681972</v>
      </c>
      <c r="E79" s="25" t="n">
        <f aca="false">Pipeline!E154+SUMPRODUCT($E$77:$M$77,Pipeline!$E$121:$M$121)</f>
        <v>6.20938570515285</v>
      </c>
      <c r="F79" s="25" t="n">
        <f aca="false">Pipeline!F154+SUMPRODUCT($E$77:$M$77,Pipeline!$E$122:$M$122)</f>
        <v>25.3371433333333</v>
      </c>
      <c r="G79" s="25" t="n">
        <f aca="false">Pipeline!G154+SUMPRODUCT($E$77:$M$77,Pipeline!$E$123:$M$123)</f>
        <v>36.988055095226</v>
      </c>
      <c r="H79" s="25" t="n">
        <f aca="false">Pipeline!H154+SUMPRODUCT($E$77:$M$77,Pipeline!$E$124:$M$124)</f>
        <v>42.1975553554443</v>
      </c>
      <c r="I79" s="25" t="n">
        <f aca="false">Pipeline!I154+SUMPRODUCT($E$77:$M$77,Pipeline!$E$125:$M$125)</f>
        <v>52.2772211990996</v>
      </c>
      <c r="J79" s="25" t="n">
        <f aca="false">Pipeline!J154+SUMPRODUCT($E$77:$M$77,Pipeline!$E$126:$M$126)</f>
        <v>60.2601565426555</v>
      </c>
      <c r="K79" s="25" t="n">
        <f aca="false">Pipeline!K154+SUMPRODUCT($E$77:$M$77,Pipeline!$E$127:$M$127)</f>
        <v>65.6228439337249</v>
      </c>
      <c r="L79" s="25" t="n">
        <f aca="false">Pipeline!L154+SUMPRODUCT($E$77:$M$77,Pipeline!$E$128:$M$128)</f>
        <v>72.5139191670811</v>
      </c>
      <c r="M79" s="25" t="n">
        <f aca="false">Pipeline!M154+SUMPRODUCT($E$77:$M$77,Pipeline!$E$129:$M$129)</f>
        <v>79.7238943257693</v>
      </c>
    </row>
    <row r="80" customFormat="false" ht="17.15" hidden="false" customHeight="false" outlineLevel="0" collapsed="false">
      <c r="A80" s="21" t="s">
        <v>1267</v>
      </c>
      <c r="B80" s="20" t="s">
        <v>1427</v>
      </c>
      <c r="C80" s="20" t="s">
        <v>1265</v>
      </c>
      <c r="D80" s="25" t="n">
        <f aca="false">Pipeline!D155+SUMPRODUCT($E$77:$M$77,Pipeline!$E$132:$M$132)</f>
        <v>0.630578355681972</v>
      </c>
      <c r="E80" s="25" t="n">
        <f aca="false">Pipeline!E155+SUMPRODUCT($E$77:$M$77,Pipeline!$E$133:$M$133)</f>
        <v>6.20938570515285</v>
      </c>
      <c r="F80" s="25" t="n">
        <f aca="false">Pipeline!F155+SUMPRODUCT($E$77:$M$77,Pipeline!$E$134:$M$134)</f>
        <v>25.3371433333333</v>
      </c>
      <c r="G80" s="25" t="n">
        <f aca="false">Pipeline!G155+SUMPRODUCT($E$77:$M$77,Pipeline!$E$135:$M$135)</f>
        <v>36.988055095226</v>
      </c>
      <c r="H80" s="25" t="n">
        <f aca="false">Pipeline!H155+SUMPRODUCT($E$77:$M$77,Pipeline!$E$136:$M$136)</f>
        <v>40.4294591310236</v>
      </c>
      <c r="I80" s="25" t="n">
        <f aca="false">Pipeline!I155+SUMPRODUCT($E$77:$M$77,Pipeline!$E$137:$M$137)</f>
        <v>48.9650748616375</v>
      </c>
      <c r="J80" s="25" t="n">
        <f aca="false">Pipeline!J155+SUMPRODUCT($E$77:$M$77,Pipeline!$E$138:$M$138)</f>
        <v>58.628365888578</v>
      </c>
      <c r="K80" s="25" t="n">
        <f aca="false">Pipeline!K155+SUMPRODUCT($E$77:$M$77,Pipeline!$E$139:$M$139)</f>
        <v>65.6228439337249</v>
      </c>
      <c r="L80" s="25" t="n">
        <f aca="false">Pipeline!L155+SUMPRODUCT($E$77:$M$77,Pipeline!$E$140:$M$140)</f>
        <v>72.5139191670811</v>
      </c>
      <c r="M80" s="25" t="n">
        <f aca="false">Pipeline!M155+SUMPRODUCT($E$77:$M$77,Pipeline!$E$141:$M$141)</f>
        <v>79.7238943257693</v>
      </c>
    </row>
    <row r="81" customFormat="false" ht="17.15" hidden="false" customHeight="false" outlineLevel="0" collapsed="false">
      <c r="A81" s="5" t="s">
        <v>1159</v>
      </c>
      <c r="B81" s="0" t="s">
        <v>1427</v>
      </c>
      <c r="C81" s="0" t="s">
        <v>1263</v>
      </c>
      <c r="D81" s="24" t="str">
        <f aca="false">""</f>
        <v/>
      </c>
      <c r="E81" s="24" t="n">
        <f aca="false">(D78+E78)/2</f>
        <v>3.41998203041741</v>
      </c>
      <c r="F81" s="24" t="n">
        <f aca="false">(E78+F78)/2</f>
        <v>15.7732645192431</v>
      </c>
      <c r="G81" s="24" t="n">
        <f aca="false">(F78+G78)/2</f>
        <v>31.4948290638629</v>
      </c>
      <c r="H81" s="24" t="n">
        <f aca="false">(G78+H78)/2</f>
        <v>40.3963373566461</v>
      </c>
      <c r="I81" s="24" t="n">
        <f aca="false">(H78+I78)/2</f>
        <v>49.7753788765966</v>
      </c>
      <c r="J81" s="24" t="n">
        <f aca="false">(I78+J78)/2</f>
        <v>58.9329818999675</v>
      </c>
      <c r="K81" s="24" t="n">
        <f aca="false">(J78+K78)/2</f>
        <v>64.3115950372072</v>
      </c>
      <c r="L81" s="24" t="n">
        <f aca="false">(K78+L78)/2</f>
        <v>70.4078817198688</v>
      </c>
      <c r="M81" s="24" t="n">
        <f aca="false">(L78+M78)/2</f>
        <v>77.3303362975129</v>
      </c>
    </row>
    <row r="82" customFormat="false" ht="17.15" hidden="false" customHeight="false" outlineLevel="0" collapsed="false">
      <c r="A82" s="5" t="s">
        <v>1159</v>
      </c>
      <c r="B82" s="0" t="s">
        <v>1427</v>
      </c>
      <c r="C82" s="0" t="s">
        <v>1264</v>
      </c>
      <c r="D82" s="24" t="str">
        <f aca="false">""</f>
        <v/>
      </c>
      <c r="E82" s="24" t="n">
        <f aca="false">(D79+E79)/2</f>
        <v>3.41998203041741</v>
      </c>
      <c r="F82" s="24" t="n">
        <f aca="false">(E79+F79)/2</f>
        <v>15.7732645192431</v>
      </c>
      <c r="G82" s="24" t="n">
        <f aca="false">(F79+G79)/2</f>
        <v>31.1625992142797</v>
      </c>
      <c r="H82" s="24" t="n">
        <f aca="false">(G79+H79)/2</f>
        <v>39.5928052253351</v>
      </c>
      <c r="I82" s="24" t="n">
        <f aca="false">(H79+I79)/2</f>
        <v>47.237388277272</v>
      </c>
      <c r="J82" s="24" t="n">
        <f aca="false">(I79+J79)/2</f>
        <v>56.2686888708776</v>
      </c>
      <c r="K82" s="24" t="n">
        <f aca="false">(J79+K79)/2</f>
        <v>62.9415002381902</v>
      </c>
      <c r="L82" s="24" t="n">
        <f aca="false">(K79+L79)/2</f>
        <v>69.0683815504031</v>
      </c>
      <c r="M82" s="24" t="n">
        <f aca="false">(L79+M79)/2</f>
        <v>76.1189067464252</v>
      </c>
    </row>
    <row r="83" customFormat="false" ht="17.15" hidden="false" customHeight="false" outlineLevel="0" collapsed="false">
      <c r="A83" s="5" t="s">
        <v>1159</v>
      </c>
      <c r="B83" s="0" t="s">
        <v>1427</v>
      </c>
      <c r="C83" s="0" t="s">
        <v>1265</v>
      </c>
      <c r="D83" s="24" t="str">
        <f aca="false">""</f>
        <v/>
      </c>
      <c r="E83" s="24" t="n">
        <f aca="false">(D80+E80)/2</f>
        <v>3.41998203041741</v>
      </c>
      <c r="F83" s="24" t="n">
        <f aca="false">(E80+F80)/2</f>
        <v>15.7732645192431</v>
      </c>
      <c r="G83" s="24" t="n">
        <f aca="false">(F80+G80)/2</f>
        <v>31.1625992142797</v>
      </c>
      <c r="H83" s="24" t="n">
        <f aca="false">(G80+H80)/2</f>
        <v>38.7087571131248</v>
      </c>
      <c r="I83" s="24" t="n">
        <f aca="false">(H80+I80)/2</f>
        <v>44.6972669963305</v>
      </c>
      <c r="J83" s="24" t="n">
        <f aca="false">(I80+J80)/2</f>
        <v>53.7967203751077</v>
      </c>
      <c r="K83" s="24" t="n">
        <f aca="false">(J80+K80)/2</f>
        <v>62.1256049111515</v>
      </c>
      <c r="L83" s="24" t="n">
        <f aca="false">(K80+L80)/2</f>
        <v>69.0683815504031</v>
      </c>
      <c r="M83" s="24" t="n">
        <f aca="false">(L80+M80)/2</f>
        <v>76.1189067464252</v>
      </c>
    </row>
    <row r="84" customFormat="false" ht="17.15" hidden="false" customHeight="false" outlineLevel="0" collapsed="false">
      <c r="A84" s="5" t="s">
        <v>1268</v>
      </c>
      <c r="B84" s="0" t="s">
        <v>1427</v>
      </c>
      <c r="C84" s="0" t="s">
        <v>1263</v>
      </c>
      <c r="D84" s="24" t="n">
        <f aca="false">0</f>
        <v>0</v>
      </c>
      <c r="E84" s="24" t="n">
        <f aca="false">E78-D78-E$6</f>
        <v>1.61980834349181</v>
      </c>
      <c r="F84" s="24" t="n">
        <f aca="false">F78-E78-F$6</f>
        <v>9.04912429484715</v>
      </c>
      <c r="G84" s="24" t="n">
        <f aca="false">G78-F78-G$6</f>
        <v>12.3153714610592</v>
      </c>
      <c r="H84" s="24" t="n">
        <f aca="false">H78-G78-H$6</f>
        <v>5.48764512450717</v>
      </c>
      <c r="I84" s="24" t="n">
        <f aca="false">I78-H78-I$6</f>
        <v>13.2704379153939</v>
      </c>
      <c r="J84" s="24" t="n">
        <f aca="false">J78-I78-J$6</f>
        <v>5.04476813134784</v>
      </c>
      <c r="K84" s="24" t="n">
        <f aca="false">K78-J78-K$6</f>
        <v>5.71245814313154</v>
      </c>
      <c r="L84" s="24" t="n">
        <f aca="false">L78-K78-L$6</f>
        <v>6.48011522219174</v>
      </c>
      <c r="M84" s="24" t="n">
        <f aca="false">M78-L78-M$6</f>
        <v>7.36479393309647</v>
      </c>
    </row>
    <row r="85" customFormat="false" ht="17.15" hidden="false" customHeight="false" outlineLevel="0" collapsed="false">
      <c r="A85" s="5" t="s">
        <v>1268</v>
      </c>
      <c r="B85" s="0" t="s">
        <v>1427</v>
      </c>
      <c r="C85" s="0" t="s">
        <v>1264</v>
      </c>
      <c r="D85" s="24" t="n">
        <f aca="false">0</f>
        <v>0</v>
      </c>
      <c r="E85" s="24" t="n">
        <f aca="false">E79-D79-E$6</f>
        <v>1.61980834349181</v>
      </c>
      <c r="F85" s="24" t="n">
        <f aca="false">F79-E79-F$6</f>
        <v>9.04912429484715</v>
      </c>
      <c r="G85" s="24" t="n">
        <f aca="false">G79-F79-G$6</f>
        <v>11.6509117618926</v>
      </c>
      <c r="H85" s="24" t="n">
        <f aca="false">H79-G79-H$6</f>
        <v>5.20950026021831</v>
      </c>
      <c r="I85" s="24" t="n">
        <f aca="false">I79-H79-I$6</f>
        <v>10.0796658436554</v>
      </c>
      <c r="J85" s="24" t="n">
        <f aca="false">J79-I79-J$6</f>
        <v>7.98293534355589</v>
      </c>
      <c r="K85" s="24" t="n">
        <f aca="false">K79-J79-K$6</f>
        <v>5.3626873910694</v>
      </c>
      <c r="L85" s="24" t="n">
        <f aca="false">L79-K79-L$6</f>
        <v>6.8910752333562</v>
      </c>
      <c r="M85" s="24" t="n">
        <f aca="false">M79-L79-M$6</f>
        <v>7.20997515868814</v>
      </c>
    </row>
    <row r="86" customFormat="false" ht="17.15" hidden="false" customHeight="false" outlineLevel="0" collapsed="false">
      <c r="A86" s="5" t="s">
        <v>1268</v>
      </c>
      <c r="B86" s="0" t="s">
        <v>1427</v>
      </c>
      <c r="C86" s="0" t="s">
        <v>1265</v>
      </c>
      <c r="D86" s="24" t="n">
        <f aca="false">0</f>
        <v>0</v>
      </c>
      <c r="E86" s="24" t="n">
        <f aca="false">E80-D80-E$6</f>
        <v>1.61980834349181</v>
      </c>
      <c r="F86" s="24" t="n">
        <f aca="false">F80-E80-F$6</f>
        <v>9.04912429484715</v>
      </c>
      <c r="G86" s="24" t="n">
        <f aca="false">G80-F80-G$6</f>
        <v>11.6509117618926</v>
      </c>
      <c r="H86" s="24" t="n">
        <f aca="false">H80-G80-H$6</f>
        <v>3.4414040357976</v>
      </c>
      <c r="I86" s="24" t="n">
        <f aca="false">I80-H80-I$6</f>
        <v>8.53561573061393</v>
      </c>
      <c r="J86" s="24" t="n">
        <f aca="false">J80-I80-J$6</f>
        <v>9.66329102694046</v>
      </c>
      <c r="K86" s="24" t="n">
        <f aca="false">K80-J80-K$6</f>
        <v>6.99447804514697</v>
      </c>
      <c r="L86" s="24" t="n">
        <f aca="false">L80-K80-L$6</f>
        <v>6.8910752333562</v>
      </c>
      <c r="M86" s="24" t="n">
        <f aca="false">M80-L80-M$6</f>
        <v>7.20997515868814</v>
      </c>
    </row>
    <row r="87" customFormat="false" ht="17.15" hidden="false" customHeight="false" outlineLevel="0" collapsed="false">
      <c r="A87" s="5" t="s">
        <v>1269</v>
      </c>
      <c r="B87" s="0" t="s">
        <v>1427</v>
      </c>
      <c r="C87" s="0" t="s">
        <v>1264</v>
      </c>
      <c r="D87" s="24" t="n">
        <f aca="false">D78-D79</f>
        <v>0</v>
      </c>
      <c r="E87" s="24" t="n">
        <f aca="false">E78-E79</f>
        <v>0</v>
      </c>
      <c r="F87" s="24" t="n">
        <f aca="false">F78-F79</f>
        <v>0</v>
      </c>
      <c r="G87" s="24" t="n">
        <f aca="false">G78-G79</f>
        <v>0.66445969916655</v>
      </c>
      <c r="H87" s="24" t="n">
        <f aca="false">H78-H79</f>
        <v>0.942604563455411</v>
      </c>
      <c r="I87" s="24" t="n">
        <f aca="false">I78-I79</f>
        <v>4.13337663519394</v>
      </c>
      <c r="J87" s="24" t="n">
        <f aca="false">J78-J79</f>
        <v>1.19520942298588</v>
      </c>
      <c r="K87" s="24" t="n">
        <f aca="false">K78-K79</f>
        <v>1.54498017504802</v>
      </c>
      <c r="L87" s="24" t="n">
        <f aca="false">L78-L79</f>
        <v>1.13402016388356</v>
      </c>
      <c r="M87" s="24" t="n">
        <f aca="false">M78-M79</f>
        <v>1.28883893829189</v>
      </c>
    </row>
    <row r="88" customFormat="false" ht="17.15" hidden="false" customHeight="false" outlineLevel="0" collapsed="false">
      <c r="A88" s="5" t="s">
        <v>1269</v>
      </c>
      <c r="B88" s="0" t="s">
        <v>1427</v>
      </c>
      <c r="C88" s="0" t="s">
        <v>1265</v>
      </c>
      <c r="D88" s="24" t="n">
        <f aca="false">D78-D80</f>
        <v>0</v>
      </c>
      <c r="E88" s="24" t="n">
        <f aca="false">E78-E80</f>
        <v>0</v>
      </c>
      <c r="F88" s="24" t="n">
        <f aca="false">F78-F80</f>
        <v>0</v>
      </c>
      <c r="G88" s="24" t="n">
        <f aca="false">G78-G80</f>
        <v>0.66445969916655</v>
      </c>
      <c r="H88" s="24" t="n">
        <f aca="false">H78-H80</f>
        <v>2.71070078787612</v>
      </c>
      <c r="I88" s="24" t="n">
        <f aca="false">I78-I80</f>
        <v>7.44552297265608</v>
      </c>
      <c r="J88" s="24" t="n">
        <f aca="false">J78-J80</f>
        <v>2.82700007706345</v>
      </c>
      <c r="K88" s="24" t="n">
        <f aca="false">K78-K80</f>
        <v>1.54498017504802</v>
      </c>
      <c r="L88" s="24" t="n">
        <f aca="false">L78-L80</f>
        <v>1.13402016388356</v>
      </c>
      <c r="M88" s="24" t="n">
        <f aca="false">M78-M80</f>
        <v>1.28883893829189</v>
      </c>
    </row>
    <row r="90" customFormat="false" ht="17.15" hidden="false" customHeight="false" outlineLevel="0" collapsed="false">
      <c r="A90" s="21" t="s">
        <v>1433</v>
      </c>
    </row>
    <row r="91" customFormat="false" ht="17.15" hidden="false" customHeight="false" outlineLevel="0" collapsed="false">
      <c r="A91" s="5" t="s">
        <v>1422</v>
      </c>
      <c r="B91" s="0" t="s">
        <v>1429</v>
      </c>
      <c r="C91" s="0" t="s">
        <v>1263</v>
      </c>
      <c r="D91" s="24" t="n">
        <f aca="false">0</f>
        <v>0</v>
      </c>
      <c r="E91" s="24" t="n">
        <f aca="false">E$4</f>
        <v>1.61980834349181</v>
      </c>
      <c r="F91" s="24" t="n">
        <f aca="false">F$4</f>
        <v>9.04912429484715</v>
      </c>
      <c r="G91" s="24" t="n">
        <f aca="false">G$4</f>
        <v>12.3153714610592</v>
      </c>
      <c r="H91" s="24" t="n">
        <f aca="false">H$4</f>
        <v>5.48764512450717</v>
      </c>
      <c r="I91" s="24" t="n">
        <f aca="false">I$4*SIL_In!$I$29</f>
        <v>9.95282843654542</v>
      </c>
      <c r="J91" s="24" t="n">
        <f aca="false">J$4*SIL_In!$J$29</f>
        <v>3.56101279859847</v>
      </c>
      <c r="K91" s="24" t="n">
        <f aca="false">(Pipeline!J153+SUM($E$93:J93))*K92</f>
        <v>4.42170294404857</v>
      </c>
      <c r="L91" s="24" t="n">
        <f aca="false">(Pipeline!K153+SUM($E$93:K93))*L92</f>
        <v>5.43718809895686</v>
      </c>
      <c r="M91" s="24" t="n">
        <f aca="false">(Pipeline!L153+SUM($E$93:L93))*M92</f>
        <v>6.6512892197049</v>
      </c>
    </row>
    <row r="92" customFormat="false" ht="17.15" hidden="false" customHeight="false" outlineLevel="0" collapsed="false">
      <c r="A92" s="5" t="s">
        <v>1424</v>
      </c>
      <c r="B92" s="0" t="s">
        <v>1429</v>
      </c>
      <c r="D92" s="23" t="str">
        <f aca="false">""</f>
        <v/>
      </c>
      <c r="E92" s="23" t="str">
        <f aca="false">""</f>
        <v/>
      </c>
      <c r="F92" s="23" t="str">
        <f aca="false">""</f>
        <v/>
      </c>
      <c r="G92" s="23" t="str">
        <f aca="false">""</f>
        <v/>
      </c>
      <c r="H92" s="23" t="str">
        <f aca="false">""</f>
        <v/>
      </c>
      <c r="I92" s="23" t="str">
        <f aca="false">""</f>
        <v/>
      </c>
      <c r="J92" s="23" t="n">
        <f aca="false">IFERROR(J91/(Pipeline!I153+SUM($E$93:I93)),g_lt)</f>
        <v>0.0670712444128842</v>
      </c>
      <c r="K92" s="23" t="n">
        <f aca="false">$J$92+(g_lt-$J$92)*(2030-2029)/3</f>
        <v>0.0780474962752562</v>
      </c>
      <c r="L92" s="23" t="n">
        <f aca="false">$J$92+(g_lt-$J$92)*(2031-2029)/3</f>
        <v>0.0890237481376281</v>
      </c>
      <c r="M92" s="23" t="n">
        <f aca="false">$J$92+(g_lt-$J$92)*(2032-2029)/3</f>
        <v>0.1</v>
      </c>
    </row>
    <row r="93" customFormat="false" ht="17.15" hidden="false" customHeight="false" outlineLevel="0" collapsed="false">
      <c r="A93" s="5" t="s">
        <v>1425</v>
      </c>
      <c r="B93" s="0" t="s">
        <v>1429</v>
      </c>
      <c r="D93" s="24" t="n">
        <f aca="false">0</f>
        <v>0</v>
      </c>
      <c r="E93" s="24" t="n">
        <f aca="false">E91-E$4</f>
        <v>0</v>
      </c>
      <c r="F93" s="24" t="n">
        <f aca="false">F91-F$4</f>
        <v>0</v>
      </c>
      <c r="G93" s="24" t="n">
        <f aca="false">G91-G$4</f>
        <v>0</v>
      </c>
      <c r="H93" s="24" t="n">
        <f aca="false">H91-H$4</f>
        <v>0</v>
      </c>
      <c r="I93" s="24" t="n">
        <f aca="false">I91-I$4</f>
        <v>-6.63521895769694</v>
      </c>
      <c r="J93" s="24" t="n">
        <f aca="false">J91-J$4</f>
        <v>-2.37400853239898</v>
      </c>
      <c r="K93" s="24" t="n">
        <f aca="false">K91-K$4</f>
        <v>-3.22035207799932</v>
      </c>
      <c r="L93" s="24" t="n">
        <f aca="false">L91-L$4</f>
        <v>3.28334194511071</v>
      </c>
      <c r="M93" s="24" t="n">
        <f aca="false">M91-M$4</f>
        <v>4.28205845047412</v>
      </c>
    </row>
    <row r="94" customFormat="false" ht="17.15" hidden="false" customHeight="false" outlineLevel="0" collapsed="false">
      <c r="A94" s="21" t="s">
        <v>1267</v>
      </c>
      <c r="B94" s="20" t="s">
        <v>1429</v>
      </c>
      <c r="C94" s="20" t="s">
        <v>1263</v>
      </c>
      <c r="D94" s="25" t="n">
        <f aca="false">Pipeline!D153+SUMPRODUCT($E$93:$M$93,Pipeline!$E$108:$M$108)</f>
        <v>0.630578355681972</v>
      </c>
      <c r="E94" s="25" t="n">
        <f aca="false">Pipeline!E153+SUMPRODUCT($E$93:$M$93,Pipeline!$E$109:$M$109)</f>
        <v>6.20938570515285</v>
      </c>
      <c r="F94" s="25" t="n">
        <f aca="false">Pipeline!F153+SUMPRODUCT($E$93:$M$93,Pipeline!$E$110:$M$110)</f>
        <v>25.3371433333333</v>
      </c>
      <c r="G94" s="25" t="n">
        <f aca="false">Pipeline!G153+SUMPRODUCT($E$93:$M$93,Pipeline!$E$111:$M$111)</f>
        <v>37.6525147943925</v>
      </c>
      <c r="H94" s="25" t="n">
        <f aca="false">Pipeline!H153+SUMPRODUCT($E$93:$M$93,Pipeline!$E$112:$M$112)</f>
        <v>43.1401599188997</v>
      </c>
      <c r="I94" s="25" t="n">
        <f aca="false">Pipeline!I153+SUMPRODUCT($E$93:$M$93,Pipeline!$E$113:$M$113)</f>
        <v>53.0929883554451</v>
      </c>
      <c r="J94" s="25" t="n">
        <f aca="false">Pipeline!J153+SUMPRODUCT($E$93:$M$93,Pipeline!$E$114:$M$114)</f>
        <v>56.6540011540436</v>
      </c>
      <c r="K94" s="25" t="n">
        <f aca="false">Pipeline!K153+SUMPRODUCT($E$93:$M$93,Pipeline!$E$115:$M$115)</f>
        <v>61.0757040980922</v>
      </c>
      <c r="L94" s="25" t="n">
        <f aca="false">Pipeline!L153+SUMPRODUCT($E$93:$M$93,Pipeline!$E$116:$M$116)</f>
        <v>66.512892197049</v>
      </c>
      <c r="M94" s="25" t="n">
        <f aca="false">Pipeline!M153+SUMPRODUCT($E$93:$M$93,Pipeline!$E$117:$M$117)</f>
        <v>73.1641814167539</v>
      </c>
    </row>
    <row r="95" customFormat="false" ht="17.15" hidden="false" customHeight="false" outlineLevel="0" collapsed="false">
      <c r="A95" s="21" t="s">
        <v>1267</v>
      </c>
      <c r="B95" s="20" t="s">
        <v>1429</v>
      </c>
      <c r="C95" s="20" t="s">
        <v>1264</v>
      </c>
      <c r="D95" s="25" t="n">
        <f aca="false">Pipeline!D154+SUMPRODUCT($E$93:$M$93,Pipeline!$E$120:$M$120)</f>
        <v>0.630578355681972</v>
      </c>
      <c r="E95" s="25" t="n">
        <f aca="false">Pipeline!E154+SUMPRODUCT($E$93:$M$93,Pipeline!$E$121:$M$121)</f>
        <v>6.20938570515285</v>
      </c>
      <c r="F95" s="25" t="n">
        <f aca="false">Pipeline!F154+SUMPRODUCT($E$93:$M$93,Pipeline!$E$122:$M$122)</f>
        <v>25.3371433333333</v>
      </c>
      <c r="G95" s="25" t="n">
        <f aca="false">Pipeline!G154+SUMPRODUCT($E$93:$M$93,Pipeline!$E$123:$M$123)</f>
        <v>36.988055095226</v>
      </c>
      <c r="H95" s="25" t="n">
        <f aca="false">Pipeline!H154+SUMPRODUCT($E$93:$M$93,Pipeline!$E$124:$M$124)</f>
        <v>42.1975553554443</v>
      </c>
      <c r="I95" s="25" t="n">
        <f aca="false">Pipeline!I154+SUMPRODUCT($E$93:$M$93,Pipeline!$E$125:$M$125)</f>
        <v>49.5401933790497</v>
      </c>
      <c r="J95" s="25" t="n">
        <f aca="false">Pipeline!J154+SUMPRODUCT($E$93:$M$93,Pipeline!$E$126:$M$126)</f>
        <v>55.7184489142888</v>
      </c>
      <c r="K95" s="25" t="n">
        <f aca="false">Pipeline!K154+SUMPRODUCT($E$93:$M$93,Pipeline!$E$127:$M$127)</f>
        <v>59.7566060828837</v>
      </c>
      <c r="L95" s="25" t="n">
        <f aca="false">Pipeline!L154+SUMPRODUCT($E$93:$M$93,Pipeline!$E$128:$M$128)</f>
        <v>65.5613842797316</v>
      </c>
      <c r="M95" s="25" t="n">
        <f aca="false">Pipeline!M154+SUMPRODUCT($E$93:$M$93,Pipeline!$E$129:$M$129)</f>
        <v>72.0002058033056</v>
      </c>
    </row>
    <row r="96" customFormat="false" ht="17.15" hidden="false" customHeight="false" outlineLevel="0" collapsed="false">
      <c r="A96" s="21" t="s">
        <v>1267</v>
      </c>
      <c r="B96" s="20" t="s">
        <v>1429</v>
      </c>
      <c r="C96" s="20" t="s">
        <v>1265</v>
      </c>
      <c r="D96" s="25" t="n">
        <f aca="false">Pipeline!D155+SUMPRODUCT($E$93:$M$93,Pipeline!$E$132:$M$132)</f>
        <v>0.630578355681972</v>
      </c>
      <c r="E96" s="25" t="n">
        <f aca="false">Pipeline!E155+SUMPRODUCT($E$93:$M$93,Pipeline!$E$133:$M$133)</f>
        <v>6.20938570515285</v>
      </c>
      <c r="F96" s="25" t="n">
        <f aca="false">Pipeline!F155+SUMPRODUCT($E$93:$M$93,Pipeline!$E$134:$M$134)</f>
        <v>25.3371433333333</v>
      </c>
      <c r="G96" s="25" t="n">
        <f aca="false">Pipeline!G155+SUMPRODUCT($E$93:$M$93,Pipeline!$E$135:$M$135)</f>
        <v>36.988055095226</v>
      </c>
      <c r="H96" s="25" t="n">
        <f aca="false">Pipeline!H155+SUMPRODUCT($E$93:$M$93,Pipeline!$E$136:$M$136)</f>
        <v>40.4294591310236</v>
      </c>
      <c r="I96" s="25" t="n">
        <f aca="false">Pipeline!I155+SUMPRODUCT($E$93:$M$93,Pipeline!$E$137:$M$137)</f>
        <v>47.3228581696075</v>
      </c>
      <c r="J96" s="25" t="n">
        <f aca="false">Pipeline!J155+SUMPRODUCT($E$93:$M$93,Pipeline!$E$138:$M$138)</f>
        <v>54.3188909237307</v>
      </c>
      <c r="K96" s="25" t="n">
        <f aca="false">Pipeline!K155+SUMPRODUCT($E$93:$M$93,Pipeline!$E$139:$M$139)</f>
        <v>59.7566060828837</v>
      </c>
      <c r="L96" s="25" t="n">
        <f aca="false">Pipeline!L155+SUMPRODUCT($E$93:$M$93,Pipeline!$E$140:$M$140)</f>
        <v>65.5613842797316</v>
      </c>
      <c r="M96" s="25" t="n">
        <f aca="false">Pipeline!M155+SUMPRODUCT($E$93:$M$93,Pipeline!$E$141:$M$141)</f>
        <v>72.0002058033056</v>
      </c>
    </row>
    <row r="97" customFormat="false" ht="17.15" hidden="false" customHeight="false" outlineLevel="0" collapsed="false">
      <c r="A97" s="5" t="s">
        <v>1159</v>
      </c>
      <c r="B97" s="0" t="s">
        <v>1429</v>
      </c>
      <c r="C97" s="0" t="s">
        <v>1263</v>
      </c>
      <c r="D97" s="24" t="str">
        <f aca="false">""</f>
        <v/>
      </c>
      <c r="E97" s="24" t="n">
        <f aca="false">(D94+E94)/2</f>
        <v>3.41998203041741</v>
      </c>
      <c r="F97" s="24" t="n">
        <f aca="false">(E94+F94)/2</f>
        <v>15.7732645192431</v>
      </c>
      <c r="G97" s="24" t="n">
        <f aca="false">(F94+G94)/2</f>
        <v>31.4948290638629</v>
      </c>
      <c r="H97" s="24" t="n">
        <f aca="false">(G94+H94)/2</f>
        <v>40.3963373566461</v>
      </c>
      <c r="I97" s="24" t="n">
        <f aca="false">(H94+I94)/2</f>
        <v>48.1165741371724</v>
      </c>
      <c r="J97" s="24" t="n">
        <f aca="false">(I94+J94)/2</f>
        <v>54.8734947547443</v>
      </c>
      <c r="K97" s="24" t="n">
        <f aca="false">(J94+K94)/2</f>
        <v>58.8648526260679</v>
      </c>
      <c r="L97" s="24" t="n">
        <f aca="false">(K94+L94)/2</f>
        <v>63.7942981475706</v>
      </c>
      <c r="M97" s="24" t="n">
        <f aca="false">(L94+M94)/2</f>
        <v>69.8385368069015</v>
      </c>
    </row>
    <row r="98" customFormat="false" ht="17.15" hidden="false" customHeight="false" outlineLevel="0" collapsed="false">
      <c r="A98" s="5" t="s">
        <v>1159</v>
      </c>
      <c r="B98" s="0" t="s">
        <v>1429</v>
      </c>
      <c r="C98" s="0" t="s">
        <v>1264</v>
      </c>
      <c r="D98" s="24" t="str">
        <f aca="false">""</f>
        <v/>
      </c>
      <c r="E98" s="24" t="n">
        <f aca="false">(D95+E95)/2</f>
        <v>3.41998203041741</v>
      </c>
      <c r="F98" s="24" t="n">
        <f aca="false">(E95+F95)/2</f>
        <v>15.7732645192431</v>
      </c>
      <c r="G98" s="24" t="n">
        <f aca="false">(F95+G95)/2</f>
        <v>31.1625992142797</v>
      </c>
      <c r="H98" s="24" t="n">
        <f aca="false">(G95+H95)/2</f>
        <v>39.5928052253351</v>
      </c>
      <c r="I98" s="24" t="n">
        <f aca="false">(H95+I95)/2</f>
        <v>45.868874367247</v>
      </c>
      <c r="J98" s="24" t="n">
        <f aca="false">(I95+J95)/2</f>
        <v>52.6293211466692</v>
      </c>
      <c r="K98" s="24" t="n">
        <f aca="false">(J95+K95)/2</f>
        <v>57.7375274985862</v>
      </c>
      <c r="L98" s="24" t="n">
        <f aca="false">(K95+L95)/2</f>
        <v>62.6589951813076</v>
      </c>
      <c r="M98" s="24" t="n">
        <f aca="false">(L95+M95)/2</f>
        <v>68.7807950415186</v>
      </c>
    </row>
    <row r="99" customFormat="false" ht="17.15" hidden="false" customHeight="false" outlineLevel="0" collapsed="false">
      <c r="A99" s="5" t="s">
        <v>1159</v>
      </c>
      <c r="B99" s="0" t="s">
        <v>1429</v>
      </c>
      <c r="C99" s="0" t="s">
        <v>1265</v>
      </c>
      <c r="D99" s="24" t="str">
        <f aca="false">""</f>
        <v/>
      </c>
      <c r="E99" s="24" t="n">
        <f aca="false">(D96+E96)/2</f>
        <v>3.41998203041741</v>
      </c>
      <c r="F99" s="24" t="n">
        <f aca="false">(E96+F96)/2</f>
        <v>15.7732645192431</v>
      </c>
      <c r="G99" s="24" t="n">
        <f aca="false">(F96+G96)/2</f>
        <v>31.1625992142797</v>
      </c>
      <c r="H99" s="24" t="n">
        <f aca="false">(G96+H96)/2</f>
        <v>38.7087571131248</v>
      </c>
      <c r="I99" s="24" t="n">
        <f aca="false">(H96+I96)/2</f>
        <v>43.8761586503155</v>
      </c>
      <c r="J99" s="24" t="n">
        <f aca="false">(I96+J96)/2</f>
        <v>50.8208745466691</v>
      </c>
      <c r="K99" s="24" t="n">
        <f aca="false">(J96+K96)/2</f>
        <v>57.0377485033072</v>
      </c>
      <c r="L99" s="24" t="n">
        <f aca="false">(K96+L96)/2</f>
        <v>62.6589951813076</v>
      </c>
      <c r="M99" s="24" t="n">
        <f aca="false">(L96+M96)/2</f>
        <v>68.7807950415186</v>
      </c>
    </row>
    <row r="100" customFormat="false" ht="17.15" hidden="false" customHeight="false" outlineLevel="0" collapsed="false">
      <c r="A100" s="5" t="s">
        <v>1268</v>
      </c>
      <c r="B100" s="0" t="s">
        <v>1429</v>
      </c>
      <c r="C100" s="0" t="s">
        <v>1263</v>
      </c>
      <c r="D100" s="24" t="n">
        <f aca="false">0</f>
        <v>0</v>
      </c>
      <c r="E100" s="24" t="n">
        <f aca="false">E94-D94-E$6</f>
        <v>1.61980834349181</v>
      </c>
      <c r="F100" s="24" t="n">
        <f aca="false">F94-E94-F$6</f>
        <v>9.04912429484715</v>
      </c>
      <c r="G100" s="24" t="n">
        <f aca="false">G94-F94-G$6</f>
        <v>12.3153714610592</v>
      </c>
      <c r="H100" s="24" t="n">
        <f aca="false">H94-G94-H$6</f>
        <v>5.48764512450717</v>
      </c>
      <c r="I100" s="24" t="n">
        <f aca="false">I94-H94-I$6</f>
        <v>9.95282843654542</v>
      </c>
      <c r="J100" s="24" t="n">
        <f aca="false">J94-I94-J$6</f>
        <v>3.56101279859848</v>
      </c>
      <c r="K100" s="24" t="n">
        <f aca="false">K94-J94-K$6</f>
        <v>4.42170294404857</v>
      </c>
      <c r="L100" s="24" t="n">
        <f aca="false">L94-K94-L$6</f>
        <v>5.43718809895686</v>
      </c>
      <c r="M100" s="24" t="n">
        <f aca="false">M94-L94-M$6</f>
        <v>6.65128921970489</v>
      </c>
    </row>
    <row r="101" customFormat="false" ht="17.15" hidden="false" customHeight="false" outlineLevel="0" collapsed="false">
      <c r="A101" s="5" t="s">
        <v>1268</v>
      </c>
      <c r="B101" s="0" t="s">
        <v>1429</v>
      </c>
      <c r="C101" s="0" t="s">
        <v>1264</v>
      </c>
      <c r="D101" s="24" t="n">
        <f aca="false">0</f>
        <v>0</v>
      </c>
      <c r="E101" s="24" t="n">
        <f aca="false">E95-D95-E$6</f>
        <v>1.61980834349181</v>
      </c>
      <c r="F101" s="24" t="n">
        <f aca="false">F95-E95-F$6</f>
        <v>9.04912429484715</v>
      </c>
      <c r="G101" s="24" t="n">
        <f aca="false">G95-F95-G$6</f>
        <v>11.6509117618926</v>
      </c>
      <c r="H101" s="24" t="n">
        <f aca="false">H95-G95-H$6</f>
        <v>5.20950026021831</v>
      </c>
      <c r="I101" s="24" t="n">
        <f aca="false">I95-H95-I$6</f>
        <v>7.34263802360537</v>
      </c>
      <c r="J101" s="24" t="n">
        <f aca="false">J95-I95-J$6</f>
        <v>6.17825553523918</v>
      </c>
      <c r="K101" s="24" t="n">
        <f aca="false">K95-J95-K$6</f>
        <v>4.03815716859483</v>
      </c>
      <c r="L101" s="24" t="n">
        <f aca="false">L95-K95-L$6</f>
        <v>5.80477819684789</v>
      </c>
      <c r="M101" s="24" t="n">
        <f aca="false">M95-L95-M$6</f>
        <v>6.43882152357399</v>
      </c>
    </row>
    <row r="102" customFormat="false" ht="17.15" hidden="false" customHeight="false" outlineLevel="0" collapsed="false">
      <c r="A102" s="5" t="s">
        <v>1268</v>
      </c>
      <c r="B102" s="0" t="s">
        <v>1429</v>
      </c>
      <c r="C102" s="0" t="s">
        <v>1265</v>
      </c>
      <c r="D102" s="24" t="n">
        <f aca="false">0</f>
        <v>0</v>
      </c>
      <c r="E102" s="24" t="n">
        <f aca="false">E96-D96-E$6</f>
        <v>1.61980834349181</v>
      </c>
      <c r="F102" s="24" t="n">
        <f aca="false">F96-E96-F$6</f>
        <v>9.04912429484715</v>
      </c>
      <c r="G102" s="24" t="n">
        <f aca="false">G96-F96-G$6</f>
        <v>11.6509117618926</v>
      </c>
      <c r="H102" s="24" t="n">
        <f aca="false">H96-G96-H$6</f>
        <v>3.4414040357976</v>
      </c>
      <c r="I102" s="24" t="n">
        <f aca="false">I96-H96-I$6</f>
        <v>6.89339903858394</v>
      </c>
      <c r="J102" s="24" t="n">
        <f aca="false">J96-I96-J$6</f>
        <v>6.99603275412316</v>
      </c>
      <c r="K102" s="24" t="n">
        <f aca="false">K96-J96-K$6</f>
        <v>5.437715159153</v>
      </c>
      <c r="L102" s="24" t="n">
        <f aca="false">L96-K96-L$6</f>
        <v>5.80477819684789</v>
      </c>
      <c r="M102" s="24" t="n">
        <f aca="false">M96-L96-M$6</f>
        <v>6.43882152357399</v>
      </c>
    </row>
    <row r="103" customFormat="false" ht="17.15" hidden="false" customHeight="false" outlineLevel="0" collapsed="false">
      <c r="A103" s="5" t="s">
        <v>1269</v>
      </c>
      <c r="B103" s="0" t="s">
        <v>1429</v>
      </c>
      <c r="C103" s="0" t="s">
        <v>1264</v>
      </c>
      <c r="D103" s="24" t="n">
        <f aca="false">D94-D95</f>
        <v>0</v>
      </c>
      <c r="E103" s="24" t="n">
        <f aca="false">E94-E95</f>
        <v>0</v>
      </c>
      <c r="F103" s="24" t="n">
        <f aca="false">F94-F95</f>
        <v>0</v>
      </c>
      <c r="G103" s="24" t="n">
        <f aca="false">G94-G95</f>
        <v>0.66445969916655</v>
      </c>
      <c r="H103" s="24" t="n">
        <f aca="false">H94-H95</f>
        <v>0.942604563455411</v>
      </c>
      <c r="I103" s="24" t="n">
        <f aca="false">I94-I95</f>
        <v>3.55279497639545</v>
      </c>
      <c r="J103" s="24" t="n">
        <f aca="false">J94-J95</f>
        <v>0.935552239754749</v>
      </c>
      <c r="K103" s="24" t="n">
        <f aca="false">K94-K95</f>
        <v>1.31909801520849</v>
      </c>
      <c r="L103" s="24" t="n">
        <f aca="false">L94-L95</f>
        <v>0.951507917317457</v>
      </c>
      <c r="M103" s="24" t="n">
        <f aca="false">M94-M95</f>
        <v>1.16397561344836</v>
      </c>
    </row>
    <row r="104" customFormat="false" ht="17.15" hidden="false" customHeight="false" outlineLevel="0" collapsed="false">
      <c r="A104" s="5" t="s">
        <v>1269</v>
      </c>
      <c r="B104" s="0" t="s">
        <v>1429</v>
      </c>
      <c r="C104" s="0" t="s">
        <v>1265</v>
      </c>
      <c r="D104" s="24" t="n">
        <f aca="false">D94-D96</f>
        <v>0</v>
      </c>
      <c r="E104" s="24" t="n">
        <f aca="false">E94-E96</f>
        <v>0</v>
      </c>
      <c r="F104" s="24" t="n">
        <f aca="false">F94-F96</f>
        <v>0</v>
      </c>
      <c r="G104" s="24" t="n">
        <f aca="false">G94-G96</f>
        <v>0.66445969916655</v>
      </c>
      <c r="H104" s="24" t="n">
        <f aca="false">H94-H96</f>
        <v>2.71070078787612</v>
      </c>
      <c r="I104" s="24" t="n">
        <f aca="false">I94-I96</f>
        <v>5.7701301858376</v>
      </c>
      <c r="J104" s="24" t="n">
        <f aca="false">J94-J96</f>
        <v>2.33511023031292</v>
      </c>
      <c r="K104" s="24" t="n">
        <f aca="false">K94-K96</f>
        <v>1.31909801520849</v>
      </c>
      <c r="L104" s="24" t="n">
        <f aca="false">L94-L96</f>
        <v>0.951507917317457</v>
      </c>
      <c r="M104" s="24" t="n">
        <f aca="false">M94-M96</f>
        <v>1.16397561344836</v>
      </c>
    </row>
    <row r="106" customFormat="false" ht="17.15" hidden="false" customHeight="false" outlineLevel="0" collapsed="false">
      <c r="A106" s="21" t="s">
        <v>1434</v>
      </c>
      <c r="D106" s="29" t="n">
        <f aca="false">IF(2023&lt;=2026,1,IF(D19&lt;=0,1,MIN(1,MAX(0,D68)/D19)))</f>
        <v>1</v>
      </c>
      <c r="E106" s="29" t="n">
        <f aca="false">IF(2024&lt;=2026,1,IF(E19&lt;=0,1,MIN(1,MAX(0,E68)/E19)))</f>
        <v>1</v>
      </c>
      <c r="F106" s="29" t="n">
        <f aca="false">IF(2025&lt;=2026,1,IF(F19&lt;=0,1,MIN(1,MAX(0,F68)/F19)))</f>
        <v>1</v>
      </c>
      <c r="G106" s="29" t="n">
        <f aca="false">IF(2026&lt;=2026,1,IF(G19&lt;=0,1,MIN(1,MAX(0,G68)/G19)))</f>
        <v>1</v>
      </c>
      <c r="H106" s="29" t="n">
        <f aca="false">IF(2027&lt;=2026,1,IF(H19&lt;=0,1,MIN(1,MAX(0,H68)/H19)))</f>
        <v>0.272241702398698</v>
      </c>
      <c r="I106" s="29" t="n">
        <f aca="false">IF(2028&lt;=2026,1,IF(I19&lt;=0,1,MIN(1,MAX(0,I68)/I19)))</f>
        <v>0.65572421230262</v>
      </c>
      <c r="J106" s="29" t="n">
        <f aca="false">IF(2029&lt;=2026,1,IF(J19&lt;=0,1,MIN(1,MAX(0,J68)/J19)))</f>
        <v>0.212485119246408</v>
      </c>
      <c r="K106" s="29" t="n">
        <f aca="false">IF(2030&lt;=2026,1,IF(K19&lt;=0,1,MIN(1,MAX(0,K68)/K19)))</f>
        <v>0.228778305316889</v>
      </c>
      <c r="L106" s="29" t="n">
        <f aca="false">IF(2031&lt;=2026,1,IF(L19&lt;=0,1,MIN(1,MAX(0,L68)/L19)))</f>
        <v>0.288781711722009</v>
      </c>
      <c r="M106" s="29" t="n">
        <f aca="false">IF(2032&lt;=2026,1,IF(M19&lt;=0,1,MIN(1,MAX(0,M68)/M19)))</f>
        <v>0.482514895916319</v>
      </c>
    </row>
    <row r="108" customFormat="false" ht="17.15" hidden="false" customHeight="false" outlineLevel="0" collapsed="false">
      <c r="A108" s="21" t="s">
        <v>1435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4" style="0" width="13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1436</v>
      </c>
    </row>
    <row r="2" customFormat="false" ht="17.15" hidden="false" customHeight="false" outlineLevel="0" collapsed="false">
      <c r="A2" s="5" t="s">
        <v>1437</v>
      </c>
    </row>
    <row r="3" customFormat="false" ht="15" hidden="false" customHeight="false" outlineLevel="0" collapsed="false">
      <c r="A3" s="6" t="s">
        <v>13</v>
      </c>
      <c r="B3" s="6" t="s">
        <v>1438</v>
      </c>
      <c r="C3" s="6" t="s">
        <v>14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6" t="s">
        <v>18</v>
      </c>
    </row>
    <row r="4" customFormat="false" ht="17.15" hidden="false" customHeight="false" outlineLevel="0" collapsed="false">
      <c r="A4" s="8" t="s">
        <v>1439</v>
      </c>
      <c r="B4" s="20" t="s">
        <v>1440</v>
      </c>
      <c r="D4" s="24" t="n">
        <f aca="false">Pipeline!D153</f>
        <v>0.630578355681972</v>
      </c>
      <c r="E4" s="24" t="n">
        <f aca="false">Pipeline!E153</f>
        <v>6.20938570515285</v>
      </c>
      <c r="F4" s="24" t="n">
        <f aca="false">Pipeline!F153</f>
        <v>25.3371433333333</v>
      </c>
      <c r="G4" s="24" t="n">
        <f aca="false">Pipeline!G153</f>
        <v>37.6525147943925</v>
      </c>
      <c r="H4" s="24" t="n">
        <f aca="false">Pipeline!H153</f>
        <v>43.1401599188997</v>
      </c>
      <c r="I4" s="24" t="n">
        <f aca="false">Pipeline!I153</f>
        <v>59.7282073131421</v>
      </c>
      <c r="J4" s="24" t="n">
        <f aca="false">Pipeline!J153</f>
        <v>65.6632286441395</v>
      </c>
      <c r="K4" s="24" t="n">
        <f aca="false">Pipeline!K153</f>
        <v>73.3052836661874</v>
      </c>
      <c r="L4" s="24" t="n">
        <f aca="false">Pipeline!L153</f>
        <v>75.4591298200336</v>
      </c>
      <c r="M4" s="24" t="n">
        <f aca="false">Pipeline!M153</f>
        <v>77.8283605892643</v>
      </c>
    </row>
    <row r="5" customFormat="false" ht="17.15" hidden="false" customHeight="false" outlineLevel="0" collapsed="false">
      <c r="A5" s="5" t="s">
        <v>1441</v>
      </c>
      <c r="B5" s="0" t="s">
        <v>1442</v>
      </c>
      <c r="D5" s="24" t="n">
        <f aca="false">Players!D308</f>
        <v>0.578431531897603</v>
      </c>
      <c r="E5" s="24" t="n">
        <f aca="false">Players!E308</f>
        <v>5.60426250610571</v>
      </c>
      <c r="F5" s="24" t="n">
        <f aca="false">Players!F308</f>
        <v>19.0820516666667</v>
      </c>
      <c r="G5" s="24" t="n">
        <f aca="false">Players!G308</f>
        <v>34.3858481277259</v>
      </c>
      <c r="H5" s="24" t="n">
        <f aca="false">Players!H308</f>
        <v>43.1401599188997</v>
      </c>
      <c r="I5" s="24" t="n">
        <f aca="false">Players!I308</f>
        <v>59.7282073131421</v>
      </c>
      <c r="J5" s="24" t="n">
        <f aca="false">Players!J308</f>
        <v>65.6632286441395</v>
      </c>
      <c r="K5" s="24" t="n">
        <f aca="false">Players!K308</f>
        <v>73.3052836661874</v>
      </c>
      <c r="L5" s="24" t="n">
        <f aca="false">Players!L308</f>
        <v>75.4591298200336</v>
      </c>
      <c r="M5" s="24" t="n">
        <f aca="false">Players!M308</f>
        <v>77.8283605892643</v>
      </c>
    </row>
    <row r="6" customFormat="false" ht="17.15" hidden="false" customHeight="false" outlineLevel="0" collapsed="false">
      <c r="A6" s="5" t="s">
        <v>1443</v>
      </c>
      <c r="B6" s="0" t="s">
        <v>1444</v>
      </c>
      <c r="D6" s="24" t="n">
        <f aca="false">Players!D309</f>
        <v>0.708798591358526</v>
      </c>
      <c r="E6" s="24" t="n">
        <f aca="false">Players!E309</f>
        <v>6.98708195813313</v>
      </c>
      <c r="F6" s="24" t="n">
        <f aca="false">Players!F309</f>
        <v>30.295708</v>
      </c>
      <c r="G6" s="24" t="n">
        <f aca="false">Players!G309</f>
        <v>41.0191814610592</v>
      </c>
      <c r="H6" s="24" t="n">
        <f aca="false">Players!H309</f>
        <v>43.1401599188997</v>
      </c>
      <c r="I6" s="24" t="n">
        <f aca="false">Players!I309</f>
        <v>59.7282073131421</v>
      </c>
      <c r="J6" s="24" t="n">
        <f aca="false">Players!J309</f>
        <v>65.6632286441395</v>
      </c>
      <c r="K6" s="24" t="n">
        <f aca="false">Players!K309</f>
        <v>73.3052836661874</v>
      </c>
      <c r="L6" s="24" t="n">
        <f aca="false">Players!L309</f>
        <v>75.4591298200336</v>
      </c>
      <c r="M6" s="24" t="n">
        <f aca="false">Players!M309</f>
        <v>77.8283605892643</v>
      </c>
    </row>
    <row r="7" customFormat="false" ht="17.15" hidden="false" customHeight="false" outlineLevel="0" collapsed="false">
      <c r="A7" s="8" t="s">
        <v>1445</v>
      </c>
      <c r="B7" s="20" t="s">
        <v>1446</v>
      </c>
      <c r="D7" s="24" t="n">
        <f aca="false">D4-N(Players!D277)</f>
        <v>0.630578355681972</v>
      </c>
      <c r="E7" s="24" t="n">
        <f aca="false">E4-N(Players!E277)</f>
        <v>6.20938570515285</v>
      </c>
      <c r="F7" s="24" t="n">
        <f aca="false">F4-N(Players!F277)</f>
        <v>17.00381</v>
      </c>
      <c r="G7" s="24" t="n">
        <f aca="false">G4-N(Players!G277)</f>
        <v>25.9858481277259</v>
      </c>
      <c r="H7" s="24" t="n">
        <f aca="false">H4-N(Players!H277)</f>
        <v>29.4839887943925</v>
      </c>
      <c r="I7" s="24" t="n">
        <f aca="false">I4-N(Players!I277)</f>
        <v>43.7908221277259</v>
      </c>
      <c r="J7" s="24" t="n">
        <f aca="false">J4-N(Players!J277)</f>
        <v>47.1133221277259</v>
      </c>
      <c r="K7" s="24" t="n">
        <f aca="false">K4-N(Players!K277)</f>
        <v>51.7668221277259</v>
      </c>
      <c r="L7" s="24" t="n">
        <f aca="false">L4-N(Players!L277)</f>
        <v>51.7668221277259</v>
      </c>
      <c r="M7" s="24" t="n">
        <f aca="false">M4-N(Players!M277)</f>
        <v>51.7668221277259</v>
      </c>
    </row>
    <row r="8" customFormat="false" ht="17.15" hidden="false" customHeight="false" outlineLevel="0" collapsed="false">
      <c r="A8" s="5" t="s">
        <v>1447</v>
      </c>
      <c r="B8" s="0" t="s">
        <v>1448</v>
      </c>
      <c r="D8" s="24" t="n">
        <f aca="false">D5-N(Players!D279)</f>
        <v>0.578431531897603</v>
      </c>
      <c r="E8" s="24" t="n">
        <f aca="false">E5-N(Players!E279)</f>
        <v>5.60426250610571</v>
      </c>
      <c r="F8" s="24" t="n">
        <f aca="false">F5-N(Players!F279)</f>
        <v>12.415385</v>
      </c>
      <c r="G8" s="24" t="n">
        <f aca="false">G5-N(Players!G279)</f>
        <v>24.3858481277259</v>
      </c>
      <c r="H8" s="24" t="n">
        <f aca="false">H5-N(Players!H279)</f>
        <v>29.4839887943925</v>
      </c>
      <c r="I8" s="24" t="n">
        <f aca="false">I5-N(Players!I279)</f>
        <v>43.7908221277259</v>
      </c>
      <c r="J8" s="24" t="n">
        <f aca="false">J5-N(Players!J279)</f>
        <v>47.1133221277259</v>
      </c>
      <c r="K8" s="24" t="n">
        <f aca="false">K5-N(Players!K279)</f>
        <v>51.7668221277259</v>
      </c>
      <c r="L8" s="24" t="n">
        <f aca="false">L5-N(Players!L279)</f>
        <v>51.7668221277259</v>
      </c>
      <c r="M8" s="24" t="n">
        <f aca="false">M5-N(Players!M279)</f>
        <v>51.7668221277259</v>
      </c>
    </row>
    <row r="9" customFormat="false" ht="17.15" hidden="false" customHeight="false" outlineLevel="0" collapsed="false">
      <c r="A9" s="5" t="s">
        <v>1449</v>
      </c>
      <c r="B9" s="0" t="s">
        <v>1450</v>
      </c>
      <c r="D9" s="24" t="n">
        <f aca="false">D6-N(Players!D280)</f>
        <v>0.708798591358526</v>
      </c>
      <c r="E9" s="24" t="n">
        <f aca="false">E6-N(Players!E280)</f>
        <v>6.98708195813313</v>
      </c>
      <c r="F9" s="24" t="n">
        <f aca="false">F6-N(Players!F280)</f>
        <v>20.295708</v>
      </c>
      <c r="G9" s="24" t="n">
        <f aca="false">G6-N(Players!G280)</f>
        <v>27.6858481277259</v>
      </c>
      <c r="H9" s="24" t="n">
        <f aca="false">H6-N(Players!H280)</f>
        <v>29.4839887943925</v>
      </c>
      <c r="I9" s="24" t="n">
        <f aca="false">I6-N(Players!I280)</f>
        <v>43.7908221277259</v>
      </c>
      <c r="J9" s="24" t="n">
        <f aca="false">J6-N(Players!J280)</f>
        <v>47.1133221277259</v>
      </c>
      <c r="K9" s="24" t="n">
        <f aca="false">K6-N(Players!K280)</f>
        <v>51.7668221277259</v>
      </c>
      <c r="L9" s="24" t="n">
        <f aca="false">L6-N(Players!L280)</f>
        <v>51.7668221277259</v>
      </c>
      <c r="M9" s="24" t="n">
        <f aca="false">M6-N(Players!M280)</f>
        <v>51.7668221277259</v>
      </c>
    </row>
    <row r="10" customFormat="false" ht="17.15" hidden="false" customHeight="false" outlineLevel="0" collapsed="false">
      <c r="A10" s="5" t="s">
        <v>1451</v>
      </c>
      <c r="D10" s="26" t="n">
        <f aca="false">Players!D316</f>
        <v>2</v>
      </c>
      <c r="E10" s="26" t="n">
        <f aca="false">Players!E316</f>
        <v>7</v>
      </c>
      <c r="F10" s="26" t="n">
        <f aca="false">Players!F316</f>
        <v>15</v>
      </c>
      <c r="G10" s="26" t="n">
        <f aca="false">Players!G316</f>
        <v>15</v>
      </c>
      <c r="H10" s="26" t="n">
        <f aca="false">Players!H316</f>
        <v>15</v>
      </c>
      <c r="I10" s="26" t="n">
        <f aca="false">Players!I316</f>
        <v>15</v>
      </c>
      <c r="J10" s="26" t="n">
        <f aca="false">Players!J316</f>
        <v>15</v>
      </c>
      <c r="K10" s="26" t="n">
        <f aca="false">Players!K316</f>
        <v>15</v>
      </c>
      <c r="L10" s="26" t="n">
        <f aca="false">Players!L316</f>
        <v>15</v>
      </c>
      <c r="M10" s="26" t="n">
        <f aca="false">Players!M316</f>
        <v>15</v>
      </c>
    </row>
    <row r="12" customFormat="false" ht="17.15" hidden="false" customHeight="false" outlineLevel="0" collapsed="false">
      <c r="A12" s="8" t="s">
        <v>1452</v>
      </c>
      <c r="B12" s="20" t="s">
        <v>410</v>
      </c>
      <c r="C12" s="0" t="str">
        <f aca="false">In!C139</f>
        <v>設施</v>
      </c>
    </row>
    <row r="13" customFormat="false" ht="17.15" hidden="false" customHeight="false" outlineLevel="0" collapsed="false">
      <c r="A13" s="5" t="s">
        <v>1453</v>
      </c>
      <c r="D13" s="19" t="str">
        <f aca="false">IF(In!H139="","",In!H139)</f>
        <v/>
      </c>
      <c r="E13" s="19" t="str">
        <f aca="false">IF(In!I139="","",In!I139)</f>
        <v/>
      </c>
      <c r="F13" s="35" t="n">
        <f aca="false">IF(In!J139="","",In!J139)</f>
        <v>30</v>
      </c>
      <c r="G13" s="19" t="str">
        <f aca="false">IF(In!K139="","",In!K139)</f>
        <v/>
      </c>
      <c r="H13" s="19" t="str">
        <f aca="false">IF(In!L139="","",In!L139)</f>
        <v/>
      </c>
      <c r="I13" s="19" t="str">
        <f aca="false">IF(In!M139="","",In!M139)</f>
        <v/>
      </c>
      <c r="J13" s="19" t="str">
        <f aca="false">IF(In!N139="","",In!N139)</f>
        <v/>
      </c>
      <c r="K13" s="19" t="str">
        <f aca="false">IF(In!O139="","",In!O139)</f>
        <v/>
      </c>
      <c r="L13" s="19" t="str">
        <f aca="false">IF(In!P139="","",In!P139)</f>
        <v/>
      </c>
      <c r="M13" s="19" t="str">
        <f aca="false">IF(In!Q139="","",In!Q139)</f>
        <v/>
      </c>
    </row>
    <row r="14" customFormat="false" ht="17.15" hidden="false" customHeight="false" outlineLevel="0" collapsed="false">
      <c r="A14" s="5" t="s">
        <v>1454</v>
      </c>
      <c r="D14" s="24" t="str">
        <f aca="false">IF(D13="","",IF(In!$C$139="設施",D13/Players!D$13,D13))</f>
        <v/>
      </c>
      <c r="E14" s="24" t="str">
        <f aca="false">IF(E13="","",IF(In!$C$139="設施",E13/Players!E$13,E13))</f>
        <v/>
      </c>
      <c r="F14" s="24" t="n">
        <f aca="false">IF(F13="","",IF(In!$C$139="設施",F13/Players!F$13,F13))</f>
        <v>25</v>
      </c>
      <c r="G14" s="24" t="str">
        <f aca="false">IF(G13="","",IF(In!$C$139="設施",G13/Players!G$13,G13))</f>
        <v/>
      </c>
      <c r="H14" s="24" t="str">
        <f aca="false">IF(H13="","",IF(In!$C$139="設施",H13/Players!H$13,H13))</f>
        <v/>
      </c>
      <c r="I14" s="24" t="str">
        <f aca="false">IF(I13="","",IF(In!$C$139="設施",I13/Players!I$13,I13))</f>
        <v/>
      </c>
      <c r="J14" s="24" t="str">
        <f aca="false">IF(J13="","",IF(In!$C$139="設施",J13/Players!J$13,J13))</f>
        <v/>
      </c>
      <c r="K14" s="24" t="str">
        <f aca="false">IF(K13="","",IF(In!$C$139="設施",K13/Players!K$13,K13))</f>
        <v/>
      </c>
      <c r="L14" s="24" t="str">
        <f aca="false">IF(L13="","",IF(In!$C$139="設施",L13/Players!L$13,L13))</f>
        <v/>
      </c>
      <c r="M14" s="24" t="str">
        <f aca="false">IF(M13="","",IF(In!$C$139="設施",M13/Players!M$13,M13))</f>
        <v/>
      </c>
    </row>
    <row r="15" customFormat="false" ht="17.15" hidden="false" customHeight="false" outlineLevel="0" collapsed="false">
      <c r="A15" s="5" t="s">
        <v>1455</v>
      </c>
      <c r="D15" s="29" t="str">
        <f aca="false">IF(OR(D14="",N(D14)=0),"",D$4/D14)</f>
        <v/>
      </c>
      <c r="E15" s="29" t="str">
        <f aca="false">IF(OR(E14="",N(E14)=0),"",E$4/E14)</f>
        <v/>
      </c>
      <c r="F15" s="29" t="n">
        <f aca="false">IF(OR(F14="",N(F14)=0),"",F$4/F14)</f>
        <v>1.01348573333333</v>
      </c>
      <c r="G15" s="29" t="str">
        <f aca="false">IF(OR(G14="",N(G14)=0),"",G$4/G14)</f>
        <v/>
      </c>
      <c r="H15" s="29" t="str">
        <f aca="false">IF(OR(H14="",N(H14)=0),"",H$4/H14)</f>
        <v/>
      </c>
      <c r="I15" s="29" t="str">
        <f aca="false">IF(OR(I14="",N(I14)=0),"",I$4/I14)</f>
        <v/>
      </c>
      <c r="J15" s="29" t="str">
        <f aca="false">IF(OR(J14="",N(J14)=0),"",J$4/J14)</f>
        <v/>
      </c>
      <c r="K15" s="29" t="str">
        <f aca="false">IF(OR(K14="",N(K14)=0),"",K$4/K14)</f>
        <v/>
      </c>
      <c r="L15" s="29" t="str">
        <f aca="false">IF(OR(L14="",N(L14)=0),"",L$4/L14)</f>
        <v/>
      </c>
      <c r="M15" s="29" t="str">
        <f aca="false">IF(OR(M14="",N(M14)=0),"",M$4/M14)</f>
        <v/>
      </c>
    </row>
    <row r="16" customFormat="false" ht="17.15" hidden="false" customHeight="false" outlineLevel="0" collapsed="false">
      <c r="A16" s="5" t="s">
        <v>1456</v>
      </c>
      <c r="D16" s="0" t="str">
        <f aca="false">IF(OR(D14="",N(D14)=0),"",TEXT(D$5/D14,"0.00")&amp;"–"&amp;TEXT(D$6/D14,"0.00"))</f>
        <v/>
      </c>
      <c r="E16" s="0" t="str">
        <f aca="false">IF(OR(E14="",N(E14)=0),"",TEXT(E$5/E14,"0.00")&amp;"–"&amp;TEXT(E$6/E14,"0.00"))</f>
        <v/>
      </c>
      <c r="F16" s="0" t="str">
        <f aca="false">IF(OR(F14="",N(F14)=0),"",TEXT(F$5/F14,"0.00")&amp;"–"&amp;TEXT(F$6/F14,"0.00"))</f>
        <v>0.76–1.21</v>
      </c>
      <c r="G16" s="0" t="str">
        <f aca="false">IF(OR(G14="",N(G14)=0),"",TEXT(G$5/G14,"0.00")&amp;"–"&amp;TEXT(G$6/G14,"0.00"))</f>
        <v/>
      </c>
      <c r="H16" s="0" t="str">
        <f aca="false">IF(OR(H14="",N(H14)=0),"",TEXT(H$5/H14,"0.00")&amp;"–"&amp;TEXT(H$6/H14,"0.00"))</f>
        <v/>
      </c>
      <c r="I16" s="0" t="str">
        <f aca="false">IF(OR(I14="",N(I14)=0),"",TEXT(I$5/I14,"0.00")&amp;"–"&amp;TEXT(I$6/I14,"0.00"))</f>
        <v/>
      </c>
      <c r="J16" s="0" t="str">
        <f aca="false">IF(OR(J14="",N(J14)=0),"",TEXT(J$5/J14,"0.00")&amp;"–"&amp;TEXT(J$6/J14,"0.00"))</f>
        <v/>
      </c>
      <c r="K16" s="0" t="str">
        <f aca="false">IF(OR(K14="",N(K14)=0),"",TEXT(K$5/K14,"0.00")&amp;"–"&amp;TEXT(K$6/K14,"0.00"))</f>
        <v/>
      </c>
      <c r="L16" s="0" t="str">
        <f aca="false">IF(OR(L14="",N(L14)=0),"",TEXT(L$5/L14,"0.00")&amp;"–"&amp;TEXT(L$6/L14,"0.00"))</f>
        <v/>
      </c>
      <c r="M16" s="0" t="str">
        <f aca="false">IF(OR(M14="",N(M14)=0),"",TEXT(M$5/M14,"0.00")&amp;"–"&amp;TEXT(M$6/M14,"0.00"))</f>
        <v/>
      </c>
    </row>
    <row r="17" customFormat="false" ht="17.15" hidden="false" customHeight="false" outlineLevel="0" collapsed="false">
      <c r="A17" s="5" t="s">
        <v>1457</v>
      </c>
      <c r="D17" s="0" t="str">
        <f aca="false">IF(D15="","無資料",IF(AND(In!$E$139="Verified",FALSE()),IF(ABS(D15-1)&lt;=tolband,"對得上","偏差"),"證據不足（"&amp;IF(ABS(D15-1)&lt;=tolband,"帶內","帶外")&amp;"）"))</f>
        <v>無資料</v>
      </c>
      <c r="E17" s="0" t="str">
        <f aca="false">IF(E15="","無資料",IF(AND(In!$E$139="Verified",FALSE()),IF(ABS(E15-1)&lt;=tolband,"對得上","偏差"),"證據不足（"&amp;IF(ABS(E15-1)&lt;=tolband,"帶內","帶外")&amp;"）"))</f>
        <v>無資料</v>
      </c>
      <c r="F17" s="0" t="str">
        <f aca="false">IF(F15="","無資料",IF(AND(In!$E$139="Verified",FALSE()),IF(ABS(F15-1)&lt;=tolband,"對得上","偏差"),"證據不足（"&amp;IF(ABS(F15-1)&lt;=tolband,"帶內","帶外")&amp;"）"))</f>
        <v>證據不足（帶內）</v>
      </c>
      <c r="G17" s="0" t="str">
        <f aca="false">IF(G15="","無資料",IF(AND(In!$E$139="Verified",FALSE()),IF(ABS(G15-1)&lt;=tolband,"對得上","偏差"),"證據不足（"&amp;IF(ABS(G15-1)&lt;=tolband,"帶內","帶外")&amp;"）"))</f>
        <v>無資料</v>
      </c>
      <c r="H17" s="0" t="str">
        <f aca="false">IF(H15="","無資料",IF(AND(In!$E$139="Verified",FALSE()),IF(ABS(H15-1)&lt;=tolband,"對得上","偏差"),"證據不足（"&amp;IF(ABS(H15-1)&lt;=tolband,"帶內","帶外")&amp;"）"))</f>
        <v>無資料</v>
      </c>
      <c r="I17" s="0" t="str">
        <f aca="false">IF(I15="","無資料",IF(AND(In!$E$139="Verified",FALSE()),IF(ABS(I15-1)&lt;=tolband,"對得上","偏差"),"證據不足（"&amp;IF(ABS(I15-1)&lt;=tolband,"帶內","帶外")&amp;"）"))</f>
        <v>無資料</v>
      </c>
      <c r="J17" s="0" t="str">
        <f aca="false">IF(J15="","無資料",IF(AND(In!$E$139="Verified",FALSE()),IF(ABS(J15-1)&lt;=tolband,"對得上","偏差"),"證據不足（"&amp;IF(ABS(J15-1)&lt;=tolband,"帶內","帶外")&amp;"）"))</f>
        <v>無資料</v>
      </c>
      <c r="K17" s="0" t="str">
        <f aca="false">IF(K15="","無資料",IF(AND(In!$E$139="Verified",FALSE()),IF(ABS(K15-1)&lt;=tolband,"對得上","偏差"),"證據不足（"&amp;IF(ABS(K15-1)&lt;=tolband,"帶內","帶外")&amp;"）"))</f>
        <v>無資料</v>
      </c>
      <c r="L17" s="0" t="str">
        <f aca="false">IF(L15="","無資料",IF(AND(In!$E$139="Verified",FALSE()),IF(ABS(L15-1)&lt;=tolband,"對得上","偏差"),"證據不足（"&amp;IF(ABS(L15-1)&lt;=tolband,"帶內","帶外")&amp;"）"))</f>
        <v>無資料</v>
      </c>
      <c r="M17" s="0" t="str">
        <f aca="false">IF(M15="","無資料",IF(AND(In!$E$139="Verified",FALSE()),IF(ABS(M15-1)&lt;=tolband,"對得上","偏差"),"證據不足（"&amp;IF(ABS(M15-1)&lt;=tolband,"帶內","帶外")&amp;"）"))</f>
        <v>無資料</v>
      </c>
      <c r="N17" s="5" t="s">
        <v>1458</v>
      </c>
    </row>
    <row r="18" customFormat="false" ht="17.15" hidden="false" customHeight="false" outlineLevel="0" collapsed="false">
      <c r="A18" s="5" t="s">
        <v>1459</v>
      </c>
      <c r="D18" s="29" t="str">
        <f aca="false">IF(OR(D14="",N(D14)=0),"",D$7/D14)</f>
        <v/>
      </c>
      <c r="E18" s="29" t="str">
        <f aca="false">IF(OR(E14="",N(E14)=0),"",E$7/E14)</f>
        <v/>
      </c>
      <c r="F18" s="29" t="n">
        <f aca="false">IF(OR(F14="",N(F14)=0),"",F$7/F14)</f>
        <v>0.6801524</v>
      </c>
      <c r="G18" s="29" t="str">
        <f aca="false">IF(OR(G14="",N(G14)=0),"",G$7/G14)</f>
        <v/>
      </c>
      <c r="H18" s="29" t="str">
        <f aca="false">IF(OR(H14="",N(H14)=0),"",H$7/H14)</f>
        <v/>
      </c>
      <c r="I18" s="29" t="str">
        <f aca="false">IF(OR(I14="",N(I14)=0),"",I$7/I14)</f>
        <v/>
      </c>
      <c r="J18" s="29" t="str">
        <f aca="false">IF(OR(J14="",N(J14)=0),"",J$7/J14)</f>
        <v/>
      </c>
      <c r="K18" s="29" t="str">
        <f aca="false">IF(OR(K14="",N(K14)=0),"",K$7/K14)</f>
        <v/>
      </c>
      <c r="L18" s="29" t="str">
        <f aca="false">IF(OR(L14="",N(L14)=0),"",L$7/L14)</f>
        <v/>
      </c>
      <c r="M18" s="29" t="str">
        <f aca="false">IF(OR(M14="",N(M14)=0),"",M$7/M14)</f>
        <v/>
      </c>
    </row>
    <row r="19" customFormat="false" ht="17.15" hidden="false" customHeight="false" outlineLevel="0" collapsed="false">
      <c r="A19" s="5" t="s">
        <v>1460</v>
      </c>
      <c r="D19" s="0" t="str">
        <f aca="false">IF(OR(D14="",N(D14)=0),"",TEXT(D$8/D14,"0.00")&amp;"–"&amp;TEXT(D$9/D14,"0.00"))</f>
        <v/>
      </c>
      <c r="E19" s="0" t="str">
        <f aca="false">IF(OR(E14="",N(E14)=0),"",TEXT(E$8/E14,"0.00")&amp;"–"&amp;TEXT(E$9/E14,"0.00"))</f>
        <v/>
      </c>
      <c r="F19" s="0" t="str">
        <f aca="false">IF(OR(F14="",N(F14)=0),"",TEXT(F$8/F14,"0.00")&amp;"–"&amp;TEXT(F$9/F14,"0.00"))</f>
        <v>0.50–0.81</v>
      </c>
      <c r="G19" s="0" t="str">
        <f aca="false">IF(OR(G14="",N(G14)=0),"",TEXT(G$8/G14,"0.00")&amp;"–"&amp;TEXT(G$9/G14,"0.00"))</f>
        <v/>
      </c>
      <c r="H19" s="0" t="str">
        <f aca="false">IF(OR(H14="",N(H14)=0),"",TEXT(H$8/H14,"0.00")&amp;"–"&amp;TEXT(H$9/H14,"0.00"))</f>
        <v/>
      </c>
      <c r="I19" s="0" t="str">
        <f aca="false">IF(OR(I14="",N(I14)=0),"",TEXT(I$8/I14,"0.00")&amp;"–"&amp;TEXT(I$9/I14,"0.00"))</f>
        <v/>
      </c>
      <c r="J19" s="0" t="str">
        <f aca="false">IF(OR(J14="",N(J14)=0),"",TEXT(J$8/J14,"0.00")&amp;"–"&amp;TEXT(J$9/J14,"0.00"))</f>
        <v/>
      </c>
      <c r="K19" s="0" t="str">
        <f aca="false">IF(OR(K14="",N(K14)=0),"",TEXT(K$8/K14,"0.00")&amp;"–"&amp;TEXT(K$9/K14,"0.00"))</f>
        <v/>
      </c>
      <c r="L19" s="0" t="str">
        <f aca="false">IF(OR(L14="",N(L14)=0),"",TEXT(L$8/L14,"0.00")&amp;"–"&amp;TEXT(L$9/L14,"0.00"))</f>
        <v/>
      </c>
      <c r="M19" s="0" t="str">
        <f aca="false">IF(OR(M14="",N(M14)=0),"",TEXT(M$8/M14,"0.00")&amp;"–"&amp;TEXT(M$9/M14,"0.00"))</f>
        <v/>
      </c>
    </row>
    <row r="20" customFormat="false" ht="17.15" hidden="false" customHeight="false" outlineLevel="0" collapsed="false">
      <c r="A20" s="5" t="s">
        <v>1461</v>
      </c>
      <c r="D20" s="0" t="str">
        <f aca="false">IF(D18="","無資料",IF(AND(In!$E$139="Verified",FALSE()),IF(ABS(D18-1)&lt;=tolband,"對得上","偏差"),"證據不足（"&amp;IF(ABS(D18-1)&lt;=tolband,"帶內","帶外")&amp;"）"))</f>
        <v>無資料</v>
      </c>
      <c r="E20" s="0" t="str">
        <f aca="false">IF(E18="","無資料",IF(AND(In!$E$139="Verified",FALSE()),IF(ABS(E18-1)&lt;=tolband,"對得上","偏差"),"證據不足（"&amp;IF(ABS(E18-1)&lt;=tolband,"帶內","帶外")&amp;"）"))</f>
        <v>無資料</v>
      </c>
      <c r="F20" s="0" t="str">
        <f aca="false">IF(F18="","無資料",IF(AND(In!$E$139="Verified",FALSE()),IF(ABS(F18-1)&lt;=tolband,"對得上","偏差"),"證據不足（"&amp;IF(ABS(F18-1)&lt;=tolband,"帶內","帶外")&amp;"）"))</f>
        <v>證據不足（帶外）</v>
      </c>
      <c r="G20" s="0" t="str">
        <f aca="false">IF(G18="","無資料",IF(AND(In!$E$139="Verified",FALSE()),IF(ABS(G18-1)&lt;=tolband,"對得上","偏差"),"證據不足（"&amp;IF(ABS(G18-1)&lt;=tolband,"帶內","帶外")&amp;"）"))</f>
        <v>無資料</v>
      </c>
      <c r="H20" s="0" t="str">
        <f aca="false">IF(H18="","無資料",IF(AND(In!$E$139="Verified",FALSE()),IF(ABS(H18-1)&lt;=tolband,"對得上","偏差"),"證據不足（"&amp;IF(ABS(H18-1)&lt;=tolband,"帶內","帶外")&amp;"）"))</f>
        <v>無資料</v>
      </c>
      <c r="I20" s="0" t="str">
        <f aca="false">IF(I18="","無資料",IF(AND(In!$E$139="Verified",FALSE()),IF(ABS(I18-1)&lt;=tolband,"對得上","偏差"),"證據不足（"&amp;IF(ABS(I18-1)&lt;=tolband,"帶內","帶外")&amp;"）"))</f>
        <v>無資料</v>
      </c>
      <c r="J20" s="0" t="str">
        <f aca="false">IF(J18="","無資料",IF(AND(In!$E$139="Verified",FALSE()),IF(ABS(J18-1)&lt;=tolband,"對得上","偏差"),"證據不足（"&amp;IF(ABS(J18-1)&lt;=tolband,"帶內","帶外")&amp;"）"))</f>
        <v>無資料</v>
      </c>
      <c r="K20" s="0" t="str">
        <f aca="false">IF(K18="","無資料",IF(AND(In!$E$139="Verified",FALSE()),IF(ABS(K18-1)&lt;=tolband,"對得上","偏差"),"證據不足（"&amp;IF(ABS(K18-1)&lt;=tolband,"帶內","帶外")&amp;"）"))</f>
        <v>無資料</v>
      </c>
      <c r="L20" s="0" t="str">
        <f aca="false">IF(L18="","無資料",IF(AND(In!$E$139="Verified",FALSE()),IF(ABS(L18-1)&lt;=tolband,"對得上","偏差"),"證據不足（"&amp;IF(ABS(L18-1)&lt;=tolband,"帶內","帶外")&amp;"）"))</f>
        <v>無資料</v>
      </c>
      <c r="M20" s="0" t="str">
        <f aca="false">IF(M18="","無資料",IF(AND(In!$E$139="Verified",FALSE()),IF(ABS(M18-1)&lt;=tolband,"對得上","偏差"),"證據不足（"&amp;IF(ABS(M18-1)&lt;=tolband,"帶內","帶外")&amp;"）"))</f>
        <v>無資料</v>
      </c>
      <c r="N20" s="5" t="s">
        <v>1458</v>
      </c>
    </row>
    <row r="22" customFormat="false" ht="17.15" hidden="false" customHeight="false" outlineLevel="0" collapsed="false">
      <c r="A22" s="8" t="s">
        <v>1462</v>
      </c>
      <c r="B22" s="20" t="s">
        <v>413</v>
      </c>
      <c r="C22" s="0" t="str">
        <f aca="false">In!C140</f>
        <v>設施</v>
      </c>
    </row>
    <row r="23" customFormat="false" ht="17.15" hidden="false" customHeight="false" outlineLevel="0" collapsed="false">
      <c r="A23" s="5" t="s">
        <v>1453</v>
      </c>
      <c r="D23" s="19" t="str">
        <f aca="false">IF(In!H140="","",In!H140)</f>
        <v/>
      </c>
      <c r="E23" s="19" t="str">
        <f aca="false">IF(In!I140="","",In!I140)</f>
        <v/>
      </c>
      <c r="F23" s="35" t="n">
        <f aca="false">IF(In!J140="","",In!J140)</f>
        <v>31</v>
      </c>
      <c r="G23" s="19" t="str">
        <f aca="false">IF(In!K140="","",In!K140)</f>
        <v/>
      </c>
      <c r="H23" s="19" t="str">
        <f aca="false">IF(In!L140="","",In!L140)</f>
        <v/>
      </c>
      <c r="I23" s="19" t="str">
        <f aca="false">IF(In!M140="","",In!M140)</f>
        <v/>
      </c>
      <c r="J23" s="19" t="str">
        <f aca="false">IF(In!N140="","",In!N140)</f>
        <v/>
      </c>
      <c r="K23" s="19" t="str">
        <f aca="false">IF(In!O140="","",In!O140)</f>
        <v/>
      </c>
      <c r="L23" s="19" t="str">
        <f aca="false">IF(In!P140="","",In!P140)</f>
        <v/>
      </c>
      <c r="M23" s="19" t="str">
        <f aca="false">IF(In!Q140="","",In!Q140)</f>
        <v/>
      </c>
    </row>
    <row r="24" customFormat="false" ht="17.15" hidden="false" customHeight="false" outlineLevel="0" collapsed="false">
      <c r="A24" s="5" t="s">
        <v>1454</v>
      </c>
      <c r="D24" s="24" t="str">
        <f aca="false">IF(D23="","",IF(In!$C$140="設施",D23/Players!D$13,D23))</f>
        <v/>
      </c>
      <c r="E24" s="24" t="str">
        <f aca="false">IF(E23="","",IF(In!$C$140="設施",E23/Players!E$13,E23))</f>
        <v/>
      </c>
      <c r="F24" s="24" t="n">
        <f aca="false">IF(F23="","",IF(In!$C$140="設施",F23/Players!F$13,F23))</f>
        <v>25.8333333333333</v>
      </c>
      <c r="G24" s="24" t="str">
        <f aca="false">IF(G23="","",IF(In!$C$140="設施",G23/Players!G$13,G23))</f>
        <v/>
      </c>
      <c r="H24" s="24" t="str">
        <f aca="false">IF(H23="","",IF(In!$C$140="設施",H23/Players!H$13,H23))</f>
        <v/>
      </c>
      <c r="I24" s="24" t="str">
        <f aca="false">IF(I23="","",IF(In!$C$140="設施",I23/Players!I$13,I23))</f>
        <v/>
      </c>
      <c r="J24" s="24" t="str">
        <f aca="false">IF(J23="","",IF(In!$C$140="設施",J23/Players!J$13,J23))</f>
        <v/>
      </c>
      <c r="K24" s="24" t="str">
        <f aca="false">IF(K23="","",IF(In!$C$140="設施",K23/Players!K$13,K23))</f>
        <v/>
      </c>
      <c r="L24" s="24" t="str">
        <f aca="false">IF(L23="","",IF(In!$C$140="設施",L23/Players!L$13,L23))</f>
        <v/>
      </c>
      <c r="M24" s="24" t="str">
        <f aca="false">IF(M23="","",IF(In!$C$140="設施",M23/Players!M$13,M23))</f>
        <v/>
      </c>
    </row>
    <row r="25" customFormat="false" ht="17.15" hidden="false" customHeight="false" outlineLevel="0" collapsed="false">
      <c r="A25" s="5" t="s">
        <v>1455</v>
      </c>
      <c r="D25" s="29" t="str">
        <f aca="false">IF(OR(D24="",N(D24)=0),"",D$4/D24)</f>
        <v/>
      </c>
      <c r="E25" s="29" t="str">
        <f aca="false">IF(OR(E24="",N(E24)=0),"",E$4/E24)</f>
        <v/>
      </c>
      <c r="F25" s="29" t="n">
        <f aca="false">IF(OR(F24="",N(F24)=0),"",F$4/F24)</f>
        <v>0.98079264516129</v>
      </c>
      <c r="G25" s="29" t="str">
        <f aca="false">IF(OR(G24="",N(G24)=0),"",G$4/G24)</f>
        <v/>
      </c>
      <c r="H25" s="29" t="str">
        <f aca="false">IF(OR(H24="",N(H24)=0),"",H$4/H24)</f>
        <v/>
      </c>
      <c r="I25" s="29" t="str">
        <f aca="false">IF(OR(I24="",N(I24)=0),"",I$4/I24)</f>
        <v/>
      </c>
      <c r="J25" s="29" t="str">
        <f aca="false">IF(OR(J24="",N(J24)=0),"",J$4/J24)</f>
        <v/>
      </c>
      <c r="K25" s="29" t="str">
        <f aca="false">IF(OR(K24="",N(K24)=0),"",K$4/K24)</f>
        <v/>
      </c>
      <c r="L25" s="29" t="str">
        <f aca="false">IF(OR(L24="",N(L24)=0),"",L$4/L24)</f>
        <v/>
      </c>
      <c r="M25" s="29" t="str">
        <f aca="false">IF(OR(M24="",N(M24)=0),"",M$4/M24)</f>
        <v/>
      </c>
    </row>
    <row r="26" customFormat="false" ht="17.15" hidden="false" customHeight="false" outlineLevel="0" collapsed="false">
      <c r="A26" s="5" t="s">
        <v>1456</v>
      </c>
      <c r="D26" s="0" t="str">
        <f aca="false">IF(OR(D24="",N(D24)=0),"",TEXT(D$5/D24,"0.00")&amp;"–"&amp;TEXT(D$6/D24,"0.00"))</f>
        <v/>
      </c>
      <c r="E26" s="0" t="str">
        <f aca="false">IF(OR(E24="",N(E24)=0),"",TEXT(E$5/E24,"0.00")&amp;"–"&amp;TEXT(E$6/E24,"0.00"))</f>
        <v/>
      </c>
      <c r="F26" s="0" t="str">
        <f aca="false">IF(OR(F24="",N(F24)=0),"",TEXT(F$5/F24,"0.00")&amp;"–"&amp;TEXT(F$6/F24,"0.00"))</f>
        <v>0.74–1.17</v>
      </c>
      <c r="G26" s="0" t="str">
        <f aca="false">IF(OR(G24="",N(G24)=0),"",TEXT(G$5/G24,"0.00")&amp;"–"&amp;TEXT(G$6/G24,"0.00"))</f>
        <v/>
      </c>
      <c r="H26" s="0" t="str">
        <f aca="false">IF(OR(H24="",N(H24)=0),"",TEXT(H$5/H24,"0.00")&amp;"–"&amp;TEXT(H$6/H24,"0.00"))</f>
        <v/>
      </c>
      <c r="I26" s="0" t="str">
        <f aca="false">IF(OR(I24="",N(I24)=0),"",TEXT(I$5/I24,"0.00")&amp;"–"&amp;TEXT(I$6/I24,"0.00"))</f>
        <v/>
      </c>
      <c r="J26" s="0" t="str">
        <f aca="false">IF(OR(J24="",N(J24)=0),"",TEXT(J$5/J24,"0.00")&amp;"–"&amp;TEXT(J$6/J24,"0.00"))</f>
        <v/>
      </c>
      <c r="K26" s="0" t="str">
        <f aca="false">IF(OR(K24="",N(K24)=0),"",TEXT(K$5/K24,"0.00")&amp;"–"&amp;TEXT(K$6/K24,"0.00"))</f>
        <v/>
      </c>
      <c r="L26" s="0" t="str">
        <f aca="false">IF(OR(L24="",N(L24)=0),"",TEXT(L$5/L24,"0.00")&amp;"–"&amp;TEXT(L$6/L24,"0.00"))</f>
        <v/>
      </c>
      <c r="M26" s="0" t="str">
        <f aca="false">IF(OR(M24="",N(M24)=0),"",TEXT(M$5/M24,"0.00")&amp;"–"&amp;TEXT(M$6/M24,"0.00"))</f>
        <v/>
      </c>
    </row>
    <row r="27" customFormat="false" ht="17.15" hidden="false" customHeight="false" outlineLevel="0" collapsed="false">
      <c r="A27" s="5" t="s">
        <v>1457</v>
      </c>
      <c r="D27" s="0" t="str">
        <f aca="false">IF(D25="","無資料",IF(AND(In!$E$140="Verified",FALSE()),IF(ABS(D25-1)&lt;=tolband,"對得上","偏差"),"證據不足（"&amp;IF(ABS(D25-1)&lt;=tolband,"帶內","帶外")&amp;"）"))</f>
        <v>無資料</v>
      </c>
      <c r="E27" s="0" t="str">
        <f aca="false">IF(E25="","無資料",IF(AND(In!$E$140="Verified",FALSE()),IF(ABS(E25-1)&lt;=tolband,"對得上","偏差"),"證據不足（"&amp;IF(ABS(E25-1)&lt;=tolband,"帶內","帶外")&amp;"）"))</f>
        <v>無資料</v>
      </c>
      <c r="F27" s="0" t="str">
        <f aca="false">IF(F25="","無資料",IF(AND(In!$E$140="Verified",FALSE()),IF(ABS(F25-1)&lt;=tolband,"對得上","偏差"),"證據不足（"&amp;IF(ABS(F25-1)&lt;=tolband,"帶內","帶外")&amp;"）"))</f>
        <v>證據不足（帶內）</v>
      </c>
      <c r="G27" s="0" t="str">
        <f aca="false">IF(G25="","無資料",IF(AND(In!$E$140="Verified",FALSE()),IF(ABS(G25-1)&lt;=tolband,"對得上","偏差"),"證據不足（"&amp;IF(ABS(G25-1)&lt;=tolband,"帶內","帶外")&amp;"）"))</f>
        <v>無資料</v>
      </c>
      <c r="H27" s="0" t="str">
        <f aca="false">IF(H25="","無資料",IF(AND(In!$E$140="Verified",FALSE()),IF(ABS(H25-1)&lt;=tolband,"對得上","偏差"),"證據不足（"&amp;IF(ABS(H25-1)&lt;=tolband,"帶內","帶外")&amp;"）"))</f>
        <v>無資料</v>
      </c>
      <c r="I27" s="0" t="str">
        <f aca="false">IF(I25="","無資料",IF(AND(In!$E$140="Verified",FALSE()),IF(ABS(I25-1)&lt;=tolband,"對得上","偏差"),"證據不足（"&amp;IF(ABS(I25-1)&lt;=tolband,"帶內","帶外")&amp;"）"))</f>
        <v>無資料</v>
      </c>
      <c r="J27" s="0" t="str">
        <f aca="false">IF(J25="","無資料",IF(AND(In!$E$140="Verified",FALSE()),IF(ABS(J25-1)&lt;=tolband,"對得上","偏差"),"證據不足（"&amp;IF(ABS(J25-1)&lt;=tolband,"帶內","帶外")&amp;"）"))</f>
        <v>無資料</v>
      </c>
      <c r="K27" s="0" t="str">
        <f aca="false">IF(K25="","無資料",IF(AND(In!$E$140="Verified",FALSE()),IF(ABS(K25-1)&lt;=tolband,"對得上","偏差"),"證據不足（"&amp;IF(ABS(K25-1)&lt;=tolband,"帶內","帶外")&amp;"）"))</f>
        <v>無資料</v>
      </c>
      <c r="L27" s="0" t="str">
        <f aca="false">IF(L25="","無資料",IF(AND(In!$E$140="Verified",FALSE()),IF(ABS(L25-1)&lt;=tolband,"對得上","偏差"),"證據不足（"&amp;IF(ABS(L25-1)&lt;=tolband,"帶內","帶外")&amp;"）"))</f>
        <v>無資料</v>
      </c>
      <c r="M27" s="0" t="str">
        <f aca="false">IF(M25="","無資料",IF(AND(In!$E$140="Verified",FALSE()),IF(ABS(M25-1)&lt;=tolband,"對得上","偏差"),"證據不足（"&amp;IF(ABS(M25-1)&lt;=tolband,"帶內","帶外")&amp;"）"))</f>
        <v>無資料</v>
      </c>
      <c r="N27" s="5" t="s">
        <v>1458</v>
      </c>
    </row>
    <row r="28" customFormat="false" ht="17.15" hidden="false" customHeight="false" outlineLevel="0" collapsed="false">
      <c r="A28" s="5" t="s">
        <v>1459</v>
      </c>
      <c r="D28" s="29" t="str">
        <f aca="false">IF(OR(D24="",N(D24)=0),"",D$7/D24)</f>
        <v/>
      </c>
      <c r="E28" s="29" t="str">
        <f aca="false">IF(OR(E24="",N(E24)=0),"",E$7/E24)</f>
        <v/>
      </c>
      <c r="F28" s="29" t="n">
        <f aca="false">IF(OR(F24="",N(F24)=0),"",F$7/F24)</f>
        <v>0.658212</v>
      </c>
      <c r="G28" s="29" t="str">
        <f aca="false">IF(OR(G24="",N(G24)=0),"",G$7/G24)</f>
        <v/>
      </c>
      <c r="H28" s="29" t="str">
        <f aca="false">IF(OR(H24="",N(H24)=0),"",H$7/H24)</f>
        <v/>
      </c>
      <c r="I28" s="29" t="str">
        <f aca="false">IF(OR(I24="",N(I24)=0),"",I$7/I24)</f>
        <v/>
      </c>
      <c r="J28" s="29" t="str">
        <f aca="false">IF(OR(J24="",N(J24)=0),"",J$7/J24)</f>
        <v/>
      </c>
      <c r="K28" s="29" t="str">
        <f aca="false">IF(OR(K24="",N(K24)=0),"",K$7/K24)</f>
        <v/>
      </c>
      <c r="L28" s="29" t="str">
        <f aca="false">IF(OR(L24="",N(L24)=0),"",L$7/L24)</f>
        <v/>
      </c>
      <c r="M28" s="29" t="str">
        <f aca="false">IF(OR(M24="",N(M24)=0),"",M$7/M24)</f>
        <v/>
      </c>
    </row>
    <row r="29" customFormat="false" ht="17.15" hidden="false" customHeight="false" outlineLevel="0" collapsed="false">
      <c r="A29" s="5" t="s">
        <v>1460</v>
      </c>
      <c r="D29" s="0" t="str">
        <f aca="false">IF(OR(D24="",N(D24)=0),"",TEXT(D$8/D24,"0.00")&amp;"–"&amp;TEXT(D$9/D24,"0.00"))</f>
        <v/>
      </c>
      <c r="E29" s="0" t="str">
        <f aca="false">IF(OR(E24="",N(E24)=0),"",TEXT(E$8/E24,"0.00")&amp;"–"&amp;TEXT(E$9/E24,"0.00"))</f>
        <v/>
      </c>
      <c r="F29" s="0" t="str">
        <f aca="false">IF(OR(F24="",N(F24)=0),"",TEXT(F$8/F24,"0.00")&amp;"–"&amp;TEXT(F$9/F24,"0.00"))</f>
        <v>0.48–0.79</v>
      </c>
      <c r="G29" s="0" t="str">
        <f aca="false">IF(OR(G24="",N(G24)=0),"",TEXT(G$8/G24,"0.00")&amp;"–"&amp;TEXT(G$9/G24,"0.00"))</f>
        <v/>
      </c>
      <c r="H29" s="0" t="str">
        <f aca="false">IF(OR(H24="",N(H24)=0),"",TEXT(H$8/H24,"0.00")&amp;"–"&amp;TEXT(H$9/H24,"0.00"))</f>
        <v/>
      </c>
      <c r="I29" s="0" t="str">
        <f aca="false">IF(OR(I24="",N(I24)=0),"",TEXT(I$8/I24,"0.00")&amp;"–"&amp;TEXT(I$9/I24,"0.00"))</f>
        <v/>
      </c>
      <c r="J29" s="0" t="str">
        <f aca="false">IF(OR(J24="",N(J24)=0),"",TEXT(J$8/J24,"0.00")&amp;"–"&amp;TEXT(J$9/J24,"0.00"))</f>
        <v/>
      </c>
      <c r="K29" s="0" t="str">
        <f aca="false">IF(OR(K24="",N(K24)=0),"",TEXT(K$8/K24,"0.00")&amp;"–"&amp;TEXT(K$9/K24,"0.00"))</f>
        <v/>
      </c>
      <c r="L29" s="0" t="str">
        <f aca="false">IF(OR(L24="",N(L24)=0),"",TEXT(L$8/L24,"0.00")&amp;"–"&amp;TEXT(L$9/L24,"0.00"))</f>
        <v/>
      </c>
      <c r="M29" s="0" t="str">
        <f aca="false">IF(OR(M24="",N(M24)=0),"",TEXT(M$8/M24,"0.00")&amp;"–"&amp;TEXT(M$9/M24,"0.00"))</f>
        <v/>
      </c>
    </row>
    <row r="30" customFormat="false" ht="17.15" hidden="false" customHeight="false" outlineLevel="0" collapsed="false">
      <c r="A30" s="5" t="s">
        <v>1461</v>
      </c>
      <c r="D30" s="0" t="str">
        <f aca="false">IF(D28="","無資料",IF(AND(In!$E$140="Verified",FALSE()),IF(ABS(D28-1)&lt;=tolband,"對得上","偏差"),"證據不足（"&amp;IF(ABS(D28-1)&lt;=tolband,"帶內","帶外")&amp;"）"))</f>
        <v>無資料</v>
      </c>
      <c r="E30" s="0" t="str">
        <f aca="false">IF(E28="","無資料",IF(AND(In!$E$140="Verified",FALSE()),IF(ABS(E28-1)&lt;=tolband,"對得上","偏差"),"證據不足（"&amp;IF(ABS(E28-1)&lt;=tolband,"帶內","帶外")&amp;"）"))</f>
        <v>無資料</v>
      </c>
      <c r="F30" s="0" t="str">
        <f aca="false">IF(F28="","無資料",IF(AND(In!$E$140="Verified",FALSE()),IF(ABS(F28-1)&lt;=tolband,"對得上","偏差"),"證據不足（"&amp;IF(ABS(F28-1)&lt;=tolband,"帶內","帶外")&amp;"）"))</f>
        <v>證據不足（帶外）</v>
      </c>
      <c r="G30" s="0" t="str">
        <f aca="false">IF(G28="","無資料",IF(AND(In!$E$140="Verified",FALSE()),IF(ABS(G28-1)&lt;=tolband,"對得上","偏差"),"證據不足（"&amp;IF(ABS(G28-1)&lt;=tolband,"帶內","帶外")&amp;"）"))</f>
        <v>無資料</v>
      </c>
      <c r="H30" s="0" t="str">
        <f aca="false">IF(H28="","無資料",IF(AND(In!$E$140="Verified",FALSE()),IF(ABS(H28-1)&lt;=tolband,"對得上","偏差"),"證據不足（"&amp;IF(ABS(H28-1)&lt;=tolband,"帶內","帶外")&amp;"）"))</f>
        <v>無資料</v>
      </c>
      <c r="I30" s="0" t="str">
        <f aca="false">IF(I28="","無資料",IF(AND(In!$E$140="Verified",FALSE()),IF(ABS(I28-1)&lt;=tolband,"對得上","偏差"),"證據不足（"&amp;IF(ABS(I28-1)&lt;=tolband,"帶內","帶外")&amp;"）"))</f>
        <v>無資料</v>
      </c>
      <c r="J30" s="0" t="str">
        <f aca="false">IF(J28="","無資料",IF(AND(In!$E$140="Verified",FALSE()),IF(ABS(J28-1)&lt;=tolband,"對得上","偏差"),"證據不足（"&amp;IF(ABS(J28-1)&lt;=tolband,"帶內","帶外")&amp;"）"))</f>
        <v>無資料</v>
      </c>
      <c r="K30" s="0" t="str">
        <f aca="false">IF(K28="","無資料",IF(AND(In!$E$140="Verified",FALSE()),IF(ABS(K28-1)&lt;=tolband,"對得上","偏差"),"證據不足（"&amp;IF(ABS(K28-1)&lt;=tolband,"帶內","帶外")&amp;"）"))</f>
        <v>無資料</v>
      </c>
      <c r="L30" s="0" t="str">
        <f aca="false">IF(L28="","無資料",IF(AND(In!$E$140="Verified",FALSE()),IF(ABS(L28-1)&lt;=tolband,"對得上","偏差"),"證據不足（"&amp;IF(ABS(L28-1)&lt;=tolband,"帶內","帶外")&amp;"）"))</f>
        <v>無資料</v>
      </c>
      <c r="M30" s="0" t="str">
        <f aca="false">IF(M28="","無資料",IF(AND(In!$E$140="Verified",FALSE()),IF(ABS(M28-1)&lt;=tolband,"對得上","偏差"),"證據不足（"&amp;IF(ABS(M28-1)&lt;=tolband,"帶內","帶外")&amp;"）"))</f>
        <v>無資料</v>
      </c>
      <c r="N30" s="5" t="s">
        <v>1458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4" style="0" width="13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1463</v>
      </c>
    </row>
    <row r="2" customFormat="false" ht="17.15" hidden="false" customHeight="false" outlineLevel="0" collapsed="false">
      <c r="A2" s="0" t="s">
        <v>1464</v>
      </c>
    </row>
    <row r="3" customFormat="false" ht="15" hidden="false" customHeight="false" outlineLevel="0" collapsed="false">
      <c r="A3" s="6" t="s">
        <v>13</v>
      </c>
      <c r="B3" s="6" t="s">
        <v>1213</v>
      </c>
      <c r="C3" s="6" t="s">
        <v>15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6" t="s">
        <v>1465</v>
      </c>
    </row>
    <row r="4" customFormat="false" ht="17.15" hidden="false" customHeight="false" outlineLevel="0" collapsed="false">
      <c r="A4" s="21" t="s">
        <v>1466</v>
      </c>
    </row>
    <row r="5" customFormat="false" ht="17.15" hidden="false" customHeight="false" outlineLevel="0" collapsed="false">
      <c r="A5" s="0" t="s">
        <v>1467</v>
      </c>
      <c r="D5" s="29" t="n">
        <f aca="false">MAX(0,1-lag_bldg/12)</f>
        <v>0</v>
      </c>
    </row>
    <row r="6" customFormat="false" ht="17.15" hidden="false" customHeight="false" outlineLevel="0" collapsed="false">
      <c r="A6" s="0" t="s">
        <v>1468</v>
      </c>
      <c r="D6" s="29" t="n">
        <f aca="false">MAX(0,MIN(lag_bldg/12,2-lag_bldg/12))</f>
        <v>0.5</v>
      </c>
    </row>
    <row r="7" customFormat="false" ht="17.15" hidden="false" customHeight="false" outlineLevel="0" collapsed="false">
      <c r="A7" s="0" t="s">
        <v>1469</v>
      </c>
      <c r="D7" s="29" t="n">
        <f aca="false">MAX(0,MIN(1,lag_bldg/12-1))</f>
        <v>0.5</v>
      </c>
    </row>
    <row r="8" customFormat="false" ht="17.15" hidden="false" customHeight="false" outlineLevel="0" collapsed="false">
      <c r="A8" s="0" t="s">
        <v>1470</v>
      </c>
      <c r="D8" s="29" t="n">
        <f aca="false">Players!D5*TK_CapexIT_H100+Players!D6*TK_CapexIT_GB200+Players!D7*TK_CapexIT_GB300+Players!D8*TK_CapexIT_VR200+Players!D9*TK_CapexIT_RU</f>
        <v>27.510214</v>
      </c>
      <c r="E8" s="29" t="n">
        <f aca="false">Players!E5*TK_CapexIT_H100+Players!E6*TK_CapexIT_GB200+Players!E7*TK_CapexIT_GB300+Players!E8*TK_CapexIT_VR200+Players!E9*TK_CapexIT_RU</f>
        <v>27.510214</v>
      </c>
      <c r="F8" s="29" t="n">
        <f aca="false">Players!F5*TK_CapexIT_H100+Players!F6*TK_CapexIT_GB200+Players!F7*TK_CapexIT_GB300+Players!F8*TK_CapexIT_VR200+Players!F9*TK_CapexIT_RU</f>
        <v>26.009088</v>
      </c>
      <c r="G8" s="29" t="n">
        <f aca="false">Players!G5*TK_CapexIT_H100+Players!G6*TK_CapexIT_GB200+Players!G7*TK_CapexIT_GB300+Players!G8*TK_CapexIT_VR200+Players!G9*TK_CapexIT_RU</f>
        <v>33.41403216</v>
      </c>
      <c r="H8" s="29" t="n">
        <f aca="false">Players!H5*TK_CapexIT_H100+Players!H6*TK_CapexIT_GB200+Players!H7*TK_CapexIT_GB300+Players!H8*TK_CapexIT_VR200+Players!H9*TK_CapexIT_RU</f>
        <v>38.3403893327246</v>
      </c>
      <c r="I8" s="29" t="n">
        <f aca="false">Players!I5*TK_CapexIT_H100+Players!I6*TK_CapexIT_GB200+Players!I7*TK_CapexIT_GB300+Players!I8*TK_CapexIT_VR200+Players!I9*TK_CapexIT_RU</f>
        <v>41.3326208898258</v>
      </c>
      <c r="J8" s="29" t="n">
        <f aca="false">Players!J5*TK_CapexIT_H100+Players!J6*TK_CapexIT_GB200+Players!J7*TK_CapexIT_GB300+Players!J8*TK_CapexIT_VR200+Players!J9*TK_CapexIT_RU</f>
        <v>41.3326208898258</v>
      </c>
      <c r="K8" s="29" t="n">
        <f aca="false">Players!K5*TK_CapexIT_H100+Players!K6*TK_CapexIT_GB200+Players!K7*TK_CapexIT_GB300+Players!K8*TK_CapexIT_VR200+Players!K9*TK_CapexIT_RU</f>
        <v>41.3326208898258</v>
      </c>
      <c r="L8" s="29" t="n">
        <f aca="false">Players!L5*TK_CapexIT_H100+Players!L6*TK_CapexIT_GB200+Players!L7*TK_CapexIT_GB300+Players!L8*TK_CapexIT_VR200+Players!L9*TK_CapexIT_RU</f>
        <v>41.3326208898258</v>
      </c>
      <c r="M8" s="29" t="n">
        <f aca="false">Players!M5*TK_CapexIT_H100+Players!M6*TK_CapexIT_GB200+Players!M7*TK_CapexIT_GB300+Players!M8*TK_CapexIT_VR200+Players!M9*TK_CapexIT_RU</f>
        <v>41.3326208898258</v>
      </c>
    </row>
    <row r="9" customFormat="false" ht="17.15" hidden="false" customHeight="false" outlineLevel="0" collapsed="false">
      <c r="A9" s="0" t="s">
        <v>1471</v>
      </c>
      <c r="D9" s="29" t="n">
        <f aca="false">Players!D5*TK_CapexFacility_H100+Players!D6*TK_CapexFacility_GB200+Players!D7*TK_CapexFacility_GB300+Players!D8*TK_CapexFacility_VR200+Players!D9*TK_CapexFacility_RU</f>
        <v>12.67</v>
      </c>
      <c r="E9" s="29" t="n">
        <f aca="false">Players!E5*TK_CapexFacility_H100+Players!E6*TK_CapexFacility_GB200+Players!E7*TK_CapexFacility_GB300+Players!E8*TK_CapexFacility_VR200+Players!E9*TK_CapexFacility_RU</f>
        <v>12.67</v>
      </c>
      <c r="F9" s="29" t="n">
        <f aca="false">Players!F5*TK_CapexFacility_H100+Players!F6*TK_CapexFacility_GB200+Players!F7*TK_CapexFacility_GB300+Players!F8*TK_CapexFacility_VR200+Players!F9*TK_CapexFacility_RU</f>
        <v>12.67</v>
      </c>
      <c r="G9" s="29" t="n">
        <f aca="false">Players!G5*TK_CapexFacility_H100+Players!G6*TK_CapexFacility_GB200+Players!G7*TK_CapexFacility_GB300+Players!G8*TK_CapexFacility_VR200+Players!G9*TK_CapexFacility_RU</f>
        <v>12.67</v>
      </c>
      <c r="H9" s="29" t="n">
        <f aca="false">Players!H5*TK_CapexFacility_H100+Players!H6*TK_CapexFacility_GB200+Players!H7*TK_CapexFacility_GB300+Players!H8*TK_CapexFacility_VR200+Players!H9*TK_CapexFacility_RU</f>
        <v>12.67</v>
      </c>
      <c r="I9" s="29" t="n">
        <f aca="false">Players!I5*TK_CapexFacility_H100+Players!I6*TK_CapexFacility_GB200+Players!I7*TK_CapexFacility_GB300+Players!I8*TK_CapexFacility_VR200+Players!I9*TK_CapexFacility_RU</f>
        <v>12.67</v>
      </c>
      <c r="J9" s="29" t="n">
        <f aca="false">Players!J5*TK_CapexFacility_H100+Players!J6*TK_CapexFacility_GB200+Players!J7*TK_CapexFacility_GB300+Players!J8*TK_CapexFacility_VR200+Players!J9*TK_CapexFacility_RU</f>
        <v>12.67</v>
      </c>
      <c r="K9" s="29" t="n">
        <f aca="false">Players!K5*TK_CapexFacility_H100+Players!K6*TK_CapexFacility_GB200+Players!K7*TK_CapexFacility_GB300+Players!K8*TK_CapexFacility_VR200+Players!K9*TK_CapexFacility_RU</f>
        <v>12.67</v>
      </c>
      <c r="L9" s="29" t="n">
        <f aca="false">Players!L5*TK_CapexFacility_H100+Players!L6*TK_CapexFacility_GB200+Players!L7*TK_CapexFacility_GB300+Players!L8*TK_CapexFacility_VR200+Players!L9*TK_CapexFacility_RU</f>
        <v>12.67</v>
      </c>
      <c r="M9" s="29" t="n">
        <f aca="false">Players!M5*TK_CapexFacility_H100+Players!M6*TK_CapexFacility_GB200+Players!M7*TK_CapexFacility_GB300+Players!M8*TK_CapexFacility_VR200+Players!M9*TK_CapexFacility_RU</f>
        <v>12.67</v>
      </c>
    </row>
    <row r="11" customFormat="false" ht="17.15" hidden="false" customHeight="false" outlineLevel="0" collapsed="false">
      <c r="A11" s="8" t="s">
        <v>844</v>
      </c>
      <c r="B11" s="20" t="s">
        <v>441</v>
      </c>
      <c r="N11" s="5" t="s">
        <v>1472</v>
      </c>
    </row>
    <row r="12" customFormat="false" ht="17.15" hidden="false" customHeight="false" outlineLevel="0" collapsed="false">
      <c r="A12" s="5" t="s">
        <v>1473</v>
      </c>
      <c r="C12" s="0" t="s">
        <v>325</v>
      </c>
      <c r="D12" s="32" t="n">
        <f aca="false">Players!D36*((1-Players!D38)*D$8+Players!D38*TK_NonNV_Hold_Maia*TK_CapexIT_VR200)</f>
        <v>0</v>
      </c>
      <c r="E12" s="32" t="n">
        <f aca="false">Players!E36*((1-Players!E38)*E$8+Players!E38*TK_NonNV_Hold_Maia*TK_CapexIT_VR200)</f>
        <v>0</v>
      </c>
      <c r="F12" s="32" t="n">
        <f aca="false">Players!F36*((1-Players!F38)*F$8+Players!F38*TK_NonNV_Hold_Maia*TK_CapexIT_VR200)</f>
        <v>51.8661035764096</v>
      </c>
      <c r="G12" s="32" t="n">
        <f aca="false">Players!G36*((1-Players!G38)*G$8+Players!G38*TK_NonNV_Hold_Maia*TK_CapexIT_VR200)</f>
        <v>23.0756060078041</v>
      </c>
      <c r="H12" s="32" t="n">
        <f aca="false">Players!H36*((1-Players!H38)*H$8+Players!H38*TK_NonNV_Hold_Maia*TK_CapexIT_VR200)</f>
        <v>29.7018080736044</v>
      </c>
      <c r="I12" s="32" t="n">
        <f aca="false">Players!I36*((1-Players!I38)*I$8+Players!I38*TK_NonNV_Hold_Maia*TK_CapexIT_VR200)</f>
        <v>66.7739251267345</v>
      </c>
      <c r="J12" s="32" t="n">
        <f aca="false">Players!J36*((1-Players!J38)*J$8+Players!J38*TK_NonNV_Hold_Maia*TK_CapexIT_VR200)</f>
        <v>0</v>
      </c>
      <c r="K12" s="32" t="n">
        <f aca="false">Players!K36*((1-Players!K38)*K$8+Players!K38*TK_NonNV_Hold_Maia*TK_CapexIT_VR200)</f>
        <v>0</v>
      </c>
      <c r="L12" s="32" t="n">
        <f aca="false">Players!L36*((1-Players!L38)*L$8+Players!L38*TK_NonNV_Hold_Maia*TK_CapexIT_VR200)</f>
        <v>0</v>
      </c>
      <c r="M12" s="32" t="n">
        <f aca="false">Players!M36*((1-Players!M38)*M$8+Players!M38*TK_NonNV_Hold_Maia*TK_CapexIT_VR200)</f>
        <v>0</v>
      </c>
    </row>
    <row r="13" customFormat="false" ht="15" hidden="false" customHeight="false" outlineLevel="0" collapsed="false">
      <c r="A13" s="5" t="s">
        <v>1474</v>
      </c>
      <c r="C13" s="0" t="s">
        <v>325</v>
      </c>
      <c r="D13" s="32" t="n">
        <f aca="false">Players!D36*((1-Players!D38)*D$9+Players!D38*TK_NonNV_Hold_Maia*TK_CapexFacility_VR200)</f>
        <v>0</v>
      </c>
      <c r="E13" s="32" t="n">
        <f aca="false">Players!E36*((1-Players!E38)*E$9+Players!E38*TK_NonNV_Hold_Maia*TK_CapexFacility_VR200)</f>
        <v>0</v>
      </c>
      <c r="F13" s="32" t="n">
        <f aca="false">Players!F36*((1-Players!F38)*F$9+Players!F38*TK_NonNV_Hold_Maia*TK_CapexFacility_VR200)</f>
        <v>23.8316186978092</v>
      </c>
      <c r="G13" s="32" t="n">
        <f aca="false">Players!G36*((1-Players!G38)*G$9+Players!G38*TK_NonNV_Hold_Maia*TK_CapexFacility_VR200)</f>
        <v>8.6045818997923</v>
      </c>
      <c r="H13" s="32" t="n">
        <f aca="false">Players!H36*((1-Players!H38)*H$9+Players!H38*TK_NonNV_Hold_Maia*TK_CapexFacility_VR200)</f>
        <v>9.84590973264765</v>
      </c>
      <c r="I13" s="32" t="n">
        <f aca="false">Players!I36*((1-Players!I38)*I$9+Players!I38*TK_NonNV_Hold_Maia*TK_CapexFacility_VR200)</f>
        <v>20.7619303748241</v>
      </c>
      <c r="J13" s="32" t="n">
        <f aca="false">Players!J36*((1-Players!J38)*J$9+Players!J38*TK_NonNV_Hold_Maia*TK_CapexFacility_VR200)</f>
        <v>0</v>
      </c>
      <c r="K13" s="32" t="n">
        <f aca="false">Players!K36*((1-Players!K38)*K$9+Players!K38*TK_NonNV_Hold_Maia*TK_CapexFacility_VR200)</f>
        <v>0</v>
      </c>
      <c r="L13" s="32" t="n">
        <f aca="false">Players!L36*((1-Players!L38)*L$9+Players!L38*TK_NonNV_Hold_Maia*TK_CapexFacility_VR200)</f>
        <v>0</v>
      </c>
      <c r="M13" s="32" t="n">
        <f aca="false">Players!M36*((1-Players!M38)*M$9+Players!M38*TK_NonNV_Hold_Maia*TK_CapexFacility_VR200)</f>
        <v>0</v>
      </c>
    </row>
    <row r="14" customFormat="false" ht="17.15" hidden="false" customHeight="false" outlineLevel="0" collapsed="false">
      <c r="A14" s="5" t="s">
        <v>1475</v>
      </c>
      <c r="C14" s="0" t="s">
        <v>325</v>
      </c>
      <c r="D14" s="32" t="n">
        <f aca="false">D13*$D$5+E13*$D$6+F13*$D$7</f>
        <v>11.9158093489046</v>
      </c>
      <c r="E14" s="32" t="n">
        <f aca="false">E13*$D$5+F13*$D$6+G13*$D$7</f>
        <v>16.2181002988008</v>
      </c>
      <c r="F14" s="32" t="n">
        <f aca="false">F13*$D$5+G13*$D$6+H13*$D$7</f>
        <v>9.22524581621997</v>
      </c>
      <c r="G14" s="32" t="n">
        <f aca="false">G13*$D$5+H13*$D$6+I13*$D$7</f>
        <v>15.3039200537359</v>
      </c>
      <c r="H14" s="32" t="n">
        <f aca="false">H13*$D$5+I13*$D$6+J13*$D$7</f>
        <v>10.3809651874121</v>
      </c>
      <c r="I14" s="32" t="n">
        <f aca="false">I13*$D$5+J13*$D$6+K13*$D$7</f>
        <v>0</v>
      </c>
      <c r="J14" s="32" t="n">
        <f aca="false">J13*$D$5+K13*$D$6+L13*$D$7</f>
        <v>0</v>
      </c>
      <c r="K14" s="32" t="n">
        <f aca="false">K13*$D$5+L13*$D$6+M13*$D$7</f>
        <v>0</v>
      </c>
      <c r="L14" s="32" t="n">
        <f aca="false">L13*$D$5+M13*$D$6</f>
        <v>0</v>
      </c>
      <c r="M14" s="32" t="n">
        <f aca="false">M13*$D$5</f>
        <v>0</v>
      </c>
    </row>
    <row r="15" customFormat="false" ht="17.15" hidden="false" customHeight="false" outlineLevel="0" collapsed="false">
      <c r="A15" s="5" t="s">
        <v>1476</v>
      </c>
      <c r="C15" s="0" t="s">
        <v>325</v>
      </c>
      <c r="D15" s="32" t="n">
        <f aca="false">D12+D14</f>
        <v>11.9158093489046</v>
      </c>
      <c r="E15" s="32" t="n">
        <f aca="false">E12+E14</f>
        <v>16.2181002988008</v>
      </c>
      <c r="F15" s="32" t="n">
        <f aca="false">F12+F14</f>
        <v>61.0913493926295</v>
      </c>
      <c r="G15" s="32" t="n">
        <f aca="false">G12+G14</f>
        <v>38.37952606154</v>
      </c>
      <c r="H15" s="32" t="n">
        <f aca="false">H12+H14</f>
        <v>40.0827732610164</v>
      </c>
      <c r="I15" s="32" t="n">
        <f aca="false">I12+I14</f>
        <v>66.7739251267345</v>
      </c>
      <c r="J15" s="32" t="n">
        <f aca="false">J12+J14</f>
        <v>0</v>
      </c>
      <c r="K15" s="32" t="n">
        <f aca="false">K12+K14</f>
        <v>0</v>
      </c>
      <c r="L15" s="32" t="n">
        <f aca="false">L12+L14</f>
        <v>0</v>
      </c>
      <c r="M15" s="32" t="n">
        <f aca="false">M12+M14</f>
        <v>0</v>
      </c>
    </row>
    <row r="16" customFormat="false" ht="17.15" hidden="false" customHeight="false" outlineLevel="0" collapsed="false">
      <c r="A16" s="5" t="s">
        <v>1477</v>
      </c>
      <c r="C16" s="0" t="s">
        <v>325</v>
      </c>
      <c r="D16" s="32" t="n">
        <f aca="false">D15*fye_msft/12+N(In!H120)</f>
        <v>5.9579046744523</v>
      </c>
      <c r="E16" s="32" t="n">
        <f aca="false">E15*fye_msft/12+D15*(12-fye_msft)/12+N(In!I120)</f>
        <v>14.0669548238527</v>
      </c>
      <c r="F16" s="32" t="n">
        <f aca="false">F15*fye_msft/12+E15*(12-fye_msft)/12+N(In!J120)</f>
        <v>38.6547248457152</v>
      </c>
      <c r="G16" s="32" t="n">
        <f aca="false">G15*fye_msft/12+F15*(12-fye_msft)/12+N(In!K120)</f>
        <v>49.7354377270847</v>
      </c>
      <c r="H16" s="32" t="n">
        <f aca="false">H15*fye_msft/12+G15*(12-fye_msft)/12+N(In!L120)</f>
        <v>39.2311496612782</v>
      </c>
      <c r="I16" s="32" t="n">
        <f aca="false">I15*fye_msft/12+H15*(12-fye_msft)/12+N(In!M120)</f>
        <v>53.4283491938755</v>
      </c>
      <c r="J16" s="32" t="n">
        <f aca="false">J15*fye_msft/12+I15*(12-fye_msft)/12+N(In!N120)</f>
        <v>33.3869625633673</v>
      </c>
      <c r="K16" s="32" t="n">
        <f aca="false">K15*fye_msft/12+J15*(12-fye_msft)/12+N(In!O120)</f>
        <v>0</v>
      </c>
      <c r="L16" s="32" t="n">
        <f aca="false">L15*fye_msft/12+K15*(12-fye_msft)/12+N(In!P120)</f>
        <v>0</v>
      </c>
      <c r="M16" s="32" t="n">
        <f aca="false">M15*fye_msft/12+L15*(12-fye_msft)/12+N(In!Q120)</f>
        <v>0</v>
      </c>
    </row>
    <row r="17" customFormat="false" ht="17.15" hidden="false" customHeight="false" outlineLevel="0" collapsed="false">
      <c r="A17" s="5" t="s">
        <v>1478</v>
      </c>
      <c r="C17" s="0" t="s">
        <v>325</v>
      </c>
      <c r="D17" s="19" t="str">
        <f aca="false">IF(In!H104="","",In!H104)</f>
        <v/>
      </c>
      <c r="E17" s="30" t="n">
        <f aca="false">IF(In!I104="","",In!I104)</f>
        <v>44.477</v>
      </c>
      <c r="F17" s="30" t="n">
        <f aca="false">IF(In!J104="","",In!J104)</f>
        <v>64.551</v>
      </c>
      <c r="G17" s="30" t="n">
        <f aca="false">IF(In!K104="","",In!K104)</f>
        <v>115.948</v>
      </c>
      <c r="H17" s="30" t="n">
        <f aca="false">IF(In!L104="","",In!L104)</f>
        <v>192.827</v>
      </c>
      <c r="I17" s="30" t="n">
        <f aca="false">IF(In!M104="","",In!M104)</f>
        <v>216.787</v>
      </c>
      <c r="J17" s="30" t="n">
        <f aca="false">IF(In!N104="","",In!N104)</f>
        <v>251.173</v>
      </c>
      <c r="K17" s="19" t="str">
        <f aca="false">IF(In!O104="","",In!O104)</f>
        <v/>
      </c>
      <c r="L17" s="19" t="str">
        <f aca="false">IF(In!P104="","",In!P104)</f>
        <v/>
      </c>
      <c r="M17" s="19" t="str">
        <f aca="false">IF(In!Q104="","",In!Q104)</f>
        <v/>
      </c>
    </row>
    <row r="18" customFormat="false" ht="17.15" hidden="false" customHeight="false" outlineLevel="0" collapsed="false">
      <c r="A18" s="5" t="s">
        <v>1479</v>
      </c>
      <c r="C18" s="0" t="s">
        <v>34</v>
      </c>
      <c r="D18" s="29" t="str">
        <f aca="false">IF(OR(D17="",N(D17)=0),"",D16/D17)</f>
        <v/>
      </c>
      <c r="E18" s="29" t="n">
        <f aca="false">IF(OR(E17="",N(E17)=0),"",E16/E17)</f>
        <v>0.316274812236722</v>
      </c>
      <c r="F18" s="29" t="n">
        <f aca="false">IF(OR(F17="",N(F17)=0),"",F16/F17)</f>
        <v>0.598824570428268</v>
      </c>
      <c r="G18" s="29" t="n">
        <f aca="false">IF(OR(G17="",N(G17)=0),"",G16/G17)</f>
        <v>0.428946059674033</v>
      </c>
      <c r="H18" s="29" t="n">
        <f aca="false">IF(OR(H17="",N(H17)=0),"",H16/H17)</f>
        <v>0.203452574905372</v>
      </c>
      <c r="I18" s="29" t="n">
        <f aca="false">IF(OR(I17="",N(I17)=0),"",I16/I17)</f>
        <v>0.2464555032999</v>
      </c>
      <c r="J18" s="29" t="n">
        <f aca="false">IF(OR(J17="",N(J17)=0),"",J16/J17)</f>
        <v>0.132924170047606</v>
      </c>
      <c r="K18" s="29" t="str">
        <f aca="false">IF(OR(K17="",N(K17)=0),"",K16/K17)</f>
        <v/>
      </c>
      <c r="L18" s="29" t="str">
        <f aca="false">IF(OR(L17="",N(L17)=0),"",L16/L17)</f>
        <v/>
      </c>
      <c r="M18" s="29" t="str">
        <f aca="false">IF(OR(M17="",N(M17)=0),"",M16/M17)</f>
        <v/>
      </c>
    </row>
    <row r="19" customFormat="false" ht="15" hidden="false" customHeight="false" outlineLevel="0" collapsed="false">
      <c r="A19" s="5" t="s">
        <v>1480</v>
      </c>
      <c r="C19" s="0" t="s">
        <v>33</v>
      </c>
      <c r="D19" s="0" t="str">
        <f aca="false">IF(D18="","無個股值",IF(D16=0,"GW 帳無新增",IF(AND(In!$E$104="Verified",FALSE()),IF(ABS(D18-1)&lt;=tolband,"對得上","偏差"),"證據不足（"&amp;IF(ABS(D18-1)&lt;=tolband,"帶內","帶外")&amp;"）")))</f>
        <v>無個股值</v>
      </c>
      <c r="E19" s="0" t="str">
        <f aca="false">IF(E18="","無個股值",IF(E16=0,"GW 帳無新增",IF(AND(In!$E$104="Verified",FALSE()),IF(ABS(E18-1)&lt;=tolband,"對得上","偏差"),"證據不足（"&amp;IF(ABS(E18-1)&lt;=tolband,"帶內","帶外")&amp;"）")))</f>
        <v>證據不足（帶外）</v>
      </c>
      <c r="F19" s="0" t="str">
        <f aca="false">IF(F18="","無個股值",IF(F16=0,"GW 帳無新增",IF(AND(In!$E$104="Verified",FALSE()),IF(ABS(F18-1)&lt;=tolband,"對得上","偏差"),"證據不足（"&amp;IF(ABS(F18-1)&lt;=tolband,"帶內","帶外")&amp;"）")))</f>
        <v>證據不足（帶外）</v>
      </c>
      <c r="G19" s="0" t="str">
        <f aca="false">IF(G18="","無個股值",IF(G16=0,"GW 帳無新增",IF(AND(In!$E$104="Verified",FALSE()),IF(ABS(G18-1)&lt;=tolband,"對得上","偏差"),"證據不足（"&amp;IF(ABS(G18-1)&lt;=tolband,"帶內","帶外")&amp;"）")))</f>
        <v>證據不足（帶外）</v>
      </c>
      <c r="H19" s="0" t="str">
        <f aca="false">"同源（不對帳）"</f>
        <v>同源（不對帳）</v>
      </c>
      <c r="I19" s="0" t="str">
        <f aca="false">"同源（不對帳）"</f>
        <v>同源（不對帳）</v>
      </c>
      <c r="J19" s="0" t="str">
        <f aca="false">"同源（不對帳）"</f>
        <v>同源（不對帳）</v>
      </c>
      <c r="K19" s="0" t="str">
        <f aca="false">"同源（不對帳）"</f>
        <v>同源（不對帳）</v>
      </c>
      <c r="L19" s="0" t="str">
        <f aca="false">"同源（不對帳）"</f>
        <v>同源（不對帳）</v>
      </c>
      <c r="M19" s="0" t="str">
        <f aca="false">"同源（不對帳）"</f>
        <v>同源（不對帳）</v>
      </c>
    </row>
    <row r="21" customFormat="false" ht="17.15" hidden="false" customHeight="false" outlineLevel="0" collapsed="false">
      <c r="A21" s="8" t="s">
        <v>880</v>
      </c>
      <c r="B21" s="20" t="s">
        <v>446</v>
      </c>
      <c r="N21" s="20" t="s">
        <v>1481</v>
      </c>
    </row>
    <row r="22" customFormat="false" ht="17.15" hidden="false" customHeight="false" outlineLevel="0" collapsed="false">
      <c r="A22" s="5" t="s">
        <v>1473</v>
      </c>
      <c r="C22" s="0" t="s">
        <v>325</v>
      </c>
      <c r="D22" s="32" t="n">
        <f aca="false">Players!D55*((1-Players!D57)*D$8+Players!D57*TK_NonNV_Hold_TPU*TK_CapexIT_VR200)</f>
        <v>0</v>
      </c>
      <c r="E22" s="32" t="n">
        <f aca="false">Players!E55*((1-Players!E57)*E$8+Players!E57*TK_NonNV_Hold_TPU*TK_CapexIT_VR200)</f>
        <v>35.3819300020025</v>
      </c>
      <c r="F22" s="32" t="n">
        <f aca="false">Players!F55*((1-Players!F57)*F$8+Players!F57*TK_NonNV_Hold_TPU*TK_CapexIT_VR200)</f>
        <v>63.2186407655033</v>
      </c>
      <c r="G22" s="32" t="n">
        <f aca="false">Players!G55*((1-Players!G57)*G$8+Players!G57*TK_NonNV_Hold_TPU*TK_CapexIT_VR200)</f>
        <v>36.2790811922887</v>
      </c>
      <c r="H22" s="32" t="n">
        <f aca="false">Players!H55*((1-Players!H57)*H$8+Players!H57*TK_NonNV_Hold_TPU*TK_CapexIT_VR200)</f>
        <v>0</v>
      </c>
      <c r="I22" s="32" t="n">
        <f aca="false">Players!I55*((1-Players!I57)*I$8+Players!I57*TK_NonNV_Hold_TPU*TK_CapexIT_VR200)</f>
        <v>0</v>
      </c>
      <c r="J22" s="32" t="n">
        <f aca="false">Players!J55*((1-Players!J57)*J$8+Players!J57*TK_NonNV_Hold_TPU*TK_CapexIT_VR200)</f>
        <v>0</v>
      </c>
      <c r="K22" s="32" t="n">
        <f aca="false">Players!K55*((1-Players!K57)*K$8+Players!K57*TK_NonNV_Hold_TPU*TK_CapexIT_VR200)</f>
        <v>0</v>
      </c>
      <c r="L22" s="32" t="n">
        <f aca="false">Players!L55*((1-Players!L57)*L$8+Players!L57*TK_NonNV_Hold_TPU*TK_CapexIT_VR200)</f>
        <v>0</v>
      </c>
      <c r="M22" s="32" t="n">
        <f aca="false">Players!M55*((1-Players!M57)*M$8+Players!M57*TK_NonNV_Hold_TPU*TK_CapexIT_VR200)</f>
        <v>0</v>
      </c>
    </row>
    <row r="23" customFormat="false" ht="15" hidden="false" customHeight="false" outlineLevel="0" collapsed="false">
      <c r="A23" s="5" t="s">
        <v>1474</v>
      </c>
      <c r="C23" s="0" t="s">
        <v>325</v>
      </c>
      <c r="D23" s="32" t="n">
        <f aca="false">Players!D55*((1-Players!D57)*D$9+Players!D57*TK_NonNV_Hold_TPU*TK_CapexFacility_VR200)</f>
        <v>0</v>
      </c>
      <c r="E23" s="32" t="n">
        <f aca="false">Players!E55*((1-Players!E57)*E$9+Players!E57*TK_NonNV_Hold_TPU*TK_CapexFacility_VR200)</f>
        <v>13.0425567722911</v>
      </c>
      <c r="F23" s="32" t="n">
        <f aca="false">Players!F55*((1-Players!F57)*F$9+Players!F57*TK_NonNV_Hold_TPU*TK_CapexFacility_VR200)</f>
        <v>23.6331185836686</v>
      </c>
      <c r="G23" s="32" t="n">
        <f aca="false">Players!G55*((1-Players!G57)*G$9+Players!G57*TK_NonNV_Hold_TPU*TK_CapexFacility_VR200)</f>
        <v>12.6783991048287</v>
      </c>
      <c r="H23" s="32" t="n">
        <f aca="false">Players!H55*((1-Players!H57)*H$9+Players!H57*TK_NonNV_Hold_TPU*TK_CapexFacility_VR200)</f>
        <v>0</v>
      </c>
      <c r="I23" s="32" t="n">
        <f aca="false">Players!I55*((1-Players!I57)*I$9+Players!I57*TK_NonNV_Hold_TPU*TK_CapexFacility_VR200)</f>
        <v>0</v>
      </c>
      <c r="J23" s="32" t="n">
        <f aca="false">Players!J55*((1-Players!J57)*J$9+Players!J57*TK_NonNV_Hold_TPU*TK_CapexFacility_VR200)</f>
        <v>0</v>
      </c>
      <c r="K23" s="32" t="n">
        <f aca="false">Players!K55*((1-Players!K57)*K$9+Players!K57*TK_NonNV_Hold_TPU*TK_CapexFacility_VR200)</f>
        <v>0</v>
      </c>
      <c r="L23" s="32" t="n">
        <f aca="false">Players!L55*((1-Players!L57)*L$9+Players!L57*TK_NonNV_Hold_TPU*TK_CapexFacility_VR200)</f>
        <v>0</v>
      </c>
      <c r="M23" s="32" t="n">
        <f aca="false">Players!M55*((1-Players!M57)*M$9+Players!M57*TK_NonNV_Hold_TPU*TK_CapexFacility_VR200)</f>
        <v>0</v>
      </c>
    </row>
    <row r="24" customFormat="false" ht="17.15" hidden="false" customHeight="false" outlineLevel="0" collapsed="false">
      <c r="A24" s="5" t="s">
        <v>1475</v>
      </c>
      <c r="C24" s="0" t="s">
        <v>325</v>
      </c>
      <c r="D24" s="32" t="n">
        <f aca="false">D23*$D$5+E23*$D$6+F23*$D$7</f>
        <v>18.3378376779798</v>
      </c>
      <c r="E24" s="32" t="n">
        <f aca="false">E23*$D$5+F23*$D$6+G23*$D$7</f>
        <v>18.1557588442486</v>
      </c>
      <c r="F24" s="32" t="n">
        <f aca="false">F23*$D$5+G23*$D$6+H23*$D$7</f>
        <v>6.33919955241433</v>
      </c>
      <c r="G24" s="32" t="n">
        <f aca="false">G23*$D$5+H23*$D$6+I23*$D$7</f>
        <v>0</v>
      </c>
      <c r="H24" s="32" t="n">
        <f aca="false">H23*$D$5+I23*$D$6+J23*$D$7</f>
        <v>0</v>
      </c>
      <c r="I24" s="32" t="n">
        <f aca="false">I23*$D$5+J23*$D$6+K23*$D$7</f>
        <v>0</v>
      </c>
      <c r="J24" s="32" t="n">
        <f aca="false">J23*$D$5+K23*$D$6+L23*$D$7</f>
        <v>0</v>
      </c>
      <c r="K24" s="32" t="n">
        <f aca="false">K23*$D$5+L23*$D$6+M23*$D$7</f>
        <v>0</v>
      </c>
      <c r="L24" s="32" t="n">
        <f aca="false">L23*$D$5+M23*$D$6</f>
        <v>0</v>
      </c>
      <c r="M24" s="32" t="n">
        <f aca="false">M23*$D$5</f>
        <v>0</v>
      </c>
    </row>
    <row r="25" customFormat="false" ht="17.15" hidden="false" customHeight="false" outlineLevel="0" collapsed="false">
      <c r="A25" s="5" t="s">
        <v>1476</v>
      </c>
      <c r="C25" s="0" t="s">
        <v>325</v>
      </c>
      <c r="D25" s="32" t="n">
        <f aca="false">D22+D24</f>
        <v>18.3378376779798</v>
      </c>
      <c r="E25" s="32" t="n">
        <f aca="false">E22+E24</f>
        <v>53.5376888462511</v>
      </c>
      <c r="F25" s="32" t="n">
        <f aca="false">F22+F24</f>
        <v>69.5578403179177</v>
      </c>
      <c r="G25" s="32" t="n">
        <f aca="false">G22+G24</f>
        <v>36.2790811922887</v>
      </c>
      <c r="H25" s="32" t="n">
        <f aca="false">H22+H24</f>
        <v>0</v>
      </c>
      <c r="I25" s="32" t="n">
        <f aca="false">I22+I24</f>
        <v>0</v>
      </c>
      <c r="J25" s="32" t="n">
        <f aca="false">J22+J24</f>
        <v>0</v>
      </c>
      <c r="K25" s="32" t="n">
        <f aca="false">K22+K24</f>
        <v>0</v>
      </c>
      <c r="L25" s="32" t="n">
        <f aca="false">L22+L24</f>
        <v>0</v>
      </c>
      <c r="M25" s="32" t="n">
        <f aca="false">M22+M24</f>
        <v>0</v>
      </c>
    </row>
    <row r="26" customFormat="false" ht="17.15" hidden="false" customHeight="false" outlineLevel="0" collapsed="false">
      <c r="A26" s="5" t="s">
        <v>1477</v>
      </c>
      <c r="C26" s="0" t="s">
        <v>325</v>
      </c>
      <c r="D26" s="32" t="n">
        <f aca="false">D25*fye_googl/12+N(In!H121)</f>
        <v>18.3378376779798</v>
      </c>
      <c r="E26" s="32" t="n">
        <f aca="false">E25*fye_googl/12+D25*(12-fye_googl)/12+N(In!I121)</f>
        <v>53.5376888462511</v>
      </c>
      <c r="F26" s="32" t="n">
        <f aca="false">F25*fye_googl/12+E25*(12-fye_googl)/12+N(In!J121)</f>
        <v>69.5578403179177</v>
      </c>
      <c r="G26" s="32" t="n">
        <f aca="false">G25*fye_googl/12+F25*(12-fye_googl)/12+N(In!K121)</f>
        <v>36.2790811922887</v>
      </c>
      <c r="H26" s="32" t="n">
        <f aca="false">H25*fye_googl/12+G25*(12-fye_googl)/12+N(In!L121)</f>
        <v>0</v>
      </c>
      <c r="I26" s="32" t="n">
        <f aca="false">I25*fye_googl/12+H25*(12-fye_googl)/12+N(In!M121)</f>
        <v>0</v>
      </c>
      <c r="J26" s="32" t="n">
        <f aca="false">J25*fye_googl/12+I25*(12-fye_googl)/12+N(In!N121)</f>
        <v>0</v>
      </c>
      <c r="K26" s="32" t="n">
        <f aca="false">K25*fye_googl/12+J25*(12-fye_googl)/12+N(In!O121)</f>
        <v>0</v>
      </c>
      <c r="L26" s="32" t="n">
        <f aca="false">L25*fye_googl/12+K25*(12-fye_googl)/12+N(In!P121)</f>
        <v>0</v>
      </c>
      <c r="M26" s="32" t="n">
        <f aca="false">M25*fye_googl/12+L25*(12-fye_googl)/12+N(In!Q121)</f>
        <v>0</v>
      </c>
    </row>
    <row r="27" customFormat="false" ht="17.15" hidden="false" customHeight="false" outlineLevel="0" collapsed="false">
      <c r="A27" s="5" t="s">
        <v>1478</v>
      </c>
      <c r="C27" s="0" t="s">
        <v>325</v>
      </c>
      <c r="D27" s="19" t="str">
        <f aca="false">IF(In!H105="","",In!H105)</f>
        <v/>
      </c>
      <c r="E27" s="19" t="str">
        <f aca="false">IF(In!I105="","",In!I105)</f>
        <v/>
      </c>
      <c r="F27" s="30" t="n">
        <f aca="false">IF(In!J105="","",In!J105)</f>
        <v>91.447</v>
      </c>
      <c r="G27" s="30" t="n">
        <f aca="false">IF(In!K105="","",In!K105)</f>
        <v>200</v>
      </c>
      <c r="H27" s="30" t="n">
        <f aca="false">IF(In!L105="","",In!L105)</f>
        <v>300.979</v>
      </c>
      <c r="I27" s="30" t="n">
        <f aca="false">IF(In!M105="","",In!M105)</f>
        <v>339.451</v>
      </c>
      <c r="J27" s="19" t="str">
        <f aca="false">IF(In!N105="","",In!N105)</f>
        <v/>
      </c>
      <c r="K27" s="19" t="str">
        <f aca="false">IF(In!O105="","",In!O105)</f>
        <v/>
      </c>
      <c r="L27" s="19" t="str">
        <f aca="false">IF(In!P105="","",In!P105)</f>
        <v/>
      </c>
      <c r="M27" s="19" t="str">
        <f aca="false">IF(In!Q105="","",In!Q105)</f>
        <v/>
      </c>
    </row>
    <row r="28" customFormat="false" ht="17.15" hidden="false" customHeight="false" outlineLevel="0" collapsed="false">
      <c r="A28" s="5" t="s">
        <v>1479</v>
      </c>
      <c r="C28" s="0" t="s">
        <v>34</v>
      </c>
      <c r="D28" s="29" t="str">
        <f aca="false">IF(OR(D27="",N(D27)=0),"",D26/D27)</f>
        <v/>
      </c>
      <c r="E28" s="29" t="str">
        <f aca="false">IF(OR(E27="",N(E27)=0),"",E26/E27)</f>
        <v/>
      </c>
      <c r="F28" s="29" t="n">
        <f aca="false">IF(OR(F27="",N(F27)=0),"",F26/F27)</f>
        <v>0.760635562871583</v>
      </c>
      <c r="G28" s="29" t="n">
        <f aca="false">IF(OR(G27="",N(G27)=0),"",G26/G27)</f>
        <v>0.181395405961443</v>
      </c>
      <c r="H28" s="29" t="n">
        <f aca="false">IF(OR(H27="",N(H27)=0),"",H26/H27)</f>
        <v>0</v>
      </c>
      <c r="I28" s="29" t="n">
        <f aca="false">IF(OR(I27="",N(I27)=0),"",I26/I27)</f>
        <v>0</v>
      </c>
      <c r="J28" s="29" t="str">
        <f aca="false">IF(OR(J27="",N(J27)=0),"",J26/J27)</f>
        <v/>
      </c>
      <c r="K28" s="29" t="str">
        <f aca="false">IF(OR(K27="",N(K27)=0),"",K26/K27)</f>
        <v/>
      </c>
      <c r="L28" s="29" t="str">
        <f aca="false">IF(OR(L27="",N(L27)=0),"",L26/L27)</f>
        <v/>
      </c>
      <c r="M28" s="29" t="str">
        <f aca="false">IF(OR(M27="",N(M27)=0),"",M26/M27)</f>
        <v/>
      </c>
    </row>
    <row r="29" customFormat="false" ht="15" hidden="false" customHeight="false" outlineLevel="0" collapsed="false">
      <c r="A29" s="5" t="s">
        <v>1480</v>
      </c>
      <c r="C29" s="0" t="s">
        <v>33</v>
      </c>
      <c r="D29" s="0" t="str">
        <f aca="false">IF(D28="","無個股值",IF(D26=0,"GW 帳無新增",IF(AND(In!$E$105="Verified",FALSE()),IF(ABS(D28-1)&lt;=tolband,"對得上","偏差"),"證據不足（"&amp;IF(ABS(D28-1)&lt;=tolband,"帶內","帶外")&amp;"）")))</f>
        <v>無個股值</v>
      </c>
      <c r="E29" s="0" t="str">
        <f aca="false">IF(E28="","無個股值",IF(E26=0,"GW 帳無新增",IF(AND(In!$E$105="Verified",FALSE()),IF(ABS(E28-1)&lt;=tolband,"對得上","偏差"),"證據不足（"&amp;IF(ABS(E28-1)&lt;=tolband,"帶內","帶外")&amp;"）")))</f>
        <v>無個股值</v>
      </c>
      <c r="F29" s="0" t="str">
        <f aca="false">IF(F28="","無個股值",IF(F26=0,"GW 帳無新增",IF(AND(In!$E$105="Verified",FALSE()),IF(ABS(F28-1)&lt;=tolband,"對得上","偏差"),"證據不足（"&amp;IF(ABS(F28-1)&lt;=tolband,"帶內","帶外")&amp;"）")))</f>
        <v>證據不足（帶外）</v>
      </c>
      <c r="G29" s="0" t="str">
        <f aca="false">IF(G28="","無個股值",IF(G26=0,"GW 帳無新增",IF(AND(In!$E$105="Verified",FALSE()),IF(ABS(G28-1)&lt;=tolband,"對得上","偏差"),"證據不足（"&amp;IF(ABS(G28-1)&lt;=tolband,"帶內","帶外")&amp;"）")))</f>
        <v>證據不足（帶外）</v>
      </c>
      <c r="H29" s="0" t="str">
        <f aca="false">"同源（不對帳）"</f>
        <v>同源（不對帳）</v>
      </c>
      <c r="I29" s="0" t="str">
        <f aca="false">"同源（不對帳）"</f>
        <v>同源（不對帳）</v>
      </c>
      <c r="J29" s="0" t="str">
        <f aca="false">"同源（不對帳）"</f>
        <v>同源（不對帳）</v>
      </c>
      <c r="K29" s="0" t="str">
        <f aca="false">"同源（不對帳）"</f>
        <v>同源（不對帳）</v>
      </c>
      <c r="L29" s="0" t="str">
        <f aca="false">"同源（不對帳）"</f>
        <v>同源（不對帳）</v>
      </c>
      <c r="M29" s="0" t="str">
        <f aca="false">"同源（不對帳）"</f>
        <v>同源（不對帳）</v>
      </c>
    </row>
    <row r="31" customFormat="false" ht="17.15" hidden="false" customHeight="false" outlineLevel="0" collapsed="false">
      <c r="A31" s="8" t="s">
        <v>899</v>
      </c>
      <c r="B31" s="20" t="s">
        <v>454</v>
      </c>
      <c r="N31" s="5" t="s">
        <v>1482</v>
      </c>
    </row>
    <row r="32" customFormat="false" ht="17.15" hidden="false" customHeight="false" outlineLevel="0" collapsed="false">
      <c r="A32" s="5" t="s">
        <v>1473</v>
      </c>
      <c r="C32" s="0" t="s">
        <v>325</v>
      </c>
      <c r="D32" s="32" t="n">
        <f aca="false">Players!D74*((1-Players!D76)*D$8+Players!D76*TK_NonNV_Hold_Trn*TK_CapexIT_VR200)</f>
        <v>0</v>
      </c>
      <c r="E32" s="32" t="n">
        <f aca="false">Players!E74*((1-Players!E76)*E$8+Players!E76*TK_NonNV_Hold_Trn*TK_CapexIT_VR200)</f>
        <v>0</v>
      </c>
      <c r="F32" s="32" t="n">
        <f aca="false">Players!F74*((1-Players!F76)*F$8+Players!F76*TK_NonNV_Hold_Trn*TK_CapexIT_VR200)</f>
        <v>33.2761117394968</v>
      </c>
      <c r="G32" s="32" t="n">
        <f aca="false">Players!G74*((1-Players!G76)*G$8+Players!G76*TK_NonNV_Hold_Trn*TK_CapexIT_VR200)</f>
        <v>13.9065669998304</v>
      </c>
      <c r="H32" s="32" t="n">
        <f aca="false">Players!H74*((1-Players!H76)*H$8+Players!H76*TK_NonNV_Hold_Trn*TK_CapexIT_VR200)</f>
        <v>0</v>
      </c>
      <c r="I32" s="32" t="n">
        <f aca="false">Players!I74*((1-Players!I76)*I$8+Players!I76*TK_NonNV_Hold_Trn*TK_CapexIT_VR200)</f>
        <v>25.7531605769657</v>
      </c>
      <c r="J32" s="32" t="n">
        <f aca="false">Players!J74*((1-Players!J76)*J$8+Players!J76*TK_NonNV_Hold_Trn*TK_CapexIT_VR200)</f>
        <v>0</v>
      </c>
      <c r="K32" s="32" t="n">
        <f aca="false">Players!K74*((1-Players!K76)*K$8+Players!K76*TK_NonNV_Hold_Trn*TK_CapexIT_VR200)</f>
        <v>0</v>
      </c>
      <c r="L32" s="32" t="n">
        <f aca="false">Players!L74*((1-Players!L76)*L$8+Players!L76*TK_NonNV_Hold_Trn*TK_CapexIT_VR200)</f>
        <v>0</v>
      </c>
      <c r="M32" s="32" t="n">
        <f aca="false">Players!M74*((1-Players!M76)*M$8+Players!M76*TK_NonNV_Hold_Trn*TK_CapexIT_VR200)</f>
        <v>0</v>
      </c>
    </row>
    <row r="33" customFormat="false" ht="15" hidden="false" customHeight="false" outlineLevel="0" collapsed="false">
      <c r="A33" s="5" t="s">
        <v>1474</v>
      </c>
      <c r="C33" s="0" t="s">
        <v>325</v>
      </c>
      <c r="D33" s="32" t="n">
        <f aca="false">Players!D74*((1-Players!D76)*D$9+Players!D76*TK_NonNV_Hold_Trn*TK_CapexFacility_VR200)</f>
        <v>0</v>
      </c>
      <c r="E33" s="32" t="n">
        <f aca="false">Players!E74*((1-Players!E76)*E$9+Players!E76*TK_NonNV_Hold_Trn*TK_CapexFacility_VR200)</f>
        <v>0</v>
      </c>
      <c r="F33" s="32" t="n">
        <f aca="false">Players!F74*((1-Players!F76)*F$9+Players!F76*TK_NonNV_Hold_Trn*TK_CapexFacility_VR200)</f>
        <v>13.0068092046039</v>
      </c>
      <c r="G33" s="32" t="n">
        <f aca="false">Players!G74*((1-Players!G76)*G$9+Players!G76*TK_NonNV_Hold_Trn*TK_CapexFacility_VR200)</f>
        <v>4.932366383</v>
      </c>
      <c r="H33" s="32" t="n">
        <f aca="false">Players!H74*((1-Players!H76)*H$9+Players!H76*TK_NonNV_Hold_Trn*TK_CapexFacility_VR200)</f>
        <v>0</v>
      </c>
      <c r="I33" s="32" t="n">
        <f aca="false">Players!I74*((1-Players!I76)*I$9+Players!I76*TK_NonNV_Hold_Trn*TK_CapexFacility_VR200)</f>
        <v>8.311084152</v>
      </c>
      <c r="J33" s="32" t="n">
        <f aca="false">Players!J74*((1-Players!J76)*J$9+Players!J76*TK_NonNV_Hold_Trn*TK_CapexFacility_VR200)</f>
        <v>0</v>
      </c>
      <c r="K33" s="32" t="n">
        <f aca="false">Players!K74*((1-Players!K76)*K$9+Players!K76*TK_NonNV_Hold_Trn*TK_CapexFacility_VR200)</f>
        <v>0</v>
      </c>
      <c r="L33" s="32" t="n">
        <f aca="false">Players!L74*((1-Players!L76)*L$9+Players!L76*TK_NonNV_Hold_Trn*TK_CapexFacility_VR200)</f>
        <v>0</v>
      </c>
      <c r="M33" s="32" t="n">
        <f aca="false">Players!M74*((1-Players!M76)*M$9+Players!M76*TK_NonNV_Hold_Trn*TK_CapexFacility_VR200)</f>
        <v>0</v>
      </c>
    </row>
    <row r="34" customFormat="false" ht="17.15" hidden="false" customHeight="false" outlineLevel="0" collapsed="false">
      <c r="A34" s="5" t="s">
        <v>1475</v>
      </c>
      <c r="C34" s="0" t="s">
        <v>325</v>
      </c>
      <c r="D34" s="32" t="n">
        <f aca="false">D33*$D$5+E33*$D$6+F33*$D$7</f>
        <v>6.50340460230194</v>
      </c>
      <c r="E34" s="32" t="n">
        <f aca="false">E33*$D$5+F33*$D$6+G33*$D$7</f>
        <v>8.96958779380194</v>
      </c>
      <c r="F34" s="32" t="n">
        <f aca="false">F33*$D$5+G33*$D$6+H33*$D$7</f>
        <v>2.4661831915</v>
      </c>
      <c r="G34" s="32" t="n">
        <f aca="false">G33*$D$5+H33*$D$6+I33*$D$7</f>
        <v>4.155542076</v>
      </c>
      <c r="H34" s="32" t="n">
        <f aca="false">H33*$D$5+I33*$D$6+J33*$D$7</f>
        <v>4.155542076</v>
      </c>
      <c r="I34" s="32" t="n">
        <f aca="false">I33*$D$5+J33*$D$6+K33*$D$7</f>
        <v>0</v>
      </c>
      <c r="J34" s="32" t="n">
        <f aca="false">J33*$D$5+K33*$D$6+L33*$D$7</f>
        <v>0</v>
      </c>
      <c r="K34" s="32" t="n">
        <f aca="false">K33*$D$5+L33*$D$6+M33*$D$7</f>
        <v>0</v>
      </c>
      <c r="L34" s="32" t="n">
        <f aca="false">L33*$D$5+M33*$D$6</f>
        <v>0</v>
      </c>
      <c r="M34" s="32" t="n">
        <f aca="false">M33*$D$5</f>
        <v>0</v>
      </c>
    </row>
    <row r="35" customFormat="false" ht="17.15" hidden="false" customHeight="false" outlineLevel="0" collapsed="false">
      <c r="A35" s="5" t="s">
        <v>1476</v>
      </c>
      <c r="C35" s="0" t="s">
        <v>325</v>
      </c>
      <c r="D35" s="32" t="n">
        <f aca="false">D32+D34</f>
        <v>6.50340460230194</v>
      </c>
      <c r="E35" s="32" t="n">
        <f aca="false">E32+E34</f>
        <v>8.96958779380194</v>
      </c>
      <c r="F35" s="32" t="n">
        <f aca="false">F32+F34</f>
        <v>35.7422949309968</v>
      </c>
      <c r="G35" s="32" t="n">
        <f aca="false">G32+G34</f>
        <v>18.0621090758304</v>
      </c>
      <c r="H35" s="32" t="n">
        <f aca="false">H32+H34</f>
        <v>4.155542076</v>
      </c>
      <c r="I35" s="32" t="n">
        <f aca="false">I32+I34</f>
        <v>25.7531605769657</v>
      </c>
      <c r="J35" s="32" t="n">
        <f aca="false">J32+J34</f>
        <v>0</v>
      </c>
      <c r="K35" s="32" t="n">
        <f aca="false">K32+K34</f>
        <v>0</v>
      </c>
      <c r="L35" s="32" t="n">
        <f aca="false">L32+L34</f>
        <v>0</v>
      </c>
      <c r="M35" s="32" t="n">
        <f aca="false">M32+M34</f>
        <v>0</v>
      </c>
    </row>
    <row r="36" customFormat="false" ht="17.15" hidden="false" customHeight="false" outlineLevel="0" collapsed="false">
      <c r="A36" s="5" t="s">
        <v>1477</v>
      </c>
      <c r="C36" s="0" t="s">
        <v>325</v>
      </c>
      <c r="D36" s="32" t="n">
        <f aca="false">D35*fye_amzn/12+N(In!H122)</f>
        <v>6.50340460230194</v>
      </c>
      <c r="E36" s="32" t="n">
        <f aca="false">E35*fye_amzn/12+D35*(12-fye_amzn)/12+N(In!I122)</f>
        <v>8.96958779380194</v>
      </c>
      <c r="F36" s="32" t="n">
        <f aca="false">F35*fye_amzn/12+E35*(12-fye_amzn)/12+N(In!J122)</f>
        <v>35.7422949309968</v>
      </c>
      <c r="G36" s="32" t="n">
        <f aca="false">G35*fye_amzn/12+F35*(12-fye_amzn)/12+N(In!K122)</f>
        <v>18.0621090758304</v>
      </c>
      <c r="H36" s="32" t="n">
        <f aca="false">H35*fye_amzn/12+G35*(12-fye_amzn)/12+N(In!L122)</f>
        <v>4.155542076</v>
      </c>
      <c r="I36" s="32" t="n">
        <f aca="false">I35*fye_amzn/12+H35*(12-fye_amzn)/12+N(In!M122)</f>
        <v>25.7531605769658</v>
      </c>
      <c r="J36" s="32" t="n">
        <f aca="false">J35*fye_amzn/12+I35*(12-fye_amzn)/12+N(In!N122)</f>
        <v>0</v>
      </c>
      <c r="K36" s="32" t="n">
        <f aca="false">K35*fye_amzn/12+J35*(12-fye_amzn)/12+N(In!O122)</f>
        <v>0</v>
      </c>
      <c r="L36" s="32" t="n">
        <f aca="false">L35*fye_amzn/12+K35*(12-fye_amzn)/12+N(In!P122)</f>
        <v>0</v>
      </c>
      <c r="M36" s="32" t="n">
        <f aca="false">M35*fye_amzn/12+L35*(12-fye_amzn)/12+N(In!Q122)</f>
        <v>0</v>
      </c>
    </row>
    <row r="37" customFormat="false" ht="17.15" hidden="false" customHeight="false" outlineLevel="0" collapsed="false">
      <c r="A37" s="5" t="s">
        <v>1478</v>
      </c>
      <c r="C37" s="0" t="s">
        <v>325</v>
      </c>
      <c r="D37" s="19" t="str">
        <f aca="false">IF(In!H106="","",In!H106)</f>
        <v/>
      </c>
      <c r="E37" s="19" t="str">
        <f aca="false">IF(In!I106="","",In!I106)</f>
        <v/>
      </c>
      <c r="F37" s="30" t="n">
        <f aca="false">IF(In!J106="","",In!J106)</f>
        <v>128.32</v>
      </c>
      <c r="G37" s="30" t="n">
        <f aca="false">IF(In!K106="","",In!K106)</f>
        <v>220</v>
      </c>
      <c r="H37" s="30" t="n">
        <f aca="false">IF(In!L106="","",In!L106)</f>
        <v>275.063</v>
      </c>
      <c r="I37" s="30" t="n">
        <f aca="false">IF(In!M106="","",In!M106)</f>
        <v>292.927</v>
      </c>
      <c r="J37" s="19" t="str">
        <f aca="false">IF(In!N106="","",In!N106)</f>
        <v/>
      </c>
      <c r="K37" s="19" t="str">
        <f aca="false">IF(In!O106="","",In!O106)</f>
        <v/>
      </c>
      <c r="L37" s="19" t="str">
        <f aca="false">IF(In!P106="","",In!P106)</f>
        <v/>
      </c>
      <c r="M37" s="19" t="str">
        <f aca="false">IF(In!Q106="","",In!Q106)</f>
        <v/>
      </c>
    </row>
    <row r="38" customFormat="false" ht="17.15" hidden="false" customHeight="false" outlineLevel="0" collapsed="false">
      <c r="A38" s="5" t="s">
        <v>1479</v>
      </c>
      <c r="C38" s="0" t="s">
        <v>34</v>
      </c>
      <c r="D38" s="29" t="str">
        <f aca="false">IF(OR(D37="",N(D37)=0),"",D36/D37)</f>
        <v/>
      </c>
      <c r="E38" s="29" t="str">
        <f aca="false">IF(OR(E37="",N(E37)=0),"",E36/E37)</f>
        <v/>
      </c>
      <c r="F38" s="29" t="n">
        <f aca="false">IF(OR(F37="",N(F37)=0),"",F36/F37)</f>
        <v>0.278540328327593</v>
      </c>
      <c r="G38" s="29" t="n">
        <f aca="false">IF(OR(G37="",N(G37)=0),"",G36/G37)</f>
        <v>0.0821004957992291</v>
      </c>
      <c r="H38" s="29" t="n">
        <f aca="false">IF(OR(H37="",N(H37)=0),"",H36/H37)</f>
        <v>0.0151076010804797</v>
      </c>
      <c r="I38" s="29" t="n">
        <f aca="false">IF(OR(I37="",N(I37)=0),"",I36/I37)</f>
        <v>0.0879166501447997</v>
      </c>
      <c r="J38" s="29" t="str">
        <f aca="false">IF(OR(J37="",N(J37)=0),"",J36/J37)</f>
        <v/>
      </c>
      <c r="K38" s="29" t="str">
        <f aca="false">IF(OR(K37="",N(K37)=0),"",K36/K37)</f>
        <v/>
      </c>
      <c r="L38" s="29" t="str">
        <f aca="false">IF(OR(L37="",N(L37)=0),"",L36/L37)</f>
        <v/>
      </c>
      <c r="M38" s="29" t="str">
        <f aca="false">IF(OR(M37="",N(M37)=0),"",M36/M37)</f>
        <v/>
      </c>
    </row>
    <row r="39" customFormat="false" ht="15" hidden="false" customHeight="false" outlineLevel="0" collapsed="false">
      <c r="A39" s="5" t="s">
        <v>1480</v>
      </c>
      <c r="C39" s="0" t="s">
        <v>33</v>
      </c>
      <c r="D39" s="0" t="str">
        <f aca="false">IF(D38="","無個股值",IF(D36=0,"GW 帳無新增",IF(AND(In!$E$106="Verified",FALSE()),IF(ABS(D38-1)&lt;=tolband,"對得上","偏差"),"證據不足（"&amp;IF(ABS(D38-1)&lt;=tolband,"帶內","帶外")&amp;"）")))</f>
        <v>無個股值</v>
      </c>
      <c r="E39" s="0" t="str">
        <f aca="false">IF(E38="","無個股值",IF(E36=0,"GW 帳無新增",IF(AND(In!$E$106="Verified",FALSE()),IF(ABS(E38-1)&lt;=tolband,"對得上","偏差"),"證據不足（"&amp;IF(ABS(E38-1)&lt;=tolband,"帶內","帶外")&amp;"）")))</f>
        <v>無個股值</v>
      </c>
      <c r="F39" s="0" t="str">
        <f aca="false">IF(F38="","無個股值",IF(F36=0,"GW 帳無新增",IF(AND(In!$E$106="Verified",FALSE()),IF(ABS(F38-1)&lt;=tolband,"對得上","偏差"),"證據不足（"&amp;IF(ABS(F38-1)&lt;=tolband,"帶內","帶外")&amp;"）")))</f>
        <v>證據不足（帶外）</v>
      </c>
      <c r="G39" s="0" t="str">
        <f aca="false">IF(G38="","無個股值",IF(G36=0,"GW 帳無新增",IF(AND(In!$E$106="Verified",FALSE()),IF(ABS(G38-1)&lt;=tolband,"對得上","偏差"),"證據不足（"&amp;IF(ABS(G38-1)&lt;=tolband,"帶內","帶外")&amp;"）")))</f>
        <v>證據不足（帶外）</v>
      </c>
      <c r="H39" s="0" t="str">
        <f aca="false">"同源（不對帳）"</f>
        <v>同源（不對帳）</v>
      </c>
      <c r="I39" s="0" t="str">
        <f aca="false">"同源（不對帳）"</f>
        <v>同源（不對帳）</v>
      </c>
      <c r="J39" s="0" t="str">
        <f aca="false">"同源（不對帳）"</f>
        <v>同源（不對帳）</v>
      </c>
      <c r="K39" s="0" t="str">
        <f aca="false">"同源（不對帳）"</f>
        <v>同源（不對帳）</v>
      </c>
      <c r="L39" s="0" t="str">
        <f aca="false">"同源（不對帳）"</f>
        <v>同源（不對帳）</v>
      </c>
      <c r="M39" s="0" t="str">
        <f aca="false">"同源（不對帳）"</f>
        <v>同源（不對帳）</v>
      </c>
    </row>
    <row r="41" customFormat="false" ht="17.15" hidden="false" customHeight="false" outlineLevel="0" collapsed="false">
      <c r="A41" s="8" t="s">
        <v>918</v>
      </c>
      <c r="B41" s="20" t="s">
        <v>461</v>
      </c>
      <c r="N41" s="20" t="s">
        <v>1483</v>
      </c>
    </row>
    <row r="42" customFormat="false" ht="17.15" hidden="false" customHeight="false" outlineLevel="0" collapsed="false">
      <c r="A42" s="5" t="s">
        <v>1473</v>
      </c>
      <c r="C42" s="0" t="s">
        <v>325</v>
      </c>
      <c r="D42" s="32" t="n">
        <f aca="false">Players!D93*((1-Players!D95)*D$8+Players!D95*TK_NonNV_Hold_AMD*TK_CapexIT_VR200)</f>
        <v>0</v>
      </c>
      <c r="E42" s="32" t="n">
        <f aca="false">Players!E93*((1-Players!E95)*E$8+Players!E95*TK_NonNV_Hold_AMD*TK_CapexIT_VR200)</f>
        <v>0</v>
      </c>
      <c r="F42" s="32" t="n">
        <f aca="false">Players!F93*((1-Players!F95)*F$8+Players!F95*TK_NonNV_Hold_AMD*TK_CapexIT_VR200)</f>
        <v>41.3585195806367</v>
      </c>
      <c r="G42" s="32" t="n">
        <f aca="false">Players!G93*((1-Players!G95)*G$8+Players!G95*TK_NonNV_Hold_AMD*TK_CapexIT_VR200)</f>
        <v>22.3518748566836</v>
      </c>
      <c r="H42" s="32" t="n">
        <f aca="false">Players!H93*((1-Players!H95)*H$8+Players!H95*TK_NonNV_Hold_AMD*TK_CapexIT_VR200)</f>
        <v>7.02618718546409</v>
      </c>
      <c r="I42" s="32" t="n">
        <f aca="false">Players!I93*((1-Players!I95)*I$8+Players!I95*TK_NonNV_Hold_AMD*TK_CapexIT_VR200)</f>
        <v>108.103580946479</v>
      </c>
      <c r="J42" s="32" t="n">
        <f aca="false">Players!J93*((1-Players!J95)*J$8+Players!J95*TK_NonNV_Hold_AMD*TK_CapexIT_VR200)</f>
        <v>14.2704338894025</v>
      </c>
      <c r="K42" s="32" t="n">
        <f aca="false">Players!K93*((1-Players!K95)*K$8+Players!K95*TK_NonNV_Hold_AMD*TK_CapexIT_VR200)</f>
        <v>0</v>
      </c>
      <c r="L42" s="32" t="n">
        <f aca="false">Players!L93*((1-Players!L95)*L$8+Players!L95*TK_NonNV_Hold_AMD*TK_CapexIT_VR200)</f>
        <v>0</v>
      </c>
      <c r="M42" s="32" t="n">
        <f aca="false">Players!M93*((1-Players!M95)*M$8+Players!M95*TK_NonNV_Hold_AMD*TK_CapexIT_VR200)</f>
        <v>0</v>
      </c>
    </row>
    <row r="43" customFormat="false" ht="15" hidden="false" customHeight="false" outlineLevel="0" collapsed="false">
      <c r="A43" s="5" t="s">
        <v>1474</v>
      </c>
      <c r="C43" s="0" t="s">
        <v>325</v>
      </c>
      <c r="D43" s="32" t="n">
        <f aca="false">Players!D93*((1-Players!D95)*D$9+Players!D95*TK_NonNV_Hold_AMD*TK_CapexFacility_VR200)</f>
        <v>0</v>
      </c>
      <c r="E43" s="32" t="n">
        <f aca="false">Players!E93*((1-Players!E95)*E$9+Players!E95*TK_NonNV_Hold_AMD*TK_CapexFacility_VR200)</f>
        <v>0</v>
      </c>
      <c r="F43" s="32" t="n">
        <f aca="false">Players!F93*((1-Players!F95)*F$9+Players!F95*TK_NonNV_Hold_AMD*TK_CapexFacility_VR200)</f>
        <v>18.4251269789571</v>
      </c>
      <c r="G43" s="32" t="n">
        <f aca="false">Players!G93*((1-Players!G95)*G$9+Players!G95*TK_NonNV_Hold_AMD*TK_CapexFacility_VR200)</f>
        <v>8.25888247472016</v>
      </c>
      <c r="H43" s="32" t="n">
        <f aca="false">Players!H93*((1-Players!H95)*H$9+Players!H95*TK_NonNV_Hold_AMD*TK_CapexFacility_VR200)</f>
        <v>2.33298622288945</v>
      </c>
      <c r="I43" s="32" t="n">
        <f aca="false">Players!I93*((1-Players!I95)*I$9+Players!I95*TK_NonNV_Hold_AMD*TK_CapexFacility_VR200)</f>
        <v>33.8710305191542</v>
      </c>
      <c r="J43" s="32" t="n">
        <f aca="false">Players!J93*((1-Players!J95)*J$9+Players!J95*TK_NonNV_Hold_AMD*TK_CapexFacility_VR200)</f>
        <v>4.4721964109197</v>
      </c>
      <c r="K43" s="32" t="n">
        <f aca="false">Players!K93*((1-Players!K95)*K$9+Players!K95*TK_NonNV_Hold_AMD*TK_CapexFacility_VR200)</f>
        <v>0</v>
      </c>
      <c r="L43" s="32" t="n">
        <f aca="false">Players!L93*((1-Players!L95)*L$9+Players!L95*TK_NonNV_Hold_AMD*TK_CapexFacility_VR200)</f>
        <v>0</v>
      </c>
      <c r="M43" s="32" t="n">
        <f aca="false">Players!M93*((1-Players!M95)*M$9+Players!M95*TK_NonNV_Hold_AMD*TK_CapexFacility_VR200)</f>
        <v>0</v>
      </c>
    </row>
    <row r="44" customFormat="false" ht="17.15" hidden="false" customHeight="false" outlineLevel="0" collapsed="false">
      <c r="A44" s="5" t="s">
        <v>1475</v>
      </c>
      <c r="C44" s="0" t="s">
        <v>325</v>
      </c>
      <c r="D44" s="32" t="n">
        <f aca="false">D43*$D$5+E43*$D$6+F43*$D$7</f>
        <v>9.21256348947853</v>
      </c>
      <c r="E44" s="32" t="n">
        <f aca="false">E43*$D$5+F43*$D$6+G43*$D$7</f>
        <v>13.3420047268386</v>
      </c>
      <c r="F44" s="32" t="n">
        <f aca="false">F43*$D$5+G43*$D$6+H43*$D$7</f>
        <v>5.2959343488048</v>
      </c>
      <c r="G44" s="32" t="n">
        <f aca="false">G43*$D$5+H43*$D$6+I43*$D$7</f>
        <v>18.1020083710218</v>
      </c>
      <c r="H44" s="32" t="n">
        <f aca="false">H43*$D$5+I43*$D$6+J43*$D$7</f>
        <v>19.1716134650369</v>
      </c>
      <c r="I44" s="32" t="n">
        <f aca="false">I43*$D$5+J43*$D$6+K43*$D$7</f>
        <v>2.23609820545985</v>
      </c>
      <c r="J44" s="32" t="n">
        <f aca="false">J43*$D$5+K43*$D$6+L43*$D$7</f>
        <v>0</v>
      </c>
      <c r="K44" s="32" t="n">
        <f aca="false">K43*$D$5+L43*$D$6+M43*$D$7</f>
        <v>0</v>
      </c>
      <c r="L44" s="32" t="n">
        <f aca="false">L43*$D$5+M43*$D$6</f>
        <v>0</v>
      </c>
      <c r="M44" s="32" t="n">
        <f aca="false">M43*$D$5</f>
        <v>0</v>
      </c>
    </row>
    <row r="45" customFormat="false" ht="17.15" hidden="false" customHeight="false" outlineLevel="0" collapsed="false">
      <c r="A45" s="5" t="s">
        <v>1476</v>
      </c>
      <c r="C45" s="0" t="s">
        <v>325</v>
      </c>
      <c r="D45" s="32" t="n">
        <f aca="false">D42+D44</f>
        <v>9.21256348947853</v>
      </c>
      <c r="E45" s="32" t="n">
        <f aca="false">E42+E44</f>
        <v>13.3420047268386</v>
      </c>
      <c r="F45" s="32" t="n">
        <f aca="false">F42+F44</f>
        <v>46.6544539294415</v>
      </c>
      <c r="G45" s="32" t="n">
        <f aca="false">G42+G44</f>
        <v>40.4538832277054</v>
      </c>
      <c r="H45" s="32" t="n">
        <f aca="false">H42+H44</f>
        <v>26.197800650501</v>
      </c>
      <c r="I45" s="32" t="n">
        <f aca="false">I42+I44</f>
        <v>110.339679151939</v>
      </c>
      <c r="J45" s="32" t="n">
        <f aca="false">J42+J44</f>
        <v>14.2704338894025</v>
      </c>
      <c r="K45" s="32" t="n">
        <f aca="false">K42+K44</f>
        <v>0</v>
      </c>
      <c r="L45" s="32" t="n">
        <f aca="false">L42+L44</f>
        <v>0</v>
      </c>
      <c r="M45" s="32" t="n">
        <f aca="false">M42+M44</f>
        <v>0</v>
      </c>
    </row>
    <row r="46" customFormat="false" ht="17.15" hidden="false" customHeight="false" outlineLevel="0" collapsed="false">
      <c r="A46" s="5" t="s">
        <v>1477</v>
      </c>
      <c r="C46" s="0" t="s">
        <v>325</v>
      </c>
      <c r="D46" s="32" t="n">
        <f aca="false">D45*fye_meta/12+N(In!H123)</f>
        <v>9.21256348947853</v>
      </c>
      <c r="E46" s="32" t="n">
        <f aca="false">E45*fye_meta/12+D45*(12-fye_meta)/12+N(In!I123)</f>
        <v>13.3420047268386</v>
      </c>
      <c r="F46" s="32" t="n">
        <f aca="false">F45*fye_meta/12+E45*(12-fye_meta)/12+N(In!J123)</f>
        <v>46.6544539294415</v>
      </c>
      <c r="G46" s="32" t="n">
        <f aca="false">G45*fye_meta/12+F45*(12-fye_meta)/12+N(In!K123)</f>
        <v>40.4538832277054</v>
      </c>
      <c r="H46" s="32" t="n">
        <f aca="false">H45*fye_meta/12+G45*(12-fye_meta)/12+N(In!L123)</f>
        <v>26.197800650501</v>
      </c>
      <c r="I46" s="32" t="n">
        <f aca="false">I45*fye_meta/12+H45*(12-fye_meta)/12+N(In!M123)</f>
        <v>110.339679151939</v>
      </c>
      <c r="J46" s="32" t="n">
        <f aca="false">J45*fye_meta/12+I45*(12-fye_meta)/12+N(In!N123)</f>
        <v>14.2704338894025</v>
      </c>
      <c r="K46" s="32" t="n">
        <f aca="false">K45*fye_meta/12+J45*(12-fye_meta)/12+N(In!O123)</f>
        <v>0</v>
      </c>
      <c r="L46" s="32" t="n">
        <f aca="false">L45*fye_meta/12+K45*(12-fye_meta)/12+N(In!P123)</f>
        <v>0</v>
      </c>
      <c r="M46" s="32" t="n">
        <f aca="false">M45*fye_meta/12+L45*(12-fye_meta)/12+N(In!Q123)</f>
        <v>0</v>
      </c>
    </row>
    <row r="47" customFormat="false" ht="17.15" hidden="false" customHeight="false" outlineLevel="0" collapsed="false">
      <c r="A47" s="5" t="s">
        <v>1478</v>
      </c>
      <c r="C47" s="0" t="s">
        <v>325</v>
      </c>
      <c r="D47" s="19" t="str">
        <f aca="false">IF(In!H107="","",In!H107)</f>
        <v/>
      </c>
      <c r="E47" s="19" t="str">
        <f aca="false">IF(In!I107="","",In!I107)</f>
        <v/>
      </c>
      <c r="F47" s="19" t="str">
        <f aca="false">IF(In!J107="","",In!J107)</f>
        <v/>
      </c>
      <c r="G47" s="30" t="n">
        <f aca="false">IF(In!K107="","",In!K107)</f>
        <v>140</v>
      </c>
      <c r="H47" s="19" t="str">
        <f aca="false">IF(In!L107="","",In!L107)</f>
        <v/>
      </c>
      <c r="I47" s="19" t="str">
        <f aca="false">IF(In!M107="","",In!M107)</f>
        <v/>
      </c>
      <c r="J47" s="19" t="str">
        <f aca="false">IF(In!N107="","",In!N107)</f>
        <v/>
      </c>
      <c r="K47" s="19" t="str">
        <f aca="false">IF(In!O107="","",In!O107)</f>
        <v/>
      </c>
      <c r="L47" s="19" t="str">
        <f aca="false">IF(In!P107="","",In!P107)</f>
        <v/>
      </c>
      <c r="M47" s="19" t="str">
        <f aca="false">IF(In!Q107="","",In!Q107)</f>
        <v/>
      </c>
    </row>
    <row r="48" customFormat="false" ht="17.15" hidden="false" customHeight="false" outlineLevel="0" collapsed="false">
      <c r="A48" s="5" t="s">
        <v>1479</v>
      </c>
      <c r="C48" s="0" t="s">
        <v>34</v>
      </c>
      <c r="D48" s="29" t="str">
        <f aca="false">IF(OR(D47="",N(D47)=0),"",D46/D47)</f>
        <v/>
      </c>
      <c r="E48" s="29" t="str">
        <f aca="false">IF(OR(E47="",N(E47)=0),"",E46/E47)</f>
        <v/>
      </c>
      <c r="F48" s="29" t="str">
        <f aca="false">IF(OR(F47="",N(F47)=0),"",F46/F47)</f>
        <v/>
      </c>
      <c r="G48" s="29" t="n">
        <f aca="false">IF(OR(G47="",N(G47)=0),"",G46/G47)</f>
        <v>0.288956308769324</v>
      </c>
      <c r="H48" s="29" t="str">
        <f aca="false">IF(OR(H47="",N(H47)=0),"",H46/H47)</f>
        <v/>
      </c>
      <c r="I48" s="29" t="str">
        <f aca="false">IF(OR(I47="",N(I47)=0),"",I46/I47)</f>
        <v/>
      </c>
      <c r="J48" s="29" t="str">
        <f aca="false">IF(OR(J47="",N(J47)=0),"",J46/J47)</f>
        <v/>
      </c>
      <c r="K48" s="29" t="str">
        <f aca="false">IF(OR(K47="",N(K47)=0),"",K46/K47)</f>
        <v/>
      </c>
      <c r="L48" s="29" t="str">
        <f aca="false">IF(OR(L47="",N(L47)=0),"",L46/L47)</f>
        <v/>
      </c>
      <c r="M48" s="29" t="str">
        <f aca="false">IF(OR(M47="",N(M47)=0),"",M46/M47)</f>
        <v/>
      </c>
    </row>
    <row r="49" customFormat="false" ht="15" hidden="false" customHeight="false" outlineLevel="0" collapsed="false">
      <c r="A49" s="5" t="s">
        <v>1480</v>
      </c>
      <c r="C49" s="0" t="s">
        <v>33</v>
      </c>
      <c r="D49" s="0" t="str">
        <f aca="false">IF(D48="","無個股值",IF(D46=0,"GW 帳無新增",IF(AND(In!$E$107="Verified",FALSE()),IF(ABS(D48-1)&lt;=tolband,"對得上","偏差"),"證據不足（"&amp;IF(ABS(D48-1)&lt;=tolband,"帶內","帶外")&amp;"）")))</f>
        <v>無個股值</v>
      </c>
      <c r="E49" s="0" t="str">
        <f aca="false">IF(E48="","無個股值",IF(E46=0,"GW 帳無新增",IF(AND(In!$E$107="Verified",FALSE()),IF(ABS(E48-1)&lt;=tolband,"對得上","偏差"),"證據不足（"&amp;IF(ABS(E48-1)&lt;=tolband,"帶內","帶外")&amp;"）")))</f>
        <v>無個股值</v>
      </c>
      <c r="F49" s="0" t="str">
        <f aca="false">IF(F48="","無個股值",IF(F46=0,"GW 帳無新增",IF(AND(In!$E$107="Verified",FALSE()),IF(ABS(F48-1)&lt;=tolband,"對得上","偏差"),"證據不足（"&amp;IF(ABS(F48-1)&lt;=tolband,"帶內","帶外")&amp;"）")))</f>
        <v>無個股值</v>
      </c>
      <c r="G49" s="0" t="str">
        <f aca="false">IF(G48="","無個股值",IF(G46=0,"GW 帳無新增",IF(AND(In!$E$107="Verified",FALSE()),IF(ABS(G48-1)&lt;=tolband,"對得上","偏差"),"證據不足（"&amp;IF(ABS(G48-1)&lt;=tolband,"帶內","帶外")&amp;"）")))</f>
        <v>證據不足（帶外）</v>
      </c>
      <c r="H49" s="0" t="str">
        <f aca="false">"同源（不對帳）"</f>
        <v>同源（不對帳）</v>
      </c>
      <c r="I49" s="0" t="str">
        <f aca="false">"同源（不對帳）"</f>
        <v>同源（不對帳）</v>
      </c>
      <c r="J49" s="0" t="str">
        <f aca="false">"同源（不對帳）"</f>
        <v>同源（不對帳）</v>
      </c>
      <c r="K49" s="0" t="str">
        <f aca="false">"同源（不對帳）"</f>
        <v>同源（不對帳）</v>
      </c>
      <c r="L49" s="0" t="str">
        <f aca="false">"同源（不對帳）"</f>
        <v>同源（不對帳）</v>
      </c>
      <c r="M49" s="0" t="str">
        <f aca="false">"同源（不對帳）"</f>
        <v>同源（不對帳）</v>
      </c>
    </row>
    <row r="51" customFormat="false" ht="17.15" hidden="false" customHeight="false" outlineLevel="0" collapsed="false">
      <c r="A51" s="8" t="s">
        <v>937</v>
      </c>
      <c r="B51" s="20" t="s">
        <v>465</v>
      </c>
      <c r="N51" s="20" t="s">
        <v>1484</v>
      </c>
    </row>
    <row r="52" customFormat="false" ht="17.15" hidden="false" customHeight="false" outlineLevel="0" collapsed="false">
      <c r="A52" s="5" t="s">
        <v>1473</v>
      </c>
      <c r="C52" s="0" t="s">
        <v>325</v>
      </c>
      <c r="D52" s="32" t="n">
        <f aca="false">Players!D112*((1-Players!D114)*D$8+Players!D114*TK_NonNV_Hold_AMD*TK_CapexIT_VR200)</f>
        <v>0</v>
      </c>
      <c r="E52" s="32" t="n">
        <f aca="false">Players!E112*((1-Players!E114)*E$8+Players!E114*TK_NonNV_Hold_AMD*TK_CapexIT_VR200)</f>
        <v>0</v>
      </c>
      <c r="F52" s="32" t="n">
        <f aca="false">Players!F112*((1-Players!F114)*F$8+Players!F114*TK_NonNV_Hold_AMD*TK_CapexIT_VR200)</f>
        <v>22.3890023195964</v>
      </c>
      <c r="G52" s="32" t="n">
        <f aca="false">Players!G112*((1-Players!G114)*G$8+Players!G114*TK_NonNV_Hold_AMD*TK_CapexIT_VR200)</f>
        <v>51.1226394558641</v>
      </c>
      <c r="H52" s="32" t="n">
        <f aca="false">Players!H112*((1-Players!H114)*H$8+Players!H114*TK_NonNV_Hold_AMD*TK_CapexIT_VR200)</f>
        <v>6.09912082071535</v>
      </c>
      <c r="I52" s="32" t="n">
        <f aca="false">Players!I112*((1-Players!I114)*I$8+Players!I114*TK_NonNV_Hold_AMD*TK_CapexIT_VR200)</f>
        <v>216.646922810902</v>
      </c>
      <c r="J52" s="32" t="n">
        <f aca="false">Players!J112*((1-Players!J114)*J$8+Players!J114*TK_NonNV_Hold_AMD*TK_CapexIT_VR200)</f>
        <v>0</v>
      </c>
      <c r="K52" s="32" t="n">
        <f aca="false">Players!K112*((1-Players!K114)*K$8+Players!K114*TK_NonNV_Hold_AMD*TK_CapexIT_VR200)</f>
        <v>0</v>
      </c>
      <c r="L52" s="32" t="n">
        <f aca="false">Players!L112*((1-Players!L114)*L$8+Players!L114*TK_NonNV_Hold_AMD*TK_CapexIT_VR200)</f>
        <v>0</v>
      </c>
      <c r="M52" s="32" t="n">
        <f aca="false">Players!M112*((1-Players!M114)*M$8+Players!M114*TK_NonNV_Hold_AMD*TK_CapexIT_VR200)</f>
        <v>0</v>
      </c>
    </row>
    <row r="53" customFormat="false" ht="15" hidden="false" customHeight="false" outlineLevel="0" collapsed="false">
      <c r="A53" s="5" t="s">
        <v>1474</v>
      </c>
      <c r="C53" s="0" t="s">
        <v>325</v>
      </c>
      <c r="D53" s="32" t="n">
        <f aca="false">Players!D112*((1-Players!D114)*D$9+Players!D114*TK_NonNV_Hold_AMD*TK_CapexFacility_VR200)</f>
        <v>0</v>
      </c>
      <c r="E53" s="32" t="n">
        <f aca="false">Players!E112*((1-Players!E114)*E$9+Players!E114*TK_NonNV_Hold_AMD*TK_CapexFacility_VR200)</f>
        <v>0</v>
      </c>
      <c r="F53" s="32" t="n">
        <f aca="false">Players!F112*((1-Players!F114)*F$9+Players!F114*TK_NonNV_Hold_AMD*TK_CapexFacility_VR200)</f>
        <v>9.97424992126318</v>
      </c>
      <c r="G53" s="32" t="n">
        <f aca="false">Players!G112*((1-Players!G114)*G$9+Players!G114*TK_NonNV_Hold_AMD*TK_CapexFacility_VR200)</f>
        <v>18.8895058589335</v>
      </c>
      <c r="H53" s="32" t="n">
        <f aca="false">Players!H112*((1-Players!H114)*H$9+Players!H114*TK_NonNV_Hold_AMD*TK_CapexFacility_VR200)</f>
        <v>2.02516165181376</v>
      </c>
      <c r="I53" s="32" t="n">
        <f aca="false">Players!I112*((1-Players!I114)*I$9+Players!I114*TK_NonNV_Hold_AMD*TK_CapexFacility_VR200)</f>
        <v>67.8798469963906</v>
      </c>
      <c r="J53" s="32" t="n">
        <f aca="false">Players!J112*((1-Players!J114)*J$9+Players!J114*TK_NonNV_Hold_AMD*TK_CapexFacility_VR200)</f>
        <v>0</v>
      </c>
      <c r="K53" s="32" t="n">
        <f aca="false">Players!K112*((1-Players!K114)*K$9+Players!K114*TK_NonNV_Hold_AMD*TK_CapexFacility_VR200)</f>
        <v>0</v>
      </c>
      <c r="L53" s="32" t="n">
        <f aca="false">Players!L112*((1-Players!L114)*L$9+Players!L114*TK_NonNV_Hold_AMD*TK_CapexFacility_VR200)</f>
        <v>0</v>
      </c>
      <c r="M53" s="32" t="n">
        <f aca="false">Players!M112*((1-Players!M114)*M$9+Players!M114*TK_NonNV_Hold_AMD*TK_CapexFacility_VR200)</f>
        <v>0</v>
      </c>
    </row>
    <row r="54" customFormat="false" ht="17.15" hidden="false" customHeight="false" outlineLevel="0" collapsed="false">
      <c r="A54" s="5" t="s">
        <v>1475</v>
      </c>
      <c r="C54" s="0" t="s">
        <v>325</v>
      </c>
      <c r="D54" s="32" t="n">
        <f aca="false">D53*$D$5+E53*$D$6+F53*$D$7</f>
        <v>4.98712496063159</v>
      </c>
      <c r="E54" s="32" t="n">
        <f aca="false">E53*$D$5+F53*$D$6+G53*$D$7</f>
        <v>14.4318778900984</v>
      </c>
      <c r="F54" s="32" t="n">
        <f aca="false">F53*$D$5+G53*$D$6+H53*$D$7</f>
        <v>10.4573337553737</v>
      </c>
      <c r="G54" s="32" t="n">
        <f aca="false">G53*$D$5+H53*$D$6+I53*$D$7</f>
        <v>34.9525043241022</v>
      </c>
      <c r="H54" s="32" t="n">
        <f aca="false">H53*$D$5+I53*$D$6+J53*$D$7</f>
        <v>33.9399234981953</v>
      </c>
      <c r="I54" s="32" t="n">
        <f aca="false">I53*$D$5+J53*$D$6+K53*$D$7</f>
        <v>0</v>
      </c>
      <c r="J54" s="32" t="n">
        <f aca="false">J53*$D$5+K53*$D$6+L53*$D$7</f>
        <v>0</v>
      </c>
      <c r="K54" s="32" t="n">
        <f aca="false">K53*$D$5+L53*$D$6+M53*$D$7</f>
        <v>0</v>
      </c>
      <c r="L54" s="32" t="n">
        <f aca="false">L53*$D$5+M53*$D$6</f>
        <v>0</v>
      </c>
      <c r="M54" s="32" t="n">
        <f aca="false">M53*$D$5</f>
        <v>0</v>
      </c>
    </row>
    <row r="55" customFormat="false" ht="17.15" hidden="false" customHeight="false" outlineLevel="0" collapsed="false">
      <c r="A55" s="5" t="s">
        <v>1476</v>
      </c>
      <c r="C55" s="0" t="s">
        <v>325</v>
      </c>
      <c r="D55" s="32" t="n">
        <f aca="false">D52+D54</f>
        <v>4.98712496063159</v>
      </c>
      <c r="E55" s="32" t="n">
        <f aca="false">E52+E54</f>
        <v>14.4318778900984</v>
      </c>
      <c r="F55" s="32" t="n">
        <f aca="false">F52+F54</f>
        <v>32.84633607497</v>
      </c>
      <c r="G55" s="32" t="n">
        <f aca="false">G52+G54</f>
        <v>86.0751437799663</v>
      </c>
      <c r="H55" s="32" t="n">
        <f aca="false">H52+H54</f>
        <v>40.0390443189106</v>
      </c>
      <c r="I55" s="32" t="n">
        <f aca="false">I52+I54</f>
        <v>216.646922810902</v>
      </c>
      <c r="J55" s="32" t="n">
        <f aca="false">J52+J54</f>
        <v>0</v>
      </c>
      <c r="K55" s="32" t="n">
        <f aca="false">K52+K54</f>
        <v>0</v>
      </c>
      <c r="L55" s="32" t="n">
        <f aca="false">L52+L54</f>
        <v>0</v>
      </c>
      <c r="M55" s="32" t="n">
        <f aca="false">M52+M54</f>
        <v>0</v>
      </c>
    </row>
    <row r="56" customFormat="false" ht="17.15" hidden="false" customHeight="false" outlineLevel="0" collapsed="false">
      <c r="A56" s="5" t="s">
        <v>1477</v>
      </c>
      <c r="C56" s="0" t="s">
        <v>325</v>
      </c>
      <c r="D56" s="32" t="n">
        <f aca="false">D55*fye_orcl/12+N(In!H124)</f>
        <v>2.0779687335965</v>
      </c>
      <c r="E56" s="32" t="n">
        <f aca="false">E55*fye_orcl/12+D55*(12-fye_orcl)/12+N(In!I124)</f>
        <v>8.92243868124275</v>
      </c>
      <c r="F56" s="32" t="n">
        <f aca="false">F55*fye_orcl/12+E55*(12-fye_orcl)/12+N(In!J124)</f>
        <v>22.1045688004616</v>
      </c>
      <c r="G56" s="32" t="n">
        <f aca="false">G55*fye_orcl/12+F55*(12-fye_orcl)/12+N(In!K124)</f>
        <v>55.0250059520518</v>
      </c>
      <c r="H56" s="32" t="n">
        <f aca="false">H55*fye_orcl/12+G55*(12-fye_orcl)/12+N(In!L124)</f>
        <v>66.8934356711931</v>
      </c>
      <c r="I56" s="32" t="n">
        <f aca="false">I55*fye_orcl/12+H55*(12-fye_orcl)/12+N(In!M124)</f>
        <v>113.62566035724</v>
      </c>
      <c r="J56" s="32" t="n">
        <f aca="false">J55*fye_orcl/12+I55*(12-fye_orcl)/12+N(In!N124)</f>
        <v>126.377371639693</v>
      </c>
      <c r="K56" s="32" t="n">
        <f aca="false">K55*fye_orcl/12+J55*(12-fye_orcl)/12+N(In!O124)</f>
        <v>0</v>
      </c>
      <c r="L56" s="32" t="n">
        <f aca="false">L55*fye_orcl/12+K55*(12-fye_orcl)/12+N(In!P124)</f>
        <v>0</v>
      </c>
      <c r="M56" s="32" t="n">
        <f aca="false">M55*fye_orcl/12+L55*(12-fye_orcl)/12+N(In!Q124)</f>
        <v>0</v>
      </c>
    </row>
    <row r="57" customFormat="false" ht="17.15" hidden="false" customHeight="false" outlineLevel="0" collapsed="false">
      <c r="A57" s="5" t="s">
        <v>1478</v>
      </c>
      <c r="C57" s="0" t="s">
        <v>325</v>
      </c>
      <c r="D57" s="19" t="str">
        <f aca="false">IF(In!H108="","",In!H108)</f>
        <v/>
      </c>
      <c r="E57" s="19" t="str">
        <f aca="false">IF(In!I108="","",In!I108)</f>
        <v/>
      </c>
      <c r="F57" s="30" t="n">
        <f aca="false">IF(In!J108="","",In!J108)</f>
        <v>21.215</v>
      </c>
      <c r="G57" s="30" t="n">
        <f aca="false">IF(In!K108="","",In!K108)</f>
        <v>55.663</v>
      </c>
      <c r="H57" s="30" t="n">
        <f aca="false">IF(In!L108="","",In!L108)</f>
        <v>92.5</v>
      </c>
      <c r="I57" s="30" t="n">
        <f aca="false">IF(In!M108="","",In!M108)</f>
        <v>100.962</v>
      </c>
      <c r="J57" s="30" t="n">
        <f aca="false">IF(In!N108="","",In!N108)</f>
        <v>84.848</v>
      </c>
      <c r="K57" s="19" t="str">
        <f aca="false">IF(In!O108="","",In!O108)</f>
        <v/>
      </c>
      <c r="L57" s="19" t="str">
        <f aca="false">IF(In!P108="","",In!P108)</f>
        <v/>
      </c>
      <c r="M57" s="19" t="str">
        <f aca="false">IF(In!Q108="","",In!Q108)</f>
        <v/>
      </c>
    </row>
    <row r="58" customFormat="false" ht="17.15" hidden="false" customHeight="false" outlineLevel="0" collapsed="false">
      <c r="A58" s="5" t="s">
        <v>1479</v>
      </c>
      <c r="C58" s="0" t="s">
        <v>34</v>
      </c>
      <c r="D58" s="29" t="str">
        <f aca="false">IF(OR(D57="",N(D57)=0),"",D56/D57)</f>
        <v/>
      </c>
      <c r="E58" s="29" t="str">
        <f aca="false">IF(OR(E57="",N(E57)=0),"",E56/E57)</f>
        <v/>
      </c>
      <c r="F58" s="29" t="n">
        <f aca="false">IF(OR(F57="",N(F57)=0),"",F56/F57)</f>
        <v>1.04193112422633</v>
      </c>
      <c r="G58" s="29" t="n">
        <f aca="false">IF(OR(G57="",N(G57)=0),"",G56/G57)</f>
        <v>0.988538274114795</v>
      </c>
      <c r="H58" s="29" t="n">
        <f aca="false">IF(OR(H57="",N(H57)=0),"",H56/H57)</f>
        <v>0.723172277526412</v>
      </c>
      <c r="I58" s="29" t="n">
        <f aca="false">IF(OR(I57="",N(I57)=0),"",I56/I57)</f>
        <v>1.1254299672871</v>
      </c>
      <c r="J58" s="29" t="n">
        <f aca="false">IF(OR(J57="",N(J57)=0),"",J56/J57)</f>
        <v>1.4894561055027</v>
      </c>
      <c r="K58" s="29" t="str">
        <f aca="false">IF(OR(K57="",N(K57)=0),"",K56/K57)</f>
        <v/>
      </c>
      <c r="L58" s="29" t="str">
        <f aca="false">IF(OR(L57="",N(L57)=0),"",L56/L57)</f>
        <v/>
      </c>
      <c r="M58" s="29" t="str">
        <f aca="false">IF(OR(M57="",N(M57)=0),"",M56/M57)</f>
        <v/>
      </c>
    </row>
    <row r="59" customFormat="false" ht="15" hidden="false" customHeight="false" outlineLevel="0" collapsed="false">
      <c r="A59" s="5" t="s">
        <v>1480</v>
      </c>
      <c r="C59" s="0" t="s">
        <v>33</v>
      </c>
      <c r="D59" s="0" t="str">
        <f aca="false">IF(D58="","無個股值",IF(D56=0,"GW 帳無新增",IF(AND(In!$E$108="Verified",FALSE()),IF(ABS(D58-1)&lt;=tolband,"對得上","偏差"),"證據不足（"&amp;IF(ABS(D58-1)&lt;=tolband,"帶內","帶外")&amp;"）")))</f>
        <v>無個股值</v>
      </c>
      <c r="E59" s="0" t="str">
        <f aca="false">IF(E58="","無個股值",IF(E56=0,"GW 帳無新增",IF(AND(In!$E$108="Verified",FALSE()),IF(ABS(E58-1)&lt;=tolband,"對得上","偏差"),"證據不足（"&amp;IF(ABS(E58-1)&lt;=tolband,"帶內","帶外")&amp;"）")))</f>
        <v>無個股值</v>
      </c>
      <c r="F59" s="0" t="str">
        <f aca="false">IF(F58="","無個股值",IF(F56=0,"GW 帳無新增",IF(AND(In!$E$108="Verified",FALSE()),IF(ABS(F58-1)&lt;=tolband,"對得上","偏差"),"證據不足（"&amp;IF(ABS(F58-1)&lt;=tolband,"帶內","帶外")&amp;"）")))</f>
        <v>證據不足（帶內）</v>
      </c>
      <c r="G59" s="0" t="str">
        <f aca="false">IF(G58="","無個股值",IF(G56=0,"GW 帳無新增",IF(AND(In!$E$108="Verified",FALSE()),IF(ABS(G58-1)&lt;=tolband,"對得上","偏差"),"證據不足（"&amp;IF(ABS(G58-1)&lt;=tolband,"帶內","帶外")&amp;"）")))</f>
        <v>證據不足（帶內）</v>
      </c>
      <c r="H59" s="0" t="str">
        <f aca="false">"同源（不對帳）"</f>
        <v>同源（不對帳）</v>
      </c>
      <c r="I59" s="0" t="str">
        <f aca="false">"同源（不對帳）"</f>
        <v>同源（不對帳）</v>
      </c>
      <c r="J59" s="0" t="str">
        <f aca="false">"同源（不對帳）"</f>
        <v>同源（不對帳）</v>
      </c>
      <c r="K59" s="0" t="str">
        <f aca="false">"同源（不對帳）"</f>
        <v>同源（不對帳）</v>
      </c>
      <c r="L59" s="0" t="str">
        <f aca="false">"同源（不對帳）"</f>
        <v>同源（不對帳）</v>
      </c>
      <c r="M59" s="0" t="str">
        <f aca="false">"同源（不對帳）"</f>
        <v>同源（不對帳）</v>
      </c>
    </row>
    <row r="61" customFormat="false" ht="17.15" hidden="false" customHeight="false" outlineLevel="0" collapsed="false">
      <c r="A61" s="8" t="s">
        <v>956</v>
      </c>
      <c r="B61" s="20" t="s">
        <v>555</v>
      </c>
      <c r="N61" s="5" t="s">
        <v>1485</v>
      </c>
    </row>
    <row r="62" customFormat="false" ht="17.15" hidden="false" customHeight="false" outlineLevel="0" collapsed="false">
      <c r="A62" s="5" t="s">
        <v>1473</v>
      </c>
      <c r="C62" s="0" t="s">
        <v>325</v>
      </c>
      <c r="D62" s="32" t="n">
        <f aca="false">Players!D131*((1-Players!D133)*D$8+Players!D133*TK_NonNV_Hold_AMD*TK_CapexIT_VR200)</f>
        <v>0</v>
      </c>
      <c r="E62" s="32" t="n">
        <f aca="false">Players!E131*((1-Players!E133)*E$8+Players!E133*TK_NonNV_Hold_AMD*TK_CapexIT_VR200)</f>
        <v>7.97796206</v>
      </c>
      <c r="F62" s="32" t="n">
        <f aca="false">Players!F131*((1-Players!F133)*F$8+Players!F133*TK_NonNV_Hold_AMD*TK_CapexIT_VR200)</f>
        <v>12.74445312</v>
      </c>
      <c r="G62" s="32" t="n">
        <f aca="false">Players!G131*((1-Players!G133)*G$8+Players!G133*TK_NonNV_Hold_AMD*TK_CapexIT_VR200)</f>
        <v>33.41403216</v>
      </c>
      <c r="H62" s="32" t="n">
        <f aca="false">Players!H131*((1-Players!H133)*H$8+Players!H133*TK_NonNV_Hold_AMD*TK_CapexIT_VR200)</f>
        <v>58.9483485990641</v>
      </c>
      <c r="I62" s="32" t="n">
        <f aca="false">Players!I131*((1-Players!I133)*I$8+Players!I133*TK_NonNV_Hold_AMD*TK_CapexIT_VR200)</f>
        <v>63.5489046181072</v>
      </c>
      <c r="J62" s="32" t="n">
        <f aca="false">Players!J131*((1-Players!J133)*J$8+Players!J133*TK_NonNV_Hold_AMD*TK_CapexIT_VR200)</f>
        <v>63.5489046181072</v>
      </c>
      <c r="K62" s="32" t="n">
        <f aca="false">Players!K131*((1-Players!K133)*K$8+Players!K133*TK_NonNV_Hold_AMD*TK_CapexIT_VR200)</f>
        <v>63.5489046181072</v>
      </c>
      <c r="L62" s="32" t="n">
        <f aca="false">Players!L131*((1-Players!L133)*L$8+Players!L133*TK_NonNV_Hold_AMD*TK_CapexIT_VR200)</f>
        <v>0</v>
      </c>
      <c r="M62" s="32" t="n">
        <f aca="false">Players!M131*((1-Players!M133)*M$8+Players!M133*TK_NonNV_Hold_AMD*TK_CapexIT_VR200)</f>
        <v>0</v>
      </c>
    </row>
    <row r="63" customFormat="false" ht="15" hidden="false" customHeight="false" outlineLevel="0" collapsed="false">
      <c r="A63" s="5" t="s">
        <v>1474</v>
      </c>
      <c r="C63" s="0" t="s">
        <v>325</v>
      </c>
      <c r="D63" s="32" t="n">
        <f aca="false">Players!D131*((1-Players!D133)*D$9+Players!D133*TK_NonNV_Hold_AMD*TK_CapexFacility_VR200)</f>
        <v>0</v>
      </c>
      <c r="E63" s="32" t="n">
        <f aca="false">Players!E131*((1-Players!E133)*E$9+Players!E133*TK_NonNV_Hold_AMD*TK_CapexFacility_VR200)</f>
        <v>3.6743</v>
      </c>
      <c r="F63" s="32" t="n">
        <f aca="false">Players!F131*((1-Players!F133)*F$9+Players!F133*TK_NonNV_Hold_AMD*TK_CapexFacility_VR200)</f>
        <v>6.2083</v>
      </c>
      <c r="G63" s="32" t="n">
        <f aca="false">Players!G131*((1-Players!G133)*G$9+Players!G133*TK_NonNV_Hold_AMD*TK_CapexFacility_VR200)</f>
        <v>12.67</v>
      </c>
      <c r="H63" s="32" t="n">
        <f aca="false">Players!H131*((1-Players!H133)*H$9+Players!H133*TK_NonNV_Hold_AMD*TK_CapexFacility_VR200)</f>
        <v>19.480125</v>
      </c>
      <c r="I63" s="32" t="n">
        <f aca="false">Players!I131*((1-Players!I133)*I$9+Players!I133*TK_NonNV_Hold_AMD*TK_CapexFacility_VR200)</f>
        <v>19.480125</v>
      </c>
      <c r="J63" s="32" t="n">
        <f aca="false">Players!J131*((1-Players!J133)*J$9+Players!J133*TK_NonNV_Hold_AMD*TK_CapexFacility_VR200)</f>
        <v>19.480125</v>
      </c>
      <c r="K63" s="32" t="n">
        <f aca="false">Players!K131*((1-Players!K133)*K$9+Players!K133*TK_NonNV_Hold_AMD*TK_CapexFacility_VR200)</f>
        <v>19.480125</v>
      </c>
      <c r="L63" s="32" t="n">
        <f aca="false">Players!L131*((1-Players!L133)*L$9+Players!L133*TK_NonNV_Hold_AMD*TK_CapexFacility_VR200)</f>
        <v>0</v>
      </c>
      <c r="M63" s="32" t="n">
        <f aca="false">Players!M131*((1-Players!M133)*M$9+Players!M133*TK_NonNV_Hold_AMD*TK_CapexFacility_VR200)</f>
        <v>0</v>
      </c>
    </row>
    <row r="64" customFormat="false" ht="17.15" hidden="false" customHeight="false" outlineLevel="0" collapsed="false">
      <c r="A64" s="5" t="s">
        <v>1475</v>
      </c>
      <c r="C64" s="0" t="s">
        <v>325</v>
      </c>
      <c r="D64" s="32" t="n">
        <f aca="false">D63*$D$5+E63*$D$6+F63*$D$7</f>
        <v>4.9413</v>
      </c>
      <c r="E64" s="32" t="n">
        <f aca="false">E63*$D$5+F63*$D$6+G63*$D$7</f>
        <v>9.43915</v>
      </c>
      <c r="F64" s="32" t="n">
        <f aca="false">F63*$D$5+G63*$D$6+H63*$D$7</f>
        <v>16.0750625</v>
      </c>
      <c r="G64" s="32" t="n">
        <f aca="false">G63*$D$5+H63*$D$6+I63*$D$7</f>
        <v>19.480125</v>
      </c>
      <c r="H64" s="32" t="n">
        <f aca="false">H63*$D$5+I63*$D$6+J63*$D$7</f>
        <v>19.480125</v>
      </c>
      <c r="I64" s="32" t="n">
        <f aca="false">I63*$D$5+J63*$D$6+K63*$D$7</f>
        <v>19.480125</v>
      </c>
      <c r="J64" s="32" t="n">
        <f aca="false">J63*$D$5+K63*$D$6+L63*$D$7</f>
        <v>9.7400625</v>
      </c>
      <c r="K64" s="32" t="n">
        <f aca="false">K63*$D$5+L63*$D$6+M63*$D$7</f>
        <v>0</v>
      </c>
      <c r="L64" s="32" t="n">
        <f aca="false">L63*$D$5+M63*$D$6</f>
        <v>0</v>
      </c>
      <c r="M64" s="32" t="n">
        <f aca="false">M63*$D$5</f>
        <v>0</v>
      </c>
    </row>
    <row r="65" customFormat="false" ht="17.15" hidden="false" customHeight="false" outlineLevel="0" collapsed="false">
      <c r="A65" s="5" t="s">
        <v>1476</v>
      </c>
      <c r="C65" s="0" t="s">
        <v>325</v>
      </c>
      <c r="D65" s="32" t="n">
        <f aca="false">D62+D64</f>
        <v>4.9413</v>
      </c>
      <c r="E65" s="32" t="n">
        <f aca="false">E62+E64</f>
        <v>17.41711206</v>
      </c>
      <c r="F65" s="32" t="n">
        <f aca="false">F62+F64</f>
        <v>28.81951562</v>
      </c>
      <c r="G65" s="32" t="n">
        <f aca="false">G62+G64</f>
        <v>52.89415716</v>
      </c>
      <c r="H65" s="32" t="n">
        <f aca="false">H62+H64</f>
        <v>78.4284735990641</v>
      </c>
      <c r="I65" s="32" t="n">
        <f aca="false">I62+I64</f>
        <v>83.0290296181072</v>
      </c>
      <c r="J65" s="32" t="n">
        <f aca="false">J62+J64</f>
        <v>73.2889671181072</v>
      </c>
      <c r="K65" s="32" t="n">
        <f aca="false">K62+K64</f>
        <v>63.5489046181072</v>
      </c>
      <c r="L65" s="32" t="n">
        <f aca="false">L62+L64</f>
        <v>0</v>
      </c>
      <c r="M65" s="32" t="n">
        <f aca="false">M62+M64</f>
        <v>0</v>
      </c>
    </row>
    <row r="66" customFormat="false" ht="17.15" hidden="false" customHeight="false" outlineLevel="0" collapsed="false">
      <c r="A66" s="5" t="s">
        <v>1477</v>
      </c>
      <c r="C66" s="0" t="s">
        <v>325</v>
      </c>
      <c r="D66" s="32" t="n">
        <f aca="false">D65*fye_crwv/12+N(In!H125)</f>
        <v>4.9413</v>
      </c>
      <c r="E66" s="32" t="n">
        <f aca="false">E65*fye_crwv/12+D65*(12-fye_crwv)/12+N(In!I125)</f>
        <v>17.41711206</v>
      </c>
      <c r="F66" s="32" t="n">
        <f aca="false">F65*fye_crwv/12+E65*(12-fye_crwv)/12+N(In!J125)</f>
        <v>28.81951562</v>
      </c>
      <c r="G66" s="32" t="n">
        <f aca="false">G65*fye_crwv/12+F65*(12-fye_crwv)/12+N(In!K125)</f>
        <v>52.89415716</v>
      </c>
      <c r="H66" s="32" t="n">
        <f aca="false">H65*fye_crwv/12+G65*(12-fye_crwv)/12+N(In!L125)</f>
        <v>78.4284735990641</v>
      </c>
      <c r="I66" s="32" t="n">
        <f aca="false">I65*fye_crwv/12+H65*(12-fye_crwv)/12+N(In!M125)</f>
        <v>83.0290296181072</v>
      </c>
      <c r="J66" s="32" t="n">
        <f aca="false">J65*fye_crwv/12+I65*(12-fye_crwv)/12+N(In!N125)</f>
        <v>73.2889671181072</v>
      </c>
      <c r="K66" s="32" t="n">
        <f aca="false">K65*fye_crwv/12+J65*(12-fye_crwv)/12+N(In!O125)</f>
        <v>63.5489046181072</v>
      </c>
      <c r="L66" s="32" t="n">
        <f aca="false">L65*fye_crwv/12+K65*(12-fye_crwv)/12+N(In!P125)</f>
        <v>0</v>
      </c>
      <c r="M66" s="32" t="n">
        <f aca="false">M65*fye_crwv/12+L65*(12-fye_crwv)/12+N(In!Q125)</f>
        <v>0</v>
      </c>
    </row>
    <row r="67" customFormat="false" ht="17.15" hidden="false" customHeight="false" outlineLevel="0" collapsed="false">
      <c r="A67" s="5" t="s">
        <v>1478</v>
      </c>
      <c r="C67" s="0" t="s">
        <v>325</v>
      </c>
      <c r="D67" s="19" t="str">
        <f aca="false">IF(In!H109="","",In!H109)</f>
        <v/>
      </c>
      <c r="E67" s="19" t="str">
        <f aca="false">IF(In!I109="","",In!I109)</f>
        <v/>
      </c>
      <c r="F67" s="19" t="str">
        <f aca="false">IF(In!J109="","",In!J109)</f>
        <v/>
      </c>
      <c r="G67" s="30" t="n">
        <f aca="false">IF(In!K109="","",In!K109)</f>
        <v>37</v>
      </c>
      <c r="H67" s="30" t="n">
        <f aca="false">IF(In!L109="","",In!L109)</f>
        <v>46.476</v>
      </c>
      <c r="I67" s="30" t="n">
        <f aca="false">IF(In!M109="","",In!M109)</f>
        <v>50.129</v>
      </c>
      <c r="J67" s="19" t="str">
        <f aca="false">IF(In!N109="","",In!N109)</f>
        <v/>
      </c>
      <c r="K67" s="19" t="str">
        <f aca="false">IF(In!O109="","",In!O109)</f>
        <v/>
      </c>
      <c r="L67" s="19" t="str">
        <f aca="false">IF(In!P109="","",In!P109)</f>
        <v/>
      </c>
      <c r="M67" s="19" t="str">
        <f aca="false">IF(In!Q109="","",In!Q109)</f>
        <v/>
      </c>
    </row>
    <row r="68" customFormat="false" ht="17.15" hidden="false" customHeight="false" outlineLevel="0" collapsed="false">
      <c r="A68" s="5" t="s">
        <v>1479</v>
      </c>
      <c r="C68" s="0" t="s">
        <v>34</v>
      </c>
      <c r="D68" s="29" t="str">
        <f aca="false">IF(OR(D67="",N(D67)=0),"",D66/D67)</f>
        <v/>
      </c>
      <c r="E68" s="29" t="str">
        <f aca="false">IF(OR(E67="",N(E67)=0),"",E66/E67)</f>
        <v/>
      </c>
      <c r="F68" s="29" t="str">
        <f aca="false">IF(OR(F67="",N(F67)=0),"",F66/F67)</f>
        <v/>
      </c>
      <c r="G68" s="29" t="n">
        <f aca="false">IF(OR(G67="",N(G67)=0),"",G66/G67)</f>
        <v>1.42957181513514</v>
      </c>
      <c r="H68" s="29" t="n">
        <f aca="false">IF(OR(H67="",N(H67)=0),"",H66/H67)</f>
        <v>1.68750481106515</v>
      </c>
      <c r="I68" s="29" t="n">
        <f aca="false">IF(OR(I67="",N(I67)=0),"",I66/I67)</f>
        <v>1.65630731947789</v>
      </c>
      <c r="J68" s="29" t="str">
        <f aca="false">IF(OR(J67="",N(J67)=0),"",J66/J67)</f>
        <v/>
      </c>
      <c r="K68" s="29" t="str">
        <f aca="false">IF(OR(K67="",N(K67)=0),"",K66/K67)</f>
        <v/>
      </c>
      <c r="L68" s="29" t="str">
        <f aca="false">IF(OR(L67="",N(L67)=0),"",L66/L67)</f>
        <v/>
      </c>
      <c r="M68" s="29" t="str">
        <f aca="false">IF(OR(M67="",N(M67)=0),"",M66/M67)</f>
        <v/>
      </c>
    </row>
    <row r="69" customFormat="false" ht="15" hidden="false" customHeight="false" outlineLevel="0" collapsed="false">
      <c r="A69" s="5" t="s">
        <v>1480</v>
      </c>
      <c r="C69" s="0" t="s">
        <v>33</v>
      </c>
      <c r="D69" s="0" t="str">
        <f aca="false">IF(D68="","無個股值",IF(D66=0,"GW 帳無新增",IF(AND(In!$E$109="Verified",FALSE()),IF(ABS(D68-1)&lt;=tolband,"對得上","偏差"),"證據不足（"&amp;IF(ABS(D68-1)&lt;=tolband,"帶內","帶外")&amp;"）")))</f>
        <v>無個股值</v>
      </c>
      <c r="E69" s="0" t="str">
        <f aca="false">IF(E68="","無個股值",IF(E66=0,"GW 帳無新增",IF(AND(In!$E$109="Verified",FALSE()),IF(ABS(E68-1)&lt;=tolband,"對得上","偏差"),"證據不足（"&amp;IF(ABS(E68-1)&lt;=tolband,"帶內","帶外")&amp;"）")))</f>
        <v>無個股值</v>
      </c>
      <c r="F69" s="0" t="str">
        <f aca="false">IF(F68="","無個股值",IF(F66=0,"GW 帳無新增",IF(AND(In!$E$109="Verified",FALSE()),IF(ABS(F68-1)&lt;=tolband,"對得上","偏差"),"證據不足（"&amp;IF(ABS(F68-1)&lt;=tolband,"帶內","帶外")&amp;"）")))</f>
        <v>無個股值</v>
      </c>
      <c r="G69" s="0" t="str">
        <f aca="false">IF(G68="","無個股值",IF(G66=0,"GW 帳無新增",IF(AND(In!$E$109="Verified",FALSE()),IF(ABS(G68-1)&lt;=tolband,"對得上","偏差"),"證據不足（"&amp;IF(ABS(G68-1)&lt;=tolband,"帶內","帶外")&amp;"）")))</f>
        <v>證據不足（帶外）</v>
      </c>
      <c r="H69" s="0" t="str">
        <f aca="false">"同源（不對帳）"</f>
        <v>同源（不對帳）</v>
      </c>
      <c r="I69" s="0" t="str">
        <f aca="false">"同源（不對帳）"</f>
        <v>同源（不對帳）</v>
      </c>
      <c r="J69" s="0" t="str">
        <f aca="false">"同源（不對帳）"</f>
        <v>同源（不對帳）</v>
      </c>
      <c r="K69" s="0" t="str">
        <f aca="false">"同源（不對帳）"</f>
        <v>同源（不對帳）</v>
      </c>
      <c r="L69" s="0" t="str">
        <f aca="false">"同源（不對帳）"</f>
        <v>同源（不對帳）</v>
      </c>
      <c r="M69" s="0" t="str">
        <f aca="false">"同源（不對帳）"</f>
        <v>同源（不對帳）</v>
      </c>
    </row>
    <row r="71" customFormat="false" ht="17.15" hidden="false" customHeight="false" outlineLevel="0" collapsed="false">
      <c r="A71" s="8" t="s">
        <v>975</v>
      </c>
      <c r="B71" s="20" t="s">
        <v>584</v>
      </c>
      <c r="N71" s="5" t="s">
        <v>1486</v>
      </c>
    </row>
    <row r="72" customFormat="false" ht="17.15" hidden="false" customHeight="false" outlineLevel="0" collapsed="false">
      <c r="A72" s="5" t="s">
        <v>1473</v>
      </c>
      <c r="C72" s="0" t="s">
        <v>325</v>
      </c>
      <c r="D72" s="32" t="n">
        <f aca="false">Players!D150*((1-Players!D152)*D$8+Players!D152*TK_NonNV_Hold_AMD*TK_CapexIT_VR200)</f>
        <v>0</v>
      </c>
      <c r="E72" s="32" t="n">
        <f aca="false">Players!E150*((1-Players!E152)*E$8+Players!E152*TK_NonNV_Hold_AMD*TK_CapexIT_VR200)</f>
        <v>0</v>
      </c>
      <c r="F72" s="32" t="n">
        <f aca="false">Players!F150*((1-Players!F152)*F$8+Players!F152*TK_NonNV_Hold_AMD*TK_CapexIT_VR200)</f>
        <v>0</v>
      </c>
      <c r="G72" s="32" t="n">
        <f aca="false">Players!G150*((1-Players!G152)*G$8+Players!G152*TK_NonNV_Hold_AMD*TK_CapexIT_VR200)</f>
        <v>24.3922434768</v>
      </c>
      <c r="H72" s="32" t="n">
        <f aca="false">Players!H150*((1-Players!H152)*H$8+Players!H152*TK_NonNV_Hold_AMD*TK_CapexIT_VR200)</f>
        <v>0</v>
      </c>
      <c r="I72" s="32" t="n">
        <f aca="false">Players!I150*((1-Players!I152)*I$8+Players!I152*TK_NonNV_Hold_AMD*TK_CapexIT_VR200)</f>
        <v>0</v>
      </c>
      <c r="J72" s="32" t="n">
        <f aca="false">Players!J150*((1-Players!J152)*J$8+Players!J152*TK_NonNV_Hold_AMD*TK_CapexIT_VR200)</f>
        <v>0</v>
      </c>
      <c r="K72" s="32" t="n">
        <f aca="false">Players!K150*((1-Players!K152)*K$8+Players!K152*TK_NonNV_Hold_AMD*TK_CapexIT_VR200)</f>
        <v>0</v>
      </c>
      <c r="L72" s="32" t="n">
        <f aca="false">Players!L150*((1-Players!L152)*L$8+Players!L152*TK_NonNV_Hold_AMD*TK_CapexIT_VR200)</f>
        <v>0</v>
      </c>
      <c r="M72" s="32" t="n">
        <f aca="false">Players!M150*((1-Players!M152)*M$8+Players!M152*TK_NonNV_Hold_AMD*TK_CapexIT_VR200)</f>
        <v>0</v>
      </c>
    </row>
    <row r="73" customFormat="false" ht="15" hidden="false" customHeight="false" outlineLevel="0" collapsed="false">
      <c r="A73" s="5" t="s">
        <v>1474</v>
      </c>
      <c r="C73" s="0" t="s">
        <v>325</v>
      </c>
      <c r="D73" s="32" t="n">
        <f aca="false">Players!D150*((1-Players!D152)*D$9+Players!D152*TK_NonNV_Hold_AMD*TK_CapexFacility_VR200)</f>
        <v>0</v>
      </c>
      <c r="E73" s="32" t="n">
        <f aca="false">Players!E150*((1-Players!E152)*E$9+Players!E152*TK_NonNV_Hold_AMD*TK_CapexFacility_VR200)</f>
        <v>0</v>
      </c>
      <c r="F73" s="32" t="n">
        <f aca="false">Players!F150*((1-Players!F152)*F$9+Players!F152*TK_NonNV_Hold_AMD*TK_CapexFacility_VR200)</f>
        <v>0</v>
      </c>
      <c r="G73" s="32" t="n">
        <f aca="false">Players!G150*((1-Players!G152)*G$9+Players!G152*TK_NonNV_Hold_AMD*TK_CapexFacility_VR200)</f>
        <v>9.2491</v>
      </c>
      <c r="H73" s="32" t="n">
        <f aca="false">Players!H150*((1-Players!H152)*H$9+Players!H152*TK_NonNV_Hold_AMD*TK_CapexFacility_VR200)</f>
        <v>0</v>
      </c>
      <c r="I73" s="32" t="n">
        <f aca="false">Players!I150*((1-Players!I152)*I$9+Players!I152*TK_NonNV_Hold_AMD*TK_CapexFacility_VR200)</f>
        <v>0</v>
      </c>
      <c r="J73" s="32" t="n">
        <f aca="false">Players!J150*((1-Players!J152)*J$9+Players!J152*TK_NonNV_Hold_AMD*TK_CapexFacility_VR200)</f>
        <v>0</v>
      </c>
      <c r="K73" s="32" t="n">
        <f aca="false">Players!K150*((1-Players!K152)*K$9+Players!K152*TK_NonNV_Hold_AMD*TK_CapexFacility_VR200)</f>
        <v>0</v>
      </c>
      <c r="L73" s="32" t="n">
        <f aca="false">Players!L150*((1-Players!L152)*L$9+Players!L152*TK_NonNV_Hold_AMD*TK_CapexFacility_VR200)</f>
        <v>0</v>
      </c>
      <c r="M73" s="32" t="n">
        <f aca="false">Players!M150*((1-Players!M152)*M$9+Players!M152*TK_NonNV_Hold_AMD*TK_CapexFacility_VR200)</f>
        <v>0</v>
      </c>
    </row>
    <row r="74" customFormat="false" ht="17.15" hidden="false" customHeight="false" outlineLevel="0" collapsed="false">
      <c r="A74" s="5" t="s">
        <v>1475</v>
      </c>
      <c r="C74" s="0" t="s">
        <v>325</v>
      </c>
      <c r="D74" s="32" t="n">
        <f aca="false">D73*$D$5+E73*$D$6+F73*$D$7</f>
        <v>0</v>
      </c>
      <c r="E74" s="32" t="n">
        <f aca="false">E73*$D$5+F73*$D$6+G73*$D$7</f>
        <v>4.62455</v>
      </c>
      <c r="F74" s="32" t="n">
        <f aca="false">F73*$D$5+G73*$D$6+H73*$D$7</f>
        <v>4.62455</v>
      </c>
      <c r="G74" s="32" t="n">
        <f aca="false">G73*$D$5+H73*$D$6+I73*$D$7</f>
        <v>0</v>
      </c>
      <c r="H74" s="32" t="n">
        <f aca="false">H73*$D$5+I73*$D$6+J73*$D$7</f>
        <v>0</v>
      </c>
      <c r="I74" s="32" t="n">
        <f aca="false">I73*$D$5+J73*$D$6+K73*$D$7</f>
        <v>0</v>
      </c>
      <c r="J74" s="32" t="n">
        <f aca="false">J73*$D$5+K73*$D$6+L73*$D$7</f>
        <v>0</v>
      </c>
      <c r="K74" s="32" t="n">
        <f aca="false">K73*$D$5+L73*$D$6+M73*$D$7</f>
        <v>0</v>
      </c>
      <c r="L74" s="32" t="n">
        <f aca="false">L73*$D$5+M73*$D$6</f>
        <v>0</v>
      </c>
      <c r="M74" s="32" t="n">
        <f aca="false">M73*$D$5</f>
        <v>0</v>
      </c>
    </row>
    <row r="75" customFormat="false" ht="17.15" hidden="false" customHeight="false" outlineLevel="0" collapsed="false">
      <c r="A75" s="5" t="s">
        <v>1476</v>
      </c>
      <c r="C75" s="0" t="s">
        <v>325</v>
      </c>
      <c r="D75" s="32" t="n">
        <f aca="false">D72+D74</f>
        <v>0</v>
      </c>
      <c r="E75" s="32" t="n">
        <f aca="false">E72+E74</f>
        <v>4.62455</v>
      </c>
      <c r="F75" s="32" t="n">
        <f aca="false">F72+F74</f>
        <v>4.62455</v>
      </c>
      <c r="G75" s="32" t="n">
        <f aca="false">G72+G74</f>
        <v>24.3922434768</v>
      </c>
      <c r="H75" s="32" t="n">
        <f aca="false">H72+H74</f>
        <v>0</v>
      </c>
      <c r="I75" s="32" t="n">
        <f aca="false">I72+I74</f>
        <v>0</v>
      </c>
      <c r="J75" s="32" t="n">
        <f aca="false">J72+J74</f>
        <v>0</v>
      </c>
      <c r="K75" s="32" t="n">
        <f aca="false">K72+K74</f>
        <v>0</v>
      </c>
      <c r="L75" s="32" t="n">
        <f aca="false">L72+L74</f>
        <v>0</v>
      </c>
      <c r="M75" s="32" t="n">
        <f aca="false">M72+M74</f>
        <v>0</v>
      </c>
    </row>
    <row r="76" customFormat="false" ht="17.15" hidden="false" customHeight="false" outlineLevel="0" collapsed="false">
      <c r="A76" s="5" t="s">
        <v>1477</v>
      </c>
      <c r="C76" s="0" t="s">
        <v>325</v>
      </c>
      <c r="D76" s="32" t="n">
        <f aca="false">D75*fye_nbis/12+N(In!H126)</f>
        <v>0</v>
      </c>
      <c r="E76" s="32" t="n">
        <f aca="false">E75*fye_nbis/12+D75*(12-fye_nbis)/12+N(In!I126)</f>
        <v>4.62455</v>
      </c>
      <c r="F76" s="32" t="n">
        <f aca="false">F75*fye_nbis/12+E75*(12-fye_nbis)/12+N(In!J126)</f>
        <v>4.62455</v>
      </c>
      <c r="G76" s="32" t="n">
        <f aca="false">G75*fye_nbis/12+F75*(12-fye_nbis)/12+N(In!K126)</f>
        <v>24.3922434768</v>
      </c>
      <c r="H76" s="32" t="n">
        <f aca="false">H75*fye_nbis/12+G75*(12-fye_nbis)/12+N(In!L126)</f>
        <v>0</v>
      </c>
      <c r="I76" s="32" t="n">
        <f aca="false">I75*fye_nbis/12+H75*(12-fye_nbis)/12+N(In!M126)</f>
        <v>0</v>
      </c>
      <c r="J76" s="32" t="n">
        <f aca="false">J75*fye_nbis/12+I75*(12-fye_nbis)/12+N(In!N126)</f>
        <v>0</v>
      </c>
      <c r="K76" s="32" t="n">
        <f aca="false">K75*fye_nbis/12+J75*(12-fye_nbis)/12+N(In!O126)</f>
        <v>0</v>
      </c>
      <c r="L76" s="32" t="n">
        <f aca="false">L75*fye_nbis/12+K75*(12-fye_nbis)/12+N(In!P126)</f>
        <v>0</v>
      </c>
      <c r="M76" s="32" t="n">
        <f aca="false">M75*fye_nbis/12+L75*(12-fye_nbis)/12+N(In!Q126)</f>
        <v>0</v>
      </c>
    </row>
    <row r="77" customFormat="false" ht="17.15" hidden="false" customHeight="false" outlineLevel="0" collapsed="false">
      <c r="A77" s="5" t="s">
        <v>1478</v>
      </c>
      <c r="C77" s="0" t="s">
        <v>325</v>
      </c>
      <c r="D77" s="19" t="str">
        <f aca="false">IF(In!H110="","",In!H110)</f>
        <v/>
      </c>
      <c r="E77" s="19" t="str">
        <f aca="false">IF(In!I110="","",In!I110)</f>
        <v/>
      </c>
      <c r="F77" s="30" t="n">
        <f aca="false">IF(In!J110="","",In!J110)</f>
        <v>4.066</v>
      </c>
      <c r="G77" s="30" t="n">
        <f aca="false">IF(In!K110="","",In!K110)</f>
        <v>22.5</v>
      </c>
      <c r="H77" s="30" t="n">
        <f aca="false">IF(In!L110="","",In!L110)</f>
        <v>27.243</v>
      </c>
      <c r="I77" s="30" t="n">
        <f aca="false">IF(In!M110="","",In!M110)</f>
        <v>38.39</v>
      </c>
      <c r="J77" s="19" t="str">
        <f aca="false">IF(In!N110="","",In!N110)</f>
        <v/>
      </c>
      <c r="K77" s="19" t="str">
        <f aca="false">IF(In!O110="","",In!O110)</f>
        <v/>
      </c>
      <c r="L77" s="19" t="str">
        <f aca="false">IF(In!P110="","",In!P110)</f>
        <v/>
      </c>
      <c r="M77" s="19" t="str">
        <f aca="false">IF(In!Q110="","",In!Q110)</f>
        <v/>
      </c>
    </row>
    <row r="78" customFormat="false" ht="17.15" hidden="false" customHeight="false" outlineLevel="0" collapsed="false">
      <c r="A78" s="5" t="s">
        <v>1479</v>
      </c>
      <c r="C78" s="0" t="s">
        <v>34</v>
      </c>
      <c r="D78" s="29" t="str">
        <f aca="false">IF(OR(D77="",N(D77)=0),"",D76/D77)</f>
        <v/>
      </c>
      <c r="E78" s="29" t="str">
        <f aca="false">IF(OR(E77="",N(E77)=0),"",E76/E77)</f>
        <v/>
      </c>
      <c r="F78" s="29" t="n">
        <f aca="false">IF(OR(F77="",N(F77)=0),"",F76/F77)</f>
        <v>1.13737088047221</v>
      </c>
      <c r="G78" s="29" t="n">
        <f aca="false">IF(OR(G77="",N(G77)=0),"",G76/G77)</f>
        <v>1.08409971008</v>
      </c>
      <c r="H78" s="29" t="n">
        <f aca="false">IF(OR(H77="",N(H77)=0),"",H76/H77)</f>
        <v>0</v>
      </c>
      <c r="I78" s="29" t="n">
        <f aca="false">IF(OR(I77="",N(I77)=0),"",I76/I77)</f>
        <v>0</v>
      </c>
      <c r="J78" s="29" t="str">
        <f aca="false">IF(OR(J77="",N(J77)=0),"",J76/J77)</f>
        <v/>
      </c>
      <c r="K78" s="29" t="str">
        <f aca="false">IF(OR(K77="",N(K77)=0),"",K76/K77)</f>
        <v/>
      </c>
      <c r="L78" s="29" t="str">
        <f aca="false">IF(OR(L77="",N(L77)=0),"",L76/L77)</f>
        <v/>
      </c>
      <c r="M78" s="29" t="str">
        <f aca="false">IF(OR(M77="",N(M77)=0),"",M76/M77)</f>
        <v/>
      </c>
    </row>
    <row r="79" customFormat="false" ht="15" hidden="false" customHeight="false" outlineLevel="0" collapsed="false">
      <c r="A79" s="5" t="s">
        <v>1480</v>
      </c>
      <c r="C79" s="0" t="s">
        <v>33</v>
      </c>
      <c r="D79" s="0" t="str">
        <f aca="false">IF(D78="","無個股值",IF(D76=0,"GW 帳無新增",IF(AND(In!$E$110="Verified",FALSE()),IF(ABS(D78-1)&lt;=tolband,"對得上","偏差"),"證據不足（"&amp;IF(ABS(D78-1)&lt;=tolband,"帶內","帶外")&amp;"）")))</f>
        <v>無個股值</v>
      </c>
      <c r="E79" s="0" t="str">
        <f aca="false">IF(E78="","無個股值",IF(E76=0,"GW 帳無新增",IF(AND(In!$E$110="Verified",FALSE()),IF(ABS(E78-1)&lt;=tolband,"對得上","偏差"),"證據不足（"&amp;IF(ABS(E78-1)&lt;=tolband,"帶內","帶外")&amp;"）")))</f>
        <v>無個股值</v>
      </c>
      <c r="F79" s="0" t="str">
        <f aca="false">IF(F78="","無個股值",IF(F76=0,"GW 帳無新增",IF(AND(In!$E$110="Verified",FALSE()),IF(ABS(F78-1)&lt;=tolband,"對得上","偏差"),"證據不足（"&amp;IF(ABS(F78-1)&lt;=tolband,"帶內","帶外")&amp;"）")))</f>
        <v>證據不足（帶內）</v>
      </c>
      <c r="G79" s="0" t="str">
        <f aca="false">IF(G78="","無個股值",IF(G76=0,"GW 帳無新增",IF(AND(In!$E$110="Verified",FALSE()),IF(ABS(G78-1)&lt;=tolband,"對得上","偏差"),"證據不足（"&amp;IF(ABS(G78-1)&lt;=tolband,"帶內","帶外")&amp;"）")))</f>
        <v>證據不足（帶內）</v>
      </c>
      <c r="H79" s="0" t="str">
        <f aca="false">"同源（不對帳）"</f>
        <v>同源（不對帳）</v>
      </c>
      <c r="I79" s="0" t="str">
        <f aca="false">"同源（不對帳）"</f>
        <v>同源（不對帳）</v>
      </c>
      <c r="J79" s="0" t="str">
        <f aca="false">"同源（不對帳）"</f>
        <v>同源（不對帳）</v>
      </c>
      <c r="K79" s="0" t="str">
        <f aca="false">"同源（不對帳）"</f>
        <v>同源（不對帳）</v>
      </c>
      <c r="L79" s="0" t="str">
        <f aca="false">"同源（不對帳）"</f>
        <v>同源（不對帳）</v>
      </c>
      <c r="M79" s="0" t="str">
        <f aca="false">"同源（不對帳）"</f>
        <v>同源（不對帳）</v>
      </c>
    </row>
    <row r="81" customFormat="false" ht="17.15" hidden="false" customHeight="false" outlineLevel="0" collapsed="false">
      <c r="A81" s="8" t="s">
        <v>994</v>
      </c>
      <c r="B81" s="20" t="s">
        <v>995</v>
      </c>
      <c r="N81" s="5" t="s">
        <v>1487</v>
      </c>
    </row>
    <row r="82" customFormat="false" ht="17.15" hidden="false" customHeight="false" outlineLevel="0" collapsed="false">
      <c r="A82" s="5" t="s">
        <v>1473</v>
      </c>
      <c r="C82" s="0" t="s">
        <v>325</v>
      </c>
      <c r="D82" s="32" t="n">
        <f aca="false">Players!D169*((1-Players!D171)*D$8+Players!D171*TK_NonNV_Hold_AMD*TK_CapexIT_VR200)</f>
        <v>0</v>
      </c>
      <c r="E82" s="32" t="n">
        <f aca="false">Players!E169*((1-Players!E171)*E$8+Players!E171*TK_NonNV_Hold_AMD*TK_CapexIT_VR200)</f>
        <v>0</v>
      </c>
      <c r="F82" s="32" t="n">
        <f aca="false">Players!F169*((1-Players!F171)*F$8+Players!F171*TK_NonNV_Hold_AMD*TK_CapexIT_VR200)</f>
        <v>0</v>
      </c>
      <c r="G82" s="32" t="n">
        <f aca="false">Players!G169*((1-Players!G171)*G$8+Players!G171*TK_NonNV_Hold_AMD*TK_CapexIT_VR200)</f>
        <v>0.30319892781984</v>
      </c>
      <c r="H82" s="32" t="n">
        <f aca="false">Players!H169*((1-Players!H171)*H$8+Players!H171*TK_NonNV_Hold_AMD*TK_CapexIT_VR200)</f>
        <v>0.0756839285427982</v>
      </c>
      <c r="I82" s="32" t="n">
        <f aca="false">Players!I169*((1-Players!I171)*I$8+Players!I171*TK_NonNV_Hold_AMD*TK_CapexIT_VR200)</f>
        <v>0</v>
      </c>
      <c r="J82" s="32" t="n">
        <f aca="false">Players!J169*((1-Players!J171)*J$8+Players!J171*TK_NonNV_Hold_AMD*TK_CapexIT_VR200)</f>
        <v>0</v>
      </c>
      <c r="K82" s="32" t="n">
        <f aca="false">Players!K169*((1-Players!K171)*K$8+Players!K171*TK_NonNV_Hold_AMD*TK_CapexIT_VR200)</f>
        <v>0</v>
      </c>
      <c r="L82" s="32" t="n">
        <f aca="false">Players!L169*((1-Players!L171)*L$8+Players!L171*TK_NonNV_Hold_AMD*TK_CapexIT_VR200)</f>
        <v>0</v>
      </c>
      <c r="M82" s="32" t="n">
        <f aca="false">Players!M169*((1-Players!M171)*M$8+Players!M171*TK_NonNV_Hold_AMD*TK_CapexIT_VR200)</f>
        <v>0</v>
      </c>
    </row>
    <row r="83" customFormat="false" ht="15" hidden="false" customHeight="false" outlineLevel="0" collapsed="false">
      <c r="A83" s="5" t="s">
        <v>1474</v>
      </c>
      <c r="C83" s="0" t="s">
        <v>325</v>
      </c>
      <c r="D83" s="32" t="n">
        <f aca="false">Players!D169*((1-Players!D171)*D$9+Players!D171*TK_NonNV_Hold_AMD*TK_CapexFacility_VR200)</f>
        <v>0</v>
      </c>
      <c r="E83" s="32" t="n">
        <f aca="false">Players!E169*((1-Players!E171)*E$9+Players!E171*TK_NonNV_Hold_AMD*TK_CapexFacility_VR200)</f>
        <v>0</v>
      </c>
      <c r="F83" s="32" t="n">
        <f aca="false">Players!F169*((1-Players!F171)*F$9+Players!F171*TK_NonNV_Hold_AMD*TK_CapexFacility_VR200)</f>
        <v>0</v>
      </c>
      <c r="G83" s="32" t="n">
        <f aca="false">Players!G169*((1-Players!G171)*G$9+Players!G171*TK_NonNV_Hold_AMD*TK_CapexFacility_VR200)</f>
        <v>0.11496758</v>
      </c>
      <c r="H83" s="32" t="n">
        <f aca="false">Players!H169*((1-Players!H171)*H$9+Players!H171*TK_NonNV_Hold_AMD*TK_CapexFacility_VR200)</f>
        <v>0.02501058</v>
      </c>
      <c r="I83" s="32" t="n">
        <f aca="false">Players!I169*((1-Players!I171)*I$9+Players!I171*TK_NonNV_Hold_AMD*TK_CapexFacility_VR200)</f>
        <v>0</v>
      </c>
      <c r="J83" s="32" t="n">
        <f aca="false">Players!J169*((1-Players!J171)*J$9+Players!J171*TK_NonNV_Hold_AMD*TK_CapexFacility_VR200)</f>
        <v>0</v>
      </c>
      <c r="K83" s="32" t="n">
        <f aca="false">Players!K169*((1-Players!K171)*K$9+Players!K171*TK_NonNV_Hold_AMD*TK_CapexFacility_VR200)</f>
        <v>0</v>
      </c>
      <c r="L83" s="32" t="n">
        <f aca="false">Players!L169*((1-Players!L171)*L$9+Players!L171*TK_NonNV_Hold_AMD*TK_CapexFacility_VR200)</f>
        <v>0</v>
      </c>
      <c r="M83" s="32" t="n">
        <f aca="false">Players!M169*((1-Players!M171)*M$9+Players!M171*TK_NonNV_Hold_AMD*TK_CapexFacility_VR200)</f>
        <v>0</v>
      </c>
    </row>
    <row r="84" customFormat="false" ht="17.15" hidden="false" customHeight="false" outlineLevel="0" collapsed="false">
      <c r="A84" s="5" t="s">
        <v>1475</v>
      </c>
      <c r="C84" s="0" t="s">
        <v>325</v>
      </c>
      <c r="D84" s="32" t="n">
        <f aca="false">D83*$D$5+E83*$D$6+F83*$D$7</f>
        <v>0</v>
      </c>
      <c r="E84" s="32" t="n">
        <f aca="false">E83*$D$5+F83*$D$6+G83*$D$7</f>
        <v>0.05748379</v>
      </c>
      <c r="F84" s="32" t="n">
        <f aca="false">F83*$D$5+G83*$D$6+H83*$D$7</f>
        <v>0.06998908</v>
      </c>
      <c r="G84" s="32" t="n">
        <f aca="false">G83*$D$5+H83*$D$6+I83*$D$7</f>
        <v>0.01250529</v>
      </c>
      <c r="H84" s="32" t="n">
        <f aca="false">H83*$D$5+I83*$D$6+J83*$D$7</f>
        <v>0</v>
      </c>
      <c r="I84" s="32" t="n">
        <f aca="false">I83*$D$5+J83*$D$6+K83*$D$7</f>
        <v>0</v>
      </c>
      <c r="J84" s="32" t="n">
        <f aca="false">J83*$D$5+K83*$D$6+L83*$D$7</f>
        <v>0</v>
      </c>
      <c r="K84" s="32" t="n">
        <f aca="false">K83*$D$5+L83*$D$6+M83*$D$7</f>
        <v>0</v>
      </c>
      <c r="L84" s="32" t="n">
        <f aca="false">L83*$D$5+M83*$D$6</f>
        <v>0</v>
      </c>
      <c r="M84" s="32" t="n">
        <f aca="false">M83*$D$5</f>
        <v>0</v>
      </c>
    </row>
    <row r="85" customFormat="false" ht="17.15" hidden="false" customHeight="false" outlineLevel="0" collapsed="false">
      <c r="A85" s="5" t="s">
        <v>1476</v>
      </c>
      <c r="C85" s="0" t="s">
        <v>325</v>
      </c>
      <c r="D85" s="32" t="n">
        <f aca="false">D82+D84</f>
        <v>0</v>
      </c>
      <c r="E85" s="32" t="n">
        <f aca="false">E82+E84</f>
        <v>0.05748379</v>
      </c>
      <c r="F85" s="32" t="n">
        <f aca="false">F82+F84</f>
        <v>0.06998908</v>
      </c>
      <c r="G85" s="32" t="n">
        <f aca="false">G82+G84</f>
        <v>0.31570421781984</v>
      </c>
      <c r="H85" s="32" t="n">
        <f aca="false">H82+H84</f>
        <v>0.0756839285427982</v>
      </c>
      <c r="I85" s="32" t="n">
        <f aca="false">I82+I84</f>
        <v>0</v>
      </c>
      <c r="J85" s="32" t="n">
        <f aca="false">J82+J84</f>
        <v>0</v>
      </c>
      <c r="K85" s="32" t="n">
        <f aca="false">K82+K84</f>
        <v>0</v>
      </c>
      <c r="L85" s="32" t="n">
        <f aca="false">L82+L84</f>
        <v>0</v>
      </c>
      <c r="M85" s="32" t="n">
        <f aca="false">M82+M84</f>
        <v>0</v>
      </c>
    </row>
    <row r="86" customFormat="false" ht="17.15" hidden="false" customHeight="false" outlineLevel="0" collapsed="false">
      <c r="A86" s="5" t="s">
        <v>1477</v>
      </c>
      <c r="C86" s="0" t="s">
        <v>325</v>
      </c>
      <c r="D86" s="32" t="n">
        <f aca="false">D85*fye_wyfi/12+N(In!H127)</f>
        <v>0</v>
      </c>
      <c r="E86" s="32" t="n">
        <f aca="false">E85*fye_wyfi/12+D85*(12-fye_wyfi)/12+N(In!I127)</f>
        <v>0.05748379</v>
      </c>
      <c r="F86" s="32" t="n">
        <f aca="false">F85*fye_wyfi/12+E85*(12-fye_wyfi)/12+N(In!J127)</f>
        <v>0.06998908</v>
      </c>
      <c r="G86" s="32" t="n">
        <f aca="false">G85*fye_wyfi/12+F85*(12-fye_wyfi)/12+N(In!K127)</f>
        <v>0.31570421781984</v>
      </c>
      <c r="H86" s="32" t="n">
        <f aca="false">H85*fye_wyfi/12+G85*(12-fye_wyfi)/12+N(In!L127)</f>
        <v>0.0756839285427982</v>
      </c>
      <c r="I86" s="32" t="n">
        <f aca="false">I85*fye_wyfi/12+H85*(12-fye_wyfi)/12+N(In!M127)</f>
        <v>0</v>
      </c>
      <c r="J86" s="32" t="n">
        <f aca="false">J85*fye_wyfi/12+I85*(12-fye_wyfi)/12+N(In!N127)</f>
        <v>0</v>
      </c>
      <c r="K86" s="32" t="n">
        <f aca="false">K85*fye_wyfi/12+J85*(12-fye_wyfi)/12+N(In!O127)</f>
        <v>0</v>
      </c>
      <c r="L86" s="32" t="n">
        <f aca="false">L85*fye_wyfi/12+K85*(12-fye_wyfi)/12+N(In!P127)</f>
        <v>0</v>
      </c>
      <c r="M86" s="32" t="n">
        <f aca="false">M85*fye_wyfi/12+L85*(12-fye_wyfi)/12+N(In!Q127)</f>
        <v>0</v>
      </c>
    </row>
    <row r="87" customFormat="false" ht="17.15" hidden="false" customHeight="false" outlineLevel="0" collapsed="false">
      <c r="A87" s="5" t="s">
        <v>1478</v>
      </c>
      <c r="C87" s="0" t="s">
        <v>325</v>
      </c>
      <c r="D87" s="19" t="str">
        <f aca="false">IF(In!H111="","",In!H111)</f>
        <v/>
      </c>
      <c r="E87" s="19" t="str">
        <f aca="false">IF(In!I111="","",In!I111)</f>
        <v/>
      </c>
      <c r="F87" s="19" t="str">
        <f aca="false">IF(In!J111="","",In!J111)</f>
        <v/>
      </c>
      <c r="G87" s="19" t="str">
        <f aca="false">IF(In!K111="","",In!K111)</f>
        <v/>
      </c>
      <c r="H87" s="19" t="str">
        <f aca="false">IF(In!L111="","",In!L111)</f>
        <v/>
      </c>
      <c r="I87" s="19" t="str">
        <f aca="false">IF(In!M111="","",In!M111)</f>
        <v/>
      </c>
      <c r="J87" s="19" t="str">
        <f aca="false">IF(In!N111="","",In!N111)</f>
        <v/>
      </c>
      <c r="K87" s="19" t="str">
        <f aca="false">IF(In!O111="","",In!O111)</f>
        <v/>
      </c>
      <c r="L87" s="19" t="str">
        <f aca="false">IF(In!P111="","",In!P111)</f>
        <v/>
      </c>
      <c r="M87" s="19" t="str">
        <f aca="false">IF(In!Q111="","",In!Q111)</f>
        <v/>
      </c>
    </row>
    <row r="88" customFormat="false" ht="17.15" hidden="false" customHeight="false" outlineLevel="0" collapsed="false">
      <c r="A88" s="5" t="s">
        <v>1479</v>
      </c>
      <c r="C88" s="0" t="s">
        <v>34</v>
      </c>
      <c r="D88" s="29" t="str">
        <f aca="false">IF(OR(D87="",N(D87)=0),"",D86/D87)</f>
        <v/>
      </c>
      <c r="E88" s="29" t="str">
        <f aca="false">IF(OR(E87="",N(E87)=0),"",E86/E87)</f>
        <v/>
      </c>
      <c r="F88" s="29" t="str">
        <f aca="false">IF(OR(F87="",N(F87)=0),"",F86/F87)</f>
        <v/>
      </c>
      <c r="G88" s="29" t="str">
        <f aca="false">IF(OR(G87="",N(G87)=0),"",G86/G87)</f>
        <v/>
      </c>
      <c r="H88" s="29" t="str">
        <f aca="false">IF(OR(H87="",N(H87)=0),"",H86/H87)</f>
        <v/>
      </c>
      <c r="I88" s="29" t="str">
        <f aca="false">IF(OR(I87="",N(I87)=0),"",I86/I87)</f>
        <v/>
      </c>
      <c r="J88" s="29" t="str">
        <f aca="false">IF(OR(J87="",N(J87)=0),"",J86/J87)</f>
        <v/>
      </c>
      <c r="K88" s="29" t="str">
        <f aca="false">IF(OR(K87="",N(K87)=0),"",K86/K87)</f>
        <v/>
      </c>
      <c r="L88" s="29" t="str">
        <f aca="false">IF(OR(L87="",N(L87)=0),"",L86/L87)</f>
        <v/>
      </c>
      <c r="M88" s="29" t="str">
        <f aca="false">IF(OR(M87="",N(M87)=0),"",M86/M87)</f>
        <v/>
      </c>
    </row>
    <row r="89" customFormat="false" ht="15" hidden="false" customHeight="false" outlineLevel="0" collapsed="false">
      <c r="A89" s="5" t="s">
        <v>1480</v>
      </c>
      <c r="C89" s="0" t="s">
        <v>33</v>
      </c>
      <c r="D89" s="0" t="str">
        <f aca="false">IF(D88="","無個股值",IF(D86=0,"GW 帳無新增",IF(AND(In!$E$111="Verified",FALSE()),IF(ABS(D88-1)&lt;=tolband,"對得上","偏差"),"證據不足（"&amp;IF(ABS(D88-1)&lt;=tolband,"帶內","帶外")&amp;"）")))</f>
        <v>無個股值</v>
      </c>
      <c r="E89" s="0" t="str">
        <f aca="false">IF(E88="","無個股值",IF(E86=0,"GW 帳無新增",IF(AND(In!$E$111="Verified",FALSE()),IF(ABS(E88-1)&lt;=tolband,"對得上","偏差"),"證據不足（"&amp;IF(ABS(E88-1)&lt;=tolband,"帶內","帶外")&amp;"）")))</f>
        <v>無個股值</v>
      </c>
      <c r="F89" s="0" t="str">
        <f aca="false">IF(F88="","無個股值",IF(F86=0,"GW 帳無新增",IF(AND(In!$E$111="Verified",FALSE()),IF(ABS(F88-1)&lt;=tolband,"對得上","偏差"),"證據不足（"&amp;IF(ABS(F88-1)&lt;=tolband,"帶內","帶外")&amp;"）")))</f>
        <v>無個股值</v>
      </c>
      <c r="G89" s="0" t="str">
        <f aca="false">IF(G88="","無個股值",IF(G86=0,"GW 帳無新增",IF(AND(In!$E$111="Verified",FALSE()),IF(ABS(G88-1)&lt;=tolband,"對得上","偏差"),"證據不足（"&amp;IF(ABS(G88-1)&lt;=tolband,"帶內","帶外")&amp;"）")))</f>
        <v>無個股值</v>
      </c>
      <c r="H89" s="0" t="str">
        <f aca="false">IF(H88="","無個股值",IF(H86=0,"GW 帳無新增",IF(AND(In!$E$111="Verified",FALSE()),IF(ABS(H88-1)&lt;=tolband,"對得上","偏差"),"證據不足（"&amp;IF(ABS(H88-1)&lt;=tolband,"帶內","帶外")&amp;"）")))</f>
        <v>無個股值</v>
      </c>
      <c r="I89" s="0" t="str">
        <f aca="false">IF(I88="","無個股值",IF(I86=0,"GW 帳無新增",IF(AND(In!$E$111="Verified",FALSE()),IF(ABS(I88-1)&lt;=tolband,"對得上","偏差"),"證據不足（"&amp;IF(ABS(I88-1)&lt;=tolband,"帶內","帶外")&amp;"）")))</f>
        <v>無個股值</v>
      </c>
      <c r="J89" s="0" t="str">
        <f aca="false">IF(J88="","無個股值",IF(J86=0,"GW 帳無新增",IF(AND(In!$E$111="Verified",FALSE()),IF(ABS(J88-1)&lt;=tolband,"對得上","偏差"),"證據不足（"&amp;IF(ABS(J88-1)&lt;=tolband,"帶內","帶外")&amp;"）")))</f>
        <v>無個股值</v>
      </c>
      <c r="K89" s="0" t="str">
        <f aca="false">IF(K88="","無個股值",IF(K86=0,"GW 帳無新增",IF(AND(In!$E$111="Verified",FALSE()),IF(ABS(K88-1)&lt;=tolband,"對得上","偏差"),"證據不足（"&amp;IF(ABS(K88-1)&lt;=tolband,"帶內","帶外")&amp;"）")))</f>
        <v>無個股值</v>
      </c>
      <c r="L89" s="0" t="str">
        <f aca="false">IF(L88="","無個股值",IF(L86=0,"GW 帳無新增",IF(AND(In!$E$111="Verified",FALSE()),IF(ABS(L88-1)&lt;=tolband,"對得上","偏差"),"證據不足（"&amp;IF(ABS(L88-1)&lt;=tolband,"帶內","帶外")&amp;"）")))</f>
        <v>無個股值</v>
      </c>
      <c r="M89" s="0" t="str">
        <f aca="false">IF(M88="","無個股值",IF(M86=0,"GW 帳無新增",IF(AND(In!$E$111="Verified",FALSE()),IF(ABS(M88-1)&lt;=tolband,"對得上","偏差"),"證據不足（"&amp;IF(ABS(M88-1)&lt;=tolband,"帶內","帶外")&amp;"）")))</f>
        <v>無個股值</v>
      </c>
    </row>
    <row r="91" customFormat="false" ht="17.15" hidden="false" customHeight="false" outlineLevel="0" collapsed="false">
      <c r="A91" s="8" t="s">
        <v>1014</v>
      </c>
      <c r="B91" s="20" t="s">
        <v>470</v>
      </c>
      <c r="N91" s="20" t="s">
        <v>1488</v>
      </c>
    </row>
    <row r="92" customFormat="false" ht="17.15" hidden="false" customHeight="false" outlineLevel="0" collapsed="false">
      <c r="A92" s="5" t="s">
        <v>1473</v>
      </c>
      <c r="C92" s="0" t="s">
        <v>325</v>
      </c>
      <c r="D92" s="32" t="n">
        <f aca="false">Players!D188*((1-Players!D190)*D$8+Players!D190*TK_NonNV_Hold_AMD*TK_CapexIT_VR200)</f>
        <v>0</v>
      </c>
      <c r="E92" s="32" t="n">
        <f aca="false">Players!E188*((1-Players!E190)*E$8+Players!E190*TK_NonNV_Hold_AMD*TK_CapexIT_VR200)</f>
        <v>0</v>
      </c>
      <c r="F92" s="32" t="n">
        <f aca="false">Players!F188*((1-Players!F190)*F$8+Players!F190*TK_NonNV_Hold_AMD*TK_CapexIT_VR200)</f>
        <v>0</v>
      </c>
      <c r="G92" s="32" t="n">
        <f aca="false">Players!G188*((1-Players!G190)*G$8+Players!G190*TK_NonNV_Hold_AMD*TK_CapexIT_VR200)</f>
        <v>47.788748795232</v>
      </c>
      <c r="H92" s="32" t="n">
        <f aca="false">Players!H188*((1-Players!H190)*H$8+Players!H190*TK_NonNV_Hold_AMD*TK_CapexIT_VR200)</f>
        <v>0</v>
      </c>
      <c r="I92" s="32" t="n">
        <f aca="false">Players!I188*((1-Players!I190)*I$8+Players!I190*TK_NonNV_Hold_AMD*TK_CapexIT_VR200)</f>
        <v>0</v>
      </c>
      <c r="J92" s="32" t="n">
        <f aca="false">Players!J188*((1-Players!J190)*J$8+Players!J190*TK_NonNV_Hold_AMD*TK_CapexIT_VR200)</f>
        <v>0</v>
      </c>
      <c r="K92" s="32" t="n">
        <f aca="false">Players!K188*((1-Players!K190)*K$8+Players!K190*TK_NonNV_Hold_AMD*TK_CapexIT_VR200)</f>
        <v>0</v>
      </c>
      <c r="L92" s="32" t="n">
        <f aca="false">Players!L188*((1-Players!L190)*L$8+Players!L190*TK_NonNV_Hold_AMD*TK_CapexIT_VR200)</f>
        <v>0</v>
      </c>
      <c r="M92" s="32" t="n">
        <f aca="false">Players!M188*((1-Players!M190)*M$8+Players!M190*TK_NonNV_Hold_AMD*TK_CapexIT_VR200)</f>
        <v>0</v>
      </c>
    </row>
    <row r="93" customFormat="false" ht="15" hidden="false" customHeight="false" outlineLevel="0" collapsed="false">
      <c r="A93" s="5" t="s">
        <v>1474</v>
      </c>
      <c r="C93" s="0" t="s">
        <v>325</v>
      </c>
      <c r="D93" s="32" t="n">
        <f aca="false">Players!D188*((1-Players!D190)*D$9+Players!D190*TK_NonNV_Hold_AMD*TK_CapexFacility_VR200)</f>
        <v>0</v>
      </c>
      <c r="E93" s="32" t="n">
        <f aca="false">Players!E188*((1-Players!E190)*E$9+Players!E190*TK_NonNV_Hold_AMD*TK_CapexFacility_VR200)</f>
        <v>0</v>
      </c>
      <c r="F93" s="32" t="n">
        <f aca="false">Players!F188*((1-Players!F190)*F$9+Players!F190*TK_NonNV_Hold_AMD*TK_CapexFacility_VR200)</f>
        <v>0</v>
      </c>
      <c r="G93" s="32" t="n">
        <f aca="false">Players!G188*((1-Players!G190)*G$9+Players!G190*TK_NonNV_Hold_AMD*TK_CapexFacility_VR200)</f>
        <v>18.120634</v>
      </c>
      <c r="H93" s="32" t="n">
        <f aca="false">Players!H188*((1-Players!H190)*H$9+Players!H190*TK_NonNV_Hold_AMD*TK_CapexFacility_VR200)</f>
        <v>0</v>
      </c>
      <c r="I93" s="32" t="n">
        <f aca="false">Players!I188*((1-Players!I190)*I$9+Players!I190*TK_NonNV_Hold_AMD*TK_CapexFacility_VR200)</f>
        <v>0</v>
      </c>
      <c r="J93" s="32" t="n">
        <f aca="false">Players!J188*((1-Players!J190)*J$9+Players!J190*TK_NonNV_Hold_AMD*TK_CapexFacility_VR200)</f>
        <v>0</v>
      </c>
      <c r="K93" s="32" t="n">
        <f aca="false">Players!K188*((1-Players!K190)*K$9+Players!K190*TK_NonNV_Hold_AMD*TK_CapexFacility_VR200)</f>
        <v>0</v>
      </c>
      <c r="L93" s="32" t="n">
        <f aca="false">Players!L188*((1-Players!L190)*L$9+Players!L190*TK_NonNV_Hold_AMD*TK_CapexFacility_VR200)</f>
        <v>0</v>
      </c>
      <c r="M93" s="32" t="n">
        <f aca="false">Players!M188*((1-Players!M190)*M$9+Players!M190*TK_NonNV_Hold_AMD*TK_CapexFacility_VR200)</f>
        <v>0</v>
      </c>
    </row>
    <row r="94" customFormat="false" ht="17.15" hidden="false" customHeight="false" outlineLevel="0" collapsed="false">
      <c r="A94" s="5" t="s">
        <v>1475</v>
      </c>
      <c r="C94" s="0" t="s">
        <v>325</v>
      </c>
      <c r="D94" s="32" t="n">
        <f aca="false">D93*$D$5+E93*$D$6+F93*$D$7</f>
        <v>0</v>
      </c>
      <c r="E94" s="32" t="n">
        <f aca="false">E93*$D$5+F93*$D$6+G93*$D$7</f>
        <v>9.060317</v>
      </c>
      <c r="F94" s="32" t="n">
        <f aca="false">F93*$D$5+G93*$D$6+H93*$D$7</f>
        <v>9.060317</v>
      </c>
      <c r="G94" s="32" t="n">
        <f aca="false">G93*$D$5+H93*$D$6+I93*$D$7</f>
        <v>0</v>
      </c>
      <c r="H94" s="32" t="n">
        <f aca="false">H93*$D$5+I93*$D$6+J93*$D$7</f>
        <v>0</v>
      </c>
      <c r="I94" s="32" t="n">
        <f aca="false">I93*$D$5+J93*$D$6+K93*$D$7</f>
        <v>0</v>
      </c>
      <c r="J94" s="32" t="n">
        <f aca="false">J93*$D$5+K93*$D$6+L93*$D$7</f>
        <v>0</v>
      </c>
      <c r="K94" s="32" t="n">
        <f aca="false">K93*$D$5+L93*$D$6+M93*$D$7</f>
        <v>0</v>
      </c>
      <c r="L94" s="32" t="n">
        <f aca="false">L93*$D$5+M93*$D$6</f>
        <v>0</v>
      </c>
      <c r="M94" s="32" t="n">
        <f aca="false">M93*$D$5</f>
        <v>0</v>
      </c>
    </row>
    <row r="95" customFormat="false" ht="17.15" hidden="false" customHeight="false" outlineLevel="0" collapsed="false">
      <c r="A95" s="5" t="s">
        <v>1476</v>
      </c>
      <c r="C95" s="0" t="s">
        <v>325</v>
      </c>
      <c r="D95" s="32" t="n">
        <f aca="false">D92+D94</f>
        <v>0</v>
      </c>
      <c r="E95" s="32" t="n">
        <f aca="false">E92+E94</f>
        <v>9.060317</v>
      </c>
      <c r="F95" s="32" t="n">
        <f aca="false">F92+F94</f>
        <v>9.060317</v>
      </c>
      <c r="G95" s="32" t="n">
        <f aca="false">G92+G94</f>
        <v>47.788748795232</v>
      </c>
      <c r="H95" s="32" t="n">
        <f aca="false">H92+H94</f>
        <v>0</v>
      </c>
      <c r="I95" s="32" t="n">
        <f aca="false">I92+I94</f>
        <v>0</v>
      </c>
      <c r="J95" s="32" t="n">
        <f aca="false">J92+J94</f>
        <v>0</v>
      </c>
      <c r="K95" s="32" t="n">
        <f aca="false">K92+K94</f>
        <v>0</v>
      </c>
      <c r="L95" s="32" t="n">
        <f aca="false">L92+L94</f>
        <v>0</v>
      </c>
      <c r="M95" s="32" t="n">
        <f aca="false">M92+M94</f>
        <v>0</v>
      </c>
    </row>
    <row r="96" customFormat="false" ht="17.15" hidden="false" customHeight="false" outlineLevel="0" collapsed="false">
      <c r="A96" s="5" t="s">
        <v>1477</v>
      </c>
      <c r="C96" s="0" t="s">
        <v>325</v>
      </c>
      <c r="D96" s="32" t="n">
        <f aca="false">D95*12/12+N(In!H128)</f>
        <v>0</v>
      </c>
      <c r="E96" s="32" t="n">
        <f aca="false">E95*12/12+D95*(12-12)/12+N(In!I128)</f>
        <v>9.060317</v>
      </c>
      <c r="F96" s="32" t="n">
        <f aca="false">F95*12/12+E95*(12-12)/12+N(In!J128)</f>
        <v>9.060317</v>
      </c>
      <c r="G96" s="32" t="n">
        <f aca="false">G95*12/12+F95*(12-12)/12+N(In!K128)</f>
        <v>47.788748795232</v>
      </c>
      <c r="H96" s="32" t="n">
        <f aca="false">H95*12/12+G95*(12-12)/12+N(In!L128)</f>
        <v>0</v>
      </c>
      <c r="I96" s="32" t="n">
        <f aca="false">I95*12/12+H95*(12-12)/12+N(In!M128)</f>
        <v>0</v>
      </c>
      <c r="J96" s="32" t="n">
        <f aca="false">J95*12/12+I95*(12-12)/12+N(In!N128)</f>
        <v>0</v>
      </c>
      <c r="K96" s="32" t="n">
        <f aca="false">K95*12/12+J95*(12-12)/12+N(In!O128)</f>
        <v>0</v>
      </c>
      <c r="L96" s="32" t="n">
        <f aca="false">L95*12/12+K95*(12-12)/12+N(In!P128)</f>
        <v>0</v>
      </c>
      <c r="M96" s="32" t="n">
        <f aca="false">M95*12/12+L95*(12-12)/12+N(In!Q128)</f>
        <v>0</v>
      </c>
    </row>
    <row r="97" customFormat="false" ht="17.15" hidden="false" customHeight="false" outlineLevel="0" collapsed="false">
      <c r="A97" s="5" t="s">
        <v>1478</v>
      </c>
      <c r="C97" s="0" t="s">
        <v>325</v>
      </c>
      <c r="D97" s="19" t="str">
        <f aca="false">IF(In!H112="","",In!H112)</f>
        <v/>
      </c>
      <c r="E97" s="19" t="str">
        <f aca="false">IF(In!I112="","",In!I112)</f>
        <v/>
      </c>
      <c r="F97" s="19" t="str">
        <f aca="false">IF(In!J112="","",In!J112)</f>
        <v/>
      </c>
      <c r="G97" s="19" t="str">
        <f aca="false">IF(In!K112="","",In!K112)</f>
        <v/>
      </c>
      <c r="H97" s="19" t="str">
        <f aca="false">IF(In!L112="","",In!L112)</f>
        <v/>
      </c>
      <c r="I97" s="19" t="str">
        <f aca="false">IF(In!M112="","",In!M112)</f>
        <v/>
      </c>
      <c r="J97" s="19" t="str">
        <f aca="false">IF(In!N112="","",In!N112)</f>
        <v/>
      </c>
      <c r="K97" s="19" t="str">
        <f aca="false">IF(In!O112="","",In!O112)</f>
        <v/>
      </c>
      <c r="L97" s="19" t="str">
        <f aca="false">IF(In!P112="","",In!P112)</f>
        <v/>
      </c>
      <c r="M97" s="19" t="str">
        <f aca="false">IF(In!Q112="","",In!Q112)</f>
        <v/>
      </c>
    </row>
    <row r="98" customFormat="false" ht="17.15" hidden="false" customHeight="false" outlineLevel="0" collapsed="false">
      <c r="A98" s="5" t="s">
        <v>1479</v>
      </c>
      <c r="C98" s="0" t="s">
        <v>34</v>
      </c>
      <c r="D98" s="29" t="str">
        <f aca="false">IF(OR(D97="",N(D97)=0),"",D96/D97)</f>
        <v/>
      </c>
      <c r="E98" s="29" t="str">
        <f aca="false">IF(OR(E97="",N(E97)=0),"",E96/E97)</f>
        <v/>
      </c>
      <c r="F98" s="29" t="str">
        <f aca="false">IF(OR(F97="",N(F97)=0),"",F96/F97)</f>
        <v/>
      </c>
      <c r="G98" s="29" t="str">
        <f aca="false">IF(OR(G97="",N(G97)=0),"",G96/G97)</f>
        <v/>
      </c>
      <c r="H98" s="29" t="str">
        <f aca="false">IF(OR(H97="",N(H97)=0),"",H96/H97)</f>
        <v/>
      </c>
      <c r="I98" s="29" t="str">
        <f aca="false">IF(OR(I97="",N(I97)=0),"",I96/I97)</f>
        <v/>
      </c>
      <c r="J98" s="29" t="str">
        <f aca="false">IF(OR(J97="",N(J97)=0),"",J96/J97)</f>
        <v/>
      </c>
      <c r="K98" s="29" t="str">
        <f aca="false">IF(OR(K97="",N(K97)=0),"",K96/K97)</f>
        <v/>
      </c>
      <c r="L98" s="29" t="str">
        <f aca="false">IF(OR(L97="",N(L97)=0),"",L96/L97)</f>
        <v/>
      </c>
      <c r="M98" s="29" t="str">
        <f aca="false">IF(OR(M97="",N(M97)=0),"",M96/M97)</f>
        <v/>
      </c>
    </row>
    <row r="99" customFormat="false" ht="15" hidden="false" customHeight="false" outlineLevel="0" collapsed="false">
      <c r="A99" s="5" t="s">
        <v>1480</v>
      </c>
      <c r="C99" s="0" t="s">
        <v>33</v>
      </c>
      <c r="D99" s="0" t="str">
        <f aca="false">IF(D98="","無個股值",IF(D96=0,"GW 帳無新增",IF(AND(In!$E$112="Verified",FALSE()),IF(ABS(D98-1)&lt;=tolband,"對得上","偏差"),"證據不足（"&amp;IF(ABS(D98-1)&lt;=tolband,"帶內","帶外")&amp;"）")))</f>
        <v>無個股值</v>
      </c>
      <c r="E99" s="0" t="str">
        <f aca="false">IF(E98="","無個股值",IF(E96=0,"GW 帳無新增",IF(AND(In!$E$112="Verified",FALSE()),IF(ABS(E98-1)&lt;=tolband,"對得上","偏差"),"證據不足（"&amp;IF(ABS(E98-1)&lt;=tolband,"帶內","帶外")&amp;"）")))</f>
        <v>無個股值</v>
      </c>
      <c r="F99" s="0" t="str">
        <f aca="false">IF(F98="","無個股值",IF(F96=0,"GW 帳無新增",IF(AND(In!$E$112="Verified",FALSE()),IF(ABS(F98-1)&lt;=tolband,"對得上","偏差"),"證據不足（"&amp;IF(ABS(F98-1)&lt;=tolband,"帶內","帶外")&amp;"）")))</f>
        <v>無個股值</v>
      </c>
      <c r="G99" s="0" t="str">
        <f aca="false">IF(G98="","無個股值",IF(G96=0,"GW 帳無新增",IF(AND(In!$E$112="Verified",FALSE()),IF(ABS(G98-1)&lt;=tolband,"對得上","偏差"),"證據不足（"&amp;IF(ABS(G98-1)&lt;=tolband,"帶內","帶外")&amp;"）")))</f>
        <v>無個股值</v>
      </c>
      <c r="H99" s="0" t="str">
        <f aca="false">IF(H98="","無個股值",IF(H96=0,"GW 帳無新增",IF(AND(In!$E$112="Verified",FALSE()),IF(ABS(H98-1)&lt;=tolband,"對得上","偏差"),"證據不足（"&amp;IF(ABS(H98-1)&lt;=tolband,"帶內","帶外")&amp;"）")))</f>
        <v>無個股值</v>
      </c>
      <c r="I99" s="0" t="str">
        <f aca="false">IF(I98="","無個股值",IF(I96=0,"GW 帳無新增",IF(AND(In!$E$112="Verified",FALSE()),IF(ABS(I98-1)&lt;=tolband,"對得上","偏差"),"證據不足（"&amp;IF(ABS(I98-1)&lt;=tolband,"帶內","帶外")&amp;"）")))</f>
        <v>無個股值</v>
      </c>
      <c r="J99" s="0" t="str">
        <f aca="false">IF(J98="","無個股值",IF(J96=0,"GW 帳無新增",IF(AND(In!$E$112="Verified",FALSE()),IF(ABS(J98-1)&lt;=tolband,"對得上","偏差"),"證據不足（"&amp;IF(ABS(J98-1)&lt;=tolband,"帶內","帶外")&amp;"）")))</f>
        <v>無個股值</v>
      </c>
      <c r="K99" s="0" t="str">
        <f aca="false">IF(K98="","無個股值",IF(K96=0,"GW 帳無新增",IF(AND(In!$E$112="Verified",FALSE()),IF(ABS(K98-1)&lt;=tolband,"對得上","偏差"),"證據不足（"&amp;IF(ABS(K98-1)&lt;=tolband,"帶內","帶外")&amp;"）")))</f>
        <v>無個股值</v>
      </c>
      <c r="L99" s="0" t="str">
        <f aca="false">IF(L98="","無個股值",IF(L96=0,"GW 帳無新增",IF(AND(In!$E$112="Verified",FALSE()),IF(ABS(L98-1)&lt;=tolband,"對得上","偏差"),"證據不足（"&amp;IF(ABS(L98-1)&lt;=tolband,"帶內","帶外")&amp;"）")))</f>
        <v>無個股值</v>
      </c>
      <c r="M99" s="0" t="str">
        <f aca="false">IF(M98="","無個股值",IF(M96=0,"GW 帳無新增",IF(AND(In!$E$112="Verified",FALSE()),IF(ABS(M98-1)&lt;=tolband,"對得上","偏差"),"證據不足（"&amp;IF(ABS(M98-1)&lt;=tolband,"帶內","帶外")&amp;"）")))</f>
        <v>無個股值</v>
      </c>
    </row>
    <row r="101" customFormat="false" ht="17.15" hidden="false" customHeight="false" outlineLevel="0" collapsed="false">
      <c r="A101" s="8" t="s">
        <v>1033</v>
      </c>
      <c r="B101" s="20" t="s">
        <v>466</v>
      </c>
      <c r="N101" s="5" t="s">
        <v>1489</v>
      </c>
    </row>
    <row r="102" customFormat="false" ht="17.15" hidden="false" customHeight="false" outlineLevel="0" collapsed="false">
      <c r="A102" s="5" t="s">
        <v>1473</v>
      </c>
      <c r="C102" s="0" t="s">
        <v>325</v>
      </c>
      <c r="D102" s="32" t="n">
        <f aca="false">Players!D207*((1-Players!D209)*D$8+Players!D209*TK_NonNV_Hold_OAI*TK_CapexIT_VR200)</f>
        <v>0</v>
      </c>
      <c r="E102" s="32" t="n">
        <f aca="false">Players!E207*((1-Players!E209)*E$8+Players!E209*TK_NonNV_Hold_OAI*TK_CapexIT_VR200)</f>
        <v>0</v>
      </c>
      <c r="F102" s="32" t="n">
        <f aca="false">Players!F207*((1-Players!F209)*F$8+Players!F209*TK_NonNV_Hold_OAI*TK_CapexIT_VR200)</f>
        <v>0</v>
      </c>
      <c r="G102" s="32" t="n">
        <f aca="false">Players!G207*((1-Players!G209)*G$8+Players!G209*TK_NonNV_Hold_OAI*TK_CapexIT_VR200)</f>
        <v>0</v>
      </c>
      <c r="H102" s="32" t="n">
        <f aca="false">Players!H207*((1-Players!H209)*H$8+Players!H209*TK_NonNV_Hold_OAI*TK_CapexIT_VR200)</f>
        <v>0</v>
      </c>
      <c r="I102" s="32" t="n">
        <f aca="false">Players!I207*((1-Players!I209)*I$8+Players!I209*TK_NonNV_Hold_OAI*TK_CapexIT_VR200)</f>
        <v>54.2650489866134</v>
      </c>
      <c r="J102" s="32" t="n">
        <f aca="false">Players!J207*((1-Players!J209)*J$8+Players!J209*TK_NonNV_Hold_OAI*TK_CapexIT_VR200)</f>
        <v>54.2240927018791</v>
      </c>
      <c r="K102" s="32" t="n">
        <f aca="false">Players!K207*((1-Players!K209)*K$8+Players!K209*TK_NonNV_Hold_OAI*TK_CapexIT_VR200)</f>
        <v>54.1858258756957</v>
      </c>
      <c r="L102" s="32" t="n">
        <f aca="false">Players!L207*((1-Players!L209)*L$8+Players!L209*TK_NonNV_Hold_OAI*TK_CapexIT_VR200)</f>
        <v>0</v>
      </c>
      <c r="M102" s="32" t="n">
        <f aca="false">Players!M207*((1-Players!M209)*M$8+Players!M209*TK_NonNV_Hold_OAI*TK_CapexIT_VR200)</f>
        <v>0</v>
      </c>
    </row>
    <row r="103" customFormat="false" ht="15" hidden="false" customHeight="false" outlineLevel="0" collapsed="false">
      <c r="A103" s="5" t="s">
        <v>1474</v>
      </c>
      <c r="C103" s="0" t="s">
        <v>325</v>
      </c>
      <c r="D103" s="32" t="n">
        <f aca="false">Players!D207*((1-Players!D209)*D$9+Players!D209*TK_NonNV_Hold_OAI*TK_CapexFacility_VR200)</f>
        <v>0</v>
      </c>
      <c r="E103" s="32" t="n">
        <f aca="false">Players!E207*((1-Players!E209)*E$9+Players!E209*TK_NonNV_Hold_OAI*TK_CapexFacility_VR200)</f>
        <v>0</v>
      </c>
      <c r="F103" s="32" t="n">
        <f aca="false">Players!F207*((1-Players!F209)*F$9+Players!F209*TK_NonNV_Hold_OAI*TK_CapexFacility_VR200)</f>
        <v>0</v>
      </c>
      <c r="G103" s="32" t="n">
        <f aca="false">Players!G207*((1-Players!G209)*G$9+Players!G209*TK_NonNV_Hold_OAI*TK_CapexFacility_VR200)</f>
        <v>0</v>
      </c>
      <c r="H103" s="32" t="n">
        <f aca="false">Players!H207*((1-Players!H209)*H$9+Players!H209*TK_NonNV_Hold_OAI*TK_CapexFacility_VR200)</f>
        <v>0</v>
      </c>
      <c r="I103" s="32" t="n">
        <f aca="false">Players!I207*((1-Players!I209)*I$9+Players!I209*TK_NonNV_Hold_OAI*TK_CapexFacility_VR200)</f>
        <v>16.9852663846095</v>
      </c>
      <c r="J103" s="32" t="n">
        <f aca="false">Players!J207*((1-Players!J209)*J$9+Players!J209*TK_NonNV_Hold_OAI*TK_CapexFacility_VR200)</f>
        <v>16.9760522980913</v>
      </c>
      <c r="K103" s="32" t="n">
        <f aca="false">Players!K207*((1-Players!K209)*K$9+Players!K209*TK_NonNV_Hold_OAI*TK_CapexFacility_VR200)</f>
        <v>16.9640720212402</v>
      </c>
      <c r="L103" s="32" t="n">
        <f aca="false">Players!L207*((1-Players!L209)*L$9+Players!L209*TK_NonNV_Hold_OAI*TK_CapexFacility_VR200)</f>
        <v>0</v>
      </c>
      <c r="M103" s="32" t="n">
        <f aca="false">Players!M207*((1-Players!M209)*M$9+Players!M209*TK_NonNV_Hold_OAI*TK_CapexFacility_VR200)</f>
        <v>0</v>
      </c>
    </row>
    <row r="104" customFormat="false" ht="17.15" hidden="false" customHeight="false" outlineLevel="0" collapsed="false">
      <c r="A104" s="5" t="s">
        <v>1475</v>
      </c>
      <c r="C104" s="0" t="s">
        <v>325</v>
      </c>
      <c r="D104" s="32" t="n">
        <f aca="false">D103*$D$5+E103*$D$6+F103*$D$7</f>
        <v>0</v>
      </c>
      <c r="E104" s="32" t="n">
        <f aca="false">E103*$D$5+F103*$D$6+G103*$D$7</f>
        <v>0</v>
      </c>
      <c r="F104" s="32" t="n">
        <f aca="false">F103*$D$5+G103*$D$6+H103*$D$7</f>
        <v>0</v>
      </c>
      <c r="G104" s="32" t="n">
        <f aca="false">G103*$D$5+H103*$D$6+I103*$D$7</f>
        <v>8.49263319230473</v>
      </c>
      <c r="H104" s="32" t="n">
        <f aca="false">H103*$D$5+I103*$D$6+J103*$D$7</f>
        <v>16.9806593413504</v>
      </c>
      <c r="I104" s="32" t="n">
        <f aca="false">I103*$D$5+J103*$D$6+K103*$D$7</f>
        <v>16.9700621596658</v>
      </c>
      <c r="J104" s="32" t="n">
        <f aca="false">J103*$D$5+K103*$D$6+L103*$D$7</f>
        <v>8.48203601062009</v>
      </c>
      <c r="K104" s="32" t="n">
        <f aca="false">K103*$D$5+L103*$D$6+M103*$D$7</f>
        <v>0</v>
      </c>
      <c r="L104" s="32" t="n">
        <f aca="false">L103*$D$5+M103*$D$6</f>
        <v>0</v>
      </c>
      <c r="M104" s="32" t="n">
        <f aca="false">M103*$D$5</f>
        <v>0</v>
      </c>
    </row>
    <row r="105" customFormat="false" ht="17.15" hidden="false" customHeight="false" outlineLevel="0" collapsed="false">
      <c r="A105" s="5" t="s">
        <v>1476</v>
      </c>
      <c r="C105" s="0" t="s">
        <v>325</v>
      </c>
      <c r="D105" s="32" t="n">
        <f aca="false">D102+D104</f>
        <v>0</v>
      </c>
      <c r="E105" s="32" t="n">
        <f aca="false">E102+E104</f>
        <v>0</v>
      </c>
      <c r="F105" s="32" t="n">
        <f aca="false">F102+F104</f>
        <v>0</v>
      </c>
      <c r="G105" s="32" t="n">
        <f aca="false">G102+G104</f>
        <v>8.49263319230473</v>
      </c>
      <c r="H105" s="32" t="n">
        <f aca="false">H102+H104</f>
        <v>16.9806593413504</v>
      </c>
      <c r="I105" s="32" t="n">
        <f aca="false">I102+I104</f>
        <v>71.2351111462792</v>
      </c>
      <c r="J105" s="32" t="n">
        <f aca="false">J102+J104</f>
        <v>62.7061287124992</v>
      </c>
      <c r="K105" s="32" t="n">
        <f aca="false">K102+K104</f>
        <v>54.1858258756957</v>
      </c>
      <c r="L105" s="32" t="n">
        <f aca="false">L102+L104</f>
        <v>0</v>
      </c>
      <c r="M105" s="32" t="n">
        <f aca="false">M102+M104</f>
        <v>0</v>
      </c>
    </row>
    <row r="106" customFormat="false" ht="17.15" hidden="false" customHeight="false" outlineLevel="0" collapsed="false">
      <c r="A106" s="5" t="s">
        <v>1477</v>
      </c>
      <c r="C106" s="0" t="s">
        <v>325</v>
      </c>
      <c r="D106" s="32" t="n">
        <f aca="false">D105*12/12+N(In!H129)</f>
        <v>0</v>
      </c>
      <c r="E106" s="32" t="n">
        <f aca="false">E105*12/12+D105*(12-12)/12+N(In!I129)</f>
        <v>0</v>
      </c>
      <c r="F106" s="32" t="n">
        <f aca="false">F105*12/12+E105*(12-12)/12+N(In!J129)</f>
        <v>0</v>
      </c>
      <c r="G106" s="32" t="n">
        <f aca="false">G105*12/12+F105*(12-12)/12+N(In!K129)</f>
        <v>8.49263319230473</v>
      </c>
      <c r="H106" s="32" t="n">
        <f aca="false">H105*12/12+G105*(12-12)/12+N(In!L129)</f>
        <v>16.9806593413504</v>
      </c>
      <c r="I106" s="32" t="n">
        <f aca="false">I105*12/12+H105*(12-12)/12+N(In!M129)</f>
        <v>71.2351111462792</v>
      </c>
      <c r="J106" s="32" t="n">
        <f aca="false">J105*12/12+I105*(12-12)/12+N(In!N129)</f>
        <v>62.7061287124992</v>
      </c>
      <c r="K106" s="32" t="n">
        <f aca="false">K105*12/12+J105*(12-12)/12+N(In!O129)</f>
        <v>54.1858258756957</v>
      </c>
      <c r="L106" s="32" t="n">
        <f aca="false">L105*12/12+K105*(12-12)/12+N(In!P129)</f>
        <v>0</v>
      </c>
      <c r="M106" s="32" t="n">
        <f aca="false">M105*12/12+L105*(12-12)/12+N(In!Q129)</f>
        <v>0</v>
      </c>
    </row>
    <row r="107" customFormat="false" ht="17.15" hidden="false" customHeight="false" outlineLevel="0" collapsed="false">
      <c r="A107" s="5" t="s">
        <v>1478</v>
      </c>
      <c r="C107" s="0" t="s">
        <v>325</v>
      </c>
      <c r="D107" s="19" t="str">
        <f aca="false">IF(In!H113="","",In!H113)</f>
        <v/>
      </c>
      <c r="E107" s="19" t="str">
        <f aca="false">IF(In!I113="","",In!I113)</f>
        <v/>
      </c>
      <c r="F107" s="19" t="str">
        <f aca="false">IF(In!J113="","",In!J113)</f>
        <v/>
      </c>
      <c r="G107" s="19" t="str">
        <f aca="false">IF(In!K113="","",In!K113)</f>
        <v/>
      </c>
      <c r="H107" s="19" t="str">
        <f aca="false">IF(In!L113="","",In!L113)</f>
        <v/>
      </c>
      <c r="I107" s="19" t="str">
        <f aca="false">IF(In!M113="","",In!M113)</f>
        <v/>
      </c>
      <c r="J107" s="19" t="str">
        <f aca="false">IF(In!N113="","",In!N113)</f>
        <v/>
      </c>
      <c r="K107" s="19" t="str">
        <f aca="false">IF(In!O113="","",In!O113)</f>
        <v/>
      </c>
      <c r="L107" s="19" t="str">
        <f aca="false">IF(In!P113="","",In!P113)</f>
        <v/>
      </c>
      <c r="M107" s="19" t="str">
        <f aca="false">IF(In!Q113="","",In!Q113)</f>
        <v/>
      </c>
    </row>
    <row r="108" customFormat="false" ht="17.15" hidden="false" customHeight="false" outlineLevel="0" collapsed="false">
      <c r="A108" s="5" t="s">
        <v>1479</v>
      </c>
      <c r="C108" s="0" t="s">
        <v>34</v>
      </c>
      <c r="D108" s="29" t="str">
        <f aca="false">IF(OR(D107="",N(D107)=0),"",D106/D107)</f>
        <v/>
      </c>
      <c r="E108" s="29" t="str">
        <f aca="false">IF(OR(E107="",N(E107)=0),"",E106/E107)</f>
        <v/>
      </c>
      <c r="F108" s="29" t="str">
        <f aca="false">IF(OR(F107="",N(F107)=0),"",F106/F107)</f>
        <v/>
      </c>
      <c r="G108" s="29" t="str">
        <f aca="false">IF(OR(G107="",N(G107)=0),"",G106/G107)</f>
        <v/>
      </c>
      <c r="H108" s="29" t="str">
        <f aca="false">IF(OR(H107="",N(H107)=0),"",H106/H107)</f>
        <v/>
      </c>
      <c r="I108" s="29" t="str">
        <f aca="false">IF(OR(I107="",N(I107)=0),"",I106/I107)</f>
        <v/>
      </c>
      <c r="J108" s="29" t="str">
        <f aca="false">IF(OR(J107="",N(J107)=0),"",J106/J107)</f>
        <v/>
      </c>
      <c r="K108" s="29" t="str">
        <f aca="false">IF(OR(K107="",N(K107)=0),"",K106/K107)</f>
        <v/>
      </c>
      <c r="L108" s="29" t="str">
        <f aca="false">IF(OR(L107="",N(L107)=0),"",L106/L107)</f>
        <v/>
      </c>
      <c r="M108" s="29" t="str">
        <f aca="false">IF(OR(M107="",N(M107)=0),"",M106/M107)</f>
        <v/>
      </c>
    </row>
    <row r="109" customFormat="false" ht="15" hidden="false" customHeight="false" outlineLevel="0" collapsed="false">
      <c r="A109" s="5" t="s">
        <v>1480</v>
      </c>
      <c r="C109" s="0" t="s">
        <v>33</v>
      </c>
      <c r="D109" s="0" t="str">
        <f aca="false">IF(D108="","無個股值",IF(D106=0,"GW 帳無新增",IF(AND(In!$E$113="Verified",FALSE()),IF(ABS(D108-1)&lt;=tolband,"對得上","偏差"),"證據不足（"&amp;IF(ABS(D108-1)&lt;=tolband,"帶內","帶外")&amp;"）")))</f>
        <v>無個股值</v>
      </c>
      <c r="E109" s="0" t="str">
        <f aca="false">IF(E108="","無個股值",IF(E106=0,"GW 帳無新增",IF(AND(In!$E$113="Verified",FALSE()),IF(ABS(E108-1)&lt;=tolband,"對得上","偏差"),"證據不足（"&amp;IF(ABS(E108-1)&lt;=tolband,"帶內","帶外")&amp;"）")))</f>
        <v>無個股值</v>
      </c>
      <c r="F109" s="0" t="str">
        <f aca="false">IF(F108="","無個股值",IF(F106=0,"GW 帳無新增",IF(AND(In!$E$113="Verified",FALSE()),IF(ABS(F108-1)&lt;=tolband,"對得上","偏差"),"證據不足（"&amp;IF(ABS(F108-1)&lt;=tolband,"帶內","帶外")&amp;"）")))</f>
        <v>無個股值</v>
      </c>
      <c r="G109" s="0" t="str">
        <f aca="false">IF(G108="","無個股值",IF(G106=0,"GW 帳無新增",IF(AND(In!$E$113="Verified",FALSE()),IF(ABS(G108-1)&lt;=tolband,"對得上","偏差"),"證據不足（"&amp;IF(ABS(G108-1)&lt;=tolband,"帶內","帶外")&amp;"）")))</f>
        <v>無個股值</v>
      </c>
      <c r="H109" s="0" t="str">
        <f aca="false">IF(H108="","無個股值",IF(H106=0,"GW 帳無新增",IF(AND(In!$E$113="Verified",FALSE()),IF(ABS(H108-1)&lt;=tolband,"對得上","偏差"),"證據不足（"&amp;IF(ABS(H108-1)&lt;=tolband,"帶內","帶外")&amp;"）")))</f>
        <v>無個股值</v>
      </c>
      <c r="I109" s="0" t="str">
        <f aca="false">IF(I108="","無個股值",IF(I106=0,"GW 帳無新增",IF(AND(In!$E$113="Verified",FALSE()),IF(ABS(I108-1)&lt;=tolband,"對得上","偏差"),"證據不足（"&amp;IF(ABS(I108-1)&lt;=tolband,"帶內","帶外")&amp;"）")))</f>
        <v>無個股值</v>
      </c>
      <c r="J109" s="0" t="str">
        <f aca="false">IF(J108="","無個股值",IF(J106=0,"GW 帳無新增",IF(AND(In!$E$113="Verified",FALSE()),IF(ABS(J108-1)&lt;=tolband,"對得上","偏差"),"證據不足（"&amp;IF(ABS(J108-1)&lt;=tolband,"帶內","帶外")&amp;"）")))</f>
        <v>無個股值</v>
      </c>
      <c r="K109" s="0" t="str">
        <f aca="false">IF(K108="","無個股值",IF(K106=0,"GW 帳無新增",IF(AND(In!$E$113="Verified",FALSE()),IF(ABS(K108-1)&lt;=tolband,"對得上","偏差"),"證據不足（"&amp;IF(ABS(K108-1)&lt;=tolband,"帶內","帶外")&amp;"）")))</f>
        <v>無個股值</v>
      </c>
      <c r="L109" s="0" t="str">
        <f aca="false">IF(L108="","無個股值",IF(L106=0,"GW 帳無新增",IF(AND(In!$E$113="Verified",FALSE()),IF(ABS(L108-1)&lt;=tolband,"對得上","偏差"),"證據不足（"&amp;IF(ABS(L108-1)&lt;=tolband,"帶內","帶外")&amp;"）")))</f>
        <v>無個股值</v>
      </c>
      <c r="M109" s="0" t="str">
        <f aca="false">IF(M108="","無個股值",IF(M106=0,"GW 帳無新增",IF(AND(In!$E$113="Verified",FALSE()),IF(ABS(M108-1)&lt;=tolband,"對得上","偏差"),"證據不足（"&amp;IF(ABS(M108-1)&lt;=tolband,"帶內","帶外")&amp;"）")))</f>
        <v>無個股值</v>
      </c>
    </row>
    <row r="111" customFormat="false" ht="17.15" hidden="false" customHeight="false" outlineLevel="0" collapsed="false">
      <c r="A111" s="8" t="s">
        <v>1052</v>
      </c>
      <c r="B111" s="20" t="s">
        <v>450</v>
      </c>
      <c r="N111" s="5" t="s">
        <v>1489</v>
      </c>
    </row>
    <row r="112" customFormat="false" ht="17.15" hidden="false" customHeight="false" outlineLevel="0" collapsed="false">
      <c r="A112" s="5" t="s">
        <v>1473</v>
      </c>
      <c r="C112" s="0" t="s">
        <v>325</v>
      </c>
      <c r="D112" s="32" t="n">
        <f aca="false">Players!D226*((1-Players!D228)*D$8+Players!D228*TK_NonNV_Hold_TPU*TK_CapexIT_VR200)</f>
        <v>0</v>
      </c>
      <c r="E112" s="32" t="n">
        <f aca="false">Players!E226*((1-Players!E228)*E$8+Players!E228*TK_NonNV_Hold_TPU*TK_CapexIT_VR200)</f>
        <v>0</v>
      </c>
      <c r="F112" s="32" t="n">
        <f aca="false">Players!F226*((1-Players!F228)*F$8+Players!F228*TK_NonNV_Hold_TPU*TK_CapexIT_VR200)</f>
        <v>0</v>
      </c>
      <c r="G112" s="32" t="n">
        <f aca="false">Players!G226*((1-Players!G228)*G$8+Players!G228*TK_NonNV_Hold_TPU*TK_CapexIT_VR200)</f>
        <v>0</v>
      </c>
      <c r="H112" s="32" t="n">
        <f aca="false">Players!H226*((1-Players!H228)*H$8+Players!H228*TK_NonNV_Hold_TPU*TK_CapexIT_VR200)</f>
        <v>0</v>
      </c>
      <c r="I112" s="32" t="n">
        <f aca="false">Players!I226*((1-Players!I228)*I$8+Players!I228*TK_NonNV_Hold_TPU*TK_CapexIT_VR200)</f>
        <v>0</v>
      </c>
      <c r="J112" s="32" t="n">
        <f aca="false">Players!J226*((1-Players!J228)*J$8+Players!J228*TK_NonNV_Hold_TPU*TK_CapexIT_VR200)</f>
        <v>0</v>
      </c>
      <c r="K112" s="32" t="n">
        <f aca="false">Players!K226*((1-Players!K228)*K$8+Players!K228*TK_NonNV_Hold_TPU*TK_CapexIT_VR200)</f>
        <v>0</v>
      </c>
      <c r="L112" s="32" t="n">
        <f aca="false">Players!L226*((1-Players!L228)*L$8+Players!L228*TK_NonNV_Hold_TPU*TK_CapexIT_VR200)</f>
        <v>0</v>
      </c>
      <c r="M112" s="32" t="n">
        <f aca="false">Players!M226*((1-Players!M228)*M$8+Players!M228*TK_NonNV_Hold_TPU*TK_CapexIT_VR200)</f>
        <v>0</v>
      </c>
    </row>
    <row r="113" customFormat="false" ht="15" hidden="false" customHeight="false" outlineLevel="0" collapsed="false">
      <c r="A113" s="5" t="s">
        <v>1474</v>
      </c>
      <c r="C113" s="0" t="s">
        <v>325</v>
      </c>
      <c r="D113" s="32" t="n">
        <f aca="false">Players!D226*((1-Players!D228)*D$9+Players!D228*TK_NonNV_Hold_TPU*TK_CapexFacility_VR200)</f>
        <v>0</v>
      </c>
      <c r="E113" s="32" t="n">
        <f aca="false">Players!E226*((1-Players!E228)*E$9+Players!E228*TK_NonNV_Hold_TPU*TK_CapexFacility_VR200)</f>
        <v>0</v>
      </c>
      <c r="F113" s="32" t="n">
        <f aca="false">Players!F226*((1-Players!F228)*F$9+Players!F228*TK_NonNV_Hold_TPU*TK_CapexFacility_VR200)</f>
        <v>0</v>
      </c>
      <c r="G113" s="32" t="n">
        <f aca="false">Players!G226*((1-Players!G228)*G$9+Players!G228*TK_NonNV_Hold_TPU*TK_CapexFacility_VR200)</f>
        <v>0</v>
      </c>
      <c r="H113" s="32" t="n">
        <f aca="false">Players!H226*((1-Players!H228)*H$9+Players!H228*TK_NonNV_Hold_TPU*TK_CapexFacility_VR200)</f>
        <v>0</v>
      </c>
      <c r="I113" s="32" t="n">
        <f aca="false">Players!I226*((1-Players!I228)*I$9+Players!I228*TK_NonNV_Hold_TPU*TK_CapexFacility_VR200)</f>
        <v>0</v>
      </c>
      <c r="J113" s="32" t="n">
        <f aca="false">Players!J226*((1-Players!J228)*J$9+Players!J228*TK_NonNV_Hold_TPU*TK_CapexFacility_VR200)</f>
        <v>0</v>
      </c>
      <c r="K113" s="32" t="n">
        <f aca="false">Players!K226*((1-Players!K228)*K$9+Players!K228*TK_NonNV_Hold_TPU*TK_CapexFacility_VR200)</f>
        <v>0</v>
      </c>
      <c r="L113" s="32" t="n">
        <f aca="false">Players!L226*((1-Players!L228)*L$9+Players!L228*TK_NonNV_Hold_TPU*TK_CapexFacility_VR200)</f>
        <v>0</v>
      </c>
      <c r="M113" s="32" t="n">
        <f aca="false">Players!M226*((1-Players!M228)*M$9+Players!M228*TK_NonNV_Hold_TPU*TK_CapexFacility_VR200)</f>
        <v>0</v>
      </c>
    </row>
    <row r="114" customFormat="false" ht="17.15" hidden="false" customHeight="false" outlineLevel="0" collapsed="false">
      <c r="A114" s="5" t="s">
        <v>1475</v>
      </c>
      <c r="C114" s="0" t="s">
        <v>325</v>
      </c>
      <c r="D114" s="32" t="n">
        <f aca="false">D113*$D$5+E113*$D$6+F113*$D$7</f>
        <v>0</v>
      </c>
      <c r="E114" s="32" t="n">
        <f aca="false">E113*$D$5+F113*$D$6+G113*$D$7</f>
        <v>0</v>
      </c>
      <c r="F114" s="32" t="n">
        <f aca="false">F113*$D$5+G113*$D$6+H113*$D$7</f>
        <v>0</v>
      </c>
      <c r="G114" s="32" t="n">
        <f aca="false">G113*$D$5+H113*$D$6+I113*$D$7</f>
        <v>0</v>
      </c>
      <c r="H114" s="32" t="n">
        <f aca="false">H113*$D$5+I113*$D$6+J113*$D$7</f>
        <v>0</v>
      </c>
      <c r="I114" s="32" t="n">
        <f aca="false">I113*$D$5+J113*$D$6+K113*$D$7</f>
        <v>0</v>
      </c>
      <c r="J114" s="32" t="n">
        <f aca="false">J113*$D$5+K113*$D$6+L113*$D$7</f>
        <v>0</v>
      </c>
      <c r="K114" s="32" t="n">
        <f aca="false">K113*$D$5+L113*$D$6+M113*$D$7</f>
        <v>0</v>
      </c>
      <c r="L114" s="32" t="n">
        <f aca="false">L113*$D$5+M113*$D$6</f>
        <v>0</v>
      </c>
      <c r="M114" s="32" t="n">
        <f aca="false">M113*$D$5</f>
        <v>0</v>
      </c>
    </row>
    <row r="115" customFormat="false" ht="17.15" hidden="false" customHeight="false" outlineLevel="0" collapsed="false">
      <c r="A115" s="5" t="s">
        <v>1476</v>
      </c>
      <c r="C115" s="0" t="s">
        <v>325</v>
      </c>
      <c r="D115" s="32" t="n">
        <f aca="false">D112+D114</f>
        <v>0</v>
      </c>
      <c r="E115" s="32" t="n">
        <f aca="false">E112+E114</f>
        <v>0</v>
      </c>
      <c r="F115" s="32" t="n">
        <f aca="false">F112+F114</f>
        <v>0</v>
      </c>
      <c r="G115" s="32" t="n">
        <f aca="false">G112+G114</f>
        <v>0</v>
      </c>
      <c r="H115" s="32" t="n">
        <f aca="false">H112+H114</f>
        <v>0</v>
      </c>
      <c r="I115" s="32" t="n">
        <f aca="false">I112+I114</f>
        <v>0</v>
      </c>
      <c r="J115" s="32" t="n">
        <f aca="false">J112+J114</f>
        <v>0</v>
      </c>
      <c r="K115" s="32" t="n">
        <f aca="false">K112+K114</f>
        <v>0</v>
      </c>
      <c r="L115" s="32" t="n">
        <f aca="false">L112+L114</f>
        <v>0</v>
      </c>
      <c r="M115" s="32" t="n">
        <f aca="false">M112+M114</f>
        <v>0</v>
      </c>
    </row>
    <row r="116" customFormat="false" ht="17.15" hidden="false" customHeight="false" outlineLevel="0" collapsed="false">
      <c r="A116" s="5" t="s">
        <v>1477</v>
      </c>
      <c r="C116" s="0" t="s">
        <v>325</v>
      </c>
      <c r="D116" s="32" t="n">
        <f aca="false">D115*12/12+N(In!H130)</f>
        <v>0</v>
      </c>
      <c r="E116" s="32" t="n">
        <f aca="false">E115*12/12+D115*(12-12)/12+N(In!I130)</f>
        <v>0</v>
      </c>
      <c r="F116" s="32" t="n">
        <f aca="false">F115*12/12+E115*(12-12)/12+N(In!J130)</f>
        <v>0</v>
      </c>
      <c r="G116" s="32" t="n">
        <f aca="false">G115*12/12+F115*(12-12)/12+N(In!K130)</f>
        <v>0</v>
      </c>
      <c r="H116" s="32" t="n">
        <f aca="false">H115*12/12+G115*(12-12)/12+N(In!L130)</f>
        <v>0</v>
      </c>
      <c r="I116" s="32" t="n">
        <f aca="false">I115*12/12+H115*(12-12)/12+N(In!M130)</f>
        <v>0</v>
      </c>
      <c r="J116" s="32" t="n">
        <f aca="false">J115*12/12+I115*(12-12)/12+N(In!N130)</f>
        <v>0</v>
      </c>
      <c r="K116" s="32" t="n">
        <f aca="false">K115*12/12+J115*(12-12)/12+N(In!O130)</f>
        <v>0</v>
      </c>
      <c r="L116" s="32" t="n">
        <f aca="false">L115*12/12+K115*(12-12)/12+N(In!P130)</f>
        <v>0</v>
      </c>
      <c r="M116" s="32" t="n">
        <f aca="false">M115*12/12+L115*(12-12)/12+N(In!Q130)</f>
        <v>0</v>
      </c>
    </row>
    <row r="117" customFormat="false" ht="17.15" hidden="false" customHeight="false" outlineLevel="0" collapsed="false">
      <c r="A117" s="5" t="s">
        <v>1478</v>
      </c>
      <c r="C117" s="0" t="s">
        <v>325</v>
      </c>
      <c r="D117" s="19" t="str">
        <f aca="false">IF(In!H114="","",In!H114)</f>
        <v/>
      </c>
      <c r="E117" s="19" t="str">
        <f aca="false">IF(In!I114="","",In!I114)</f>
        <v/>
      </c>
      <c r="F117" s="19" t="str">
        <f aca="false">IF(In!J114="","",In!J114)</f>
        <v/>
      </c>
      <c r="G117" s="19" t="str">
        <f aca="false">IF(In!K114="","",In!K114)</f>
        <v/>
      </c>
      <c r="H117" s="19" t="str">
        <f aca="false">IF(In!L114="","",In!L114)</f>
        <v/>
      </c>
      <c r="I117" s="19" t="str">
        <f aca="false">IF(In!M114="","",In!M114)</f>
        <v/>
      </c>
      <c r="J117" s="19" t="str">
        <f aca="false">IF(In!N114="","",In!N114)</f>
        <v/>
      </c>
      <c r="K117" s="19" t="str">
        <f aca="false">IF(In!O114="","",In!O114)</f>
        <v/>
      </c>
      <c r="L117" s="19" t="str">
        <f aca="false">IF(In!P114="","",In!P114)</f>
        <v/>
      </c>
      <c r="M117" s="19" t="str">
        <f aca="false">IF(In!Q114="","",In!Q114)</f>
        <v/>
      </c>
    </row>
    <row r="118" customFormat="false" ht="17.15" hidden="false" customHeight="false" outlineLevel="0" collapsed="false">
      <c r="A118" s="5" t="s">
        <v>1479</v>
      </c>
      <c r="C118" s="0" t="s">
        <v>34</v>
      </c>
      <c r="D118" s="29" t="str">
        <f aca="false">IF(OR(D117="",N(D117)=0),"",D116/D117)</f>
        <v/>
      </c>
      <c r="E118" s="29" t="str">
        <f aca="false">IF(OR(E117="",N(E117)=0),"",E116/E117)</f>
        <v/>
      </c>
      <c r="F118" s="29" t="str">
        <f aca="false">IF(OR(F117="",N(F117)=0),"",F116/F117)</f>
        <v/>
      </c>
      <c r="G118" s="29" t="str">
        <f aca="false">IF(OR(G117="",N(G117)=0),"",G116/G117)</f>
        <v/>
      </c>
      <c r="H118" s="29" t="str">
        <f aca="false">IF(OR(H117="",N(H117)=0),"",H116/H117)</f>
        <v/>
      </c>
      <c r="I118" s="29" t="str">
        <f aca="false">IF(OR(I117="",N(I117)=0),"",I116/I117)</f>
        <v/>
      </c>
      <c r="J118" s="29" t="str">
        <f aca="false">IF(OR(J117="",N(J117)=0),"",J116/J117)</f>
        <v/>
      </c>
      <c r="K118" s="29" t="str">
        <f aca="false">IF(OR(K117="",N(K117)=0),"",K116/K117)</f>
        <v/>
      </c>
      <c r="L118" s="29" t="str">
        <f aca="false">IF(OR(L117="",N(L117)=0),"",L116/L117)</f>
        <v/>
      </c>
      <c r="M118" s="29" t="str">
        <f aca="false">IF(OR(M117="",N(M117)=0),"",M116/M117)</f>
        <v/>
      </c>
    </row>
    <row r="119" customFormat="false" ht="15" hidden="false" customHeight="false" outlineLevel="0" collapsed="false">
      <c r="A119" s="5" t="s">
        <v>1480</v>
      </c>
      <c r="C119" s="0" t="s">
        <v>33</v>
      </c>
      <c r="D119" s="0" t="str">
        <f aca="false">IF(D118="","無個股值",IF(D116=0,"GW 帳無新增",IF(AND(In!$E$114="Verified",FALSE()),IF(ABS(D118-1)&lt;=tolband,"對得上","偏差"),"證據不足（"&amp;IF(ABS(D118-1)&lt;=tolband,"帶內","帶外")&amp;"）")))</f>
        <v>無個股值</v>
      </c>
      <c r="E119" s="0" t="str">
        <f aca="false">IF(E118="","無個股值",IF(E116=0,"GW 帳無新增",IF(AND(In!$E$114="Verified",FALSE()),IF(ABS(E118-1)&lt;=tolband,"對得上","偏差"),"證據不足（"&amp;IF(ABS(E118-1)&lt;=tolband,"帶內","帶外")&amp;"）")))</f>
        <v>無個股值</v>
      </c>
      <c r="F119" s="0" t="str">
        <f aca="false">IF(F118="","無個股值",IF(F116=0,"GW 帳無新增",IF(AND(In!$E$114="Verified",FALSE()),IF(ABS(F118-1)&lt;=tolband,"對得上","偏差"),"證據不足（"&amp;IF(ABS(F118-1)&lt;=tolband,"帶內","帶外")&amp;"）")))</f>
        <v>無個股值</v>
      </c>
      <c r="G119" s="0" t="str">
        <f aca="false">IF(G118="","無個股值",IF(G116=0,"GW 帳無新增",IF(AND(In!$E$114="Verified",FALSE()),IF(ABS(G118-1)&lt;=tolband,"對得上","偏差"),"證據不足（"&amp;IF(ABS(G118-1)&lt;=tolband,"帶內","帶外")&amp;"）")))</f>
        <v>無個股值</v>
      </c>
      <c r="H119" s="0" t="str">
        <f aca="false">IF(H118="","無個股值",IF(H116=0,"GW 帳無新增",IF(AND(In!$E$114="Verified",FALSE()),IF(ABS(H118-1)&lt;=tolband,"對得上","偏差"),"證據不足（"&amp;IF(ABS(H118-1)&lt;=tolband,"帶內","帶外")&amp;"）")))</f>
        <v>無個股值</v>
      </c>
      <c r="I119" s="0" t="str">
        <f aca="false">IF(I118="","無個股值",IF(I116=0,"GW 帳無新增",IF(AND(In!$E$114="Verified",FALSE()),IF(ABS(I118-1)&lt;=tolband,"對得上","偏差"),"證據不足（"&amp;IF(ABS(I118-1)&lt;=tolband,"帶內","帶外")&amp;"）")))</f>
        <v>無個股值</v>
      </c>
      <c r="J119" s="0" t="str">
        <f aca="false">IF(J118="","無個股值",IF(J116=0,"GW 帳無新增",IF(AND(In!$E$114="Verified",FALSE()),IF(ABS(J118-1)&lt;=tolband,"對得上","偏差"),"證據不足（"&amp;IF(ABS(J118-1)&lt;=tolband,"帶內","帶外")&amp;"）")))</f>
        <v>無個股值</v>
      </c>
      <c r="K119" s="0" t="str">
        <f aca="false">IF(K118="","無個股值",IF(K116=0,"GW 帳無新增",IF(AND(In!$E$114="Verified",FALSE()),IF(ABS(K118-1)&lt;=tolband,"對得上","偏差"),"證據不足（"&amp;IF(ABS(K118-1)&lt;=tolband,"帶內","帶外")&amp;"）")))</f>
        <v>無個股值</v>
      </c>
      <c r="L119" s="0" t="str">
        <f aca="false">IF(L118="","無個股值",IF(L116=0,"GW 帳無新增",IF(AND(In!$E$114="Verified",FALSE()),IF(ABS(L118-1)&lt;=tolband,"對得上","偏差"),"證據不足（"&amp;IF(ABS(L118-1)&lt;=tolband,"帶內","帶外")&amp;"）")))</f>
        <v>無個股值</v>
      </c>
      <c r="M119" s="0" t="str">
        <f aca="false">IF(M118="","無個股值",IF(M116=0,"GW 帳無新增",IF(AND(In!$E$114="Verified",FALSE()),IF(ABS(M118-1)&lt;=tolband,"對得上","偏差"),"證據不足（"&amp;IF(ABS(M118-1)&lt;=tolband,"帶內","帶外")&amp;"）")))</f>
        <v>無個股值</v>
      </c>
    </row>
    <row r="121" customFormat="false" ht="17.15" hidden="false" customHeight="false" outlineLevel="0" collapsed="false">
      <c r="A121" s="21" t="s">
        <v>1071</v>
      </c>
      <c r="B121" s="20" t="s">
        <v>480</v>
      </c>
      <c r="N121" s="5" t="s">
        <v>1489</v>
      </c>
    </row>
    <row r="122" customFormat="false" ht="17.15" hidden="false" customHeight="false" outlineLevel="0" collapsed="false">
      <c r="A122" s="5" t="s">
        <v>1473</v>
      </c>
      <c r="C122" s="0" t="s">
        <v>325</v>
      </c>
      <c r="D122" s="32" t="n">
        <f aca="false">Players!D245*((1-Players!D247)*D$8+Players!D247*TK_NonNV_Hold_AMD*TK_CapexIT_VR200)</f>
        <v>0</v>
      </c>
      <c r="E122" s="32" t="n">
        <f aca="false">Players!E245*((1-Players!E247)*E$8+Players!E247*TK_NonNV_Hold_AMD*TK_CapexIT_VR200)</f>
        <v>0</v>
      </c>
      <c r="F122" s="32" t="n">
        <f aca="false">Players!F245*((1-Players!F247)*F$8+Players!F247*TK_NonNV_Hold_AMD*TK_CapexIT_VR200)</f>
        <v>8.2271675159742</v>
      </c>
      <c r="G122" s="32" t="n">
        <f aca="false">Players!G245*((1-Players!G247)*G$8+Players!G247*TK_NonNV_Hold_AMD*TK_CapexIT_VR200)</f>
        <v>26.4519229073178</v>
      </c>
      <c r="H122" s="32" t="n">
        <f aca="false">Players!H245*((1-Players!H247)*H$8+Players!H247*TK_NonNV_Hold_AMD*TK_CapexIT_VR200)</f>
        <v>25.6163074470045</v>
      </c>
      <c r="I122" s="32" t="n">
        <f aca="false">Players!I245*((1-Players!I247)*I$8+Players!I247*TK_NonNV_Hold_AMD*TK_CapexIT_VR200)</f>
        <v>7.79928922119248</v>
      </c>
      <c r="J122" s="32" t="n">
        <f aca="false">Players!J245*((1-Players!J247)*J$8+Players!J247*TK_NonNV_Hold_AMD*TK_CapexIT_VR200)</f>
        <v>0</v>
      </c>
      <c r="K122" s="32" t="n">
        <f aca="false">Players!K245*((1-Players!K247)*K$8+Players!K247*TK_NonNV_Hold_AMD*TK_CapexIT_VR200)</f>
        <v>0</v>
      </c>
      <c r="L122" s="32" t="n">
        <f aca="false">Players!L245*((1-Players!L247)*L$8+Players!L247*TK_NonNV_Hold_AMD*TK_CapexIT_VR200)</f>
        <v>0</v>
      </c>
      <c r="M122" s="32" t="n">
        <f aca="false">Players!M245*((1-Players!M247)*M$8+Players!M247*TK_NonNV_Hold_AMD*TK_CapexIT_VR200)</f>
        <v>0</v>
      </c>
    </row>
    <row r="123" customFormat="false" ht="15" hidden="false" customHeight="false" outlineLevel="0" collapsed="false">
      <c r="A123" s="5" t="s">
        <v>1474</v>
      </c>
      <c r="C123" s="0" t="s">
        <v>325</v>
      </c>
      <c r="D123" s="32" t="n">
        <f aca="false">Players!D245*((1-Players!D247)*D$9+Players!D247*TK_NonNV_Hold_AMD*TK_CapexFacility_VR200)</f>
        <v>0</v>
      </c>
      <c r="E123" s="32" t="n">
        <f aca="false">Players!E245*((1-Players!E247)*E$9+Players!E247*TK_NonNV_Hold_AMD*TK_CapexFacility_VR200)</f>
        <v>0</v>
      </c>
      <c r="F123" s="32" t="n">
        <f aca="false">Players!F245*((1-Players!F247)*F$9+Players!F247*TK_NonNV_Hold_AMD*TK_CapexFacility_VR200)</f>
        <v>3.66518453020125</v>
      </c>
      <c r="G123" s="32" t="n">
        <f aca="false">Players!G245*((1-Players!G247)*G$9+Players!G247*TK_NonNV_Hold_AMD*TK_CapexFacility_VR200)</f>
        <v>9.77382541387001</v>
      </c>
      <c r="H123" s="32" t="n">
        <f aca="false">Players!H245*((1-Players!H247)*H$9+Players!H247*TK_NonNV_Hold_AMD*TK_CapexFacility_VR200)</f>
        <v>8.50567893761778</v>
      </c>
      <c r="I123" s="32" t="n">
        <f aca="false">Players!I245*((1-Players!I247)*I$9+Players!I247*TK_NonNV_Hold_AMD*TK_CapexFacility_VR200)</f>
        <v>2.44367449187006</v>
      </c>
      <c r="J123" s="32" t="n">
        <f aca="false">Players!J245*((1-Players!J247)*J$9+Players!J247*TK_NonNV_Hold_AMD*TK_CapexFacility_VR200)</f>
        <v>0</v>
      </c>
      <c r="K123" s="32" t="n">
        <f aca="false">Players!K245*((1-Players!K247)*K$9+Players!K247*TK_NonNV_Hold_AMD*TK_CapexFacility_VR200)</f>
        <v>0</v>
      </c>
      <c r="L123" s="32" t="n">
        <f aca="false">Players!L245*((1-Players!L247)*L$9+Players!L247*TK_NonNV_Hold_AMD*TK_CapexFacility_VR200)</f>
        <v>0</v>
      </c>
      <c r="M123" s="32" t="n">
        <f aca="false">Players!M245*((1-Players!M247)*M$9+Players!M247*TK_NonNV_Hold_AMD*TK_CapexFacility_VR200)</f>
        <v>0</v>
      </c>
    </row>
    <row r="124" customFormat="false" ht="17.15" hidden="false" customHeight="false" outlineLevel="0" collapsed="false">
      <c r="A124" s="5" t="s">
        <v>1475</v>
      </c>
      <c r="C124" s="0" t="s">
        <v>325</v>
      </c>
      <c r="D124" s="32" t="n">
        <f aca="false">D123*$D$5+E123*$D$6+F123*$D$7</f>
        <v>1.83259226510063</v>
      </c>
      <c r="E124" s="32" t="n">
        <f aca="false">E123*$D$5+F123*$D$6+G123*$D$7</f>
        <v>6.71950497203563</v>
      </c>
      <c r="F124" s="32" t="n">
        <f aca="false">F123*$D$5+G123*$D$6+H123*$D$7</f>
        <v>9.1397521757439</v>
      </c>
      <c r="G124" s="32" t="n">
        <f aca="false">G123*$D$5+H123*$D$6+I123*$D$7</f>
        <v>5.47467671474392</v>
      </c>
      <c r="H124" s="32" t="n">
        <f aca="false">H123*$D$5+I123*$D$6+J123*$D$7</f>
        <v>1.22183724593503</v>
      </c>
      <c r="I124" s="32" t="n">
        <f aca="false">I123*$D$5+J123*$D$6+K123*$D$7</f>
        <v>0</v>
      </c>
      <c r="J124" s="32" t="n">
        <f aca="false">J123*$D$5+K123*$D$6+L123*$D$7</f>
        <v>0</v>
      </c>
      <c r="K124" s="32" t="n">
        <f aca="false">K123*$D$5+L123*$D$6+M123*$D$7</f>
        <v>0</v>
      </c>
      <c r="L124" s="32" t="n">
        <f aca="false">L123*$D$5+M123*$D$6</f>
        <v>0</v>
      </c>
      <c r="M124" s="32" t="n">
        <f aca="false">M123*$D$5</f>
        <v>0</v>
      </c>
    </row>
    <row r="125" customFormat="false" ht="17.15" hidden="false" customHeight="false" outlineLevel="0" collapsed="false">
      <c r="A125" s="5" t="s">
        <v>1476</v>
      </c>
      <c r="C125" s="0" t="s">
        <v>325</v>
      </c>
      <c r="D125" s="32" t="n">
        <f aca="false">D122+D124</f>
        <v>1.83259226510063</v>
      </c>
      <c r="E125" s="32" t="n">
        <f aca="false">E122+E124</f>
        <v>6.71950497203563</v>
      </c>
      <c r="F125" s="32" t="n">
        <f aca="false">F122+F124</f>
        <v>17.3669196917181</v>
      </c>
      <c r="G125" s="32" t="n">
        <f aca="false">G122+G124</f>
        <v>31.9265996220617</v>
      </c>
      <c r="H125" s="32" t="n">
        <f aca="false">H122+H124</f>
        <v>26.8381446929395</v>
      </c>
      <c r="I125" s="32" t="n">
        <f aca="false">I122+I124</f>
        <v>7.79928922119248</v>
      </c>
      <c r="J125" s="32" t="n">
        <f aca="false">J122+J124</f>
        <v>0</v>
      </c>
      <c r="K125" s="32" t="n">
        <f aca="false">K122+K124</f>
        <v>0</v>
      </c>
      <c r="L125" s="32" t="n">
        <f aca="false">L122+L124</f>
        <v>0</v>
      </c>
      <c r="M125" s="32" t="n">
        <f aca="false">M122+M124</f>
        <v>0</v>
      </c>
    </row>
    <row r="126" customFormat="false" ht="17.15" hidden="false" customHeight="false" outlineLevel="0" collapsed="false">
      <c r="A126" s="5" t="s">
        <v>1477</v>
      </c>
      <c r="C126" s="0" t="s">
        <v>325</v>
      </c>
      <c r="D126" s="32" t="n">
        <f aca="false">D125*12/12+N(In!H131)</f>
        <v>1.83259226510063</v>
      </c>
      <c r="E126" s="32" t="n">
        <f aca="false">E125*12/12+D125*(12-12)/12+N(In!I131)</f>
        <v>6.71950497203563</v>
      </c>
      <c r="F126" s="32" t="n">
        <f aca="false">F125*12/12+E125*(12-12)/12+N(In!J131)</f>
        <v>17.3669196917181</v>
      </c>
      <c r="G126" s="32" t="n">
        <f aca="false">G125*12/12+F125*(12-12)/12+N(In!K131)</f>
        <v>31.9265996220617</v>
      </c>
      <c r="H126" s="32" t="n">
        <f aca="false">H125*12/12+G125*(12-12)/12+N(In!L131)</f>
        <v>26.8381446929395</v>
      </c>
      <c r="I126" s="32" t="n">
        <f aca="false">I125*12/12+H125*(12-12)/12+N(In!M131)</f>
        <v>7.79928922119248</v>
      </c>
      <c r="J126" s="32" t="n">
        <f aca="false">J125*12/12+I125*(12-12)/12+N(In!N131)</f>
        <v>0</v>
      </c>
      <c r="K126" s="32" t="n">
        <f aca="false">K125*12/12+J125*(12-12)/12+N(In!O131)</f>
        <v>0</v>
      </c>
      <c r="L126" s="32" t="n">
        <f aca="false">L125*12/12+K125*(12-12)/12+N(In!P131)</f>
        <v>0</v>
      </c>
      <c r="M126" s="32" t="n">
        <f aca="false">M125*12/12+L125*(12-12)/12+N(In!Q131)</f>
        <v>0</v>
      </c>
    </row>
    <row r="127" customFormat="false" ht="17.15" hidden="false" customHeight="false" outlineLevel="0" collapsed="false">
      <c r="A127" s="5" t="s">
        <v>1478</v>
      </c>
      <c r="C127" s="0" t="s">
        <v>325</v>
      </c>
      <c r="D127" s="19" t="str">
        <f aca="false">IF(In!H115="","",In!H115)</f>
        <v/>
      </c>
      <c r="E127" s="19" t="str">
        <f aca="false">IF(In!I115="","",In!I115)</f>
        <v/>
      </c>
      <c r="F127" s="19" t="str">
        <f aca="false">IF(In!J115="","",In!J115)</f>
        <v/>
      </c>
      <c r="G127" s="19" t="str">
        <f aca="false">IF(In!K115="","",In!K115)</f>
        <v/>
      </c>
      <c r="H127" s="19" t="str">
        <f aca="false">IF(In!L115="","",In!L115)</f>
        <v/>
      </c>
      <c r="I127" s="19" t="str">
        <f aca="false">IF(In!M115="","",In!M115)</f>
        <v/>
      </c>
      <c r="J127" s="19" t="str">
        <f aca="false">IF(In!N115="","",In!N115)</f>
        <v/>
      </c>
      <c r="K127" s="19" t="str">
        <f aca="false">IF(In!O115="","",In!O115)</f>
        <v/>
      </c>
      <c r="L127" s="19" t="str">
        <f aca="false">IF(In!P115="","",In!P115)</f>
        <v/>
      </c>
      <c r="M127" s="19" t="str">
        <f aca="false">IF(In!Q115="","",In!Q115)</f>
        <v/>
      </c>
    </row>
    <row r="128" customFormat="false" ht="17.15" hidden="false" customHeight="false" outlineLevel="0" collapsed="false">
      <c r="A128" s="5" t="s">
        <v>1479</v>
      </c>
      <c r="C128" s="0" t="s">
        <v>34</v>
      </c>
      <c r="D128" s="29" t="str">
        <f aca="false">IF(OR(D127="",N(D127)=0),"",D126/D127)</f>
        <v/>
      </c>
      <c r="E128" s="29" t="str">
        <f aca="false">IF(OR(E127="",N(E127)=0),"",E126/E127)</f>
        <v/>
      </c>
      <c r="F128" s="29" t="str">
        <f aca="false">IF(OR(F127="",N(F127)=0),"",F126/F127)</f>
        <v/>
      </c>
      <c r="G128" s="29" t="str">
        <f aca="false">IF(OR(G127="",N(G127)=0),"",G126/G127)</f>
        <v/>
      </c>
      <c r="H128" s="29" t="str">
        <f aca="false">IF(OR(H127="",N(H127)=0),"",H126/H127)</f>
        <v/>
      </c>
      <c r="I128" s="29" t="str">
        <f aca="false">IF(OR(I127="",N(I127)=0),"",I126/I127)</f>
        <v/>
      </c>
      <c r="J128" s="29" t="str">
        <f aca="false">IF(OR(J127="",N(J127)=0),"",J126/J127)</f>
        <v/>
      </c>
      <c r="K128" s="29" t="str">
        <f aca="false">IF(OR(K127="",N(K127)=0),"",K126/K127)</f>
        <v/>
      </c>
      <c r="L128" s="29" t="str">
        <f aca="false">IF(OR(L127="",N(L127)=0),"",L126/L127)</f>
        <v/>
      </c>
      <c r="M128" s="29" t="str">
        <f aca="false">IF(OR(M127="",N(M127)=0),"",M126/M127)</f>
        <v/>
      </c>
    </row>
    <row r="129" customFormat="false" ht="15" hidden="false" customHeight="false" outlineLevel="0" collapsed="false">
      <c r="A129" s="5" t="s">
        <v>1480</v>
      </c>
      <c r="C129" s="0" t="s">
        <v>33</v>
      </c>
      <c r="D129" s="0" t="str">
        <f aca="false">IF(D128="","無個股值",IF(D126=0,"GW 帳無新增",IF(AND(In!$E$115="Verified",FALSE()),IF(ABS(D128-1)&lt;=tolband,"對得上","偏差"),"證據不足（"&amp;IF(ABS(D128-1)&lt;=tolband,"帶內","帶外")&amp;"）")))</f>
        <v>無個股值</v>
      </c>
      <c r="E129" s="0" t="str">
        <f aca="false">IF(E128="","無個股值",IF(E126=0,"GW 帳無新增",IF(AND(In!$E$115="Verified",FALSE()),IF(ABS(E128-1)&lt;=tolband,"對得上","偏差"),"證據不足（"&amp;IF(ABS(E128-1)&lt;=tolband,"帶內","帶外")&amp;"）")))</f>
        <v>無個股值</v>
      </c>
      <c r="F129" s="0" t="str">
        <f aca="false">IF(F128="","無個股值",IF(F126=0,"GW 帳無新增",IF(AND(In!$E$115="Verified",FALSE()),IF(ABS(F128-1)&lt;=tolband,"對得上","偏差"),"證據不足（"&amp;IF(ABS(F128-1)&lt;=tolband,"帶內","帶外")&amp;"）")))</f>
        <v>無個股值</v>
      </c>
      <c r="G129" s="0" t="str">
        <f aca="false">IF(G128="","無個股值",IF(G126=0,"GW 帳無新增",IF(AND(In!$E$115="Verified",FALSE()),IF(ABS(G128-1)&lt;=tolband,"對得上","偏差"),"證據不足（"&amp;IF(ABS(G128-1)&lt;=tolband,"帶內","帶外")&amp;"）")))</f>
        <v>無個股值</v>
      </c>
      <c r="H129" s="0" t="str">
        <f aca="false">IF(H128="","無個股值",IF(H126=0,"GW 帳無新增",IF(AND(In!$E$115="Verified",FALSE()),IF(ABS(H128-1)&lt;=tolband,"對得上","偏差"),"證據不足（"&amp;IF(ABS(H128-1)&lt;=tolband,"帶內","帶外")&amp;"）")))</f>
        <v>無個股值</v>
      </c>
      <c r="I129" s="0" t="str">
        <f aca="false">IF(I128="","無個股值",IF(I126=0,"GW 帳無新增",IF(AND(In!$E$115="Verified",FALSE()),IF(ABS(I128-1)&lt;=tolband,"對得上","偏差"),"證據不足（"&amp;IF(ABS(I128-1)&lt;=tolband,"帶內","帶外")&amp;"）")))</f>
        <v>無個股值</v>
      </c>
      <c r="J129" s="0" t="str">
        <f aca="false">IF(J128="","無個股值",IF(J126=0,"GW 帳無新增",IF(AND(In!$E$115="Verified",FALSE()),IF(ABS(J128-1)&lt;=tolband,"對得上","偏差"),"證據不足（"&amp;IF(ABS(J128-1)&lt;=tolband,"帶內","帶外")&amp;"）")))</f>
        <v>無個股值</v>
      </c>
      <c r="K129" s="0" t="str">
        <f aca="false">IF(K128="","無個股值",IF(K126=0,"GW 帳無新增",IF(AND(In!$E$115="Verified",FALSE()),IF(ABS(K128-1)&lt;=tolband,"對得上","偏差"),"證據不足（"&amp;IF(ABS(K128-1)&lt;=tolband,"帶內","帶外")&amp;"）")))</f>
        <v>無個股值</v>
      </c>
      <c r="L129" s="0" t="str">
        <f aca="false">IF(L128="","無個股值",IF(L126=0,"GW 帳無新增",IF(AND(In!$E$115="Verified",FALSE()),IF(ABS(L128-1)&lt;=tolband,"對得上","偏差"),"證據不足（"&amp;IF(ABS(L128-1)&lt;=tolband,"帶內","帶外")&amp;"）")))</f>
        <v>無個股值</v>
      </c>
      <c r="M129" s="0" t="str">
        <f aca="false">IF(M128="","無個股值",IF(M126=0,"GW 帳無新增",IF(AND(In!$E$115="Verified",FALSE()),IF(ABS(M128-1)&lt;=tolband,"對得上","偏差"),"證據不足（"&amp;IF(ABS(M128-1)&lt;=tolband,"帶內","帶外")&amp;"）")))</f>
        <v>無個股值</v>
      </c>
    </row>
    <row r="131" customFormat="false" ht="17.15" hidden="false" customHeight="false" outlineLevel="0" collapsed="false">
      <c r="A131" s="21" t="s">
        <v>1090</v>
      </c>
      <c r="B131" s="20" t="s">
        <v>577</v>
      </c>
      <c r="N131" s="5" t="s">
        <v>1489</v>
      </c>
    </row>
    <row r="132" customFormat="false" ht="17.15" hidden="false" customHeight="false" outlineLevel="0" collapsed="false">
      <c r="A132" s="5" t="s">
        <v>1473</v>
      </c>
      <c r="C132" s="0" t="s">
        <v>325</v>
      </c>
      <c r="D132" s="32" t="n">
        <f aca="false">Players!D264*((1-Players!D266)*D$8+Players!D266*TK_NonNV_Hold_AMD*TK_CapexIT_VR200)</f>
        <v>0</v>
      </c>
      <c r="E132" s="32" t="n">
        <f aca="false">Players!E264*((1-Players!E266)*E$8+Players!E266*TK_NonNV_Hold_AMD*TK_CapexIT_VR200)</f>
        <v>0</v>
      </c>
      <c r="F132" s="32" t="n">
        <f aca="false">Players!F264*((1-Players!F266)*F$8+Players!F266*TK_NonNV_Hold_AMD*TK_CapexIT_VR200)</f>
        <v>0</v>
      </c>
      <c r="G132" s="32" t="n">
        <f aca="false">Players!G264*((1-Players!G266)*G$8+Players!G266*TK_NonNV_Hold_AMD*TK_CapexIT_VR200)</f>
        <v>6.61298072682946</v>
      </c>
      <c r="H132" s="32" t="n">
        <f aca="false">Players!H264*((1-Players!H266)*H$8+Players!H266*TK_NonNV_Hold_AMD*TK_CapexIT_VR200)</f>
        <v>0</v>
      </c>
      <c r="I132" s="32" t="n">
        <f aca="false">Players!I264*((1-Players!I266)*I$8+Players!I266*TK_NonNV_Hold_AMD*TK_CapexIT_VR200)</f>
        <v>0</v>
      </c>
      <c r="J132" s="32" t="n">
        <f aca="false">Players!J264*((1-Players!J266)*J$8+Players!J266*TK_NonNV_Hold_AMD*TK_CapexIT_VR200)</f>
        <v>0</v>
      </c>
      <c r="K132" s="32" t="n">
        <f aca="false">Players!K264*((1-Players!K266)*K$8+Players!K266*TK_NonNV_Hold_AMD*TK_CapexIT_VR200)</f>
        <v>65.9232000325659</v>
      </c>
      <c r="L132" s="32" t="n">
        <f aca="false">Players!L264*((1-Players!L266)*L$8+Players!L266*TK_NonNV_Hold_AMD*TK_CapexIT_VR200)</f>
        <v>0</v>
      </c>
      <c r="M132" s="32" t="n">
        <f aca="false">Players!M264*((1-Players!M266)*M$8+Players!M266*TK_NonNV_Hold_AMD*TK_CapexIT_VR200)</f>
        <v>0</v>
      </c>
    </row>
    <row r="133" customFormat="false" ht="15" hidden="false" customHeight="false" outlineLevel="0" collapsed="false">
      <c r="A133" s="5" t="s">
        <v>1474</v>
      </c>
      <c r="C133" s="0" t="s">
        <v>325</v>
      </c>
      <c r="D133" s="32" t="n">
        <f aca="false">Players!D264*((1-Players!D266)*D$9+Players!D266*TK_NonNV_Hold_AMD*TK_CapexFacility_VR200)</f>
        <v>0</v>
      </c>
      <c r="E133" s="32" t="n">
        <f aca="false">Players!E264*((1-Players!E266)*E$9+Players!E266*TK_NonNV_Hold_AMD*TK_CapexFacility_VR200)</f>
        <v>0</v>
      </c>
      <c r="F133" s="32" t="n">
        <f aca="false">Players!F264*((1-Players!F266)*F$9+Players!F266*TK_NonNV_Hold_AMD*TK_CapexFacility_VR200)</f>
        <v>0</v>
      </c>
      <c r="G133" s="32" t="n">
        <f aca="false">Players!G264*((1-Players!G266)*G$9+Players!G266*TK_NonNV_Hold_AMD*TK_CapexFacility_VR200)</f>
        <v>2.4434563534675</v>
      </c>
      <c r="H133" s="32" t="n">
        <f aca="false">Players!H264*((1-Players!H266)*H$9+Players!H266*TK_NonNV_Hold_AMD*TK_CapexFacility_VR200)</f>
        <v>0</v>
      </c>
      <c r="I133" s="32" t="n">
        <f aca="false">Players!I264*((1-Players!I266)*I$9+Players!I266*TK_NonNV_Hold_AMD*TK_CapexFacility_VR200)</f>
        <v>0</v>
      </c>
      <c r="J133" s="32" t="n">
        <f aca="false">Players!J264*((1-Players!J266)*J$9+Players!J266*TK_NonNV_Hold_AMD*TK_CapexFacility_VR200)</f>
        <v>0</v>
      </c>
      <c r="K133" s="32" t="n">
        <f aca="false">Players!K264*((1-Players!K266)*K$9+Players!K266*TK_NonNV_Hold_AMD*TK_CapexFacility_VR200)</f>
        <v>20.6596029852269</v>
      </c>
      <c r="L133" s="32" t="n">
        <f aca="false">Players!L264*((1-Players!L266)*L$9+Players!L266*TK_NonNV_Hold_AMD*TK_CapexFacility_VR200)</f>
        <v>0</v>
      </c>
      <c r="M133" s="32" t="n">
        <f aca="false">Players!M264*((1-Players!M266)*M$9+Players!M266*TK_NonNV_Hold_AMD*TK_CapexFacility_VR200)</f>
        <v>0</v>
      </c>
    </row>
    <row r="134" customFormat="false" ht="17.15" hidden="false" customHeight="false" outlineLevel="0" collapsed="false">
      <c r="A134" s="5" t="s">
        <v>1475</v>
      </c>
      <c r="C134" s="0" t="s">
        <v>325</v>
      </c>
      <c r="D134" s="32" t="n">
        <f aca="false">D133*$D$5+E133*$D$6+F133*$D$7</f>
        <v>0</v>
      </c>
      <c r="E134" s="32" t="n">
        <f aca="false">E133*$D$5+F133*$D$6+G133*$D$7</f>
        <v>1.22172817673375</v>
      </c>
      <c r="F134" s="32" t="n">
        <f aca="false">F133*$D$5+G133*$D$6+H133*$D$7</f>
        <v>1.22172817673375</v>
      </c>
      <c r="G134" s="32" t="n">
        <f aca="false">G133*$D$5+H133*$D$6+I133*$D$7</f>
        <v>0</v>
      </c>
      <c r="H134" s="32" t="n">
        <f aca="false">H133*$D$5+I133*$D$6+J133*$D$7</f>
        <v>0</v>
      </c>
      <c r="I134" s="32" t="n">
        <f aca="false">I133*$D$5+J133*$D$6+K133*$D$7</f>
        <v>10.3298014926134</v>
      </c>
      <c r="J134" s="32" t="n">
        <f aca="false">J133*$D$5+K133*$D$6+L133*$D$7</f>
        <v>10.3298014926134</v>
      </c>
      <c r="K134" s="32" t="n">
        <f aca="false">K133*$D$5+L133*$D$6+M133*$D$7</f>
        <v>0</v>
      </c>
      <c r="L134" s="32" t="n">
        <f aca="false">L133*$D$5+M133*$D$6</f>
        <v>0</v>
      </c>
      <c r="M134" s="32" t="n">
        <f aca="false">M133*$D$5</f>
        <v>0</v>
      </c>
    </row>
    <row r="135" customFormat="false" ht="17.15" hidden="false" customHeight="false" outlineLevel="0" collapsed="false">
      <c r="A135" s="5" t="s">
        <v>1476</v>
      </c>
      <c r="C135" s="0" t="s">
        <v>325</v>
      </c>
      <c r="D135" s="32" t="n">
        <f aca="false">D132+D134</f>
        <v>0</v>
      </c>
      <c r="E135" s="32" t="n">
        <f aca="false">E132+E134</f>
        <v>1.22172817673375</v>
      </c>
      <c r="F135" s="32" t="n">
        <f aca="false">F132+F134</f>
        <v>1.22172817673375</v>
      </c>
      <c r="G135" s="32" t="n">
        <f aca="false">G132+G134</f>
        <v>6.61298072682946</v>
      </c>
      <c r="H135" s="32" t="n">
        <f aca="false">H132+H134</f>
        <v>0</v>
      </c>
      <c r="I135" s="32" t="n">
        <f aca="false">I132+I134</f>
        <v>10.3298014926134</v>
      </c>
      <c r="J135" s="32" t="n">
        <f aca="false">J132+J134</f>
        <v>10.3298014926134</v>
      </c>
      <c r="K135" s="32" t="n">
        <f aca="false">K132+K134</f>
        <v>65.9232000325659</v>
      </c>
      <c r="L135" s="32" t="n">
        <f aca="false">L132+L134</f>
        <v>0</v>
      </c>
      <c r="M135" s="32" t="n">
        <f aca="false">M132+M134</f>
        <v>0</v>
      </c>
    </row>
    <row r="136" customFormat="false" ht="17.15" hidden="false" customHeight="false" outlineLevel="0" collapsed="false">
      <c r="A136" s="5" t="s">
        <v>1477</v>
      </c>
      <c r="C136" s="0" t="s">
        <v>325</v>
      </c>
      <c r="D136" s="32" t="n">
        <f aca="false">D135*12/12+N(In!H132)</f>
        <v>0</v>
      </c>
      <c r="E136" s="32" t="n">
        <f aca="false">E135*12/12+D135*(12-12)/12+N(In!I132)</f>
        <v>1.22172817673375</v>
      </c>
      <c r="F136" s="32" t="n">
        <f aca="false">F135*12/12+E135*(12-12)/12+N(In!J132)</f>
        <v>1.22172817673375</v>
      </c>
      <c r="G136" s="32" t="n">
        <f aca="false">G135*12/12+F135*(12-12)/12+N(In!K132)</f>
        <v>6.61298072682946</v>
      </c>
      <c r="H136" s="32" t="n">
        <f aca="false">H135*12/12+G135*(12-12)/12+N(In!L132)</f>
        <v>0</v>
      </c>
      <c r="I136" s="32" t="n">
        <f aca="false">I135*12/12+H135*(12-12)/12+N(In!M132)</f>
        <v>10.3298014926134</v>
      </c>
      <c r="J136" s="32" t="n">
        <f aca="false">J135*12/12+I135*(12-12)/12+N(In!N132)</f>
        <v>10.3298014926134</v>
      </c>
      <c r="K136" s="32" t="n">
        <f aca="false">K135*12/12+J135*(12-12)/12+N(In!O132)</f>
        <v>65.9232000325659</v>
      </c>
      <c r="L136" s="32" t="n">
        <f aca="false">L135*12/12+K135*(12-12)/12+N(In!P132)</f>
        <v>0</v>
      </c>
      <c r="M136" s="32" t="n">
        <f aca="false">M135*12/12+L135*(12-12)/12+N(In!Q132)</f>
        <v>0</v>
      </c>
    </row>
    <row r="137" customFormat="false" ht="17.15" hidden="false" customHeight="false" outlineLevel="0" collapsed="false">
      <c r="A137" s="5" t="s">
        <v>1478</v>
      </c>
      <c r="C137" s="0" t="s">
        <v>325</v>
      </c>
      <c r="D137" s="19" t="str">
        <f aca="false">IF(In!H116="","",In!H116)</f>
        <v/>
      </c>
      <c r="E137" s="19" t="str">
        <f aca="false">IF(In!I116="","",In!I116)</f>
        <v/>
      </c>
      <c r="F137" s="19" t="str">
        <f aca="false">IF(In!J116="","",In!J116)</f>
        <v/>
      </c>
      <c r="G137" s="19" t="str">
        <f aca="false">IF(In!K116="","",In!K116)</f>
        <v/>
      </c>
      <c r="H137" s="19" t="str">
        <f aca="false">IF(In!L116="","",In!L116)</f>
        <v/>
      </c>
      <c r="I137" s="19" t="str">
        <f aca="false">IF(In!M116="","",In!M116)</f>
        <v/>
      </c>
      <c r="J137" s="19" t="str">
        <f aca="false">IF(In!N116="","",In!N116)</f>
        <v/>
      </c>
      <c r="K137" s="19" t="str">
        <f aca="false">IF(In!O116="","",In!O116)</f>
        <v/>
      </c>
      <c r="L137" s="19" t="str">
        <f aca="false">IF(In!P116="","",In!P116)</f>
        <v/>
      </c>
      <c r="M137" s="19" t="str">
        <f aca="false">IF(In!Q116="","",In!Q116)</f>
        <v/>
      </c>
    </row>
    <row r="138" customFormat="false" ht="17.15" hidden="false" customHeight="false" outlineLevel="0" collapsed="false">
      <c r="A138" s="5" t="s">
        <v>1479</v>
      </c>
      <c r="C138" s="0" t="s">
        <v>34</v>
      </c>
      <c r="D138" s="29" t="str">
        <f aca="false">IF(OR(D137="",N(D137)=0),"",D136/D137)</f>
        <v/>
      </c>
      <c r="E138" s="29" t="str">
        <f aca="false">IF(OR(E137="",N(E137)=0),"",E136/E137)</f>
        <v/>
      </c>
      <c r="F138" s="29" t="str">
        <f aca="false">IF(OR(F137="",N(F137)=0),"",F136/F137)</f>
        <v/>
      </c>
      <c r="G138" s="29" t="str">
        <f aca="false">IF(OR(G137="",N(G137)=0),"",G136/G137)</f>
        <v/>
      </c>
      <c r="H138" s="29" t="str">
        <f aca="false">IF(OR(H137="",N(H137)=0),"",H136/H137)</f>
        <v/>
      </c>
      <c r="I138" s="29" t="str">
        <f aca="false">IF(OR(I137="",N(I137)=0),"",I136/I137)</f>
        <v/>
      </c>
      <c r="J138" s="29" t="str">
        <f aca="false">IF(OR(J137="",N(J137)=0),"",J136/J137)</f>
        <v/>
      </c>
      <c r="K138" s="29" t="str">
        <f aca="false">IF(OR(K137="",N(K137)=0),"",K136/K137)</f>
        <v/>
      </c>
      <c r="L138" s="29" t="str">
        <f aca="false">IF(OR(L137="",N(L137)=0),"",L136/L137)</f>
        <v/>
      </c>
      <c r="M138" s="29" t="str">
        <f aca="false">IF(OR(M137="",N(M137)=0),"",M136/M137)</f>
        <v/>
      </c>
    </row>
    <row r="139" customFormat="false" ht="15" hidden="false" customHeight="false" outlineLevel="0" collapsed="false">
      <c r="A139" s="5" t="s">
        <v>1480</v>
      </c>
      <c r="C139" s="0" t="s">
        <v>33</v>
      </c>
      <c r="D139" s="0" t="str">
        <f aca="false">IF(D138="","無個股值",IF(D136=0,"GW 帳無新增",IF(AND(In!$E$116="Verified",FALSE()),IF(ABS(D138-1)&lt;=tolband,"對得上","偏差"),"證據不足（"&amp;IF(ABS(D138-1)&lt;=tolband,"帶內","帶外")&amp;"）")))</f>
        <v>無個股值</v>
      </c>
      <c r="E139" s="0" t="str">
        <f aca="false">IF(E138="","無個股值",IF(E136=0,"GW 帳無新增",IF(AND(In!$E$116="Verified",FALSE()),IF(ABS(E138-1)&lt;=tolband,"對得上","偏差"),"證據不足（"&amp;IF(ABS(E138-1)&lt;=tolband,"帶內","帶外")&amp;"）")))</f>
        <v>無個股值</v>
      </c>
      <c r="F139" s="0" t="str">
        <f aca="false">IF(F138="","無個股值",IF(F136=0,"GW 帳無新增",IF(AND(In!$E$116="Verified",FALSE()),IF(ABS(F138-1)&lt;=tolband,"對得上","偏差"),"證據不足（"&amp;IF(ABS(F138-1)&lt;=tolband,"帶內","帶外")&amp;"）")))</f>
        <v>無個股值</v>
      </c>
      <c r="G139" s="0" t="str">
        <f aca="false">IF(G138="","無個股值",IF(G136=0,"GW 帳無新增",IF(AND(In!$E$116="Verified",FALSE()),IF(ABS(G138-1)&lt;=tolband,"對得上","偏差"),"證據不足（"&amp;IF(ABS(G138-1)&lt;=tolband,"帶內","帶外")&amp;"）")))</f>
        <v>無個股值</v>
      </c>
      <c r="H139" s="0" t="str">
        <f aca="false">IF(H138="","無個股值",IF(H136=0,"GW 帳無新增",IF(AND(In!$E$116="Verified",FALSE()),IF(ABS(H138-1)&lt;=tolband,"對得上","偏差"),"證據不足（"&amp;IF(ABS(H138-1)&lt;=tolband,"帶內","帶外")&amp;"）")))</f>
        <v>無個股值</v>
      </c>
      <c r="I139" s="0" t="str">
        <f aca="false">IF(I138="","無個股值",IF(I136=0,"GW 帳無新增",IF(AND(In!$E$116="Verified",FALSE()),IF(ABS(I138-1)&lt;=tolband,"對得上","偏差"),"證據不足（"&amp;IF(ABS(I138-1)&lt;=tolband,"帶內","帶外")&amp;"）")))</f>
        <v>無個股值</v>
      </c>
      <c r="J139" s="0" t="str">
        <f aca="false">IF(J138="","無個股值",IF(J136=0,"GW 帳無新增",IF(AND(In!$E$116="Verified",FALSE()),IF(ABS(J138-1)&lt;=tolband,"對得上","偏差"),"證據不足（"&amp;IF(ABS(J138-1)&lt;=tolband,"帶內","帶外")&amp;"）")))</f>
        <v>無個股值</v>
      </c>
      <c r="K139" s="0" t="str">
        <f aca="false">IF(K138="","無個股值",IF(K136=0,"GW 帳無新增",IF(AND(In!$E$116="Verified",FALSE()),IF(ABS(K138-1)&lt;=tolband,"對得上","偏差"),"證據不足（"&amp;IF(ABS(K138-1)&lt;=tolband,"帶內","帶外")&amp;"）")))</f>
        <v>無個股值</v>
      </c>
      <c r="L139" s="0" t="str">
        <f aca="false">IF(L138="","無個股值",IF(L136=0,"GW 帳無新增",IF(AND(In!$E$116="Verified",FALSE()),IF(ABS(L138-1)&lt;=tolband,"對得上","偏差"),"證據不足（"&amp;IF(ABS(L138-1)&lt;=tolband,"帶內","帶外")&amp;"）")))</f>
        <v>無個股值</v>
      </c>
      <c r="M139" s="0" t="str">
        <f aca="false">IF(M138="","無個股值",IF(M136=0,"GW 帳無新增",IF(AND(In!$E$116="Verified",FALSE()),IF(ABS(M138-1)&lt;=tolband,"對得上","偏差"),"證據不足（"&amp;IF(ABS(M138-1)&lt;=tolband,"帶內","帶外")&amp;"）")))</f>
        <v>無個股值</v>
      </c>
    </row>
    <row r="141" customFormat="false" ht="17.15" hidden="false" customHeight="false" outlineLevel="0" collapsed="false">
      <c r="A141" s="21" t="s">
        <v>1109</v>
      </c>
      <c r="B141" s="20" t="s">
        <v>487</v>
      </c>
      <c r="N141" s="5" t="s">
        <v>1489</v>
      </c>
    </row>
    <row r="142" customFormat="false" ht="17.15" hidden="false" customHeight="false" outlineLevel="0" collapsed="false">
      <c r="A142" s="5" t="s">
        <v>1473</v>
      </c>
      <c r="C142" s="0" t="s">
        <v>325</v>
      </c>
      <c r="D142" s="32" t="n">
        <f aca="false">Players!D283*((1-Players!D285)*D$8+Players!D285*TK_NonNV_Hold_Ascend*TK_CapexIT_VR200)</f>
        <v>0</v>
      </c>
      <c r="E142" s="32" t="n">
        <f aca="false">Players!E283*((1-Players!E285)*E$8+Players!E285*TK_NonNV_Hold_Ascend*TK_CapexIT_VR200)</f>
        <v>0</v>
      </c>
      <c r="F142" s="32" t="n">
        <f aca="false">Players!F283*((1-Players!F285)*F$8+Players!F285*TK_NonNV_Hold_Ascend*TK_CapexIT_VR200)</f>
        <v>0</v>
      </c>
      <c r="G142" s="32" t="n">
        <f aca="false">Players!G283*((1-Players!G285)*G$8+Players!G285*TK_NonNV_Hold_Ascend*TK_CapexIT_VR200)</f>
        <v>101.262898012446</v>
      </c>
      <c r="H142" s="32" t="n">
        <f aca="false">Players!H283*((1-Players!H285)*H$8+Players!H285*TK_NonNV_Hold_Ascend*TK_CapexIT_VR200)</f>
        <v>66.6787474513408</v>
      </c>
      <c r="I142" s="32" t="n">
        <f aca="false">Players!I283*((1-Players!I285)*I$8+Players!I285*TK_NonNV_Hold_Ascend*TK_CapexIT_VR200)</f>
        <v>81.5812529383301</v>
      </c>
      <c r="J142" s="32" t="n">
        <f aca="false">Players!J283*((1-Players!J285)*J$8+Players!J285*TK_NonNV_Hold_Ascend*TK_CapexIT_VR200)</f>
        <v>93.2910265931512</v>
      </c>
      <c r="K142" s="32" t="n">
        <f aca="false">Players!K283*((1-Players!K285)*K$8+Players!K285*TK_NonNV_Hold_Ascend*TK_CapexIT_VR200)</f>
        <v>106.718885977677</v>
      </c>
      <c r="L142" s="32" t="n">
        <f aca="false">Players!L283*((1-Players!L285)*L$8+Players!L285*TK_NonNV_Hold_Ascend*TK_CapexIT_VR200)</f>
        <v>76.9121064895964</v>
      </c>
      <c r="M142" s="32" t="n">
        <f aca="false">Players!M283*((1-Players!M285)*M$8+Players!M285*TK_NonNV_Hold_Ascend*TK_CapexIT_VR200)</f>
        <v>84.603317138556</v>
      </c>
    </row>
    <row r="143" customFormat="false" ht="15" hidden="false" customHeight="false" outlineLevel="0" collapsed="false">
      <c r="A143" s="5" t="s">
        <v>1474</v>
      </c>
      <c r="C143" s="0" t="s">
        <v>325</v>
      </c>
      <c r="D143" s="32" t="n">
        <f aca="false">Players!D283*((1-Players!D285)*D$9+Players!D285*TK_NonNV_Hold_Ascend*TK_CapexFacility_VR200)</f>
        <v>0</v>
      </c>
      <c r="E143" s="32" t="n">
        <f aca="false">Players!E283*((1-Players!E285)*E$9+Players!E285*TK_NonNV_Hold_Ascend*TK_CapexFacility_VR200)</f>
        <v>0</v>
      </c>
      <c r="F143" s="32" t="n">
        <f aca="false">Players!F283*((1-Players!F285)*F$9+Players!F285*TK_NonNV_Hold_Ascend*TK_CapexFacility_VR200)</f>
        <v>0</v>
      </c>
      <c r="G143" s="32" t="n">
        <f aca="false">Players!G283*((1-Players!G285)*G$9+Players!G285*TK_NonNV_Hold_Ascend*TK_CapexFacility_VR200)</f>
        <v>37.7061510067084</v>
      </c>
      <c r="H143" s="32" t="n">
        <f aca="false">Players!H283*((1-Players!H285)*H$9+Players!H285*TK_NonNV_Hold_Ascend*TK_CapexFacility_VR200)</f>
        <v>22.1091834526816</v>
      </c>
      <c r="I143" s="32" t="n">
        <f aca="false">Players!I283*((1-Players!I285)*I$9+Players!I285*TK_NonNV_Hold_Ascend*TK_CapexFacility_VR200)</f>
        <v>25.3961940717697</v>
      </c>
      <c r="J143" s="32" t="n">
        <f aca="false">Players!J283*((1-Players!J285)*J$9+Players!J285*TK_NonNV_Hold_Ascend*TK_CapexFacility_VR200)</f>
        <v>29.0463332763666</v>
      </c>
      <c r="K143" s="32" t="n">
        <f aca="false">Players!K283*((1-Players!K285)*K$9+Players!K285*TK_NonNV_Hold_Ascend*TK_CapexFacility_VR200)</f>
        <v>33.2271220736865</v>
      </c>
      <c r="L143" s="32" t="n">
        <f aca="false">Players!L283*((1-Players!L285)*L$9+Players!L285*TK_NonNV_Hold_Ascend*TK_CapexFacility_VR200)</f>
        <v>23.9467262786904</v>
      </c>
      <c r="M143" s="32" t="n">
        <f aca="false">Players!M283*((1-Players!M285)*M$9+Players!M285*TK_NonNV_Hold_Ascend*TK_CapexFacility_VR200)</f>
        <v>26.3413989065594</v>
      </c>
    </row>
    <row r="144" customFormat="false" ht="17.15" hidden="false" customHeight="false" outlineLevel="0" collapsed="false">
      <c r="A144" s="5" t="s">
        <v>1475</v>
      </c>
      <c r="C144" s="0" t="s">
        <v>325</v>
      </c>
      <c r="D144" s="32" t="n">
        <f aca="false">D143*$D$5+E143*$D$6+F143*$D$7</f>
        <v>0</v>
      </c>
      <c r="E144" s="32" t="n">
        <f aca="false">E143*$D$5+F143*$D$6+G143*$D$7</f>
        <v>18.8530755033542</v>
      </c>
      <c r="F144" s="32" t="n">
        <f aca="false">F143*$D$5+G143*$D$6+H143*$D$7</f>
        <v>29.907667229695</v>
      </c>
      <c r="G144" s="32" t="n">
        <f aca="false">G143*$D$5+H143*$D$6+I143*$D$7</f>
        <v>23.7526887622257</v>
      </c>
      <c r="H144" s="32" t="n">
        <f aca="false">H143*$D$5+I143*$D$6+J143*$D$7</f>
        <v>27.2212636740682</v>
      </c>
      <c r="I144" s="32" t="n">
        <f aca="false">I143*$D$5+J143*$D$6+K143*$D$7</f>
        <v>31.1367276750266</v>
      </c>
      <c r="J144" s="32" t="n">
        <f aca="false">J143*$D$5+K143*$D$6+L143*$D$7</f>
        <v>28.5869241761884</v>
      </c>
      <c r="K144" s="32" t="n">
        <f aca="false">K143*$D$5+L143*$D$6+M143*$D$7</f>
        <v>25.1440625926249</v>
      </c>
      <c r="L144" s="32" t="n">
        <f aca="false">L143*$D$5+M143*$D$6</f>
        <v>13.1706994532797</v>
      </c>
      <c r="M144" s="32" t="n">
        <f aca="false">M143*$D$5</f>
        <v>0</v>
      </c>
    </row>
    <row r="145" customFormat="false" ht="17.15" hidden="false" customHeight="false" outlineLevel="0" collapsed="false">
      <c r="A145" s="5" t="s">
        <v>1476</v>
      </c>
      <c r="C145" s="0" t="s">
        <v>325</v>
      </c>
      <c r="D145" s="32" t="n">
        <f aca="false">D142+D144</f>
        <v>0</v>
      </c>
      <c r="E145" s="32" t="n">
        <f aca="false">E142+E144</f>
        <v>18.8530755033542</v>
      </c>
      <c r="F145" s="32" t="n">
        <f aca="false">F142+F144</f>
        <v>29.907667229695</v>
      </c>
      <c r="G145" s="32" t="n">
        <f aca="false">G142+G144</f>
        <v>125.015586774671</v>
      </c>
      <c r="H145" s="32" t="n">
        <f aca="false">H142+H144</f>
        <v>93.900011125409</v>
      </c>
      <c r="I145" s="32" t="n">
        <f aca="false">I142+I144</f>
        <v>112.717980613357</v>
      </c>
      <c r="J145" s="32" t="n">
        <f aca="false">J142+J144</f>
        <v>121.87795076934</v>
      </c>
      <c r="K145" s="32" t="n">
        <f aca="false">K142+K144</f>
        <v>131.862948570302</v>
      </c>
      <c r="L145" s="32" t="n">
        <f aca="false">L142+L144</f>
        <v>90.0828059428761</v>
      </c>
      <c r="M145" s="32" t="n">
        <f aca="false">M142+M144</f>
        <v>84.603317138556</v>
      </c>
    </row>
    <row r="146" customFormat="false" ht="17.15" hidden="false" customHeight="false" outlineLevel="0" collapsed="false">
      <c r="A146" s="5" t="s">
        <v>1477</v>
      </c>
      <c r="C146" s="0" t="s">
        <v>325</v>
      </c>
      <c r="D146" s="32" t="n">
        <f aca="false">D145*12/12+N(In!H133)</f>
        <v>0</v>
      </c>
      <c r="E146" s="32" t="n">
        <f aca="false">E145*12/12+D145*(12-12)/12+N(In!I133)</f>
        <v>18.8530755033542</v>
      </c>
      <c r="F146" s="32" t="n">
        <f aca="false">F145*12/12+E145*(12-12)/12+N(In!J133)</f>
        <v>29.907667229695</v>
      </c>
      <c r="G146" s="32" t="n">
        <f aca="false">G145*12/12+F145*(12-12)/12+N(In!K133)</f>
        <v>125.015586774671</v>
      </c>
      <c r="H146" s="32" t="n">
        <f aca="false">H145*12/12+G145*(12-12)/12+N(In!L133)</f>
        <v>93.900011125409</v>
      </c>
      <c r="I146" s="32" t="n">
        <f aca="false">I145*12/12+H145*(12-12)/12+N(In!M133)</f>
        <v>112.717980613357</v>
      </c>
      <c r="J146" s="32" t="n">
        <f aca="false">J145*12/12+I145*(12-12)/12+N(In!N133)</f>
        <v>121.87795076934</v>
      </c>
      <c r="K146" s="32" t="n">
        <f aca="false">K145*12/12+J145*(12-12)/12+N(In!O133)</f>
        <v>131.862948570302</v>
      </c>
      <c r="L146" s="32" t="n">
        <f aca="false">L145*12/12+K145*(12-12)/12+N(In!P133)</f>
        <v>90.0828059428761</v>
      </c>
      <c r="M146" s="32" t="n">
        <f aca="false">M145*12/12+L145*(12-12)/12+N(In!Q133)</f>
        <v>84.603317138556</v>
      </c>
    </row>
    <row r="147" customFormat="false" ht="17.15" hidden="false" customHeight="false" outlineLevel="0" collapsed="false">
      <c r="A147" s="5" t="s">
        <v>1478</v>
      </c>
      <c r="C147" s="0" t="s">
        <v>325</v>
      </c>
      <c r="D147" s="19" t="str">
        <f aca="false">IF(In!H117="","",In!H117)</f>
        <v/>
      </c>
      <c r="E147" s="19" t="str">
        <f aca="false">IF(In!I117="","",In!I117)</f>
        <v/>
      </c>
      <c r="F147" s="19" t="str">
        <f aca="false">IF(In!J117="","",In!J117)</f>
        <v/>
      </c>
      <c r="G147" s="19" t="str">
        <f aca="false">IF(In!K117="","",In!K117)</f>
        <v/>
      </c>
      <c r="H147" s="19" t="str">
        <f aca="false">IF(In!L117="","",In!L117)</f>
        <v/>
      </c>
      <c r="I147" s="19" t="str">
        <f aca="false">IF(In!M117="","",In!M117)</f>
        <v/>
      </c>
      <c r="J147" s="19" t="str">
        <f aca="false">IF(In!N117="","",In!N117)</f>
        <v/>
      </c>
      <c r="K147" s="19" t="str">
        <f aca="false">IF(In!O117="","",In!O117)</f>
        <v/>
      </c>
      <c r="L147" s="19" t="str">
        <f aca="false">IF(In!P117="","",In!P117)</f>
        <v/>
      </c>
      <c r="M147" s="19" t="str">
        <f aca="false">IF(In!Q117="","",In!Q117)</f>
        <v/>
      </c>
    </row>
    <row r="148" customFormat="false" ht="17.15" hidden="false" customHeight="false" outlineLevel="0" collapsed="false">
      <c r="A148" s="5" t="s">
        <v>1479</v>
      </c>
      <c r="C148" s="0" t="s">
        <v>34</v>
      </c>
      <c r="D148" s="29" t="str">
        <f aca="false">IF(OR(D147="",N(D147)=0),"",D146/D147)</f>
        <v/>
      </c>
      <c r="E148" s="29" t="str">
        <f aca="false">IF(OR(E147="",N(E147)=0),"",E146/E147)</f>
        <v/>
      </c>
      <c r="F148" s="29" t="str">
        <f aca="false">IF(OR(F147="",N(F147)=0),"",F146/F147)</f>
        <v/>
      </c>
      <c r="G148" s="29" t="str">
        <f aca="false">IF(OR(G147="",N(G147)=0),"",G146/G147)</f>
        <v/>
      </c>
      <c r="H148" s="29" t="str">
        <f aca="false">IF(OR(H147="",N(H147)=0),"",H146/H147)</f>
        <v/>
      </c>
      <c r="I148" s="29" t="str">
        <f aca="false">IF(OR(I147="",N(I147)=0),"",I146/I147)</f>
        <v/>
      </c>
      <c r="J148" s="29" t="str">
        <f aca="false">IF(OR(J147="",N(J147)=0),"",J146/J147)</f>
        <v/>
      </c>
      <c r="K148" s="29" t="str">
        <f aca="false">IF(OR(K147="",N(K147)=0),"",K146/K147)</f>
        <v/>
      </c>
      <c r="L148" s="29" t="str">
        <f aca="false">IF(OR(L147="",N(L147)=0),"",L146/L147)</f>
        <v/>
      </c>
      <c r="M148" s="29" t="str">
        <f aca="false">IF(OR(M147="",N(M147)=0),"",M146/M147)</f>
        <v/>
      </c>
    </row>
    <row r="149" customFormat="false" ht="15" hidden="false" customHeight="false" outlineLevel="0" collapsed="false">
      <c r="A149" s="5" t="s">
        <v>1480</v>
      </c>
      <c r="C149" s="0" t="s">
        <v>33</v>
      </c>
      <c r="D149" s="0" t="str">
        <f aca="false">IF(D148="","無個股值",IF(D146=0,"GW 帳無新增",IF(AND(In!$E$117="Verified",FALSE()),IF(ABS(D148-1)&lt;=tolband,"對得上","偏差"),"證據不足（"&amp;IF(ABS(D148-1)&lt;=tolband,"帶內","帶外")&amp;"）")))</f>
        <v>無個股值</v>
      </c>
      <c r="E149" s="0" t="str">
        <f aca="false">IF(E148="","無個股值",IF(E146=0,"GW 帳無新增",IF(AND(In!$E$117="Verified",FALSE()),IF(ABS(E148-1)&lt;=tolband,"對得上","偏差"),"證據不足（"&amp;IF(ABS(E148-1)&lt;=tolband,"帶內","帶外")&amp;"）")))</f>
        <v>無個股值</v>
      </c>
      <c r="F149" s="0" t="str">
        <f aca="false">IF(F148="","無個股值",IF(F146=0,"GW 帳無新增",IF(AND(In!$E$117="Verified",FALSE()),IF(ABS(F148-1)&lt;=tolband,"對得上","偏差"),"證據不足（"&amp;IF(ABS(F148-1)&lt;=tolband,"帶內","帶外")&amp;"）")))</f>
        <v>無個股值</v>
      </c>
      <c r="G149" s="0" t="str">
        <f aca="false">IF(G148="","無個股值",IF(G146=0,"GW 帳無新增",IF(AND(In!$E$117="Verified",FALSE()),IF(ABS(G148-1)&lt;=tolband,"對得上","偏差"),"證據不足（"&amp;IF(ABS(G148-1)&lt;=tolband,"帶內","帶外")&amp;"）")))</f>
        <v>無個股值</v>
      </c>
      <c r="H149" s="0" t="str">
        <f aca="false">IF(H148="","無個股值",IF(H146=0,"GW 帳無新增",IF(AND(In!$E$117="Verified",FALSE()),IF(ABS(H148-1)&lt;=tolband,"對得上","偏差"),"證據不足（"&amp;IF(ABS(H148-1)&lt;=tolband,"帶內","帶外")&amp;"）")))</f>
        <v>無個股值</v>
      </c>
      <c r="I149" s="0" t="str">
        <f aca="false">IF(I148="","無個股值",IF(I146=0,"GW 帳無新增",IF(AND(In!$E$117="Verified",FALSE()),IF(ABS(I148-1)&lt;=tolband,"對得上","偏差"),"證據不足（"&amp;IF(ABS(I148-1)&lt;=tolband,"帶內","帶外")&amp;"）")))</f>
        <v>無個股值</v>
      </c>
      <c r="J149" s="0" t="str">
        <f aca="false">IF(J148="","無個股值",IF(J146=0,"GW 帳無新增",IF(AND(In!$E$117="Verified",FALSE()),IF(ABS(J148-1)&lt;=tolband,"對得上","偏差"),"證據不足（"&amp;IF(ABS(J148-1)&lt;=tolband,"帶內","帶外")&amp;"）")))</f>
        <v>無個股值</v>
      </c>
      <c r="K149" s="0" t="str">
        <f aca="false">IF(K148="","無個股值",IF(K146=0,"GW 帳無新增",IF(AND(In!$E$117="Verified",FALSE()),IF(ABS(K148-1)&lt;=tolband,"對得上","偏差"),"證據不足（"&amp;IF(ABS(K148-1)&lt;=tolband,"帶內","帶外")&amp;"）")))</f>
        <v>無個股值</v>
      </c>
      <c r="L149" s="0" t="str">
        <f aca="false">IF(L148="","無個股值",IF(L146=0,"GW 帳無新增",IF(AND(In!$E$117="Verified",FALSE()),IF(ABS(L148-1)&lt;=tolband,"對得上","偏差"),"證據不足（"&amp;IF(ABS(L148-1)&lt;=tolband,"帶內","帶外")&amp;"）")))</f>
        <v>無個股值</v>
      </c>
      <c r="M149" s="0" t="str">
        <f aca="false">IF(M148="","無個股值",IF(M146=0,"GW 帳無新增",IF(AND(In!$E$117="Verified",FALSE()),IF(ABS(M148-1)&lt;=tolband,"對得上","偏差"),"證據不足（"&amp;IF(ABS(M148-1)&lt;=tolband,"帶內","帶外")&amp;"）")))</f>
        <v>無個股值</v>
      </c>
    </row>
    <row r="151" customFormat="false" ht="17.15" hidden="false" customHeight="false" outlineLevel="0" collapsed="false">
      <c r="A151" s="21" t="s">
        <v>1128</v>
      </c>
      <c r="B151" s="20" t="s">
        <v>1129</v>
      </c>
      <c r="N151" s="5" t="s">
        <v>1489</v>
      </c>
    </row>
    <row r="152" customFormat="false" ht="17.15" hidden="false" customHeight="false" outlineLevel="0" collapsed="false">
      <c r="A152" s="5" t="s">
        <v>1473</v>
      </c>
      <c r="C152" s="0" t="s">
        <v>325</v>
      </c>
      <c r="D152" s="32" t="n">
        <f aca="false">Players!D302*((1-Players!D304)*D$8+Players!D304*TK_NonNV_Hold_AMD*TK_CapexIT_VR200)</f>
        <v>0</v>
      </c>
      <c r="E152" s="32" t="n">
        <f aca="false">Players!E302*((1-Players!E304)*E$8+Players!E304*TK_NonNV_Hold_AMD*TK_CapexIT_VR200)</f>
        <v>0</v>
      </c>
      <c r="F152" s="32" t="n">
        <f aca="false">Players!F302*((1-Players!F304)*F$8+Players!F304*TK_NonNV_Hold_AMD*TK_CapexIT_VR200)</f>
        <v>0</v>
      </c>
      <c r="G152" s="32" t="n">
        <f aca="false">Players!G302*((1-Players!G304)*G$8+Players!G304*TK_NonNV_Hold_AMD*TK_CapexIT_VR200)</f>
        <v>0</v>
      </c>
      <c r="H152" s="32" t="n">
        <f aca="false">Players!H302*((1-Players!H304)*H$8+Players!H304*TK_NonNV_Hold_AMD*TK_CapexIT_VR200)</f>
        <v>0</v>
      </c>
      <c r="I152" s="32" t="n">
        <f aca="false">Players!I302*((1-Players!I304)*I$8+Players!I304*TK_NonNV_Hold_AMD*TK_CapexIT_VR200)</f>
        <v>0</v>
      </c>
      <c r="J152" s="32" t="n">
        <f aca="false">Players!J302*((1-Players!J304)*J$8+Players!J304*TK_NonNV_Hold_AMD*TK_CapexIT_VR200)</f>
        <v>0</v>
      </c>
      <c r="K152" s="32" t="n">
        <f aca="false">Players!K302*((1-Players!K304)*K$8+Players!K304*TK_NonNV_Hold_AMD*TK_CapexIT_VR200)</f>
        <v>0</v>
      </c>
      <c r="L152" s="32" t="n">
        <f aca="false">Players!L302*((1-Players!L304)*L$8+Players!L304*TK_NonNV_Hold_AMD*TK_CapexIT_VR200)</f>
        <v>0</v>
      </c>
      <c r="M152" s="32" t="n">
        <f aca="false">Players!M302*((1-Players!M304)*M$8+Players!M304*TK_NonNV_Hold_AMD*TK_CapexIT_VR200)</f>
        <v>0</v>
      </c>
    </row>
    <row r="153" customFormat="false" ht="15" hidden="false" customHeight="false" outlineLevel="0" collapsed="false">
      <c r="A153" s="5" t="s">
        <v>1474</v>
      </c>
      <c r="C153" s="0" t="s">
        <v>325</v>
      </c>
      <c r="D153" s="32" t="n">
        <f aca="false">Players!D302*((1-Players!D304)*D$9+Players!D304*TK_NonNV_Hold_AMD*TK_CapexFacility_VR200)</f>
        <v>0</v>
      </c>
      <c r="E153" s="32" t="n">
        <f aca="false">Players!E302*((1-Players!E304)*E$9+Players!E304*TK_NonNV_Hold_AMD*TK_CapexFacility_VR200)</f>
        <v>0</v>
      </c>
      <c r="F153" s="32" t="n">
        <f aca="false">Players!F302*((1-Players!F304)*F$9+Players!F304*TK_NonNV_Hold_AMD*TK_CapexFacility_VR200)</f>
        <v>0</v>
      </c>
      <c r="G153" s="32" t="n">
        <f aca="false">Players!G302*((1-Players!G304)*G$9+Players!G304*TK_NonNV_Hold_AMD*TK_CapexFacility_VR200)</f>
        <v>0</v>
      </c>
      <c r="H153" s="32" t="n">
        <f aca="false">Players!H302*((1-Players!H304)*H$9+Players!H304*TK_NonNV_Hold_AMD*TK_CapexFacility_VR200)</f>
        <v>0</v>
      </c>
      <c r="I153" s="32" t="n">
        <f aca="false">Players!I302*((1-Players!I304)*I$9+Players!I304*TK_NonNV_Hold_AMD*TK_CapexFacility_VR200)</f>
        <v>0</v>
      </c>
      <c r="J153" s="32" t="n">
        <f aca="false">Players!J302*((1-Players!J304)*J$9+Players!J304*TK_NonNV_Hold_AMD*TK_CapexFacility_VR200)</f>
        <v>0</v>
      </c>
      <c r="K153" s="32" t="n">
        <f aca="false">Players!K302*((1-Players!K304)*K$9+Players!K304*TK_NonNV_Hold_AMD*TK_CapexFacility_VR200)</f>
        <v>0</v>
      </c>
      <c r="L153" s="32" t="n">
        <f aca="false">Players!L302*((1-Players!L304)*L$9+Players!L304*TK_NonNV_Hold_AMD*TK_CapexFacility_VR200)</f>
        <v>0</v>
      </c>
      <c r="M153" s="32" t="n">
        <f aca="false">Players!M302*((1-Players!M304)*M$9+Players!M304*TK_NonNV_Hold_AMD*TK_CapexFacility_VR200)</f>
        <v>0</v>
      </c>
    </row>
    <row r="154" customFormat="false" ht="17.15" hidden="false" customHeight="false" outlineLevel="0" collapsed="false">
      <c r="A154" s="5" t="s">
        <v>1475</v>
      </c>
      <c r="C154" s="0" t="s">
        <v>325</v>
      </c>
      <c r="D154" s="32" t="n">
        <f aca="false">D153*$D$5+E153*$D$6+F153*$D$7</f>
        <v>0</v>
      </c>
      <c r="E154" s="32" t="n">
        <f aca="false">E153*$D$5+F153*$D$6+G153*$D$7</f>
        <v>0</v>
      </c>
      <c r="F154" s="32" t="n">
        <f aca="false">F153*$D$5+G153*$D$6+H153*$D$7</f>
        <v>0</v>
      </c>
      <c r="G154" s="32" t="n">
        <f aca="false">G153*$D$5+H153*$D$6+I153*$D$7</f>
        <v>0</v>
      </c>
      <c r="H154" s="32" t="n">
        <f aca="false">H153*$D$5+I153*$D$6+J153*$D$7</f>
        <v>0</v>
      </c>
      <c r="I154" s="32" t="n">
        <f aca="false">I153*$D$5+J153*$D$6+K153*$D$7</f>
        <v>0</v>
      </c>
      <c r="J154" s="32" t="n">
        <f aca="false">J153*$D$5+K153*$D$6+L153*$D$7</f>
        <v>0</v>
      </c>
      <c r="K154" s="32" t="n">
        <f aca="false">K153*$D$5+L153*$D$6+M153*$D$7</f>
        <v>0</v>
      </c>
      <c r="L154" s="32" t="n">
        <f aca="false">L153*$D$5+M153*$D$6</f>
        <v>0</v>
      </c>
      <c r="M154" s="32" t="n">
        <f aca="false">M153*$D$5</f>
        <v>0</v>
      </c>
    </row>
    <row r="155" customFormat="false" ht="17.15" hidden="false" customHeight="false" outlineLevel="0" collapsed="false">
      <c r="A155" s="5" t="s">
        <v>1476</v>
      </c>
      <c r="C155" s="0" t="s">
        <v>325</v>
      </c>
      <c r="D155" s="32" t="n">
        <f aca="false">D152+D154</f>
        <v>0</v>
      </c>
      <c r="E155" s="32" t="n">
        <f aca="false">E152+E154</f>
        <v>0</v>
      </c>
      <c r="F155" s="32" t="n">
        <f aca="false">F152+F154</f>
        <v>0</v>
      </c>
      <c r="G155" s="32" t="n">
        <f aca="false">G152+G154</f>
        <v>0</v>
      </c>
      <c r="H155" s="32" t="n">
        <f aca="false">H152+H154</f>
        <v>0</v>
      </c>
      <c r="I155" s="32" t="n">
        <f aca="false">I152+I154</f>
        <v>0</v>
      </c>
      <c r="J155" s="32" t="n">
        <f aca="false">J152+J154</f>
        <v>0</v>
      </c>
      <c r="K155" s="32" t="n">
        <f aca="false">K152+K154</f>
        <v>0</v>
      </c>
      <c r="L155" s="32" t="n">
        <f aca="false">L152+L154</f>
        <v>0</v>
      </c>
      <c r="M155" s="32" t="n">
        <f aca="false">M152+M154</f>
        <v>0</v>
      </c>
    </row>
    <row r="156" customFormat="false" ht="17.15" hidden="false" customHeight="false" outlineLevel="0" collapsed="false">
      <c r="A156" s="5" t="s">
        <v>1477</v>
      </c>
      <c r="C156" s="0" t="s">
        <v>325</v>
      </c>
      <c r="D156" s="32" t="n">
        <f aca="false">D155*12/12+N(In!H134)</f>
        <v>0</v>
      </c>
      <c r="E156" s="32" t="n">
        <f aca="false">E155*12/12+D155*(12-12)/12+N(In!I134)</f>
        <v>0</v>
      </c>
      <c r="F156" s="32" t="n">
        <f aca="false">F155*12/12+E155*(12-12)/12+N(In!J134)</f>
        <v>0</v>
      </c>
      <c r="G156" s="32" t="n">
        <f aca="false">G155*12/12+F155*(12-12)/12+N(In!K134)</f>
        <v>0</v>
      </c>
      <c r="H156" s="32" t="n">
        <f aca="false">H155*12/12+G155*(12-12)/12+N(In!L134)</f>
        <v>0</v>
      </c>
      <c r="I156" s="32" t="n">
        <f aca="false">I155*12/12+H155*(12-12)/12+N(In!M134)</f>
        <v>0</v>
      </c>
      <c r="J156" s="32" t="n">
        <f aca="false">J155*12/12+I155*(12-12)/12+N(In!N134)</f>
        <v>0</v>
      </c>
      <c r="K156" s="32" t="n">
        <f aca="false">K155*12/12+J155*(12-12)/12+N(In!O134)</f>
        <v>0</v>
      </c>
      <c r="L156" s="32" t="n">
        <f aca="false">L155*12/12+K155*(12-12)/12+N(In!P134)</f>
        <v>0</v>
      </c>
      <c r="M156" s="32" t="n">
        <f aca="false">M155*12/12+L155*(12-12)/12+N(In!Q134)</f>
        <v>0</v>
      </c>
    </row>
    <row r="157" customFormat="false" ht="17.15" hidden="false" customHeight="false" outlineLevel="0" collapsed="false">
      <c r="A157" s="5" t="s">
        <v>1478</v>
      </c>
      <c r="C157" s="0" t="s">
        <v>325</v>
      </c>
      <c r="D157" s="19" t="str">
        <f aca="false">IF(In!H118="","",In!H118)</f>
        <v/>
      </c>
      <c r="E157" s="19" t="str">
        <f aca="false">IF(In!I118="","",In!I118)</f>
        <v/>
      </c>
      <c r="F157" s="19" t="str">
        <f aca="false">IF(In!J118="","",In!J118)</f>
        <v/>
      </c>
      <c r="G157" s="19" t="str">
        <f aca="false">IF(In!K118="","",In!K118)</f>
        <v/>
      </c>
      <c r="H157" s="19" t="str">
        <f aca="false">IF(In!L118="","",In!L118)</f>
        <v/>
      </c>
      <c r="I157" s="19" t="str">
        <f aca="false">IF(In!M118="","",In!M118)</f>
        <v/>
      </c>
      <c r="J157" s="19" t="str">
        <f aca="false">IF(In!N118="","",In!N118)</f>
        <v/>
      </c>
      <c r="K157" s="19" t="str">
        <f aca="false">IF(In!O118="","",In!O118)</f>
        <v/>
      </c>
      <c r="L157" s="19" t="str">
        <f aca="false">IF(In!P118="","",In!P118)</f>
        <v/>
      </c>
      <c r="M157" s="19" t="str">
        <f aca="false">IF(In!Q118="","",In!Q118)</f>
        <v/>
      </c>
    </row>
    <row r="158" customFormat="false" ht="17.15" hidden="false" customHeight="false" outlineLevel="0" collapsed="false">
      <c r="A158" s="5" t="s">
        <v>1479</v>
      </c>
      <c r="C158" s="0" t="s">
        <v>34</v>
      </c>
      <c r="D158" s="29" t="str">
        <f aca="false">IF(OR(D157="",N(D157)=0),"",D156/D157)</f>
        <v/>
      </c>
      <c r="E158" s="29" t="str">
        <f aca="false">IF(OR(E157="",N(E157)=0),"",E156/E157)</f>
        <v/>
      </c>
      <c r="F158" s="29" t="str">
        <f aca="false">IF(OR(F157="",N(F157)=0),"",F156/F157)</f>
        <v/>
      </c>
      <c r="G158" s="29" t="str">
        <f aca="false">IF(OR(G157="",N(G157)=0),"",G156/G157)</f>
        <v/>
      </c>
      <c r="H158" s="29" t="str">
        <f aca="false">IF(OR(H157="",N(H157)=0),"",H156/H157)</f>
        <v/>
      </c>
      <c r="I158" s="29" t="str">
        <f aca="false">IF(OR(I157="",N(I157)=0),"",I156/I157)</f>
        <v/>
      </c>
      <c r="J158" s="29" t="str">
        <f aca="false">IF(OR(J157="",N(J157)=0),"",J156/J157)</f>
        <v/>
      </c>
      <c r="K158" s="29" t="str">
        <f aca="false">IF(OR(K157="",N(K157)=0),"",K156/K157)</f>
        <v/>
      </c>
      <c r="L158" s="29" t="str">
        <f aca="false">IF(OR(L157="",N(L157)=0),"",L156/L157)</f>
        <v/>
      </c>
      <c r="M158" s="29" t="str">
        <f aca="false">IF(OR(M157="",N(M157)=0),"",M156/M157)</f>
        <v/>
      </c>
    </row>
    <row r="159" customFormat="false" ht="15" hidden="false" customHeight="false" outlineLevel="0" collapsed="false">
      <c r="A159" s="5" t="s">
        <v>1480</v>
      </c>
      <c r="C159" s="0" t="s">
        <v>33</v>
      </c>
      <c r="D159" s="0" t="str">
        <f aca="false">IF(D158="","無個股值",IF(D156=0,"GW 帳無新增",IF(AND(In!$E$118="Verified",FALSE()),IF(ABS(D158-1)&lt;=tolband,"對得上","偏差"),"證據不足（"&amp;IF(ABS(D158-1)&lt;=tolband,"帶內","帶外")&amp;"）")))</f>
        <v>無個股值</v>
      </c>
      <c r="E159" s="0" t="str">
        <f aca="false">IF(E158="","無個股值",IF(E156=0,"GW 帳無新增",IF(AND(In!$E$118="Verified",FALSE()),IF(ABS(E158-1)&lt;=tolband,"對得上","偏差"),"證據不足（"&amp;IF(ABS(E158-1)&lt;=tolband,"帶內","帶外")&amp;"）")))</f>
        <v>無個股值</v>
      </c>
      <c r="F159" s="0" t="str">
        <f aca="false">IF(F158="","無個股值",IF(F156=0,"GW 帳無新增",IF(AND(In!$E$118="Verified",FALSE()),IF(ABS(F158-1)&lt;=tolband,"對得上","偏差"),"證據不足（"&amp;IF(ABS(F158-1)&lt;=tolband,"帶內","帶外")&amp;"）")))</f>
        <v>無個股值</v>
      </c>
      <c r="G159" s="0" t="str">
        <f aca="false">IF(G158="","無個股值",IF(G156=0,"GW 帳無新增",IF(AND(In!$E$118="Verified",FALSE()),IF(ABS(G158-1)&lt;=tolband,"對得上","偏差"),"證據不足（"&amp;IF(ABS(G158-1)&lt;=tolband,"帶內","帶外")&amp;"）")))</f>
        <v>無個股值</v>
      </c>
      <c r="H159" s="0" t="str">
        <f aca="false">IF(H158="","無個股值",IF(H156=0,"GW 帳無新增",IF(AND(In!$E$118="Verified",FALSE()),IF(ABS(H158-1)&lt;=tolband,"對得上","偏差"),"證據不足（"&amp;IF(ABS(H158-1)&lt;=tolband,"帶內","帶外")&amp;"）")))</f>
        <v>無個股值</v>
      </c>
      <c r="I159" s="0" t="str">
        <f aca="false">IF(I158="","無個股值",IF(I156=0,"GW 帳無新增",IF(AND(In!$E$118="Verified",FALSE()),IF(ABS(I158-1)&lt;=tolband,"對得上","偏差"),"證據不足（"&amp;IF(ABS(I158-1)&lt;=tolband,"帶內","帶外")&amp;"）")))</f>
        <v>無個股值</v>
      </c>
      <c r="J159" s="0" t="str">
        <f aca="false">IF(J158="","無個股值",IF(J156=0,"GW 帳無新增",IF(AND(In!$E$118="Verified",FALSE()),IF(ABS(J158-1)&lt;=tolband,"對得上","偏差"),"證據不足（"&amp;IF(ABS(J158-1)&lt;=tolband,"帶內","帶外")&amp;"）")))</f>
        <v>無個股值</v>
      </c>
      <c r="K159" s="0" t="str">
        <f aca="false">IF(K158="","無個股值",IF(K156=0,"GW 帳無新增",IF(AND(In!$E$118="Verified",FALSE()),IF(ABS(K158-1)&lt;=tolband,"對得上","偏差"),"證據不足（"&amp;IF(ABS(K158-1)&lt;=tolband,"帶內","帶外")&amp;"）")))</f>
        <v>無個股值</v>
      </c>
      <c r="L159" s="0" t="str">
        <f aca="false">IF(L158="","無個股值",IF(L156=0,"GW 帳無新增",IF(AND(In!$E$118="Verified",FALSE()),IF(ABS(L158-1)&lt;=tolband,"對得上","偏差"),"證據不足（"&amp;IF(ABS(L158-1)&lt;=tolband,"帶內","帶外")&amp;"）")))</f>
        <v>無個股值</v>
      </c>
      <c r="M159" s="0" t="str">
        <f aca="false">IF(M158="","無個股值",IF(M156=0,"GW 帳無新增",IF(AND(In!$E$118="Verified",FALSE()),IF(ABS(M158-1)&lt;=tolband,"對得上","偏差"),"證據不足（"&amp;IF(ABS(M158-1)&lt;=tolband,"帶內","帶外")&amp;"）")))</f>
        <v>無個股值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1490</v>
      </c>
    </row>
    <row r="3" customFormat="false" ht="15" hidden="false" customHeight="false" outlineLevel="0" collapsed="false">
      <c r="A3" s="6" t="s">
        <v>13</v>
      </c>
      <c r="B3" s="6" t="s">
        <v>1259</v>
      </c>
      <c r="C3" s="6" t="s">
        <v>1416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6" t="s">
        <v>18</v>
      </c>
    </row>
    <row r="4" customFormat="false" ht="17.15" hidden="false" customHeight="false" outlineLevel="0" collapsed="false">
      <c r="A4" s="0" t="s">
        <v>1491</v>
      </c>
      <c r="B4" s="0" t="s">
        <v>1423</v>
      </c>
      <c r="G4" s="29" t="n">
        <f aca="false">SIL_In!$G$30</f>
        <v>23.3995380420639</v>
      </c>
      <c r="H4" s="29" t="n">
        <f aca="false">SIL_In!$H$30</f>
        <v>41.6467658260637</v>
      </c>
      <c r="I4" s="29" t="n">
        <f aca="false">SIL_In!$I$30</f>
        <v>52.792138191248</v>
      </c>
      <c r="J4" s="29" t="n">
        <f aca="false">SIL_In!$J$30</f>
        <v>60.1385917361115</v>
      </c>
      <c r="N4" s="20" t="s">
        <v>1492</v>
      </c>
    </row>
    <row r="5" customFormat="false" ht="17.15" hidden="false" customHeight="false" outlineLevel="0" collapsed="false">
      <c r="A5" s="0" t="s">
        <v>1493</v>
      </c>
      <c r="B5" s="0" t="s">
        <v>1423</v>
      </c>
      <c r="C5" s="0" t="s">
        <v>1263</v>
      </c>
      <c r="D5" s="29" t="n">
        <f aca="false">Deploy!D19</f>
        <v>0</v>
      </c>
      <c r="E5" s="29" t="n">
        <f aca="false">Deploy!E19</f>
        <v>1.61980834349181</v>
      </c>
      <c r="F5" s="29" t="n">
        <f aca="false">Deploy!F19</f>
        <v>9.04912429484715</v>
      </c>
      <c r="G5" s="29" t="n">
        <f aca="false">Deploy!G19</f>
        <v>12.3153714610592</v>
      </c>
      <c r="H5" s="29" t="n">
        <f aca="false">Deploy!H19</f>
        <v>20.1572539260371</v>
      </c>
      <c r="I5" s="29" t="n">
        <f aca="false">Deploy!I19</f>
        <v>25.2972927993498</v>
      </c>
      <c r="J5" s="29" t="n">
        <f aca="false">Deploy!J19</f>
        <v>27.9314681049025</v>
      </c>
      <c r="K5" s="29" t="n">
        <f aca="false">Deploy!K19</f>
        <v>28.580591340872</v>
      </c>
      <c r="L5" s="29" t="n">
        <f aca="false">Deploy!L19</f>
        <v>24.9494803667106</v>
      </c>
      <c r="M5" s="29" t="n">
        <f aca="false">Deploy!M19</f>
        <v>16.4568601332265</v>
      </c>
    </row>
    <row r="6" customFormat="false" ht="17.15" hidden="false" customHeight="false" outlineLevel="0" collapsed="false">
      <c r="A6" s="0" t="s">
        <v>1493</v>
      </c>
      <c r="B6" s="0" t="s">
        <v>1423</v>
      </c>
      <c r="C6" s="0" t="s">
        <v>1264</v>
      </c>
      <c r="D6" s="29" t="n">
        <f aca="false">Deploy!D20</f>
        <v>0</v>
      </c>
      <c r="E6" s="29" t="n">
        <f aca="false">Deploy!E20</f>
        <v>1.61980834349181</v>
      </c>
      <c r="F6" s="29" t="n">
        <f aca="false">Deploy!F20</f>
        <v>9.04912429484715</v>
      </c>
      <c r="G6" s="29" t="n">
        <f aca="false">Deploy!G20</f>
        <v>11.6509117618926</v>
      </c>
      <c r="H6" s="29" t="n">
        <f aca="false">Deploy!H20</f>
        <v>17.3119275214805</v>
      </c>
      <c r="I6" s="29" t="n">
        <f aca="false">Deploy!I20</f>
        <v>22.5690026631867</v>
      </c>
      <c r="J6" s="29" t="n">
        <f aca="false">Deploy!J20</f>
        <v>28.9691624264308</v>
      </c>
      <c r="K6" s="29" t="n">
        <f aca="false">Deploy!K20</f>
        <v>28.2340697745774</v>
      </c>
      <c r="L6" s="29" t="n">
        <f aca="false">Deploy!L20</f>
        <v>26.1302247871889</v>
      </c>
      <c r="M6" s="29" t="n">
        <f aca="false">Deploy!M20</f>
        <v>17.9430686740862</v>
      </c>
    </row>
    <row r="7" customFormat="false" ht="17.15" hidden="false" customHeight="false" outlineLevel="0" collapsed="false">
      <c r="A7" s="5" t="s">
        <v>1494</v>
      </c>
      <c r="B7" s="0" t="s">
        <v>1423</v>
      </c>
      <c r="G7" s="29" t="n">
        <f aca="false">IF(N(G4)=0,"",G5/G4)</f>
        <v>0.526308315955666</v>
      </c>
      <c r="H7" s="29" t="n">
        <f aca="false">IF(N(H4)=0,"",H5/H4)</f>
        <v>0.484005264903958</v>
      </c>
      <c r="I7" s="29" t="n">
        <f aca="false">IF(N(I4)=0,"",I5/I4)</f>
        <v>0.479186743823602</v>
      </c>
      <c r="J7" s="29" t="n">
        <f aca="false">IF(N(J4)=0,"",J5/J4)</f>
        <v>0.464451649075288</v>
      </c>
    </row>
    <row r="8" customFormat="false" ht="17.15" hidden="false" customHeight="false" outlineLevel="0" collapsed="false">
      <c r="A8" s="0" t="s">
        <v>1495</v>
      </c>
      <c r="B8" s="0" t="s">
        <v>1423</v>
      </c>
      <c r="C8" s="0" t="s">
        <v>1263</v>
      </c>
      <c r="D8" s="29" t="n">
        <f aca="false">Deploy!D68</f>
        <v>0</v>
      </c>
      <c r="E8" s="29" t="n">
        <f aca="false">Deploy!E68</f>
        <v>1.61980834349181</v>
      </c>
      <c r="F8" s="29" t="n">
        <f aca="false">Deploy!F68</f>
        <v>9.04912429484715</v>
      </c>
      <c r="G8" s="29" t="n">
        <f aca="false">Deploy!G68</f>
        <v>12.3153714610592</v>
      </c>
      <c r="H8" s="29" t="n">
        <f aca="false">Deploy!H68</f>
        <v>5.48764512450717</v>
      </c>
      <c r="I8" s="29" t="n">
        <f aca="false">Deploy!I68</f>
        <v>16.5880473942424</v>
      </c>
      <c r="J8" s="29" t="n">
        <f aca="false">Deploy!J68</f>
        <v>5.93502133099746</v>
      </c>
      <c r="K8" s="29" t="n">
        <f aca="false">Deploy!K68</f>
        <v>6.53861925191924</v>
      </c>
      <c r="L8" s="29" t="n">
        <f aca="false">Deploy!L68</f>
        <v>7.20495364687336</v>
      </c>
      <c r="M8" s="29" t="n">
        <f aca="false">Deploy!M68</f>
        <v>7.9406801542932</v>
      </c>
    </row>
    <row r="9" customFormat="false" ht="17.15" hidden="false" customHeight="false" outlineLevel="0" collapsed="false">
      <c r="A9" s="0" t="s">
        <v>1495</v>
      </c>
      <c r="B9" s="0" t="s">
        <v>1423</v>
      </c>
      <c r="C9" s="0" t="s">
        <v>1264</v>
      </c>
      <c r="D9" s="29" t="n">
        <f aca="false">Deploy!D69</f>
        <v>0</v>
      </c>
      <c r="E9" s="29" t="n">
        <f aca="false">Deploy!E69</f>
        <v>1.61980834349181</v>
      </c>
      <c r="F9" s="29" t="n">
        <f aca="false">Deploy!F69</f>
        <v>9.04912429484715</v>
      </c>
      <c r="G9" s="29" t="n">
        <f aca="false">Deploy!G69</f>
        <v>11.6509117618926</v>
      </c>
      <c r="H9" s="29" t="n">
        <f aca="false">Deploy!H69</f>
        <v>5.20950026021831</v>
      </c>
      <c r="I9" s="29" t="n">
        <f aca="false">Deploy!I69</f>
        <v>12.8166936637054</v>
      </c>
      <c r="J9" s="29" t="n">
        <f aca="false">Deploy!J69</f>
        <v>9.29797589206531</v>
      </c>
      <c r="K9" s="29" t="n">
        <f aca="false">Deploy!K69</f>
        <v>6.20006461575795</v>
      </c>
      <c r="L9" s="29" t="n">
        <f aca="false">Deploy!L69</f>
        <v>7.63364512775638</v>
      </c>
      <c r="M9" s="29" t="n">
        <f aca="false">Deploy!M69</f>
        <v>7.81192801549474</v>
      </c>
    </row>
    <row r="10" customFormat="false" ht="17.15" hidden="false" customHeight="false" outlineLevel="0" collapsed="false">
      <c r="A10" s="5" t="s">
        <v>1496</v>
      </c>
      <c r="B10" s="0" t="s">
        <v>1423</v>
      </c>
      <c r="G10" s="29" t="n">
        <f aca="false">IF(N(G4)=0,"",G8/G4)</f>
        <v>0.526308315955666</v>
      </c>
      <c r="H10" s="29" t="n">
        <f aca="false">IF(N(H4)=0,"",H8/H4)</f>
        <v>0.131766417287386</v>
      </c>
      <c r="I10" s="29" t="n">
        <f aca="false">IF(N(I4)=0,"",I8/I4)</f>
        <v>0.314214350139589</v>
      </c>
      <c r="J10" s="29" t="n">
        <f aca="false">IF(N(J4)=0,"",J8/J4)</f>
        <v>0.0986890640379537</v>
      </c>
    </row>
    <row r="12" customFormat="false" ht="17.15" hidden="false" customHeight="false" outlineLevel="0" collapsed="false">
      <c r="A12" s="0" t="s">
        <v>1491</v>
      </c>
      <c r="B12" s="0" t="s">
        <v>1427</v>
      </c>
      <c r="G12" s="29" t="n">
        <f aca="false">SIL_In!$G$31</f>
        <v>23.3995380420639</v>
      </c>
      <c r="H12" s="29" t="n">
        <f aca="false">SIL_In!$H$31</f>
        <v>41.6467658260637</v>
      </c>
      <c r="I12" s="29" t="n">
        <f aca="false">SIL_In!$I$31</f>
        <v>42.2337105529984</v>
      </c>
      <c r="J12" s="29" t="n">
        <f aca="false">SIL_In!$J$31</f>
        <v>51.1178029756948</v>
      </c>
      <c r="N12" s="20" t="s">
        <v>1492</v>
      </c>
    </row>
    <row r="13" customFormat="false" ht="17.15" hidden="false" customHeight="false" outlineLevel="0" collapsed="false">
      <c r="A13" s="0" t="s">
        <v>1493</v>
      </c>
      <c r="B13" s="0" t="s">
        <v>1427</v>
      </c>
      <c r="C13" s="0" t="s">
        <v>1263</v>
      </c>
      <c r="D13" s="29" t="n">
        <f aca="false">Deploy!D35</f>
        <v>0</v>
      </c>
      <c r="E13" s="29" t="n">
        <f aca="false">Deploy!E35</f>
        <v>1.61980834349181</v>
      </c>
      <c r="F13" s="29" t="n">
        <f aca="false">Deploy!F35</f>
        <v>9.04912429484715</v>
      </c>
      <c r="G13" s="29" t="n">
        <f aca="false">Deploy!G35</f>
        <v>12.3153714610592</v>
      </c>
      <c r="H13" s="29" t="n">
        <f aca="false">Deploy!H35</f>
        <v>20.1572539260371</v>
      </c>
      <c r="I13" s="29" t="n">
        <f aca="false">Deploy!I35</f>
        <v>20.2378342394798</v>
      </c>
      <c r="J13" s="29" t="n">
        <f aca="false">Deploy!J35</f>
        <v>23.7417478891671</v>
      </c>
      <c r="K13" s="29" t="n">
        <f aca="false">Deploy!K35</f>
        <v>24.0355692421623</v>
      </c>
      <c r="L13" s="29" t="n">
        <f aca="false">Deploy!L35</f>
        <v>21.1467959909579</v>
      </c>
      <c r="M13" s="29" t="n">
        <f aca="false">Deploy!M35</f>
        <v>14.6971716082197</v>
      </c>
    </row>
    <row r="14" customFormat="false" ht="17.15" hidden="false" customHeight="false" outlineLevel="0" collapsed="false">
      <c r="A14" s="0" t="s">
        <v>1493</v>
      </c>
      <c r="B14" s="0" t="s">
        <v>1427</v>
      </c>
      <c r="C14" s="0" t="s">
        <v>1264</v>
      </c>
      <c r="D14" s="29" t="n">
        <f aca="false">Deploy!D36</f>
        <v>0</v>
      </c>
      <c r="E14" s="29" t="n">
        <f aca="false">Deploy!E36</f>
        <v>1.61980834349181</v>
      </c>
      <c r="F14" s="29" t="n">
        <f aca="false">Deploy!F36</f>
        <v>9.04912429484715</v>
      </c>
      <c r="G14" s="29" t="n">
        <f aca="false">Deploy!G36</f>
        <v>11.6509117618926</v>
      </c>
      <c r="H14" s="29" t="n">
        <f aca="false">Deploy!H36</f>
        <v>17.3119275214805</v>
      </c>
      <c r="I14" s="29" t="n">
        <f aca="false">Deploy!I36</f>
        <v>18.394949351294</v>
      </c>
      <c r="J14" s="29" t="n">
        <f aca="false">Deploy!J36</f>
        <v>24.6272380004719</v>
      </c>
      <c r="K14" s="29" t="n">
        <f aca="false">Deploy!K36</f>
        <v>23.7512255053881</v>
      </c>
      <c r="L14" s="29" t="n">
        <f aca="false">Deploy!L36</f>
        <v>22.1976313099187</v>
      </c>
      <c r="M14" s="29" t="n">
        <f aca="false">Deploy!M36</f>
        <v>15.8258558751989</v>
      </c>
    </row>
    <row r="15" customFormat="false" ht="17.15" hidden="false" customHeight="false" outlineLevel="0" collapsed="false">
      <c r="A15" s="5" t="s">
        <v>1494</v>
      </c>
      <c r="B15" s="0" t="s">
        <v>1427</v>
      </c>
      <c r="G15" s="29" t="n">
        <f aca="false">IF(N(G12)=0,"",G13/G12)</f>
        <v>0.526308315955666</v>
      </c>
      <c r="H15" s="29" t="n">
        <f aca="false">IF(N(H12)=0,"",H13/H12)</f>
        <v>0.484005264903958</v>
      </c>
      <c r="I15" s="29" t="n">
        <f aca="false">IF(N(I12)=0,"",I13/I12)</f>
        <v>0.479186743823602</v>
      </c>
      <c r="J15" s="29" t="n">
        <f aca="false">IF(N(J12)=0,"",J13/J12)</f>
        <v>0.464451649075288</v>
      </c>
    </row>
    <row r="16" customFormat="false" ht="17.15" hidden="false" customHeight="false" outlineLevel="0" collapsed="false">
      <c r="A16" s="0" t="s">
        <v>1495</v>
      </c>
      <c r="B16" s="0" t="s">
        <v>1427</v>
      </c>
      <c r="C16" s="0" t="s">
        <v>1263</v>
      </c>
      <c r="D16" s="29" t="n">
        <f aca="false">Deploy!D84</f>
        <v>0</v>
      </c>
      <c r="E16" s="29" t="n">
        <f aca="false">Deploy!E84</f>
        <v>1.61980834349181</v>
      </c>
      <c r="F16" s="29" t="n">
        <f aca="false">Deploy!F84</f>
        <v>9.04912429484715</v>
      </c>
      <c r="G16" s="29" t="n">
        <f aca="false">Deploy!G84</f>
        <v>12.3153714610592</v>
      </c>
      <c r="H16" s="29" t="n">
        <f aca="false">Deploy!H84</f>
        <v>5.48764512450717</v>
      </c>
      <c r="I16" s="29" t="n">
        <f aca="false">Deploy!I84</f>
        <v>13.2704379153939</v>
      </c>
      <c r="J16" s="29" t="n">
        <f aca="false">Deploy!J84</f>
        <v>5.04476813134784</v>
      </c>
      <c r="K16" s="29" t="n">
        <f aca="false">Deploy!K84</f>
        <v>5.71245814313154</v>
      </c>
      <c r="L16" s="29" t="n">
        <f aca="false">Deploy!L84</f>
        <v>6.48011522219174</v>
      </c>
      <c r="M16" s="29" t="n">
        <f aca="false">Deploy!M84</f>
        <v>7.36479393309647</v>
      </c>
    </row>
    <row r="17" customFormat="false" ht="17.15" hidden="false" customHeight="false" outlineLevel="0" collapsed="false">
      <c r="A17" s="0" t="s">
        <v>1495</v>
      </c>
      <c r="B17" s="0" t="s">
        <v>1427</v>
      </c>
      <c r="C17" s="0" t="s">
        <v>1264</v>
      </c>
      <c r="D17" s="29" t="n">
        <f aca="false">Deploy!D85</f>
        <v>0</v>
      </c>
      <c r="E17" s="29" t="n">
        <f aca="false">Deploy!E85</f>
        <v>1.61980834349181</v>
      </c>
      <c r="F17" s="29" t="n">
        <f aca="false">Deploy!F85</f>
        <v>9.04912429484715</v>
      </c>
      <c r="G17" s="29" t="n">
        <f aca="false">Deploy!G85</f>
        <v>11.6509117618926</v>
      </c>
      <c r="H17" s="29" t="n">
        <f aca="false">Deploy!H85</f>
        <v>5.20950026021831</v>
      </c>
      <c r="I17" s="29" t="n">
        <f aca="false">Deploy!I85</f>
        <v>10.0796658436554</v>
      </c>
      <c r="J17" s="29" t="n">
        <f aca="false">Deploy!J85</f>
        <v>7.98293534355589</v>
      </c>
      <c r="K17" s="29" t="n">
        <f aca="false">Deploy!K85</f>
        <v>5.3626873910694</v>
      </c>
      <c r="L17" s="29" t="n">
        <f aca="false">Deploy!L85</f>
        <v>6.8910752333562</v>
      </c>
      <c r="M17" s="29" t="n">
        <f aca="false">Deploy!M85</f>
        <v>7.20997515868814</v>
      </c>
    </row>
    <row r="18" customFormat="false" ht="17.15" hidden="false" customHeight="false" outlineLevel="0" collapsed="false">
      <c r="A18" s="5" t="s">
        <v>1496</v>
      </c>
      <c r="B18" s="0" t="s">
        <v>1427</v>
      </c>
      <c r="G18" s="29" t="n">
        <f aca="false">IF(N(G12)=0,"",G16/G12)</f>
        <v>0.526308315955666</v>
      </c>
      <c r="H18" s="29" t="n">
        <f aca="false">IF(N(H12)=0,"",H16/H12)</f>
        <v>0.131766417287386</v>
      </c>
      <c r="I18" s="29" t="n">
        <f aca="false">IF(N(I12)=0,"",I16/I12)</f>
        <v>0.314214350139589</v>
      </c>
      <c r="J18" s="29" t="n">
        <f aca="false">IF(N(J12)=0,"",J16/J12)</f>
        <v>0.0986890640379536</v>
      </c>
    </row>
    <row r="20" customFormat="false" ht="17.15" hidden="false" customHeight="false" outlineLevel="0" collapsed="false">
      <c r="A20" s="0" t="s">
        <v>1491</v>
      </c>
      <c r="B20" s="0" t="s">
        <v>1429</v>
      </c>
      <c r="G20" s="29" t="n">
        <f aca="false">SIL_In!$G$32</f>
        <v>23.3995380420639</v>
      </c>
      <c r="H20" s="29" t="n">
        <f aca="false">SIL_In!$H$32</f>
        <v>41.6467658260637</v>
      </c>
      <c r="I20" s="29" t="n">
        <f aca="false">SIL_In!$I$32</f>
        <v>31.6752829147488</v>
      </c>
      <c r="J20" s="29" t="n">
        <f aca="false">SIL_In!$J$32</f>
        <v>36.0831550416669</v>
      </c>
      <c r="N20" s="20" t="s">
        <v>1492</v>
      </c>
    </row>
    <row r="21" customFormat="false" ht="17.15" hidden="false" customHeight="false" outlineLevel="0" collapsed="false">
      <c r="A21" s="0" t="s">
        <v>1493</v>
      </c>
      <c r="B21" s="0" t="s">
        <v>1429</v>
      </c>
      <c r="C21" s="0" t="s">
        <v>1263</v>
      </c>
      <c r="D21" s="29" t="n">
        <f aca="false">Deploy!D51</f>
        <v>0</v>
      </c>
      <c r="E21" s="29" t="n">
        <f aca="false">Deploy!E51</f>
        <v>1.61980834349181</v>
      </c>
      <c r="F21" s="29" t="n">
        <f aca="false">Deploy!F51</f>
        <v>9.04912429484715</v>
      </c>
      <c r="G21" s="29" t="n">
        <f aca="false">Deploy!G51</f>
        <v>12.3153714610592</v>
      </c>
      <c r="H21" s="29" t="n">
        <f aca="false">Deploy!H51</f>
        <v>20.1572539260371</v>
      </c>
      <c r="I21" s="29" t="n">
        <f aca="false">Deploy!I51</f>
        <v>15.1783756796099</v>
      </c>
      <c r="J21" s="29" t="n">
        <f aca="false">Deploy!J51</f>
        <v>16.7588808629415</v>
      </c>
      <c r="K21" s="29" t="n">
        <f aca="false">Deploy!K51</f>
        <v>16.7295036859268</v>
      </c>
      <c r="L21" s="29" t="n">
        <f aca="false">Deploy!L51</f>
        <v>15.2478293784383</v>
      </c>
      <c r="M21" s="29" t="n">
        <f aca="false">Deploy!M51</f>
        <v>12.1724358327346</v>
      </c>
    </row>
    <row r="22" customFormat="false" ht="17.15" hidden="false" customHeight="false" outlineLevel="0" collapsed="false">
      <c r="A22" s="0" t="s">
        <v>1493</v>
      </c>
      <c r="B22" s="0" t="s">
        <v>1429</v>
      </c>
      <c r="C22" s="0" t="s">
        <v>1264</v>
      </c>
      <c r="D22" s="29" t="n">
        <f aca="false">Deploy!D52</f>
        <v>0</v>
      </c>
      <c r="E22" s="29" t="n">
        <f aca="false">Deploy!E52</f>
        <v>1.61980834349181</v>
      </c>
      <c r="F22" s="29" t="n">
        <f aca="false">Deploy!F52</f>
        <v>9.04912429484715</v>
      </c>
      <c r="G22" s="29" t="n">
        <f aca="false">Deploy!G52</f>
        <v>11.6509117618926</v>
      </c>
      <c r="H22" s="29" t="n">
        <f aca="false">Deploy!H52</f>
        <v>17.3119275214805</v>
      </c>
      <c r="I22" s="29" t="n">
        <f aca="false">Deploy!I52</f>
        <v>14.2208960394013</v>
      </c>
      <c r="J22" s="29" t="n">
        <f aca="false">Deploy!J52</f>
        <v>17.9809674558585</v>
      </c>
      <c r="K22" s="29" t="n">
        <f aca="false">Deploy!K52</f>
        <v>16.5017196919043</v>
      </c>
      <c r="L22" s="29" t="n">
        <f aca="false">Deploy!L52</f>
        <v>16.0524223822488</v>
      </c>
      <c r="M22" s="29" t="n">
        <f aca="false">Deploy!M52</f>
        <v>12.7106297032328</v>
      </c>
    </row>
    <row r="23" customFormat="false" ht="17.15" hidden="false" customHeight="false" outlineLevel="0" collapsed="false">
      <c r="A23" s="5" t="s">
        <v>1494</v>
      </c>
      <c r="B23" s="0" t="s">
        <v>1429</v>
      </c>
      <c r="G23" s="29" t="n">
        <f aca="false">IF(N(G20)=0,"",G21/G20)</f>
        <v>0.526308315955666</v>
      </c>
      <c r="H23" s="29" t="n">
        <f aca="false">IF(N(H20)=0,"",H21/H20)</f>
        <v>0.484005264903958</v>
      </c>
      <c r="I23" s="29" t="n">
        <f aca="false">IF(N(I20)=0,"",I21/I20)</f>
        <v>0.479186743823602</v>
      </c>
      <c r="J23" s="29" t="n">
        <f aca="false">IF(N(J20)=0,"",J21/J20)</f>
        <v>0.464451649075288</v>
      </c>
    </row>
    <row r="24" customFormat="false" ht="17.15" hidden="false" customHeight="false" outlineLevel="0" collapsed="false">
      <c r="A24" s="0" t="s">
        <v>1495</v>
      </c>
      <c r="B24" s="0" t="s">
        <v>1429</v>
      </c>
      <c r="C24" s="0" t="s">
        <v>1263</v>
      </c>
      <c r="D24" s="29" t="n">
        <f aca="false">Deploy!D100</f>
        <v>0</v>
      </c>
      <c r="E24" s="29" t="n">
        <f aca="false">Deploy!E100</f>
        <v>1.61980834349181</v>
      </c>
      <c r="F24" s="29" t="n">
        <f aca="false">Deploy!F100</f>
        <v>9.04912429484715</v>
      </c>
      <c r="G24" s="29" t="n">
        <f aca="false">Deploy!G100</f>
        <v>12.3153714610592</v>
      </c>
      <c r="H24" s="29" t="n">
        <f aca="false">Deploy!H100</f>
        <v>5.48764512450717</v>
      </c>
      <c r="I24" s="29" t="n">
        <f aca="false">Deploy!I100</f>
        <v>9.95282843654542</v>
      </c>
      <c r="J24" s="29" t="n">
        <f aca="false">Deploy!J100</f>
        <v>3.56101279859848</v>
      </c>
      <c r="K24" s="29" t="n">
        <f aca="false">Deploy!K100</f>
        <v>4.42170294404857</v>
      </c>
      <c r="L24" s="29" t="n">
        <f aca="false">Deploy!L100</f>
        <v>5.43718809895686</v>
      </c>
      <c r="M24" s="29" t="n">
        <f aca="false">Deploy!M100</f>
        <v>6.65128921970489</v>
      </c>
    </row>
    <row r="25" customFormat="false" ht="17.15" hidden="false" customHeight="false" outlineLevel="0" collapsed="false">
      <c r="A25" s="0" t="s">
        <v>1495</v>
      </c>
      <c r="B25" s="0" t="s">
        <v>1429</v>
      </c>
      <c r="C25" s="0" t="s">
        <v>1264</v>
      </c>
      <c r="D25" s="29" t="n">
        <f aca="false">Deploy!D101</f>
        <v>0</v>
      </c>
      <c r="E25" s="29" t="n">
        <f aca="false">Deploy!E101</f>
        <v>1.61980834349181</v>
      </c>
      <c r="F25" s="29" t="n">
        <f aca="false">Deploy!F101</f>
        <v>9.04912429484715</v>
      </c>
      <c r="G25" s="29" t="n">
        <f aca="false">Deploy!G101</f>
        <v>11.6509117618926</v>
      </c>
      <c r="H25" s="29" t="n">
        <f aca="false">Deploy!H101</f>
        <v>5.20950026021831</v>
      </c>
      <c r="I25" s="29" t="n">
        <f aca="false">Deploy!I101</f>
        <v>7.34263802360537</v>
      </c>
      <c r="J25" s="29" t="n">
        <f aca="false">Deploy!J101</f>
        <v>6.17825553523918</v>
      </c>
      <c r="K25" s="29" t="n">
        <f aca="false">Deploy!K101</f>
        <v>4.03815716859483</v>
      </c>
      <c r="L25" s="29" t="n">
        <f aca="false">Deploy!L101</f>
        <v>5.80477819684789</v>
      </c>
      <c r="M25" s="29" t="n">
        <f aca="false">Deploy!M101</f>
        <v>6.43882152357399</v>
      </c>
    </row>
    <row r="26" customFormat="false" ht="17.15" hidden="false" customHeight="false" outlineLevel="0" collapsed="false">
      <c r="A26" s="5" t="s">
        <v>1496</v>
      </c>
      <c r="B26" s="0" t="s">
        <v>1429</v>
      </c>
      <c r="G26" s="29" t="n">
        <f aca="false">IF(N(G20)=0,"",G24/G20)</f>
        <v>0.526308315955666</v>
      </c>
      <c r="H26" s="29" t="n">
        <f aca="false">IF(N(H20)=0,"",H24/H20)</f>
        <v>0.131766417287386</v>
      </c>
      <c r="I26" s="29" t="n">
        <f aca="false">IF(N(I20)=0,"",I24/I20)</f>
        <v>0.314214350139589</v>
      </c>
      <c r="J26" s="29" t="n">
        <f aca="false">IF(N(J20)=0,"",J24/J20)</f>
        <v>0.0986890640379537</v>
      </c>
    </row>
    <row r="28" customFormat="false" ht="17.15" hidden="false" customHeight="false" outlineLevel="0" collapsed="false">
      <c r="A28" s="21" t="s">
        <v>1497</v>
      </c>
    </row>
    <row r="29" customFormat="false" ht="17.15" hidden="false" customHeight="false" outlineLevel="0" collapsed="false">
      <c r="A29" s="5" t="s">
        <v>1498</v>
      </c>
      <c r="B29" s="0" t="s">
        <v>1423</v>
      </c>
      <c r="C29" s="0" t="s">
        <v>1263</v>
      </c>
      <c r="D29" s="29" t="n">
        <f aca="false">Deploy!D13</f>
        <v>0.630578355681972</v>
      </c>
      <c r="E29" s="29" t="n">
        <f aca="false">Deploy!E13</f>
        <v>6.20938570515285</v>
      </c>
      <c r="F29" s="29" t="n">
        <f aca="false">Deploy!F13</f>
        <v>25.3371433333333</v>
      </c>
      <c r="G29" s="29" t="n">
        <f aca="false">Deploy!G13</f>
        <v>37.6525147943925</v>
      </c>
      <c r="H29" s="29" t="n">
        <f aca="false">Deploy!H13</f>
        <v>57.8097687204296</v>
      </c>
      <c r="I29" s="29" t="n">
        <f aca="false">Deploy!I13</f>
        <v>83.1070615197793</v>
      </c>
      <c r="J29" s="29" t="n">
        <f aca="false">Deploy!J13</f>
        <v>111.038529624682</v>
      </c>
      <c r="K29" s="29" t="n">
        <f aca="false">Deploy!K13</f>
        <v>139.619120965554</v>
      </c>
      <c r="L29" s="29" t="n">
        <f aca="false">Deploy!L13</f>
        <v>164.568601332265</v>
      </c>
      <c r="M29" s="29" t="n">
        <f aca="false">Deploy!M13</f>
        <v>181.025461465491</v>
      </c>
    </row>
    <row r="30" customFormat="false" ht="17.15" hidden="false" customHeight="false" outlineLevel="0" collapsed="false">
      <c r="A30" s="5" t="s">
        <v>1499</v>
      </c>
      <c r="B30" s="0" t="s">
        <v>1423</v>
      </c>
      <c r="C30" s="0" t="s">
        <v>1263</v>
      </c>
      <c r="D30" s="29" t="n">
        <f aca="false">D29</f>
        <v>0.630578355681972</v>
      </c>
      <c r="E30" s="29" t="n">
        <f aca="false">E29</f>
        <v>6.20938570515285</v>
      </c>
      <c r="F30" s="29" t="n">
        <f aca="false">F29</f>
        <v>25.3371433333333</v>
      </c>
      <c r="G30" s="29" t="n">
        <f aca="false">G29</f>
        <v>37.6525147943925</v>
      </c>
      <c r="H30" s="29" t="n">
        <f aca="false">H29+MAX(0,tgt_xai_27-N(Players!H182))</f>
        <v>65.8097687204296</v>
      </c>
      <c r="I30" s="29" t="n">
        <f aca="false">I29+MAX(0,tgt_xai_27-N(Players!H182))</f>
        <v>91.1070615197793</v>
      </c>
      <c r="J30" s="29" t="n">
        <f aca="false">J29+MAX(0,tgt_xai_27-N(Players!H182))</f>
        <v>119.038529624682</v>
      </c>
      <c r="K30" s="29" t="n">
        <f aca="false">K29+MAX(0,tgt_xai_27-N(Players!H182))</f>
        <v>147.619120965554</v>
      </c>
      <c r="L30" s="29" t="n">
        <f aca="false">L29+MAX(0,tgt_xai_27-N(Players!H182))</f>
        <v>172.568601332265</v>
      </c>
      <c r="M30" s="29" t="n">
        <f aca="false">M29+MAX(0,tgt_xai_27-N(Players!H182))</f>
        <v>189.025461465491</v>
      </c>
      <c r="N30" s="20" t="s">
        <v>1500</v>
      </c>
    </row>
    <row r="31" customFormat="false" ht="17.15" hidden="false" customHeight="false" outlineLevel="0" collapsed="false">
      <c r="A31" s="5" t="s">
        <v>1501</v>
      </c>
      <c r="B31" s="0" t="s">
        <v>1423</v>
      </c>
      <c r="C31" s="0" t="s">
        <v>1263</v>
      </c>
      <c r="D31" s="29" t="n">
        <f aca="false">D29</f>
        <v>0.630578355681972</v>
      </c>
      <c r="E31" s="29" t="n">
        <f aca="false">E29</f>
        <v>6.20938570515285</v>
      </c>
      <c r="F31" s="29" t="n">
        <f aca="false">F29</f>
        <v>25.3371433333333</v>
      </c>
      <c r="G31" s="29" t="n">
        <f aca="false">G29</f>
        <v>37.6525147943925</v>
      </c>
      <c r="H31" s="29" t="n">
        <f aca="false">H29+(CapexGW!H147-CapexGW!H144)</f>
        <v>55.9584421947594</v>
      </c>
      <c r="I31" s="29" t="n">
        <f aca="false">I29+(CapexGW!H147-CapexGW!H144)+(CapexGW!I147-CapexGW!I144)</f>
        <v>78.7383139660573</v>
      </c>
      <c r="J31" s="29" t="n">
        <f aca="false">J29+(CapexGW!H147-CapexGW!H144)+(CapexGW!I147-CapexGW!I144)+(CapexGW!J147-CapexGW!J144)</f>
        <v>103.857788332853</v>
      </c>
      <c r="K31" s="29" t="n">
        <f aca="false">K29+(CapexGW!H147-CapexGW!H144)+(CapexGW!I147-CapexGW!I144)+(CapexGW!J147-CapexGW!J144)</f>
        <v>132.438379673725</v>
      </c>
      <c r="L31" s="29" t="n">
        <f aca="false">L29+(CapexGW!H147-CapexGW!H144)+(CapexGW!I147-CapexGW!I144)+(CapexGW!J147-CapexGW!J144)</f>
        <v>157.387860040436</v>
      </c>
      <c r="M31" s="29" t="n">
        <f aca="false">M29+(CapexGW!H147-CapexGW!H144)+(CapexGW!I147-CapexGW!I144)+(CapexGW!J147-CapexGW!J144)</f>
        <v>173.844720173663</v>
      </c>
      <c r="N31" s="20" t="s">
        <v>1502</v>
      </c>
    </row>
    <row r="32" customFormat="false" ht="17.15" hidden="false" customHeight="false" outlineLevel="0" collapsed="false">
      <c r="A32" s="5" t="s">
        <v>1503</v>
      </c>
      <c r="B32" s="0" t="s">
        <v>1423</v>
      </c>
      <c r="C32" s="0" t="s">
        <v>1263</v>
      </c>
      <c r="D32" s="29" t="n">
        <f aca="false">D29</f>
        <v>0.630578355681972</v>
      </c>
      <c r="E32" s="29" t="n">
        <f aca="false">E29</f>
        <v>6.20938570515285</v>
      </c>
      <c r="F32" s="29" t="n">
        <f aca="false">F29</f>
        <v>25.3371433333333</v>
      </c>
      <c r="G32" s="29" t="n">
        <f aca="false">G29</f>
        <v>37.6525147943925</v>
      </c>
      <c r="H32" s="29" t="n">
        <f aca="false">H29+(CapexGW!H148-CapexGW!H144)</f>
        <v>59.5942575184125</v>
      </c>
      <c r="I32" s="29" t="n">
        <f aca="false">I29+(CapexGW!H148-CapexGW!H144)+(CapexGW!I148-CapexGW!I144)</f>
        <v>87.3354972546483</v>
      </c>
      <c r="J32" s="29" t="n">
        <f aca="false">J29+(CapexGW!H148-CapexGW!H144)+(CapexGW!I148-CapexGW!I144)+(CapexGW!J148-CapexGW!J144)</f>
        <v>117.997392791673</v>
      </c>
      <c r="K32" s="29" t="n">
        <f aca="false">K29+(CapexGW!H148-CapexGW!H144)+(CapexGW!I148-CapexGW!I144)+(CapexGW!J148-CapexGW!J144)</f>
        <v>146.577984132545</v>
      </c>
      <c r="L32" s="29" t="n">
        <f aca="false">L29+(CapexGW!H148-CapexGW!H144)+(CapexGW!I148-CapexGW!I144)+(CapexGW!J148-CapexGW!J144)</f>
        <v>171.527464499256</v>
      </c>
      <c r="M32" s="29" t="n">
        <f aca="false">M29+(CapexGW!H148-CapexGW!H144)+(CapexGW!I148-CapexGW!I144)+(CapexGW!J148-CapexGW!J144)</f>
        <v>187.984324632483</v>
      </c>
      <c r="N32" s="20" t="s">
        <v>1502</v>
      </c>
    </row>
    <row r="33" customFormat="false" ht="17.15" hidden="false" customHeight="false" outlineLevel="0" collapsed="false">
      <c r="A33" s="5" t="s">
        <v>1504</v>
      </c>
      <c r="B33" s="0" t="s">
        <v>1423</v>
      </c>
      <c r="C33" s="0" t="s">
        <v>1263</v>
      </c>
      <c r="D33" s="29" t="n">
        <f aca="false">D29</f>
        <v>0.630578355681972</v>
      </c>
      <c r="E33" s="29" t="n">
        <f aca="false">E29</f>
        <v>6.20938570515285</v>
      </c>
      <c r="F33" s="29" t="n">
        <f aca="false">F29</f>
        <v>25.3371433333333</v>
      </c>
      <c r="G33" s="29" t="n">
        <f aca="false">G29</f>
        <v>37.6525147943925</v>
      </c>
      <c r="H33" s="29" t="n">
        <f aca="false">H29+(CapexGW!H149-CapexGW!H144)</f>
        <v>58.5852514206776</v>
      </c>
      <c r="I33" s="29" t="n">
        <f aca="false">I29+(CapexGW!H149-CapexGW!H144)+(CapexGW!I149-CapexGW!I144)</f>
        <v>84.4713919256298</v>
      </c>
      <c r="J33" s="29" t="n">
        <f aca="false">J29+(CapexGW!H149-CapexGW!H144)+(CapexGW!I149-CapexGW!I144)+(CapexGW!J149-CapexGW!J144)</f>
        <v>112.65261402028</v>
      </c>
      <c r="K33" s="29" t="n">
        <f aca="false">K29+(CapexGW!H149-CapexGW!H144)+(CapexGW!I149-CapexGW!I144)+(CapexGW!J149-CapexGW!J144)</f>
        <v>141.233205361152</v>
      </c>
      <c r="L33" s="29" t="n">
        <f aca="false">L29+(CapexGW!H149-CapexGW!H144)+(CapexGW!I149-CapexGW!I144)+(CapexGW!J149-CapexGW!J144)</f>
        <v>166.182685727862</v>
      </c>
      <c r="M33" s="29" t="n">
        <f aca="false">M29+(CapexGW!H149-CapexGW!H144)+(CapexGW!I149-CapexGW!I144)+(CapexGW!J149-CapexGW!J144)</f>
        <v>182.639545861089</v>
      </c>
      <c r="N33" s="20" t="s">
        <v>1502</v>
      </c>
    </row>
    <row r="34" customFormat="false" ht="17.15" hidden="false" customHeight="false" outlineLevel="0" collapsed="false">
      <c r="A34" s="5" t="s">
        <v>1505</v>
      </c>
      <c r="B34" s="0" t="s">
        <v>1423</v>
      </c>
      <c r="C34" s="0" t="s">
        <v>1263</v>
      </c>
      <c r="D34" s="29" t="n">
        <f aca="false">D29</f>
        <v>0.630578355681972</v>
      </c>
      <c r="E34" s="29" t="n">
        <f aca="false">E29</f>
        <v>6.20938570515285</v>
      </c>
      <c r="F34" s="29" t="n">
        <f aca="false">F29</f>
        <v>25.3371433333333</v>
      </c>
      <c r="G34" s="29" t="n">
        <f aca="false">G29</f>
        <v>37.6525147943925</v>
      </c>
      <c r="H34" s="29" t="n">
        <f aca="false">H29+(CapexGW!H150-CapexGW!H144)</f>
        <v>57.0342860201816</v>
      </c>
      <c r="I34" s="29" t="n">
        <f aca="false">I29+(CapexGW!H150-CapexGW!H144)+(CapexGW!I150-CapexGW!I144)</f>
        <v>81.7427311139289</v>
      </c>
      <c r="J34" s="29" t="n">
        <f aca="false">J29+(CapexGW!H150-CapexGW!H144)+(CapexGW!I150-CapexGW!I144)+(CapexGW!J150-CapexGW!J144)</f>
        <v>109.424445229084</v>
      </c>
      <c r="K34" s="29" t="n">
        <f aca="false">K29+(CapexGW!H150-CapexGW!H144)+(CapexGW!I150-CapexGW!I144)+(CapexGW!J150-CapexGW!J144)</f>
        <v>138.005036569956</v>
      </c>
      <c r="L34" s="29" t="n">
        <f aca="false">L29+(CapexGW!H150-CapexGW!H144)+(CapexGW!I150-CapexGW!I144)+(CapexGW!J150-CapexGW!J144)</f>
        <v>162.954516936667</v>
      </c>
      <c r="M34" s="29" t="n">
        <f aca="false">M29+(CapexGW!H150-CapexGW!H144)+(CapexGW!I150-CapexGW!I144)+(CapexGW!J150-CapexGW!J144)</f>
        <v>179.411377069893</v>
      </c>
      <c r="N34" s="20" t="s">
        <v>1502</v>
      </c>
    </row>
    <row r="36" customFormat="false" ht="17.15" hidden="false" customHeight="false" outlineLevel="0" collapsed="false">
      <c r="A36" s="5" t="s">
        <v>1506</v>
      </c>
    </row>
    <row r="37" customFormat="false" ht="17.15" hidden="false" customHeight="false" outlineLevel="0" collapsed="false">
      <c r="A37" s="0" t="s">
        <v>1507</v>
      </c>
    </row>
    <row r="38" customFormat="false" ht="17.15" hidden="false" customHeight="false" outlineLevel="0" collapsed="false">
      <c r="A38" s="0" t="s">
        <v>1508</v>
      </c>
    </row>
    <row r="39" customFormat="false" ht="17.15" hidden="false" customHeight="false" outlineLevel="0" collapsed="false">
      <c r="A39" s="0" t="s">
        <v>1509</v>
      </c>
    </row>
    <row r="40" customFormat="false" ht="17.15" hidden="false" customHeight="false" outlineLevel="0" collapsed="false">
      <c r="A40" s="0" t="s">
        <v>1510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1511</v>
      </c>
    </row>
    <row r="2" customFormat="false" ht="17.15" hidden="false" customHeight="false" outlineLevel="0" collapsed="false">
      <c r="A2" s="5" t="s">
        <v>1512</v>
      </c>
    </row>
    <row r="3" customFormat="false" ht="17.15" hidden="false" customHeight="false" outlineLevel="0" collapsed="false">
      <c r="A3" s="36" t="s">
        <v>1513</v>
      </c>
    </row>
    <row r="4" customFormat="false" ht="15" hidden="false" customHeight="false" outlineLevel="0" collapsed="false">
      <c r="A4" s="6" t="s">
        <v>1514</v>
      </c>
      <c r="B4" s="6" t="s">
        <v>13</v>
      </c>
      <c r="C4" s="6" t="s">
        <v>15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6" t="s">
        <v>1515</v>
      </c>
    </row>
    <row r="5" customFormat="false" ht="17.15" hidden="false" customHeight="false" outlineLevel="0" collapsed="false">
      <c r="A5" s="36" t="s">
        <v>1513</v>
      </c>
    </row>
    <row r="6" customFormat="false" ht="17.15" hidden="false" customHeight="false" outlineLevel="0" collapsed="false">
      <c r="A6" s="8" t="s">
        <v>1516</v>
      </c>
    </row>
    <row r="7" customFormat="false" ht="17.15" hidden="false" customHeight="false" outlineLevel="0" collapsed="false">
      <c r="A7" s="0" t="s">
        <v>1517</v>
      </c>
      <c r="B7" s="5" t="s">
        <v>1518</v>
      </c>
      <c r="C7" s="5" t="s">
        <v>439</v>
      </c>
      <c r="D7" s="35" t="n">
        <f aca="false">Deploy!E106</f>
        <v>1</v>
      </c>
      <c r="E7" s="35" t="n">
        <f aca="false">Deploy!F106</f>
        <v>1</v>
      </c>
      <c r="F7" s="35" t="n">
        <f aca="false">Deploy!G106</f>
        <v>1</v>
      </c>
      <c r="G7" s="35" t="n">
        <f aca="false">Deploy!H106</f>
        <v>0.272241702398698</v>
      </c>
      <c r="H7" s="35" t="n">
        <f aca="false">Deploy!I106</f>
        <v>0.65572421230262</v>
      </c>
      <c r="I7" s="35" t="n">
        <f aca="false">Deploy!J106</f>
        <v>0.212485119246408</v>
      </c>
      <c r="J7" s="35" t="n">
        <f aca="false">Deploy!K106</f>
        <v>0.228778305316889</v>
      </c>
      <c r="K7" s="35" t="n">
        <f aca="false">Deploy!L106</f>
        <v>0.288781711722009</v>
      </c>
      <c r="L7" s="35" t="n">
        <f aca="false">Deploy!M106</f>
        <v>0.482514895916319</v>
      </c>
      <c r="M7" s="20" t="s">
        <v>1519</v>
      </c>
    </row>
    <row r="8" customFormat="false" ht="17.15" hidden="false" customHeight="false" outlineLevel="0" collapsed="false">
      <c r="A8" s="8" t="s">
        <v>1520</v>
      </c>
    </row>
    <row r="9" customFormat="false" ht="17.15" hidden="false" customHeight="false" outlineLevel="0" collapsed="false">
      <c r="A9" s="0" t="s">
        <v>1521</v>
      </c>
      <c r="B9" s="5" t="s">
        <v>1522</v>
      </c>
      <c r="C9" s="0" t="s">
        <v>75</v>
      </c>
      <c r="D9" s="27" t="n">
        <f aca="false">Deploy!E13</f>
        <v>6.20938570515285</v>
      </c>
      <c r="E9" s="27" t="n">
        <f aca="false">Deploy!F13</f>
        <v>25.3371433333333</v>
      </c>
      <c r="F9" s="27" t="n">
        <f aca="false">Deploy!G13</f>
        <v>37.6525147943925</v>
      </c>
      <c r="G9" s="27" t="n">
        <f aca="false">Deploy!H13</f>
        <v>57.8097687204296</v>
      </c>
      <c r="H9" s="27" t="n">
        <f aca="false">Deploy!I13</f>
        <v>83.1070615197793</v>
      </c>
      <c r="I9" s="27" t="n">
        <f aca="false">Deploy!J13</f>
        <v>111.038529624682</v>
      </c>
      <c r="J9" s="27" t="n">
        <f aca="false">Deploy!K13</f>
        <v>139.619120965554</v>
      </c>
      <c r="K9" s="27" t="n">
        <f aca="false">Deploy!L13</f>
        <v>164.568601332265</v>
      </c>
      <c r="L9" s="27" t="n">
        <f aca="false">Deploy!M13</f>
        <v>181.025461465491</v>
      </c>
      <c r="M9" s="20" t="s">
        <v>1523</v>
      </c>
    </row>
    <row r="10" customFormat="false" ht="17.15" hidden="false" customHeight="false" outlineLevel="0" collapsed="false">
      <c r="A10" s="0" t="s">
        <v>1524</v>
      </c>
      <c r="B10" s="5" t="s">
        <v>1525</v>
      </c>
      <c r="C10" s="0" t="s">
        <v>75</v>
      </c>
      <c r="D10" s="27" t="n">
        <f aca="false">Deploy!E14</f>
        <v>6.20938570515285</v>
      </c>
      <c r="E10" s="27" t="n">
        <f aca="false">Deploy!F14</f>
        <v>25.3371433333333</v>
      </c>
      <c r="F10" s="27" t="n">
        <f aca="false">Deploy!G14</f>
        <v>36.988055095226</v>
      </c>
      <c r="G10" s="27" t="n">
        <f aca="false">Deploy!H14</f>
        <v>54.2999826167064</v>
      </c>
      <c r="H10" s="27" t="n">
        <f aca="false">Deploy!I14</f>
        <v>76.8689852798931</v>
      </c>
      <c r="I10" s="27" t="n">
        <f aca="false">Deploy!J14</f>
        <v>105.838147706324</v>
      </c>
      <c r="J10" s="27" t="n">
        <f aca="false">Deploy!K14</f>
        <v>134.072217480901</v>
      </c>
      <c r="K10" s="27" t="n">
        <f aca="false">Deploy!L14</f>
        <v>160.20244226809</v>
      </c>
      <c r="L10" s="27" t="n">
        <f aca="false">Deploy!M14</f>
        <v>178.145510942176</v>
      </c>
      <c r="M10" s="20" t="s">
        <v>1526</v>
      </c>
    </row>
    <row r="11" customFormat="false" ht="17.15" hidden="false" customHeight="false" outlineLevel="0" collapsed="false">
      <c r="A11" s="0" t="s">
        <v>1527</v>
      </c>
      <c r="B11" s="5" t="s">
        <v>1528</v>
      </c>
      <c r="C11" s="0" t="s">
        <v>75</v>
      </c>
      <c r="D11" s="27" t="n">
        <f aca="false">Deploy!E15</f>
        <v>6.20938570515285</v>
      </c>
      <c r="E11" s="27" t="n">
        <f aca="false">Deploy!F15</f>
        <v>25.3371433333333</v>
      </c>
      <c r="F11" s="27" t="n">
        <f aca="false">Deploy!G15</f>
        <v>36.988055095226</v>
      </c>
      <c r="G11" s="27" t="n">
        <f aca="false">Deploy!H15</f>
        <v>47.6909154877809</v>
      </c>
      <c r="H11" s="27" t="n">
        <f aca="false">Deploy!I15</f>
        <v>68.5611042146184</v>
      </c>
      <c r="I11" s="27" t="n">
        <f aca="false">Deploy!J15</f>
        <v>103.364477210369</v>
      </c>
      <c r="J11" s="27" t="n">
        <f aca="false">Deploy!K15</f>
        <v>134.072217480901</v>
      </c>
      <c r="K11" s="27" t="n">
        <f aca="false">Deploy!L15</f>
        <v>160.20244226809</v>
      </c>
      <c r="L11" s="27" t="n">
        <f aca="false">Deploy!M15</f>
        <v>178.145510942176</v>
      </c>
      <c r="M11" s="20" t="s">
        <v>1529</v>
      </c>
    </row>
    <row r="12" customFormat="false" ht="17.15" hidden="false" customHeight="false" outlineLevel="0" collapsed="false">
      <c r="A12" s="0" t="s">
        <v>1530</v>
      </c>
      <c r="B12" s="5" t="s">
        <v>1531</v>
      </c>
      <c r="C12" s="0" t="s">
        <v>75</v>
      </c>
      <c r="D12" s="27" t="n">
        <f aca="false">Deploy!E29</f>
        <v>6.20938570515285</v>
      </c>
      <c r="E12" s="27" t="n">
        <f aca="false">Deploy!F29</f>
        <v>25.3371433333333</v>
      </c>
      <c r="F12" s="27" t="n">
        <f aca="false">Deploy!G29</f>
        <v>37.6525147943925</v>
      </c>
      <c r="G12" s="27" t="n">
        <f aca="false">Deploy!H29</f>
        <v>57.8097687204296</v>
      </c>
      <c r="H12" s="27" t="n">
        <f aca="false">Deploy!I29</f>
        <v>78.0476029599094</v>
      </c>
      <c r="I12" s="27" t="n">
        <f aca="false">Deploy!J29</f>
        <v>101.789350849077</v>
      </c>
      <c r="J12" s="27" t="n">
        <f aca="false">Deploy!K29</f>
        <v>125.824920091239</v>
      </c>
      <c r="K12" s="27" t="n">
        <f aca="false">Deploy!L29</f>
        <v>146.971716082197</v>
      </c>
      <c r="L12" s="27" t="n">
        <f aca="false">Deploy!M29</f>
        <v>161.668887690416</v>
      </c>
      <c r="M12" s="20" t="s">
        <v>1532</v>
      </c>
    </row>
    <row r="13" customFormat="false" ht="17.15" hidden="false" customHeight="false" outlineLevel="0" collapsed="false">
      <c r="A13" s="0" t="s">
        <v>1533</v>
      </c>
      <c r="B13" s="5" t="s">
        <v>1534</v>
      </c>
      <c r="C13" s="0" t="s">
        <v>75</v>
      </c>
      <c r="D13" s="27" t="n">
        <f aca="false">Deploy!E30</f>
        <v>6.20938570515285</v>
      </c>
      <c r="E13" s="27" t="n">
        <f aca="false">Deploy!F30</f>
        <v>25.3371433333333</v>
      </c>
      <c r="F13" s="27" t="n">
        <f aca="false">Deploy!G30</f>
        <v>36.988055095226</v>
      </c>
      <c r="G13" s="27" t="n">
        <f aca="false">Deploy!H30</f>
        <v>54.2999826167064</v>
      </c>
      <c r="H13" s="27" t="n">
        <f aca="false">Deploy!I30</f>
        <v>72.6949319680004</v>
      </c>
      <c r="I13" s="27" t="n">
        <f aca="false">Deploy!J30</f>
        <v>97.3221699684723</v>
      </c>
      <c r="J13" s="27" t="n">
        <f aca="false">Deploy!K30</f>
        <v>121.07339547386</v>
      </c>
      <c r="K13" s="27" t="n">
        <f aca="false">Deploy!L30</f>
        <v>143.271026783779</v>
      </c>
      <c r="L13" s="27" t="n">
        <f aca="false">Deploy!M30</f>
        <v>159.096882658978</v>
      </c>
      <c r="M13" s="20" t="s">
        <v>1535</v>
      </c>
    </row>
    <row r="14" customFormat="false" ht="17.15" hidden="false" customHeight="false" outlineLevel="0" collapsed="false">
      <c r="A14" s="0" t="s">
        <v>1536</v>
      </c>
      <c r="B14" s="5" t="s">
        <v>1537</v>
      </c>
      <c r="C14" s="0" t="s">
        <v>75</v>
      </c>
      <c r="D14" s="27" t="n">
        <f aca="false">Deploy!E31</f>
        <v>6.20938570515285</v>
      </c>
      <c r="E14" s="27" t="n">
        <f aca="false">Deploy!F31</f>
        <v>25.3371433333333</v>
      </c>
      <c r="F14" s="27" t="n">
        <f aca="false">Deploy!G31</f>
        <v>36.988055095226</v>
      </c>
      <c r="G14" s="27" t="n">
        <f aca="false">Deploy!H31</f>
        <v>47.6909154877809</v>
      </c>
      <c r="H14" s="27" t="n">
        <f aca="false">Deploy!I31</f>
        <v>66.0566722274828</v>
      </c>
      <c r="I14" s="27" t="n">
        <f aca="false">Deploy!J31</f>
        <v>95.2026615717087</v>
      </c>
      <c r="J14" s="27" t="n">
        <f aca="false">Deploy!K31</f>
        <v>121.07339547386</v>
      </c>
      <c r="K14" s="27" t="n">
        <f aca="false">Deploy!L31</f>
        <v>143.271026783779</v>
      </c>
      <c r="L14" s="27" t="n">
        <f aca="false">Deploy!M31</f>
        <v>159.096882658978</v>
      </c>
      <c r="M14" s="20" t="s">
        <v>1538</v>
      </c>
    </row>
    <row r="15" customFormat="false" ht="17.15" hidden="false" customHeight="false" outlineLevel="0" collapsed="false">
      <c r="A15" s="0" t="s">
        <v>1539</v>
      </c>
      <c r="B15" s="5" t="s">
        <v>1540</v>
      </c>
      <c r="C15" s="0" t="s">
        <v>75</v>
      </c>
      <c r="D15" s="27" t="n">
        <f aca="false">Deploy!E45</f>
        <v>6.20938570515285</v>
      </c>
      <c r="E15" s="27" t="n">
        <f aca="false">Deploy!F45</f>
        <v>25.3371433333333</v>
      </c>
      <c r="F15" s="27" t="n">
        <f aca="false">Deploy!G45</f>
        <v>37.6525147943925</v>
      </c>
      <c r="G15" s="27" t="n">
        <f aca="false">Deploy!H45</f>
        <v>57.8097687204296</v>
      </c>
      <c r="H15" s="27" t="n">
        <f aca="false">Deploy!I45</f>
        <v>72.9881444000394</v>
      </c>
      <c r="I15" s="27" t="n">
        <f aca="false">Deploy!J45</f>
        <v>89.7470252629809</v>
      </c>
      <c r="J15" s="27" t="n">
        <f aca="false">Deploy!K45</f>
        <v>106.476528948908</v>
      </c>
      <c r="K15" s="27" t="n">
        <f aca="false">Deploy!L45</f>
        <v>121.724358327346</v>
      </c>
      <c r="L15" s="27" t="n">
        <f aca="false">Deploy!M45</f>
        <v>133.896794160081</v>
      </c>
      <c r="M15" s="20" t="s">
        <v>1541</v>
      </c>
    </row>
    <row r="16" customFormat="false" ht="17.15" hidden="false" customHeight="false" outlineLevel="0" collapsed="false">
      <c r="A16" s="0" t="s">
        <v>1542</v>
      </c>
      <c r="B16" s="5" t="s">
        <v>1543</v>
      </c>
      <c r="C16" s="0" t="s">
        <v>75</v>
      </c>
      <c r="D16" s="27" t="n">
        <f aca="false">Deploy!E46</f>
        <v>6.20938570515285</v>
      </c>
      <c r="E16" s="27" t="n">
        <f aca="false">Deploy!F46</f>
        <v>25.3371433333333</v>
      </c>
      <c r="F16" s="27" t="n">
        <f aca="false">Deploy!G46</f>
        <v>36.988055095226</v>
      </c>
      <c r="G16" s="27" t="n">
        <f aca="false">Deploy!H46</f>
        <v>54.2999826167064</v>
      </c>
      <c r="H16" s="27" t="n">
        <f aca="false">Deploy!I46</f>
        <v>68.5208786561077</v>
      </c>
      <c r="I16" s="27" t="n">
        <f aca="false">Deploy!J46</f>
        <v>86.5018461119662</v>
      </c>
      <c r="J16" s="27" t="n">
        <f aca="false">Deploy!K46</f>
        <v>103.003565803871</v>
      </c>
      <c r="K16" s="27" t="n">
        <f aca="false">Deploy!L46</f>
        <v>119.055988186119</v>
      </c>
      <c r="L16" s="27" t="n">
        <f aca="false">Deploy!M46</f>
        <v>131.766617889352</v>
      </c>
      <c r="M16" s="20" t="s">
        <v>1544</v>
      </c>
    </row>
    <row r="17" customFormat="false" ht="17.15" hidden="false" customHeight="false" outlineLevel="0" collapsed="false">
      <c r="A17" s="0" t="s">
        <v>1545</v>
      </c>
      <c r="B17" s="5" t="s">
        <v>1546</v>
      </c>
      <c r="C17" s="0" t="s">
        <v>75</v>
      </c>
      <c r="D17" s="27" t="n">
        <f aca="false">Deploy!E47</f>
        <v>6.20938570515285</v>
      </c>
      <c r="E17" s="27" t="n">
        <f aca="false">Deploy!F47</f>
        <v>25.3371433333333</v>
      </c>
      <c r="F17" s="27" t="n">
        <f aca="false">Deploy!G47</f>
        <v>36.988055095226</v>
      </c>
      <c r="G17" s="27" t="n">
        <f aca="false">Deploy!H47</f>
        <v>47.6909154877809</v>
      </c>
      <c r="H17" s="27" t="n">
        <f aca="false">Deploy!I47</f>
        <v>63.5522402403472</v>
      </c>
      <c r="I17" s="27" t="n">
        <f aca="false">Deploy!J47</f>
        <v>84.7364998143935</v>
      </c>
      <c r="J17" s="27" t="n">
        <f aca="false">Deploy!K47</f>
        <v>103.003565803871</v>
      </c>
      <c r="K17" s="27" t="n">
        <f aca="false">Deploy!L47</f>
        <v>119.055988186119</v>
      </c>
      <c r="L17" s="27" t="n">
        <f aca="false">Deploy!M47</f>
        <v>131.766617889352</v>
      </c>
      <c r="M17" s="20" t="s">
        <v>1547</v>
      </c>
    </row>
    <row r="18" customFormat="false" ht="17.15" hidden="false" customHeight="false" outlineLevel="0" collapsed="false">
      <c r="A18" s="0" t="s">
        <v>1548</v>
      </c>
      <c r="B18" s="5" t="s">
        <v>1549</v>
      </c>
      <c r="C18" s="0" t="s">
        <v>75</v>
      </c>
      <c r="D18" s="27" t="n">
        <f aca="false">Deploy!E16</f>
        <v>3.41998203041741</v>
      </c>
      <c r="E18" s="27" t="n">
        <f aca="false">Deploy!F16</f>
        <v>15.7732645192431</v>
      </c>
      <c r="F18" s="27" t="n">
        <f aca="false">Deploy!G16</f>
        <v>31.4948290638629</v>
      </c>
      <c r="G18" s="27" t="n">
        <f aca="false">Deploy!H16</f>
        <v>47.7311417574111</v>
      </c>
      <c r="H18" s="27" t="n">
        <f aca="false">Deploy!I16</f>
        <v>70.4584151201045</v>
      </c>
      <c r="I18" s="27" t="n">
        <f aca="false">Deploy!J16</f>
        <v>97.0727955722306</v>
      </c>
      <c r="J18" s="27" t="n">
        <f aca="false">Deploy!K16</f>
        <v>125.328825295118</v>
      </c>
      <c r="K18" s="27" t="n">
        <f aca="false">Deploy!L16</f>
        <v>152.093861148909</v>
      </c>
      <c r="L18" s="27" t="n">
        <f aca="false">Deploy!M16</f>
        <v>172.797031398878</v>
      </c>
      <c r="M18" s="20" t="s">
        <v>1550</v>
      </c>
    </row>
    <row r="19" customFormat="false" ht="17.15" hidden="false" customHeight="false" outlineLevel="0" collapsed="false">
      <c r="A19" s="0" t="s">
        <v>1551</v>
      </c>
      <c r="B19" s="5" t="s">
        <v>1552</v>
      </c>
      <c r="C19" s="0" t="s">
        <v>75</v>
      </c>
      <c r="D19" s="27" t="n">
        <f aca="false">Deploy!E17</f>
        <v>3.41998203041741</v>
      </c>
      <c r="E19" s="27" t="n">
        <f aca="false">Deploy!F17</f>
        <v>15.7732645192431</v>
      </c>
      <c r="F19" s="27" t="n">
        <f aca="false">Deploy!G17</f>
        <v>31.1625992142797</v>
      </c>
      <c r="G19" s="27" t="n">
        <f aca="false">Deploy!H17</f>
        <v>45.6440188559662</v>
      </c>
      <c r="H19" s="27" t="n">
        <f aca="false">Deploy!I17</f>
        <v>65.5844839482998</v>
      </c>
      <c r="I19" s="27" t="n">
        <f aca="false">Deploy!J17</f>
        <v>91.3535664931085</v>
      </c>
      <c r="J19" s="27" t="n">
        <f aca="false">Deploy!K17</f>
        <v>119.955182593613</v>
      </c>
      <c r="K19" s="27" t="n">
        <f aca="false">Deploy!L17</f>
        <v>147.137329874496</v>
      </c>
      <c r="L19" s="27" t="n">
        <f aca="false">Deploy!M17</f>
        <v>169.173976605133</v>
      </c>
      <c r="M19" s="20" t="s">
        <v>1553</v>
      </c>
    </row>
    <row r="20" customFormat="false" ht="17.15" hidden="false" customHeight="false" outlineLevel="0" collapsed="false">
      <c r="A20" s="0" t="s">
        <v>1554</v>
      </c>
      <c r="B20" s="5" t="s">
        <v>1555</v>
      </c>
      <c r="C20" s="0" t="s">
        <v>75</v>
      </c>
      <c r="D20" s="27" t="n">
        <f aca="false">Deploy!E18</f>
        <v>3.41998203041741</v>
      </c>
      <c r="E20" s="27" t="n">
        <f aca="false">Deploy!F18</f>
        <v>15.7732645192431</v>
      </c>
      <c r="F20" s="27" t="n">
        <f aca="false">Deploy!G18</f>
        <v>31.1625992142797</v>
      </c>
      <c r="G20" s="27" t="n">
        <f aca="false">Deploy!H18</f>
        <v>42.3394852915034</v>
      </c>
      <c r="H20" s="27" t="n">
        <f aca="false">Deploy!I18</f>
        <v>58.1260098511997</v>
      </c>
      <c r="I20" s="27" t="n">
        <f aca="false">Deploy!J18</f>
        <v>85.9627907124939</v>
      </c>
      <c r="J20" s="27" t="n">
        <f aca="false">Deploy!K18</f>
        <v>118.718347345635</v>
      </c>
      <c r="K20" s="27" t="n">
        <f aca="false">Deploy!L18</f>
        <v>147.137329874496</v>
      </c>
      <c r="L20" s="27" t="n">
        <f aca="false">Deploy!M18</f>
        <v>169.173976605133</v>
      </c>
      <c r="M20" s="20" t="s">
        <v>1556</v>
      </c>
    </row>
    <row r="21" customFormat="false" ht="17.15" hidden="false" customHeight="false" outlineLevel="0" collapsed="false">
      <c r="A21" s="0" t="s">
        <v>1557</v>
      </c>
      <c r="B21" s="5" t="s">
        <v>1558</v>
      </c>
      <c r="C21" s="0" t="s">
        <v>75</v>
      </c>
      <c r="D21" s="27" t="n">
        <f aca="false">Deploy!E32</f>
        <v>3.41998203041741</v>
      </c>
      <c r="E21" s="27" t="n">
        <f aca="false">Deploy!F32</f>
        <v>15.7732645192431</v>
      </c>
      <c r="F21" s="27" t="n">
        <f aca="false">Deploy!G32</f>
        <v>31.4948290638629</v>
      </c>
      <c r="G21" s="27" t="n">
        <f aca="false">Deploy!H32</f>
        <v>47.7311417574111</v>
      </c>
      <c r="H21" s="27" t="n">
        <f aca="false">Deploy!I32</f>
        <v>67.9286858401695</v>
      </c>
      <c r="I21" s="27" t="n">
        <f aca="false">Deploy!J32</f>
        <v>89.9184769044929</v>
      </c>
      <c r="J21" s="27" t="n">
        <f aca="false">Deploy!K32</f>
        <v>113.807135470158</v>
      </c>
      <c r="K21" s="27" t="n">
        <f aca="false">Deploy!L32</f>
        <v>136.398318086718</v>
      </c>
      <c r="L21" s="27" t="n">
        <f aca="false">Deploy!M32</f>
        <v>154.320301886307</v>
      </c>
      <c r="M21" s="20" t="s">
        <v>1559</v>
      </c>
    </row>
    <row r="22" customFormat="false" ht="17.15" hidden="false" customHeight="false" outlineLevel="0" collapsed="false">
      <c r="A22" s="0" t="s">
        <v>1560</v>
      </c>
      <c r="B22" s="5" t="s">
        <v>1561</v>
      </c>
      <c r="C22" s="0" t="s">
        <v>75</v>
      </c>
      <c r="D22" s="27" t="n">
        <f aca="false">Deploy!E33</f>
        <v>3.41998203041741</v>
      </c>
      <c r="E22" s="27" t="n">
        <f aca="false">Deploy!F33</f>
        <v>15.7732645192431</v>
      </c>
      <c r="F22" s="27" t="n">
        <f aca="false">Deploy!G33</f>
        <v>31.1625992142797</v>
      </c>
      <c r="G22" s="27" t="n">
        <f aca="false">Deploy!H33</f>
        <v>45.6440188559662</v>
      </c>
      <c r="H22" s="27" t="n">
        <f aca="false">Deploy!I33</f>
        <v>63.4974572923534</v>
      </c>
      <c r="I22" s="27" t="n">
        <f aca="false">Deploy!J33</f>
        <v>85.0085509682363</v>
      </c>
      <c r="J22" s="27" t="n">
        <f aca="false">Deploy!K33</f>
        <v>109.197782721166</v>
      </c>
      <c r="K22" s="27" t="n">
        <f aca="false">Deploy!L33</f>
        <v>132.17221112882</v>
      </c>
      <c r="L22" s="27" t="n">
        <f aca="false">Deploy!M33</f>
        <v>151.183954721378</v>
      </c>
      <c r="M22" s="20" t="s">
        <v>1562</v>
      </c>
    </row>
    <row r="23" customFormat="false" ht="17.15" hidden="false" customHeight="false" outlineLevel="0" collapsed="false">
      <c r="A23" s="0" t="s">
        <v>1563</v>
      </c>
      <c r="B23" s="5" t="s">
        <v>1564</v>
      </c>
      <c r="C23" s="0" t="s">
        <v>75</v>
      </c>
      <c r="D23" s="27" t="n">
        <f aca="false">Deploy!E34</f>
        <v>3.41998203041741</v>
      </c>
      <c r="E23" s="27" t="n">
        <f aca="false">Deploy!F34</f>
        <v>15.7732645192431</v>
      </c>
      <c r="F23" s="27" t="n">
        <f aca="false">Deploy!G34</f>
        <v>31.1625992142797</v>
      </c>
      <c r="G23" s="27" t="n">
        <f aca="false">Deploy!H34</f>
        <v>42.3394852915034</v>
      </c>
      <c r="H23" s="27" t="n">
        <f aca="false">Deploy!I34</f>
        <v>56.8737938576318</v>
      </c>
      <c r="I23" s="27" t="n">
        <f aca="false">Deploy!J34</f>
        <v>80.6296668995958</v>
      </c>
      <c r="J23" s="27" t="n">
        <f aca="false">Deploy!K34</f>
        <v>108.138028522785</v>
      </c>
      <c r="K23" s="27" t="n">
        <f aca="false">Deploy!L34</f>
        <v>132.17221112882</v>
      </c>
      <c r="L23" s="27" t="n">
        <f aca="false">Deploy!M34</f>
        <v>151.183954721378</v>
      </c>
      <c r="M23" s="20" t="s">
        <v>1565</v>
      </c>
    </row>
    <row r="24" customFormat="false" ht="17.15" hidden="false" customHeight="false" outlineLevel="0" collapsed="false">
      <c r="A24" s="0" t="s">
        <v>1566</v>
      </c>
      <c r="B24" s="5" t="s">
        <v>1567</v>
      </c>
      <c r="C24" s="0" t="s">
        <v>75</v>
      </c>
      <c r="D24" s="27" t="n">
        <f aca="false">Deploy!E48</f>
        <v>3.41998203041741</v>
      </c>
      <c r="E24" s="27" t="n">
        <f aca="false">Deploy!F48</f>
        <v>15.7732645192431</v>
      </c>
      <c r="F24" s="27" t="n">
        <f aca="false">Deploy!G48</f>
        <v>31.4948290638629</v>
      </c>
      <c r="G24" s="27" t="n">
        <f aca="false">Deploy!H48</f>
        <v>47.7311417574111</v>
      </c>
      <c r="H24" s="27" t="n">
        <f aca="false">Deploy!I48</f>
        <v>65.3989565602345</v>
      </c>
      <c r="I24" s="27" t="n">
        <f aca="false">Deploy!J48</f>
        <v>81.3675848315102</v>
      </c>
      <c r="J24" s="27" t="n">
        <f aca="false">Deploy!K48</f>
        <v>98.1117771059443</v>
      </c>
      <c r="K24" s="27" t="n">
        <f aca="false">Deploy!L48</f>
        <v>114.100443638127</v>
      </c>
      <c r="L24" s="27" t="n">
        <f aca="false">Deploy!M48</f>
        <v>127.810576243713</v>
      </c>
      <c r="M24" s="20" t="s">
        <v>1568</v>
      </c>
    </row>
    <row r="25" customFormat="false" ht="17.15" hidden="false" customHeight="false" outlineLevel="0" collapsed="false">
      <c r="A25" s="0" t="s">
        <v>1569</v>
      </c>
      <c r="B25" s="5" t="s">
        <v>1570</v>
      </c>
      <c r="C25" s="0" t="s">
        <v>75</v>
      </c>
      <c r="D25" s="27" t="n">
        <f aca="false">Deploy!E49</f>
        <v>3.41998203041741</v>
      </c>
      <c r="E25" s="27" t="n">
        <f aca="false">Deploy!F49</f>
        <v>15.7732645192431</v>
      </c>
      <c r="F25" s="27" t="n">
        <f aca="false">Deploy!G49</f>
        <v>31.1625992142797</v>
      </c>
      <c r="G25" s="27" t="n">
        <f aca="false">Deploy!H49</f>
        <v>45.6440188559662</v>
      </c>
      <c r="H25" s="27" t="n">
        <f aca="false">Deploy!I49</f>
        <v>61.4104306364071</v>
      </c>
      <c r="I25" s="27" t="n">
        <f aca="false">Deploy!J49</f>
        <v>77.5113623840369</v>
      </c>
      <c r="J25" s="27" t="n">
        <f aca="false">Deploy!K49</f>
        <v>94.7527059579183</v>
      </c>
      <c r="K25" s="27" t="n">
        <f aca="false">Deploy!L49</f>
        <v>111.029776994995</v>
      </c>
      <c r="L25" s="27" t="n">
        <f aca="false">Deploy!M49</f>
        <v>125.411303037736</v>
      </c>
      <c r="M25" s="20" t="s">
        <v>1571</v>
      </c>
    </row>
    <row r="26" customFormat="false" ht="17.15" hidden="false" customHeight="false" outlineLevel="0" collapsed="false">
      <c r="A26" s="0" t="s">
        <v>1572</v>
      </c>
      <c r="B26" s="5" t="s">
        <v>1573</v>
      </c>
      <c r="C26" s="0" t="s">
        <v>75</v>
      </c>
      <c r="D26" s="27" t="n">
        <f aca="false">Deploy!E50</f>
        <v>3.41998203041741</v>
      </c>
      <c r="E26" s="27" t="n">
        <f aca="false">Deploy!F50</f>
        <v>15.7732645192431</v>
      </c>
      <c r="F26" s="27" t="n">
        <f aca="false">Deploy!G50</f>
        <v>31.1625992142797</v>
      </c>
      <c r="G26" s="27" t="n">
        <f aca="false">Deploy!H50</f>
        <v>42.3394852915034</v>
      </c>
      <c r="H26" s="27" t="n">
        <f aca="false">Deploy!I50</f>
        <v>55.621577864064</v>
      </c>
      <c r="I26" s="27" t="n">
        <f aca="false">Deploy!J50</f>
        <v>74.1443700273703</v>
      </c>
      <c r="J26" s="27" t="n">
        <f aca="false">Deploy!K50</f>
        <v>93.870032809132</v>
      </c>
      <c r="K26" s="27" t="n">
        <f aca="false">Deploy!L50</f>
        <v>111.029776994995</v>
      </c>
      <c r="L26" s="27" t="n">
        <f aca="false">Deploy!M50</f>
        <v>125.411303037736</v>
      </c>
      <c r="M26" s="20" t="s">
        <v>1574</v>
      </c>
    </row>
    <row r="27" customFormat="false" ht="17.15" hidden="false" customHeight="false" outlineLevel="0" collapsed="false">
      <c r="A27" s="0" t="s">
        <v>1575</v>
      </c>
      <c r="B27" s="5" t="s">
        <v>1576</v>
      </c>
      <c r="C27" s="0" t="s">
        <v>75</v>
      </c>
      <c r="D27" s="27" t="n">
        <f aca="false">Deploy!E19</f>
        <v>1.61980834349181</v>
      </c>
      <c r="E27" s="27" t="n">
        <f aca="false">Deploy!F19</f>
        <v>9.04912429484715</v>
      </c>
      <c r="F27" s="27" t="n">
        <f aca="false">Deploy!G19</f>
        <v>12.3153714610592</v>
      </c>
      <c r="G27" s="27" t="n">
        <f aca="false">Deploy!H19</f>
        <v>20.1572539260371</v>
      </c>
      <c r="H27" s="27" t="n">
        <f aca="false">Deploy!I19</f>
        <v>25.2972927993498</v>
      </c>
      <c r="I27" s="27" t="n">
        <f aca="false">Deploy!J19</f>
        <v>27.9314681049025</v>
      </c>
      <c r="J27" s="27" t="n">
        <f aca="false">Deploy!K19</f>
        <v>28.580591340872</v>
      </c>
      <c r="K27" s="27" t="n">
        <f aca="false">Deploy!L19</f>
        <v>24.9494803667106</v>
      </c>
      <c r="L27" s="27" t="n">
        <f aca="false">Deploy!M19</f>
        <v>16.4568601332265</v>
      </c>
      <c r="M27" s="20" t="s">
        <v>1577</v>
      </c>
    </row>
    <row r="28" customFormat="false" ht="17.15" hidden="false" customHeight="false" outlineLevel="0" collapsed="false">
      <c r="A28" s="0" t="s">
        <v>1578</v>
      </c>
      <c r="B28" s="5" t="s">
        <v>1579</v>
      </c>
      <c r="C28" s="0" t="s">
        <v>75</v>
      </c>
      <c r="D28" s="27" t="n">
        <f aca="false">Deploy!E20</f>
        <v>1.61980834349181</v>
      </c>
      <c r="E28" s="27" t="n">
        <f aca="false">Deploy!F20</f>
        <v>9.04912429484715</v>
      </c>
      <c r="F28" s="27" t="n">
        <f aca="false">Deploy!G20</f>
        <v>11.6509117618926</v>
      </c>
      <c r="G28" s="27" t="n">
        <f aca="false">Deploy!H20</f>
        <v>17.3119275214805</v>
      </c>
      <c r="H28" s="27" t="n">
        <f aca="false">Deploy!I20</f>
        <v>22.5690026631867</v>
      </c>
      <c r="I28" s="27" t="n">
        <f aca="false">Deploy!J20</f>
        <v>28.9691624264308</v>
      </c>
      <c r="J28" s="27" t="n">
        <f aca="false">Deploy!K20</f>
        <v>28.2340697745774</v>
      </c>
      <c r="K28" s="27" t="n">
        <f aca="false">Deploy!L20</f>
        <v>26.1302247871889</v>
      </c>
      <c r="L28" s="27" t="n">
        <f aca="false">Deploy!M20</f>
        <v>17.9430686740862</v>
      </c>
      <c r="M28" s="20" t="s">
        <v>1580</v>
      </c>
    </row>
    <row r="29" customFormat="false" ht="17.15" hidden="false" customHeight="false" outlineLevel="0" collapsed="false">
      <c r="A29" s="0" t="s">
        <v>1581</v>
      </c>
      <c r="B29" s="5" t="s">
        <v>1582</v>
      </c>
      <c r="C29" s="0" t="s">
        <v>75</v>
      </c>
      <c r="D29" s="27" t="n">
        <f aca="false">Deploy!E21</f>
        <v>1.61980834349181</v>
      </c>
      <c r="E29" s="27" t="n">
        <f aca="false">Deploy!F21</f>
        <v>9.04912429484715</v>
      </c>
      <c r="F29" s="27" t="n">
        <f aca="false">Deploy!G21</f>
        <v>11.6509117618926</v>
      </c>
      <c r="G29" s="27" t="n">
        <f aca="false">Deploy!H21</f>
        <v>10.7028603925549</v>
      </c>
      <c r="H29" s="27" t="n">
        <f aca="false">Deploy!I21</f>
        <v>20.8701887268376</v>
      </c>
      <c r="I29" s="27" t="n">
        <f aca="false">Deploy!J21</f>
        <v>34.803372995751</v>
      </c>
      <c r="J29" s="27" t="n">
        <f aca="false">Deploy!K21</f>
        <v>30.7077402705319</v>
      </c>
      <c r="K29" s="27" t="n">
        <f aca="false">Deploy!L21</f>
        <v>26.1302247871889</v>
      </c>
      <c r="L29" s="27" t="n">
        <f aca="false">Deploy!M21</f>
        <v>17.9430686740862</v>
      </c>
      <c r="M29" s="20" t="s">
        <v>1583</v>
      </c>
    </row>
    <row r="30" customFormat="false" ht="17.15" hidden="false" customHeight="false" outlineLevel="0" collapsed="false">
      <c r="A30" s="0" t="s">
        <v>1584</v>
      </c>
      <c r="B30" s="5" t="s">
        <v>1585</v>
      </c>
      <c r="C30" s="0" t="s">
        <v>75</v>
      </c>
      <c r="D30" s="27" t="n">
        <f aca="false">Deploy!E35</f>
        <v>1.61980834349181</v>
      </c>
      <c r="E30" s="27" t="n">
        <f aca="false">Deploy!F35</f>
        <v>9.04912429484715</v>
      </c>
      <c r="F30" s="27" t="n">
        <f aca="false">Deploy!G35</f>
        <v>12.3153714610592</v>
      </c>
      <c r="G30" s="27" t="n">
        <f aca="false">Deploy!H35</f>
        <v>20.1572539260371</v>
      </c>
      <c r="H30" s="27" t="n">
        <f aca="false">Deploy!I35</f>
        <v>20.2378342394798</v>
      </c>
      <c r="I30" s="27" t="n">
        <f aca="false">Deploy!J35</f>
        <v>23.7417478891671</v>
      </c>
      <c r="J30" s="27" t="n">
        <f aca="false">Deploy!K35</f>
        <v>24.0355692421623</v>
      </c>
      <c r="K30" s="27" t="n">
        <f aca="false">Deploy!L35</f>
        <v>21.1467959909579</v>
      </c>
      <c r="L30" s="27" t="n">
        <f aca="false">Deploy!M35</f>
        <v>14.6971716082197</v>
      </c>
      <c r="M30" s="20" t="s">
        <v>1586</v>
      </c>
    </row>
    <row r="31" customFormat="false" ht="17.15" hidden="false" customHeight="false" outlineLevel="0" collapsed="false">
      <c r="A31" s="0" t="s">
        <v>1587</v>
      </c>
      <c r="B31" s="5" t="s">
        <v>1588</v>
      </c>
      <c r="C31" s="0" t="s">
        <v>75</v>
      </c>
      <c r="D31" s="27" t="n">
        <f aca="false">Deploy!E36</f>
        <v>1.61980834349181</v>
      </c>
      <c r="E31" s="27" t="n">
        <f aca="false">Deploy!F36</f>
        <v>9.04912429484715</v>
      </c>
      <c r="F31" s="27" t="n">
        <f aca="false">Deploy!G36</f>
        <v>11.6509117618926</v>
      </c>
      <c r="G31" s="27" t="n">
        <f aca="false">Deploy!H36</f>
        <v>17.3119275214805</v>
      </c>
      <c r="H31" s="27" t="n">
        <f aca="false">Deploy!I36</f>
        <v>18.394949351294</v>
      </c>
      <c r="I31" s="27" t="n">
        <f aca="false">Deploy!J36</f>
        <v>24.6272380004719</v>
      </c>
      <c r="J31" s="27" t="n">
        <f aca="false">Deploy!K36</f>
        <v>23.7512255053881</v>
      </c>
      <c r="K31" s="27" t="n">
        <f aca="false">Deploy!L36</f>
        <v>22.1976313099187</v>
      </c>
      <c r="L31" s="27" t="n">
        <f aca="false">Deploy!M36</f>
        <v>15.8258558751989</v>
      </c>
      <c r="M31" s="20" t="s">
        <v>1589</v>
      </c>
    </row>
    <row r="32" customFormat="false" ht="17.15" hidden="false" customHeight="false" outlineLevel="0" collapsed="false">
      <c r="A32" s="0" t="s">
        <v>1590</v>
      </c>
      <c r="B32" s="5" t="s">
        <v>1591</v>
      </c>
      <c r="C32" s="0" t="s">
        <v>75</v>
      </c>
      <c r="D32" s="27" t="n">
        <f aca="false">Deploy!E37</f>
        <v>1.61980834349181</v>
      </c>
      <c r="E32" s="27" t="n">
        <f aca="false">Deploy!F37</f>
        <v>9.04912429484715</v>
      </c>
      <c r="F32" s="27" t="n">
        <f aca="false">Deploy!G37</f>
        <v>11.6509117618926</v>
      </c>
      <c r="G32" s="27" t="n">
        <f aca="false">Deploy!H37</f>
        <v>10.7028603925549</v>
      </c>
      <c r="H32" s="27" t="n">
        <f aca="false">Deploy!I37</f>
        <v>18.365756739702</v>
      </c>
      <c r="I32" s="27" t="n">
        <f aca="false">Deploy!J37</f>
        <v>29.1459893442258</v>
      </c>
      <c r="J32" s="27" t="n">
        <f aca="false">Deploy!K37</f>
        <v>25.8707339021517</v>
      </c>
      <c r="K32" s="27" t="n">
        <f aca="false">Deploy!L37</f>
        <v>22.1976313099187</v>
      </c>
      <c r="L32" s="27" t="n">
        <f aca="false">Deploy!M37</f>
        <v>15.8258558751989</v>
      </c>
      <c r="M32" s="20" t="s">
        <v>1592</v>
      </c>
    </row>
    <row r="33" customFormat="false" ht="17.15" hidden="false" customHeight="false" outlineLevel="0" collapsed="false">
      <c r="A33" s="0" t="s">
        <v>1593</v>
      </c>
      <c r="B33" s="5" t="s">
        <v>1594</v>
      </c>
      <c r="C33" s="0" t="s">
        <v>75</v>
      </c>
      <c r="D33" s="27" t="n">
        <f aca="false">Deploy!E51</f>
        <v>1.61980834349181</v>
      </c>
      <c r="E33" s="27" t="n">
        <f aca="false">Deploy!F51</f>
        <v>9.04912429484715</v>
      </c>
      <c r="F33" s="27" t="n">
        <f aca="false">Deploy!G51</f>
        <v>12.3153714610592</v>
      </c>
      <c r="G33" s="27" t="n">
        <f aca="false">Deploy!H51</f>
        <v>20.1572539260371</v>
      </c>
      <c r="H33" s="27" t="n">
        <f aca="false">Deploy!I51</f>
        <v>15.1783756796099</v>
      </c>
      <c r="I33" s="27" t="n">
        <f aca="false">Deploy!J51</f>
        <v>16.7588808629415</v>
      </c>
      <c r="J33" s="27" t="n">
        <f aca="false">Deploy!K51</f>
        <v>16.7295036859268</v>
      </c>
      <c r="K33" s="27" t="n">
        <f aca="false">Deploy!L51</f>
        <v>15.2478293784383</v>
      </c>
      <c r="L33" s="27" t="n">
        <f aca="false">Deploy!M51</f>
        <v>12.1724358327346</v>
      </c>
      <c r="M33" s="20" t="s">
        <v>1595</v>
      </c>
    </row>
    <row r="34" customFormat="false" ht="17.15" hidden="false" customHeight="false" outlineLevel="0" collapsed="false">
      <c r="A34" s="0" t="s">
        <v>1596</v>
      </c>
      <c r="B34" s="5" t="s">
        <v>1597</v>
      </c>
      <c r="C34" s="0" t="s">
        <v>75</v>
      </c>
      <c r="D34" s="27" t="n">
        <f aca="false">Deploy!E52</f>
        <v>1.61980834349181</v>
      </c>
      <c r="E34" s="27" t="n">
        <f aca="false">Deploy!F52</f>
        <v>9.04912429484715</v>
      </c>
      <c r="F34" s="27" t="n">
        <f aca="false">Deploy!G52</f>
        <v>11.6509117618926</v>
      </c>
      <c r="G34" s="27" t="n">
        <f aca="false">Deploy!H52</f>
        <v>17.3119275214805</v>
      </c>
      <c r="H34" s="27" t="n">
        <f aca="false">Deploy!I52</f>
        <v>14.2208960394013</v>
      </c>
      <c r="I34" s="27" t="n">
        <f aca="false">Deploy!J52</f>
        <v>17.9809674558585</v>
      </c>
      <c r="J34" s="27" t="n">
        <f aca="false">Deploy!K52</f>
        <v>16.5017196919043</v>
      </c>
      <c r="K34" s="27" t="n">
        <f aca="false">Deploy!L52</f>
        <v>16.0524223822488</v>
      </c>
      <c r="L34" s="27" t="n">
        <f aca="false">Deploy!M52</f>
        <v>12.7106297032328</v>
      </c>
      <c r="M34" s="20" t="s">
        <v>1598</v>
      </c>
    </row>
    <row r="35" customFormat="false" ht="17.15" hidden="false" customHeight="false" outlineLevel="0" collapsed="false">
      <c r="A35" s="0" t="s">
        <v>1599</v>
      </c>
      <c r="B35" s="5" t="s">
        <v>1600</v>
      </c>
      <c r="C35" s="0" t="s">
        <v>75</v>
      </c>
      <c r="D35" s="27" t="n">
        <f aca="false">Deploy!E53</f>
        <v>1.61980834349181</v>
      </c>
      <c r="E35" s="27" t="n">
        <f aca="false">Deploy!F53</f>
        <v>9.04912429484715</v>
      </c>
      <c r="F35" s="27" t="n">
        <f aca="false">Deploy!G53</f>
        <v>11.6509117618926</v>
      </c>
      <c r="G35" s="27" t="n">
        <f aca="false">Deploy!H53</f>
        <v>10.7028603925549</v>
      </c>
      <c r="H35" s="27" t="n">
        <f aca="false">Deploy!I53</f>
        <v>15.8613247525663</v>
      </c>
      <c r="I35" s="27" t="n">
        <f aca="false">Deploy!J53</f>
        <v>21.1842595740463</v>
      </c>
      <c r="J35" s="27" t="n">
        <f aca="false">Deploy!K53</f>
        <v>18.267065989477</v>
      </c>
      <c r="K35" s="27" t="n">
        <f aca="false">Deploy!L53</f>
        <v>16.0524223822488</v>
      </c>
      <c r="L35" s="27" t="n">
        <f aca="false">Deploy!M53</f>
        <v>12.7106297032328</v>
      </c>
      <c r="M35" s="20" t="s">
        <v>1601</v>
      </c>
    </row>
    <row r="36" customFormat="false" ht="17.15" hidden="false" customHeight="false" outlineLevel="0" collapsed="false">
      <c r="A36" s="8" t="s">
        <v>1602</v>
      </c>
    </row>
    <row r="37" customFormat="false" ht="17.15" hidden="false" customHeight="false" outlineLevel="0" collapsed="false">
      <c r="A37" s="0" t="s">
        <v>1603</v>
      </c>
      <c r="B37" s="5" t="s">
        <v>1604</v>
      </c>
      <c r="C37" s="0" t="s">
        <v>75</v>
      </c>
      <c r="D37" s="27" t="n">
        <f aca="false">Deploy!E22</f>
        <v>0</v>
      </c>
      <c r="E37" s="27" t="n">
        <f aca="false">Deploy!F22</f>
        <v>0</v>
      </c>
      <c r="F37" s="27" t="n">
        <f aca="false">Deploy!G22</f>
        <v>0.66445969916655</v>
      </c>
      <c r="G37" s="27" t="n">
        <f aca="false">Deploy!H22</f>
        <v>3.50978610372314</v>
      </c>
      <c r="H37" s="27" t="n">
        <f aca="false">Deploy!I22</f>
        <v>6.23807623988623</v>
      </c>
      <c r="I37" s="27" t="n">
        <f aca="false">Deploy!J22</f>
        <v>5.20038191835795</v>
      </c>
      <c r="J37" s="27" t="n">
        <f aca="false">Deploy!K22</f>
        <v>5.5469034846526</v>
      </c>
      <c r="K37" s="27" t="n">
        <f aca="false">Deploy!L22</f>
        <v>4.36615906417435</v>
      </c>
      <c r="L37" s="27" t="n">
        <f aca="false">Deploy!M22</f>
        <v>2.87995052331465</v>
      </c>
      <c r="M37" s="20" t="s">
        <v>1605</v>
      </c>
    </row>
    <row r="38" customFormat="false" ht="17.15" hidden="false" customHeight="false" outlineLevel="0" collapsed="false">
      <c r="A38" s="0" t="s">
        <v>1606</v>
      </c>
      <c r="B38" s="5" t="s">
        <v>1607</v>
      </c>
      <c r="C38" s="0" t="s">
        <v>75</v>
      </c>
      <c r="D38" s="27" t="n">
        <f aca="false">Deploy!E23</f>
        <v>0</v>
      </c>
      <c r="E38" s="27" t="n">
        <f aca="false">Deploy!F23</f>
        <v>0</v>
      </c>
      <c r="F38" s="27" t="n">
        <f aca="false">Deploy!G23</f>
        <v>0.66445969916655</v>
      </c>
      <c r="G38" s="27" t="n">
        <f aca="false">Deploy!H23</f>
        <v>10.1188532326487</v>
      </c>
      <c r="H38" s="27" t="n">
        <f aca="false">Deploy!I23</f>
        <v>14.5459573051609</v>
      </c>
      <c r="I38" s="27" t="n">
        <f aca="false">Deploy!J23</f>
        <v>7.67405241431243</v>
      </c>
      <c r="J38" s="27" t="n">
        <f aca="false">Deploy!K23</f>
        <v>5.5469034846526</v>
      </c>
      <c r="K38" s="27" t="n">
        <f aca="false">Deploy!L23</f>
        <v>4.36615906417435</v>
      </c>
      <c r="L38" s="27" t="n">
        <f aca="false">Deploy!M23</f>
        <v>2.87995052331465</v>
      </c>
      <c r="M38" s="20" t="s">
        <v>1608</v>
      </c>
    </row>
    <row r="39" customFormat="false" ht="17.15" hidden="false" customHeight="false" outlineLevel="0" collapsed="false">
      <c r="A39" s="0" t="s">
        <v>1609</v>
      </c>
      <c r="B39" s="5" t="s">
        <v>1610</v>
      </c>
      <c r="C39" s="0" t="s">
        <v>75</v>
      </c>
      <c r="D39" s="27" t="n">
        <f aca="false">Deploy!E38</f>
        <v>0</v>
      </c>
      <c r="E39" s="27" t="n">
        <f aca="false">Deploy!F38</f>
        <v>0</v>
      </c>
      <c r="F39" s="27" t="n">
        <f aca="false">Deploy!G38</f>
        <v>0.66445969916655</v>
      </c>
      <c r="G39" s="27" t="n">
        <f aca="false">Deploy!H38</f>
        <v>3.50978610372314</v>
      </c>
      <c r="H39" s="27" t="n">
        <f aca="false">Deploy!I38</f>
        <v>5.35267099190898</v>
      </c>
      <c r="I39" s="27" t="n">
        <f aca="false">Deploy!J38</f>
        <v>4.46718088060425</v>
      </c>
      <c r="J39" s="27" t="n">
        <f aca="false">Deploy!K38</f>
        <v>4.75152461737838</v>
      </c>
      <c r="K39" s="27" t="n">
        <f aca="false">Deploy!L38</f>
        <v>3.70068929841764</v>
      </c>
      <c r="L39" s="27" t="n">
        <f aca="false">Deploy!M38</f>
        <v>2.57200503143844</v>
      </c>
      <c r="M39" s="20" t="s">
        <v>1611</v>
      </c>
    </row>
    <row r="40" customFormat="false" ht="17.15" hidden="false" customHeight="false" outlineLevel="0" collapsed="false">
      <c r="A40" s="0" t="s">
        <v>1612</v>
      </c>
      <c r="B40" s="5" t="s">
        <v>1613</v>
      </c>
      <c r="C40" s="0" t="s">
        <v>75</v>
      </c>
      <c r="D40" s="27" t="n">
        <f aca="false">Deploy!E39</f>
        <v>0</v>
      </c>
      <c r="E40" s="27" t="n">
        <f aca="false">Deploy!F39</f>
        <v>0</v>
      </c>
      <c r="F40" s="27" t="n">
        <f aca="false">Deploy!G39</f>
        <v>0.66445969916655</v>
      </c>
      <c r="G40" s="27" t="n">
        <f aca="false">Deploy!H39</f>
        <v>10.1188532326487</v>
      </c>
      <c r="H40" s="27" t="n">
        <f aca="false">Deploy!I39</f>
        <v>11.9909307324266</v>
      </c>
      <c r="I40" s="27" t="n">
        <f aca="false">Deploy!J39</f>
        <v>6.58668927736784</v>
      </c>
      <c r="J40" s="27" t="n">
        <f aca="false">Deploy!K39</f>
        <v>4.75152461737838</v>
      </c>
      <c r="K40" s="27" t="n">
        <f aca="false">Deploy!L39</f>
        <v>3.70068929841764</v>
      </c>
      <c r="L40" s="27" t="n">
        <f aca="false">Deploy!M39</f>
        <v>2.57200503143844</v>
      </c>
      <c r="M40" s="20" t="s">
        <v>1614</v>
      </c>
    </row>
    <row r="41" customFormat="false" ht="17.15" hidden="false" customHeight="false" outlineLevel="0" collapsed="false">
      <c r="A41" s="0" t="s">
        <v>1615</v>
      </c>
      <c r="B41" s="5" t="s">
        <v>1616</v>
      </c>
      <c r="C41" s="0" t="s">
        <v>75</v>
      </c>
      <c r="D41" s="27" t="n">
        <f aca="false">Deploy!E54</f>
        <v>0</v>
      </c>
      <c r="E41" s="27" t="n">
        <f aca="false">Deploy!F54</f>
        <v>0</v>
      </c>
      <c r="F41" s="27" t="n">
        <f aca="false">Deploy!G54</f>
        <v>0.66445969916655</v>
      </c>
      <c r="G41" s="27" t="n">
        <f aca="false">Deploy!H54</f>
        <v>3.50978610372314</v>
      </c>
      <c r="H41" s="27" t="n">
        <f aca="false">Deploy!I54</f>
        <v>4.46726574393173</v>
      </c>
      <c r="I41" s="27" t="n">
        <f aca="false">Deploy!J54</f>
        <v>3.24517915101477</v>
      </c>
      <c r="J41" s="27" t="n">
        <f aca="false">Deploy!K54</f>
        <v>3.47296314503718</v>
      </c>
      <c r="K41" s="27" t="n">
        <f aca="false">Deploy!L54</f>
        <v>2.6683701412267</v>
      </c>
      <c r="L41" s="27" t="n">
        <f aca="false">Deploy!M54</f>
        <v>2.13017627072855</v>
      </c>
      <c r="M41" s="20" t="s">
        <v>1617</v>
      </c>
    </row>
    <row r="42" customFormat="false" ht="17.15" hidden="false" customHeight="false" outlineLevel="0" collapsed="false">
      <c r="A42" s="0" t="s">
        <v>1618</v>
      </c>
      <c r="B42" s="5" t="s">
        <v>1619</v>
      </c>
      <c r="C42" s="0" t="s">
        <v>75</v>
      </c>
      <c r="D42" s="27" t="n">
        <f aca="false">Deploy!E55</f>
        <v>0</v>
      </c>
      <c r="E42" s="27" t="n">
        <f aca="false">Deploy!F55</f>
        <v>0</v>
      </c>
      <c r="F42" s="27" t="n">
        <f aca="false">Deploy!G55</f>
        <v>0.66445969916655</v>
      </c>
      <c r="G42" s="27" t="n">
        <f aca="false">Deploy!H55</f>
        <v>10.1188532326487</v>
      </c>
      <c r="H42" s="27" t="n">
        <f aca="false">Deploy!I55</f>
        <v>9.43590415969224</v>
      </c>
      <c r="I42" s="27" t="n">
        <f aca="false">Deploy!J55</f>
        <v>5.01052544858746</v>
      </c>
      <c r="J42" s="27" t="n">
        <f aca="false">Deploy!K55</f>
        <v>3.47296314503718</v>
      </c>
      <c r="K42" s="27" t="n">
        <f aca="false">Deploy!L55</f>
        <v>2.6683701412267</v>
      </c>
      <c r="L42" s="27" t="n">
        <f aca="false">Deploy!M55</f>
        <v>2.13017627072855</v>
      </c>
      <c r="M42" s="20" t="s">
        <v>1620</v>
      </c>
    </row>
    <row r="43" customFormat="false" ht="17.15" hidden="false" customHeight="false" outlineLevel="0" collapsed="false">
      <c r="A43" s="8" t="s">
        <v>1621</v>
      </c>
    </row>
    <row r="44" customFormat="false" ht="17.15" hidden="false" customHeight="false" outlineLevel="0" collapsed="false">
      <c r="A44" s="0" t="s">
        <v>1622</v>
      </c>
      <c r="B44" s="5" t="s">
        <v>1623</v>
      </c>
      <c r="C44" s="0" t="s">
        <v>75</v>
      </c>
      <c r="D44" s="27" t="n">
        <f aca="false">Deploy!E62</f>
        <v>6.20938570515285</v>
      </c>
      <c r="E44" s="27" t="n">
        <f aca="false">Deploy!F62</f>
        <v>25.3371433333333</v>
      </c>
      <c r="F44" s="27" t="n">
        <f aca="false">Deploy!G62</f>
        <v>37.6525147943925</v>
      </c>
      <c r="G44" s="27" t="n">
        <f aca="false">Deploy!H62</f>
        <v>43.1401599188997</v>
      </c>
      <c r="H44" s="27" t="n">
        <f aca="false">Deploy!I62</f>
        <v>59.7282073131421</v>
      </c>
      <c r="I44" s="27" t="n">
        <f aca="false">Deploy!J62</f>
        <v>65.6632286441395</v>
      </c>
      <c r="J44" s="27" t="n">
        <f aca="false">Deploy!K62</f>
        <v>72.2018478960588</v>
      </c>
      <c r="K44" s="27" t="n">
        <f aca="false">Deploy!L62</f>
        <v>79.4068015429321</v>
      </c>
      <c r="L44" s="27" t="n">
        <f aca="false">Deploy!M62</f>
        <v>87.3474816972253</v>
      </c>
      <c r="M44" s="20" t="s">
        <v>1624</v>
      </c>
    </row>
    <row r="45" customFormat="false" ht="17.15" hidden="false" customHeight="false" outlineLevel="0" collapsed="false">
      <c r="A45" s="0" t="s">
        <v>1625</v>
      </c>
      <c r="B45" s="5" t="s">
        <v>1626</v>
      </c>
      <c r="C45" s="0" t="s">
        <v>75</v>
      </c>
      <c r="D45" s="27" t="n">
        <f aca="false">Deploy!E63</f>
        <v>6.20938570515285</v>
      </c>
      <c r="E45" s="27" t="n">
        <f aca="false">Deploy!F63</f>
        <v>25.3371433333333</v>
      </c>
      <c r="F45" s="27" t="n">
        <f aca="false">Deploy!G63</f>
        <v>36.988055095226</v>
      </c>
      <c r="G45" s="27" t="n">
        <f aca="false">Deploy!H63</f>
        <v>42.1975553554443</v>
      </c>
      <c r="H45" s="27" t="n">
        <f aca="false">Deploy!I63</f>
        <v>55.0142490191496</v>
      </c>
      <c r="I45" s="27" t="n">
        <f aca="false">Deploy!J63</f>
        <v>64.3122249112149</v>
      </c>
      <c r="J45" s="27" t="n">
        <f aca="false">Deploy!K63</f>
        <v>70.5122895269729</v>
      </c>
      <c r="K45" s="27" t="n">
        <f aca="false">Deploy!L63</f>
        <v>78.1459346547293</v>
      </c>
      <c r="L45" s="27" t="n">
        <f aca="false">Deploy!M63</f>
        <v>85.957862670224</v>
      </c>
      <c r="M45" s="20" t="s">
        <v>1627</v>
      </c>
    </row>
    <row r="46" customFormat="false" ht="17.15" hidden="false" customHeight="false" outlineLevel="0" collapsed="false">
      <c r="A46" s="0" t="s">
        <v>1628</v>
      </c>
      <c r="B46" s="5" t="s">
        <v>1629</v>
      </c>
      <c r="C46" s="0" t="s">
        <v>75</v>
      </c>
      <c r="D46" s="27" t="n">
        <f aca="false">Deploy!E64</f>
        <v>6.20938570515285</v>
      </c>
      <c r="E46" s="27" t="n">
        <f aca="false">Deploy!F64</f>
        <v>25.3371433333333</v>
      </c>
      <c r="F46" s="27" t="n">
        <f aca="false">Deploy!G64</f>
        <v>36.988055095226</v>
      </c>
      <c r="G46" s="27" t="n">
        <f aca="false">Deploy!H64</f>
        <v>40.4294591310236</v>
      </c>
      <c r="H46" s="27" t="n">
        <f aca="false">Deploy!I64</f>
        <v>50.6072915536675</v>
      </c>
      <c r="I46" s="27" t="n">
        <f aca="false">Deploy!J64</f>
        <v>62.448201593618</v>
      </c>
      <c r="J46" s="27" t="n">
        <f aca="false">Deploy!K64</f>
        <v>70.5122895269729</v>
      </c>
      <c r="K46" s="27" t="n">
        <f aca="false">Deploy!L64</f>
        <v>78.1459346547293</v>
      </c>
      <c r="L46" s="27" t="n">
        <f aca="false">Deploy!M64</f>
        <v>85.957862670224</v>
      </c>
      <c r="M46" s="20" t="s">
        <v>1630</v>
      </c>
    </row>
    <row r="47" customFormat="false" ht="17.15" hidden="false" customHeight="false" outlineLevel="0" collapsed="false">
      <c r="A47" s="0" t="s">
        <v>1631</v>
      </c>
      <c r="B47" s="5" t="s">
        <v>1632</v>
      </c>
      <c r="C47" s="0" t="s">
        <v>75</v>
      </c>
      <c r="D47" s="27" t="n">
        <f aca="false">Deploy!E78</f>
        <v>6.20938570515285</v>
      </c>
      <c r="E47" s="27" t="n">
        <f aca="false">Deploy!F78</f>
        <v>25.3371433333333</v>
      </c>
      <c r="F47" s="27" t="n">
        <f aca="false">Deploy!G78</f>
        <v>37.6525147943925</v>
      </c>
      <c r="G47" s="27" t="n">
        <f aca="false">Deploy!H78</f>
        <v>43.1401599188997</v>
      </c>
      <c r="H47" s="27" t="n">
        <f aca="false">Deploy!I78</f>
        <v>56.4105978342936</v>
      </c>
      <c r="I47" s="27" t="n">
        <f aca="false">Deploy!J78</f>
        <v>61.4553659656414</v>
      </c>
      <c r="J47" s="27" t="n">
        <f aca="false">Deploy!K78</f>
        <v>67.167824108773</v>
      </c>
      <c r="K47" s="27" t="n">
        <f aca="false">Deploy!L78</f>
        <v>73.6479393309647</v>
      </c>
      <c r="L47" s="27" t="n">
        <f aca="false">Deploy!M78</f>
        <v>81.0127332640612</v>
      </c>
      <c r="M47" s="20" t="s">
        <v>1633</v>
      </c>
    </row>
    <row r="48" customFormat="false" ht="17.15" hidden="false" customHeight="false" outlineLevel="0" collapsed="false">
      <c r="A48" s="0" t="s">
        <v>1634</v>
      </c>
      <c r="B48" s="5" t="s">
        <v>1635</v>
      </c>
      <c r="C48" s="0" t="s">
        <v>75</v>
      </c>
      <c r="D48" s="27" t="n">
        <f aca="false">Deploy!E79</f>
        <v>6.20938570515285</v>
      </c>
      <c r="E48" s="27" t="n">
        <f aca="false">Deploy!F79</f>
        <v>25.3371433333333</v>
      </c>
      <c r="F48" s="27" t="n">
        <f aca="false">Deploy!G79</f>
        <v>36.988055095226</v>
      </c>
      <c r="G48" s="27" t="n">
        <f aca="false">Deploy!H79</f>
        <v>42.1975553554443</v>
      </c>
      <c r="H48" s="27" t="n">
        <f aca="false">Deploy!I79</f>
        <v>52.2772211990996</v>
      </c>
      <c r="I48" s="27" t="n">
        <f aca="false">Deploy!J79</f>
        <v>60.2601565426555</v>
      </c>
      <c r="J48" s="27" t="n">
        <f aca="false">Deploy!K79</f>
        <v>65.6228439337249</v>
      </c>
      <c r="K48" s="27" t="n">
        <f aca="false">Deploy!L79</f>
        <v>72.5139191670811</v>
      </c>
      <c r="L48" s="27" t="n">
        <f aca="false">Deploy!M79</f>
        <v>79.7238943257693</v>
      </c>
      <c r="M48" s="20" t="s">
        <v>1636</v>
      </c>
    </row>
    <row r="49" customFormat="false" ht="17.15" hidden="false" customHeight="false" outlineLevel="0" collapsed="false">
      <c r="A49" s="0" t="s">
        <v>1637</v>
      </c>
      <c r="B49" s="5" t="s">
        <v>1638</v>
      </c>
      <c r="C49" s="0" t="s">
        <v>75</v>
      </c>
      <c r="D49" s="27" t="n">
        <f aca="false">Deploy!E80</f>
        <v>6.20938570515285</v>
      </c>
      <c r="E49" s="27" t="n">
        <f aca="false">Deploy!F80</f>
        <v>25.3371433333333</v>
      </c>
      <c r="F49" s="27" t="n">
        <f aca="false">Deploy!G80</f>
        <v>36.988055095226</v>
      </c>
      <c r="G49" s="27" t="n">
        <f aca="false">Deploy!H80</f>
        <v>40.4294591310236</v>
      </c>
      <c r="H49" s="27" t="n">
        <f aca="false">Deploy!I80</f>
        <v>48.9650748616375</v>
      </c>
      <c r="I49" s="27" t="n">
        <f aca="false">Deploy!J80</f>
        <v>58.628365888578</v>
      </c>
      <c r="J49" s="27" t="n">
        <f aca="false">Deploy!K80</f>
        <v>65.6228439337249</v>
      </c>
      <c r="K49" s="27" t="n">
        <f aca="false">Deploy!L80</f>
        <v>72.5139191670811</v>
      </c>
      <c r="L49" s="27" t="n">
        <f aca="false">Deploy!M80</f>
        <v>79.7238943257693</v>
      </c>
      <c r="M49" s="20" t="s">
        <v>1639</v>
      </c>
    </row>
    <row r="50" customFormat="false" ht="17.15" hidden="false" customHeight="false" outlineLevel="0" collapsed="false">
      <c r="A50" s="0" t="s">
        <v>1640</v>
      </c>
      <c r="B50" s="5" t="s">
        <v>1641</v>
      </c>
      <c r="C50" s="0" t="s">
        <v>75</v>
      </c>
      <c r="D50" s="27" t="n">
        <f aca="false">Deploy!E94</f>
        <v>6.20938570515285</v>
      </c>
      <c r="E50" s="27" t="n">
        <f aca="false">Deploy!F94</f>
        <v>25.3371433333333</v>
      </c>
      <c r="F50" s="27" t="n">
        <f aca="false">Deploy!G94</f>
        <v>37.6525147943925</v>
      </c>
      <c r="G50" s="27" t="n">
        <f aca="false">Deploy!H94</f>
        <v>43.1401599188997</v>
      </c>
      <c r="H50" s="27" t="n">
        <f aca="false">Deploy!I94</f>
        <v>53.0929883554451</v>
      </c>
      <c r="I50" s="27" t="n">
        <f aca="false">Deploy!J94</f>
        <v>56.6540011540436</v>
      </c>
      <c r="J50" s="27" t="n">
        <f aca="false">Deploy!K94</f>
        <v>61.0757040980922</v>
      </c>
      <c r="K50" s="27" t="n">
        <f aca="false">Deploy!L94</f>
        <v>66.512892197049</v>
      </c>
      <c r="L50" s="27" t="n">
        <f aca="false">Deploy!M94</f>
        <v>73.1641814167539</v>
      </c>
      <c r="M50" s="20" t="s">
        <v>1642</v>
      </c>
    </row>
    <row r="51" customFormat="false" ht="17.15" hidden="false" customHeight="false" outlineLevel="0" collapsed="false">
      <c r="A51" s="0" t="s">
        <v>1643</v>
      </c>
      <c r="B51" s="5" t="s">
        <v>1644</v>
      </c>
      <c r="C51" s="0" t="s">
        <v>75</v>
      </c>
      <c r="D51" s="27" t="n">
        <f aca="false">Deploy!E95</f>
        <v>6.20938570515285</v>
      </c>
      <c r="E51" s="27" t="n">
        <f aca="false">Deploy!F95</f>
        <v>25.3371433333333</v>
      </c>
      <c r="F51" s="27" t="n">
        <f aca="false">Deploy!G95</f>
        <v>36.988055095226</v>
      </c>
      <c r="G51" s="27" t="n">
        <f aca="false">Deploy!H95</f>
        <v>42.1975553554443</v>
      </c>
      <c r="H51" s="27" t="n">
        <f aca="false">Deploy!I95</f>
        <v>49.5401933790497</v>
      </c>
      <c r="I51" s="27" t="n">
        <f aca="false">Deploy!J95</f>
        <v>55.7184489142888</v>
      </c>
      <c r="J51" s="27" t="n">
        <f aca="false">Deploy!K95</f>
        <v>59.7566060828837</v>
      </c>
      <c r="K51" s="27" t="n">
        <f aca="false">Deploy!L95</f>
        <v>65.5613842797316</v>
      </c>
      <c r="L51" s="27" t="n">
        <f aca="false">Deploy!M95</f>
        <v>72.0002058033056</v>
      </c>
      <c r="M51" s="20" t="s">
        <v>1645</v>
      </c>
    </row>
    <row r="52" customFormat="false" ht="17.15" hidden="false" customHeight="false" outlineLevel="0" collapsed="false">
      <c r="A52" s="0" t="s">
        <v>1646</v>
      </c>
      <c r="B52" s="5" t="s">
        <v>1647</v>
      </c>
      <c r="C52" s="0" t="s">
        <v>75</v>
      </c>
      <c r="D52" s="27" t="n">
        <f aca="false">Deploy!E96</f>
        <v>6.20938570515285</v>
      </c>
      <c r="E52" s="27" t="n">
        <f aca="false">Deploy!F96</f>
        <v>25.3371433333333</v>
      </c>
      <c r="F52" s="27" t="n">
        <f aca="false">Deploy!G96</f>
        <v>36.988055095226</v>
      </c>
      <c r="G52" s="27" t="n">
        <f aca="false">Deploy!H96</f>
        <v>40.4294591310236</v>
      </c>
      <c r="H52" s="27" t="n">
        <f aca="false">Deploy!I96</f>
        <v>47.3228581696075</v>
      </c>
      <c r="I52" s="27" t="n">
        <f aca="false">Deploy!J96</f>
        <v>54.3188909237307</v>
      </c>
      <c r="J52" s="27" t="n">
        <f aca="false">Deploy!K96</f>
        <v>59.7566060828837</v>
      </c>
      <c r="K52" s="27" t="n">
        <f aca="false">Deploy!L96</f>
        <v>65.5613842797316</v>
      </c>
      <c r="L52" s="27" t="n">
        <f aca="false">Deploy!M96</f>
        <v>72.0002058033056</v>
      </c>
      <c r="M52" s="20" t="s">
        <v>1648</v>
      </c>
    </row>
    <row r="53" customFormat="false" ht="17.15" hidden="false" customHeight="false" outlineLevel="0" collapsed="false">
      <c r="A53" s="0" t="s">
        <v>1649</v>
      </c>
      <c r="B53" s="5" t="s">
        <v>1650</v>
      </c>
      <c r="C53" s="0" t="s">
        <v>75</v>
      </c>
      <c r="D53" s="27" t="n">
        <f aca="false">Deploy!E65</f>
        <v>3.41998203041741</v>
      </c>
      <c r="E53" s="27" t="n">
        <f aca="false">Deploy!F65</f>
        <v>15.7732645192431</v>
      </c>
      <c r="F53" s="27" t="n">
        <f aca="false">Deploy!G65</f>
        <v>31.4948290638629</v>
      </c>
      <c r="G53" s="27" t="n">
        <f aca="false">Deploy!H65</f>
        <v>40.3963373566461</v>
      </c>
      <c r="H53" s="27" t="n">
        <f aca="false">Deploy!I65</f>
        <v>51.4341836160209</v>
      </c>
      <c r="I53" s="27" t="n">
        <f aca="false">Deploy!J65</f>
        <v>62.6957179786408</v>
      </c>
      <c r="J53" s="27" t="n">
        <f aca="false">Deploy!K65</f>
        <v>68.9325382700991</v>
      </c>
      <c r="K53" s="27" t="n">
        <f aca="false">Deploy!L65</f>
        <v>75.8043247194954</v>
      </c>
      <c r="L53" s="27" t="n">
        <f aca="false">Deploy!M65</f>
        <v>83.3771416200787</v>
      </c>
      <c r="M53" s="20" t="s">
        <v>1651</v>
      </c>
    </row>
    <row r="54" customFormat="false" ht="17.15" hidden="false" customHeight="false" outlineLevel="0" collapsed="false">
      <c r="A54" s="0" t="s">
        <v>1652</v>
      </c>
      <c r="B54" s="5" t="s">
        <v>1653</v>
      </c>
      <c r="C54" s="0" t="s">
        <v>75</v>
      </c>
      <c r="D54" s="27" t="n">
        <f aca="false">Deploy!E66</f>
        <v>3.41998203041741</v>
      </c>
      <c r="E54" s="27" t="n">
        <f aca="false">Deploy!F66</f>
        <v>15.7732645192431</v>
      </c>
      <c r="F54" s="27" t="n">
        <f aca="false">Deploy!G66</f>
        <v>31.1625992142797</v>
      </c>
      <c r="G54" s="27" t="n">
        <f aca="false">Deploy!H66</f>
        <v>39.5928052253351</v>
      </c>
      <c r="H54" s="27" t="n">
        <f aca="false">Deploy!I66</f>
        <v>48.605902187297</v>
      </c>
      <c r="I54" s="27" t="n">
        <f aca="false">Deploy!J66</f>
        <v>59.6632369651823</v>
      </c>
      <c r="J54" s="27" t="n">
        <f aca="false">Deploy!K66</f>
        <v>67.4122572190939</v>
      </c>
      <c r="K54" s="27" t="n">
        <f aca="false">Deploy!L66</f>
        <v>74.3291120908511</v>
      </c>
      <c r="L54" s="27" t="n">
        <f aca="false">Deploy!M66</f>
        <v>82.0518986624767</v>
      </c>
      <c r="M54" s="20" t="s">
        <v>1654</v>
      </c>
    </row>
    <row r="55" customFormat="false" ht="17.15" hidden="false" customHeight="false" outlineLevel="0" collapsed="false">
      <c r="A55" s="0" t="s">
        <v>1655</v>
      </c>
      <c r="B55" s="5" t="s">
        <v>1656</v>
      </c>
      <c r="C55" s="0" t="s">
        <v>75</v>
      </c>
      <c r="D55" s="27" t="n">
        <f aca="false">Deploy!E67</f>
        <v>3.41998203041741</v>
      </c>
      <c r="E55" s="27" t="n">
        <f aca="false">Deploy!F67</f>
        <v>15.7732645192431</v>
      </c>
      <c r="F55" s="27" t="n">
        <f aca="false">Deploy!G67</f>
        <v>31.1625992142797</v>
      </c>
      <c r="G55" s="27" t="n">
        <f aca="false">Deploy!H67</f>
        <v>38.7087571131248</v>
      </c>
      <c r="H55" s="27" t="n">
        <f aca="false">Deploy!I67</f>
        <v>45.5183753423455</v>
      </c>
      <c r="I55" s="27" t="n">
        <f aca="false">Deploy!J67</f>
        <v>56.5277465736427</v>
      </c>
      <c r="J55" s="27" t="n">
        <f aca="false">Deploy!K67</f>
        <v>66.4802455602954</v>
      </c>
      <c r="K55" s="27" t="n">
        <f aca="false">Deploy!L67</f>
        <v>74.3291120908511</v>
      </c>
      <c r="L55" s="27" t="n">
        <f aca="false">Deploy!M67</f>
        <v>82.0518986624767</v>
      </c>
      <c r="M55" s="20" t="s">
        <v>1657</v>
      </c>
    </row>
    <row r="56" customFormat="false" ht="17.15" hidden="false" customHeight="false" outlineLevel="0" collapsed="false">
      <c r="A56" s="0" t="s">
        <v>1658</v>
      </c>
      <c r="B56" s="5" t="s">
        <v>1659</v>
      </c>
      <c r="C56" s="0" t="s">
        <v>75</v>
      </c>
      <c r="D56" s="27" t="n">
        <f aca="false">Deploy!E81</f>
        <v>3.41998203041741</v>
      </c>
      <c r="E56" s="27" t="n">
        <f aca="false">Deploy!F81</f>
        <v>15.7732645192431</v>
      </c>
      <c r="F56" s="27" t="n">
        <f aca="false">Deploy!G81</f>
        <v>31.4948290638629</v>
      </c>
      <c r="G56" s="27" t="n">
        <f aca="false">Deploy!H81</f>
        <v>40.3963373566461</v>
      </c>
      <c r="H56" s="27" t="n">
        <f aca="false">Deploy!I81</f>
        <v>49.7753788765966</v>
      </c>
      <c r="I56" s="27" t="n">
        <f aca="false">Deploy!J81</f>
        <v>58.9329818999675</v>
      </c>
      <c r="J56" s="27" t="n">
        <f aca="false">Deploy!K81</f>
        <v>64.3115950372072</v>
      </c>
      <c r="K56" s="27" t="n">
        <f aca="false">Deploy!L81</f>
        <v>70.4078817198688</v>
      </c>
      <c r="L56" s="27" t="n">
        <f aca="false">Deploy!M81</f>
        <v>77.3303362975129</v>
      </c>
      <c r="M56" s="20" t="s">
        <v>1660</v>
      </c>
    </row>
    <row r="57" customFormat="false" ht="17.15" hidden="false" customHeight="false" outlineLevel="0" collapsed="false">
      <c r="A57" s="0" t="s">
        <v>1661</v>
      </c>
      <c r="B57" s="5" t="s">
        <v>1662</v>
      </c>
      <c r="C57" s="0" t="s">
        <v>75</v>
      </c>
      <c r="D57" s="27" t="n">
        <f aca="false">Deploy!E82</f>
        <v>3.41998203041741</v>
      </c>
      <c r="E57" s="27" t="n">
        <f aca="false">Deploy!F82</f>
        <v>15.7732645192431</v>
      </c>
      <c r="F57" s="27" t="n">
        <f aca="false">Deploy!G82</f>
        <v>31.1625992142797</v>
      </c>
      <c r="G57" s="27" t="n">
        <f aca="false">Deploy!H82</f>
        <v>39.5928052253351</v>
      </c>
      <c r="H57" s="27" t="n">
        <f aca="false">Deploy!I82</f>
        <v>47.237388277272</v>
      </c>
      <c r="I57" s="27" t="n">
        <f aca="false">Deploy!J82</f>
        <v>56.2686888708776</v>
      </c>
      <c r="J57" s="27" t="n">
        <f aca="false">Deploy!K82</f>
        <v>62.9415002381902</v>
      </c>
      <c r="K57" s="27" t="n">
        <f aca="false">Deploy!L82</f>
        <v>69.0683815504031</v>
      </c>
      <c r="L57" s="27" t="n">
        <f aca="false">Deploy!M82</f>
        <v>76.1189067464252</v>
      </c>
      <c r="M57" s="20" t="s">
        <v>1663</v>
      </c>
    </row>
    <row r="58" customFormat="false" ht="17.15" hidden="false" customHeight="false" outlineLevel="0" collapsed="false">
      <c r="A58" s="0" t="s">
        <v>1664</v>
      </c>
      <c r="B58" s="5" t="s">
        <v>1665</v>
      </c>
      <c r="C58" s="0" t="s">
        <v>75</v>
      </c>
      <c r="D58" s="27" t="n">
        <f aca="false">Deploy!E83</f>
        <v>3.41998203041741</v>
      </c>
      <c r="E58" s="27" t="n">
        <f aca="false">Deploy!F83</f>
        <v>15.7732645192431</v>
      </c>
      <c r="F58" s="27" t="n">
        <f aca="false">Deploy!G83</f>
        <v>31.1625992142797</v>
      </c>
      <c r="G58" s="27" t="n">
        <f aca="false">Deploy!H83</f>
        <v>38.7087571131248</v>
      </c>
      <c r="H58" s="27" t="n">
        <f aca="false">Deploy!I83</f>
        <v>44.6972669963305</v>
      </c>
      <c r="I58" s="27" t="n">
        <f aca="false">Deploy!J83</f>
        <v>53.7967203751077</v>
      </c>
      <c r="J58" s="27" t="n">
        <f aca="false">Deploy!K83</f>
        <v>62.1256049111515</v>
      </c>
      <c r="K58" s="27" t="n">
        <f aca="false">Deploy!L83</f>
        <v>69.0683815504031</v>
      </c>
      <c r="L58" s="27" t="n">
        <f aca="false">Deploy!M83</f>
        <v>76.1189067464252</v>
      </c>
      <c r="M58" s="20" t="s">
        <v>1666</v>
      </c>
    </row>
    <row r="59" customFormat="false" ht="17.15" hidden="false" customHeight="false" outlineLevel="0" collapsed="false">
      <c r="A59" s="0" t="s">
        <v>1667</v>
      </c>
      <c r="B59" s="5" t="s">
        <v>1668</v>
      </c>
      <c r="C59" s="0" t="s">
        <v>75</v>
      </c>
      <c r="D59" s="27" t="n">
        <f aca="false">Deploy!E97</f>
        <v>3.41998203041741</v>
      </c>
      <c r="E59" s="27" t="n">
        <f aca="false">Deploy!F97</f>
        <v>15.7732645192431</v>
      </c>
      <c r="F59" s="27" t="n">
        <f aca="false">Deploy!G97</f>
        <v>31.4948290638629</v>
      </c>
      <c r="G59" s="27" t="n">
        <f aca="false">Deploy!H97</f>
        <v>40.3963373566461</v>
      </c>
      <c r="H59" s="27" t="n">
        <f aca="false">Deploy!I97</f>
        <v>48.1165741371724</v>
      </c>
      <c r="I59" s="27" t="n">
        <f aca="false">Deploy!J97</f>
        <v>54.8734947547443</v>
      </c>
      <c r="J59" s="27" t="n">
        <f aca="false">Deploy!K97</f>
        <v>58.8648526260679</v>
      </c>
      <c r="K59" s="27" t="n">
        <f aca="false">Deploy!L97</f>
        <v>63.7942981475706</v>
      </c>
      <c r="L59" s="27" t="n">
        <f aca="false">Deploy!M97</f>
        <v>69.8385368069015</v>
      </c>
      <c r="M59" s="20" t="s">
        <v>1669</v>
      </c>
    </row>
    <row r="60" customFormat="false" ht="17.15" hidden="false" customHeight="false" outlineLevel="0" collapsed="false">
      <c r="A60" s="0" t="s">
        <v>1670</v>
      </c>
      <c r="B60" s="5" t="s">
        <v>1671</v>
      </c>
      <c r="C60" s="0" t="s">
        <v>75</v>
      </c>
      <c r="D60" s="27" t="n">
        <f aca="false">Deploy!E98</f>
        <v>3.41998203041741</v>
      </c>
      <c r="E60" s="27" t="n">
        <f aca="false">Deploy!F98</f>
        <v>15.7732645192431</v>
      </c>
      <c r="F60" s="27" t="n">
        <f aca="false">Deploy!G98</f>
        <v>31.1625992142797</v>
      </c>
      <c r="G60" s="27" t="n">
        <f aca="false">Deploy!H98</f>
        <v>39.5928052253351</v>
      </c>
      <c r="H60" s="27" t="n">
        <f aca="false">Deploy!I98</f>
        <v>45.868874367247</v>
      </c>
      <c r="I60" s="27" t="n">
        <f aca="false">Deploy!J98</f>
        <v>52.6293211466692</v>
      </c>
      <c r="J60" s="27" t="n">
        <f aca="false">Deploy!K98</f>
        <v>57.7375274985862</v>
      </c>
      <c r="K60" s="27" t="n">
        <f aca="false">Deploy!L98</f>
        <v>62.6589951813076</v>
      </c>
      <c r="L60" s="27" t="n">
        <f aca="false">Deploy!M98</f>
        <v>68.7807950415186</v>
      </c>
      <c r="M60" s="20" t="s">
        <v>1672</v>
      </c>
    </row>
    <row r="61" customFormat="false" ht="17.15" hidden="false" customHeight="false" outlineLevel="0" collapsed="false">
      <c r="A61" s="0" t="s">
        <v>1673</v>
      </c>
      <c r="B61" s="5" t="s">
        <v>1674</v>
      </c>
      <c r="C61" s="0" t="s">
        <v>75</v>
      </c>
      <c r="D61" s="27" t="n">
        <f aca="false">Deploy!E99</f>
        <v>3.41998203041741</v>
      </c>
      <c r="E61" s="27" t="n">
        <f aca="false">Deploy!F99</f>
        <v>15.7732645192431</v>
      </c>
      <c r="F61" s="27" t="n">
        <f aca="false">Deploy!G99</f>
        <v>31.1625992142797</v>
      </c>
      <c r="G61" s="27" t="n">
        <f aca="false">Deploy!H99</f>
        <v>38.7087571131248</v>
      </c>
      <c r="H61" s="27" t="n">
        <f aca="false">Deploy!I99</f>
        <v>43.8761586503155</v>
      </c>
      <c r="I61" s="27" t="n">
        <f aca="false">Deploy!J99</f>
        <v>50.8208745466691</v>
      </c>
      <c r="J61" s="27" t="n">
        <f aca="false">Deploy!K99</f>
        <v>57.0377485033072</v>
      </c>
      <c r="K61" s="27" t="n">
        <f aca="false">Deploy!L99</f>
        <v>62.6589951813076</v>
      </c>
      <c r="L61" s="27" t="n">
        <f aca="false">Deploy!M99</f>
        <v>68.7807950415186</v>
      </c>
      <c r="M61" s="20" t="s">
        <v>1675</v>
      </c>
    </row>
    <row r="62" customFormat="false" ht="17.15" hidden="false" customHeight="false" outlineLevel="0" collapsed="false">
      <c r="A62" s="0" t="s">
        <v>1676</v>
      </c>
      <c r="B62" s="5" t="s">
        <v>1677</v>
      </c>
      <c r="C62" s="0" t="s">
        <v>75</v>
      </c>
      <c r="D62" s="27" t="n">
        <f aca="false">Deploy!E68</f>
        <v>1.61980834349181</v>
      </c>
      <c r="E62" s="27" t="n">
        <f aca="false">Deploy!F68</f>
        <v>9.04912429484715</v>
      </c>
      <c r="F62" s="27" t="n">
        <f aca="false">Deploy!G68</f>
        <v>12.3153714610592</v>
      </c>
      <c r="G62" s="27" t="n">
        <f aca="false">Deploy!H68</f>
        <v>5.48764512450717</v>
      </c>
      <c r="H62" s="27" t="n">
        <f aca="false">Deploy!I68</f>
        <v>16.5880473942424</v>
      </c>
      <c r="I62" s="27" t="n">
        <f aca="false">Deploy!J68</f>
        <v>5.93502133099746</v>
      </c>
      <c r="J62" s="27" t="n">
        <f aca="false">Deploy!K68</f>
        <v>6.53861925191924</v>
      </c>
      <c r="K62" s="27" t="n">
        <f aca="false">Deploy!L68</f>
        <v>7.20495364687336</v>
      </c>
      <c r="L62" s="27" t="n">
        <f aca="false">Deploy!M68</f>
        <v>7.9406801542932</v>
      </c>
      <c r="M62" s="20" t="s">
        <v>1678</v>
      </c>
    </row>
    <row r="63" customFormat="false" ht="17.15" hidden="false" customHeight="false" outlineLevel="0" collapsed="false">
      <c r="A63" s="0" t="s">
        <v>1679</v>
      </c>
      <c r="B63" s="5" t="s">
        <v>1680</v>
      </c>
      <c r="C63" s="0" t="s">
        <v>75</v>
      </c>
      <c r="D63" s="27" t="n">
        <f aca="false">Deploy!E69</f>
        <v>1.61980834349181</v>
      </c>
      <c r="E63" s="27" t="n">
        <f aca="false">Deploy!F69</f>
        <v>9.04912429484715</v>
      </c>
      <c r="F63" s="27" t="n">
        <f aca="false">Deploy!G69</f>
        <v>11.6509117618926</v>
      </c>
      <c r="G63" s="27" t="n">
        <f aca="false">Deploy!H69</f>
        <v>5.20950026021831</v>
      </c>
      <c r="H63" s="27" t="n">
        <f aca="false">Deploy!I69</f>
        <v>12.8166936637054</v>
      </c>
      <c r="I63" s="27" t="n">
        <f aca="false">Deploy!J69</f>
        <v>9.29797589206531</v>
      </c>
      <c r="J63" s="27" t="n">
        <f aca="false">Deploy!K69</f>
        <v>6.20006461575795</v>
      </c>
      <c r="K63" s="27" t="n">
        <f aca="false">Deploy!L69</f>
        <v>7.63364512775638</v>
      </c>
      <c r="L63" s="27" t="n">
        <f aca="false">Deploy!M69</f>
        <v>7.81192801549474</v>
      </c>
      <c r="M63" s="20" t="s">
        <v>1681</v>
      </c>
    </row>
    <row r="64" customFormat="false" ht="17.15" hidden="false" customHeight="false" outlineLevel="0" collapsed="false">
      <c r="A64" s="0" t="s">
        <v>1682</v>
      </c>
      <c r="B64" s="5" t="s">
        <v>1683</v>
      </c>
      <c r="C64" s="0" t="s">
        <v>75</v>
      </c>
      <c r="D64" s="27" t="n">
        <f aca="false">Deploy!E70</f>
        <v>1.61980834349181</v>
      </c>
      <c r="E64" s="27" t="n">
        <f aca="false">Deploy!F70</f>
        <v>9.04912429484715</v>
      </c>
      <c r="F64" s="27" t="n">
        <f aca="false">Deploy!G70</f>
        <v>11.6509117618926</v>
      </c>
      <c r="G64" s="27" t="n">
        <f aca="false">Deploy!H70</f>
        <v>3.4414040357976</v>
      </c>
      <c r="H64" s="27" t="n">
        <f aca="false">Deploy!I70</f>
        <v>10.1778324226439</v>
      </c>
      <c r="I64" s="27" t="n">
        <f aca="false">Deploy!J70</f>
        <v>11.8409100399505</v>
      </c>
      <c r="J64" s="27" t="n">
        <f aca="false">Deploy!K70</f>
        <v>8.06408793335491</v>
      </c>
      <c r="K64" s="27" t="n">
        <f aca="false">Deploy!L70</f>
        <v>7.63364512775638</v>
      </c>
      <c r="L64" s="27" t="n">
        <f aca="false">Deploy!M70</f>
        <v>7.81192801549474</v>
      </c>
      <c r="M64" s="20" t="s">
        <v>1684</v>
      </c>
    </row>
    <row r="65" customFormat="false" ht="17.15" hidden="false" customHeight="false" outlineLevel="0" collapsed="false">
      <c r="A65" s="0" t="s">
        <v>1685</v>
      </c>
      <c r="B65" s="5" t="s">
        <v>1686</v>
      </c>
      <c r="C65" s="0" t="s">
        <v>75</v>
      </c>
      <c r="D65" s="27" t="n">
        <f aca="false">Deploy!E84</f>
        <v>1.61980834349181</v>
      </c>
      <c r="E65" s="27" t="n">
        <f aca="false">Deploy!F84</f>
        <v>9.04912429484715</v>
      </c>
      <c r="F65" s="27" t="n">
        <f aca="false">Deploy!G84</f>
        <v>12.3153714610592</v>
      </c>
      <c r="G65" s="27" t="n">
        <f aca="false">Deploy!H84</f>
        <v>5.48764512450717</v>
      </c>
      <c r="H65" s="27" t="n">
        <f aca="false">Deploy!I84</f>
        <v>13.2704379153939</v>
      </c>
      <c r="I65" s="27" t="n">
        <f aca="false">Deploy!J84</f>
        <v>5.04476813134784</v>
      </c>
      <c r="J65" s="27" t="n">
        <f aca="false">Deploy!K84</f>
        <v>5.71245814313154</v>
      </c>
      <c r="K65" s="27" t="n">
        <f aca="false">Deploy!L84</f>
        <v>6.48011522219174</v>
      </c>
      <c r="L65" s="27" t="n">
        <f aca="false">Deploy!M84</f>
        <v>7.36479393309647</v>
      </c>
      <c r="M65" s="20" t="s">
        <v>1687</v>
      </c>
    </row>
    <row r="66" customFormat="false" ht="17.15" hidden="false" customHeight="false" outlineLevel="0" collapsed="false">
      <c r="A66" s="0" t="s">
        <v>1688</v>
      </c>
      <c r="B66" s="5" t="s">
        <v>1689</v>
      </c>
      <c r="C66" s="0" t="s">
        <v>75</v>
      </c>
      <c r="D66" s="27" t="n">
        <f aca="false">Deploy!E85</f>
        <v>1.61980834349181</v>
      </c>
      <c r="E66" s="27" t="n">
        <f aca="false">Deploy!F85</f>
        <v>9.04912429484715</v>
      </c>
      <c r="F66" s="27" t="n">
        <f aca="false">Deploy!G85</f>
        <v>11.6509117618926</v>
      </c>
      <c r="G66" s="27" t="n">
        <f aca="false">Deploy!H85</f>
        <v>5.20950026021831</v>
      </c>
      <c r="H66" s="27" t="n">
        <f aca="false">Deploy!I85</f>
        <v>10.0796658436554</v>
      </c>
      <c r="I66" s="27" t="n">
        <f aca="false">Deploy!J85</f>
        <v>7.98293534355589</v>
      </c>
      <c r="J66" s="27" t="n">
        <f aca="false">Deploy!K85</f>
        <v>5.3626873910694</v>
      </c>
      <c r="K66" s="27" t="n">
        <f aca="false">Deploy!L85</f>
        <v>6.8910752333562</v>
      </c>
      <c r="L66" s="27" t="n">
        <f aca="false">Deploy!M85</f>
        <v>7.20997515868814</v>
      </c>
      <c r="M66" s="20" t="s">
        <v>1690</v>
      </c>
    </row>
    <row r="67" customFormat="false" ht="17.15" hidden="false" customHeight="false" outlineLevel="0" collapsed="false">
      <c r="A67" s="0" t="s">
        <v>1691</v>
      </c>
      <c r="B67" s="5" t="s">
        <v>1692</v>
      </c>
      <c r="C67" s="0" t="s">
        <v>75</v>
      </c>
      <c r="D67" s="27" t="n">
        <f aca="false">Deploy!E86</f>
        <v>1.61980834349181</v>
      </c>
      <c r="E67" s="27" t="n">
        <f aca="false">Deploy!F86</f>
        <v>9.04912429484715</v>
      </c>
      <c r="F67" s="27" t="n">
        <f aca="false">Deploy!G86</f>
        <v>11.6509117618926</v>
      </c>
      <c r="G67" s="27" t="n">
        <f aca="false">Deploy!H86</f>
        <v>3.4414040357976</v>
      </c>
      <c r="H67" s="27" t="n">
        <f aca="false">Deploy!I86</f>
        <v>8.53561573061393</v>
      </c>
      <c r="I67" s="27" t="n">
        <f aca="false">Deploy!J86</f>
        <v>9.66329102694046</v>
      </c>
      <c r="J67" s="27" t="n">
        <f aca="false">Deploy!K86</f>
        <v>6.99447804514697</v>
      </c>
      <c r="K67" s="27" t="n">
        <f aca="false">Deploy!L86</f>
        <v>6.8910752333562</v>
      </c>
      <c r="L67" s="27" t="n">
        <f aca="false">Deploy!M86</f>
        <v>7.20997515868814</v>
      </c>
      <c r="M67" s="20" t="s">
        <v>1693</v>
      </c>
    </row>
    <row r="68" customFormat="false" ht="17.15" hidden="false" customHeight="false" outlineLevel="0" collapsed="false">
      <c r="A68" s="0" t="s">
        <v>1694</v>
      </c>
      <c r="B68" s="5" t="s">
        <v>1695</v>
      </c>
      <c r="C68" s="0" t="s">
        <v>75</v>
      </c>
      <c r="D68" s="27" t="n">
        <f aca="false">Deploy!E100</f>
        <v>1.61980834349181</v>
      </c>
      <c r="E68" s="27" t="n">
        <f aca="false">Deploy!F100</f>
        <v>9.04912429484715</v>
      </c>
      <c r="F68" s="27" t="n">
        <f aca="false">Deploy!G100</f>
        <v>12.3153714610592</v>
      </c>
      <c r="G68" s="27" t="n">
        <f aca="false">Deploy!H100</f>
        <v>5.48764512450717</v>
      </c>
      <c r="H68" s="27" t="n">
        <f aca="false">Deploy!I100</f>
        <v>9.95282843654542</v>
      </c>
      <c r="I68" s="27" t="n">
        <f aca="false">Deploy!J100</f>
        <v>3.56101279859848</v>
      </c>
      <c r="J68" s="27" t="n">
        <f aca="false">Deploy!K100</f>
        <v>4.42170294404857</v>
      </c>
      <c r="K68" s="27" t="n">
        <f aca="false">Deploy!L100</f>
        <v>5.43718809895686</v>
      </c>
      <c r="L68" s="27" t="n">
        <f aca="false">Deploy!M100</f>
        <v>6.65128921970489</v>
      </c>
      <c r="M68" s="20" t="s">
        <v>1696</v>
      </c>
    </row>
    <row r="69" customFormat="false" ht="17.15" hidden="false" customHeight="false" outlineLevel="0" collapsed="false">
      <c r="A69" s="0" t="s">
        <v>1697</v>
      </c>
      <c r="B69" s="5" t="s">
        <v>1698</v>
      </c>
      <c r="C69" s="0" t="s">
        <v>75</v>
      </c>
      <c r="D69" s="27" t="n">
        <f aca="false">Deploy!E101</f>
        <v>1.61980834349181</v>
      </c>
      <c r="E69" s="27" t="n">
        <f aca="false">Deploy!F101</f>
        <v>9.04912429484715</v>
      </c>
      <c r="F69" s="27" t="n">
        <f aca="false">Deploy!G101</f>
        <v>11.6509117618926</v>
      </c>
      <c r="G69" s="27" t="n">
        <f aca="false">Deploy!H101</f>
        <v>5.20950026021831</v>
      </c>
      <c r="H69" s="27" t="n">
        <f aca="false">Deploy!I101</f>
        <v>7.34263802360537</v>
      </c>
      <c r="I69" s="27" t="n">
        <f aca="false">Deploy!J101</f>
        <v>6.17825553523918</v>
      </c>
      <c r="J69" s="27" t="n">
        <f aca="false">Deploy!K101</f>
        <v>4.03815716859483</v>
      </c>
      <c r="K69" s="27" t="n">
        <f aca="false">Deploy!L101</f>
        <v>5.80477819684789</v>
      </c>
      <c r="L69" s="27" t="n">
        <f aca="false">Deploy!M101</f>
        <v>6.43882152357399</v>
      </c>
      <c r="M69" s="20" t="s">
        <v>1699</v>
      </c>
    </row>
    <row r="70" customFormat="false" ht="17.15" hidden="false" customHeight="false" outlineLevel="0" collapsed="false">
      <c r="A70" s="0" t="s">
        <v>1700</v>
      </c>
      <c r="B70" s="5" t="s">
        <v>1701</v>
      </c>
      <c r="C70" s="0" t="s">
        <v>75</v>
      </c>
      <c r="D70" s="27" t="n">
        <f aca="false">Deploy!E102</f>
        <v>1.61980834349181</v>
      </c>
      <c r="E70" s="27" t="n">
        <f aca="false">Deploy!F102</f>
        <v>9.04912429484715</v>
      </c>
      <c r="F70" s="27" t="n">
        <f aca="false">Deploy!G102</f>
        <v>11.6509117618926</v>
      </c>
      <c r="G70" s="27" t="n">
        <f aca="false">Deploy!H102</f>
        <v>3.4414040357976</v>
      </c>
      <c r="H70" s="27" t="n">
        <f aca="false">Deploy!I102</f>
        <v>6.89339903858394</v>
      </c>
      <c r="I70" s="27" t="n">
        <f aca="false">Deploy!J102</f>
        <v>6.99603275412316</v>
      </c>
      <c r="J70" s="27" t="n">
        <f aca="false">Deploy!K102</f>
        <v>5.437715159153</v>
      </c>
      <c r="K70" s="27" t="n">
        <f aca="false">Deploy!L102</f>
        <v>5.80477819684789</v>
      </c>
      <c r="L70" s="27" t="n">
        <f aca="false">Deploy!M102</f>
        <v>6.43882152357399</v>
      </c>
      <c r="M70" s="20" t="s">
        <v>1702</v>
      </c>
    </row>
    <row r="71" customFormat="false" ht="17.15" hidden="false" customHeight="false" outlineLevel="0" collapsed="false">
      <c r="A71" s="8" t="s">
        <v>1703</v>
      </c>
    </row>
    <row r="72" customFormat="false" ht="17.15" hidden="false" customHeight="false" outlineLevel="0" collapsed="false">
      <c r="A72" s="0" t="s">
        <v>1704</v>
      </c>
      <c r="B72" s="5" t="s">
        <v>1705</v>
      </c>
      <c r="C72" s="0" t="s">
        <v>75</v>
      </c>
      <c r="D72" s="27" t="n">
        <f aca="false">Deploy!E71</f>
        <v>0</v>
      </c>
      <c r="E72" s="27" t="n">
        <f aca="false">Deploy!F71</f>
        <v>0</v>
      </c>
      <c r="F72" s="27" t="n">
        <f aca="false">Deploy!G71</f>
        <v>0.66445969916655</v>
      </c>
      <c r="G72" s="27" t="n">
        <f aca="false">Deploy!H71</f>
        <v>0.942604563455411</v>
      </c>
      <c r="H72" s="27" t="n">
        <f aca="false">Deploy!I71</f>
        <v>4.71395829399242</v>
      </c>
      <c r="I72" s="27" t="n">
        <f aca="false">Deploy!J71</f>
        <v>1.35100373292457</v>
      </c>
      <c r="J72" s="27" t="n">
        <f aca="false">Deploy!K71</f>
        <v>1.68955836908586</v>
      </c>
      <c r="K72" s="27" t="n">
        <f aca="false">Deploy!L71</f>
        <v>1.26086688820284</v>
      </c>
      <c r="L72" s="27" t="n">
        <f aca="false">Deploy!M71</f>
        <v>1.3896190270013</v>
      </c>
      <c r="M72" s="20" t="s">
        <v>1706</v>
      </c>
    </row>
    <row r="73" customFormat="false" ht="17.15" hidden="false" customHeight="false" outlineLevel="0" collapsed="false">
      <c r="A73" s="0" t="s">
        <v>1707</v>
      </c>
      <c r="B73" s="5" t="s">
        <v>1708</v>
      </c>
      <c r="C73" s="0" t="s">
        <v>75</v>
      </c>
      <c r="D73" s="27" t="n">
        <f aca="false">Deploy!E72</f>
        <v>0</v>
      </c>
      <c r="E73" s="27" t="n">
        <f aca="false">Deploy!F72</f>
        <v>0</v>
      </c>
      <c r="F73" s="27" t="n">
        <f aca="false">Deploy!G72</f>
        <v>0.66445969916655</v>
      </c>
      <c r="G73" s="27" t="n">
        <f aca="false">Deploy!H72</f>
        <v>2.71070078787612</v>
      </c>
      <c r="H73" s="27" t="n">
        <f aca="false">Deploy!I72</f>
        <v>9.12091575947456</v>
      </c>
      <c r="I73" s="27" t="n">
        <f aca="false">Deploy!J72</f>
        <v>3.21502705052153</v>
      </c>
      <c r="J73" s="27" t="n">
        <f aca="false">Deploy!K72</f>
        <v>1.68955836908586</v>
      </c>
      <c r="K73" s="27" t="n">
        <f aca="false">Deploy!L72</f>
        <v>1.26086688820284</v>
      </c>
      <c r="L73" s="27" t="n">
        <f aca="false">Deploy!M72</f>
        <v>1.3896190270013</v>
      </c>
      <c r="M73" s="20" t="s">
        <v>1709</v>
      </c>
    </row>
    <row r="74" customFormat="false" ht="17.15" hidden="false" customHeight="false" outlineLevel="0" collapsed="false">
      <c r="A74" s="0" t="s">
        <v>1710</v>
      </c>
      <c r="B74" s="5" t="s">
        <v>1711</v>
      </c>
      <c r="C74" s="0" t="s">
        <v>75</v>
      </c>
      <c r="D74" s="27" t="n">
        <f aca="false">Deploy!E87</f>
        <v>0</v>
      </c>
      <c r="E74" s="27" t="n">
        <f aca="false">Deploy!F87</f>
        <v>0</v>
      </c>
      <c r="F74" s="27" t="n">
        <f aca="false">Deploy!G87</f>
        <v>0.66445969916655</v>
      </c>
      <c r="G74" s="27" t="n">
        <f aca="false">Deploy!H87</f>
        <v>0.942604563455411</v>
      </c>
      <c r="H74" s="27" t="n">
        <f aca="false">Deploy!I87</f>
        <v>4.13337663519394</v>
      </c>
      <c r="I74" s="27" t="n">
        <f aca="false">Deploy!J87</f>
        <v>1.19520942298588</v>
      </c>
      <c r="J74" s="27" t="n">
        <f aca="false">Deploy!K87</f>
        <v>1.54498017504802</v>
      </c>
      <c r="K74" s="27" t="n">
        <f aca="false">Deploy!L87</f>
        <v>1.13402016388356</v>
      </c>
      <c r="L74" s="27" t="n">
        <f aca="false">Deploy!M87</f>
        <v>1.28883893829189</v>
      </c>
      <c r="M74" s="20" t="s">
        <v>1712</v>
      </c>
    </row>
    <row r="75" customFormat="false" ht="17.15" hidden="false" customHeight="false" outlineLevel="0" collapsed="false">
      <c r="A75" s="0" t="s">
        <v>1713</v>
      </c>
      <c r="B75" s="5" t="s">
        <v>1714</v>
      </c>
      <c r="C75" s="0" t="s">
        <v>75</v>
      </c>
      <c r="D75" s="27" t="n">
        <f aca="false">Deploy!E88</f>
        <v>0</v>
      </c>
      <c r="E75" s="27" t="n">
        <f aca="false">Deploy!F88</f>
        <v>0</v>
      </c>
      <c r="F75" s="27" t="n">
        <f aca="false">Deploy!G88</f>
        <v>0.66445969916655</v>
      </c>
      <c r="G75" s="27" t="n">
        <f aca="false">Deploy!H88</f>
        <v>2.71070078787612</v>
      </c>
      <c r="H75" s="27" t="n">
        <f aca="false">Deploy!I88</f>
        <v>7.44552297265608</v>
      </c>
      <c r="I75" s="27" t="n">
        <f aca="false">Deploy!J88</f>
        <v>2.82700007706345</v>
      </c>
      <c r="J75" s="27" t="n">
        <f aca="false">Deploy!K88</f>
        <v>1.54498017504802</v>
      </c>
      <c r="K75" s="27" t="n">
        <f aca="false">Deploy!L88</f>
        <v>1.13402016388356</v>
      </c>
      <c r="L75" s="27" t="n">
        <f aca="false">Deploy!M88</f>
        <v>1.28883893829189</v>
      </c>
      <c r="M75" s="20" t="s">
        <v>1715</v>
      </c>
    </row>
    <row r="76" customFormat="false" ht="17.15" hidden="false" customHeight="false" outlineLevel="0" collapsed="false">
      <c r="A76" s="0" t="s">
        <v>1716</v>
      </c>
      <c r="B76" s="5" t="s">
        <v>1717</v>
      </c>
      <c r="C76" s="0" t="s">
        <v>75</v>
      </c>
      <c r="D76" s="27" t="n">
        <f aca="false">Deploy!E103</f>
        <v>0</v>
      </c>
      <c r="E76" s="27" t="n">
        <f aca="false">Deploy!F103</f>
        <v>0</v>
      </c>
      <c r="F76" s="27" t="n">
        <f aca="false">Deploy!G103</f>
        <v>0.66445969916655</v>
      </c>
      <c r="G76" s="27" t="n">
        <f aca="false">Deploy!H103</f>
        <v>0.942604563455411</v>
      </c>
      <c r="H76" s="27" t="n">
        <f aca="false">Deploy!I103</f>
        <v>3.55279497639545</v>
      </c>
      <c r="I76" s="27" t="n">
        <f aca="false">Deploy!J103</f>
        <v>0.935552239754749</v>
      </c>
      <c r="J76" s="27" t="n">
        <f aca="false">Deploy!K103</f>
        <v>1.31909801520849</v>
      </c>
      <c r="K76" s="27" t="n">
        <f aca="false">Deploy!L103</f>
        <v>0.951507917317457</v>
      </c>
      <c r="L76" s="27" t="n">
        <f aca="false">Deploy!M103</f>
        <v>1.16397561344836</v>
      </c>
      <c r="M76" s="20" t="s">
        <v>1718</v>
      </c>
    </row>
    <row r="77" customFormat="false" ht="17.15" hidden="false" customHeight="false" outlineLevel="0" collapsed="false">
      <c r="A77" s="0" t="s">
        <v>1719</v>
      </c>
      <c r="B77" s="5" t="s">
        <v>1720</v>
      </c>
      <c r="C77" s="0" t="s">
        <v>75</v>
      </c>
      <c r="D77" s="27" t="n">
        <f aca="false">Deploy!E104</f>
        <v>0</v>
      </c>
      <c r="E77" s="27" t="n">
        <f aca="false">Deploy!F104</f>
        <v>0</v>
      </c>
      <c r="F77" s="27" t="n">
        <f aca="false">Deploy!G104</f>
        <v>0.66445969916655</v>
      </c>
      <c r="G77" s="27" t="n">
        <f aca="false">Deploy!H104</f>
        <v>2.71070078787612</v>
      </c>
      <c r="H77" s="27" t="n">
        <f aca="false">Deploy!I104</f>
        <v>5.7701301858376</v>
      </c>
      <c r="I77" s="27" t="n">
        <f aca="false">Deploy!J104</f>
        <v>2.33511023031292</v>
      </c>
      <c r="J77" s="27" t="n">
        <f aca="false">Deploy!K104</f>
        <v>1.31909801520849</v>
      </c>
      <c r="K77" s="27" t="n">
        <f aca="false">Deploy!L104</f>
        <v>0.951507917317457</v>
      </c>
      <c r="L77" s="27" t="n">
        <f aca="false">Deploy!M104</f>
        <v>1.16397561344836</v>
      </c>
      <c r="M77" s="20" t="s">
        <v>1721</v>
      </c>
    </row>
    <row r="78" customFormat="false" ht="17.15" hidden="false" customHeight="false" outlineLevel="0" collapsed="false">
      <c r="A78" s="8" t="s">
        <v>1722</v>
      </c>
    </row>
    <row r="79" customFormat="false" ht="17.15" hidden="false" customHeight="false" outlineLevel="0" collapsed="false">
      <c r="A79" s="0" t="s">
        <v>1723</v>
      </c>
      <c r="B79" s="0" t="s">
        <v>1724</v>
      </c>
      <c r="C79" s="0" t="s">
        <v>75</v>
      </c>
      <c r="D79" s="27" t="n">
        <f aca="false">CapexGW!E23</f>
        <v>1.593775</v>
      </c>
      <c r="E79" s="27" t="n">
        <f aca="false">CapexGW!F23</f>
        <v>3.729045</v>
      </c>
      <c r="F79" s="27" t="n">
        <f aca="false">CapexGW!G23</f>
        <v>4.5</v>
      </c>
      <c r="G79" s="27" t="n">
        <f aca="false">CapexGW!H23</f>
        <v>8.06447576934396</v>
      </c>
      <c r="H79" s="27" t="n">
        <f aca="false">CapexGW!I23</f>
        <v>12.1304545339915</v>
      </c>
      <c r="I79" s="27" t="n">
        <f aca="false">CapexGW!J23</f>
        <v>16.7948755327632</v>
      </c>
      <c r="J79" s="27" t="n">
        <f aca="false">CapexGW!K23</f>
        <v>21.958611180813</v>
      </c>
      <c r="K79" s="27" t="n">
        <f aca="false">CapexGW!L23</f>
        <v>27.6526019148412</v>
      </c>
      <c r="L79" s="27" t="n">
        <f aca="false">CapexGW!M23</f>
        <v>33.9159917222723</v>
      </c>
      <c r="M79" s="20" t="s">
        <v>1725</v>
      </c>
    </row>
    <row r="80" customFormat="false" ht="17.15" hidden="false" customHeight="false" outlineLevel="0" collapsed="false">
      <c r="A80" s="0" t="s">
        <v>1726</v>
      </c>
      <c r="B80" s="0" t="s">
        <v>1727</v>
      </c>
      <c r="C80" s="0" t="s">
        <v>75</v>
      </c>
      <c r="D80" s="27" t="n">
        <f aca="false">CapexGW!E42</f>
        <v>1.89038669917378</v>
      </c>
      <c r="E80" s="27" t="n">
        <f aca="false">CapexGW!F42</f>
        <v>4.3</v>
      </c>
      <c r="F80" s="27" t="n">
        <f aca="false">CapexGW!G42</f>
        <v>5.59267912772586</v>
      </c>
      <c r="G80" s="27" t="n">
        <f aca="false">CapexGW!H42</f>
        <v>11.2903647877143</v>
      </c>
      <c r="H80" s="27" t="n">
        <f aca="false">CapexGW!I42</f>
        <v>18.0671889116977</v>
      </c>
      <c r="I80" s="27" t="n">
        <f aca="false">CapexGW!J42</f>
        <v>25.7564848214025</v>
      </c>
      <c r="J80" s="27" t="n">
        <f aca="false">CapexGW!K42</f>
        <v>34.2367145915563</v>
      </c>
      <c r="K80" s="27" t="n">
        <f aca="false">CapexGW!L42</f>
        <v>43.5649673387255</v>
      </c>
      <c r="L80" s="27" t="n">
        <f aca="false">CapexGW!M42</f>
        <v>53.8260453606116</v>
      </c>
      <c r="M80" s="20" t="s">
        <v>1728</v>
      </c>
    </row>
    <row r="81" customFormat="false" ht="17.15" hidden="false" customHeight="false" outlineLevel="0" collapsed="false">
      <c r="A81" s="0" t="s">
        <v>1729</v>
      </c>
      <c r="B81" s="0" t="s">
        <v>1730</v>
      </c>
      <c r="C81" s="0" t="s">
        <v>75</v>
      </c>
      <c r="D81" s="27" t="n">
        <f aca="false">CapexGW!E61</f>
        <v>0.810284005979073</v>
      </c>
      <c r="E81" s="27" t="n">
        <f aca="false">CapexGW!F61</f>
        <v>2.2</v>
      </c>
      <c r="F81" s="27" t="n">
        <f aca="false">CapexGW!G61</f>
        <v>2.727</v>
      </c>
      <c r="G81" s="27" t="n">
        <f aca="false">CapexGW!H61</f>
        <v>7.27196548273742</v>
      </c>
      <c r="H81" s="27" t="n">
        <f aca="false">CapexGW!I61</f>
        <v>12.2682036820108</v>
      </c>
      <c r="I81" s="27" t="n">
        <f aca="false">CapexGW!J61</f>
        <v>17.8147124889133</v>
      </c>
      <c r="J81" s="27" t="n">
        <f aca="false">CapexGW!K61</f>
        <v>23.895020898745</v>
      </c>
      <c r="K81" s="27" t="n">
        <f aca="false">CapexGW!L61</f>
        <v>30.5833601495599</v>
      </c>
      <c r="L81" s="27" t="n">
        <f aca="false">CapexGW!M61</f>
        <v>37.9405333254563</v>
      </c>
      <c r="M81" s="20" t="s">
        <v>1731</v>
      </c>
    </row>
    <row r="82" customFormat="false" ht="17.15" hidden="false" customHeight="false" outlineLevel="0" collapsed="false">
      <c r="A82" s="0" t="s">
        <v>1732</v>
      </c>
      <c r="B82" s="0" t="s">
        <v>1733</v>
      </c>
      <c r="C82" s="0" t="s">
        <v>75</v>
      </c>
      <c r="D82" s="27" t="n">
        <f aca="false">CapexGW!E80</f>
        <v>0.968475</v>
      </c>
      <c r="E82" s="27" t="n">
        <f aca="false">CapexGW!F80</f>
        <v>2.476595</v>
      </c>
      <c r="F82" s="27" t="n">
        <f aca="false">CapexGW!G80</f>
        <v>3.152595</v>
      </c>
      <c r="G82" s="27" t="n">
        <f aca="false">CapexGW!H80</f>
        <v>3.344595</v>
      </c>
      <c r="H82" s="27" t="n">
        <f aca="false">CapexGW!I80</f>
        <v>6.08100702658016</v>
      </c>
      <c r="I82" s="27" t="n">
        <f aca="false">CapexGW!J80</f>
        <v>9.09275527840958</v>
      </c>
      <c r="J82" s="27" t="n">
        <f aca="false">CapexGW!K80</f>
        <v>12.4056783554219</v>
      </c>
      <c r="K82" s="27" t="n">
        <f aca="false">CapexGW!L80</f>
        <v>16.0498937401355</v>
      </c>
      <c r="L82" s="27" t="n">
        <f aca="false">CapexGW!M80</f>
        <v>20.0585306633205</v>
      </c>
      <c r="M82" s="20" t="s">
        <v>1734</v>
      </c>
    </row>
    <row r="83" customFormat="false" ht="17.15" hidden="false" customHeight="false" outlineLevel="0" collapsed="false">
      <c r="A83" s="0" t="s">
        <v>1735</v>
      </c>
      <c r="B83" s="0" t="s">
        <v>1736</v>
      </c>
      <c r="C83" s="0" t="s">
        <v>75</v>
      </c>
      <c r="D83" s="27" t="n">
        <f aca="false">CapexGW!E99</f>
        <v>0.386465</v>
      </c>
      <c r="E83" s="27" t="n">
        <f aca="false">CapexGW!F99</f>
        <v>1.20287</v>
      </c>
      <c r="F83" s="27" t="n">
        <f aca="false">CapexGW!G99</f>
        <v>2.749</v>
      </c>
      <c r="G83" s="27" t="n">
        <f aca="false">CapexGW!H99</f>
        <v>4.28196918960021</v>
      </c>
      <c r="H83" s="27" t="n">
        <f aca="false">CapexGW!I99</f>
        <v>5.79221708619802</v>
      </c>
      <c r="I83" s="27" t="n">
        <f aca="false">CapexGW!J99</f>
        <v>7.30959059479468</v>
      </c>
      <c r="J83" s="27" t="n">
        <f aca="false">CapexGW!K99</f>
        <v>8.92586015863146</v>
      </c>
      <c r="K83" s="27" t="n">
        <f aca="false">CapexGW!L99</f>
        <v>10.6820118680603</v>
      </c>
      <c r="L83" s="27" t="n">
        <f aca="false">CapexGW!M99</f>
        <v>12.6137787484321</v>
      </c>
      <c r="M83" s="20" t="s">
        <v>1737</v>
      </c>
    </row>
    <row r="84" customFormat="false" ht="17.15" hidden="false" customHeight="false" outlineLevel="0" collapsed="false">
      <c r="A84" s="0" t="s">
        <v>1738</v>
      </c>
      <c r="B84" s="0" t="s">
        <v>1739</v>
      </c>
      <c r="C84" s="0" t="s">
        <v>75</v>
      </c>
      <c r="D84" s="27" t="n">
        <f aca="false">CapexGW!E118</f>
        <v>0.36</v>
      </c>
      <c r="E84" s="27" t="n">
        <f aca="false">CapexGW!F118</f>
        <v>0.85</v>
      </c>
      <c r="F84" s="27" t="n">
        <f aca="false">CapexGW!G118</f>
        <v>1.85</v>
      </c>
      <c r="G84" s="27" t="n">
        <f aca="false">CapexGW!H118</f>
        <v>3.3875</v>
      </c>
      <c r="H84" s="27" t="n">
        <f aca="false">CapexGW!I118</f>
        <v>4.14554229320819</v>
      </c>
      <c r="I84" s="27" t="n">
        <f aca="false">CapexGW!J118</f>
        <v>4.98821739756346</v>
      </c>
      <c r="J84" s="27" t="n">
        <f aca="false">CapexGW!K118</f>
        <v>5.91332354029914</v>
      </c>
      <c r="K84" s="27" t="n">
        <f aca="false">CapexGW!L118</f>
        <v>6.93094029730838</v>
      </c>
      <c r="L84" s="27" t="n">
        <f aca="false">CapexGW!M118</f>
        <v>8.05031873001854</v>
      </c>
      <c r="M84" s="20" t="s">
        <v>1740</v>
      </c>
    </row>
    <row r="85" customFormat="false" ht="17.15" hidden="false" customHeight="false" outlineLevel="0" collapsed="false">
      <c r="A85" s="0" t="s">
        <v>1741</v>
      </c>
      <c r="B85" s="0" t="s">
        <v>1742</v>
      </c>
      <c r="C85" s="0" t="s">
        <v>75</v>
      </c>
      <c r="D85" s="27" t="n">
        <f aca="false">CapexGW!E137</f>
        <v>0</v>
      </c>
      <c r="E85" s="27" t="n">
        <f aca="false">CapexGW!F137</f>
        <v>0.17</v>
      </c>
      <c r="F85" s="27" t="n">
        <f aca="false">CapexGW!G137</f>
        <v>0.9</v>
      </c>
      <c r="G85" s="27" t="n">
        <f aca="false">CapexGW!H137</f>
        <v>1.29617936652654</v>
      </c>
      <c r="H85" s="27" t="n">
        <f aca="false">CapexGW!I137</f>
        <v>1.8505148006767</v>
      </c>
      <c r="I85" s="27" t="n">
        <f aca="false">CapexGW!J137</f>
        <v>2.48043899442144</v>
      </c>
      <c r="J85" s="27" t="n">
        <f aca="false">CapexGW!K137</f>
        <v>3.1889076417039</v>
      </c>
      <c r="K85" s="27" t="n">
        <f aca="false">CapexGW!L137</f>
        <v>3.96822315371461</v>
      </c>
      <c r="L85" s="27" t="n">
        <f aca="false">CapexGW!M137</f>
        <v>4.82547021692639</v>
      </c>
      <c r="M85" s="20" t="s">
        <v>1743</v>
      </c>
    </row>
    <row r="86" customFormat="false" ht="17.15" hidden="false" customHeight="false" outlineLevel="0" collapsed="false">
      <c r="A86" s="0" t="s">
        <v>1744</v>
      </c>
      <c r="B86" s="0" t="s">
        <v>1186</v>
      </c>
      <c r="C86" s="0" t="s">
        <v>75</v>
      </c>
      <c r="D86" s="27" t="str">
        <f aca="false">Players!E163</f>
        <v/>
      </c>
      <c r="E86" s="27" t="n">
        <f aca="false">Players!F163</f>
        <v>0.0055</v>
      </c>
      <c r="F86" s="27" t="n">
        <f aca="false">Players!G163</f>
        <v>0.014574</v>
      </c>
      <c r="G86" s="27" t="n">
        <f aca="false">Players!H163</f>
        <v>0.016548</v>
      </c>
      <c r="H86" s="27" t="n">
        <f aca="false">Players!I163</f>
        <v>0.016548</v>
      </c>
      <c r="I86" s="27" t="n">
        <f aca="false">Players!J163</f>
        <v>0.016548</v>
      </c>
      <c r="J86" s="27" t="n">
        <f aca="false">Players!K163</f>
        <v>0.016548</v>
      </c>
      <c r="K86" s="27" t="n">
        <f aca="false">Players!L163</f>
        <v>0.016548</v>
      </c>
      <c r="L86" s="27" t="n">
        <f aca="false">Players!M163</f>
        <v>0.016548</v>
      </c>
      <c r="M86" s="20" t="s">
        <v>1745</v>
      </c>
    </row>
    <row r="87" customFormat="false" ht="17.15" hidden="false" customHeight="false" outlineLevel="0" collapsed="false">
      <c r="A87" s="0" t="s">
        <v>1746</v>
      </c>
      <c r="B87" s="0" t="s">
        <v>1187</v>
      </c>
      <c r="C87" s="0" t="s">
        <v>75</v>
      </c>
      <c r="D87" s="27" t="str">
        <f aca="false">Players!E182</f>
        <v/>
      </c>
      <c r="E87" s="27" t="n">
        <f aca="false">Players!F182</f>
        <v>0.5698</v>
      </c>
      <c r="F87" s="27" t="n">
        <f aca="false">Players!G182</f>
        <v>2</v>
      </c>
      <c r="G87" s="27" t="n">
        <f aca="false">Players!H182</f>
        <v>2</v>
      </c>
      <c r="H87" s="27" t="n">
        <f aca="false">Players!I182</f>
        <v>2</v>
      </c>
      <c r="I87" s="27" t="n">
        <f aca="false">Players!J182</f>
        <v>2</v>
      </c>
      <c r="J87" s="27" t="n">
        <f aca="false">Players!K182</f>
        <v>2</v>
      </c>
      <c r="K87" s="27" t="n">
        <f aca="false">Players!L182</f>
        <v>2</v>
      </c>
      <c r="L87" s="27" t="n">
        <f aca="false">Players!M182</f>
        <v>2</v>
      </c>
      <c r="M87" s="20" t="s">
        <v>1747</v>
      </c>
    </row>
    <row r="88" customFormat="false" ht="17.15" hidden="false" customHeight="false" outlineLevel="0" collapsed="false">
      <c r="A88" s="0" t="s">
        <v>1748</v>
      </c>
      <c r="B88" s="0" t="s">
        <v>1188</v>
      </c>
      <c r="C88" s="0" t="s">
        <v>75</v>
      </c>
      <c r="D88" s="27" t="str">
        <f aca="false">Players!E201</f>
        <v/>
      </c>
      <c r="E88" s="27" t="n">
        <f aca="false">Players!F201</f>
        <v>0</v>
      </c>
      <c r="F88" s="27" t="n">
        <f aca="false">Players!G201</f>
        <v>0</v>
      </c>
      <c r="G88" s="27" t="n">
        <f aca="false">Players!H201</f>
        <v>0</v>
      </c>
      <c r="H88" s="27" t="n">
        <f aca="false">Players!I201</f>
        <v>1.417</v>
      </c>
      <c r="I88" s="27" t="n">
        <f aca="false">Players!J201</f>
        <v>2.834</v>
      </c>
      <c r="J88" s="27" t="n">
        <f aca="false">Players!K201</f>
        <v>4.25</v>
      </c>
      <c r="K88" s="27" t="n">
        <f aca="false">Players!L201</f>
        <v>4.25</v>
      </c>
      <c r="L88" s="27" t="n">
        <f aca="false">Players!M201</f>
        <v>4.25</v>
      </c>
      <c r="M88" s="20" t="s">
        <v>1749</v>
      </c>
    </row>
    <row r="89" customFormat="false" ht="17.15" hidden="false" customHeight="false" outlineLevel="0" collapsed="false">
      <c r="A89" s="0" t="s">
        <v>1750</v>
      </c>
      <c r="B89" s="0" t="s">
        <v>1189</v>
      </c>
      <c r="C89" s="0" t="s">
        <v>75</v>
      </c>
      <c r="D89" s="27" t="str">
        <f aca="false">Players!E220</f>
        <v/>
      </c>
      <c r="E89" s="27" t="n">
        <f aca="false">Players!F220</f>
        <v>0</v>
      </c>
      <c r="F89" s="27" t="n">
        <f aca="false">Players!G220</f>
        <v>0</v>
      </c>
      <c r="G89" s="27" t="n">
        <f aca="false">Players!H220</f>
        <v>0</v>
      </c>
      <c r="H89" s="27" t="n">
        <f aca="false">Players!I220</f>
        <v>0</v>
      </c>
      <c r="I89" s="27" t="n">
        <f aca="false">Players!J220</f>
        <v>0</v>
      </c>
      <c r="J89" s="27" t="n">
        <f aca="false">Players!K220</f>
        <v>0</v>
      </c>
      <c r="K89" s="27" t="n">
        <f aca="false">Players!L220</f>
        <v>0</v>
      </c>
      <c r="L89" s="27" t="n">
        <f aca="false">Players!M220</f>
        <v>0</v>
      </c>
      <c r="M89" s="20" t="s">
        <v>1751</v>
      </c>
    </row>
    <row r="90" customFormat="false" ht="17.15" hidden="false" customHeight="false" outlineLevel="0" collapsed="false">
      <c r="A90" s="0" t="s">
        <v>1752</v>
      </c>
      <c r="B90" s="5" t="s">
        <v>1190</v>
      </c>
      <c r="C90" s="0" t="s">
        <v>75</v>
      </c>
      <c r="D90" s="27" t="n">
        <f aca="false">Players!E239</f>
        <v>0.2</v>
      </c>
      <c r="E90" s="27" t="n">
        <f aca="false">Players!F239</f>
        <v>0.5</v>
      </c>
      <c r="F90" s="27" t="n">
        <f aca="false">Players!G239</f>
        <v>1.3</v>
      </c>
      <c r="G90" s="27" t="n">
        <f aca="false">Players!H239</f>
        <v>2</v>
      </c>
      <c r="H90" s="27" t="n">
        <f aca="false">Players!I239</f>
        <v>2.201</v>
      </c>
      <c r="I90" s="27" t="n">
        <f aca="false">Players!J239</f>
        <v>2.201</v>
      </c>
      <c r="J90" s="27" t="n">
        <f aca="false">Players!K239</f>
        <v>2.201</v>
      </c>
      <c r="K90" s="27" t="n">
        <f aca="false">Players!L239</f>
        <v>2.201</v>
      </c>
      <c r="L90" s="27" t="n">
        <f aca="false">Players!M239</f>
        <v>2.201</v>
      </c>
      <c r="M90" s="20" t="s">
        <v>1753</v>
      </c>
    </row>
    <row r="91" customFormat="false" ht="17.15" hidden="false" customHeight="false" outlineLevel="0" collapsed="false">
      <c r="A91" s="0" t="s">
        <v>1754</v>
      </c>
      <c r="B91" s="5" t="s">
        <v>1191</v>
      </c>
      <c r="C91" s="0" t="s">
        <v>75</v>
      </c>
      <c r="D91" s="27" t="str">
        <f aca="false">Players!E258</f>
        <v/>
      </c>
      <c r="E91" s="27" t="n">
        <f aca="false">Players!F258</f>
        <v>0</v>
      </c>
      <c r="F91" s="27" t="n">
        <f aca="false">Players!G258</f>
        <v>0.2</v>
      </c>
      <c r="G91" s="27" t="n">
        <f aca="false">Players!H258</f>
        <v>0.2</v>
      </c>
      <c r="H91" s="27" t="n">
        <f aca="false">Players!I258</f>
        <v>0.2</v>
      </c>
      <c r="I91" s="27" t="n">
        <f aca="false">Players!J258</f>
        <v>0.2</v>
      </c>
      <c r="J91" s="27" t="n">
        <f aca="false">Players!K258</f>
        <v>1.9</v>
      </c>
      <c r="K91" s="27" t="n">
        <f aca="false">Players!L258</f>
        <v>1.9</v>
      </c>
      <c r="L91" s="27" t="n">
        <f aca="false">Players!M258</f>
        <v>1.9</v>
      </c>
      <c r="M91" s="20" t="s">
        <v>1755</v>
      </c>
    </row>
    <row r="92" customFormat="false" ht="17.15" hidden="false" customHeight="false" outlineLevel="0" collapsed="false">
      <c r="A92" s="0" t="s">
        <v>1756</v>
      </c>
      <c r="B92" s="5" t="s">
        <v>1192</v>
      </c>
      <c r="C92" s="0" t="s">
        <v>75</v>
      </c>
      <c r="D92" s="27" t="str">
        <f aca="false">Players!E277</f>
        <v/>
      </c>
      <c r="E92" s="27" t="n">
        <f aca="false">Players!F277</f>
        <v>8.33333333333333</v>
      </c>
      <c r="F92" s="27" t="n">
        <f aca="false">Players!G277</f>
        <v>11.6666666666667</v>
      </c>
      <c r="G92" s="27" t="n">
        <f aca="false">Players!H277</f>
        <v>13.6561711245072</v>
      </c>
      <c r="H92" s="27" t="n">
        <f aca="false">Players!I277</f>
        <v>15.9373851854162</v>
      </c>
      <c r="I92" s="27" t="n">
        <f aca="false">Players!J277</f>
        <v>18.5499065164136</v>
      </c>
      <c r="J92" s="27" t="n">
        <f aca="false">Players!K277</f>
        <v>21.5384615384615</v>
      </c>
      <c r="K92" s="27" t="n">
        <f aca="false">Players!L277</f>
        <v>23.6923076923077</v>
      </c>
      <c r="L92" s="27" t="n">
        <f aca="false">Players!M277</f>
        <v>26.0615384615385</v>
      </c>
      <c r="M92" s="20" t="s">
        <v>1757</v>
      </c>
    </row>
    <row r="93" customFormat="false" ht="17.15" hidden="false" customHeight="false" outlineLevel="0" collapsed="false">
      <c r="A93" s="0" t="s">
        <v>1758</v>
      </c>
      <c r="B93" s="5" t="s">
        <v>1193</v>
      </c>
      <c r="C93" s="0" t="s">
        <v>75</v>
      </c>
      <c r="D93" s="27" t="str">
        <f aca="false">Players!E296</f>
        <v/>
      </c>
      <c r="E93" s="27" t="n">
        <f aca="false">Players!F296</f>
        <v>1</v>
      </c>
      <c r="F93" s="27" t="n">
        <f aca="false">Players!G296</f>
        <v>1</v>
      </c>
      <c r="G93" s="27" t="n">
        <f aca="false">Players!H296</f>
        <v>1</v>
      </c>
      <c r="H93" s="27" t="n">
        <f aca="false">Players!I296</f>
        <v>1</v>
      </c>
      <c r="I93" s="27" t="n">
        <f aca="false">Players!J296</f>
        <v>1</v>
      </c>
      <c r="J93" s="27" t="n">
        <f aca="false">Players!K296</f>
        <v>1</v>
      </c>
      <c r="K93" s="27" t="n">
        <f aca="false">Players!L296</f>
        <v>1</v>
      </c>
      <c r="L93" s="27" t="n">
        <f aca="false">Players!M296</f>
        <v>1</v>
      </c>
      <c r="M93" s="20" t="s">
        <v>1759</v>
      </c>
    </row>
    <row r="94" customFormat="false" ht="17.15" hidden="false" customHeight="false" outlineLevel="0" collapsed="false">
      <c r="A94" s="8" t="s">
        <v>1760</v>
      </c>
    </row>
    <row r="95" customFormat="false" ht="17.15" hidden="false" customHeight="false" outlineLevel="0" collapsed="false">
      <c r="A95" s="0" t="s">
        <v>1761</v>
      </c>
      <c r="B95" s="0" t="s">
        <v>1762</v>
      </c>
      <c r="C95" s="0" t="s">
        <v>75</v>
      </c>
      <c r="D95" s="27" t="n">
        <f aca="false">Players!E30</f>
        <v>1.593775</v>
      </c>
      <c r="E95" s="27" t="n">
        <f aca="false">Players!F30</f>
        <v>3.729045</v>
      </c>
      <c r="F95" s="27" t="n">
        <f aca="false">Players!G30</f>
        <v>4.5</v>
      </c>
      <c r="G95" s="27" t="n">
        <f aca="false">Players!H30</f>
        <v>5.4</v>
      </c>
      <c r="H95" s="27" t="n">
        <f aca="false">Players!I30</f>
        <v>7.294</v>
      </c>
      <c r="I95" s="27" t="n">
        <f aca="false">Players!J30</f>
        <v>7.294</v>
      </c>
      <c r="J95" s="27" t="n">
        <f aca="false">Players!K30</f>
        <v>7.294</v>
      </c>
      <c r="K95" s="27" t="n">
        <f aca="false">Players!L30</f>
        <v>7.294</v>
      </c>
      <c r="L95" s="27" t="n">
        <f aca="false">Players!M30</f>
        <v>7.294</v>
      </c>
      <c r="M95" s="20" t="s">
        <v>1763</v>
      </c>
    </row>
    <row r="96" customFormat="false" ht="17.15" hidden="false" customHeight="false" outlineLevel="0" collapsed="false">
      <c r="A96" s="0" t="s">
        <v>1764</v>
      </c>
      <c r="B96" s="0" t="s">
        <v>1765</v>
      </c>
      <c r="C96" s="0" t="s">
        <v>75</v>
      </c>
      <c r="D96" s="27" t="n">
        <f aca="false">Players!E49</f>
        <v>1.89038669917378</v>
      </c>
      <c r="E96" s="27" t="n">
        <f aca="false">Players!F49</f>
        <v>4.3</v>
      </c>
      <c r="F96" s="27" t="n">
        <f aca="false">Players!G49</f>
        <v>5.59267912772586</v>
      </c>
      <c r="G96" s="27" t="n">
        <f aca="false">Players!H49</f>
        <v>5.59267912772586</v>
      </c>
      <c r="H96" s="27" t="n">
        <f aca="false">Players!I49</f>
        <v>5.59267912772586</v>
      </c>
      <c r="I96" s="27" t="n">
        <f aca="false">Players!J49</f>
        <v>5.59267912772586</v>
      </c>
      <c r="J96" s="27" t="n">
        <f aca="false">Players!K49</f>
        <v>5.59267912772586</v>
      </c>
      <c r="K96" s="27" t="n">
        <f aca="false">Players!L49</f>
        <v>5.59267912772586</v>
      </c>
      <c r="L96" s="27" t="n">
        <f aca="false">Players!M49</f>
        <v>5.59267912772586</v>
      </c>
      <c r="M96" s="20" t="s">
        <v>1766</v>
      </c>
    </row>
    <row r="97" customFormat="false" ht="17.15" hidden="false" customHeight="false" outlineLevel="0" collapsed="false">
      <c r="A97" s="0" t="s">
        <v>1767</v>
      </c>
      <c r="B97" s="0" t="s">
        <v>1768</v>
      </c>
      <c r="C97" s="0" t="s">
        <v>75</v>
      </c>
      <c r="D97" s="27" t="n">
        <f aca="false">Players!E68</f>
        <v>0.810284005979073</v>
      </c>
      <c r="E97" s="27" t="n">
        <f aca="false">Players!F68</f>
        <v>2.2</v>
      </c>
      <c r="F97" s="27" t="n">
        <f aca="false">Players!G68</f>
        <v>2.727</v>
      </c>
      <c r="G97" s="27" t="n">
        <f aca="false">Players!H68</f>
        <v>2.727</v>
      </c>
      <c r="H97" s="27" t="n">
        <f aca="false">Players!I68</f>
        <v>3.615</v>
      </c>
      <c r="I97" s="27" t="n">
        <f aca="false">Players!J68</f>
        <v>3.615</v>
      </c>
      <c r="J97" s="27" t="n">
        <f aca="false">Players!K68</f>
        <v>3.615</v>
      </c>
      <c r="K97" s="27" t="n">
        <f aca="false">Players!L68</f>
        <v>3.615</v>
      </c>
      <c r="L97" s="27" t="n">
        <f aca="false">Players!M68</f>
        <v>3.615</v>
      </c>
      <c r="M97" s="20" t="s">
        <v>1769</v>
      </c>
    </row>
    <row r="98" customFormat="false" ht="17.15" hidden="false" customHeight="false" outlineLevel="0" collapsed="false">
      <c r="A98" s="0" t="s">
        <v>1770</v>
      </c>
      <c r="B98" s="0" t="s">
        <v>1771</v>
      </c>
      <c r="C98" s="0" t="s">
        <v>75</v>
      </c>
      <c r="D98" s="27" t="n">
        <f aca="false">Players!E87</f>
        <v>0.968475</v>
      </c>
      <c r="E98" s="27" t="n">
        <f aca="false">Players!F87</f>
        <v>2.476595</v>
      </c>
      <c r="F98" s="27" t="n">
        <f aca="false">Players!G87</f>
        <v>3.152595</v>
      </c>
      <c r="G98" s="27" t="n">
        <f aca="false">Players!H87</f>
        <v>3.344595</v>
      </c>
      <c r="H98" s="27" t="n">
        <f aca="false">Players!I87</f>
        <v>6.130595</v>
      </c>
      <c r="I98" s="27" t="n">
        <f aca="false">Players!J87</f>
        <v>6.498595</v>
      </c>
      <c r="J98" s="27" t="n">
        <f aca="false">Players!K87</f>
        <v>6.498595</v>
      </c>
      <c r="K98" s="27" t="n">
        <f aca="false">Players!L87</f>
        <v>6.498595</v>
      </c>
      <c r="L98" s="27" t="n">
        <f aca="false">Players!M87</f>
        <v>6.498595</v>
      </c>
      <c r="M98" s="20" t="s">
        <v>1772</v>
      </c>
    </row>
    <row r="99" customFormat="false" ht="17.15" hidden="false" customHeight="false" outlineLevel="0" collapsed="false">
      <c r="A99" s="0" t="s">
        <v>1773</v>
      </c>
      <c r="B99" s="0" t="s">
        <v>1774</v>
      </c>
      <c r="C99" s="0" t="s">
        <v>75</v>
      </c>
      <c r="D99" s="27" t="n">
        <f aca="false">Players!E106</f>
        <v>0.386465</v>
      </c>
      <c r="E99" s="27" t="n">
        <f aca="false">Players!F106</f>
        <v>1.20287</v>
      </c>
      <c r="F99" s="27" t="n">
        <f aca="false">Players!G106</f>
        <v>2.749</v>
      </c>
      <c r="G99" s="27" t="n">
        <f aca="false">Players!H106</f>
        <v>2.91566666666667</v>
      </c>
      <c r="H99" s="27" t="n">
        <f aca="false">Players!I106</f>
        <v>8.499</v>
      </c>
      <c r="I99" s="27" t="n">
        <f aca="false">Players!J106</f>
        <v>8.499</v>
      </c>
      <c r="J99" s="27" t="n">
        <f aca="false">Players!K106</f>
        <v>8.499</v>
      </c>
      <c r="K99" s="27" t="n">
        <f aca="false">Players!L106</f>
        <v>8.499</v>
      </c>
      <c r="L99" s="27" t="n">
        <f aca="false">Players!M106</f>
        <v>8.499</v>
      </c>
      <c r="M99" s="20" t="s">
        <v>1775</v>
      </c>
    </row>
    <row r="100" customFormat="false" ht="17.15" hidden="false" customHeight="false" outlineLevel="0" collapsed="false">
      <c r="A100" s="0" t="s">
        <v>1776</v>
      </c>
      <c r="B100" s="0" t="s">
        <v>1777</v>
      </c>
      <c r="C100" s="0" t="s">
        <v>75</v>
      </c>
      <c r="D100" s="27" t="n">
        <f aca="false">Players!E125</f>
        <v>0.36</v>
      </c>
      <c r="E100" s="27" t="n">
        <f aca="false">Players!F125</f>
        <v>0.85</v>
      </c>
      <c r="F100" s="27" t="n">
        <f aca="false">Players!G125</f>
        <v>1.85</v>
      </c>
      <c r="G100" s="27" t="n">
        <f aca="false">Players!H125</f>
        <v>3.3875</v>
      </c>
      <c r="H100" s="27" t="n">
        <f aca="false">Players!I125</f>
        <v>4.925</v>
      </c>
      <c r="I100" s="27" t="n">
        <f aca="false">Players!J125</f>
        <v>6.4625</v>
      </c>
      <c r="J100" s="27" t="n">
        <f aca="false">Players!K125</f>
        <v>8</v>
      </c>
      <c r="K100" s="27" t="n">
        <f aca="false">Players!L125</f>
        <v>8</v>
      </c>
      <c r="L100" s="27" t="n">
        <f aca="false">Players!M125</f>
        <v>8</v>
      </c>
      <c r="M100" s="20" t="s">
        <v>1778</v>
      </c>
    </row>
    <row r="101" customFormat="false" ht="17.15" hidden="false" customHeight="false" outlineLevel="0" collapsed="false">
      <c r="A101" s="0" t="s">
        <v>1779</v>
      </c>
      <c r="B101" s="0" t="s">
        <v>1780</v>
      </c>
      <c r="C101" s="0" t="s">
        <v>75</v>
      </c>
      <c r="D101" s="27" t="str">
        <f aca="false">Players!E144</f>
        <v/>
      </c>
      <c r="E101" s="27" t="n">
        <f aca="false">Players!F144</f>
        <v>0.17</v>
      </c>
      <c r="F101" s="27" t="n">
        <f aca="false">Players!G144</f>
        <v>0.9</v>
      </c>
      <c r="G101" s="27" t="n">
        <f aca="false">Players!H144</f>
        <v>0.9</v>
      </c>
      <c r="H101" s="27" t="n">
        <f aca="false">Players!I144</f>
        <v>0.9</v>
      </c>
      <c r="I101" s="27" t="n">
        <f aca="false">Players!J144</f>
        <v>0.9</v>
      </c>
      <c r="J101" s="27" t="n">
        <f aca="false">Players!K144</f>
        <v>0.9</v>
      </c>
      <c r="K101" s="27" t="n">
        <f aca="false">Players!L144</f>
        <v>0.9</v>
      </c>
      <c r="L101" s="27" t="n">
        <f aca="false">Players!M144</f>
        <v>0.9</v>
      </c>
      <c r="M101" s="20" t="s">
        <v>1781</v>
      </c>
    </row>
    <row r="102" customFormat="false" ht="17.15" hidden="false" customHeight="false" outlineLevel="0" collapsed="false">
      <c r="A102" s="0" t="s">
        <v>1782</v>
      </c>
      <c r="B102" s="0" t="s">
        <v>1783</v>
      </c>
      <c r="C102" s="0" t="s">
        <v>75</v>
      </c>
      <c r="D102" s="27" t="str">
        <f aca="false">Players!E163</f>
        <v/>
      </c>
      <c r="E102" s="27" t="n">
        <f aca="false">Players!F163</f>
        <v>0.0055</v>
      </c>
      <c r="F102" s="27" t="n">
        <f aca="false">Players!G163</f>
        <v>0.014574</v>
      </c>
      <c r="G102" s="27" t="n">
        <f aca="false">Players!H163</f>
        <v>0.016548</v>
      </c>
      <c r="H102" s="27" t="n">
        <f aca="false">Players!I163</f>
        <v>0.016548</v>
      </c>
      <c r="I102" s="27" t="n">
        <f aca="false">Players!J163</f>
        <v>0.016548</v>
      </c>
      <c r="J102" s="27" t="n">
        <f aca="false">Players!K163</f>
        <v>0.016548</v>
      </c>
      <c r="K102" s="27" t="n">
        <f aca="false">Players!L163</f>
        <v>0.016548</v>
      </c>
      <c r="L102" s="27" t="n">
        <f aca="false">Players!M163</f>
        <v>0.016548</v>
      </c>
      <c r="M102" s="20" t="s">
        <v>1745</v>
      </c>
    </row>
    <row r="103" customFormat="false" ht="17.15" hidden="false" customHeight="false" outlineLevel="0" collapsed="false">
      <c r="A103" s="0" t="s">
        <v>1784</v>
      </c>
      <c r="B103" s="0" t="s">
        <v>1785</v>
      </c>
      <c r="C103" s="0" t="s">
        <v>75</v>
      </c>
      <c r="D103" s="27" t="str">
        <f aca="false">Players!E182</f>
        <v/>
      </c>
      <c r="E103" s="27" t="n">
        <f aca="false">Players!F182</f>
        <v>0.5698</v>
      </c>
      <c r="F103" s="27" t="n">
        <f aca="false">Players!G182</f>
        <v>2</v>
      </c>
      <c r="G103" s="27" t="n">
        <f aca="false">Players!H182</f>
        <v>2</v>
      </c>
      <c r="H103" s="27" t="n">
        <f aca="false">Players!I182</f>
        <v>2</v>
      </c>
      <c r="I103" s="27" t="n">
        <f aca="false">Players!J182</f>
        <v>2</v>
      </c>
      <c r="J103" s="27" t="n">
        <f aca="false">Players!K182</f>
        <v>2</v>
      </c>
      <c r="K103" s="27" t="n">
        <f aca="false">Players!L182</f>
        <v>2</v>
      </c>
      <c r="L103" s="27" t="n">
        <f aca="false">Players!M182</f>
        <v>2</v>
      </c>
      <c r="M103" s="20" t="s">
        <v>1747</v>
      </c>
    </row>
    <row r="104" customFormat="false" ht="17.15" hidden="false" customHeight="false" outlineLevel="0" collapsed="false">
      <c r="A104" s="0" t="s">
        <v>1786</v>
      </c>
      <c r="B104" s="0" t="s">
        <v>1787</v>
      </c>
      <c r="C104" s="0" t="s">
        <v>75</v>
      </c>
      <c r="D104" s="27" t="str">
        <f aca="false">Players!E201</f>
        <v/>
      </c>
      <c r="E104" s="27" t="n">
        <f aca="false">Players!F201</f>
        <v>0</v>
      </c>
      <c r="F104" s="27" t="n">
        <f aca="false">Players!G201</f>
        <v>0</v>
      </c>
      <c r="G104" s="27" t="n">
        <f aca="false">Players!H201</f>
        <v>0</v>
      </c>
      <c r="H104" s="27" t="n">
        <f aca="false">Players!I201</f>
        <v>1.417</v>
      </c>
      <c r="I104" s="27" t="n">
        <f aca="false">Players!J201</f>
        <v>2.834</v>
      </c>
      <c r="J104" s="27" t="n">
        <f aca="false">Players!K201</f>
        <v>4.25</v>
      </c>
      <c r="K104" s="27" t="n">
        <f aca="false">Players!L201</f>
        <v>4.25</v>
      </c>
      <c r="L104" s="27" t="n">
        <f aca="false">Players!M201</f>
        <v>4.25</v>
      </c>
      <c r="M104" s="20" t="s">
        <v>1749</v>
      </c>
    </row>
    <row r="105" customFormat="false" ht="17.15" hidden="false" customHeight="false" outlineLevel="0" collapsed="false">
      <c r="A105" s="0" t="s">
        <v>1788</v>
      </c>
      <c r="B105" s="0" t="s">
        <v>1789</v>
      </c>
      <c r="C105" s="0" t="s">
        <v>75</v>
      </c>
      <c r="D105" s="27" t="str">
        <f aca="false">Players!E220</f>
        <v/>
      </c>
      <c r="E105" s="27" t="n">
        <f aca="false">Players!F220</f>
        <v>0</v>
      </c>
      <c r="F105" s="27" t="n">
        <f aca="false">Players!G220</f>
        <v>0</v>
      </c>
      <c r="G105" s="27" t="n">
        <f aca="false">Players!H220</f>
        <v>0</v>
      </c>
      <c r="H105" s="27" t="n">
        <f aca="false">Players!I220</f>
        <v>0</v>
      </c>
      <c r="I105" s="27" t="n">
        <f aca="false">Players!J220</f>
        <v>0</v>
      </c>
      <c r="J105" s="27" t="n">
        <f aca="false">Players!K220</f>
        <v>0</v>
      </c>
      <c r="K105" s="27" t="n">
        <f aca="false">Players!L220</f>
        <v>0</v>
      </c>
      <c r="L105" s="27" t="n">
        <f aca="false">Players!M220</f>
        <v>0</v>
      </c>
      <c r="M105" s="20" t="s">
        <v>1751</v>
      </c>
    </row>
    <row r="106" customFormat="false" ht="17.15" hidden="false" customHeight="false" outlineLevel="0" collapsed="false">
      <c r="A106" s="0" t="s">
        <v>1790</v>
      </c>
      <c r="B106" s="5" t="s">
        <v>1791</v>
      </c>
      <c r="C106" s="0" t="s">
        <v>75</v>
      </c>
      <c r="D106" s="27" t="n">
        <f aca="false">Players!E239</f>
        <v>0.2</v>
      </c>
      <c r="E106" s="27" t="n">
        <f aca="false">Players!F239</f>
        <v>0.5</v>
      </c>
      <c r="F106" s="27" t="n">
        <f aca="false">Players!G239</f>
        <v>1.3</v>
      </c>
      <c r="G106" s="27" t="n">
        <f aca="false">Players!H239</f>
        <v>2</v>
      </c>
      <c r="H106" s="27" t="n">
        <f aca="false">Players!I239</f>
        <v>2.201</v>
      </c>
      <c r="I106" s="27" t="n">
        <f aca="false">Players!J239</f>
        <v>2.201</v>
      </c>
      <c r="J106" s="27" t="n">
        <f aca="false">Players!K239</f>
        <v>2.201</v>
      </c>
      <c r="K106" s="27" t="n">
        <f aca="false">Players!L239</f>
        <v>2.201</v>
      </c>
      <c r="L106" s="27" t="n">
        <f aca="false">Players!M239</f>
        <v>2.201</v>
      </c>
      <c r="M106" s="20" t="s">
        <v>1753</v>
      </c>
    </row>
    <row r="107" customFormat="false" ht="17.15" hidden="false" customHeight="false" outlineLevel="0" collapsed="false">
      <c r="A107" s="0" t="s">
        <v>1792</v>
      </c>
      <c r="B107" s="5" t="s">
        <v>1793</v>
      </c>
      <c r="C107" s="0" t="s">
        <v>75</v>
      </c>
      <c r="D107" s="27" t="str">
        <f aca="false">Players!E258</f>
        <v/>
      </c>
      <c r="E107" s="27" t="n">
        <f aca="false">Players!F258</f>
        <v>0</v>
      </c>
      <c r="F107" s="27" t="n">
        <f aca="false">Players!G258</f>
        <v>0.2</v>
      </c>
      <c r="G107" s="27" t="n">
        <f aca="false">Players!H258</f>
        <v>0.2</v>
      </c>
      <c r="H107" s="27" t="n">
        <f aca="false">Players!I258</f>
        <v>0.2</v>
      </c>
      <c r="I107" s="27" t="n">
        <f aca="false">Players!J258</f>
        <v>0.2</v>
      </c>
      <c r="J107" s="27" t="n">
        <f aca="false">Players!K258</f>
        <v>1.9</v>
      </c>
      <c r="K107" s="27" t="n">
        <f aca="false">Players!L258</f>
        <v>1.9</v>
      </c>
      <c r="L107" s="27" t="n">
        <f aca="false">Players!M258</f>
        <v>1.9</v>
      </c>
      <c r="M107" s="20" t="s">
        <v>1755</v>
      </c>
    </row>
    <row r="108" customFormat="false" ht="17.15" hidden="false" customHeight="false" outlineLevel="0" collapsed="false">
      <c r="A108" s="0" t="s">
        <v>1794</v>
      </c>
      <c r="B108" s="5" t="s">
        <v>1795</v>
      </c>
      <c r="C108" s="0" t="s">
        <v>75</v>
      </c>
      <c r="D108" s="27" t="str">
        <f aca="false">Players!E277</f>
        <v/>
      </c>
      <c r="E108" s="27" t="n">
        <f aca="false">Players!F277</f>
        <v>8.33333333333333</v>
      </c>
      <c r="F108" s="27" t="n">
        <f aca="false">Players!G277</f>
        <v>11.6666666666667</v>
      </c>
      <c r="G108" s="27" t="n">
        <f aca="false">Players!H277</f>
        <v>13.6561711245072</v>
      </c>
      <c r="H108" s="27" t="n">
        <f aca="false">Players!I277</f>
        <v>15.9373851854162</v>
      </c>
      <c r="I108" s="27" t="n">
        <f aca="false">Players!J277</f>
        <v>18.5499065164136</v>
      </c>
      <c r="J108" s="27" t="n">
        <f aca="false">Players!K277</f>
        <v>21.5384615384615</v>
      </c>
      <c r="K108" s="27" t="n">
        <f aca="false">Players!L277</f>
        <v>23.6923076923077</v>
      </c>
      <c r="L108" s="27" t="n">
        <f aca="false">Players!M277</f>
        <v>26.0615384615385</v>
      </c>
      <c r="M108" s="20" t="s">
        <v>1757</v>
      </c>
    </row>
    <row r="109" customFormat="false" ht="17.15" hidden="false" customHeight="false" outlineLevel="0" collapsed="false">
      <c r="A109" s="0" t="s">
        <v>1796</v>
      </c>
      <c r="B109" s="5" t="s">
        <v>1797</v>
      </c>
      <c r="C109" s="0" t="s">
        <v>75</v>
      </c>
      <c r="D109" s="27" t="str">
        <f aca="false">Players!E296</f>
        <v/>
      </c>
      <c r="E109" s="27" t="n">
        <f aca="false">Players!F296</f>
        <v>1</v>
      </c>
      <c r="F109" s="27" t="n">
        <f aca="false">Players!G296</f>
        <v>1</v>
      </c>
      <c r="G109" s="27" t="n">
        <f aca="false">Players!H296</f>
        <v>1</v>
      </c>
      <c r="H109" s="27" t="n">
        <f aca="false">Players!I296</f>
        <v>1</v>
      </c>
      <c r="I109" s="27" t="n">
        <f aca="false">Players!J296</f>
        <v>1</v>
      </c>
      <c r="J109" s="27" t="n">
        <f aca="false">Players!K296</f>
        <v>1</v>
      </c>
      <c r="K109" s="27" t="n">
        <f aca="false">Players!L296</f>
        <v>1</v>
      </c>
      <c r="L109" s="27" t="n">
        <f aca="false">Players!M296</f>
        <v>1</v>
      </c>
      <c r="M109" s="20" t="s">
        <v>1759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1798</v>
      </c>
    </row>
    <row r="3" customFormat="false" ht="15" hidden="false" customHeight="false" outlineLevel="0" collapsed="false">
      <c r="A3" s="7" t="s">
        <v>1799</v>
      </c>
      <c r="B3" s="6" t="s">
        <v>13</v>
      </c>
      <c r="C3" s="6" t="s">
        <v>1800</v>
      </c>
      <c r="D3" s="6" t="s">
        <v>1801</v>
      </c>
      <c r="E3" s="6" t="s">
        <v>1181</v>
      </c>
      <c r="F3" s="6" t="s">
        <v>1802</v>
      </c>
      <c r="G3" s="6" t="s">
        <v>1803</v>
      </c>
      <c r="H3" s="6" t="s">
        <v>18</v>
      </c>
    </row>
    <row r="4" customFormat="false" ht="17.15" hidden="false" customHeight="false" outlineLevel="0" collapsed="false">
      <c r="A4" s="0" t="s">
        <v>1804</v>
      </c>
      <c r="B4" s="0" t="s">
        <v>1805</v>
      </c>
      <c r="C4" s="0" t="n">
        <f aca="false">SUMPRODUCT(ISERROR(In!A1:T210)*1)</f>
        <v>0</v>
      </c>
      <c r="F4" s="0" t="str">
        <f aca="false">IF(C4=0,"OK","ERROR")</f>
        <v>OK</v>
      </c>
      <c r="G4" s="5" t="s">
        <v>1806</v>
      </c>
    </row>
    <row r="5" customFormat="false" ht="17.15" hidden="false" customHeight="false" outlineLevel="0" collapsed="false">
      <c r="A5" s="0" t="s">
        <v>1807</v>
      </c>
      <c r="B5" s="0" t="s">
        <v>1808</v>
      </c>
      <c r="C5" s="0" t="n">
        <f aca="false">SUMPRODUCT(ISERROR(TK_In!A1:T65)*1)</f>
        <v>0</v>
      </c>
      <c r="F5" s="0" t="str">
        <f aca="false">IF(C5=0,"OK","ERROR")</f>
        <v>OK</v>
      </c>
      <c r="G5" s="5" t="s">
        <v>1806</v>
      </c>
    </row>
    <row r="6" customFormat="false" ht="17.15" hidden="false" customHeight="false" outlineLevel="0" collapsed="false">
      <c r="A6" s="0" t="s">
        <v>1809</v>
      </c>
      <c r="B6" s="0" t="s">
        <v>1810</v>
      </c>
      <c r="C6" s="0" t="n">
        <f aca="false">SUMPRODUCT(ISERROR(SIL_In!A1:T60)*1)</f>
        <v>0</v>
      </c>
      <c r="F6" s="0" t="str">
        <f aca="false">IF(C6=0,"OK","ERROR")</f>
        <v>OK</v>
      </c>
      <c r="G6" s="5" t="s">
        <v>1806</v>
      </c>
    </row>
    <row r="7" customFormat="false" ht="17.15" hidden="false" customHeight="false" outlineLevel="0" collapsed="false">
      <c r="A7" s="0" t="s">
        <v>1811</v>
      </c>
      <c r="B7" s="0" t="s">
        <v>1812</v>
      </c>
      <c r="C7" s="0" t="n">
        <f aca="false">SUMPRODUCT(ISERROR(Players!A1:T319)*1)</f>
        <v>0</v>
      </c>
      <c r="F7" s="0" t="str">
        <f aca="false">IF(C7=0,"OK","ERROR")</f>
        <v>OK</v>
      </c>
      <c r="G7" s="5" t="s">
        <v>1806</v>
      </c>
    </row>
    <row r="8" customFormat="false" ht="17.15" hidden="false" customHeight="false" outlineLevel="0" collapsed="false">
      <c r="A8" s="0" t="s">
        <v>1813</v>
      </c>
      <c r="B8" s="0" t="s">
        <v>1814</v>
      </c>
      <c r="C8" s="0" t="n">
        <f aca="false">SUMPRODUCT(ISERROR(Matrix!A1:T68)*1)</f>
        <v>0</v>
      </c>
      <c r="F8" s="0" t="str">
        <f aca="false">IF(C8=0,"OK","ERROR")</f>
        <v>OK</v>
      </c>
      <c r="G8" s="5" t="s">
        <v>1806</v>
      </c>
    </row>
    <row r="9" customFormat="false" ht="17.15" hidden="false" customHeight="false" outlineLevel="0" collapsed="false">
      <c r="A9" s="0" t="s">
        <v>1815</v>
      </c>
      <c r="B9" s="0" t="s">
        <v>1816</v>
      </c>
      <c r="C9" s="0" t="n">
        <f aca="false">SUMPRODUCT(ISERROR(Pipeline!A1:T163)*1)</f>
        <v>0</v>
      </c>
      <c r="F9" s="0" t="str">
        <f aca="false">IF(C9=0,"OK","ERROR")</f>
        <v>OK</v>
      </c>
      <c r="G9" s="5" t="s">
        <v>1806</v>
      </c>
    </row>
    <row r="10" customFormat="false" ht="17.15" hidden="false" customHeight="false" outlineLevel="0" collapsed="false">
      <c r="A10" s="0" t="s">
        <v>1817</v>
      </c>
      <c r="B10" s="0" t="s">
        <v>1818</v>
      </c>
      <c r="C10" s="0" t="n">
        <f aca="false">SUMPRODUCT(ISERROR(Deploy!A1:T111)*1)</f>
        <v>0</v>
      </c>
      <c r="F10" s="0" t="str">
        <f aca="false">IF(C10=0,"OK","ERROR")</f>
        <v>OK</v>
      </c>
      <c r="G10" s="5" t="s">
        <v>1806</v>
      </c>
    </row>
    <row r="11" customFormat="false" ht="17.15" hidden="false" customHeight="false" outlineLevel="0" collapsed="false">
      <c r="A11" s="0" t="s">
        <v>1819</v>
      </c>
      <c r="B11" s="0" t="s">
        <v>1820</v>
      </c>
      <c r="C11" s="0" t="n">
        <f aca="false">SUMPRODUCT(ISERROR(C0!A1:T34)*1)</f>
        <v>0</v>
      </c>
      <c r="F11" s="0" t="str">
        <f aca="false">IF(C11=0,"OK","ERROR")</f>
        <v>OK</v>
      </c>
      <c r="G11" s="5" t="s">
        <v>1806</v>
      </c>
    </row>
    <row r="12" customFormat="false" ht="17.15" hidden="false" customHeight="false" outlineLevel="0" collapsed="false">
      <c r="A12" s="0" t="s">
        <v>1821</v>
      </c>
      <c r="B12" s="0" t="s">
        <v>1822</v>
      </c>
      <c r="C12" s="0" t="n">
        <f aca="false">SUMPRODUCT(ISERROR(C1!A1:T163)*1)</f>
        <v>0</v>
      </c>
      <c r="F12" s="0" t="str">
        <f aca="false">IF(C12=0,"OK","ERROR")</f>
        <v>OK</v>
      </c>
      <c r="G12" s="5" t="s">
        <v>1806</v>
      </c>
    </row>
    <row r="13" customFormat="false" ht="17.15" hidden="false" customHeight="false" outlineLevel="0" collapsed="false">
      <c r="A13" s="0" t="s">
        <v>1823</v>
      </c>
      <c r="B13" s="0" t="s">
        <v>1824</v>
      </c>
      <c r="C13" s="0" t="n">
        <f aca="false">SUMPRODUCT(ISERROR(Compare!A1:T43)*1)</f>
        <v>0</v>
      </c>
      <c r="F13" s="0" t="str">
        <f aca="false">IF(C13=0,"OK","ERROR")</f>
        <v>OK</v>
      </c>
      <c r="G13" s="5" t="s">
        <v>1806</v>
      </c>
    </row>
    <row r="14" customFormat="false" ht="17.15" hidden="false" customHeight="false" outlineLevel="0" collapsed="false">
      <c r="A14" s="0" t="s">
        <v>1825</v>
      </c>
      <c r="B14" s="0" t="s">
        <v>1826</v>
      </c>
      <c r="C14" s="0" t="n">
        <f aca="false">SUMPRODUCT(ISERROR(Interface!A1:T112)*1)</f>
        <v>0</v>
      </c>
      <c r="F14" s="0" t="str">
        <f aca="false">IF(C14=0,"OK","ERROR")</f>
        <v>OK</v>
      </c>
      <c r="G14" s="5" t="s">
        <v>1806</v>
      </c>
    </row>
    <row r="15" customFormat="false" ht="17.15" hidden="false" customHeight="false" outlineLevel="0" collapsed="false">
      <c r="A15" s="0" t="s">
        <v>1827</v>
      </c>
      <c r="B15" s="0" t="s">
        <v>1828</v>
      </c>
      <c r="C15" s="0" t="n">
        <f aca="false">SUMPRODUCT(ISERROR(CapexGW!A1:T153)*1)</f>
        <v>0</v>
      </c>
      <c r="F15" s="0" t="str">
        <f aca="false">IF(C15=0,"OK","ERROR")</f>
        <v>OK</v>
      </c>
      <c r="G15" s="5" t="s">
        <v>1806</v>
      </c>
    </row>
    <row r="16" customFormat="false" ht="17.15" hidden="false" customHeight="false" outlineLevel="0" collapsed="false">
      <c r="A16" s="0" t="s">
        <v>1829</v>
      </c>
      <c r="B16" s="0" t="s">
        <v>1830</v>
      </c>
      <c r="C16" s="0" t="n">
        <f aca="false">SUMPRODUCT(ABS(Matrix!L5:L19-Matrix!M5:M19))</f>
        <v>0</v>
      </c>
      <c r="F16" s="0" t="str">
        <f aca="false">IF(C16&lt;0.000000001,"OK","ERROR")</f>
        <v>OK</v>
      </c>
      <c r="G16" s="5" t="s">
        <v>1831</v>
      </c>
    </row>
    <row r="17" customFormat="false" ht="17.15" hidden="false" customHeight="false" outlineLevel="0" collapsed="false">
      <c r="A17" s="0" t="s">
        <v>1832</v>
      </c>
      <c r="B17" s="0" t="s">
        <v>1833</v>
      </c>
      <c r="C17" s="0" t="n">
        <f aca="false">SUM(Matrix!C20:K20)</f>
        <v>25.3371433333333</v>
      </c>
      <c r="D17" s="24" t="n">
        <f aca="false">Players!F307</f>
        <v>25.3371433333333</v>
      </c>
      <c r="E17" s="20" t="n">
        <f aca="false">C17-D17</f>
        <v>0</v>
      </c>
      <c r="F17" s="0" t="str">
        <f aca="false">IF(ABS(E17)&lt;0.000000001,"OK","ERROR")</f>
        <v>OK</v>
      </c>
      <c r="G17" s="5" t="s">
        <v>1831</v>
      </c>
    </row>
    <row r="18" customFormat="false" ht="17.15" hidden="false" customHeight="false" outlineLevel="0" collapsed="false">
      <c r="A18" s="0" t="s">
        <v>1834</v>
      </c>
      <c r="B18" s="0" t="s">
        <v>1835</v>
      </c>
      <c r="C18" s="0" t="n">
        <f aca="false">SUMPRODUCT(ABS(Matrix!L26:L40-Matrix!M26:M40))</f>
        <v>0</v>
      </c>
      <c r="F18" s="0" t="str">
        <f aca="false">IF(C18&lt;0.000000001,"OK","ERROR")</f>
        <v>OK</v>
      </c>
      <c r="G18" s="5" t="s">
        <v>1831</v>
      </c>
    </row>
    <row r="19" customFormat="false" ht="17.15" hidden="false" customHeight="false" outlineLevel="0" collapsed="false">
      <c r="A19" s="0" t="s">
        <v>1836</v>
      </c>
      <c r="B19" s="0" t="s">
        <v>1837</v>
      </c>
      <c r="C19" s="0" t="n">
        <f aca="false">SUM(Matrix!C41:K41)</f>
        <v>37.6525147943925</v>
      </c>
      <c r="D19" s="24" t="n">
        <f aca="false">Players!G307</f>
        <v>37.6525147943925</v>
      </c>
      <c r="E19" s="20" t="n">
        <f aca="false">C19-D19</f>
        <v>0</v>
      </c>
      <c r="F19" s="0" t="str">
        <f aca="false">IF(ABS(E19)&lt;0.000000001,"OK","ERROR")</f>
        <v>OK</v>
      </c>
      <c r="G19" s="5" t="s">
        <v>1831</v>
      </c>
    </row>
    <row r="20" customFormat="false" ht="17.15" hidden="false" customHeight="false" outlineLevel="0" collapsed="false">
      <c r="A20" s="0" t="s">
        <v>1838</v>
      </c>
      <c r="B20" s="0" t="s">
        <v>1839</v>
      </c>
      <c r="C20" s="0" t="n">
        <f aca="false">SUMPRODUCT(ABS(Matrix!L47:L61-Matrix!M47:M61))</f>
        <v>0</v>
      </c>
      <c r="F20" s="0" t="str">
        <f aca="false">IF(C20&lt;0.000000001,"OK","ERROR")</f>
        <v>OK</v>
      </c>
      <c r="G20" s="5" t="s">
        <v>1831</v>
      </c>
    </row>
    <row r="21" customFormat="false" ht="17.15" hidden="false" customHeight="false" outlineLevel="0" collapsed="false">
      <c r="A21" s="0" t="s">
        <v>1840</v>
      </c>
      <c r="B21" s="0" t="s">
        <v>1841</v>
      </c>
      <c r="C21" s="0" t="n">
        <f aca="false">SUM(Matrix!C62:K62)</f>
        <v>43.1401599188997</v>
      </c>
      <c r="D21" s="24" t="n">
        <f aca="false">Players!H307</f>
        <v>43.1401599188997</v>
      </c>
      <c r="E21" s="20" t="n">
        <f aca="false">C21-D21</f>
        <v>0</v>
      </c>
      <c r="F21" s="0" t="str">
        <f aca="false">IF(ABS(E21)&lt;0.000000001,"OK","ERROR")</f>
        <v>OK</v>
      </c>
      <c r="G21" s="5" t="s">
        <v>1831</v>
      </c>
    </row>
    <row r="22" customFormat="false" ht="17.15" hidden="false" customHeight="false" outlineLevel="0" collapsed="false">
      <c r="A22" s="0" t="s">
        <v>1842</v>
      </c>
      <c r="B22" s="0" t="s">
        <v>1843</v>
      </c>
      <c r="C22" s="24" t="n">
        <f aca="false">Pipeline!D153</f>
        <v>0.630578355681972</v>
      </c>
      <c r="D22" s="24" t="n">
        <f aca="false">Players!D307</f>
        <v>0.630578355681972</v>
      </c>
      <c r="E22" s="20" t="n">
        <f aca="false">C22-D22</f>
        <v>0</v>
      </c>
      <c r="F22" s="0" t="str">
        <f aca="false">IF(ABS(E22)&lt;=0.01,"OK","ERROR")</f>
        <v>OK</v>
      </c>
      <c r="G22" s="5" t="s">
        <v>1831</v>
      </c>
    </row>
    <row r="23" customFormat="false" ht="17.15" hidden="false" customHeight="false" outlineLevel="0" collapsed="false">
      <c r="A23" s="0" t="s">
        <v>1844</v>
      </c>
      <c r="B23" s="0" t="s">
        <v>1845</v>
      </c>
      <c r="C23" s="24" t="n">
        <f aca="false">Pipeline!E153</f>
        <v>6.20938570515285</v>
      </c>
      <c r="D23" s="24" t="n">
        <f aca="false">Players!E307</f>
        <v>6.20938570515285</v>
      </c>
      <c r="E23" s="20" t="n">
        <f aca="false">C23-D23</f>
        <v>0</v>
      </c>
      <c r="F23" s="0" t="str">
        <f aca="false">IF(ABS(E23)&lt;=0.01,"OK","ERROR")</f>
        <v>OK</v>
      </c>
      <c r="G23" s="5" t="s">
        <v>1831</v>
      </c>
    </row>
    <row r="24" customFormat="false" ht="17.15" hidden="false" customHeight="false" outlineLevel="0" collapsed="false">
      <c r="A24" s="0" t="s">
        <v>1846</v>
      </c>
      <c r="B24" s="0" t="s">
        <v>1847</v>
      </c>
      <c r="C24" s="24" t="n">
        <f aca="false">Pipeline!F153</f>
        <v>25.3371433333333</v>
      </c>
      <c r="D24" s="24" t="n">
        <f aca="false">Players!F307</f>
        <v>25.3371433333333</v>
      </c>
      <c r="E24" s="20" t="n">
        <f aca="false">C24-D24</f>
        <v>0</v>
      </c>
      <c r="F24" s="0" t="str">
        <f aca="false">IF(ABS(E24)&lt;=0.01,"OK","ERROR")</f>
        <v>OK</v>
      </c>
      <c r="G24" s="5" t="s">
        <v>1831</v>
      </c>
    </row>
    <row r="25" customFormat="false" ht="17.15" hidden="false" customHeight="false" outlineLevel="0" collapsed="false">
      <c r="A25" s="0" t="s">
        <v>1848</v>
      </c>
      <c r="B25" s="0" t="s">
        <v>1849</v>
      </c>
      <c r="C25" s="24" t="n">
        <f aca="false">Pipeline!G153</f>
        <v>37.6525147943925</v>
      </c>
      <c r="D25" s="24" t="n">
        <f aca="false">Players!G307</f>
        <v>37.6525147943925</v>
      </c>
      <c r="E25" s="20" t="n">
        <f aca="false">C25-D25</f>
        <v>0</v>
      </c>
      <c r="F25" s="0" t="str">
        <f aca="false">IF(ABS(E25)&lt;=0.01,"OK","ERROR")</f>
        <v>OK</v>
      </c>
      <c r="G25" s="5" t="s">
        <v>1831</v>
      </c>
    </row>
    <row r="26" customFormat="false" ht="17.15" hidden="false" customHeight="false" outlineLevel="0" collapsed="false">
      <c r="A26" s="0" t="s">
        <v>1850</v>
      </c>
      <c r="B26" s="0" t="s">
        <v>1851</v>
      </c>
      <c r="C26" s="24" t="n">
        <f aca="false">Pipeline!H153</f>
        <v>43.1401599188997</v>
      </c>
      <c r="D26" s="24" t="n">
        <f aca="false">Players!H307</f>
        <v>43.1401599188997</v>
      </c>
      <c r="E26" s="20" t="n">
        <f aca="false">C26-D26</f>
        <v>0</v>
      </c>
      <c r="F26" s="0" t="str">
        <f aca="false">IF(ABS(E26)&lt;=0.01,"OK","ERROR")</f>
        <v>OK</v>
      </c>
      <c r="G26" s="5" t="s">
        <v>1831</v>
      </c>
    </row>
    <row r="27" customFormat="false" ht="17.15" hidden="false" customHeight="false" outlineLevel="0" collapsed="false">
      <c r="A27" s="0" t="s">
        <v>1852</v>
      </c>
      <c r="B27" s="0" t="s">
        <v>1853</v>
      </c>
      <c r="C27" s="24" t="n">
        <f aca="false">Pipeline!I153</f>
        <v>59.7282073131421</v>
      </c>
      <c r="D27" s="24" t="n">
        <f aca="false">Players!I307</f>
        <v>59.7282073131421</v>
      </c>
      <c r="E27" s="20" t="n">
        <f aca="false">C27-D27</f>
        <v>0</v>
      </c>
      <c r="F27" s="0" t="str">
        <f aca="false">IF(ABS(E27)&lt;=0.01,"OK","ERROR")</f>
        <v>OK</v>
      </c>
      <c r="G27" s="5" t="s">
        <v>1831</v>
      </c>
    </row>
    <row r="28" customFormat="false" ht="17.15" hidden="false" customHeight="false" outlineLevel="0" collapsed="false">
      <c r="A28" s="0" t="s">
        <v>1854</v>
      </c>
      <c r="B28" s="0" t="s">
        <v>1855</v>
      </c>
      <c r="C28" s="24" t="n">
        <f aca="false">Pipeline!J153</f>
        <v>65.6632286441395</v>
      </c>
      <c r="D28" s="24" t="n">
        <f aca="false">Players!J307</f>
        <v>65.6632286441395</v>
      </c>
      <c r="E28" s="20" t="n">
        <f aca="false">C28-D28</f>
        <v>0</v>
      </c>
      <c r="F28" s="0" t="str">
        <f aca="false">IF(ABS(E28)&lt;=0.01,"OK","ERROR")</f>
        <v>OK</v>
      </c>
      <c r="G28" s="5" t="s">
        <v>1831</v>
      </c>
    </row>
    <row r="29" customFormat="false" ht="17.15" hidden="false" customHeight="false" outlineLevel="0" collapsed="false">
      <c r="A29" s="0" t="s">
        <v>1856</v>
      </c>
      <c r="B29" s="0" t="s">
        <v>1857</v>
      </c>
      <c r="C29" s="24" t="n">
        <f aca="false">Pipeline!K153</f>
        <v>73.3052836661874</v>
      </c>
      <c r="D29" s="24" t="n">
        <f aca="false">Players!K307</f>
        <v>73.3052836661874</v>
      </c>
      <c r="E29" s="20" t="n">
        <f aca="false">C29-D29</f>
        <v>0</v>
      </c>
      <c r="F29" s="0" t="str">
        <f aca="false">IF(ABS(E29)&lt;=0.01,"OK","ERROR")</f>
        <v>OK</v>
      </c>
      <c r="G29" s="5" t="s">
        <v>1831</v>
      </c>
    </row>
    <row r="30" customFormat="false" ht="17.15" hidden="false" customHeight="false" outlineLevel="0" collapsed="false">
      <c r="A30" s="0" t="s">
        <v>1858</v>
      </c>
      <c r="B30" s="0" t="s">
        <v>1859</v>
      </c>
      <c r="C30" s="24" t="n">
        <f aca="false">Pipeline!L153</f>
        <v>75.4591298200336</v>
      </c>
      <c r="D30" s="24" t="n">
        <f aca="false">Players!L307</f>
        <v>75.4591298200336</v>
      </c>
      <c r="E30" s="20" t="n">
        <f aca="false">C30-D30</f>
        <v>0</v>
      </c>
      <c r="F30" s="0" t="str">
        <f aca="false">IF(ABS(E30)&lt;=0.01,"OK","ERROR")</f>
        <v>OK</v>
      </c>
      <c r="G30" s="5" t="s">
        <v>1831</v>
      </c>
    </row>
    <row r="31" customFormat="false" ht="17.15" hidden="false" customHeight="false" outlineLevel="0" collapsed="false">
      <c r="A31" s="0" t="s">
        <v>1860</v>
      </c>
      <c r="B31" s="0" t="s">
        <v>1861</v>
      </c>
      <c r="C31" s="24" t="n">
        <f aca="false">Pipeline!M153</f>
        <v>77.8283605892643</v>
      </c>
      <c r="D31" s="24" t="n">
        <f aca="false">Players!M307</f>
        <v>77.8283605892643</v>
      </c>
      <c r="E31" s="20" t="n">
        <f aca="false">C31-D31</f>
        <v>0</v>
      </c>
      <c r="F31" s="0" t="str">
        <f aca="false">IF(ABS(E31)&lt;=0.01,"OK","ERROR")</f>
        <v>OK</v>
      </c>
      <c r="G31" s="5" t="s">
        <v>1831</v>
      </c>
    </row>
    <row r="32" customFormat="false" ht="17.15" hidden="false" customHeight="false" outlineLevel="0" collapsed="false">
      <c r="A32" s="0" t="s">
        <v>1862</v>
      </c>
      <c r="B32" s="0" t="s">
        <v>1863</v>
      </c>
      <c r="C32" s="24" t="n">
        <f aca="false">Pipeline!E154</f>
        <v>6.20938570515285</v>
      </c>
      <c r="D32" s="24" t="n">
        <f aca="false">Pipeline!E153</f>
        <v>6.20938570515285</v>
      </c>
      <c r="F32" s="0" t="str">
        <f aca="false">IF(AND(Pipeline!E153&gt;=Pipeline!E154-0.000000001,Pipeline!E154&gt;=Pipeline!E155-0.000000001),"OK","ERROR")</f>
        <v>OK</v>
      </c>
      <c r="G32" s="5" t="s">
        <v>1864</v>
      </c>
    </row>
    <row r="33" customFormat="false" ht="17.15" hidden="false" customHeight="false" outlineLevel="0" collapsed="false">
      <c r="A33" s="0" t="s">
        <v>1865</v>
      </c>
      <c r="B33" s="0" t="s">
        <v>1866</v>
      </c>
      <c r="C33" s="24" t="n">
        <f aca="false">Pipeline!F154</f>
        <v>25.3371433333333</v>
      </c>
      <c r="D33" s="24" t="n">
        <f aca="false">Pipeline!F153</f>
        <v>25.3371433333333</v>
      </c>
      <c r="F33" s="0" t="str">
        <f aca="false">IF(AND(Pipeline!F153&gt;=Pipeline!F154-0.000000001,Pipeline!F154&gt;=Pipeline!F155-0.000000001),"OK","ERROR")</f>
        <v>OK</v>
      </c>
      <c r="G33" s="5" t="s">
        <v>1864</v>
      </c>
    </row>
    <row r="34" customFormat="false" ht="17.15" hidden="false" customHeight="false" outlineLevel="0" collapsed="false">
      <c r="A34" s="0" t="s">
        <v>1867</v>
      </c>
      <c r="B34" s="0" t="s">
        <v>1868</v>
      </c>
      <c r="C34" s="24" t="n">
        <f aca="false">Pipeline!G154</f>
        <v>36.988055095226</v>
      </c>
      <c r="D34" s="24" t="n">
        <f aca="false">Pipeline!G153</f>
        <v>37.6525147943925</v>
      </c>
      <c r="F34" s="0" t="str">
        <f aca="false">IF(AND(Pipeline!G153&gt;=Pipeline!G154-0.000000001,Pipeline!G154&gt;=Pipeline!G155-0.000000001),"OK","ERROR")</f>
        <v>OK</v>
      </c>
      <c r="G34" s="5" t="s">
        <v>1864</v>
      </c>
    </row>
    <row r="35" customFormat="false" ht="17.15" hidden="false" customHeight="false" outlineLevel="0" collapsed="false">
      <c r="A35" s="0" t="s">
        <v>1869</v>
      </c>
      <c r="B35" s="0" t="s">
        <v>1870</v>
      </c>
      <c r="C35" s="24" t="n">
        <f aca="false">Pipeline!H154</f>
        <v>42.1975553554443</v>
      </c>
      <c r="D35" s="24" t="n">
        <f aca="false">Pipeline!H153</f>
        <v>43.1401599188997</v>
      </c>
      <c r="F35" s="0" t="str">
        <f aca="false">IF(AND(Pipeline!H153&gt;=Pipeline!H154-0.000000001,Pipeline!H154&gt;=Pipeline!H155-0.000000001),"OK","ERROR")</f>
        <v>OK</v>
      </c>
      <c r="G35" s="5" t="s">
        <v>1864</v>
      </c>
    </row>
    <row r="36" customFormat="false" ht="17.15" hidden="false" customHeight="false" outlineLevel="0" collapsed="false">
      <c r="A36" s="0" t="s">
        <v>1871</v>
      </c>
      <c r="B36" s="0" t="s">
        <v>1872</v>
      </c>
      <c r="C36" s="24" t="n">
        <f aca="false">Pipeline!I154</f>
        <v>55.0142490191496</v>
      </c>
      <c r="D36" s="24" t="n">
        <f aca="false">Pipeline!I153</f>
        <v>59.7282073131421</v>
      </c>
      <c r="F36" s="0" t="str">
        <f aca="false">IF(AND(Pipeline!I153&gt;=Pipeline!I154-0.000000001,Pipeline!I154&gt;=Pipeline!I155-0.000000001),"OK","ERROR")</f>
        <v>OK</v>
      </c>
      <c r="G36" s="5" t="s">
        <v>1864</v>
      </c>
    </row>
    <row r="37" customFormat="false" ht="17.15" hidden="false" customHeight="false" outlineLevel="0" collapsed="false">
      <c r="A37" s="0" t="s">
        <v>1873</v>
      </c>
      <c r="B37" s="0" t="s">
        <v>1874</v>
      </c>
      <c r="C37" s="24" t="n">
        <f aca="false">Pipeline!J154</f>
        <v>64.3122249112149</v>
      </c>
      <c r="D37" s="24" t="n">
        <f aca="false">Pipeline!J153</f>
        <v>65.6632286441395</v>
      </c>
      <c r="F37" s="0" t="str">
        <f aca="false">IF(AND(Pipeline!J153&gt;=Pipeline!J154-0.000000001,Pipeline!J154&gt;=Pipeline!J155-0.000000001),"OK","ERROR")</f>
        <v>OK</v>
      </c>
      <c r="G37" s="5" t="s">
        <v>1864</v>
      </c>
    </row>
    <row r="38" customFormat="false" ht="17.15" hidden="false" customHeight="false" outlineLevel="0" collapsed="false">
      <c r="A38" s="0" t="s">
        <v>1875</v>
      </c>
      <c r="B38" s="0" t="s">
        <v>1876</v>
      </c>
      <c r="C38" s="24" t="n">
        <f aca="false">Pipeline!K154</f>
        <v>71.422624037329</v>
      </c>
      <c r="D38" s="24" t="n">
        <f aca="false">Pipeline!K153</f>
        <v>73.3052836661874</v>
      </c>
      <c r="F38" s="0" t="str">
        <f aca="false">IF(AND(Pipeline!K153&gt;=Pipeline!K154-0.000000001,Pipeline!K154&gt;=Pipeline!K155-0.000000001),"OK","ERROR")</f>
        <v>OK</v>
      </c>
      <c r="G38" s="5" t="s">
        <v>1864</v>
      </c>
    </row>
    <row r="39" customFormat="false" ht="17.15" hidden="false" customHeight="false" outlineLevel="0" collapsed="false">
      <c r="A39" s="0" t="s">
        <v>1877</v>
      </c>
      <c r="B39" s="0" t="s">
        <v>1878</v>
      </c>
      <c r="C39" s="24" t="n">
        <f aca="false">Pipeline!L154</f>
        <v>75.0822067431105</v>
      </c>
      <c r="D39" s="24" t="n">
        <f aca="false">Pipeline!L153</f>
        <v>75.4591298200336</v>
      </c>
      <c r="F39" s="0" t="str">
        <f aca="false">IF(AND(Pipeline!L153&gt;=Pipeline!L154-0.000000001,Pipeline!L154&gt;=Pipeline!L155-0.000000001),"OK","ERROR")</f>
        <v>OK</v>
      </c>
      <c r="G39" s="5" t="s">
        <v>1864</v>
      </c>
    </row>
    <row r="40" customFormat="false" ht="17.15" hidden="false" customHeight="false" outlineLevel="0" collapsed="false">
      <c r="A40" s="0" t="s">
        <v>1879</v>
      </c>
      <c r="B40" s="0" t="s">
        <v>1880</v>
      </c>
      <c r="C40" s="24" t="n">
        <f aca="false">Pipeline!M154</f>
        <v>77.413745204649</v>
      </c>
      <c r="D40" s="24" t="n">
        <f aca="false">Pipeline!M153</f>
        <v>77.8283605892643</v>
      </c>
      <c r="F40" s="0" t="str">
        <f aca="false">IF(AND(Pipeline!M153&gt;=Pipeline!M154-0.000000001,Pipeline!M154&gt;=Pipeline!M155-0.000000001),"OK","ERROR")</f>
        <v>OK</v>
      </c>
      <c r="G40" s="5" t="s">
        <v>1864</v>
      </c>
    </row>
    <row r="41" customFormat="false" ht="17.15" hidden="false" customHeight="false" outlineLevel="0" collapsed="false">
      <c r="A41" s="0" t="s">
        <v>1881</v>
      </c>
      <c r="B41" s="5" t="s">
        <v>1882</v>
      </c>
      <c r="C41" s="0" t="n">
        <f aca="false">Pipeline!M153-Pipeline!M155</f>
        <v>0.414615384615388</v>
      </c>
      <c r="D41" s="0" t="n">
        <f aca="false">SUMPRODUCT(ABS(Pipeline!E101:M101),1-Pipeline!E141:M141)+SUMPRODUCT(Pipeline!L5:L47,Pipeline!Q5:Q47)</f>
        <v>22.6176153846154</v>
      </c>
      <c r="F41" s="0" t="str">
        <f aca="false">IF(C41&lt;=D41+0.000000001,"OK","ERROR")</f>
        <v>OK</v>
      </c>
      <c r="G41" s="5" t="s">
        <v>1864</v>
      </c>
    </row>
    <row r="42" customFormat="false" ht="17.15" hidden="false" customHeight="false" outlineLevel="0" collapsed="false">
      <c r="A42" s="0" t="s">
        <v>1883</v>
      </c>
      <c r="B42" s="0" t="s">
        <v>1884</v>
      </c>
      <c r="C42" s="22" t="n">
        <f aca="false">Players!D10</f>
        <v>1</v>
      </c>
      <c r="D42" s="0" t="n">
        <v>1</v>
      </c>
      <c r="F42" s="0" t="str">
        <f aca="false">IF(ABS(C42-1)&lt;0.000000001,"OK","ERROR")</f>
        <v>OK</v>
      </c>
      <c r="G42" s="5" t="s">
        <v>1864</v>
      </c>
    </row>
    <row r="43" customFormat="false" ht="17.15" hidden="false" customHeight="false" outlineLevel="0" collapsed="false">
      <c r="A43" s="0" t="s">
        <v>1885</v>
      </c>
      <c r="B43" s="0" t="s">
        <v>1886</v>
      </c>
      <c r="C43" s="22" t="n">
        <f aca="false">Players!E10</f>
        <v>1</v>
      </c>
      <c r="D43" s="0" t="n">
        <v>1</v>
      </c>
      <c r="F43" s="0" t="str">
        <f aca="false">IF(ABS(C43-1)&lt;0.000000001,"OK","ERROR")</f>
        <v>OK</v>
      </c>
      <c r="G43" s="5" t="s">
        <v>1864</v>
      </c>
    </row>
    <row r="44" customFormat="false" ht="17.15" hidden="false" customHeight="false" outlineLevel="0" collapsed="false">
      <c r="A44" s="0" t="s">
        <v>1887</v>
      </c>
      <c r="B44" s="0" t="s">
        <v>1888</v>
      </c>
      <c r="C44" s="22" t="n">
        <f aca="false">Players!F10</f>
        <v>1</v>
      </c>
      <c r="D44" s="0" t="n">
        <v>1</v>
      </c>
      <c r="F44" s="0" t="str">
        <f aca="false">IF(ABS(C44-1)&lt;0.000000001,"OK","ERROR")</f>
        <v>OK</v>
      </c>
      <c r="G44" s="5" t="s">
        <v>1864</v>
      </c>
    </row>
    <row r="45" customFormat="false" ht="17.15" hidden="false" customHeight="false" outlineLevel="0" collapsed="false">
      <c r="A45" s="0" t="s">
        <v>1889</v>
      </c>
      <c r="B45" s="0" t="s">
        <v>1890</v>
      </c>
      <c r="C45" s="22" t="n">
        <f aca="false">Players!G10</f>
        <v>1</v>
      </c>
      <c r="D45" s="0" t="n">
        <v>1</v>
      </c>
      <c r="F45" s="0" t="str">
        <f aca="false">IF(ABS(C45-1)&lt;0.000000001,"OK","ERROR")</f>
        <v>OK</v>
      </c>
      <c r="G45" s="5" t="s">
        <v>1864</v>
      </c>
    </row>
    <row r="46" customFormat="false" ht="17.15" hidden="false" customHeight="false" outlineLevel="0" collapsed="false">
      <c r="A46" s="0" t="s">
        <v>1891</v>
      </c>
      <c r="B46" s="0" t="s">
        <v>1892</v>
      </c>
      <c r="C46" s="22" t="n">
        <f aca="false">Players!H10</f>
        <v>1</v>
      </c>
      <c r="D46" s="0" t="n">
        <v>1</v>
      </c>
      <c r="F46" s="0" t="str">
        <f aca="false">IF(ABS(C46-1)&lt;0.000000001,"OK","ERROR")</f>
        <v>OK</v>
      </c>
      <c r="G46" s="5" t="s">
        <v>1864</v>
      </c>
    </row>
    <row r="47" customFormat="false" ht="17.15" hidden="false" customHeight="false" outlineLevel="0" collapsed="false">
      <c r="A47" s="0" t="s">
        <v>1893</v>
      </c>
      <c r="B47" s="0" t="s">
        <v>1894</v>
      </c>
      <c r="C47" s="22" t="n">
        <f aca="false">Players!I10</f>
        <v>1</v>
      </c>
      <c r="D47" s="0" t="n">
        <v>1</v>
      </c>
      <c r="F47" s="0" t="str">
        <f aca="false">IF(ABS(C47-1)&lt;0.000000001,"OK","ERROR")</f>
        <v>OK</v>
      </c>
      <c r="G47" s="5" t="s">
        <v>1864</v>
      </c>
    </row>
    <row r="48" customFormat="false" ht="17.15" hidden="false" customHeight="false" outlineLevel="0" collapsed="false">
      <c r="A48" s="0" t="s">
        <v>1895</v>
      </c>
      <c r="B48" s="0" t="s">
        <v>1896</v>
      </c>
      <c r="C48" s="22" t="n">
        <f aca="false">Players!J10</f>
        <v>1</v>
      </c>
      <c r="D48" s="0" t="n">
        <v>1</v>
      </c>
      <c r="F48" s="0" t="str">
        <f aca="false">IF(ABS(C48-1)&lt;0.000000001,"OK","ERROR")</f>
        <v>OK</v>
      </c>
      <c r="G48" s="5" t="s">
        <v>1864</v>
      </c>
    </row>
    <row r="49" customFormat="false" ht="17.15" hidden="false" customHeight="false" outlineLevel="0" collapsed="false">
      <c r="A49" s="0" t="s">
        <v>1897</v>
      </c>
      <c r="B49" s="0" t="s">
        <v>1898</v>
      </c>
      <c r="C49" s="22" t="n">
        <f aca="false">Players!K10</f>
        <v>1</v>
      </c>
      <c r="D49" s="0" t="n">
        <v>1</v>
      </c>
      <c r="F49" s="0" t="str">
        <f aca="false">IF(ABS(C49-1)&lt;0.000000001,"OK","ERROR")</f>
        <v>OK</v>
      </c>
      <c r="G49" s="5" t="s">
        <v>1864</v>
      </c>
    </row>
    <row r="50" customFormat="false" ht="17.15" hidden="false" customHeight="false" outlineLevel="0" collapsed="false">
      <c r="A50" s="0" t="s">
        <v>1899</v>
      </c>
      <c r="B50" s="0" t="s">
        <v>1900</v>
      </c>
      <c r="C50" s="22" t="n">
        <f aca="false">Players!L10</f>
        <v>1</v>
      </c>
      <c r="D50" s="0" t="n">
        <v>1</v>
      </c>
      <c r="F50" s="0" t="str">
        <f aca="false">IF(ABS(C50-1)&lt;0.000000001,"OK","ERROR")</f>
        <v>OK</v>
      </c>
      <c r="G50" s="5" t="s">
        <v>1864</v>
      </c>
    </row>
    <row r="51" customFormat="false" ht="17.15" hidden="false" customHeight="false" outlineLevel="0" collapsed="false">
      <c r="A51" s="0" t="s">
        <v>1901</v>
      </c>
      <c r="B51" s="0" t="s">
        <v>1902</v>
      </c>
      <c r="C51" s="22" t="n">
        <f aca="false">Players!M10</f>
        <v>1</v>
      </c>
      <c r="D51" s="0" t="n">
        <v>1</v>
      </c>
      <c r="F51" s="0" t="str">
        <f aca="false">IF(ABS(C51-1)&lt;0.000000001,"OK","ERROR")</f>
        <v>OK</v>
      </c>
      <c r="G51" s="5" t="s">
        <v>1864</v>
      </c>
    </row>
    <row r="52" customFormat="false" ht="17.15" hidden="false" customHeight="false" outlineLevel="0" collapsed="false">
      <c r="A52" s="0" t="s">
        <v>1903</v>
      </c>
      <c r="B52" s="0" t="s">
        <v>1904</v>
      </c>
      <c r="C52" s="24" t="n">
        <f aca="false">Pipeline!E104</f>
        <v>1.61980834349181</v>
      </c>
      <c r="D52" s="24" t="n">
        <f aca="false">Players!E313</f>
        <v>1.61980834349181</v>
      </c>
      <c r="E52" s="20" t="n">
        <f aca="false">C52-D52</f>
        <v>0</v>
      </c>
      <c r="F52" s="0" t="str">
        <f aca="false">IF(ABS(E52)&lt;0.000000001,"OK","ERROR")</f>
        <v>OK</v>
      </c>
      <c r="G52" s="5" t="s">
        <v>1831</v>
      </c>
    </row>
    <row r="53" customFormat="false" ht="17.15" hidden="false" customHeight="false" outlineLevel="0" collapsed="false">
      <c r="A53" s="0" t="s">
        <v>1905</v>
      </c>
      <c r="B53" s="0" t="s">
        <v>1906</v>
      </c>
      <c r="C53" s="24" t="n">
        <f aca="false">Pipeline!F104</f>
        <v>9.04912429484715</v>
      </c>
      <c r="D53" s="24" t="n">
        <f aca="false">Players!F313</f>
        <v>9.04912429484715</v>
      </c>
      <c r="E53" s="20" t="n">
        <f aca="false">C53-D53</f>
        <v>0</v>
      </c>
      <c r="F53" s="0" t="str">
        <f aca="false">IF(ABS(E53)&lt;0.000000001,"OK","ERROR")</f>
        <v>OK</v>
      </c>
      <c r="G53" s="5" t="s">
        <v>1831</v>
      </c>
    </row>
    <row r="54" customFormat="false" ht="17.15" hidden="false" customHeight="false" outlineLevel="0" collapsed="false">
      <c r="A54" s="0" t="s">
        <v>1907</v>
      </c>
      <c r="B54" s="0" t="s">
        <v>1908</v>
      </c>
      <c r="C54" s="24" t="n">
        <f aca="false">Pipeline!G104</f>
        <v>12.3153714610592</v>
      </c>
      <c r="D54" s="24" t="n">
        <f aca="false">Players!G313</f>
        <v>12.3153714610592</v>
      </c>
      <c r="E54" s="20" t="n">
        <f aca="false">C54-D54</f>
        <v>0</v>
      </c>
      <c r="F54" s="0" t="str">
        <f aca="false">IF(ABS(E54)&lt;0.000000001,"OK","ERROR")</f>
        <v>OK</v>
      </c>
      <c r="G54" s="5" t="s">
        <v>1831</v>
      </c>
    </row>
    <row r="55" customFormat="false" ht="17.15" hidden="false" customHeight="false" outlineLevel="0" collapsed="false">
      <c r="A55" s="0" t="s">
        <v>1909</v>
      </c>
      <c r="B55" s="0" t="s">
        <v>1910</v>
      </c>
      <c r="C55" s="24" t="n">
        <f aca="false">Pipeline!H104</f>
        <v>5.48764512450717</v>
      </c>
      <c r="D55" s="24" t="n">
        <f aca="false">Players!H313</f>
        <v>5.48764512450717</v>
      </c>
      <c r="E55" s="20" t="n">
        <f aca="false">C55-D55</f>
        <v>0</v>
      </c>
      <c r="F55" s="0" t="str">
        <f aca="false">IF(ABS(E55)&lt;0.000000001,"OK","ERROR")</f>
        <v>OK</v>
      </c>
      <c r="G55" s="5" t="s">
        <v>1831</v>
      </c>
    </row>
    <row r="56" customFormat="false" ht="17.15" hidden="false" customHeight="false" outlineLevel="0" collapsed="false">
      <c r="A56" s="0" t="s">
        <v>1911</v>
      </c>
      <c r="B56" s="0" t="s">
        <v>1912</v>
      </c>
      <c r="C56" s="24" t="n">
        <f aca="false">Pipeline!I104</f>
        <v>16.5880473942424</v>
      </c>
      <c r="D56" s="24" t="n">
        <f aca="false">Players!I313</f>
        <v>16.5880473942424</v>
      </c>
      <c r="E56" s="20" t="n">
        <f aca="false">C56-D56</f>
        <v>0</v>
      </c>
      <c r="F56" s="0" t="str">
        <f aca="false">IF(ABS(E56)&lt;0.000000001,"OK","ERROR")</f>
        <v>OK</v>
      </c>
      <c r="G56" s="5" t="s">
        <v>1831</v>
      </c>
    </row>
    <row r="57" customFormat="false" ht="17.15" hidden="false" customHeight="false" outlineLevel="0" collapsed="false">
      <c r="A57" s="0" t="s">
        <v>1913</v>
      </c>
      <c r="B57" s="0" t="s">
        <v>1914</v>
      </c>
      <c r="C57" s="24" t="n">
        <f aca="false">Pipeline!J104</f>
        <v>5.93502133099745</v>
      </c>
      <c r="D57" s="24" t="n">
        <f aca="false">Players!J313</f>
        <v>5.93502133099745</v>
      </c>
      <c r="E57" s="20" t="n">
        <f aca="false">C57-D57</f>
        <v>0</v>
      </c>
      <c r="F57" s="0" t="str">
        <f aca="false">IF(ABS(E57)&lt;0.000000001,"OK","ERROR")</f>
        <v>OK</v>
      </c>
      <c r="G57" s="5" t="s">
        <v>1831</v>
      </c>
    </row>
    <row r="58" customFormat="false" ht="17.15" hidden="false" customHeight="false" outlineLevel="0" collapsed="false">
      <c r="A58" s="0" t="s">
        <v>1915</v>
      </c>
      <c r="B58" s="0" t="s">
        <v>1916</v>
      </c>
      <c r="C58" s="24" t="n">
        <f aca="false">Pipeline!K104</f>
        <v>7.6420550220479</v>
      </c>
      <c r="D58" s="24" t="n">
        <f aca="false">Players!K313</f>
        <v>7.6420550220479</v>
      </c>
      <c r="E58" s="20" t="n">
        <f aca="false">C58-D58</f>
        <v>0</v>
      </c>
      <c r="F58" s="0" t="str">
        <f aca="false">IF(ABS(E58)&lt;0.000000001,"OK","ERROR")</f>
        <v>OK</v>
      </c>
      <c r="G58" s="5" t="s">
        <v>1831</v>
      </c>
    </row>
    <row r="59" customFormat="false" ht="17.15" hidden="false" customHeight="false" outlineLevel="0" collapsed="false">
      <c r="A59" s="0" t="s">
        <v>1917</v>
      </c>
      <c r="B59" s="0" t="s">
        <v>1918</v>
      </c>
      <c r="C59" s="24" t="n">
        <f aca="false">Pipeline!L104</f>
        <v>2.15384615384616</v>
      </c>
      <c r="D59" s="24" t="n">
        <f aca="false">Players!L313</f>
        <v>2.15384615384616</v>
      </c>
      <c r="E59" s="20" t="n">
        <f aca="false">C59-D59</f>
        <v>0</v>
      </c>
      <c r="F59" s="0" t="str">
        <f aca="false">IF(ABS(E59)&lt;0.000000001,"OK","ERROR")</f>
        <v>OK</v>
      </c>
      <c r="G59" s="5" t="s">
        <v>1831</v>
      </c>
    </row>
    <row r="60" customFormat="false" ht="17.15" hidden="false" customHeight="false" outlineLevel="0" collapsed="false">
      <c r="A60" s="0" t="s">
        <v>1919</v>
      </c>
      <c r="B60" s="0" t="s">
        <v>1920</v>
      </c>
      <c r="C60" s="24" t="n">
        <f aca="false">Pipeline!M104</f>
        <v>2.36923076923077</v>
      </c>
      <c r="D60" s="24" t="n">
        <f aca="false">Players!M313</f>
        <v>2.36923076923077</v>
      </c>
      <c r="E60" s="20" t="n">
        <f aca="false">C60-D60</f>
        <v>0</v>
      </c>
      <c r="F60" s="0" t="str">
        <f aca="false">IF(ABS(E60)&lt;0.000000001,"OK","ERROR")</f>
        <v>OK</v>
      </c>
      <c r="G60" s="5" t="s">
        <v>1831</v>
      </c>
    </row>
    <row r="61" customFormat="false" ht="17.15" hidden="false" customHeight="false" outlineLevel="0" collapsed="false">
      <c r="A61" s="0" t="s">
        <v>1921</v>
      </c>
      <c r="B61" s="0" t="s">
        <v>1922</v>
      </c>
      <c r="C61" s="0" t="n">
        <f aca="false">lag_bldg</f>
        <v>18</v>
      </c>
      <c r="D61" s="0" t="s">
        <v>1923</v>
      </c>
      <c r="F61" s="0" t="str">
        <f aca="false">IF(AND(C61&gt;=0,C61&lt;=24),"OK","ERROR")</f>
        <v>OK</v>
      </c>
      <c r="G61" s="5" t="s">
        <v>1864</v>
      </c>
    </row>
    <row r="62" customFormat="false" ht="17.15" hidden="false" customHeight="false" outlineLevel="0" collapsed="false">
      <c r="A62" s="0" t="s">
        <v>1924</v>
      </c>
      <c r="B62" s="0" t="s">
        <v>1925</v>
      </c>
      <c r="C62" s="0" t="n">
        <f aca="false">lag_bldg_lo</f>
        <v>12</v>
      </c>
      <c r="D62" s="0" t="s">
        <v>1923</v>
      </c>
      <c r="F62" s="0" t="str">
        <f aca="false">IF(AND(C62&gt;=0,C62&lt;=24),"OK","ERROR")</f>
        <v>OK</v>
      </c>
      <c r="G62" s="5" t="s">
        <v>1864</v>
      </c>
    </row>
    <row r="63" customFormat="false" ht="17.15" hidden="false" customHeight="false" outlineLevel="0" collapsed="false">
      <c r="A63" s="0" t="s">
        <v>1926</v>
      </c>
      <c r="B63" s="0" t="s">
        <v>1927</v>
      </c>
      <c r="C63" s="0" t="n">
        <f aca="false">lag_bldg_hi</f>
        <v>24</v>
      </c>
      <c r="D63" s="0" t="s">
        <v>1923</v>
      </c>
      <c r="F63" s="0" t="str">
        <f aca="false">IF(AND(C63&gt;=0,C63&lt;=24),"OK","ERROR")</f>
        <v>OK</v>
      </c>
      <c r="G63" s="5" t="s">
        <v>1864</v>
      </c>
    </row>
    <row r="64" customFormat="false" ht="17.15" hidden="false" customHeight="false" outlineLevel="0" collapsed="false">
      <c r="A64" s="0" t="s">
        <v>1928</v>
      </c>
      <c r="B64" s="0" t="s">
        <v>1929</v>
      </c>
      <c r="C64" s="0" t="n">
        <f aca="false">dly_d1_m</f>
        <v>6</v>
      </c>
      <c r="D64" s="0" t="s">
        <v>1930</v>
      </c>
      <c r="F64" s="0" t="str">
        <f aca="false">IF(AND(C64&gt;=0,C64&lt;=36),"OK","ERROR")</f>
        <v>OK</v>
      </c>
      <c r="G64" s="5" t="s">
        <v>1864</v>
      </c>
    </row>
    <row r="65" customFormat="false" ht="17.15" hidden="false" customHeight="false" outlineLevel="0" collapsed="false">
      <c r="A65" s="0" t="s">
        <v>1931</v>
      </c>
      <c r="B65" s="0" t="s">
        <v>1932</v>
      </c>
      <c r="C65" s="0" t="n">
        <f aca="false">dly_d1_m_lo</f>
        <v>3</v>
      </c>
      <c r="D65" s="0" t="s">
        <v>1930</v>
      </c>
      <c r="F65" s="0" t="str">
        <f aca="false">IF(AND(C65&gt;=0,C65&lt;=36),"OK","ERROR")</f>
        <v>OK</v>
      </c>
      <c r="G65" s="5" t="s">
        <v>1864</v>
      </c>
    </row>
    <row r="66" customFormat="false" ht="17.15" hidden="false" customHeight="false" outlineLevel="0" collapsed="false">
      <c r="A66" s="0" t="s">
        <v>1933</v>
      </c>
      <c r="B66" s="0" t="s">
        <v>1934</v>
      </c>
      <c r="C66" s="0" t="n">
        <f aca="false">dly_d1_m_hi</f>
        <v>12</v>
      </c>
      <c r="D66" s="0" t="s">
        <v>1930</v>
      </c>
      <c r="F66" s="0" t="str">
        <f aca="false">IF(AND(C66&gt;=0,C66&lt;=36),"OK","ERROR")</f>
        <v>OK</v>
      </c>
      <c r="G66" s="5" t="s">
        <v>1864</v>
      </c>
    </row>
    <row r="67" customFormat="false" ht="17.15" hidden="false" customHeight="false" outlineLevel="0" collapsed="false">
      <c r="A67" s="0" t="s">
        <v>1935</v>
      </c>
      <c r="B67" s="0" t="s">
        <v>1936</v>
      </c>
      <c r="C67" s="23" t="n">
        <f aca="false">dly_d1_s</f>
        <v>0.35</v>
      </c>
      <c r="D67" s="20" t="s">
        <v>1937</v>
      </c>
      <c r="F67" s="0" t="str">
        <f aca="false">IF(AND(C67&gt;=0,C67&lt;=1),"OK","ERROR")</f>
        <v>OK</v>
      </c>
      <c r="G67" s="5" t="s">
        <v>1864</v>
      </c>
    </row>
    <row r="68" customFormat="false" ht="17.15" hidden="false" customHeight="false" outlineLevel="0" collapsed="false">
      <c r="A68" s="0" t="s">
        <v>1938</v>
      </c>
      <c r="B68" s="0" t="s">
        <v>1939</v>
      </c>
      <c r="C68" s="23" t="n">
        <f aca="false">dly_d1_s_lo</f>
        <v>0.25</v>
      </c>
      <c r="D68" s="20" t="s">
        <v>1937</v>
      </c>
      <c r="F68" s="0" t="str">
        <f aca="false">IF(AND(C68&gt;=0,C68&lt;=1),"OK","ERROR")</f>
        <v>OK</v>
      </c>
      <c r="G68" s="5" t="s">
        <v>1864</v>
      </c>
    </row>
    <row r="69" customFormat="false" ht="17.15" hidden="false" customHeight="false" outlineLevel="0" collapsed="false">
      <c r="A69" s="0" t="s">
        <v>1940</v>
      </c>
      <c r="B69" s="0" t="s">
        <v>1941</v>
      </c>
      <c r="C69" s="23" t="n">
        <f aca="false">dly_d1_s_hi</f>
        <v>0.45</v>
      </c>
      <c r="D69" s="20" t="s">
        <v>1937</v>
      </c>
      <c r="F69" s="0" t="str">
        <f aca="false">IF(AND(C69&gt;=0,C69&lt;=1),"OK","ERROR")</f>
        <v>OK</v>
      </c>
      <c r="G69" s="5" t="s">
        <v>1864</v>
      </c>
    </row>
    <row r="70" customFormat="false" ht="17.15" hidden="false" customHeight="false" outlineLevel="0" collapsed="false">
      <c r="A70" s="0" t="s">
        <v>1942</v>
      </c>
      <c r="B70" s="0" t="s">
        <v>1943</v>
      </c>
      <c r="C70" s="0" t="n">
        <f aca="false">dly_d2_m</f>
        <v>12</v>
      </c>
      <c r="D70" s="0" t="s">
        <v>1930</v>
      </c>
      <c r="F70" s="0" t="str">
        <f aca="false">IF(AND(C70&gt;=0,C70&lt;=36),"OK","ERROR")</f>
        <v>OK</v>
      </c>
      <c r="G70" s="5" t="s">
        <v>1864</v>
      </c>
    </row>
    <row r="71" customFormat="false" ht="17.15" hidden="false" customHeight="false" outlineLevel="0" collapsed="false">
      <c r="A71" s="0" t="s">
        <v>1944</v>
      </c>
      <c r="B71" s="0" t="s">
        <v>1945</v>
      </c>
      <c r="C71" s="0" t="n">
        <f aca="false">dly_d2_m_lo</f>
        <v>12</v>
      </c>
      <c r="D71" s="0" t="s">
        <v>1930</v>
      </c>
      <c r="F71" s="0" t="str">
        <f aca="false">IF(AND(C71&gt;=0,C71&lt;=36),"OK","ERROR")</f>
        <v>OK</v>
      </c>
      <c r="G71" s="5" t="s">
        <v>1864</v>
      </c>
    </row>
    <row r="72" customFormat="false" ht="17.15" hidden="false" customHeight="false" outlineLevel="0" collapsed="false">
      <c r="A72" s="0" t="s">
        <v>1946</v>
      </c>
      <c r="B72" s="0" t="s">
        <v>1947</v>
      </c>
      <c r="C72" s="0" t="n">
        <f aca="false">dly_d2_m_hi</f>
        <v>12</v>
      </c>
      <c r="D72" s="0" t="s">
        <v>1930</v>
      </c>
      <c r="F72" s="0" t="str">
        <f aca="false">IF(AND(C72&gt;=0,C72&lt;=36),"OK","ERROR")</f>
        <v>OK</v>
      </c>
      <c r="G72" s="5" t="s">
        <v>1864</v>
      </c>
    </row>
    <row r="73" customFormat="false" ht="17.15" hidden="false" customHeight="false" outlineLevel="0" collapsed="false">
      <c r="A73" s="0" t="s">
        <v>1948</v>
      </c>
      <c r="B73" s="0" t="s">
        <v>1949</v>
      </c>
      <c r="C73" s="23" t="n">
        <f aca="false">dly_d2_bind</f>
        <v>0.4</v>
      </c>
      <c r="D73" s="20" t="s">
        <v>1937</v>
      </c>
      <c r="F73" s="0" t="str">
        <f aca="false">IF(AND(C73&gt;=0,C73&lt;=1),"OK","ERROR")</f>
        <v>OK</v>
      </c>
      <c r="G73" s="5" t="s">
        <v>1864</v>
      </c>
    </row>
    <row r="74" customFormat="false" ht="17.15" hidden="false" customHeight="false" outlineLevel="0" collapsed="false">
      <c r="A74" s="0" t="s">
        <v>1950</v>
      </c>
      <c r="B74" s="0" t="s">
        <v>1951</v>
      </c>
      <c r="C74" s="23" t="n">
        <f aca="false">dly_d2_bind_lo</f>
        <v>0.3</v>
      </c>
      <c r="D74" s="20" t="s">
        <v>1937</v>
      </c>
      <c r="F74" s="0" t="str">
        <f aca="false">IF(AND(C74&gt;=0,C74&lt;=1),"OK","ERROR")</f>
        <v>OK</v>
      </c>
      <c r="G74" s="5" t="s">
        <v>1864</v>
      </c>
    </row>
    <row r="75" customFormat="false" ht="17.15" hidden="false" customHeight="false" outlineLevel="0" collapsed="false">
      <c r="A75" s="0" t="s">
        <v>1952</v>
      </c>
      <c r="B75" s="0" t="s">
        <v>1953</v>
      </c>
      <c r="C75" s="23" t="n">
        <f aca="false">dly_d2_bind_hi</f>
        <v>0.5</v>
      </c>
      <c r="D75" s="20" t="s">
        <v>1937</v>
      </c>
      <c r="F75" s="0" t="str">
        <f aca="false">IF(AND(C75&gt;=0,C75&lt;=1),"OK","ERROR")</f>
        <v>OK</v>
      </c>
      <c r="G75" s="5" t="s">
        <v>1864</v>
      </c>
    </row>
    <row r="76" customFormat="false" ht="17.15" hidden="false" customHeight="false" outlineLevel="0" collapsed="false">
      <c r="A76" s="0" t="s">
        <v>1954</v>
      </c>
      <c r="B76" s="0" t="s">
        <v>1955</v>
      </c>
      <c r="C76" s="23" t="n">
        <f aca="false">tolband</f>
        <v>0.15</v>
      </c>
      <c r="D76" s="20" t="s">
        <v>1937</v>
      </c>
      <c r="F76" s="0" t="str">
        <f aca="false">IF(AND(C76&gt;=0,C76&lt;=1),"OK","ERROR")</f>
        <v>OK</v>
      </c>
      <c r="G76" s="5" t="s">
        <v>1864</v>
      </c>
    </row>
    <row r="77" customFormat="false" ht="17.15" hidden="false" customHeight="false" outlineLevel="0" collapsed="false">
      <c r="A77" s="0" t="s">
        <v>1956</v>
      </c>
      <c r="B77" s="0" t="s">
        <v>1957</v>
      </c>
      <c r="C77" s="23" t="n">
        <f aca="false">tolband_lo</f>
        <v>0.1</v>
      </c>
      <c r="D77" s="20" t="s">
        <v>1937</v>
      </c>
      <c r="F77" s="0" t="str">
        <f aca="false">IF(AND(C77&gt;=0,C77&lt;=1),"OK","ERROR")</f>
        <v>OK</v>
      </c>
      <c r="G77" s="5" t="s">
        <v>1864</v>
      </c>
    </row>
    <row r="78" customFormat="false" ht="17.15" hidden="false" customHeight="false" outlineLevel="0" collapsed="false">
      <c r="A78" s="0" t="s">
        <v>1958</v>
      </c>
      <c r="B78" s="0" t="s">
        <v>1959</v>
      </c>
      <c r="C78" s="23" t="n">
        <f aca="false">tolband_hi</f>
        <v>0.2</v>
      </c>
      <c r="D78" s="20" t="s">
        <v>1937</v>
      </c>
      <c r="F78" s="0" t="str">
        <f aca="false">IF(AND(C78&gt;=0,C78&lt;=1),"OK","ERROR")</f>
        <v>OK</v>
      </c>
      <c r="G78" s="5" t="s">
        <v>1864</v>
      </c>
    </row>
    <row r="79" customFormat="false" ht="17.15" hidden="false" customHeight="false" outlineLevel="0" collapsed="false">
      <c r="A79" s="0" t="s">
        <v>1960</v>
      </c>
      <c r="B79" s="0" t="s">
        <v>1961</v>
      </c>
      <c r="C79" s="0" t="n">
        <f aca="false">k_chip2it</f>
        <v>1.85</v>
      </c>
      <c r="D79" s="0" t="s">
        <v>1962</v>
      </c>
      <c r="F79" s="0" t="str">
        <f aca="false">IF(AND(C79&gt;=1,C79&lt;=3),"OK","ERROR")</f>
        <v>OK</v>
      </c>
      <c r="G79" s="5" t="s">
        <v>1864</v>
      </c>
    </row>
    <row r="80" customFormat="false" ht="17.15" hidden="false" customHeight="false" outlineLevel="0" collapsed="false">
      <c r="A80" s="0" t="s">
        <v>1963</v>
      </c>
      <c r="B80" s="0" t="s">
        <v>1964</v>
      </c>
      <c r="C80" s="0" t="n">
        <f aca="false">k_chip2it_lo</f>
        <v>1.65</v>
      </c>
      <c r="D80" s="0" t="s">
        <v>1962</v>
      </c>
      <c r="F80" s="0" t="str">
        <f aca="false">IF(AND(C80&gt;=1,C80&lt;=3),"OK","ERROR")</f>
        <v>OK</v>
      </c>
      <c r="G80" s="5" t="s">
        <v>1864</v>
      </c>
    </row>
    <row r="81" customFormat="false" ht="17.15" hidden="false" customHeight="false" outlineLevel="0" collapsed="false">
      <c r="A81" s="0" t="s">
        <v>1965</v>
      </c>
      <c r="B81" s="0" t="s">
        <v>1966</v>
      </c>
      <c r="C81" s="0" t="n">
        <f aca="false">k_chip2it_hi</f>
        <v>2.08</v>
      </c>
      <c r="D81" s="0" t="s">
        <v>1962</v>
      </c>
      <c r="F81" s="0" t="str">
        <f aca="false">IF(AND(C81&gt;=1,C81&lt;=3),"OK","ERROR")</f>
        <v>OK</v>
      </c>
      <c r="G81" s="5" t="s">
        <v>1864</v>
      </c>
    </row>
    <row r="82" customFormat="false" ht="17.15" hidden="false" customHeight="false" outlineLevel="0" collapsed="false">
      <c r="A82" s="0" t="s">
        <v>1967</v>
      </c>
      <c r="B82" s="0" t="s">
        <v>1968</v>
      </c>
      <c r="C82" s="23" t="n">
        <f aca="false">g_lt</f>
        <v>0.1</v>
      </c>
      <c r="D82" s="20" t="s">
        <v>1969</v>
      </c>
      <c r="F82" s="0" t="str">
        <f aca="false">IF(AND(C82&gt;=-0.2,C82&lt;=0.5),"OK","ERROR")</f>
        <v>OK</v>
      </c>
      <c r="G82" s="5" t="s">
        <v>1864</v>
      </c>
    </row>
    <row r="83" customFormat="false" ht="17.15" hidden="false" customHeight="false" outlineLevel="0" collapsed="false">
      <c r="A83" s="0" t="s">
        <v>1970</v>
      </c>
      <c r="B83" s="0" t="s">
        <v>1971</v>
      </c>
      <c r="C83" s="23" t="n">
        <f aca="false">g_lt_lo</f>
        <v>0.05</v>
      </c>
      <c r="D83" s="20" t="s">
        <v>1969</v>
      </c>
      <c r="F83" s="0" t="str">
        <f aca="false">IF(AND(C83&gt;=-0.2,C83&lt;=0.5),"OK","ERROR")</f>
        <v>OK</v>
      </c>
      <c r="G83" s="5" t="s">
        <v>1864</v>
      </c>
    </row>
    <row r="84" customFormat="false" ht="17.15" hidden="false" customHeight="false" outlineLevel="0" collapsed="false">
      <c r="A84" s="0" t="s">
        <v>1972</v>
      </c>
      <c r="B84" s="0" t="s">
        <v>1973</v>
      </c>
      <c r="C84" s="23" t="n">
        <f aca="false">g_lt_hi</f>
        <v>0.15</v>
      </c>
      <c r="D84" s="20" t="s">
        <v>1969</v>
      </c>
      <c r="F84" s="0" t="str">
        <f aca="false">IF(AND(C84&gt;=-0.2,C84&lt;=0.5),"OK","ERROR")</f>
        <v>OK</v>
      </c>
      <c r="G84" s="5" t="s">
        <v>1864</v>
      </c>
    </row>
    <row r="85" customFormat="false" ht="17.15" hidden="false" customHeight="false" outlineLevel="0" collapsed="false">
      <c r="A85" s="0" t="s">
        <v>1974</v>
      </c>
      <c r="B85" s="5" t="s">
        <v>1975</v>
      </c>
      <c r="C85" s="0" t="n">
        <f aca="false">COUNTIF(Pipeline!E51:M65,"&lt;-1E-9")</f>
        <v>0</v>
      </c>
      <c r="F85" s="0" t="str">
        <f aca="false">IF(C85=0,"OK","WARN")</f>
        <v>OK</v>
      </c>
      <c r="G85" s="5" t="s">
        <v>1864</v>
      </c>
    </row>
    <row r="86" customFormat="false" ht="17.15" hidden="false" customHeight="false" outlineLevel="0" collapsed="false">
      <c r="A86" s="0" t="s">
        <v>1976</v>
      </c>
      <c r="B86" s="0" t="s">
        <v>1977</v>
      </c>
      <c r="C86" s="0" t="n">
        <v>0</v>
      </c>
      <c r="F86" s="0" t="str">
        <f aca="false">IF(C86=1,"OK","WARN")</f>
        <v>WARN</v>
      </c>
      <c r="G86" s="5" t="s">
        <v>1978</v>
      </c>
      <c r="H86" s="0" t="s">
        <v>1979</v>
      </c>
    </row>
    <row r="87" customFormat="false" ht="17.15" hidden="false" customHeight="false" outlineLevel="0" collapsed="false">
      <c r="A87" s="0" t="s">
        <v>1980</v>
      </c>
      <c r="B87" s="0" t="s">
        <v>1981</v>
      </c>
      <c r="C87" s="0" t="n">
        <f aca="false">COUNTIF(Matrix!K5:K19,"&lt;-1E-9")</f>
        <v>0</v>
      </c>
      <c r="F87" s="0" t="str">
        <f aca="false">IF(C87=0,"OK","ERROR")</f>
        <v>OK</v>
      </c>
      <c r="G87" s="5" t="s">
        <v>1864</v>
      </c>
    </row>
    <row r="88" customFormat="false" ht="17.15" hidden="false" customHeight="false" outlineLevel="0" collapsed="false">
      <c r="A88" s="0" t="s">
        <v>1982</v>
      </c>
      <c r="B88" s="0" t="s">
        <v>1983</v>
      </c>
      <c r="C88" s="0" t="n">
        <f aca="false">COUNTIF(Matrix!K26:K40,"&lt;-1E-9")</f>
        <v>0</v>
      </c>
      <c r="F88" s="0" t="str">
        <f aca="false">IF(C88=0,"OK","ERROR")</f>
        <v>OK</v>
      </c>
      <c r="G88" s="5" t="s">
        <v>1864</v>
      </c>
    </row>
    <row r="89" customFormat="false" ht="17.15" hidden="false" customHeight="false" outlineLevel="0" collapsed="false">
      <c r="A89" s="0" t="s">
        <v>1984</v>
      </c>
      <c r="B89" s="0" t="s">
        <v>1985</v>
      </c>
      <c r="C89" s="0" t="n">
        <f aca="false">COUNTIF(Matrix!K47:K61,"&lt;-1E-9")</f>
        <v>0</v>
      </c>
      <c r="F89" s="0" t="str">
        <f aca="false">IF(C89=0,"OK","ERROR")</f>
        <v>OK</v>
      </c>
      <c r="G89" s="5" t="s">
        <v>1864</v>
      </c>
    </row>
    <row r="90" customFormat="false" ht="17.15" hidden="false" customHeight="false" outlineLevel="0" collapsed="false">
      <c r="A90" s="0" t="s">
        <v>1986</v>
      </c>
      <c r="B90" s="0" t="s">
        <v>1987</v>
      </c>
      <c r="C90" s="0" t="n">
        <f aca="false">rng25_neo/1000</f>
        <v>0.5</v>
      </c>
      <c r="D90" s="24" t="n">
        <f aca="false">Players!F239</f>
        <v>0.5</v>
      </c>
      <c r="E90" s="20" t="n">
        <f aca="false">C90-D90</f>
        <v>0</v>
      </c>
      <c r="F90" s="0" t="str">
        <f aca="false">IF(ABS(E90)&lt;0.000001,"OK","ERROR")</f>
        <v>OK</v>
      </c>
      <c r="G90" s="5" t="s">
        <v>1831</v>
      </c>
    </row>
    <row r="91" customFormat="false" ht="17.15" hidden="false" customHeight="false" outlineLevel="0" collapsed="false">
      <c r="A91" s="0" t="s">
        <v>1988</v>
      </c>
      <c r="B91" s="0" t="s">
        <v>1989</v>
      </c>
      <c r="C91" s="0" t="n">
        <f aca="false">rng25_cn/1000/Players!F$13</f>
        <v>8.33333333333333</v>
      </c>
      <c r="D91" s="24" t="n">
        <f aca="false">Players!F277</f>
        <v>8.33333333333333</v>
      </c>
      <c r="E91" s="20" t="n">
        <f aca="false">C91-D91</f>
        <v>0</v>
      </c>
      <c r="F91" s="0" t="str">
        <f aca="false">IF(ABS(E91)&lt;0.000001,"OK","ERROR")</f>
        <v>OK</v>
      </c>
      <c r="G91" s="5" t="s">
        <v>1831</v>
      </c>
    </row>
    <row r="92" customFormat="false" ht="17.15" hidden="false" customHeight="false" outlineLevel="0" collapsed="false">
      <c r="A92" s="0" t="s">
        <v>1990</v>
      </c>
      <c r="B92" s="0" t="s">
        <v>1991</v>
      </c>
      <c r="C92" s="0" t="n">
        <f aca="false">rng26_cn/1000/Players!G$13</f>
        <v>11.6666666666667</v>
      </c>
      <c r="D92" s="24" t="n">
        <f aca="false">Players!G277</f>
        <v>11.6666666666667</v>
      </c>
      <c r="E92" s="20" t="n">
        <f aca="false">C92-D92</f>
        <v>0</v>
      </c>
      <c r="F92" s="0" t="str">
        <f aca="false">IF(ABS(E92)&lt;0.000001,"OK","ERROR")</f>
        <v>OK</v>
      </c>
      <c r="G92" s="5" t="s">
        <v>1831</v>
      </c>
    </row>
    <row r="93" customFormat="false" ht="17.15" hidden="false" customHeight="false" outlineLevel="0" collapsed="false">
      <c r="A93" s="0" t="s">
        <v>1992</v>
      </c>
      <c r="B93" s="0" t="s">
        <v>1993</v>
      </c>
      <c r="C93" s="0" t="n">
        <f aca="false">ovr25_googl/1000</f>
        <v>4.3</v>
      </c>
      <c r="D93" s="24" t="n">
        <f aca="false">Players!F49</f>
        <v>4.3</v>
      </c>
      <c r="E93" s="20" t="n">
        <f aca="false">C93-D93</f>
        <v>0</v>
      </c>
      <c r="F93" s="0" t="str">
        <f aca="false">IF(ABS(E93)&lt;0.000001,"OK","ERROR")</f>
        <v>OK</v>
      </c>
      <c r="G93" s="5" t="s">
        <v>1831</v>
      </c>
    </row>
    <row r="94" customFormat="false" ht="17.15" hidden="false" customHeight="false" outlineLevel="0" collapsed="false">
      <c r="A94" s="0" t="s">
        <v>1994</v>
      </c>
      <c r="B94" s="0" t="s">
        <v>1995</v>
      </c>
      <c r="C94" s="0" t="n">
        <f aca="false">ovr25_amzn/1000</f>
        <v>2.2</v>
      </c>
      <c r="D94" s="24" t="n">
        <f aca="false">Players!F68</f>
        <v>2.2</v>
      </c>
      <c r="E94" s="20" t="n">
        <f aca="false">C94-D94</f>
        <v>0</v>
      </c>
      <c r="F94" s="0" t="str">
        <f aca="false">IF(ABS(E94)&lt;0.000001,"OK","ERROR")</f>
        <v>OK</v>
      </c>
      <c r="G94" s="5" t="s">
        <v>1831</v>
      </c>
    </row>
    <row r="95" customFormat="false" ht="17.15" hidden="false" customHeight="false" outlineLevel="0" collapsed="false">
      <c r="A95" s="0" t="s">
        <v>1996</v>
      </c>
      <c r="B95" s="0" t="s">
        <v>1997</v>
      </c>
      <c r="C95" s="24" t="n">
        <f aca="false">Players!E307</f>
        <v>6.20938570515285</v>
      </c>
      <c r="D95" s="0" t="str">
        <f aca="false">TEXT(Players!E308,"0.0")&amp;"–"&amp;TEXT(Players!E309,"0.0")</f>
        <v>5.6–7.0</v>
      </c>
      <c r="F95" s="0" t="str">
        <f aca="false">IF(AND(Players!E308&lt;=C95+0.000000001,C95&lt;=Players!E309+0.000000001),"OK","ERROR")</f>
        <v>OK</v>
      </c>
      <c r="G95" s="5" t="s">
        <v>1864</v>
      </c>
    </row>
    <row r="96" customFormat="false" ht="17.15" hidden="false" customHeight="false" outlineLevel="0" collapsed="false">
      <c r="A96" s="0" t="s">
        <v>1998</v>
      </c>
      <c r="B96" s="0" t="s">
        <v>1999</v>
      </c>
      <c r="C96" s="24" t="n">
        <f aca="false">Players!F307</f>
        <v>25.3371433333333</v>
      </c>
      <c r="D96" s="0" t="str">
        <f aca="false">TEXT(Players!F308,"0.0")&amp;"–"&amp;TEXT(Players!F309,"0.0")</f>
        <v>19.1–30.3</v>
      </c>
      <c r="F96" s="0" t="str">
        <f aca="false">IF(AND(Players!F308&lt;=C96+0.000000001,C96&lt;=Players!F309+0.000000001),"OK","ERROR")</f>
        <v>OK</v>
      </c>
      <c r="G96" s="5" t="s">
        <v>1864</v>
      </c>
    </row>
    <row r="97" customFormat="false" ht="17.15" hidden="false" customHeight="false" outlineLevel="0" collapsed="false">
      <c r="A97" s="0" t="s">
        <v>2000</v>
      </c>
      <c r="B97" s="0" t="s">
        <v>2001</v>
      </c>
      <c r="C97" s="24" t="n">
        <f aca="false">Players!G307</f>
        <v>37.6525147943925</v>
      </c>
      <c r="D97" s="0" t="str">
        <f aca="false">TEXT(Players!G308,"0.0")&amp;"–"&amp;TEXT(Players!G309,"0.0")</f>
        <v>34.4–41.0</v>
      </c>
      <c r="F97" s="0" t="str">
        <f aca="false">IF(AND(Players!G308&lt;=C97+0.000000001,C97&lt;=Players!G309+0.000000001),"OK","ERROR")</f>
        <v>OK</v>
      </c>
      <c r="G97" s="5" t="s">
        <v>1864</v>
      </c>
    </row>
    <row r="98" customFormat="false" ht="17.15" hidden="false" customHeight="false" outlineLevel="0" collapsed="false">
      <c r="A98" s="0" t="s">
        <v>2002</v>
      </c>
      <c r="B98" s="0" t="s">
        <v>2003</v>
      </c>
      <c r="C98" s="24" t="n">
        <f aca="false">Players!H307</f>
        <v>43.1401599188997</v>
      </c>
      <c r="D98" s="0" t="str">
        <f aca="false">TEXT(Players!H308,"0.0")&amp;"–"&amp;TEXT(Players!H309,"0.0")</f>
        <v>43.1–43.1</v>
      </c>
      <c r="F98" s="0" t="str">
        <f aca="false">IF(AND(Players!H308&lt;=C98+0.000000001,C98&lt;=Players!H309+0.000000001),"OK","ERROR")</f>
        <v>OK</v>
      </c>
      <c r="G98" s="5" t="s">
        <v>1864</v>
      </c>
    </row>
    <row r="99" customFormat="false" ht="17.15" hidden="false" customHeight="false" outlineLevel="0" collapsed="false">
      <c r="A99" s="0" t="s">
        <v>2004</v>
      </c>
      <c r="B99" s="0" t="s">
        <v>2005</v>
      </c>
      <c r="C99" s="24" t="n">
        <f aca="false">Players!I307</f>
        <v>59.7282073131421</v>
      </c>
      <c r="D99" s="0" t="str">
        <f aca="false">TEXT(Players!I308,"0.0")&amp;"–"&amp;TEXT(Players!I309,"0.0")</f>
        <v>59.7–59.7</v>
      </c>
      <c r="F99" s="0" t="str">
        <f aca="false">IF(AND(Players!I308&lt;=C99+0.000000001,C99&lt;=Players!I309+0.000000001),"OK","ERROR")</f>
        <v>OK</v>
      </c>
      <c r="G99" s="5" t="s">
        <v>1864</v>
      </c>
    </row>
    <row r="100" customFormat="false" ht="17.15" hidden="false" customHeight="false" outlineLevel="0" collapsed="false">
      <c r="A100" s="0" t="s">
        <v>2006</v>
      </c>
      <c r="B100" s="0" t="s">
        <v>2007</v>
      </c>
      <c r="C100" s="24" t="n">
        <f aca="false">Players!J307</f>
        <v>65.6632286441395</v>
      </c>
      <c r="D100" s="0" t="str">
        <f aca="false">TEXT(Players!J308,"0.0")&amp;"–"&amp;TEXT(Players!J309,"0.0")</f>
        <v>65.7–65.7</v>
      </c>
      <c r="F100" s="0" t="str">
        <f aca="false">IF(AND(Players!J308&lt;=C100+0.000000001,C100&lt;=Players!J309+0.000000001),"OK","ERROR")</f>
        <v>OK</v>
      </c>
      <c r="G100" s="5" t="s">
        <v>1864</v>
      </c>
    </row>
    <row r="101" customFormat="false" ht="17.15" hidden="false" customHeight="false" outlineLevel="0" collapsed="false">
      <c r="A101" s="0" t="s">
        <v>2008</v>
      </c>
      <c r="B101" s="0" t="s">
        <v>2009</v>
      </c>
      <c r="C101" s="24" t="n">
        <f aca="false">Players!K307</f>
        <v>73.3052836661874</v>
      </c>
      <c r="D101" s="0" t="str">
        <f aca="false">TEXT(Players!K308,"0.0")&amp;"–"&amp;TEXT(Players!K309,"0.0")</f>
        <v>73.3–73.3</v>
      </c>
      <c r="F101" s="0" t="str">
        <f aca="false">IF(AND(Players!K308&lt;=C101+0.000000001,C101&lt;=Players!K309+0.000000001),"OK","ERROR")</f>
        <v>OK</v>
      </c>
      <c r="G101" s="5" t="s">
        <v>1864</v>
      </c>
    </row>
    <row r="102" customFormat="false" ht="17.15" hidden="false" customHeight="false" outlineLevel="0" collapsed="false">
      <c r="A102" s="0" t="s">
        <v>2010</v>
      </c>
      <c r="B102" s="0" t="s">
        <v>2011</v>
      </c>
      <c r="C102" s="24" t="n">
        <f aca="false">Players!L307</f>
        <v>75.4591298200336</v>
      </c>
      <c r="D102" s="0" t="str">
        <f aca="false">TEXT(Players!L308,"0.0")&amp;"–"&amp;TEXT(Players!L309,"0.0")</f>
        <v>75.5–75.5</v>
      </c>
      <c r="F102" s="0" t="str">
        <f aca="false">IF(AND(Players!L308&lt;=C102+0.000000001,C102&lt;=Players!L309+0.000000001),"OK","ERROR")</f>
        <v>OK</v>
      </c>
      <c r="G102" s="5" t="s">
        <v>1864</v>
      </c>
    </row>
    <row r="103" customFormat="false" ht="17.15" hidden="false" customHeight="false" outlineLevel="0" collapsed="false">
      <c r="A103" s="0" t="s">
        <v>2012</v>
      </c>
      <c r="B103" s="0" t="s">
        <v>2013</v>
      </c>
      <c r="C103" s="24" t="n">
        <f aca="false">Players!M307</f>
        <v>77.8283605892643</v>
      </c>
      <c r="D103" s="0" t="str">
        <f aca="false">TEXT(Players!M308,"0.0")&amp;"–"&amp;TEXT(Players!M309,"0.0")</f>
        <v>77.8–77.8</v>
      </c>
      <c r="F103" s="0" t="str">
        <f aca="false">IF(AND(Players!M308&lt;=C103+0.000000001,C103&lt;=Players!M309+0.000000001),"OK","ERROR")</f>
        <v>OK</v>
      </c>
      <c r="G103" s="5" t="s">
        <v>1864</v>
      </c>
    </row>
    <row r="104" customFormat="false" ht="17.15" hidden="false" customHeight="false" outlineLevel="0" collapsed="false">
      <c r="A104" s="0" t="s">
        <v>2014</v>
      </c>
      <c r="B104" s="0" t="s">
        <v>2015</v>
      </c>
      <c r="C104" s="0" t="n">
        <v>0</v>
      </c>
      <c r="F104" s="0" t="str">
        <f aca="false">IF(C104=0,"OK","ERROR")</f>
        <v>OK</v>
      </c>
      <c r="G104" s="5" t="s">
        <v>2016</v>
      </c>
      <c r="H104" s="5" t="s">
        <v>2017</v>
      </c>
    </row>
    <row r="105" customFormat="false" ht="17.15" hidden="false" customHeight="false" outlineLevel="0" collapsed="false">
      <c r="A105" s="0" t="s">
        <v>2018</v>
      </c>
      <c r="B105" s="0" t="s">
        <v>2019</v>
      </c>
      <c r="C105" s="0" t="n">
        <v>213</v>
      </c>
      <c r="F105" s="0" t="str">
        <f aca="false">IF(C105&gt;0,"OK","WARN")</f>
        <v>OK</v>
      </c>
      <c r="G105" s="5" t="s">
        <v>2016</v>
      </c>
    </row>
    <row r="106" customFormat="false" ht="17.15" hidden="false" customHeight="false" outlineLevel="0" collapsed="false">
      <c r="A106" s="0" t="s">
        <v>2020</v>
      </c>
      <c r="B106" s="5" t="s">
        <v>2021</v>
      </c>
      <c r="C106" s="0" t="n">
        <f aca="false">COUNTIF(Interface!D7:L7,"&lt;0.5")</f>
        <v>5</v>
      </c>
      <c r="F106" s="0" t="str">
        <f aca="false">IF(C106=0,"OK","WARN")</f>
        <v>WARN</v>
      </c>
      <c r="G106" s="5" t="s">
        <v>2022</v>
      </c>
      <c r="H106" s="0" t="s">
        <v>2023</v>
      </c>
    </row>
    <row r="107" customFormat="false" ht="17.15" hidden="false" customHeight="false" outlineLevel="0" collapsed="false">
      <c r="A107" s="0" t="s">
        <v>2024</v>
      </c>
      <c r="B107" s="0" t="s">
        <v>2025</v>
      </c>
      <c r="C107" s="24" t="n">
        <f aca="false">Deploy!E13</f>
        <v>6.20938570515285</v>
      </c>
      <c r="D107" s="24" t="n">
        <f aca="false">Deploy!E62</f>
        <v>6.20938570515285</v>
      </c>
      <c r="E107" s="20" t="n">
        <f aca="false">C107-D107</f>
        <v>0</v>
      </c>
      <c r="F107" s="0" t="str">
        <f aca="false">IF(ABS(E107)&lt;0.000000001,"OK","ERROR")</f>
        <v>OK</v>
      </c>
      <c r="G107" s="5" t="s">
        <v>1831</v>
      </c>
    </row>
    <row r="108" customFormat="false" ht="17.15" hidden="false" customHeight="false" outlineLevel="0" collapsed="false">
      <c r="A108" s="0" t="s">
        <v>2026</v>
      </c>
      <c r="B108" s="0" t="s">
        <v>2027</v>
      </c>
      <c r="C108" s="24" t="n">
        <f aca="false">Deploy!F13</f>
        <v>25.3371433333333</v>
      </c>
      <c r="D108" s="24" t="n">
        <f aca="false">Deploy!F62</f>
        <v>25.3371433333333</v>
      </c>
      <c r="E108" s="20" t="n">
        <f aca="false">C108-D108</f>
        <v>0</v>
      </c>
      <c r="F108" s="0" t="str">
        <f aca="false">IF(ABS(E108)&lt;0.000000001,"OK","ERROR")</f>
        <v>OK</v>
      </c>
      <c r="G108" s="5" t="s">
        <v>1831</v>
      </c>
    </row>
    <row r="109" customFormat="false" ht="17.15" hidden="false" customHeight="false" outlineLevel="0" collapsed="false">
      <c r="A109" s="0" t="s">
        <v>2028</v>
      </c>
      <c r="B109" s="0" t="s">
        <v>2029</v>
      </c>
      <c r="C109" s="24" t="n">
        <f aca="false">Deploy!G13</f>
        <v>37.6525147943925</v>
      </c>
      <c r="D109" s="24" t="n">
        <f aca="false">Deploy!G62</f>
        <v>37.6525147943925</v>
      </c>
      <c r="E109" s="20" t="n">
        <f aca="false">C109-D109</f>
        <v>0</v>
      </c>
      <c r="F109" s="0" t="str">
        <f aca="false">IF(ABS(E109)&lt;0.000000001,"OK","ERROR")</f>
        <v>OK</v>
      </c>
      <c r="G109" s="5" t="s">
        <v>1831</v>
      </c>
    </row>
    <row r="110" customFormat="false" ht="17.15" hidden="false" customHeight="false" outlineLevel="0" collapsed="false">
      <c r="A110" s="0" t="s">
        <v>2030</v>
      </c>
      <c r="B110" s="5" t="s">
        <v>2031</v>
      </c>
      <c r="C110" s="0" t="n">
        <f aca="false">COUNTIF(CapexGW!D20:M20,"&lt;0")+COUNTIF(CapexGW!D39:M39,"&lt;0")+COUNTIF(CapexGW!D58:M58,"&lt;0")+COUNTIF(CapexGW!D77:M77,"&lt;0")+COUNTIF(CapexGW!D96:M96,"&lt;0")+COUNTIF(CapexGW!D115:M115,"&lt;0")+COUNTIF(CapexGW!D134:M134,"&lt;0")</f>
        <v>0</v>
      </c>
      <c r="F110" s="0" t="str">
        <f aca="false">IF(C110=0,"OK","ERROR")</f>
        <v>OK</v>
      </c>
      <c r="G110" s="5" t="s">
        <v>1864</v>
      </c>
    </row>
    <row r="111" customFormat="false" ht="17.15" hidden="false" customHeight="false" outlineLevel="0" collapsed="false">
      <c r="A111" s="0" t="s">
        <v>2032</v>
      </c>
      <c r="B111" s="0" t="s">
        <v>2033</v>
      </c>
      <c r="C111" s="0" t="n">
        <f aca="false">SUMPRODUCT(Pipeline!L5:L47,Pipeline!Q5:Q47,(Pipeline!K5:K47&gt;asof)*1,((Pipeline!J5:J47&gt;0)+(Pipeline!J5:J47&lt;=0)*dly_d1_s)*(Pipeline!O5:O47-Pipeline!M5:M47)*12)</f>
        <v>61.2567</v>
      </c>
      <c r="D111" s="0" t="n">
        <f aca="false">SUMPRODUCT(ISTEXT(Pipeline!J5:J47)*1)</f>
        <v>0</v>
      </c>
      <c r="F111" s="0" t="str">
        <f aca="false">IF(AND(C111&gt;0,D111=0),"OK","ERROR")</f>
        <v>OK</v>
      </c>
      <c r="G111" s="5" t="s">
        <v>1864</v>
      </c>
      <c r="H111" s="0" t="s">
        <v>2034</v>
      </c>
    </row>
    <row r="112" customFormat="false" ht="17.15" hidden="false" customHeight="false" outlineLevel="0" collapsed="false">
      <c r="A112" s="0" t="s">
        <v>2035</v>
      </c>
      <c r="B112" s="0" t="s">
        <v>2036</v>
      </c>
      <c r="C112" s="24" t="n">
        <f aca="false">Deploy!H63</f>
        <v>42.1975553554443</v>
      </c>
      <c r="D112" s="24" t="n">
        <f aca="false">Deploy!H62</f>
        <v>43.1401599188997</v>
      </c>
      <c r="F112" s="0" t="str">
        <f aca="false">IF(C112&lt;D112-0.000001,"OK","ERROR")</f>
        <v>OK</v>
      </c>
      <c r="G112" s="5" t="s">
        <v>1864</v>
      </c>
    </row>
    <row r="113" customFormat="false" ht="17.15" hidden="false" customHeight="false" outlineLevel="0" collapsed="false">
      <c r="A113" s="0" t="s">
        <v>2037</v>
      </c>
      <c r="B113" s="0" t="s">
        <v>2038</v>
      </c>
      <c r="C113" s="24" t="n">
        <f aca="false">Deploy!J63</f>
        <v>64.3122249112149</v>
      </c>
      <c r="D113" s="24" t="n">
        <f aca="false">Deploy!J62</f>
        <v>65.6632286441395</v>
      </c>
      <c r="F113" s="0" t="str">
        <f aca="false">IF(C113&lt;D113-0.000001,"OK","ERROR")</f>
        <v>OK</v>
      </c>
      <c r="G113" s="5" t="s">
        <v>1864</v>
      </c>
    </row>
    <row r="114" customFormat="false" ht="17.15" hidden="false" customHeight="false" outlineLevel="0" collapsed="false">
      <c r="A114" s="0" t="s">
        <v>2039</v>
      </c>
      <c r="B114" s="0" t="s">
        <v>2040</v>
      </c>
      <c r="C114" s="0" t="n">
        <f aca="false">(Deploy!M13&lt;Deploy!M14-0.000000001)+(Deploy!M14&lt;Deploy!M15-0.000000001)+(Deploy!M62&lt;Deploy!M63-0.000000001)+(Deploy!M63&lt;Deploy!M64-0.000000001)+(Deploy!M29&lt;Deploy!M30-0.000000001)+(Deploy!M30&lt;Deploy!M31-0.000000001)+(Deploy!M78&lt;Deploy!M79-0.000000001)+(Deploy!M79&lt;Deploy!M80-0.000000001)+(Deploy!M45&lt;Deploy!M46-0.000000001)+(Deploy!M46&lt;Deploy!M47-0.000000001)+(Deploy!M94&lt;Deploy!M95-0.000000001)+(Deploy!M95&lt;Deploy!M96-0.000000001)</f>
        <v>0</v>
      </c>
      <c r="F114" s="0" t="str">
        <f aca="false">IF(C114=0,"OK","WARN")</f>
        <v>OK</v>
      </c>
      <c r="G114" s="5" t="s">
        <v>1864</v>
      </c>
    </row>
    <row r="115" customFormat="false" ht="17.15" hidden="false" customHeight="false" outlineLevel="0" collapsed="false">
      <c r="A115" s="0" t="s">
        <v>2041</v>
      </c>
      <c r="B115" s="0" t="s">
        <v>2042</v>
      </c>
      <c r="C115" s="0" t="n">
        <f aca="false">SUMPRODUCT((In!S5:S208&lt;&gt;"")*(In!E5:E208=""))</f>
        <v>0</v>
      </c>
      <c r="F115" s="0" t="str">
        <f aca="false">IF(C115=0,"OK","ERROR")</f>
        <v>OK</v>
      </c>
      <c r="G115" s="5" t="s">
        <v>2043</v>
      </c>
    </row>
    <row r="116" customFormat="false" ht="17.15" hidden="false" customHeight="false" outlineLevel="0" collapsed="false">
      <c r="A116" s="0" t="s">
        <v>2044</v>
      </c>
      <c r="B116" s="0" t="s">
        <v>2045</v>
      </c>
      <c r="C116" s="0" t="n">
        <f aca="false">SUMPRODUCT((In!S5:S208&lt;&gt;"")*(In!F5:F208=""))</f>
        <v>0</v>
      </c>
      <c r="F116" s="0" t="str">
        <f aca="false">IF(C116=0,"OK","ERROR")</f>
        <v>OK</v>
      </c>
      <c r="G116" s="5" t="s">
        <v>2043</v>
      </c>
    </row>
    <row r="117" customFormat="false" ht="17.15" hidden="false" customHeight="false" outlineLevel="0" collapsed="false">
      <c r="A117" s="0" t="s">
        <v>2046</v>
      </c>
      <c r="B117" s="5" t="s">
        <v>2047</v>
      </c>
      <c r="C117" s="0" t="n">
        <f aca="false">SUMPRODUCT((In!S5:S208=1)*((ISNUMBER(SEARCH("Assumed",In!E5:E208))+ISNUMBER(SEARCH("Analogy",In!E5:E208)))&gt;0)*(((In!H5:H208="")+(In!J5:J208=""))&gt;0))</f>
        <v>0</v>
      </c>
      <c r="F117" s="0" t="str">
        <f aca="false">IF(C117=0,"OK","ERROR")</f>
        <v>OK</v>
      </c>
      <c r="G117" s="5" t="s">
        <v>2043</v>
      </c>
    </row>
    <row r="118" customFormat="false" ht="17.15" hidden="false" customHeight="false" outlineLevel="0" collapsed="false">
      <c r="A118" s="0" t="s">
        <v>2048</v>
      </c>
      <c r="B118" s="5" t="s">
        <v>2049</v>
      </c>
      <c r="C118" s="0" t="n">
        <f aca="false">SUMPRODUCT((In!S5:S208&gt;1)*((ISNUMBER(SEARCH("Assumed",In!E5:E208))+ISNUMBER(SEARCH("Analogy",In!E5:E208)))&gt;0))</f>
        <v>36</v>
      </c>
      <c r="F118" s="0" t="str">
        <f aca="false">IF(C118=0,"OK","WARN")</f>
        <v>WARN</v>
      </c>
      <c r="G118" s="5" t="s">
        <v>2043</v>
      </c>
    </row>
    <row r="119" customFormat="false" ht="17.15" hidden="false" customHeight="false" outlineLevel="0" collapsed="false">
      <c r="A119" s="0" t="s">
        <v>2050</v>
      </c>
      <c r="B119" s="0" t="s">
        <v>2051</v>
      </c>
      <c r="C119" s="0" t="n">
        <v>0</v>
      </c>
      <c r="F119" s="0" t="str">
        <f aca="false">IF(C119=0,"OK","ERROR")</f>
        <v>OK</v>
      </c>
      <c r="G119" s="5" t="s">
        <v>2043</v>
      </c>
    </row>
    <row r="120" customFormat="false" ht="17.15" hidden="false" customHeight="false" outlineLevel="0" collapsed="false">
      <c r="A120" s="0" t="s">
        <v>2052</v>
      </c>
      <c r="B120" s="5" t="s">
        <v>2053</v>
      </c>
      <c r="C120" s="0" t="n">
        <f aca="false">COUNTIF(In!E5:E208,"待證據")</f>
        <v>24</v>
      </c>
      <c r="F120" s="0" t="str">
        <f aca="false">IF(C120=0,"OK","WARN")</f>
        <v>WARN</v>
      </c>
      <c r="G120" s="5" t="s">
        <v>2043</v>
      </c>
      <c r="H120" s="0" t="s">
        <v>2054</v>
      </c>
    </row>
    <row r="121" customFormat="false" ht="15" hidden="false" customHeight="false" outlineLevel="0" collapsed="false">
      <c r="A121" s="0" t="s">
        <v>2055</v>
      </c>
      <c r="B121" s="5" t="s">
        <v>2056</v>
      </c>
      <c r="C121" s="0" t="n">
        <f aca="false">COUNTIF(In!G5:G208,"*【佔位】*")</f>
        <v>0</v>
      </c>
      <c r="F121" s="0" t="str">
        <f aca="false">IF(C121=0,"OK","WARN")</f>
        <v>OK</v>
      </c>
      <c r="G121" s="5" t="s">
        <v>2043</v>
      </c>
    </row>
    <row r="123" customFormat="false" ht="15" hidden="false" customHeight="false" outlineLevel="0" collapsed="false">
      <c r="A123" s="8" t="s">
        <v>2057</v>
      </c>
      <c r="C123" s="37" t="n">
        <f aca="false">COUNTIF(F4:F121,"ERROR")</f>
        <v>0</v>
      </c>
    </row>
    <row r="124" customFormat="false" ht="15" hidden="false" customHeight="false" outlineLevel="0" collapsed="false">
      <c r="A124" s="8" t="s">
        <v>2058</v>
      </c>
      <c r="C124" s="37" t="n">
        <f aca="false">COUNTIF(F4:F121,"WARN")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0" t="s">
        <v>2059</v>
      </c>
    </row>
    <row r="3" customFormat="false" ht="17.15" hidden="false" customHeight="false" outlineLevel="0" collapsed="false">
      <c r="A3" s="6" t="s">
        <v>2060</v>
      </c>
      <c r="B3" s="6" t="s">
        <v>1214</v>
      </c>
      <c r="C3" s="6" t="s">
        <v>13</v>
      </c>
      <c r="D3" s="6" t="s">
        <v>2061</v>
      </c>
      <c r="E3" s="6" t="s">
        <v>2062</v>
      </c>
      <c r="F3" s="6" t="s">
        <v>2063</v>
      </c>
      <c r="G3" s="6" t="s">
        <v>2064</v>
      </c>
    </row>
    <row r="4" customFormat="false" ht="32.8" hidden="false" customHeight="false" outlineLevel="0" collapsed="false">
      <c r="A4" s="3" t="s">
        <v>2065</v>
      </c>
      <c r="B4" s="2" t="s">
        <v>2066</v>
      </c>
      <c r="C4" s="2" t="s">
        <v>2067</v>
      </c>
      <c r="D4" s="2" t="s">
        <v>2068</v>
      </c>
      <c r="E4" s="3" t="s">
        <v>2069</v>
      </c>
      <c r="F4" s="3" t="s">
        <v>2070</v>
      </c>
      <c r="G4" s="2" t="s">
        <v>2071</v>
      </c>
    </row>
    <row r="5" customFormat="false" ht="32.8" hidden="false" customHeight="false" outlineLevel="0" collapsed="false">
      <c r="A5" s="3" t="s">
        <v>2072</v>
      </c>
      <c r="B5" s="2" t="s">
        <v>2066</v>
      </c>
      <c r="C5" s="2" t="s">
        <v>2073</v>
      </c>
      <c r="D5" s="2" t="s">
        <v>2074</v>
      </c>
      <c r="E5" s="3" t="s">
        <v>2069</v>
      </c>
      <c r="F5" s="2" t="s">
        <v>2075</v>
      </c>
      <c r="G5" s="2" t="s">
        <v>2071</v>
      </c>
    </row>
    <row r="6" customFormat="false" ht="64.15" hidden="false" customHeight="false" outlineLevel="0" collapsed="false">
      <c r="A6" s="38" t="s">
        <v>2076</v>
      </c>
      <c r="B6" s="39" t="s">
        <v>2066</v>
      </c>
      <c r="C6" s="39" t="s">
        <v>2077</v>
      </c>
      <c r="D6" s="39" t="s">
        <v>2078</v>
      </c>
      <c r="E6" s="38" t="s">
        <v>2069</v>
      </c>
      <c r="F6" s="38" t="s">
        <v>2079</v>
      </c>
      <c r="G6" s="39" t="s">
        <v>2080</v>
      </c>
    </row>
    <row r="7" customFormat="false" ht="32.8" hidden="false" customHeight="false" outlineLevel="0" collapsed="false">
      <c r="A7" s="38" t="s">
        <v>2081</v>
      </c>
      <c r="B7" s="39" t="s">
        <v>2066</v>
      </c>
      <c r="C7" s="39" t="s">
        <v>2082</v>
      </c>
      <c r="D7" s="38" t="s">
        <v>2083</v>
      </c>
      <c r="E7" s="38" t="s">
        <v>2069</v>
      </c>
      <c r="F7" s="39" t="s">
        <v>2084</v>
      </c>
      <c r="G7" s="39" t="s">
        <v>2080</v>
      </c>
    </row>
    <row r="8" customFormat="false" ht="32.8" hidden="false" customHeight="false" outlineLevel="0" collapsed="false">
      <c r="A8" s="3" t="s">
        <v>2085</v>
      </c>
      <c r="B8" s="2" t="s">
        <v>2066</v>
      </c>
      <c r="C8" s="3" t="s">
        <v>2086</v>
      </c>
      <c r="D8" s="2" t="s">
        <v>2087</v>
      </c>
      <c r="E8" s="3" t="s">
        <v>2069</v>
      </c>
      <c r="F8" s="2" t="s">
        <v>2088</v>
      </c>
      <c r="G8" s="2" t="s">
        <v>2071</v>
      </c>
    </row>
    <row r="9" customFormat="false" ht="48.5" hidden="false" customHeight="false" outlineLevel="0" collapsed="false">
      <c r="A9" s="3" t="s">
        <v>2089</v>
      </c>
      <c r="B9" s="2" t="s">
        <v>2066</v>
      </c>
      <c r="C9" s="2" t="s">
        <v>2090</v>
      </c>
      <c r="D9" s="2" t="s">
        <v>2091</v>
      </c>
      <c r="E9" s="3" t="s">
        <v>2069</v>
      </c>
      <c r="F9" s="3" t="s">
        <v>2092</v>
      </c>
      <c r="G9" s="2" t="s">
        <v>2071</v>
      </c>
    </row>
    <row r="10" customFormat="false" ht="64.15" hidden="false" customHeight="false" outlineLevel="0" collapsed="false">
      <c r="A10" s="38" t="s">
        <v>2093</v>
      </c>
      <c r="B10" s="39" t="s">
        <v>2066</v>
      </c>
      <c r="C10" s="39" t="s">
        <v>2094</v>
      </c>
      <c r="D10" s="38" t="s">
        <v>2095</v>
      </c>
      <c r="E10" s="38" t="s">
        <v>2069</v>
      </c>
      <c r="F10" s="39" t="s">
        <v>2096</v>
      </c>
      <c r="G10" s="39" t="s">
        <v>2080</v>
      </c>
    </row>
    <row r="11" customFormat="false" ht="48.5" hidden="false" customHeight="false" outlineLevel="0" collapsed="false">
      <c r="A11" s="38" t="s">
        <v>2097</v>
      </c>
      <c r="B11" s="39" t="s">
        <v>2066</v>
      </c>
      <c r="C11" s="38" t="s">
        <v>2098</v>
      </c>
      <c r="D11" s="38" t="s">
        <v>2099</v>
      </c>
      <c r="E11" s="38" t="s">
        <v>2069</v>
      </c>
      <c r="F11" s="39" t="s">
        <v>2100</v>
      </c>
      <c r="G11" s="39" t="s">
        <v>2080</v>
      </c>
    </row>
    <row r="12" customFormat="false" ht="32.8" hidden="false" customHeight="false" outlineLevel="0" collapsed="false">
      <c r="A12" s="3" t="s">
        <v>2101</v>
      </c>
      <c r="B12" s="2" t="s">
        <v>2066</v>
      </c>
      <c r="C12" s="3" t="s">
        <v>2102</v>
      </c>
      <c r="D12" s="2" t="s">
        <v>2103</v>
      </c>
      <c r="E12" s="3" t="s">
        <v>2069</v>
      </c>
      <c r="F12" s="2" t="s">
        <v>2104</v>
      </c>
      <c r="G12" s="2" t="s">
        <v>2071</v>
      </c>
    </row>
    <row r="13" customFormat="false" ht="17.15" hidden="false" customHeight="false" outlineLevel="0" collapsed="false">
      <c r="A13" s="3" t="s">
        <v>2105</v>
      </c>
      <c r="B13" s="2" t="s">
        <v>2066</v>
      </c>
      <c r="C13" s="2" t="s">
        <v>2106</v>
      </c>
      <c r="D13" s="2" t="s">
        <v>2107</v>
      </c>
      <c r="E13" s="3" t="s">
        <v>2069</v>
      </c>
      <c r="F13" s="2" t="s">
        <v>2108</v>
      </c>
      <c r="G13" s="2" t="s">
        <v>2071</v>
      </c>
    </row>
    <row r="14" customFormat="false" ht="48.5" hidden="false" customHeight="false" outlineLevel="0" collapsed="false">
      <c r="A14" s="38" t="s">
        <v>2109</v>
      </c>
      <c r="B14" s="39" t="s">
        <v>2066</v>
      </c>
      <c r="C14" s="39" t="s">
        <v>2110</v>
      </c>
      <c r="D14" s="38" t="s">
        <v>2111</v>
      </c>
      <c r="E14" s="38" t="s">
        <v>2069</v>
      </c>
      <c r="F14" s="38" t="s">
        <v>2112</v>
      </c>
      <c r="G14" s="39" t="s">
        <v>2080</v>
      </c>
    </row>
    <row r="15" customFormat="false" ht="32.8" hidden="false" customHeight="false" outlineLevel="0" collapsed="false">
      <c r="A15" s="3" t="s">
        <v>2113</v>
      </c>
      <c r="B15" s="2" t="s">
        <v>2066</v>
      </c>
      <c r="C15" s="2" t="s">
        <v>2114</v>
      </c>
      <c r="D15" s="2" t="s">
        <v>2115</v>
      </c>
      <c r="E15" s="3" t="s">
        <v>2069</v>
      </c>
      <c r="F15" s="3" t="s">
        <v>2116</v>
      </c>
      <c r="G15" s="2" t="s">
        <v>2071</v>
      </c>
    </row>
    <row r="16" customFormat="false" ht="64.15" hidden="false" customHeight="false" outlineLevel="0" collapsed="false">
      <c r="A16" s="38" t="s">
        <v>2117</v>
      </c>
      <c r="B16" s="39" t="s">
        <v>2066</v>
      </c>
      <c r="C16" s="38" t="s">
        <v>2118</v>
      </c>
      <c r="D16" s="38" t="s">
        <v>2119</v>
      </c>
      <c r="E16" s="38" t="s">
        <v>2069</v>
      </c>
      <c r="F16" s="38" t="s">
        <v>2120</v>
      </c>
      <c r="G16" s="39" t="s">
        <v>2080</v>
      </c>
    </row>
    <row r="17" customFormat="false" ht="30.55" hidden="false" customHeight="false" outlineLevel="0" collapsed="false">
      <c r="A17" s="38" t="s">
        <v>2121</v>
      </c>
      <c r="B17" s="39" t="s">
        <v>2066</v>
      </c>
      <c r="C17" s="38" t="s">
        <v>2122</v>
      </c>
      <c r="D17" s="39" t="s">
        <v>2123</v>
      </c>
      <c r="E17" s="38" t="s">
        <v>2069</v>
      </c>
      <c r="F17" s="38" t="s">
        <v>2116</v>
      </c>
      <c r="G17" s="39" t="s">
        <v>2080</v>
      </c>
    </row>
    <row r="18" customFormat="false" ht="32.8" hidden="false" customHeight="false" outlineLevel="0" collapsed="false">
      <c r="A18" s="3" t="s">
        <v>2124</v>
      </c>
      <c r="B18" s="2" t="s">
        <v>2066</v>
      </c>
      <c r="C18" s="2" t="s">
        <v>2125</v>
      </c>
      <c r="D18" s="3" t="s">
        <v>2126</v>
      </c>
      <c r="E18" s="3" t="s">
        <v>2069</v>
      </c>
      <c r="F18" s="2" t="s">
        <v>2066</v>
      </c>
      <c r="G18" s="2" t="s">
        <v>2071</v>
      </c>
    </row>
    <row r="19" customFormat="false" ht="95.5" hidden="false" customHeight="false" outlineLevel="0" collapsed="false">
      <c r="A19" s="38" t="s">
        <v>2127</v>
      </c>
      <c r="B19" s="39" t="s">
        <v>2066</v>
      </c>
      <c r="C19" s="39" t="s">
        <v>2128</v>
      </c>
      <c r="D19" s="39" t="s">
        <v>2129</v>
      </c>
      <c r="E19" s="38" t="s">
        <v>2069</v>
      </c>
      <c r="F19" s="38" t="s">
        <v>2130</v>
      </c>
      <c r="G19" s="39" t="s">
        <v>2080</v>
      </c>
    </row>
    <row r="20" customFormat="false" ht="48.5" hidden="false" customHeight="false" outlineLevel="0" collapsed="false">
      <c r="A20" s="38" t="s">
        <v>2131</v>
      </c>
      <c r="B20" s="39" t="s">
        <v>2066</v>
      </c>
      <c r="C20" s="39" t="s">
        <v>2132</v>
      </c>
      <c r="D20" s="38" t="s">
        <v>2133</v>
      </c>
      <c r="E20" s="38" t="s">
        <v>2069</v>
      </c>
      <c r="F20" s="38" t="s">
        <v>2134</v>
      </c>
      <c r="G20" s="39" t="s">
        <v>2080</v>
      </c>
    </row>
    <row r="21" customFormat="false" ht="48.5" hidden="false" customHeight="false" outlineLevel="0" collapsed="false">
      <c r="A21" s="38" t="s">
        <v>2135</v>
      </c>
      <c r="B21" s="39" t="s">
        <v>2136</v>
      </c>
      <c r="C21" s="39" t="s">
        <v>2137</v>
      </c>
      <c r="D21" s="39" t="s">
        <v>2138</v>
      </c>
      <c r="E21" s="38" t="s">
        <v>2069</v>
      </c>
      <c r="F21" s="39" t="s">
        <v>2139</v>
      </c>
      <c r="G21" s="39" t="s">
        <v>2080</v>
      </c>
    </row>
    <row r="22" customFormat="false" ht="48.5" hidden="false" customHeight="false" outlineLevel="0" collapsed="false">
      <c r="A22" s="38" t="s">
        <v>2140</v>
      </c>
      <c r="B22" s="39" t="s">
        <v>2066</v>
      </c>
      <c r="C22" s="39" t="s">
        <v>2141</v>
      </c>
      <c r="D22" s="38" t="s">
        <v>2142</v>
      </c>
      <c r="E22" s="38" t="s">
        <v>2069</v>
      </c>
      <c r="F22" s="39" t="s">
        <v>2143</v>
      </c>
      <c r="G22" s="39" t="s">
        <v>2080</v>
      </c>
    </row>
    <row r="23" customFormat="false" ht="48.5" hidden="false" customHeight="false" outlineLevel="0" collapsed="false">
      <c r="A23" s="3" t="s">
        <v>2144</v>
      </c>
      <c r="B23" s="2" t="s">
        <v>2066</v>
      </c>
      <c r="C23" s="2" t="s">
        <v>2145</v>
      </c>
      <c r="D23" s="2" t="s">
        <v>2146</v>
      </c>
      <c r="E23" s="3" t="s">
        <v>2069</v>
      </c>
      <c r="F23" s="2" t="s">
        <v>2147</v>
      </c>
      <c r="G23" s="2" t="s">
        <v>2071</v>
      </c>
    </row>
    <row r="24" customFormat="false" ht="48.5" hidden="false" customHeight="false" outlineLevel="0" collapsed="false">
      <c r="A24" s="3" t="s">
        <v>2148</v>
      </c>
      <c r="B24" s="2" t="s">
        <v>2149</v>
      </c>
      <c r="C24" s="3" t="s">
        <v>2150</v>
      </c>
      <c r="D24" s="3" t="s">
        <v>2151</v>
      </c>
      <c r="E24" s="3" t="s">
        <v>2069</v>
      </c>
      <c r="F24" s="2" t="s">
        <v>2152</v>
      </c>
      <c r="G24" s="2" t="s">
        <v>2071</v>
      </c>
    </row>
    <row r="25" customFormat="false" ht="32.8" hidden="false" customHeight="false" outlineLevel="0" collapsed="false">
      <c r="A25" s="38" t="s">
        <v>2153</v>
      </c>
      <c r="B25" s="39" t="s">
        <v>2066</v>
      </c>
      <c r="C25" s="38" t="s">
        <v>2154</v>
      </c>
      <c r="D25" s="38" t="s">
        <v>2155</v>
      </c>
      <c r="E25" s="38" t="s">
        <v>2069</v>
      </c>
      <c r="F25" s="39" t="s">
        <v>2156</v>
      </c>
      <c r="G25" s="39" t="s">
        <v>2080</v>
      </c>
    </row>
    <row r="26" customFormat="false" ht="48.5" hidden="false" customHeight="false" outlineLevel="0" collapsed="false">
      <c r="A26" s="38" t="s">
        <v>2157</v>
      </c>
      <c r="B26" s="39" t="s">
        <v>2136</v>
      </c>
      <c r="C26" s="39" t="s">
        <v>2158</v>
      </c>
      <c r="D26" s="39" t="s">
        <v>2159</v>
      </c>
      <c r="E26" s="38" t="s">
        <v>2069</v>
      </c>
      <c r="F26" s="38" t="s">
        <v>2160</v>
      </c>
      <c r="G26" s="39" t="s">
        <v>2080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17.15" hidden="false" customHeight="false" outlineLevel="0" collapsed="false">
      <c r="A1" s="0" t="s">
        <v>2161</v>
      </c>
    </row>
    <row r="2" customFormat="false" ht="17.15" hidden="false" customHeight="false" outlineLevel="0" collapsed="false">
      <c r="A2" s="5" t="s">
        <v>2162</v>
      </c>
    </row>
    <row r="3" customFormat="false" ht="17.15" hidden="false" customHeight="false" outlineLevel="0" collapsed="false">
      <c r="A3" s="7" t="s">
        <v>1799</v>
      </c>
      <c r="B3" s="6" t="s">
        <v>2163</v>
      </c>
      <c r="C3" s="6" t="s">
        <v>2164</v>
      </c>
      <c r="D3" s="6" t="s">
        <v>2165</v>
      </c>
      <c r="E3" s="6" t="s">
        <v>14</v>
      </c>
      <c r="F3" s="7" t="s">
        <v>2166</v>
      </c>
      <c r="G3" s="6" t="s">
        <v>2167</v>
      </c>
      <c r="H3" s="7" t="s">
        <v>2168</v>
      </c>
      <c r="I3" s="7" t="s">
        <v>2169</v>
      </c>
      <c r="J3" s="6" t="s">
        <v>2170</v>
      </c>
      <c r="K3" s="6" t="s">
        <v>2171</v>
      </c>
      <c r="L3" s="6" t="s">
        <v>2172</v>
      </c>
    </row>
    <row r="4" customFormat="false" ht="17.15" hidden="false" customHeight="false" outlineLevel="0" collapsed="false">
      <c r="A4" s="12" t="s">
        <v>2173</v>
      </c>
      <c r="B4" s="12" t="s">
        <v>2174</v>
      </c>
      <c r="C4" s="12" t="s">
        <v>2175</v>
      </c>
      <c r="D4" s="12" t="s">
        <v>2176</v>
      </c>
      <c r="E4" s="12" t="s">
        <v>2177</v>
      </c>
      <c r="F4" s="12" t="s">
        <v>2178</v>
      </c>
      <c r="G4" s="12" t="s">
        <v>2179</v>
      </c>
      <c r="H4" s="13" t="s">
        <v>2180</v>
      </c>
      <c r="I4" s="12"/>
      <c r="J4" s="12"/>
      <c r="K4" s="12" t="s">
        <v>33</v>
      </c>
      <c r="L4" s="12" t="s">
        <v>2181</v>
      </c>
    </row>
    <row r="5" customFormat="false" ht="17.15" hidden="false" customHeight="false" outlineLevel="0" collapsed="false">
      <c r="A5" s="0" t="s">
        <v>2182</v>
      </c>
      <c r="B5" s="0" t="s">
        <v>2174</v>
      </c>
      <c r="C5" s="0" t="s">
        <v>2183</v>
      </c>
      <c r="D5" s="0" t="s">
        <v>2184</v>
      </c>
      <c r="E5" s="0" t="s">
        <v>2177</v>
      </c>
      <c r="F5" s="0" t="s">
        <v>2185</v>
      </c>
      <c r="G5" s="0" t="s">
        <v>2179</v>
      </c>
      <c r="H5" s="5" t="s">
        <v>2186</v>
      </c>
      <c r="K5" s="0" t="s">
        <v>33</v>
      </c>
      <c r="L5" s="0" t="s">
        <v>2187</v>
      </c>
    </row>
    <row r="6" customFormat="false" ht="17.15" hidden="false" customHeight="false" outlineLevel="0" collapsed="false">
      <c r="A6" s="0" t="s">
        <v>2188</v>
      </c>
      <c r="B6" s="0" t="s">
        <v>2174</v>
      </c>
      <c r="C6" s="0" t="s">
        <v>2189</v>
      </c>
      <c r="D6" s="0" t="s">
        <v>2184</v>
      </c>
      <c r="E6" s="0" t="s">
        <v>2177</v>
      </c>
      <c r="F6" s="0" t="s">
        <v>2190</v>
      </c>
      <c r="G6" s="0" t="s">
        <v>2179</v>
      </c>
      <c r="H6" s="5" t="s">
        <v>2186</v>
      </c>
      <c r="K6" s="0" t="s">
        <v>33</v>
      </c>
      <c r="L6" s="0" t="s">
        <v>2191</v>
      </c>
    </row>
    <row r="7" customFormat="false" ht="17.15" hidden="false" customHeight="false" outlineLevel="0" collapsed="false">
      <c r="A7" s="0" t="s">
        <v>2192</v>
      </c>
      <c r="B7" s="0" t="s">
        <v>2174</v>
      </c>
      <c r="C7" s="0" t="s">
        <v>2193</v>
      </c>
      <c r="D7" s="0" t="s">
        <v>2184</v>
      </c>
      <c r="E7" s="0" t="s">
        <v>2177</v>
      </c>
      <c r="F7" s="0" t="s">
        <v>2194</v>
      </c>
      <c r="G7" s="0" t="s">
        <v>2179</v>
      </c>
      <c r="H7" s="5" t="s">
        <v>2186</v>
      </c>
      <c r="K7" s="0" t="s">
        <v>33</v>
      </c>
      <c r="L7" s="0" t="s">
        <v>2195</v>
      </c>
    </row>
    <row r="8" customFormat="false" ht="17.15" hidden="false" customHeight="false" outlineLevel="0" collapsed="false">
      <c r="A8" s="0" t="s">
        <v>2196</v>
      </c>
      <c r="B8" s="0" t="s">
        <v>2174</v>
      </c>
      <c r="C8" s="0" t="s">
        <v>2197</v>
      </c>
      <c r="D8" s="0" t="s">
        <v>2198</v>
      </c>
      <c r="E8" s="0" t="s">
        <v>2177</v>
      </c>
      <c r="F8" s="0" t="s">
        <v>2199</v>
      </c>
      <c r="G8" s="0" t="s">
        <v>2179</v>
      </c>
      <c r="H8" s="5" t="s">
        <v>2186</v>
      </c>
      <c r="K8" s="0" t="s">
        <v>33</v>
      </c>
      <c r="L8" s="0" t="s">
        <v>2200</v>
      </c>
    </row>
    <row r="9" customFormat="false" ht="17.15" hidden="false" customHeight="false" outlineLevel="0" collapsed="false">
      <c r="A9" s="0" t="s">
        <v>2201</v>
      </c>
      <c r="B9" s="0" t="s">
        <v>2174</v>
      </c>
      <c r="C9" s="0" t="s">
        <v>2202</v>
      </c>
      <c r="D9" s="0" t="s">
        <v>2203</v>
      </c>
      <c r="E9" s="0" t="s">
        <v>2177</v>
      </c>
      <c r="F9" s="0" t="s">
        <v>2204</v>
      </c>
      <c r="G9" s="0" t="s">
        <v>2179</v>
      </c>
      <c r="H9" s="5" t="s">
        <v>2186</v>
      </c>
      <c r="J9" s="0" t="s">
        <v>207</v>
      </c>
      <c r="K9" s="5" t="s">
        <v>2171</v>
      </c>
      <c r="L9" s="0" t="s">
        <v>2205</v>
      </c>
    </row>
    <row r="10" customFormat="false" ht="17.15" hidden="false" customHeight="false" outlineLevel="0" collapsed="false">
      <c r="A10" s="0" t="s">
        <v>2206</v>
      </c>
      <c r="B10" s="0" t="s">
        <v>2174</v>
      </c>
      <c r="C10" s="0" t="s">
        <v>2207</v>
      </c>
      <c r="D10" s="0" t="s">
        <v>2208</v>
      </c>
      <c r="E10" s="0" t="s">
        <v>2177</v>
      </c>
      <c r="F10" s="0" t="s">
        <v>2204</v>
      </c>
      <c r="G10" s="0" t="s">
        <v>2179</v>
      </c>
      <c r="H10" s="5" t="s">
        <v>2186</v>
      </c>
      <c r="J10" s="0" t="s">
        <v>207</v>
      </c>
      <c r="K10" s="5" t="s">
        <v>2171</v>
      </c>
      <c r="L10" s="0" t="s">
        <v>2205</v>
      </c>
    </row>
    <row r="11" customFormat="false" ht="17.15" hidden="false" customHeight="false" outlineLevel="0" collapsed="false">
      <c r="A11" s="0" t="s">
        <v>2209</v>
      </c>
      <c r="B11" s="0" t="s">
        <v>2174</v>
      </c>
      <c r="C11" s="0" t="s">
        <v>2210</v>
      </c>
      <c r="D11" s="0" t="s">
        <v>2211</v>
      </c>
      <c r="E11" s="0" t="s">
        <v>2177</v>
      </c>
      <c r="F11" s="0" t="s">
        <v>2212</v>
      </c>
      <c r="G11" s="0" t="s">
        <v>2179</v>
      </c>
      <c r="H11" s="5" t="s">
        <v>2213</v>
      </c>
      <c r="K11" s="0" t="s">
        <v>33</v>
      </c>
      <c r="L11" s="0" t="s">
        <v>2214</v>
      </c>
    </row>
    <row r="12" customFormat="false" ht="17.15" hidden="false" customHeight="false" outlineLevel="0" collapsed="false">
      <c r="A12" s="0" t="s">
        <v>2215</v>
      </c>
      <c r="B12" s="0" t="s">
        <v>2174</v>
      </c>
      <c r="C12" s="0" t="s">
        <v>2216</v>
      </c>
      <c r="D12" s="0" t="s">
        <v>2217</v>
      </c>
      <c r="E12" s="0" t="s">
        <v>2177</v>
      </c>
      <c r="F12" s="0" t="s">
        <v>2218</v>
      </c>
      <c r="G12" s="0" t="s">
        <v>2219</v>
      </c>
      <c r="H12" s="5" t="s">
        <v>2186</v>
      </c>
      <c r="J12" s="0" t="s">
        <v>259</v>
      </c>
      <c r="K12" s="5" t="s">
        <v>2171</v>
      </c>
      <c r="L12" s="0" t="s">
        <v>2220</v>
      </c>
    </row>
    <row r="13" customFormat="false" ht="17.15" hidden="false" customHeight="false" outlineLevel="0" collapsed="false">
      <c r="A13" s="0" t="s">
        <v>2221</v>
      </c>
      <c r="B13" s="0" t="s">
        <v>2174</v>
      </c>
      <c r="C13" s="0" t="s">
        <v>2222</v>
      </c>
      <c r="D13" s="0" t="s">
        <v>2223</v>
      </c>
      <c r="E13" s="0" t="s">
        <v>2177</v>
      </c>
      <c r="F13" s="0" t="s">
        <v>2224</v>
      </c>
      <c r="G13" s="0" t="s">
        <v>2219</v>
      </c>
      <c r="H13" s="5" t="s">
        <v>2186</v>
      </c>
      <c r="J13" s="0" t="s">
        <v>259</v>
      </c>
      <c r="K13" s="5" t="s">
        <v>2171</v>
      </c>
      <c r="L13" s="0" t="s">
        <v>2220</v>
      </c>
    </row>
    <row r="14" customFormat="false" ht="17.15" hidden="false" customHeight="false" outlineLevel="0" collapsed="false">
      <c r="A14" s="0" t="s">
        <v>2225</v>
      </c>
      <c r="B14" s="0" t="s">
        <v>2174</v>
      </c>
      <c r="C14" s="0" t="s">
        <v>2226</v>
      </c>
      <c r="D14" s="0" t="s">
        <v>2227</v>
      </c>
      <c r="E14" s="0" t="s">
        <v>2177</v>
      </c>
      <c r="F14" s="0" t="s">
        <v>2228</v>
      </c>
      <c r="G14" s="0" t="s">
        <v>2219</v>
      </c>
      <c r="H14" s="5" t="s">
        <v>2186</v>
      </c>
      <c r="K14" s="0" t="s">
        <v>33</v>
      </c>
      <c r="L14" s="0" t="s">
        <v>2220</v>
      </c>
    </row>
    <row r="15" customFormat="false" ht="17.15" hidden="false" customHeight="false" outlineLevel="0" collapsed="false">
      <c r="A15" s="0" t="s">
        <v>2229</v>
      </c>
      <c r="B15" s="0" t="s">
        <v>2174</v>
      </c>
      <c r="C15" s="0" t="s">
        <v>2230</v>
      </c>
      <c r="D15" s="0" t="s">
        <v>2231</v>
      </c>
      <c r="E15" s="0" t="s">
        <v>109</v>
      </c>
      <c r="F15" s="0" t="s">
        <v>117</v>
      </c>
      <c r="G15" s="0" t="s">
        <v>2232</v>
      </c>
      <c r="H15" s="5" t="s">
        <v>2213</v>
      </c>
      <c r="J15" s="0" t="s">
        <v>107</v>
      </c>
      <c r="K15" s="5" t="s">
        <v>2233</v>
      </c>
      <c r="L15" s="0" t="s">
        <v>2234</v>
      </c>
    </row>
    <row r="16" customFormat="false" ht="17.15" hidden="false" customHeight="false" outlineLevel="0" collapsed="false">
      <c r="A16" s="0" t="s">
        <v>2235</v>
      </c>
      <c r="B16" s="0" t="s">
        <v>2174</v>
      </c>
      <c r="C16" s="0" t="s">
        <v>2236</v>
      </c>
      <c r="D16" s="0" t="s">
        <v>2237</v>
      </c>
      <c r="E16" s="0" t="s">
        <v>109</v>
      </c>
      <c r="F16" s="0" t="s">
        <v>117</v>
      </c>
      <c r="G16" s="0" t="s">
        <v>2232</v>
      </c>
      <c r="H16" s="5" t="s">
        <v>2213</v>
      </c>
      <c r="K16" s="0" t="s">
        <v>33</v>
      </c>
      <c r="L16" s="0" t="s">
        <v>2234</v>
      </c>
    </row>
    <row r="17" customFormat="false" ht="17.15" hidden="false" customHeight="false" outlineLevel="0" collapsed="false">
      <c r="A17" s="0" t="s">
        <v>2238</v>
      </c>
      <c r="B17" s="0" t="s">
        <v>2174</v>
      </c>
      <c r="C17" s="0" t="s">
        <v>2239</v>
      </c>
      <c r="D17" s="0" t="s">
        <v>2240</v>
      </c>
      <c r="E17" s="0" t="s">
        <v>109</v>
      </c>
      <c r="F17" s="0" t="s">
        <v>2241</v>
      </c>
      <c r="G17" s="0" t="s">
        <v>2219</v>
      </c>
      <c r="H17" s="5" t="s">
        <v>2186</v>
      </c>
      <c r="J17" s="0" t="s">
        <v>495</v>
      </c>
      <c r="K17" s="5" t="s">
        <v>2171</v>
      </c>
      <c r="L17" s="0" t="s">
        <v>2242</v>
      </c>
    </row>
    <row r="18" customFormat="false" ht="17.15" hidden="false" customHeight="false" outlineLevel="0" collapsed="false">
      <c r="A18" s="0" t="s">
        <v>2243</v>
      </c>
      <c r="B18" s="0" t="s">
        <v>2174</v>
      </c>
      <c r="C18" s="0" t="s">
        <v>2244</v>
      </c>
      <c r="D18" s="0" t="s">
        <v>2245</v>
      </c>
      <c r="E18" s="0" t="s">
        <v>109</v>
      </c>
      <c r="F18" s="0" t="s">
        <v>2246</v>
      </c>
      <c r="G18" s="0" t="s">
        <v>2219</v>
      </c>
      <c r="H18" s="5" t="s">
        <v>2247</v>
      </c>
      <c r="I18" s="0" t="s">
        <v>2248</v>
      </c>
      <c r="J18" s="0" t="s">
        <v>498</v>
      </c>
      <c r="K18" s="5" t="s">
        <v>2171</v>
      </c>
      <c r="L18" s="0" t="s">
        <v>2249</v>
      </c>
    </row>
    <row r="19" customFormat="false" ht="17.15" hidden="false" customHeight="false" outlineLevel="0" collapsed="false">
      <c r="A19" s="0" t="s">
        <v>2250</v>
      </c>
      <c r="B19" s="0" t="s">
        <v>2174</v>
      </c>
      <c r="C19" s="0" t="s">
        <v>2251</v>
      </c>
      <c r="D19" s="0" t="s">
        <v>2252</v>
      </c>
      <c r="E19" s="0" t="s">
        <v>109</v>
      </c>
      <c r="F19" s="0" t="s">
        <v>2246</v>
      </c>
      <c r="G19" s="0" t="s">
        <v>2219</v>
      </c>
      <c r="H19" s="5" t="s">
        <v>2186</v>
      </c>
      <c r="J19" s="0" t="s">
        <v>501</v>
      </c>
      <c r="K19" s="5" t="s">
        <v>2171</v>
      </c>
      <c r="L19" s="0" t="s">
        <v>2249</v>
      </c>
    </row>
    <row r="20" customFormat="false" ht="17.15" hidden="false" customHeight="false" outlineLevel="0" collapsed="false">
      <c r="A20" s="0" t="s">
        <v>2253</v>
      </c>
      <c r="B20" s="0" t="s">
        <v>2174</v>
      </c>
      <c r="C20" s="0" t="s">
        <v>2254</v>
      </c>
      <c r="D20" s="0" t="s">
        <v>2255</v>
      </c>
      <c r="E20" s="0" t="s">
        <v>2177</v>
      </c>
      <c r="F20" s="0" t="s">
        <v>2256</v>
      </c>
      <c r="G20" s="0" t="s">
        <v>2179</v>
      </c>
      <c r="H20" s="5" t="s">
        <v>2186</v>
      </c>
      <c r="J20" s="0" t="s">
        <v>504</v>
      </c>
      <c r="K20" s="5" t="s">
        <v>2171</v>
      </c>
      <c r="L20" s="0" t="s">
        <v>2257</v>
      </c>
    </row>
    <row r="21" customFormat="false" ht="17.15" hidden="false" customHeight="false" outlineLevel="0" collapsed="false">
      <c r="A21" s="0" t="s">
        <v>2258</v>
      </c>
      <c r="B21" s="0" t="s">
        <v>2174</v>
      </c>
      <c r="C21" s="0" t="s">
        <v>2259</v>
      </c>
      <c r="D21" s="0" t="s">
        <v>2260</v>
      </c>
      <c r="E21" s="0" t="s">
        <v>2177</v>
      </c>
      <c r="F21" s="0" t="s">
        <v>2261</v>
      </c>
      <c r="G21" s="0" t="s">
        <v>2179</v>
      </c>
      <c r="H21" s="5" t="s">
        <v>2247</v>
      </c>
      <c r="I21" s="5" t="s">
        <v>2262</v>
      </c>
      <c r="J21" s="0" t="s">
        <v>198</v>
      </c>
      <c r="K21" s="5" t="s">
        <v>2171</v>
      </c>
      <c r="L21" s="0" t="s">
        <v>2263</v>
      </c>
    </row>
    <row r="22" customFormat="false" ht="17.15" hidden="false" customHeight="false" outlineLevel="0" collapsed="false">
      <c r="A22" s="0" t="s">
        <v>2264</v>
      </c>
      <c r="B22" s="0" t="s">
        <v>2174</v>
      </c>
      <c r="C22" s="0" t="s">
        <v>2265</v>
      </c>
      <c r="D22" s="0" t="s">
        <v>2266</v>
      </c>
      <c r="E22" s="0" t="s">
        <v>2177</v>
      </c>
      <c r="F22" s="0" t="s">
        <v>2267</v>
      </c>
      <c r="G22" s="0" t="s">
        <v>2268</v>
      </c>
      <c r="H22" s="5" t="s">
        <v>2213</v>
      </c>
      <c r="K22" s="0" t="s">
        <v>33</v>
      </c>
      <c r="L22" s="0" t="s">
        <v>2269</v>
      </c>
    </row>
    <row r="23" customFormat="false" ht="17.15" hidden="false" customHeight="false" outlineLevel="0" collapsed="false">
      <c r="A23" s="0" t="s">
        <v>2270</v>
      </c>
      <c r="B23" s="0" t="s">
        <v>2174</v>
      </c>
      <c r="C23" s="0" t="s">
        <v>2271</v>
      </c>
      <c r="D23" s="0" t="s">
        <v>2272</v>
      </c>
      <c r="F23" s="0" t="s">
        <v>2199</v>
      </c>
      <c r="G23" s="0" t="s">
        <v>2179</v>
      </c>
      <c r="H23" s="5" t="s">
        <v>2247</v>
      </c>
      <c r="I23" s="5" t="s">
        <v>2273</v>
      </c>
      <c r="K23" s="0" t="s">
        <v>33</v>
      </c>
      <c r="L23" s="0" t="s">
        <v>2274</v>
      </c>
    </row>
    <row r="24" customFormat="false" ht="17.15" hidden="false" customHeight="false" outlineLevel="0" collapsed="false">
      <c r="A24" s="0" t="s">
        <v>2275</v>
      </c>
      <c r="B24" s="0" t="s">
        <v>2174</v>
      </c>
      <c r="C24" s="0" t="s">
        <v>2276</v>
      </c>
      <c r="F24" s="0" t="s">
        <v>2069</v>
      </c>
      <c r="G24" s="0" t="s">
        <v>2277</v>
      </c>
      <c r="H24" s="5" t="s">
        <v>2213</v>
      </c>
      <c r="K24" s="0" t="s">
        <v>33</v>
      </c>
      <c r="L24" s="0" t="s">
        <v>2278</v>
      </c>
    </row>
    <row r="25" customFormat="false" ht="17.15" hidden="false" customHeight="false" outlineLevel="0" collapsed="false">
      <c r="A25" s="0" t="s">
        <v>2279</v>
      </c>
      <c r="B25" s="0" t="s">
        <v>2280</v>
      </c>
      <c r="C25" s="0" t="s">
        <v>2281</v>
      </c>
      <c r="D25" s="0" t="s">
        <v>2282</v>
      </c>
      <c r="E25" s="0" t="s">
        <v>2177</v>
      </c>
      <c r="F25" s="0" t="s">
        <v>2218</v>
      </c>
      <c r="G25" s="0" t="s">
        <v>2219</v>
      </c>
      <c r="H25" s="5" t="s">
        <v>2186</v>
      </c>
      <c r="J25" s="0" t="s">
        <v>262</v>
      </c>
      <c r="K25" s="5" t="s">
        <v>2171</v>
      </c>
      <c r="L25" s="0" t="s">
        <v>2220</v>
      </c>
    </row>
    <row r="26" customFormat="false" ht="17.15" hidden="false" customHeight="false" outlineLevel="0" collapsed="false">
      <c r="A26" s="0" t="s">
        <v>2283</v>
      </c>
      <c r="B26" s="0" t="s">
        <v>2280</v>
      </c>
      <c r="C26" s="0" t="s">
        <v>2284</v>
      </c>
      <c r="D26" s="0" t="s">
        <v>2285</v>
      </c>
      <c r="E26" s="0" t="s">
        <v>2177</v>
      </c>
      <c r="F26" s="0" t="s">
        <v>2224</v>
      </c>
      <c r="G26" s="0" t="s">
        <v>2219</v>
      </c>
      <c r="H26" s="5" t="s">
        <v>2186</v>
      </c>
      <c r="J26" s="0" t="s">
        <v>262</v>
      </c>
      <c r="K26" s="5" t="s">
        <v>2171</v>
      </c>
      <c r="L26" s="0" t="s">
        <v>2220</v>
      </c>
    </row>
    <row r="27" customFormat="false" ht="17.15" hidden="false" customHeight="false" outlineLevel="0" collapsed="false">
      <c r="A27" s="0" t="s">
        <v>2286</v>
      </c>
      <c r="B27" s="0" t="s">
        <v>2280</v>
      </c>
      <c r="C27" s="0" t="s">
        <v>2287</v>
      </c>
      <c r="D27" s="0" t="s">
        <v>2288</v>
      </c>
      <c r="E27" s="0" t="s">
        <v>109</v>
      </c>
      <c r="F27" s="0" t="s">
        <v>2289</v>
      </c>
      <c r="G27" s="0" t="s">
        <v>2232</v>
      </c>
      <c r="H27" s="5" t="s">
        <v>2186</v>
      </c>
      <c r="K27" s="0" t="s">
        <v>33</v>
      </c>
      <c r="L27" s="0" t="s">
        <v>2290</v>
      </c>
    </row>
    <row r="28" customFormat="false" ht="17.15" hidden="false" customHeight="false" outlineLevel="0" collapsed="false">
      <c r="A28" s="0" t="s">
        <v>2291</v>
      </c>
      <c r="B28" s="0" t="s">
        <v>2280</v>
      </c>
      <c r="C28" s="0" t="s">
        <v>2292</v>
      </c>
      <c r="D28" s="0" t="s">
        <v>2293</v>
      </c>
      <c r="E28" s="0" t="s">
        <v>109</v>
      </c>
      <c r="F28" s="0" t="s">
        <v>117</v>
      </c>
      <c r="G28" s="0" t="s">
        <v>2232</v>
      </c>
      <c r="H28" s="5" t="s">
        <v>2213</v>
      </c>
      <c r="K28" s="0" t="s">
        <v>33</v>
      </c>
      <c r="L28" s="0" t="s">
        <v>2290</v>
      </c>
    </row>
    <row r="29" customFormat="false" ht="17.15" hidden="false" customHeight="false" outlineLevel="0" collapsed="false">
      <c r="A29" s="12" t="s">
        <v>2294</v>
      </c>
      <c r="B29" s="12" t="s">
        <v>2280</v>
      </c>
      <c r="C29" s="12" t="s">
        <v>2295</v>
      </c>
      <c r="D29" s="12" t="s">
        <v>2296</v>
      </c>
      <c r="E29" s="12" t="s">
        <v>2297</v>
      </c>
      <c r="F29" s="12" t="s">
        <v>21</v>
      </c>
      <c r="G29" s="12" t="s">
        <v>2232</v>
      </c>
      <c r="H29" s="13" t="s">
        <v>2180</v>
      </c>
      <c r="I29" s="12"/>
      <c r="J29" s="12"/>
      <c r="K29" s="12" t="s">
        <v>33</v>
      </c>
      <c r="L29" s="12" t="s">
        <v>2298</v>
      </c>
    </row>
    <row r="30" customFormat="false" ht="17.15" hidden="false" customHeight="false" outlineLevel="0" collapsed="false">
      <c r="A30" s="0" t="s">
        <v>2299</v>
      </c>
      <c r="B30" s="0" t="s">
        <v>2280</v>
      </c>
      <c r="C30" s="0" t="s">
        <v>2300</v>
      </c>
      <c r="D30" s="0" t="s">
        <v>2301</v>
      </c>
      <c r="E30" s="0" t="s">
        <v>109</v>
      </c>
      <c r="F30" s="0" t="s">
        <v>2302</v>
      </c>
      <c r="G30" s="0" t="s">
        <v>2219</v>
      </c>
      <c r="H30" s="5" t="s">
        <v>2213</v>
      </c>
      <c r="K30" s="0" t="s">
        <v>33</v>
      </c>
      <c r="L30" s="0" t="s">
        <v>2303</v>
      </c>
    </row>
    <row r="31" customFormat="false" ht="17.15" hidden="false" customHeight="false" outlineLevel="0" collapsed="false">
      <c r="A31" s="0" t="s">
        <v>2304</v>
      </c>
      <c r="B31" s="0" t="s">
        <v>2280</v>
      </c>
      <c r="C31" s="0" t="s">
        <v>2305</v>
      </c>
      <c r="D31" s="0" t="s">
        <v>2306</v>
      </c>
      <c r="E31" s="0" t="s">
        <v>2177</v>
      </c>
      <c r="F31" s="0" t="s">
        <v>2307</v>
      </c>
      <c r="G31" s="0" t="s">
        <v>2179</v>
      </c>
      <c r="H31" s="5" t="s">
        <v>2186</v>
      </c>
      <c r="J31" s="0" t="s">
        <v>2308</v>
      </c>
      <c r="K31" s="5" t="s">
        <v>2171</v>
      </c>
      <c r="L31" s="0" t="s">
        <v>2309</v>
      </c>
    </row>
    <row r="32" customFormat="false" ht="17.15" hidden="false" customHeight="false" outlineLevel="0" collapsed="false">
      <c r="A32" s="12" t="s">
        <v>2310</v>
      </c>
      <c r="B32" s="12" t="s">
        <v>2280</v>
      </c>
      <c r="C32" s="12" t="s">
        <v>2311</v>
      </c>
      <c r="D32" s="12" t="s">
        <v>2312</v>
      </c>
      <c r="E32" s="12" t="s">
        <v>2177</v>
      </c>
      <c r="F32" s="12" t="s">
        <v>2313</v>
      </c>
      <c r="G32" s="12" t="s">
        <v>2314</v>
      </c>
      <c r="H32" s="13" t="s">
        <v>2180</v>
      </c>
      <c r="I32" s="13" t="s">
        <v>2315</v>
      </c>
      <c r="J32" s="12" t="s">
        <v>447</v>
      </c>
      <c r="K32" s="13" t="s">
        <v>2233</v>
      </c>
      <c r="L32" s="12" t="s">
        <v>2316</v>
      </c>
    </row>
    <row r="33" customFormat="false" ht="17.15" hidden="false" customHeight="false" outlineLevel="0" collapsed="false">
      <c r="A33" s="0" t="s">
        <v>2317</v>
      </c>
      <c r="B33" s="0" t="s">
        <v>2280</v>
      </c>
      <c r="C33" s="0" t="s">
        <v>2318</v>
      </c>
      <c r="D33" s="0" t="s">
        <v>2319</v>
      </c>
      <c r="E33" s="0" t="s">
        <v>2177</v>
      </c>
      <c r="F33" s="0" t="s">
        <v>2320</v>
      </c>
      <c r="G33" s="0" t="s">
        <v>2179</v>
      </c>
      <c r="H33" s="5" t="s">
        <v>2213</v>
      </c>
      <c r="J33" s="0" t="s">
        <v>597</v>
      </c>
      <c r="K33" s="5" t="s">
        <v>2321</v>
      </c>
      <c r="L33" s="0" t="s">
        <v>2322</v>
      </c>
    </row>
    <row r="34" customFormat="false" ht="17.15" hidden="false" customHeight="false" outlineLevel="0" collapsed="false">
      <c r="A34" s="0" t="s">
        <v>2323</v>
      </c>
      <c r="B34" s="0" t="s">
        <v>2280</v>
      </c>
      <c r="C34" s="0" t="s">
        <v>2324</v>
      </c>
      <c r="D34" s="0" t="s">
        <v>2325</v>
      </c>
      <c r="E34" s="0" t="s">
        <v>2177</v>
      </c>
      <c r="F34" s="0" t="s">
        <v>117</v>
      </c>
      <c r="G34" s="0" t="s">
        <v>2268</v>
      </c>
      <c r="H34" s="5" t="s">
        <v>2213</v>
      </c>
      <c r="K34" s="0" t="s">
        <v>33</v>
      </c>
      <c r="L34" s="0" t="s">
        <v>2326</v>
      </c>
    </row>
    <row r="35" customFormat="false" ht="17.15" hidden="false" customHeight="false" outlineLevel="0" collapsed="false">
      <c r="A35" s="12" t="s">
        <v>2327</v>
      </c>
      <c r="B35" s="12" t="s">
        <v>2280</v>
      </c>
      <c r="C35" s="12" t="s">
        <v>2328</v>
      </c>
      <c r="D35" s="12" t="s">
        <v>2329</v>
      </c>
      <c r="E35" s="12" t="s">
        <v>109</v>
      </c>
      <c r="F35" s="12" t="s">
        <v>2330</v>
      </c>
      <c r="G35" s="12" t="s">
        <v>2232</v>
      </c>
      <c r="H35" s="13" t="s">
        <v>2331</v>
      </c>
      <c r="I35" s="13" t="s">
        <v>2332</v>
      </c>
      <c r="J35" s="12" t="s">
        <v>467</v>
      </c>
      <c r="K35" s="13" t="s">
        <v>2233</v>
      </c>
      <c r="L35" s="12" t="s">
        <v>2333</v>
      </c>
    </row>
    <row r="36" customFormat="false" ht="17.15" hidden="false" customHeight="false" outlineLevel="0" collapsed="false">
      <c r="A36" s="0" t="s">
        <v>2334</v>
      </c>
      <c r="B36" s="0" t="s">
        <v>2280</v>
      </c>
      <c r="C36" s="0" t="s">
        <v>2335</v>
      </c>
      <c r="D36" s="0" t="s">
        <v>2336</v>
      </c>
      <c r="F36" s="0" t="s">
        <v>2337</v>
      </c>
      <c r="G36" s="0" t="s">
        <v>2179</v>
      </c>
      <c r="H36" s="5" t="s">
        <v>2213</v>
      </c>
      <c r="K36" s="0" t="s">
        <v>33</v>
      </c>
      <c r="L36" s="0" t="s">
        <v>2338</v>
      </c>
    </row>
    <row r="37" customFormat="false" ht="17.15" hidden="false" customHeight="false" outlineLevel="0" collapsed="false">
      <c r="A37" s="0" t="s">
        <v>2339</v>
      </c>
      <c r="B37" s="0" t="s">
        <v>2340</v>
      </c>
      <c r="C37" s="0" t="s">
        <v>2341</v>
      </c>
      <c r="D37" s="0" t="s">
        <v>2342</v>
      </c>
      <c r="E37" s="0" t="s">
        <v>2177</v>
      </c>
      <c r="F37" s="0" t="s">
        <v>2343</v>
      </c>
      <c r="G37" s="0" t="s">
        <v>2179</v>
      </c>
      <c r="H37" s="5" t="s">
        <v>2186</v>
      </c>
      <c r="K37" s="0" t="s">
        <v>33</v>
      </c>
      <c r="L37" s="0" t="s">
        <v>2344</v>
      </c>
    </row>
    <row r="38" customFormat="false" ht="17.15" hidden="false" customHeight="false" outlineLevel="0" collapsed="false">
      <c r="A38" s="12" t="s">
        <v>2345</v>
      </c>
      <c r="B38" s="12" t="s">
        <v>2340</v>
      </c>
      <c r="C38" s="12" t="s">
        <v>2346</v>
      </c>
      <c r="D38" s="12" t="s">
        <v>2347</v>
      </c>
      <c r="E38" s="12" t="s">
        <v>2177</v>
      </c>
      <c r="F38" s="12" t="s">
        <v>2289</v>
      </c>
      <c r="G38" s="12" t="s">
        <v>2179</v>
      </c>
      <c r="H38" s="13" t="s">
        <v>2180</v>
      </c>
      <c r="I38" s="12"/>
      <c r="J38" s="12"/>
      <c r="K38" s="12" t="s">
        <v>33</v>
      </c>
      <c r="L38" s="12" t="s">
        <v>2348</v>
      </c>
    </row>
    <row r="39" customFormat="false" ht="17.15" hidden="false" customHeight="false" outlineLevel="0" collapsed="false">
      <c r="A39" s="0" t="s">
        <v>2349</v>
      </c>
      <c r="B39" s="0" t="s">
        <v>2340</v>
      </c>
      <c r="C39" s="0" t="s">
        <v>2350</v>
      </c>
      <c r="D39" s="0" t="s">
        <v>2351</v>
      </c>
      <c r="E39" s="0" t="s">
        <v>2177</v>
      </c>
      <c r="F39" s="0" t="s">
        <v>2352</v>
      </c>
      <c r="G39" s="0" t="s">
        <v>2179</v>
      </c>
      <c r="H39" s="5" t="s">
        <v>2186</v>
      </c>
      <c r="K39" s="0" t="s">
        <v>33</v>
      </c>
      <c r="L39" s="0" t="s">
        <v>2353</v>
      </c>
    </row>
    <row r="40" customFormat="false" ht="17.15" hidden="false" customHeight="false" outlineLevel="0" collapsed="false">
      <c r="A40" s="0" t="s">
        <v>2354</v>
      </c>
      <c r="B40" s="0" t="s">
        <v>2340</v>
      </c>
      <c r="C40" s="0" t="s">
        <v>2355</v>
      </c>
      <c r="D40" s="0" t="s">
        <v>2356</v>
      </c>
      <c r="E40" s="0" t="s">
        <v>2177</v>
      </c>
      <c r="F40" s="0" t="s">
        <v>2218</v>
      </c>
      <c r="G40" s="0" t="s">
        <v>2219</v>
      </c>
      <c r="H40" s="5" t="s">
        <v>2186</v>
      </c>
      <c r="J40" s="0" t="s">
        <v>265</v>
      </c>
      <c r="K40" s="5" t="s">
        <v>2171</v>
      </c>
      <c r="L40" s="0" t="s">
        <v>2220</v>
      </c>
    </row>
    <row r="41" customFormat="false" ht="17.15" hidden="false" customHeight="false" outlineLevel="0" collapsed="false">
      <c r="A41" s="0" t="s">
        <v>2357</v>
      </c>
      <c r="B41" s="0" t="s">
        <v>2340</v>
      </c>
      <c r="C41" s="0" t="s">
        <v>2358</v>
      </c>
      <c r="D41" s="0" t="s">
        <v>2359</v>
      </c>
      <c r="E41" s="0" t="s">
        <v>2177</v>
      </c>
      <c r="F41" s="0" t="s">
        <v>2224</v>
      </c>
      <c r="G41" s="0" t="s">
        <v>2219</v>
      </c>
      <c r="H41" s="5" t="s">
        <v>2186</v>
      </c>
      <c r="J41" s="0" t="s">
        <v>265</v>
      </c>
      <c r="K41" s="5" t="s">
        <v>2171</v>
      </c>
      <c r="L41" s="0" t="s">
        <v>2220</v>
      </c>
    </row>
    <row r="42" customFormat="false" ht="17.15" hidden="false" customHeight="false" outlineLevel="0" collapsed="false">
      <c r="A42" s="0" t="s">
        <v>2360</v>
      </c>
      <c r="B42" s="0" t="s">
        <v>2340</v>
      </c>
      <c r="C42" s="0" t="s">
        <v>2361</v>
      </c>
      <c r="D42" s="0" t="s">
        <v>2362</v>
      </c>
      <c r="E42" s="0" t="s">
        <v>109</v>
      </c>
      <c r="F42" s="0" t="s">
        <v>117</v>
      </c>
      <c r="G42" s="0" t="s">
        <v>2232</v>
      </c>
      <c r="H42" s="5" t="s">
        <v>2213</v>
      </c>
      <c r="J42" s="0" t="s">
        <v>125</v>
      </c>
      <c r="K42" s="5" t="s">
        <v>2233</v>
      </c>
      <c r="L42" s="0" t="s">
        <v>2363</v>
      </c>
    </row>
    <row r="43" customFormat="false" ht="17.15" hidden="false" customHeight="false" outlineLevel="0" collapsed="false">
      <c r="A43" s="0" t="s">
        <v>2364</v>
      </c>
      <c r="B43" s="0" t="s">
        <v>2340</v>
      </c>
      <c r="C43" s="0" t="s">
        <v>2365</v>
      </c>
      <c r="D43" s="0" t="s">
        <v>2366</v>
      </c>
      <c r="E43" s="0" t="s">
        <v>109</v>
      </c>
      <c r="F43" s="0" t="s">
        <v>2367</v>
      </c>
      <c r="G43" s="0" t="s">
        <v>2219</v>
      </c>
      <c r="H43" s="5" t="s">
        <v>2186</v>
      </c>
      <c r="J43" s="0" t="s">
        <v>2368</v>
      </c>
      <c r="K43" s="5" t="s">
        <v>2171</v>
      </c>
      <c r="L43" s="0" t="s">
        <v>2369</v>
      </c>
    </row>
    <row r="44" customFormat="false" ht="17.15" hidden="false" customHeight="false" outlineLevel="0" collapsed="false">
      <c r="A44" s="0" t="s">
        <v>2370</v>
      </c>
      <c r="B44" s="0" t="s">
        <v>2340</v>
      </c>
      <c r="C44" s="0" t="s">
        <v>2371</v>
      </c>
      <c r="D44" s="0" t="s">
        <v>2372</v>
      </c>
      <c r="E44" s="0" t="s">
        <v>2177</v>
      </c>
      <c r="F44" s="0" t="s">
        <v>2373</v>
      </c>
      <c r="G44" s="0" t="s">
        <v>2179</v>
      </c>
      <c r="H44" s="5" t="s">
        <v>2186</v>
      </c>
      <c r="K44" s="0" t="s">
        <v>33</v>
      </c>
      <c r="L44" s="0" t="s">
        <v>2374</v>
      </c>
    </row>
    <row r="45" customFormat="false" ht="17.15" hidden="false" customHeight="false" outlineLevel="0" collapsed="false">
      <c r="A45" s="0" t="s">
        <v>2375</v>
      </c>
      <c r="B45" s="0" t="s">
        <v>2340</v>
      </c>
      <c r="C45" s="0" t="s">
        <v>2376</v>
      </c>
      <c r="D45" s="0" t="s">
        <v>2377</v>
      </c>
      <c r="E45" s="0" t="s">
        <v>109</v>
      </c>
      <c r="F45" s="0" t="s">
        <v>2378</v>
      </c>
      <c r="G45" s="0" t="s">
        <v>2219</v>
      </c>
      <c r="H45" s="5" t="s">
        <v>2213</v>
      </c>
      <c r="J45" s="0" t="s">
        <v>455</v>
      </c>
      <c r="K45" s="5" t="s">
        <v>2233</v>
      </c>
      <c r="L45" s="0" t="s">
        <v>2379</v>
      </c>
    </row>
    <row r="46" customFormat="false" ht="17.15" hidden="false" customHeight="false" outlineLevel="0" collapsed="false">
      <c r="A46" s="0" t="s">
        <v>2380</v>
      </c>
      <c r="B46" s="0" t="s">
        <v>2340</v>
      </c>
      <c r="C46" s="0" t="s">
        <v>2381</v>
      </c>
      <c r="D46" s="0" t="s">
        <v>2382</v>
      </c>
      <c r="E46" s="0" t="s">
        <v>109</v>
      </c>
      <c r="F46" s="0" t="s">
        <v>2383</v>
      </c>
      <c r="G46" s="0" t="s">
        <v>2219</v>
      </c>
      <c r="H46" s="5" t="s">
        <v>2213</v>
      </c>
      <c r="K46" s="0" t="s">
        <v>33</v>
      </c>
      <c r="L46" s="0" t="s">
        <v>2384</v>
      </c>
    </row>
    <row r="47" customFormat="false" ht="17.15" hidden="false" customHeight="false" outlineLevel="0" collapsed="false">
      <c r="A47" s="0" t="s">
        <v>2385</v>
      </c>
      <c r="B47" s="0" t="s">
        <v>2340</v>
      </c>
      <c r="C47" s="0" t="s">
        <v>2386</v>
      </c>
      <c r="D47" s="0" t="s">
        <v>2387</v>
      </c>
      <c r="E47" s="0" t="s">
        <v>2177</v>
      </c>
      <c r="F47" s="0" t="s">
        <v>2388</v>
      </c>
      <c r="G47" s="0" t="s">
        <v>2268</v>
      </c>
      <c r="H47" s="5" t="s">
        <v>2247</v>
      </c>
      <c r="I47" s="5" t="s">
        <v>2389</v>
      </c>
      <c r="J47" s="0" t="s">
        <v>195</v>
      </c>
      <c r="K47" s="5" t="s">
        <v>2171</v>
      </c>
      <c r="L47" s="0" t="s">
        <v>2390</v>
      </c>
    </row>
    <row r="48" customFormat="false" ht="17.15" hidden="false" customHeight="false" outlineLevel="0" collapsed="false">
      <c r="A48" s="0" t="s">
        <v>2391</v>
      </c>
      <c r="B48" s="0" t="s">
        <v>2340</v>
      </c>
      <c r="C48" s="0" t="s">
        <v>2392</v>
      </c>
      <c r="D48" s="0" t="s">
        <v>2393</v>
      </c>
      <c r="E48" s="0" t="s">
        <v>2177</v>
      </c>
      <c r="F48" s="0" t="s">
        <v>2394</v>
      </c>
      <c r="G48" s="0" t="s">
        <v>2179</v>
      </c>
      <c r="H48" s="5" t="s">
        <v>2186</v>
      </c>
      <c r="K48" s="0" t="s">
        <v>33</v>
      </c>
      <c r="L48" s="0" t="s">
        <v>2395</v>
      </c>
    </row>
    <row r="49" customFormat="false" ht="17.15" hidden="false" customHeight="false" outlineLevel="0" collapsed="false">
      <c r="A49" s="0" t="s">
        <v>2396</v>
      </c>
      <c r="B49" s="0" t="s">
        <v>2340</v>
      </c>
      <c r="C49" s="0" t="s">
        <v>2397</v>
      </c>
      <c r="D49" s="0" t="s">
        <v>2266</v>
      </c>
      <c r="E49" s="0" t="s">
        <v>2177</v>
      </c>
      <c r="F49" s="0" t="s">
        <v>2398</v>
      </c>
      <c r="G49" s="0" t="s">
        <v>2179</v>
      </c>
      <c r="H49" s="5" t="s">
        <v>2213</v>
      </c>
      <c r="K49" s="0" t="s">
        <v>33</v>
      </c>
      <c r="L49" s="0" t="s">
        <v>2399</v>
      </c>
    </row>
    <row r="50" customFormat="false" ht="17.15" hidden="false" customHeight="false" outlineLevel="0" collapsed="false">
      <c r="A50" s="0" t="s">
        <v>2400</v>
      </c>
      <c r="B50" s="0" t="s">
        <v>2340</v>
      </c>
      <c r="C50" s="0" t="s">
        <v>2401</v>
      </c>
      <c r="D50" s="0" t="s">
        <v>2402</v>
      </c>
      <c r="E50" s="0" t="s">
        <v>109</v>
      </c>
      <c r="F50" s="0" t="s">
        <v>22</v>
      </c>
      <c r="G50" s="0" t="s">
        <v>2179</v>
      </c>
      <c r="H50" s="5" t="s">
        <v>2213</v>
      </c>
      <c r="J50" s="0" t="s">
        <v>594</v>
      </c>
      <c r="K50" s="5" t="s">
        <v>2321</v>
      </c>
      <c r="L50" s="0" t="s">
        <v>2363</v>
      </c>
    </row>
    <row r="51" customFormat="false" ht="17.15" hidden="false" customHeight="false" outlineLevel="0" collapsed="false">
      <c r="A51" s="0" t="s">
        <v>2403</v>
      </c>
      <c r="B51" s="0" t="s">
        <v>2340</v>
      </c>
      <c r="C51" s="0" t="s">
        <v>2404</v>
      </c>
      <c r="D51" s="0" t="s">
        <v>2405</v>
      </c>
      <c r="E51" s="0" t="s">
        <v>2177</v>
      </c>
      <c r="F51" s="0" t="s">
        <v>2406</v>
      </c>
      <c r="G51" s="0" t="s">
        <v>2179</v>
      </c>
      <c r="H51" s="5" t="s">
        <v>2213</v>
      </c>
      <c r="K51" s="0" t="s">
        <v>33</v>
      </c>
      <c r="L51" s="0" t="s">
        <v>2407</v>
      </c>
    </row>
    <row r="52" customFormat="false" ht="17.15" hidden="false" customHeight="false" outlineLevel="0" collapsed="false">
      <c r="A52" s="0" t="s">
        <v>2408</v>
      </c>
      <c r="B52" s="0" t="s">
        <v>2340</v>
      </c>
      <c r="C52" s="0" t="s">
        <v>2409</v>
      </c>
      <c r="D52" s="0" t="s">
        <v>2410</v>
      </c>
      <c r="F52" s="0" t="s">
        <v>2352</v>
      </c>
      <c r="G52" s="0" t="s">
        <v>2179</v>
      </c>
      <c r="H52" s="5" t="s">
        <v>2186</v>
      </c>
      <c r="K52" s="0" t="s">
        <v>33</v>
      </c>
      <c r="L52" s="0" t="s">
        <v>2411</v>
      </c>
    </row>
    <row r="53" customFormat="false" ht="17.15" hidden="false" customHeight="false" outlineLevel="0" collapsed="false">
      <c r="A53" s="0" t="s">
        <v>2412</v>
      </c>
      <c r="B53" s="0" t="s">
        <v>918</v>
      </c>
      <c r="C53" s="0" t="s">
        <v>2413</v>
      </c>
      <c r="D53" s="0" t="s">
        <v>2414</v>
      </c>
      <c r="E53" s="0" t="s">
        <v>2177</v>
      </c>
      <c r="F53" s="0" t="s">
        <v>2218</v>
      </c>
      <c r="G53" s="0" t="s">
        <v>2219</v>
      </c>
      <c r="H53" s="5" t="s">
        <v>2186</v>
      </c>
      <c r="J53" s="0" t="s">
        <v>268</v>
      </c>
      <c r="K53" s="5" t="s">
        <v>2171</v>
      </c>
      <c r="L53" s="0" t="s">
        <v>2220</v>
      </c>
    </row>
    <row r="54" customFormat="false" ht="17.15" hidden="false" customHeight="false" outlineLevel="0" collapsed="false">
      <c r="A54" s="0" t="s">
        <v>2415</v>
      </c>
      <c r="B54" s="0" t="s">
        <v>918</v>
      </c>
      <c r="C54" s="0" t="s">
        <v>2416</v>
      </c>
      <c r="D54" s="0" t="s">
        <v>2417</v>
      </c>
      <c r="E54" s="0" t="s">
        <v>2177</v>
      </c>
      <c r="F54" s="0" t="s">
        <v>2224</v>
      </c>
      <c r="G54" s="0" t="s">
        <v>2219</v>
      </c>
      <c r="H54" s="5" t="s">
        <v>2186</v>
      </c>
      <c r="J54" s="0" t="s">
        <v>268</v>
      </c>
      <c r="K54" s="5" t="s">
        <v>2171</v>
      </c>
      <c r="L54" s="0" t="s">
        <v>2220</v>
      </c>
    </row>
    <row r="55" customFormat="false" ht="17.15" hidden="false" customHeight="false" outlineLevel="0" collapsed="false">
      <c r="A55" s="0" t="s">
        <v>2418</v>
      </c>
      <c r="B55" s="0" t="s">
        <v>918</v>
      </c>
      <c r="C55" s="0" t="s">
        <v>2419</v>
      </c>
      <c r="D55" s="0" t="s">
        <v>2420</v>
      </c>
      <c r="E55" s="0" t="s">
        <v>2177</v>
      </c>
      <c r="F55" s="0" t="s">
        <v>2228</v>
      </c>
      <c r="G55" s="0" t="s">
        <v>2219</v>
      </c>
      <c r="H55" s="5" t="s">
        <v>2186</v>
      </c>
      <c r="K55" s="0" t="s">
        <v>33</v>
      </c>
      <c r="L55" s="0" t="s">
        <v>2220</v>
      </c>
    </row>
    <row r="56" customFormat="false" ht="17.15" hidden="false" customHeight="false" outlineLevel="0" collapsed="false">
      <c r="A56" s="0" t="s">
        <v>2421</v>
      </c>
      <c r="B56" s="0" t="s">
        <v>918</v>
      </c>
      <c r="C56" s="0" t="s">
        <v>2422</v>
      </c>
      <c r="D56" s="0" t="s">
        <v>2423</v>
      </c>
      <c r="E56" s="0" t="s">
        <v>2297</v>
      </c>
      <c r="F56" s="0" t="s">
        <v>20</v>
      </c>
      <c r="G56" s="0" t="s">
        <v>2232</v>
      </c>
      <c r="H56" s="5" t="s">
        <v>2186</v>
      </c>
      <c r="K56" s="0" t="s">
        <v>33</v>
      </c>
      <c r="L56" s="0" t="s">
        <v>2424</v>
      </c>
    </row>
    <row r="57" customFormat="false" ht="17.15" hidden="false" customHeight="false" outlineLevel="0" collapsed="false">
      <c r="A57" s="0" t="s">
        <v>2425</v>
      </c>
      <c r="B57" s="0" t="s">
        <v>918</v>
      </c>
      <c r="C57" s="0" t="s">
        <v>2426</v>
      </c>
      <c r="D57" s="0" t="s">
        <v>2427</v>
      </c>
      <c r="E57" s="0" t="s">
        <v>109</v>
      </c>
      <c r="F57" s="0" t="s">
        <v>136</v>
      </c>
      <c r="G57" s="0" t="s">
        <v>2219</v>
      </c>
      <c r="H57" s="5" t="s">
        <v>2186</v>
      </c>
      <c r="J57" s="0" t="s">
        <v>2428</v>
      </c>
      <c r="K57" s="5" t="s">
        <v>2171</v>
      </c>
      <c r="L57" s="0" t="s">
        <v>2429</v>
      </c>
    </row>
    <row r="58" customFormat="false" ht="17.15" hidden="false" customHeight="false" outlineLevel="0" collapsed="false">
      <c r="A58" s="0" t="s">
        <v>2430</v>
      </c>
      <c r="B58" s="0" t="s">
        <v>918</v>
      </c>
      <c r="C58" s="0" t="s">
        <v>2431</v>
      </c>
      <c r="D58" s="0" t="s">
        <v>2432</v>
      </c>
      <c r="E58" s="0" t="s">
        <v>2177</v>
      </c>
      <c r="F58" s="0" t="s">
        <v>2367</v>
      </c>
      <c r="G58" s="0" t="s">
        <v>2179</v>
      </c>
      <c r="H58" s="5" t="s">
        <v>2213</v>
      </c>
      <c r="K58" s="0" t="s">
        <v>33</v>
      </c>
      <c r="L58" s="0" t="s">
        <v>2433</v>
      </c>
    </row>
    <row r="59" customFormat="false" ht="17.15" hidden="false" customHeight="false" outlineLevel="0" collapsed="false">
      <c r="A59" s="0" t="s">
        <v>2434</v>
      </c>
      <c r="B59" s="0" t="s">
        <v>918</v>
      </c>
      <c r="C59" s="0" t="s">
        <v>2435</v>
      </c>
      <c r="D59" s="0" t="s">
        <v>2436</v>
      </c>
      <c r="E59" s="0" t="s">
        <v>109</v>
      </c>
      <c r="F59" s="0" t="s">
        <v>2437</v>
      </c>
      <c r="G59" s="0" t="s">
        <v>2219</v>
      </c>
      <c r="H59" s="5" t="s">
        <v>2186</v>
      </c>
      <c r="J59" s="0" t="s">
        <v>525</v>
      </c>
      <c r="K59" s="5" t="s">
        <v>2171</v>
      </c>
      <c r="L59" s="0" t="s">
        <v>2438</v>
      </c>
    </row>
    <row r="60" customFormat="false" ht="17.15" hidden="false" customHeight="false" outlineLevel="0" collapsed="false">
      <c r="A60" s="0" t="s">
        <v>2439</v>
      </c>
      <c r="B60" s="0" t="s">
        <v>918</v>
      </c>
      <c r="C60" s="0" t="s">
        <v>2440</v>
      </c>
      <c r="D60" s="0" t="s">
        <v>2441</v>
      </c>
      <c r="E60" s="0" t="s">
        <v>2177</v>
      </c>
      <c r="F60" s="0" t="s">
        <v>2442</v>
      </c>
      <c r="G60" s="0" t="s">
        <v>2179</v>
      </c>
      <c r="H60" s="5" t="s">
        <v>2247</v>
      </c>
      <c r="I60" s="0" t="s">
        <v>2443</v>
      </c>
      <c r="J60" s="0" t="s">
        <v>2444</v>
      </c>
      <c r="K60" s="5" t="s">
        <v>2171</v>
      </c>
      <c r="L60" s="0" t="s">
        <v>2445</v>
      </c>
    </row>
    <row r="61" customFormat="false" ht="17.15" hidden="false" customHeight="false" outlineLevel="0" collapsed="false">
      <c r="A61" s="0" t="s">
        <v>2446</v>
      </c>
      <c r="B61" s="0" t="s">
        <v>918</v>
      </c>
      <c r="C61" s="0" t="s">
        <v>2447</v>
      </c>
      <c r="D61" s="0" t="s">
        <v>2448</v>
      </c>
      <c r="E61" s="0" t="s">
        <v>2177</v>
      </c>
      <c r="F61" s="0" t="s">
        <v>2449</v>
      </c>
      <c r="G61" s="0" t="s">
        <v>2179</v>
      </c>
      <c r="H61" s="5" t="s">
        <v>2186</v>
      </c>
      <c r="J61" s="0" t="s">
        <v>531</v>
      </c>
      <c r="K61" s="5" t="s">
        <v>2171</v>
      </c>
      <c r="L61" s="0" t="s">
        <v>2450</v>
      </c>
    </row>
    <row r="62" customFormat="false" ht="17.15" hidden="false" customHeight="false" outlineLevel="0" collapsed="false">
      <c r="A62" s="0" t="s">
        <v>2451</v>
      </c>
      <c r="B62" s="0" t="s">
        <v>918</v>
      </c>
      <c r="C62" s="0" t="s">
        <v>2452</v>
      </c>
      <c r="D62" s="0" t="s">
        <v>2266</v>
      </c>
      <c r="E62" s="0" t="s">
        <v>2177</v>
      </c>
      <c r="F62" s="0" t="s">
        <v>2453</v>
      </c>
      <c r="G62" s="0" t="s">
        <v>2179</v>
      </c>
      <c r="H62" s="5" t="s">
        <v>2213</v>
      </c>
      <c r="K62" s="0" t="s">
        <v>33</v>
      </c>
      <c r="L62" s="0" t="s">
        <v>2454</v>
      </c>
    </row>
    <row r="63" customFormat="false" ht="17.15" hidden="false" customHeight="false" outlineLevel="0" collapsed="false">
      <c r="A63" s="0" t="s">
        <v>2455</v>
      </c>
      <c r="B63" s="0" t="s">
        <v>918</v>
      </c>
      <c r="C63" s="0" t="s">
        <v>2456</v>
      </c>
      <c r="D63" s="0" t="s">
        <v>2266</v>
      </c>
      <c r="E63" s="0" t="s">
        <v>2177</v>
      </c>
      <c r="F63" s="0" t="s">
        <v>2457</v>
      </c>
      <c r="G63" s="0" t="s">
        <v>2179</v>
      </c>
      <c r="H63" s="5" t="s">
        <v>2213</v>
      </c>
      <c r="K63" s="0" t="s">
        <v>33</v>
      </c>
      <c r="L63" s="0" t="s">
        <v>2458</v>
      </c>
    </row>
    <row r="64" customFormat="false" ht="17.15" hidden="false" customHeight="false" outlineLevel="0" collapsed="false">
      <c r="A64" s="0" t="s">
        <v>2459</v>
      </c>
      <c r="B64" s="0" t="s">
        <v>918</v>
      </c>
      <c r="C64" s="0" t="s">
        <v>2460</v>
      </c>
      <c r="D64" s="0" t="s">
        <v>2461</v>
      </c>
      <c r="E64" s="0" t="s">
        <v>2177</v>
      </c>
      <c r="F64" s="0" t="s">
        <v>2462</v>
      </c>
      <c r="G64" s="0" t="s">
        <v>2179</v>
      </c>
      <c r="H64" s="5" t="s">
        <v>2213</v>
      </c>
      <c r="K64" s="0" t="s">
        <v>33</v>
      </c>
      <c r="L64" s="0" t="s">
        <v>2463</v>
      </c>
    </row>
    <row r="65" customFormat="false" ht="17.15" hidden="false" customHeight="false" outlineLevel="0" collapsed="false">
      <c r="A65" s="0" t="s">
        <v>2464</v>
      </c>
      <c r="B65" s="0" t="s">
        <v>918</v>
      </c>
      <c r="C65" s="0" t="s">
        <v>2465</v>
      </c>
      <c r="D65" s="0" t="s">
        <v>2466</v>
      </c>
      <c r="F65" s="0" t="s">
        <v>2467</v>
      </c>
      <c r="G65" s="0" t="s">
        <v>2179</v>
      </c>
      <c r="H65" s="5" t="s">
        <v>2186</v>
      </c>
      <c r="J65" s="0" t="s">
        <v>2468</v>
      </c>
      <c r="K65" s="5" t="s">
        <v>2171</v>
      </c>
      <c r="L65" s="0" t="s">
        <v>2469</v>
      </c>
    </row>
    <row r="66" customFormat="false" ht="17.15" hidden="false" customHeight="false" outlineLevel="0" collapsed="false">
      <c r="A66" s="0" t="s">
        <v>2470</v>
      </c>
      <c r="B66" s="0" t="s">
        <v>2471</v>
      </c>
      <c r="C66" s="0" t="s">
        <v>2472</v>
      </c>
      <c r="D66" s="0" t="s">
        <v>2473</v>
      </c>
      <c r="E66" s="0" t="s">
        <v>2177</v>
      </c>
      <c r="F66" s="0" t="s">
        <v>2474</v>
      </c>
      <c r="G66" s="0" t="s">
        <v>2179</v>
      </c>
      <c r="H66" s="5" t="s">
        <v>2186</v>
      </c>
      <c r="J66" s="0" t="s">
        <v>130</v>
      </c>
      <c r="K66" s="5" t="s">
        <v>2171</v>
      </c>
      <c r="L66" s="0" t="s">
        <v>2475</v>
      </c>
    </row>
    <row r="67" customFormat="false" ht="17.15" hidden="false" customHeight="false" outlineLevel="0" collapsed="false">
      <c r="A67" s="0" t="s">
        <v>2476</v>
      </c>
      <c r="B67" s="0" t="s">
        <v>2471</v>
      </c>
      <c r="C67" s="0" t="s">
        <v>2477</v>
      </c>
      <c r="D67" s="0" t="s">
        <v>2478</v>
      </c>
      <c r="E67" s="0" t="s">
        <v>2177</v>
      </c>
      <c r="F67" s="0" t="s">
        <v>136</v>
      </c>
      <c r="G67" s="0" t="s">
        <v>2179</v>
      </c>
      <c r="H67" s="5" t="s">
        <v>2186</v>
      </c>
      <c r="J67" s="0" t="s">
        <v>130</v>
      </c>
      <c r="K67" s="5" t="s">
        <v>2171</v>
      </c>
      <c r="L67" s="0" t="s">
        <v>2479</v>
      </c>
    </row>
    <row r="68" customFormat="false" ht="17.15" hidden="false" customHeight="false" outlineLevel="0" collapsed="false">
      <c r="A68" s="0" t="s">
        <v>2480</v>
      </c>
      <c r="B68" s="0" t="s">
        <v>2471</v>
      </c>
      <c r="C68" s="0" t="s">
        <v>2481</v>
      </c>
      <c r="D68" s="0" t="s">
        <v>2482</v>
      </c>
      <c r="E68" s="0" t="s">
        <v>109</v>
      </c>
      <c r="F68" s="0" t="s">
        <v>136</v>
      </c>
      <c r="G68" s="0" t="s">
        <v>2232</v>
      </c>
      <c r="H68" s="5" t="s">
        <v>2213</v>
      </c>
      <c r="K68" s="0" t="s">
        <v>33</v>
      </c>
      <c r="L68" s="0" t="s">
        <v>2483</v>
      </c>
    </row>
    <row r="69" customFormat="false" ht="17.15" hidden="false" customHeight="false" outlineLevel="0" collapsed="false">
      <c r="A69" s="0" t="s">
        <v>2484</v>
      </c>
      <c r="B69" s="0" t="s">
        <v>2471</v>
      </c>
      <c r="C69" s="0" t="s">
        <v>2485</v>
      </c>
      <c r="D69" s="0" t="s">
        <v>2486</v>
      </c>
      <c r="E69" s="0" t="s">
        <v>2177</v>
      </c>
      <c r="F69" s="0" t="s">
        <v>2218</v>
      </c>
      <c r="G69" s="0" t="s">
        <v>2219</v>
      </c>
      <c r="H69" s="5" t="s">
        <v>2186</v>
      </c>
      <c r="J69" s="0" t="s">
        <v>271</v>
      </c>
      <c r="K69" s="5" t="s">
        <v>2171</v>
      </c>
      <c r="L69" s="0" t="s">
        <v>2220</v>
      </c>
    </row>
    <row r="70" customFormat="false" ht="17.15" hidden="false" customHeight="false" outlineLevel="0" collapsed="false">
      <c r="A70" s="0" t="s">
        <v>2487</v>
      </c>
      <c r="B70" s="0" t="s">
        <v>2471</v>
      </c>
      <c r="C70" s="0" t="s">
        <v>2488</v>
      </c>
      <c r="D70" s="0" t="s">
        <v>2489</v>
      </c>
      <c r="E70" s="0" t="s">
        <v>2177</v>
      </c>
      <c r="F70" s="0" t="s">
        <v>2224</v>
      </c>
      <c r="G70" s="0" t="s">
        <v>2219</v>
      </c>
      <c r="H70" s="5" t="s">
        <v>2186</v>
      </c>
      <c r="J70" s="0" t="s">
        <v>271</v>
      </c>
      <c r="K70" s="5" t="s">
        <v>2171</v>
      </c>
      <c r="L70" s="0" t="s">
        <v>2220</v>
      </c>
    </row>
    <row r="71" customFormat="false" ht="17.15" hidden="false" customHeight="false" outlineLevel="0" collapsed="false">
      <c r="A71" s="0" t="s">
        <v>2490</v>
      </c>
      <c r="B71" s="0" t="s">
        <v>2471</v>
      </c>
      <c r="C71" s="0" t="s">
        <v>2491</v>
      </c>
      <c r="D71" s="0" t="s">
        <v>2492</v>
      </c>
      <c r="E71" s="0" t="s">
        <v>2177</v>
      </c>
      <c r="F71" s="0" t="s">
        <v>136</v>
      </c>
      <c r="G71" s="0" t="s">
        <v>2179</v>
      </c>
      <c r="H71" s="5" t="s">
        <v>2186</v>
      </c>
      <c r="J71" s="0" t="s">
        <v>2493</v>
      </c>
      <c r="K71" s="5" t="s">
        <v>2171</v>
      </c>
      <c r="L71" s="0" t="s">
        <v>2494</v>
      </c>
    </row>
    <row r="72" customFormat="false" ht="17.15" hidden="false" customHeight="false" outlineLevel="0" collapsed="false">
      <c r="A72" s="0" t="s">
        <v>2495</v>
      </c>
      <c r="B72" s="0" t="s">
        <v>2471</v>
      </c>
      <c r="C72" s="0" t="s">
        <v>2496</v>
      </c>
      <c r="D72" s="0" t="s">
        <v>2497</v>
      </c>
      <c r="E72" s="0" t="s">
        <v>2177</v>
      </c>
      <c r="F72" s="0" t="s">
        <v>2498</v>
      </c>
      <c r="G72" s="0" t="s">
        <v>2179</v>
      </c>
      <c r="H72" s="5" t="s">
        <v>2213</v>
      </c>
      <c r="K72" s="0" t="s">
        <v>33</v>
      </c>
      <c r="L72" s="0" t="s">
        <v>2499</v>
      </c>
    </row>
    <row r="73" customFormat="false" ht="17.15" hidden="false" customHeight="false" outlineLevel="0" collapsed="false">
      <c r="A73" s="0" t="s">
        <v>2500</v>
      </c>
      <c r="B73" s="0" t="s">
        <v>2471</v>
      </c>
      <c r="C73" s="0" t="s">
        <v>2501</v>
      </c>
      <c r="D73" s="0" t="s">
        <v>2502</v>
      </c>
      <c r="E73" s="0" t="s">
        <v>2177</v>
      </c>
      <c r="F73" s="0" t="s">
        <v>2503</v>
      </c>
      <c r="G73" s="0" t="s">
        <v>2179</v>
      </c>
      <c r="H73" s="5" t="s">
        <v>2213</v>
      </c>
      <c r="J73" s="0" t="s">
        <v>192</v>
      </c>
      <c r="K73" s="5" t="s">
        <v>2233</v>
      </c>
      <c r="L73" s="0" t="s">
        <v>2504</v>
      </c>
    </row>
    <row r="74" customFormat="false" ht="17.15" hidden="false" customHeight="false" outlineLevel="0" collapsed="false">
      <c r="A74" s="0" t="s">
        <v>2505</v>
      </c>
      <c r="B74" s="0" t="s">
        <v>2471</v>
      </c>
      <c r="C74" s="0" t="s">
        <v>2506</v>
      </c>
      <c r="D74" s="0" t="s">
        <v>2507</v>
      </c>
      <c r="E74" s="0" t="s">
        <v>2297</v>
      </c>
      <c r="F74" s="0" t="s">
        <v>2508</v>
      </c>
      <c r="G74" s="0" t="s">
        <v>2219</v>
      </c>
      <c r="H74" s="5" t="s">
        <v>2186</v>
      </c>
      <c r="I74" s="5" t="s">
        <v>2509</v>
      </c>
      <c r="J74" s="0" t="s">
        <v>2510</v>
      </c>
      <c r="K74" s="5" t="s">
        <v>2171</v>
      </c>
      <c r="L74" s="0" t="s">
        <v>2511</v>
      </c>
    </row>
    <row r="75" customFormat="false" ht="17.15" hidden="false" customHeight="false" outlineLevel="0" collapsed="false">
      <c r="A75" s="0" t="s">
        <v>2512</v>
      </c>
      <c r="B75" s="0" t="s">
        <v>2471</v>
      </c>
      <c r="C75" s="0" t="s">
        <v>2513</v>
      </c>
      <c r="D75" s="0" t="s">
        <v>2514</v>
      </c>
      <c r="E75" s="0" t="s">
        <v>2297</v>
      </c>
      <c r="F75" s="0" t="s">
        <v>2508</v>
      </c>
      <c r="G75" s="0" t="s">
        <v>2219</v>
      </c>
      <c r="H75" s="5" t="s">
        <v>2186</v>
      </c>
      <c r="J75" s="0" t="s">
        <v>543</v>
      </c>
      <c r="K75" s="5" t="s">
        <v>2171</v>
      </c>
      <c r="L75" s="0" t="s">
        <v>2511</v>
      </c>
    </row>
    <row r="76" customFormat="false" ht="17.15" hidden="false" customHeight="false" outlineLevel="0" collapsed="false">
      <c r="A76" s="0" t="s">
        <v>2515</v>
      </c>
      <c r="B76" s="0" t="s">
        <v>2471</v>
      </c>
      <c r="C76" s="0" t="s">
        <v>2516</v>
      </c>
      <c r="D76" s="0" t="s">
        <v>2517</v>
      </c>
      <c r="E76" s="0" t="s">
        <v>2297</v>
      </c>
      <c r="F76" s="0" t="s">
        <v>2508</v>
      </c>
      <c r="G76" s="0" t="s">
        <v>2219</v>
      </c>
      <c r="H76" s="5" t="s">
        <v>2186</v>
      </c>
      <c r="J76" s="0" t="s">
        <v>546</v>
      </c>
      <c r="K76" s="5" t="s">
        <v>2171</v>
      </c>
      <c r="L76" s="0" t="s">
        <v>2511</v>
      </c>
    </row>
    <row r="77" customFormat="false" ht="17.15" hidden="false" customHeight="false" outlineLevel="0" collapsed="false">
      <c r="A77" s="0" t="s">
        <v>2518</v>
      </c>
      <c r="B77" s="0" t="s">
        <v>2471</v>
      </c>
      <c r="C77" s="0" t="s">
        <v>2519</v>
      </c>
      <c r="D77" s="0" t="s">
        <v>2520</v>
      </c>
      <c r="E77" s="0" t="s">
        <v>2297</v>
      </c>
      <c r="F77" s="0" t="s">
        <v>2508</v>
      </c>
      <c r="G77" s="0" t="s">
        <v>2219</v>
      </c>
      <c r="H77" s="5" t="s">
        <v>2186</v>
      </c>
      <c r="J77" s="0" t="s">
        <v>549</v>
      </c>
      <c r="K77" s="5" t="s">
        <v>2171</v>
      </c>
      <c r="L77" s="0" t="s">
        <v>2511</v>
      </c>
    </row>
    <row r="78" customFormat="false" ht="17.15" hidden="false" customHeight="false" outlineLevel="0" collapsed="false">
      <c r="A78" s="0" t="s">
        <v>2521</v>
      </c>
      <c r="B78" s="0" t="s">
        <v>2471</v>
      </c>
      <c r="C78" s="0" t="s">
        <v>2522</v>
      </c>
      <c r="D78" s="0" t="s">
        <v>2523</v>
      </c>
      <c r="F78" s="0" t="s">
        <v>2524</v>
      </c>
      <c r="G78" s="0" t="s">
        <v>2179</v>
      </c>
      <c r="H78" s="5" t="s">
        <v>2186</v>
      </c>
      <c r="K78" s="0" t="s">
        <v>33</v>
      </c>
      <c r="L78" s="0" t="s">
        <v>2494</v>
      </c>
    </row>
    <row r="79" customFormat="false" ht="17.15" hidden="false" customHeight="false" outlineLevel="0" collapsed="false">
      <c r="A79" s="0" t="s">
        <v>2525</v>
      </c>
      <c r="B79" s="0" t="s">
        <v>956</v>
      </c>
      <c r="C79" s="0" t="s">
        <v>2526</v>
      </c>
      <c r="D79" s="0" t="s">
        <v>2527</v>
      </c>
      <c r="E79" s="0" t="s">
        <v>2177</v>
      </c>
      <c r="F79" s="0" t="s">
        <v>2528</v>
      </c>
      <c r="G79" s="0" t="s">
        <v>2268</v>
      </c>
      <c r="H79" s="5" t="s">
        <v>2186</v>
      </c>
      <c r="J79" s="0" t="s">
        <v>289</v>
      </c>
      <c r="K79" s="5" t="s">
        <v>2171</v>
      </c>
      <c r="L79" s="0" t="s">
        <v>2529</v>
      </c>
    </row>
    <row r="80" customFormat="false" ht="17.15" hidden="false" customHeight="false" outlineLevel="0" collapsed="false">
      <c r="A80" s="0" t="s">
        <v>2530</v>
      </c>
      <c r="B80" s="0" t="s">
        <v>956</v>
      </c>
      <c r="C80" s="0" t="s">
        <v>2526</v>
      </c>
      <c r="D80" s="0" t="s">
        <v>2531</v>
      </c>
      <c r="E80" s="0" t="s">
        <v>2177</v>
      </c>
      <c r="F80" s="0" t="s">
        <v>2532</v>
      </c>
      <c r="G80" s="0" t="s">
        <v>2268</v>
      </c>
      <c r="H80" s="5" t="s">
        <v>2186</v>
      </c>
      <c r="K80" s="0" t="s">
        <v>33</v>
      </c>
      <c r="L80" s="0" t="s">
        <v>2533</v>
      </c>
    </row>
    <row r="81" customFormat="false" ht="17.15" hidden="false" customHeight="false" outlineLevel="0" collapsed="false">
      <c r="A81" s="0" t="s">
        <v>2534</v>
      </c>
      <c r="B81" s="0" t="s">
        <v>956</v>
      </c>
      <c r="C81" s="0" t="s">
        <v>2526</v>
      </c>
      <c r="D81" s="0" t="s">
        <v>2535</v>
      </c>
      <c r="E81" s="0" t="s">
        <v>2177</v>
      </c>
      <c r="F81" s="0" t="s">
        <v>2289</v>
      </c>
      <c r="G81" s="0" t="s">
        <v>2268</v>
      </c>
      <c r="H81" s="5" t="s">
        <v>2186</v>
      </c>
      <c r="I81" s="0" t="s">
        <v>2536</v>
      </c>
      <c r="K81" s="0" t="s">
        <v>33</v>
      </c>
      <c r="L81" s="0" t="s">
        <v>2529</v>
      </c>
    </row>
    <row r="82" customFormat="false" ht="17.15" hidden="false" customHeight="false" outlineLevel="0" collapsed="false">
      <c r="A82" s="0" t="s">
        <v>2537</v>
      </c>
      <c r="B82" s="0" t="s">
        <v>956</v>
      </c>
      <c r="C82" s="0" t="s">
        <v>2526</v>
      </c>
      <c r="D82" s="0" t="s">
        <v>2538</v>
      </c>
      <c r="E82" s="0" t="s">
        <v>2177</v>
      </c>
      <c r="F82" s="0" t="s">
        <v>2539</v>
      </c>
      <c r="G82" s="0" t="s">
        <v>2179</v>
      </c>
      <c r="H82" s="5" t="s">
        <v>2213</v>
      </c>
      <c r="K82" s="0" t="s">
        <v>33</v>
      </c>
      <c r="L82" s="0" t="s">
        <v>2540</v>
      </c>
    </row>
    <row r="83" customFormat="false" ht="17.15" hidden="false" customHeight="false" outlineLevel="0" collapsed="false">
      <c r="A83" s="0" t="s">
        <v>2541</v>
      </c>
      <c r="B83" s="0" t="s">
        <v>956</v>
      </c>
      <c r="C83" s="0" t="s">
        <v>2526</v>
      </c>
      <c r="D83" s="0" t="s">
        <v>2542</v>
      </c>
      <c r="E83" s="0" t="s">
        <v>2177</v>
      </c>
      <c r="F83" s="0" t="s">
        <v>117</v>
      </c>
      <c r="G83" s="0" t="s">
        <v>2179</v>
      </c>
      <c r="H83" s="5" t="s">
        <v>2186</v>
      </c>
      <c r="J83" s="0" t="s">
        <v>137</v>
      </c>
      <c r="K83" s="5" t="s">
        <v>2171</v>
      </c>
      <c r="L83" s="0" t="s">
        <v>2543</v>
      </c>
    </row>
    <row r="84" customFormat="false" ht="17.15" hidden="false" customHeight="false" outlineLevel="0" collapsed="false">
      <c r="A84" s="0" t="s">
        <v>2544</v>
      </c>
      <c r="B84" s="0" t="s">
        <v>956</v>
      </c>
      <c r="C84" s="0" t="s">
        <v>2545</v>
      </c>
      <c r="D84" s="0" t="s">
        <v>2546</v>
      </c>
      <c r="E84" s="0" t="s">
        <v>2177</v>
      </c>
      <c r="F84" s="0" t="s">
        <v>2547</v>
      </c>
      <c r="G84" s="0" t="s">
        <v>2179</v>
      </c>
      <c r="H84" s="5" t="s">
        <v>2186</v>
      </c>
      <c r="J84" s="0" t="s">
        <v>289</v>
      </c>
      <c r="K84" s="5" t="s">
        <v>2171</v>
      </c>
      <c r="L84" s="0" t="s">
        <v>2548</v>
      </c>
    </row>
    <row r="85" customFormat="false" ht="17.15" hidden="false" customHeight="false" outlineLevel="0" collapsed="false">
      <c r="A85" s="12" t="s">
        <v>2549</v>
      </c>
      <c r="B85" s="12" t="s">
        <v>956</v>
      </c>
      <c r="C85" s="12" t="s">
        <v>2550</v>
      </c>
      <c r="D85" s="12" t="s">
        <v>2551</v>
      </c>
      <c r="E85" s="12" t="s">
        <v>2177</v>
      </c>
      <c r="F85" s="12" t="s">
        <v>2289</v>
      </c>
      <c r="G85" s="12" t="s">
        <v>2268</v>
      </c>
      <c r="H85" s="13" t="s">
        <v>2180</v>
      </c>
      <c r="I85" s="12" t="s">
        <v>2552</v>
      </c>
      <c r="J85" s="12"/>
      <c r="K85" s="12" t="s">
        <v>33</v>
      </c>
      <c r="L85" s="12" t="s">
        <v>2529</v>
      </c>
    </row>
    <row r="86" customFormat="false" ht="17.15" hidden="false" customHeight="false" outlineLevel="0" collapsed="false">
      <c r="A86" s="0" t="s">
        <v>2553</v>
      </c>
      <c r="B86" s="0" t="s">
        <v>956</v>
      </c>
      <c r="C86" s="0" t="s">
        <v>2550</v>
      </c>
      <c r="D86" s="0" t="s">
        <v>2554</v>
      </c>
      <c r="E86" s="0" t="s">
        <v>2177</v>
      </c>
      <c r="F86" s="0" t="s">
        <v>117</v>
      </c>
      <c r="G86" s="0" t="s">
        <v>2179</v>
      </c>
      <c r="H86" s="5" t="s">
        <v>2186</v>
      </c>
      <c r="K86" s="0" t="s">
        <v>33</v>
      </c>
      <c r="L86" s="0" t="s">
        <v>2543</v>
      </c>
    </row>
    <row r="87" customFormat="false" ht="17.15" hidden="false" customHeight="false" outlineLevel="0" collapsed="false">
      <c r="A87" s="0" t="s">
        <v>2555</v>
      </c>
      <c r="B87" s="0" t="s">
        <v>956</v>
      </c>
      <c r="C87" s="0" t="s">
        <v>2550</v>
      </c>
      <c r="D87" s="0" t="s">
        <v>2556</v>
      </c>
      <c r="E87" s="0" t="s">
        <v>2177</v>
      </c>
      <c r="F87" s="0" t="s">
        <v>2547</v>
      </c>
      <c r="G87" s="0" t="s">
        <v>2179</v>
      </c>
      <c r="H87" s="5" t="s">
        <v>2186</v>
      </c>
      <c r="J87" s="0" t="s">
        <v>184</v>
      </c>
      <c r="K87" s="5" t="s">
        <v>2171</v>
      </c>
      <c r="L87" s="0" t="s">
        <v>2557</v>
      </c>
    </row>
    <row r="88" customFormat="false" ht="17.15" hidden="false" customHeight="false" outlineLevel="0" collapsed="false">
      <c r="A88" s="0" t="s">
        <v>2558</v>
      </c>
      <c r="B88" s="0" t="s">
        <v>956</v>
      </c>
      <c r="C88" s="0" t="s">
        <v>2559</v>
      </c>
      <c r="D88" s="0" t="s">
        <v>2560</v>
      </c>
      <c r="E88" s="0" t="s">
        <v>2177</v>
      </c>
      <c r="F88" s="0" t="s">
        <v>2320</v>
      </c>
      <c r="G88" s="0" t="s">
        <v>2179</v>
      </c>
      <c r="H88" s="5" t="s">
        <v>2213</v>
      </c>
      <c r="J88" s="0" t="s">
        <v>289</v>
      </c>
      <c r="K88" s="5" t="s">
        <v>2233</v>
      </c>
      <c r="L88" s="0" t="s">
        <v>2540</v>
      </c>
    </row>
    <row r="89" customFormat="false" ht="17.15" hidden="false" customHeight="false" outlineLevel="0" collapsed="false">
      <c r="A89" s="0" t="s">
        <v>2561</v>
      </c>
      <c r="B89" s="0" t="s">
        <v>956</v>
      </c>
      <c r="C89" s="0" t="s">
        <v>2562</v>
      </c>
      <c r="D89" s="0" t="s">
        <v>2563</v>
      </c>
      <c r="E89" s="0" t="s">
        <v>109</v>
      </c>
      <c r="F89" s="0" t="s">
        <v>2564</v>
      </c>
      <c r="G89" s="0" t="s">
        <v>2179</v>
      </c>
      <c r="H89" s="5" t="s">
        <v>2186</v>
      </c>
      <c r="J89" s="0" t="s">
        <v>552</v>
      </c>
      <c r="K89" s="5" t="s">
        <v>2171</v>
      </c>
      <c r="L89" s="0" t="s">
        <v>2565</v>
      </c>
    </row>
    <row r="90" customFormat="false" ht="17.15" hidden="false" customHeight="false" outlineLevel="0" collapsed="false">
      <c r="A90" s="0" t="s">
        <v>2566</v>
      </c>
      <c r="B90" s="0" t="s">
        <v>956</v>
      </c>
      <c r="C90" s="0" t="s">
        <v>2567</v>
      </c>
      <c r="D90" s="0" t="s">
        <v>2568</v>
      </c>
      <c r="E90" s="0" t="s">
        <v>109</v>
      </c>
      <c r="F90" s="0" t="s">
        <v>2564</v>
      </c>
      <c r="G90" s="0" t="s">
        <v>2179</v>
      </c>
      <c r="H90" s="5" t="s">
        <v>2186</v>
      </c>
      <c r="J90" s="0" t="s">
        <v>552</v>
      </c>
      <c r="K90" s="5" t="s">
        <v>2171</v>
      </c>
      <c r="L90" s="0" t="s">
        <v>2565</v>
      </c>
    </row>
    <row r="91" customFormat="false" ht="17.15" hidden="false" customHeight="false" outlineLevel="0" collapsed="false">
      <c r="A91" s="0" t="s">
        <v>2569</v>
      </c>
      <c r="B91" s="0" t="s">
        <v>956</v>
      </c>
      <c r="C91" s="0" t="s">
        <v>2570</v>
      </c>
      <c r="D91" s="0" t="s">
        <v>2571</v>
      </c>
      <c r="E91" s="0" t="s">
        <v>109</v>
      </c>
      <c r="F91" s="0" t="s">
        <v>2572</v>
      </c>
      <c r="G91" s="0" t="s">
        <v>2179</v>
      </c>
      <c r="H91" s="5" t="s">
        <v>2213</v>
      </c>
      <c r="K91" s="0" t="s">
        <v>33</v>
      </c>
      <c r="L91" s="0" t="s">
        <v>2573</v>
      </c>
    </row>
    <row r="92" customFormat="false" ht="17.15" hidden="false" customHeight="false" outlineLevel="0" collapsed="false">
      <c r="A92" s="0" t="s">
        <v>2574</v>
      </c>
      <c r="B92" s="0" t="s">
        <v>956</v>
      </c>
      <c r="C92" s="0" t="s">
        <v>2575</v>
      </c>
      <c r="D92" s="0" t="s">
        <v>2576</v>
      </c>
      <c r="E92" s="0" t="s">
        <v>109</v>
      </c>
      <c r="F92" s="0" t="s">
        <v>2577</v>
      </c>
      <c r="G92" s="0" t="s">
        <v>2179</v>
      </c>
      <c r="H92" s="5" t="s">
        <v>2213</v>
      </c>
      <c r="K92" s="0" t="s">
        <v>33</v>
      </c>
      <c r="L92" s="0" t="s">
        <v>2578</v>
      </c>
    </row>
    <row r="93" customFormat="false" ht="17.15" hidden="false" customHeight="false" outlineLevel="0" collapsed="false">
      <c r="A93" s="0" t="s">
        <v>2579</v>
      </c>
      <c r="B93" s="0" t="s">
        <v>956</v>
      </c>
      <c r="C93" s="0" t="s">
        <v>2580</v>
      </c>
      <c r="D93" s="0" t="s">
        <v>110</v>
      </c>
      <c r="E93" s="0" t="s">
        <v>2177</v>
      </c>
      <c r="F93" s="0" t="s">
        <v>2547</v>
      </c>
      <c r="G93" s="0" t="s">
        <v>2179</v>
      </c>
      <c r="H93" s="5" t="s">
        <v>2213</v>
      </c>
      <c r="K93" s="0" t="s">
        <v>33</v>
      </c>
      <c r="L93" s="0" t="s">
        <v>2533</v>
      </c>
    </row>
    <row r="94" customFormat="false" ht="17.15" hidden="false" customHeight="false" outlineLevel="0" collapsed="false">
      <c r="A94" s="0" t="s">
        <v>2581</v>
      </c>
      <c r="B94" s="0" t="s">
        <v>956</v>
      </c>
      <c r="C94" s="0" t="s">
        <v>2582</v>
      </c>
      <c r="D94" s="0" t="s">
        <v>2583</v>
      </c>
      <c r="E94" s="0" t="s">
        <v>2177</v>
      </c>
      <c r="F94" s="0" t="s">
        <v>2547</v>
      </c>
      <c r="G94" s="0" t="s">
        <v>2179</v>
      </c>
      <c r="H94" s="5" t="s">
        <v>2213</v>
      </c>
      <c r="J94" s="0" t="s">
        <v>591</v>
      </c>
      <c r="K94" s="5" t="s">
        <v>2321</v>
      </c>
      <c r="L94" s="0" t="s">
        <v>2533</v>
      </c>
    </row>
    <row r="95" customFormat="false" ht="17.15" hidden="false" customHeight="false" outlineLevel="0" collapsed="false">
      <c r="A95" s="0" t="s">
        <v>2584</v>
      </c>
      <c r="B95" s="0" t="s">
        <v>956</v>
      </c>
      <c r="C95" s="0" t="s">
        <v>2585</v>
      </c>
      <c r="D95" s="0" t="s">
        <v>2586</v>
      </c>
      <c r="E95" s="0" t="s">
        <v>2177</v>
      </c>
      <c r="F95" s="0" t="s">
        <v>2547</v>
      </c>
      <c r="G95" s="0" t="s">
        <v>2179</v>
      </c>
      <c r="H95" s="5" t="s">
        <v>2213</v>
      </c>
      <c r="K95" s="0" t="s">
        <v>33</v>
      </c>
      <c r="L95" s="0" t="s">
        <v>2533</v>
      </c>
    </row>
    <row r="96" customFormat="false" ht="17.15" hidden="false" customHeight="false" outlineLevel="0" collapsed="false">
      <c r="A96" s="0" t="s">
        <v>2587</v>
      </c>
      <c r="B96" s="0" t="s">
        <v>956</v>
      </c>
      <c r="C96" s="0" t="s">
        <v>2588</v>
      </c>
      <c r="D96" s="0" t="s">
        <v>2589</v>
      </c>
      <c r="F96" s="0" t="s">
        <v>2547</v>
      </c>
      <c r="G96" s="0" t="s">
        <v>2179</v>
      </c>
      <c r="H96" s="5" t="s">
        <v>2186</v>
      </c>
      <c r="K96" s="0" t="s">
        <v>33</v>
      </c>
      <c r="L96" s="0" t="s">
        <v>2548</v>
      </c>
    </row>
    <row r="97" customFormat="false" ht="17.15" hidden="false" customHeight="false" outlineLevel="0" collapsed="false">
      <c r="A97" s="0" t="s">
        <v>2590</v>
      </c>
      <c r="B97" s="0" t="s">
        <v>975</v>
      </c>
      <c r="C97" s="0" t="s">
        <v>2591</v>
      </c>
      <c r="D97" s="0" t="s">
        <v>2592</v>
      </c>
      <c r="E97" s="0" t="s">
        <v>109</v>
      </c>
      <c r="F97" s="0" t="s">
        <v>2289</v>
      </c>
      <c r="G97" s="0" t="s">
        <v>2179</v>
      </c>
      <c r="H97" s="5" t="s">
        <v>2186</v>
      </c>
      <c r="J97" s="0" t="s">
        <v>293</v>
      </c>
      <c r="K97" s="5" t="s">
        <v>2171</v>
      </c>
      <c r="L97" s="0" t="s">
        <v>2593</v>
      </c>
    </row>
    <row r="98" customFormat="false" ht="17.15" hidden="false" customHeight="false" outlineLevel="0" collapsed="false">
      <c r="A98" s="0" t="s">
        <v>2594</v>
      </c>
      <c r="B98" s="0" t="s">
        <v>975</v>
      </c>
      <c r="C98" s="0" t="s">
        <v>2591</v>
      </c>
      <c r="D98" s="0" t="s">
        <v>110</v>
      </c>
      <c r="E98" s="0" t="s">
        <v>2177</v>
      </c>
      <c r="F98" s="0" t="s">
        <v>2532</v>
      </c>
      <c r="G98" s="0" t="s">
        <v>2277</v>
      </c>
      <c r="H98" s="5" t="s">
        <v>2213</v>
      </c>
      <c r="K98" s="0" t="s">
        <v>33</v>
      </c>
    </row>
    <row r="99" customFormat="false" ht="17.15" hidden="false" customHeight="false" outlineLevel="0" collapsed="false">
      <c r="A99" s="0" t="s">
        <v>2595</v>
      </c>
      <c r="B99" s="0" t="s">
        <v>975</v>
      </c>
      <c r="C99" s="0" t="s">
        <v>2596</v>
      </c>
      <c r="D99" s="0" t="s">
        <v>2597</v>
      </c>
      <c r="E99" s="0" t="s">
        <v>2177</v>
      </c>
      <c r="F99" s="0" t="s">
        <v>2598</v>
      </c>
      <c r="G99" s="0" t="s">
        <v>2179</v>
      </c>
      <c r="H99" s="5" t="s">
        <v>2213</v>
      </c>
      <c r="J99" s="0" t="s">
        <v>293</v>
      </c>
      <c r="K99" s="5" t="s">
        <v>2233</v>
      </c>
      <c r="L99" s="0" t="s">
        <v>2599</v>
      </c>
    </row>
    <row r="100" customFormat="false" ht="17.15" hidden="false" customHeight="false" outlineLevel="0" collapsed="false">
      <c r="A100" s="0" t="s">
        <v>2600</v>
      </c>
      <c r="B100" s="0" t="s">
        <v>975</v>
      </c>
      <c r="C100" s="0" t="s">
        <v>2601</v>
      </c>
      <c r="D100" s="0" t="s">
        <v>2602</v>
      </c>
      <c r="E100" s="0" t="s">
        <v>2177</v>
      </c>
      <c r="F100" s="0" t="s">
        <v>2603</v>
      </c>
      <c r="G100" s="0" t="s">
        <v>2179</v>
      </c>
      <c r="H100" s="5" t="s">
        <v>2213</v>
      </c>
      <c r="J100" s="0" t="s">
        <v>188</v>
      </c>
      <c r="K100" s="5" t="s">
        <v>2233</v>
      </c>
      <c r="L100" s="0" t="s">
        <v>2604</v>
      </c>
    </row>
    <row r="101" customFormat="false" ht="17.15" hidden="false" customHeight="false" outlineLevel="0" collapsed="false">
      <c r="A101" s="0" t="s">
        <v>2605</v>
      </c>
      <c r="B101" s="0" t="s">
        <v>975</v>
      </c>
      <c r="C101" s="0" t="s">
        <v>2606</v>
      </c>
      <c r="D101" s="0" t="s">
        <v>2607</v>
      </c>
      <c r="E101" s="0" t="s">
        <v>2177</v>
      </c>
      <c r="F101" s="0" t="s">
        <v>2603</v>
      </c>
      <c r="G101" s="0" t="s">
        <v>2179</v>
      </c>
      <c r="H101" s="5" t="s">
        <v>2213</v>
      </c>
      <c r="J101" s="0" t="s">
        <v>581</v>
      </c>
      <c r="K101" s="5" t="s">
        <v>2321</v>
      </c>
      <c r="L101" s="0" t="s">
        <v>2608</v>
      </c>
    </row>
    <row r="102" customFormat="false" ht="17.15" hidden="false" customHeight="false" outlineLevel="0" collapsed="false">
      <c r="A102" s="0" t="s">
        <v>2609</v>
      </c>
      <c r="B102" s="0" t="s">
        <v>975</v>
      </c>
      <c r="C102" s="0" t="s">
        <v>2610</v>
      </c>
      <c r="D102" s="0" t="s">
        <v>2611</v>
      </c>
      <c r="E102" s="0" t="s">
        <v>2177</v>
      </c>
      <c r="F102" s="0" t="s">
        <v>2603</v>
      </c>
      <c r="G102" s="0" t="s">
        <v>2179</v>
      </c>
      <c r="H102" s="5" t="s">
        <v>2213</v>
      </c>
      <c r="J102" s="0" t="s">
        <v>585</v>
      </c>
      <c r="K102" s="5" t="s">
        <v>2321</v>
      </c>
      <c r="L102" s="0" t="s">
        <v>2608</v>
      </c>
    </row>
    <row r="103" customFormat="false" ht="17.15" hidden="false" customHeight="false" outlineLevel="0" collapsed="false">
      <c r="A103" s="0" t="s">
        <v>2612</v>
      </c>
      <c r="B103" s="0" t="s">
        <v>975</v>
      </c>
      <c r="C103" s="0" t="s">
        <v>2613</v>
      </c>
      <c r="D103" s="0" t="s">
        <v>2611</v>
      </c>
      <c r="E103" s="0" t="s">
        <v>2177</v>
      </c>
      <c r="F103" s="0" t="s">
        <v>2603</v>
      </c>
      <c r="G103" s="0" t="s">
        <v>2179</v>
      </c>
      <c r="H103" s="5" t="s">
        <v>2213</v>
      </c>
      <c r="J103" s="0" t="s">
        <v>588</v>
      </c>
      <c r="K103" s="5" t="s">
        <v>2321</v>
      </c>
      <c r="L103" s="0" t="s">
        <v>2608</v>
      </c>
    </row>
    <row r="104" customFormat="false" ht="17.15" hidden="false" customHeight="false" outlineLevel="0" collapsed="false">
      <c r="A104" s="0" t="s">
        <v>2614</v>
      </c>
      <c r="B104" s="0" t="s">
        <v>975</v>
      </c>
      <c r="C104" s="0" t="s">
        <v>2615</v>
      </c>
      <c r="D104" s="0" t="s">
        <v>2616</v>
      </c>
      <c r="E104" s="0" t="s">
        <v>109</v>
      </c>
      <c r="F104" s="0" t="s">
        <v>117</v>
      </c>
      <c r="G104" s="0" t="s">
        <v>2232</v>
      </c>
      <c r="H104" s="5" t="s">
        <v>2213</v>
      </c>
      <c r="K104" s="0" t="s">
        <v>33</v>
      </c>
      <c r="L104" s="0" t="s">
        <v>2234</v>
      </c>
    </row>
    <row r="105" customFormat="false" ht="17.15" hidden="false" customHeight="false" outlineLevel="0" collapsed="false">
      <c r="A105" s="0" t="s">
        <v>2617</v>
      </c>
      <c r="B105" s="0" t="s">
        <v>975</v>
      </c>
      <c r="C105" s="0" t="s">
        <v>2618</v>
      </c>
      <c r="D105" s="0" t="s">
        <v>2619</v>
      </c>
      <c r="F105" s="0" t="s">
        <v>2598</v>
      </c>
      <c r="G105" s="0" t="s">
        <v>2179</v>
      </c>
      <c r="H105" s="5" t="s">
        <v>2213</v>
      </c>
      <c r="K105" s="0" t="s">
        <v>33</v>
      </c>
      <c r="L105" s="0" t="s">
        <v>2599</v>
      </c>
    </row>
    <row r="106" customFormat="false" ht="17.15" hidden="false" customHeight="false" outlineLevel="0" collapsed="false">
      <c r="A106" s="0" t="s">
        <v>2620</v>
      </c>
      <c r="B106" s="5" t="s">
        <v>2621</v>
      </c>
      <c r="C106" s="5" t="s">
        <v>2622</v>
      </c>
      <c r="D106" s="0" t="s">
        <v>2623</v>
      </c>
      <c r="E106" s="0" t="s">
        <v>109</v>
      </c>
      <c r="F106" s="0" t="s">
        <v>2624</v>
      </c>
      <c r="G106" s="0" t="s">
        <v>2179</v>
      </c>
      <c r="H106" s="5" t="s">
        <v>2186</v>
      </c>
      <c r="J106" s="0" t="s">
        <v>2625</v>
      </c>
      <c r="K106" s="5" t="s">
        <v>2171</v>
      </c>
      <c r="L106" s="0" t="s">
        <v>2626</v>
      </c>
    </row>
    <row r="107" customFormat="false" ht="17.15" hidden="false" customHeight="false" outlineLevel="0" collapsed="false">
      <c r="A107" s="0" t="s">
        <v>2627</v>
      </c>
      <c r="B107" s="5" t="s">
        <v>2621</v>
      </c>
      <c r="C107" s="5" t="s">
        <v>2628</v>
      </c>
      <c r="D107" s="0" t="s">
        <v>2629</v>
      </c>
      <c r="E107" s="0" t="s">
        <v>109</v>
      </c>
      <c r="F107" s="0" t="s">
        <v>2624</v>
      </c>
      <c r="G107" s="0" t="s">
        <v>2179</v>
      </c>
      <c r="H107" s="5" t="s">
        <v>2186</v>
      </c>
      <c r="J107" s="0" t="s">
        <v>559</v>
      </c>
      <c r="K107" s="5" t="s">
        <v>2171</v>
      </c>
      <c r="L107" s="0" t="s">
        <v>2626</v>
      </c>
    </row>
    <row r="108" customFormat="false" ht="17.15" hidden="false" customHeight="false" outlineLevel="0" collapsed="false">
      <c r="A108" s="0" t="s">
        <v>2630</v>
      </c>
      <c r="B108" s="5" t="s">
        <v>2621</v>
      </c>
      <c r="C108" s="5" t="s">
        <v>2631</v>
      </c>
      <c r="D108" s="0" t="s">
        <v>2632</v>
      </c>
      <c r="E108" s="0" t="s">
        <v>109</v>
      </c>
      <c r="F108" s="0" t="s">
        <v>136</v>
      </c>
      <c r="G108" s="0" t="s">
        <v>2179</v>
      </c>
      <c r="H108" s="5" t="s">
        <v>2213</v>
      </c>
      <c r="K108" s="0" t="s">
        <v>33</v>
      </c>
      <c r="L108" s="0" t="s">
        <v>2573</v>
      </c>
    </row>
    <row r="109" customFormat="false" ht="17.15" hidden="false" customHeight="false" outlineLevel="0" collapsed="false">
      <c r="A109" s="0" t="s">
        <v>2633</v>
      </c>
      <c r="B109" s="5" t="s">
        <v>2621</v>
      </c>
      <c r="C109" s="5" t="s">
        <v>2634</v>
      </c>
      <c r="D109" s="0" t="s">
        <v>2635</v>
      </c>
      <c r="E109" s="0" t="s">
        <v>109</v>
      </c>
      <c r="F109" s="0" t="s">
        <v>2636</v>
      </c>
      <c r="G109" s="0" t="s">
        <v>2179</v>
      </c>
      <c r="H109" s="5" t="s">
        <v>2213</v>
      </c>
      <c r="K109" s="0" t="s">
        <v>33</v>
      </c>
      <c r="L109" s="0" t="s">
        <v>2637</v>
      </c>
    </row>
    <row r="110" customFormat="false" ht="17.15" hidden="false" customHeight="false" outlineLevel="0" collapsed="false">
      <c r="A110" s="0" t="s">
        <v>2638</v>
      </c>
      <c r="B110" s="5" t="s">
        <v>2621</v>
      </c>
      <c r="C110" s="5" t="s">
        <v>2639</v>
      </c>
      <c r="D110" s="0" t="s">
        <v>2640</v>
      </c>
      <c r="E110" s="0" t="s">
        <v>2177</v>
      </c>
      <c r="F110" s="0" t="s">
        <v>2641</v>
      </c>
      <c r="G110" s="0" t="s">
        <v>2179</v>
      </c>
      <c r="H110" s="5" t="s">
        <v>2213</v>
      </c>
      <c r="K110" s="0" t="s">
        <v>33</v>
      </c>
      <c r="L110" s="0" t="s">
        <v>2642</v>
      </c>
    </row>
    <row r="111" customFormat="false" ht="17.15" hidden="false" customHeight="false" outlineLevel="0" collapsed="false">
      <c r="A111" s="0" t="s">
        <v>2643</v>
      </c>
      <c r="B111" s="5" t="s">
        <v>2621</v>
      </c>
      <c r="C111" s="5" t="s">
        <v>2644</v>
      </c>
      <c r="D111" s="0" t="s">
        <v>2645</v>
      </c>
      <c r="E111" s="0" t="s">
        <v>2177</v>
      </c>
      <c r="F111" s="0" t="s">
        <v>2646</v>
      </c>
      <c r="G111" s="0" t="s">
        <v>2179</v>
      </c>
      <c r="H111" s="5" t="s">
        <v>2213</v>
      </c>
      <c r="K111" s="0" t="s">
        <v>33</v>
      </c>
      <c r="L111" s="0" t="s">
        <v>2647</v>
      </c>
    </row>
    <row r="112" customFormat="false" ht="17.15" hidden="false" customHeight="false" outlineLevel="0" collapsed="false">
      <c r="A112" s="0" t="s">
        <v>2648</v>
      </c>
      <c r="B112" s="5" t="s">
        <v>2621</v>
      </c>
      <c r="C112" s="5" t="s">
        <v>2649</v>
      </c>
      <c r="D112" s="0" t="s">
        <v>2650</v>
      </c>
      <c r="E112" s="0" t="s">
        <v>2177</v>
      </c>
      <c r="F112" s="0" t="s">
        <v>2651</v>
      </c>
      <c r="G112" s="0" t="s">
        <v>2179</v>
      </c>
      <c r="H112" s="5" t="s">
        <v>2213</v>
      </c>
      <c r="K112" s="0" t="s">
        <v>33</v>
      </c>
      <c r="L112" s="0" t="s">
        <v>2652</v>
      </c>
    </row>
    <row r="113" customFormat="false" ht="17.15" hidden="false" customHeight="false" outlineLevel="0" collapsed="false">
      <c r="A113" s="0" t="s">
        <v>2653</v>
      </c>
      <c r="B113" s="5" t="s">
        <v>2621</v>
      </c>
      <c r="C113" s="5" t="s">
        <v>2654</v>
      </c>
      <c r="D113" s="0" t="s">
        <v>2655</v>
      </c>
      <c r="E113" s="0" t="s">
        <v>2177</v>
      </c>
      <c r="F113" s="0" t="s">
        <v>136</v>
      </c>
      <c r="G113" s="0" t="s">
        <v>2179</v>
      </c>
      <c r="H113" s="5" t="s">
        <v>2213</v>
      </c>
      <c r="K113" s="0" t="s">
        <v>33</v>
      </c>
      <c r="L113" s="0" t="s">
        <v>2656</v>
      </c>
    </row>
    <row r="114" customFormat="false" ht="17.15" hidden="false" customHeight="false" outlineLevel="0" collapsed="false">
      <c r="A114" s="0" t="s">
        <v>2657</v>
      </c>
      <c r="B114" s="5" t="s">
        <v>2621</v>
      </c>
      <c r="C114" s="5" t="s">
        <v>2658</v>
      </c>
      <c r="D114" s="0" t="s">
        <v>2659</v>
      </c>
      <c r="E114" s="0" t="s">
        <v>2177</v>
      </c>
      <c r="F114" s="0" t="s">
        <v>2367</v>
      </c>
      <c r="G114" s="0" t="s">
        <v>2179</v>
      </c>
      <c r="H114" s="5" t="s">
        <v>2213</v>
      </c>
      <c r="K114" s="0" t="s">
        <v>33</v>
      </c>
      <c r="L114" s="0" t="s">
        <v>2660</v>
      </c>
    </row>
    <row r="115" customFormat="false" ht="17.15" hidden="false" customHeight="false" outlineLevel="0" collapsed="false">
      <c r="A115" s="0" t="s">
        <v>2661</v>
      </c>
      <c r="B115" s="5" t="s">
        <v>2621</v>
      </c>
      <c r="C115" s="5" t="s">
        <v>2662</v>
      </c>
      <c r="D115" s="0" t="s">
        <v>2663</v>
      </c>
      <c r="E115" s="0" t="s">
        <v>109</v>
      </c>
      <c r="F115" s="0" t="s">
        <v>2664</v>
      </c>
      <c r="G115" s="0" t="s">
        <v>2232</v>
      </c>
      <c r="H115" s="5" t="s">
        <v>2213</v>
      </c>
      <c r="K115" s="0" t="s">
        <v>33</v>
      </c>
      <c r="L115" s="0" t="s">
        <v>2234</v>
      </c>
    </row>
    <row r="116" customFormat="false" ht="17.15" hidden="false" customHeight="false" outlineLevel="0" collapsed="false">
      <c r="A116" s="0" t="s">
        <v>2665</v>
      </c>
      <c r="B116" s="5" t="s">
        <v>2621</v>
      </c>
      <c r="C116" s="5" t="s">
        <v>2666</v>
      </c>
      <c r="D116" s="0" t="s">
        <v>2667</v>
      </c>
      <c r="E116" s="0" t="s">
        <v>109</v>
      </c>
      <c r="F116" s="0" t="s">
        <v>2668</v>
      </c>
      <c r="G116" s="0" t="s">
        <v>2179</v>
      </c>
      <c r="H116" s="5" t="s">
        <v>2186</v>
      </c>
      <c r="J116" s="0" t="s">
        <v>2669</v>
      </c>
      <c r="K116" s="5" t="s">
        <v>2171</v>
      </c>
      <c r="L116" s="0" t="s">
        <v>2670</v>
      </c>
    </row>
    <row r="117" customFormat="false" ht="17.15" hidden="false" customHeight="false" outlineLevel="0" collapsed="false">
      <c r="A117" s="0" t="s">
        <v>2671</v>
      </c>
      <c r="B117" s="5" t="s">
        <v>2621</v>
      </c>
      <c r="C117" s="5" t="s">
        <v>2672</v>
      </c>
      <c r="D117" s="0" t="s">
        <v>2673</v>
      </c>
      <c r="E117" s="0" t="s">
        <v>2177</v>
      </c>
      <c r="F117" s="0" t="s">
        <v>2651</v>
      </c>
      <c r="G117" s="0" t="s">
        <v>2179</v>
      </c>
      <c r="H117" s="5" t="s">
        <v>2213</v>
      </c>
      <c r="K117" s="0" t="s">
        <v>33</v>
      </c>
      <c r="L117" s="0" t="s">
        <v>2674</v>
      </c>
    </row>
    <row r="118" customFormat="false" ht="17.15" hidden="false" customHeight="false" outlineLevel="0" collapsed="false">
      <c r="A118" s="0" t="s">
        <v>2675</v>
      </c>
      <c r="B118" s="5" t="s">
        <v>2621</v>
      </c>
      <c r="C118" s="5" t="s">
        <v>2676</v>
      </c>
      <c r="D118" s="0" t="s">
        <v>2677</v>
      </c>
      <c r="E118" s="0" t="s">
        <v>2177</v>
      </c>
      <c r="F118" s="0" t="s">
        <v>2224</v>
      </c>
      <c r="G118" s="0" t="s">
        <v>2219</v>
      </c>
      <c r="H118" s="5" t="s">
        <v>2247</v>
      </c>
      <c r="I118" s="5" t="s">
        <v>2678</v>
      </c>
      <c r="J118" s="0" t="s">
        <v>2679</v>
      </c>
      <c r="K118" s="5" t="s">
        <v>2171</v>
      </c>
      <c r="L118" s="0" t="s">
        <v>2220</v>
      </c>
    </row>
    <row r="119" customFormat="false" ht="17.15" hidden="false" customHeight="false" outlineLevel="0" collapsed="false">
      <c r="A119" s="0" t="s">
        <v>2680</v>
      </c>
      <c r="B119" s="5" t="s">
        <v>2681</v>
      </c>
      <c r="C119" s="5" t="s">
        <v>2682</v>
      </c>
      <c r="D119" s="0" t="s">
        <v>2683</v>
      </c>
      <c r="F119" s="0" t="s">
        <v>2224</v>
      </c>
      <c r="G119" s="0" t="s">
        <v>2219</v>
      </c>
      <c r="H119" s="5" t="s">
        <v>2186</v>
      </c>
      <c r="K119" s="0" t="s">
        <v>33</v>
      </c>
      <c r="L119" s="0" t="s">
        <v>2684</v>
      </c>
    </row>
    <row r="120" customFormat="false" ht="17.15" hidden="false" customHeight="false" outlineLevel="0" collapsed="false">
      <c r="A120" s="0" t="s">
        <v>2685</v>
      </c>
      <c r="B120" s="5" t="s">
        <v>2681</v>
      </c>
      <c r="C120" s="5" t="s">
        <v>2686</v>
      </c>
      <c r="D120" s="0" t="s">
        <v>2687</v>
      </c>
      <c r="E120" s="0" t="s">
        <v>2177</v>
      </c>
      <c r="F120" s="0" t="s">
        <v>2367</v>
      </c>
      <c r="G120" s="0" t="s">
        <v>2219</v>
      </c>
      <c r="H120" s="5" t="s">
        <v>2213</v>
      </c>
      <c r="K120" s="0" t="s">
        <v>33</v>
      </c>
      <c r="L120" s="0" t="s">
        <v>2688</v>
      </c>
    </row>
    <row r="121" customFormat="false" ht="17.15" hidden="false" customHeight="false" outlineLevel="0" collapsed="false">
      <c r="A121" s="0" t="s">
        <v>2689</v>
      </c>
      <c r="B121" s="0" t="s">
        <v>1172</v>
      </c>
      <c r="C121" s="0" t="s">
        <v>2690</v>
      </c>
      <c r="D121" s="0" t="s">
        <v>2691</v>
      </c>
      <c r="E121" s="0" t="s">
        <v>2177</v>
      </c>
      <c r="F121" s="0" t="s">
        <v>2289</v>
      </c>
      <c r="G121" s="0" t="s">
        <v>2692</v>
      </c>
      <c r="H121" s="5" t="s">
        <v>2186</v>
      </c>
      <c r="J121" s="0" t="s">
        <v>403</v>
      </c>
      <c r="K121" s="5" t="s">
        <v>2171</v>
      </c>
      <c r="L121" s="0" t="s">
        <v>2693</v>
      </c>
    </row>
    <row r="122" customFormat="false" ht="17.15" hidden="false" customHeight="false" outlineLevel="0" collapsed="false">
      <c r="A122" s="0" t="s">
        <v>2694</v>
      </c>
      <c r="B122" s="0" t="s">
        <v>1172</v>
      </c>
      <c r="C122" s="0" t="s">
        <v>2695</v>
      </c>
      <c r="D122" s="0" t="s">
        <v>2696</v>
      </c>
      <c r="E122" s="0" t="s">
        <v>2177</v>
      </c>
      <c r="F122" s="0" t="s">
        <v>2697</v>
      </c>
      <c r="G122" s="0" t="s">
        <v>2698</v>
      </c>
      <c r="H122" s="5" t="s">
        <v>2247</v>
      </c>
      <c r="I122" s="5" t="s">
        <v>2699</v>
      </c>
      <c r="J122" s="0" t="s">
        <v>181</v>
      </c>
      <c r="K122" s="5" t="s">
        <v>2171</v>
      </c>
      <c r="L122" s="0" t="s">
        <v>2700</v>
      </c>
    </row>
    <row r="123" customFormat="false" ht="17.15" hidden="false" customHeight="false" outlineLevel="0" collapsed="false">
      <c r="A123" s="0" t="s">
        <v>2701</v>
      </c>
      <c r="B123" s="0" t="s">
        <v>1172</v>
      </c>
      <c r="C123" s="0" t="s">
        <v>2702</v>
      </c>
      <c r="D123" s="0" t="s">
        <v>2703</v>
      </c>
      <c r="E123" s="0" t="s">
        <v>2177</v>
      </c>
      <c r="F123" s="0" t="s">
        <v>2453</v>
      </c>
      <c r="G123" s="0" t="s">
        <v>2704</v>
      </c>
      <c r="H123" s="5" t="s">
        <v>2186</v>
      </c>
      <c r="J123" s="0" t="s">
        <v>403</v>
      </c>
      <c r="K123" s="5" t="s">
        <v>2171</v>
      </c>
      <c r="L123" s="0" t="s">
        <v>2705</v>
      </c>
    </row>
    <row r="124" customFormat="false" ht="17.15" hidden="false" customHeight="false" outlineLevel="0" collapsed="false">
      <c r="A124" s="0" t="s">
        <v>2706</v>
      </c>
      <c r="B124" s="0" t="s">
        <v>1172</v>
      </c>
      <c r="C124" s="0" t="s">
        <v>2707</v>
      </c>
      <c r="D124" s="0" t="s">
        <v>2708</v>
      </c>
      <c r="E124" s="0" t="s">
        <v>2709</v>
      </c>
      <c r="F124" s="0" t="s">
        <v>2710</v>
      </c>
      <c r="G124" s="0" t="s">
        <v>2711</v>
      </c>
      <c r="H124" s="5" t="s">
        <v>2213</v>
      </c>
      <c r="K124" s="0" t="s">
        <v>33</v>
      </c>
      <c r="L124" s="0" t="s">
        <v>2712</v>
      </c>
    </row>
    <row r="125" customFormat="false" ht="17.15" hidden="false" customHeight="false" outlineLevel="0" collapsed="false">
      <c r="A125" s="0" t="s">
        <v>2713</v>
      </c>
      <c r="B125" s="0" t="s">
        <v>1172</v>
      </c>
      <c r="C125" s="0" t="s">
        <v>2714</v>
      </c>
      <c r="D125" s="5" t="s">
        <v>2715</v>
      </c>
      <c r="E125" s="0" t="s">
        <v>2177</v>
      </c>
      <c r="F125" s="0" t="s">
        <v>2716</v>
      </c>
      <c r="G125" s="0" t="s">
        <v>2717</v>
      </c>
      <c r="H125" s="5" t="s">
        <v>2186</v>
      </c>
      <c r="J125" s="0" t="s">
        <v>403</v>
      </c>
      <c r="K125" s="5" t="s">
        <v>2171</v>
      </c>
      <c r="L125" s="0" t="s">
        <v>2718</v>
      </c>
    </row>
    <row r="126" customFormat="false" ht="17.15" hidden="false" customHeight="false" outlineLevel="0" collapsed="false">
      <c r="A126" s="0" t="s">
        <v>2719</v>
      </c>
      <c r="B126" s="0" t="s">
        <v>2720</v>
      </c>
      <c r="C126" s="0" t="s">
        <v>2721</v>
      </c>
      <c r="D126" s="0" t="s">
        <v>2722</v>
      </c>
      <c r="E126" s="0" t="s">
        <v>2177</v>
      </c>
      <c r="F126" s="0" t="s">
        <v>136</v>
      </c>
      <c r="G126" s="0" t="s">
        <v>2723</v>
      </c>
      <c r="H126" s="5" t="s">
        <v>2186</v>
      </c>
      <c r="K126" s="0" t="s">
        <v>33</v>
      </c>
      <c r="L126" s="0" t="s">
        <v>2724</v>
      </c>
    </row>
    <row r="127" customFormat="false" ht="17.15" hidden="false" customHeight="false" outlineLevel="0" collapsed="false">
      <c r="A127" s="0" t="s">
        <v>2725</v>
      </c>
      <c r="B127" s="0" t="s">
        <v>2720</v>
      </c>
      <c r="C127" s="0" t="s">
        <v>2726</v>
      </c>
      <c r="D127" s="0" t="s">
        <v>2727</v>
      </c>
      <c r="E127" s="0" t="s">
        <v>2177</v>
      </c>
      <c r="F127" s="0" t="s">
        <v>2498</v>
      </c>
      <c r="G127" s="0" t="s">
        <v>2728</v>
      </c>
      <c r="H127" s="5" t="s">
        <v>2213</v>
      </c>
      <c r="K127" s="0" t="s">
        <v>33</v>
      </c>
      <c r="L127" s="0" t="s">
        <v>2729</v>
      </c>
    </row>
    <row r="128" customFormat="false" ht="17.15" hidden="false" customHeight="false" outlineLevel="0" collapsed="false">
      <c r="A128" s="0" t="s">
        <v>2730</v>
      </c>
      <c r="B128" s="0" t="s">
        <v>2720</v>
      </c>
      <c r="C128" s="0" t="s">
        <v>2731</v>
      </c>
      <c r="D128" s="0" t="s">
        <v>2732</v>
      </c>
      <c r="E128" s="0" t="s">
        <v>2177</v>
      </c>
      <c r="F128" s="0" t="s">
        <v>2733</v>
      </c>
      <c r="G128" s="0" t="s">
        <v>2734</v>
      </c>
      <c r="H128" s="5" t="s">
        <v>2213</v>
      </c>
      <c r="K128" s="0" t="s">
        <v>33</v>
      </c>
      <c r="L128" s="0" t="s">
        <v>2735</v>
      </c>
    </row>
    <row r="129" customFormat="false" ht="17.15" hidden="false" customHeight="false" outlineLevel="0" collapsed="false">
      <c r="A129" s="0" t="s">
        <v>2736</v>
      </c>
      <c r="B129" s="0" t="s">
        <v>2720</v>
      </c>
      <c r="C129" s="0" t="s">
        <v>2737</v>
      </c>
      <c r="D129" s="0" t="s">
        <v>2520</v>
      </c>
      <c r="E129" s="0" t="s">
        <v>109</v>
      </c>
      <c r="F129" s="0" t="s">
        <v>2738</v>
      </c>
      <c r="G129" s="0" t="s">
        <v>2739</v>
      </c>
      <c r="H129" s="5" t="s">
        <v>2213</v>
      </c>
      <c r="J129" s="0" t="s">
        <v>2740</v>
      </c>
      <c r="K129" s="5" t="s">
        <v>2233</v>
      </c>
      <c r="L129" s="0" t="s">
        <v>2741</v>
      </c>
    </row>
    <row r="130" customFormat="false" ht="17.15" hidden="false" customHeight="false" outlineLevel="0" collapsed="false">
      <c r="A130" s="0" t="s">
        <v>2742</v>
      </c>
      <c r="B130" s="0" t="s">
        <v>2720</v>
      </c>
      <c r="C130" s="0" t="s">
        <v>2743</v>
      </c>
      <c r="D130" s="0" t="s">
        <v>2744</v>
      </c>
      <c r="E130" s="0" t="s">
        <v>109</v>
      </c>
      <c r="F130" s="0" t="s">
        <v>2745</v>
      </c>
      <c r="G130" s="0" t="s">
        <v>2746</v>
      </c>
      <c r="H130" s="5" t="s">
        <v>2213</v>
      </c>
      <c r="K130" s="0" t="s">
        <v>33</v>
      </c>
      <c r="L130" s="0" t="s">
        <v>2741</v>
      </c>
    </row>
    <row r="131" customFormat="false" ht="17.15" hidden="false" customHeight="false" outlineLevel="0" collapsed="false">
      <c r="A131" s="0" t="s">
        <v>2747</v>
      </c>
      <c r="B131" s="0" t="s">
        <v>2720</v>
      </c>
      <c r="C131" s="0" t="s">
        <v>2748</v>
      </c>
      <c r="D131" s="0" t="s">
        <v>2749</v>
      </c>
      <c r="E131" s="0" t="s">
        <v>109</v>
      </c>
      <c r="F131" s="0" t="s">
        <v>2750</v>
      </c>
      <c r="G131" s="0" t="s">
        <v>2751</v>
      </c>
      <c r="H131" s="5" t="s">
        <v>2213</v>
      </c>
      <c r="K131" s="0" t="s">
        <v>33</v>
      </c>
      <c r="L131" s="0" t="s">
        <v>2741</v>
      </c>
    </row>
    <row r="132" customFormat="false" ht="17.15" hidden="false" customHeight="false" outlineLevel="0" collapsed="false">
      <c r="A132" s="0" t="s">
        <v>2752</v>
      </c>
      <c r="B132" s="0" t="s">
        <v>2720</v>
      </c>
      <c r="C132" s="0" t="s">
        <v>2753</v>
      </c>
      <c r="D132" s="0" t="s">
        <v>2754</v>
      </c>
      <c r="E132" s="0" t="s">
        <v>109</v>
      </c>
      <c r="F132" s="0" t="s">
        <v>2755</v>
      </c>
      <c r="G132" s="0" t="s">
        <v>2751</v>
      </c>
      <c r="H132" s="5" t="s">
        <v>2213</v>
      </c>
      <c r="K132" s="0" t="s">
        <v>33</v>
      </c>
      <c r="L132" s="0" t="s">
        <v>2741</v>
      </c>
    </row>
    <row r="133" customFormat="false" ht="17.15" hidden="false" customHeight="false" outlineLevel="0" collapsed="false">
      <c r="A133" s="0" t="s">
        <v>2756</v>
      </c>
      <c r="B133" s="0" t="s">
        <v>2757</v>
      </c>
      <c r="C133" s="0" t="s">
        <v>2758</v>
      </c>
      <c r="D133" s="0" t="s">
        <v>2759</v>
      </c>
      <c r="E133" s="0" t="s">
        <v>109</v>
      </c>
      <c r="F133" s="0" t="s">
        <v>2760</v>
      </c>
      <c r="G133" s="0" t="s">
        <v>2751</v>
      </c>
      <c r="H133" s="5" t="s">
        <v>2213</v>
      </c>
      <c r="J133" s="0" t="s">
        <v>2761</v>
      </c>
      <c r="K133" s="5" t="s">
        <v>2233</v>
      </c>
      <c r="L133" s="0" t="s">
        <v>2741</v>
      </c>
    </row>
    <row r="134" customFormat="false" ht="17.15" hidden="false" customHeight="false" outlineLevel="0" collapsed="false">
      <c r="A134" s="0" t="s">
        <v>2762</v>
      </c>
      <c r="B134" s="0" t="s">
        <v>2757</v>
      </c>
      <c r="C134" s="0" t="s">
        <v>2763</v>
      </c>
      <c r="D134" s="0" t="s">
        <v>2764</v>
      </c>
      <c r="E134" s="0" t="s">
        <v>109</v>
      </c>
      <c r="F134" s="0" t="s">
        <v>2352</v>
      </c>
      <c r="G134" s="0" t="s">
        <v>2751</v>
      </c>
      <c r="H134" s="5" t="s">
        <v>2213</v>
      </c>
      <c r="J134" s="0" t="s">
        <v>2765</v>
      </c>
      <c r="K134" s="5" t="s">
        <v>2233</v>
      </c>
      <c r="L134" s="0" t="s">
        <v>2741</v>
      </c>
    </row>
    <row r="135" customFormat="false" ht="17.15" hidden="false" customHeight="false" outlineLevel="0" collapsed="false">
      <c r="A135" s="0" t="s">
        <v>2766</v>
      </c>
      <c r="B135" s="0" t="s">
        <v>2767</v>
      </c>
      <c r="C135" s="0" t="s">
        <v>2768</v>
      </c>
      <c r="D135" s="0" t="s">
        <v>2769</v>
      </c>
      <c r="E135" s="0" t="s">
        <v>109</v>
      </c>
      <c r="F135" s="0" t="s">
        <v>2770</v>
      </c>
      <c r="G135" s="0" t="s">
        <v>2771</v>
      </c>
      <c r="H135" s="5" t="s">
        <v>2247</v>
      </c>
      <c r="I135" s="5" t="s">
        <v>2772</v>
      </c>
      <c r="J135" s="0" t="s">
        <v>2773</v>
      </c>
      <c r="K135" s="5" t="s">
        <v>2171</v>
      </c>
      <c r="L135" s="0" t="s">
        <v>2774</v>
      </c>
    </row>
    <row r="136" customFormat="false" ht="17.15" hidden="false" customHeight="false" outlineLevel="0" collapsed="false">
      <c r="A136" s="0" t="s">
        <v>2775</v>
      </c>
      <c r="B136" s="0" t="s">
        <v>2776</v>
      </c>
      <c r="C136" s="0" t="s">
        <v>2777</v>
      </c>
      <c r="D136" s="0" t="s">
        <v>2778</v>
      </c>
      <c r="E136" s="0" t="s">
        <v>2177</v>
      </c>
      <c r="F136" s="0" t="s">
        <v>2267</v>
      </c>
      <c r="G136" s="0" t="s">
        <v>2779</v>
      </c>
      <c r="H136" s="5" t="s">
        <v>2213</v>
      </c>
      <c r="K136" s="0" t="s">
        <v>33</v>
      </c>
      <c r="L136" s="0" t="s">
        <v>2780</v>
      </c>
    </row>
    <row r="137" customFormat="false" ht="17.15" hidden="false" customHeight="false" outlineLevel="0" collapsed="false">
      <c r="A137" s="0" t="s">
        <v>2781</v>
      </c>
      <c r="B137" s="0" t="s">
        <v>2776</v>
      </c>
      <c r="C137" s="0" t="s">
        <v>2782</v>
      </c>
      <c r="D137" s="0" t="s">
        <v>2783</v>
      </c>
      <c r="E137" s="0" t="s">
        <v>109</v>
      </c>
      <c r="F137" s="0" t="s">
        <v>2241</v>
      </c>
      <c r="G137" s="0" t="s">
        <v>2751</v>
      </c>
      <c r="H137" s="5" t="s">
        <v>2213</v>
      </c>
      <c r="K137" s="0" t="s">
        <v>33</v>
      </c>
      <c r="L137" s="0" t="s">
        <v>2741</v>
      </c>
    </row>
    <row r="138" customFormat="false" ht="17.15" hidden="false" customHeight="false" outlineLevel="0" collapsed="false">
      <c r="A138" s="0" t="s">
        <v>2784</v>
      </c>
      <c r="B138" s="0" t="s">
        <v>2776</v>
      </c>
      <c r="C138" s="0" t="s">
        <v>2785</v>
      </c>
      <c r="D138" s="0" t="s">
        <v>2786</v>
      </c>
      <c r="E138" s="0" t="s">
        <v>109</v>
      </c>
      <c r="F138" s="0" t="s">
        <v>2787</v>
      </c>
      <c r="G138" s="0" t="s">
        <v>2746</v>
      </c>
      <c r="H138" s="5" t="s">
        <v>2213</v>
      </c>
      <c r="K138" s="0" t="s">
        <v>33</v>
      </c>
      <c r="L138" s="0" t="s">
        <v>2741</v>
      </c>
    </row>
    <row r="139" customFormat="false" ht="17.15" hidden="false" customHeight="false" outlineLevel="0" collapsed="false">
      <c r="A139" s="0" t="s">
        <v>2788</v>
      </c>
      <c r="B139" s="0" t="s">
        <v>2789</v>
      </c>
      <c r="C139" s="0" t="s">
        <v>2790</v>
      </c>
      <c r="D139" s="0" t="s">
        <v>2266</v>
      </c>
      <c r="E139" s="0" t="s">
        <v>2177</v>
      </c>
      <c r="F139" s="0" t="s">
        <v>2791</v>
      </c>
      <c r="G139" s="0" t="s">
        <v>2792</v>
      </c>
      <c r="H139" s="5" t="s">
        <v>2213</v>
      </c>
      <c r="K139" s="0" t="s">
        <v>33</v>
      </c>
      <c r="L139" s="0" t="s">
        <v>2729</v>
      </c>
    </row>
    <row r="140" customFormat="false" ht="17.15" hidden="false" customHeight="false" outlineLevel="0" collapsed="false">
      <c r="A140" s="0" t="s">
        <v>2793</v>
      </c>
      <c r="B140" s="0" t="s">
        <v>2794</v>
      </c>
      <c r="C140" s="0" t="s">
        <v>2795</v>
      </c>
      <c r="D140" s="0" t="s">
        <v>2266</v>
      </c>
      <c r="E140" s="0" t="s">
        <v>2177</v>
      </c>
      <c r="F140" s="0" t="s">
        <v>2398</v>
      </c>
      <c r="G140" s="0" t="s">
        <v>2796</v>
      </c>
      <c r="H140" s="5" t="s">
        <v>2213</v>
      </c>
      <c r="K140" s="0" t="s">
        <v>33</v>
      </c>
      <c r="L140" s="0" t="s">
        <v>2399</v>
      </c>
    </row>
    <row r="141" customFormat="false" ht="17.15" hidden="false" customHeight="false" outlineLevel="0" collapsed="false">
      <c r="A141" s="0" t="s">
        <v>2797</v>
      </c>
      <c r="B141" s="0" t="s">
        <v>2794</v>
      </c>
      <c r="C141" s="0" t="s">
        <v>2798</v>
      </c>
      <c r="D141" s="0" t="s">
        <v>2799</v>
      </c>
      <c r="E141" s="0" t="s">
        <v>2177</v>
      </c>
      <c r="F141" s="0" t="s">
        <v>2800</v>
      </c>
      <c r="G141" s="0" t="s">
        <v>2801</v>
      </c>
      <c r="H141" s="5" t="s">
        <v>2186</v>
      </c>
      <c r="K141" s="0" t="s">
        <v>33</v>
      </c>
      <c r="L141" s="0" t="s">
        <v>2802</v>
      </c>
    </row>
    <row r="142" customFormat="false" ht="17.15" hidden="false" customHeight="false" outlineLevel="0" collapsed="false">
      <c r="A142" s="0" t="s">
        <v>2803</v>
      </c>
      <c r="B142" s="0" t="s">
        <v>2804</v>
      </c>
      <c r="C142" s="0" t="s">
        <v>2805</v>
      </c>
      <c r="D142" s="0" t="s">
        <v>2806</v>
      </c>
      <c r="E142" s="0" t="s">
        <v>2177</v>
      </c>
      <c r="F142" s="0" t="s">
        <v>2800</v>
      </c>
      <c r="G142" s="0" t="s">
        <v>2807</v>
      </c>
      <c r="H142" s="5" t="s">
        <v>2186</v>
      </c>
      <c r="K142" s="0" t="s">
        <v>33</v>
      </c>
      <c r="L142" s="0" t="s">
        <v>2802</v>
      </c>
    </row>
    <row r="143" customFormat="false" ht="17.15" hidden="false" customHeight="false" outlineLevel="0" collapsed="false">
      <c r="A143" s="0" t="s">
        <v>2808</v>
      </c>
      <c r="B143" s="0" t="s">
        <v>2809</v>
      </c>
      <c r="C143" s="0" t="s">
        <v>2810</v>
      </c>
      <c r="D143" s="0" t="s">
        <v>2811</v>
      </c>
      <c r="E143" s="0" t="s">
        <v>2177</v>
      </c>
      <c r="F143" s="0" t="s">
        <v>2812</v>
      </c>
      <c r="G143" s="0" t="s">
        <v>2813</v>
      </c>
      <c r="H143" s="5" t="s">
        <v>2186</v>
      </c>
      <c r="K143" s="0" t="s">
        <v>33</v>
      </c>
      <c r="L143" s="0" t="s">
        <v>2814</v>
      </c>
    </row>
    <row r="144" customFormat="false" ht="17.15" hidden="false" customHeight="false" outlineLevel="0" collapsed="false">
      <c r="A144" s="0" t="s">
        <v>2815</v>
      </c>
      <c r="B144" s="0" t="s">
        <v>2816</v>
      </c>
      <c r="C144" s="0" t="s">
        <v>2817</v>
      </c>
      <c r="D144" s="0" t="s">
        <v>2696</v>
      </c>
      <c r="E144" s="0" t="s">
        <v>2177</v>
      </c>
      <c r="F144" s="0" t="s">
        <v>2818</v>
      </c>
      <c r="G144" s="0" t="s">
        <v>2819</v>
      </c>
      <c r="H144" s="5" t="s">
        <v>2213</v>
      </c>
      <c r="K144" s="0" t="s">
        <v>33</v>
      </c>
      <c r="L144" s="0" t="s">
        <v>2820</v>
      </c>
    </row>
    <row r="145" customFormat="false" ht="17.15" hidden="false" customHeight="false" outlineLevel="0" collapsed="false">
      <c r="A145" s="0" t="s">
        <v>2821</v>
      </c>
      <c r="B145" s="0" t="s">
        <v>2822</v>
      </c>
      <c r="C145" s="0" t="s">
        <v>2823</v>
      </c>
      <c r="D145" s="0" t="s">
        <v>2824</v>
      </c>
      <c r="E145" s="0" t="s">
        <v>2825</v>
      </c>
      <c r="F145" s="0" t="s">
        <v>2508</v>
      </c>
      <c r="G145" s="0" t="s">
        <v>2826</v>
      </c>
      <c r="H145" s="5" t="s">
        <v>2213</v>
      </c>
      <c r="J145" s="0" t="s">
        <v>606</v>
      </c>
      <c r="K145" s="5" t="s">
        <v>2321</v>
      </c>
      <c r="L145" s="0" t="s">
        <v>2827</v>
      </c>
    </row>
    <row r="146" customFormat="false" ht="17.15" hidden="false" customHeight="false" outlineLevel="0" collapsed="false">
      <c r="A146" s="0" t="s">
        <v>2828</v>
      </c>
      <c r="B146" s="0" t="s">
        <v>2829</v>
      </c>
      <c r="C146" s="0" t="s">
        <v>2830</v>
      </c>
      <c r="D146" s="0" t="s">
        <v>2831</v>
      </c>
      <c r="E146" s="0" t="s">
        <v>2177</v>
      </c>
      <c r="F146" s="0" t="s">
        <v>2832</v>
      </c>
      <c r="G146" s="0" t="s">
        <v>2833</v>
      </c>
      <c r="H146" s="5" t="s">
        <v>2213</v>
      </c>
      <c r="J146" s="0" t="s">
        <v>609</v>
      </c>
      <c r="K146" s="5" t="s">
        <v>2321</v>
      </c>
      <c r="L146" s="0" t="s">
        <v>2834</v>
      </c>
    </row>
    <row r="147" customFormat="false" ht="17.15" hidden="false" customHeight="false" outlineLevel="0" collapsed="false">
      <c r="A147" s="0" t="s">
        <v>2835</v>
      </c>
      <c r="B147" s="0" t="s">
        <v>1172</v>
      </c>
      <c r="C147" s="0" t="s">
        <v>2836</v>
      </c>
      <c r="D147" s="0" t="s">
        <v>2727</v>
      </c>
      <c r="E147" s="0" t="s">
        <v>2177</v>
      </c>
      <c r="F147" s="0" t="s">
        <v>2837</v>
      </c>
      <c r="G147" s="0" t="s">
        <v>2838</v>
      </c>
      <c r="H147" s="5" t="s">
        <v>2213</v>
      </c>
      <c r="K147" s="0" t="s">
        <v>33</v>
      </c>
      <c r="L147" s="0" t="s">
        <v>2839</v>
      </c>
    </row>
    <row r="148" customFormat="false" ht="17.15" hidden="false" customHeight="false" outlineLevel="0" collapsed="false">
      <c r="A148" s="0" t="s">
        <v>2840</v>
      </c>
      <c r="B148" s="0" t="s">
        <v>2841</v>
      </c>
      <c r="C148" s="0" t="s">
        <v>2842</v>
      </c>
      <c r="D148" s="0" t="s">
        <v>2843</v>
      </c>
      <c r="E148" s="0" t="s">
        <v>2177</v>
      </c>
      <c r="F148" s="0" t="s">
        <v>2307</v>
      </c>
      <c r="G148" s="0" t="s">
        <v>2844</v>
      </c>
      <c r="H148" s="5" t="s">
        <v>2186</v>
      </c>
      <c r="K148" s="0" t="s">
        <v>33</v>
      </c>
      <c r="L148" s="0" t="s">
        <v>2309</v>
      </c>
    </row>
    <row r="149" customFormat="false" ht="17.15" hidden="false" customHeight="false" outlineLevel="0" collapsed="false">
      <c r="A149" s="12" t="s">
        <v>2845</v>
      </c>
      <c r="B149" s="12" t="s">
        <v>2846</v>
      </c>
      <c r="C149" s="12" t="s">
        <v>2847</v>
      </c>
      <c r="D149" s="12" t="s">
        <v>2848</v>
      </c>
      <c r="E149" s="12" t="s">
        <v>2177</v>
      </c>
      <c r="F149" s="12" t="s">
        <v>2313</v>
      </c>
      <c r="G149" s="12" t="s">
        <v>2314</v>
      </c>
      <c r="H149" s="13" t="s">
        <v>2180</v>
      </c>
      <c r="I149" s="13" t="s">
        <v>2849</v>
      </c>
      <c r="J149" s="12"/>
      <c r="K149" s="12" t="s">
        <v>33</v>
      </c>
      <c r="L149" s="12" t="s">
        <v>2316</v>
      </c>
    </row>
    <row r="150" customFormat="false" ht="17.15" hidden="false" customHeight="false" outlineLevel="0" collapsed="false">
      <c r="A150" s="0" t="s">
        <v>2850</v>
      </c>
      <c r="B150" s="0" t="s">
        <v>2851</v>
      </c>
      <c r="C150" s="0" t="s">
        <v>2852</v>
      </c>
      <c r="D150" s="0" t="s">
        <v>2853</v>
      </c>
      <c r="E150" s="0" t="s">
        <v>109</v>
      </c>
      <c r="F150" s="0" t="s">
        <v>2854</v>
      </c>
      <c r="G150" s="0" t="s">
        <v>2751</v>
      </c>
      <c r="H150" s="5" t="s">
        <v>2213</v>
      </c>
      <c r="K150" s="0" t="s">
        <v>33</v>
      </c>
      <c r="L150" s="0" t="s">
        <v>2855</v>
      </c>
    </row>
    <row r="151" customFormat="false" ht="17.15" hidden="false" customHeight="false" outlineLevel="0" collapsed="false">
      <c r="A151" s="0" t="s">
        <v>2856</v>
      </c>
      <c r="B151" s="0" t="s">
        <v>2851</v>
      </c>
      <c r="C151" s="0" t="s">
        <v>2857</v>
      </c>
      <c r="D151" s="0" t="s">
        <v>2806</v>
      </c>
      <c r="E151" s="0" t="s">
        <v>2177</v>
      </c>
      <c r="F151" s="0" t="s">
        <v>2388</v>
      </c>
      <c r="G151" s="0" t="s">
        <v>2858</v>
      </c>
      <c r="H151" s="5" t="s">
        <v>2213</v>
      </c>
      <c r="K151" s="0" t="s">
        <v>33</v>
      </c>
      <c r="L151" s="0" t="s">
        <v>2859</v>
      </c>
    </row>
    <row r="152" customFormat="false" ht="17.15" hidden="false" customHeight="false" outlineLevel="0" collapsed="false">
      <c r="A152" s="0" t="s">
        <v>2860</v>
      </c>
      <c r="B152" s="0" t="s">
        <v>2861</v>
      </c>
      <c r="C152" s="0" t="s">
        <v>2862</v>
      </c>
      <c r="D152" s="0" t="s">
        <v>2863</v>
      </c>
      <c r="E152" s="0" t="s">
        <v>2177</v>
      </c>
      <c r="F152" s="0" t="s">
        <v>2261</v>
      </c>
      <c r="G152" s="0" t="s">
        <v>2864</v>
      </c>
      <c r="H152" s="5" t="s">
        <v>2186</v>
      </c>
      <c r="J152" s="0" t="s">
        <v>198</v>
      </c>
      <c r="K152" s="5" t="s">
        <v>2171</v>
      </c>
      <c r="L152" s="0" t="s">
        <v>2865</v>
      </c>
    </row>
    <row r="153" customFormat="false" ht="17.15" hidden="false" customHeight="false" outlineLevel="0" collapsed="false">
      <c r="A153" s="12" t="s">
        <v>2866</v>
      </c>
      <c r="B153" s="12" t="s">
        <v>2867</v>
      </c>
      <c r="C153" s="12" t="s">
        <v>2868</v>
      </c>
      <c r="D153" s="12" t="s">
        <v>2869</v>
      </c>
      <c r="E153" s="12" t="s">
        <v>2177</v>
      </c>
      <c r="F153" s="12" t="s">
        <v>2870</v>
      </c>
      <c r="G153" s="12" t="s">
        <v>2871</v>
      </c>
      <c r="H153" s="13" t="s">
        <v>2180</v>
      </c>
      <c r="I153" s="12"/>
      <c r="J153" s="12" t="s">
        <v>467</v>
      </c>
      <c r="K153" s="13" t="s">
        <v>2233</v>
      </c>
      <c r="L153" s="12" t="s">
        <v>2872</v>
      </c>
    </row>
    <row r="154" customFormat="false" ht="17.15" hidden="false" customHeight="false" outlineLevel="0" collapsed="false">
      <c r="A154" s="0" t="s">
        <v>2873</v>
      </c>
      <c r="B154" s="0" t="s">
        <v>2874</v>
      </c>
      <c r="C154" s="0" t="s">
        <v>2875</v>
      </c>
      <c r="D154" s="0" t="s">
        <v>2876</v>
      </c>
      <c r="E154" s="0" t="s">
        <v>2177</v>
      </c>
      <c r="F154" s="0" t="s">
        <v>2877</v>
      </c>
      <c r="G154" s="0" t="s">
        <v>139</v>
      </c>
      <c r="H154" s="5" t="s">
        <v>2213</v>
      </c>
      <c r="J154" s="0" t="s">
        <v>618</v>
      </c>
      <c r="K154" s="5" t="s">
        <v>2321</v>
      </c>
      <c r="L154" s="0" t="s">
        <v>2878</v>
      </c>
    </row>
    <row r="155" customFormat="false" ht="17.15" hidden="false" customHeight="false" outlineLevel="0" collapsed="false">
      <c r="A155" s="0" t="s">
        <v>2879</v>
      </c>
      <c r="B155" s="0" t="s">
        <v>2880</v>
      </c>
      <c r="C155" s="0" t="s">
        <v>2881</v>
      </c>
      <c r="D155" s="0" t="s">
        <v>2882</v>
      </c>
      <c r="E155" s="0" t="s">
        <v>109</v>
      </c>
      <c r="F155" s="0" t="s">
        <v>2883</v>
      </c>
      <c r="G155" s="0" t="s">
        <v>2884</v>
      </c>
      <c r="H155" s="5" t="s">
        <v>2247</v>
      </c>
      <c r="I155" s="5" t="s">
        <v>2885</v>
      </c>
      <c r="J155" s="0" t="s">
        <v>2669</v>
      </c>
      <c r="K155" s="5" t="s">
        <v>2171</v>
      </c>
      <c r="L155" s="0" t="s">
        <v>2670</v>
      </c>
    </row>
    <row r="156" customFormat="false" ht="17.15" hidden="false" customHeight="false" outlineLevel="0" collapsed="false">
      <c r="A156" s="0" t="s">
        <v>2886</v>
      </c>
      <c r="B156" s="0" t="s">
        <v>2887</v>
      </c>
      <c r="C156" s="0" t="s">
        <v>2888</v>
      </c>
      <c r="D156" s="0" t="s">
        <v>2889</v>
      </c>
      <c r="E156" s="0" t="s">
        <v>2177</v>
      </c>
      <c r="F156" s="0" t="s">
        <v>2547</v>
      </c>
      <c r="G156" s="0" t="s">
        <v>2838</v>
      </c>
      <c r="H156" s="5" t="s">
        <v>2213</v>
      </c>
      <c r="K156" s="0" t="s">
        <v>33</v>
      </c>
      <c r="L156" s="0" t="s">
        <v>2890</v>
      </c>
    </row>
    <row r="157" customFormat="false" ht="17.15" hidden="false" customHeight="false" outlineLevel="0" collapsed="false">
      <c r="A157" s="0" t="s">
        <v>2891</v>
      </c>
      <c r="B157" s="0" t="s">
        <v>2892</v>
      </c>
      <c r="C157" s="0" t="s">
        <v>2893</v>
      </c>
      <c r="D157" s="0" t="s">
        <v>2894</v>
      </c>
      <c r="E157" s="0" t="s">
        <v>2177</v>
      </c>
      <c r="F157" s="0" t="s">
        <v>2624</v>
      </c>
      <c r="G157" s="0" t="s">
        <v>2895</v>
      </c>
      <c r="H157" s="5" t="s">
        <v>2213</v>
      </c>
      <c r="K157" s="0" t="s">
        <v>33</v>
      </c>
      <c r="L157" s="0" t="s">
        <v>2896</v>
      </c>
    </row>
    <row r="158" customFormat="false" ht="17.15" hidden="false" customHeight="false" outlineLevel="0" collapsed="false">
      <c r="A158" s="0" t="s">
        <v>2897</v>
      </c>
      <c r="B158" s="0" t="s">
        <v>2898</v>
      </c>
      <c r="C158" s="0" t="s">
        <v>2899</v>
      </c>
      <c r="D158" s="0" t="s">
        <v>2900</v>
      </c>
      <c r="E158" s="0" t="s">
        <v>2177</v>
      </c>
      <c r="F158" s="0" t="s">
        <v>2651</v>
      </c>
      <c r="G158" s="0" t="s">
        <v>2901</v>
      </c>
      <c r="H158" s="5" t="s">
        <v>2213</v>
      </c>
      <c r="K158" s="0" t="s">
        <v>33</v>
      </c>
      <c r="L158" s="0" t="s">
        <v>2902</v>
      </c>
    </row>
    <row r="159" customFormat="false" ht="17.15" hidden="false" customHeight="false" outlineLevel="0" collapsed="false">
      <c r="A159" s="0" t="s">
        <v>2903</v>
      </c>
      <c r="B159" s="0" t="s">
        <v>2904</v>
      </c>
      <c r="C159" s="0" t="s">
        <v>2905</v>
      </c>
      <c r="D159" s="0" t="s">
        <v>2906</v>
      </c>
      <c r="E159" s="0" t="s">
        <v>2177</v>
      </c>
      <c r="F159" s="0" t="s">
        <v>2883</v>
      </c>
      <c r="G159" s="0" t="s">
        <v>139</v>
      </c>
      <c r="H159" s="5" t="s">
        <v>2213</v>
      </c>
      <c r="K159" s="0" t="s">
        <v>33</v>
      </c>
      <c r="L159" s="0" t="s">
        <v>2907</v>
      </c>
    </row>
    <row r="160" customFormat="false" ht="17.15" hidden="false" customHeight="false" outlineLevel="0" collapsed="false">
      <c r="A160" s="0" t="s">
        <v>2908</v>
      </c>
      <c r="B160" s="0" t="s">
        <v>2909</v>
      </c>
      <c r="C160" s="0" t="s">
        <v>2910</v>
      </c>
      <c r="D160" s="0" t="s">
        <v>2319</v>
      </c>
      <c r="E160" s="0" t="s">
        <v>2177</v>
      </c>
      <c r="F160" s="0" t="s">
        <v>2256</v>
      </c>
      <c r="G160" s="0" t="s">
        <v>2911</v>
      </c>
      <c r="H160" s="5" t="s">
        <v>2213</v>
      </c>
      <c r="J160" s="0" t="s">
        <v>615</v>
      </c>
      <c r="K160" s="5" t="s">
        <v>2321</v>
      </c>
      <c r="L160" s="0" t="s">
        <v>2912</v>
      </c>
    </row>
    <row r="161" customFormat="false" ht="17.15" hidden="false" customHeight="false" outlineLevel="0" collapsed="false">
      <c r="A161" s="0" t="s">
        <v>2913</v>
      </c>
      <c r="B161" s="0" t="s">
        <v>2914</v>
      </c>
      <c r="C161" s="0" t="s">
        <v>2915</v>
      </c>
      <c r="D161" s="0" t="s">
        <v>2799</v>
      </c>
      <c r="E161" s="0" t="s">
        <v>2177</v>
      </c>
      <c r="F161" s="0" t="s">
        <v>2337</v>
      </c>
      <c r="G161" s="0" t="s">
        <v>2916</v>
      </c>
      <c r="H161" s="5" t="s">
        <v>2213</v>
      </c>
      <c r="K161" s="0" t="s">
        <v>33</v>
      </c>
      <c r="L161" s="0" t="s">
        <v>2917</v>
      </c>
    </row>
    <row r="162" customFormat="false" ht="17.15" hidden="false" customHeight="false" outlineLevel="0" collapsed="false">
      <c r="A162" s="0" t="s">
        <v>2918</v>
      </c>
      <c r="B162" s="0" t="s">
        <v>2919</v>
      </c>
      <c r="C162" s="0" t="s">
        <v>2920</v>
      </c>
      <c r="D162" s="0" t="s">
        <v>2266</v>
      </c>
      <c r="E162" s="0" t="s">
        <v>2177</v>
      </c>
      <c r="F162" s="0" t="s">
        <v>2921</v>
      </c>
      <c r="G162" s="0" t="s">
        <v>2922</v>
      </c>
      <c r="H162" s="5" t="s">
        <v>2213</v>
      </c>
      <c r="K162" s="0" t="s">
        <v>33</v>
      </c>
      <c r="L162" s="0" t="s">
        <v>2923</v>
      </c>
    </row>
    <row r="163" customFormat="false" ht="17.15" hidden="false" customHeight="false" outlineLevel="0" collapsed="false">
      <c r="A163" s="0" t="s">
        <v>2924</v>
      </c>
      <c r="B163" s="0" t="s">
        <v>1173</v>
      </c>
      <c r="C163" s="0" t="s">
        <v>2925</v>
      </c>
      <c r="D163" s="0" t="s">
        <v>2926</v>
      </c>
      <c r="E163" s="0" t="s">
        <v>2177</v>
      </c>
      <c r="F163" s="0" t="s">
        <v>2927</v>
      </c>
      <c r="G163" s="0" t="s">
        <v>2928</v>
      </c>
      <c r="H163" s="5" t="s">
        <v>2186</v>
      </c>
      <c r="K163" s="0" t="s">
        <v>33</v>
      </c>
      <c r="L163" s="0" t="s">
        <v>2929</v>
      </c>
    </row>
    <row r="164" customFormat="false" ht="17.15" hidden="false" customHeight="false" outlineLevel="0" collapsed="false">
      <c r="A164" s="0" t="s">
        <v>2930</v>
      </c>
      <c r="B164" s="0" t="s">
        <v>1173</v>
      </c>
      <c r="C164" s="0" t="s">
        <v>2931</v>
      </c>
      <c r="D164" s="0" t="s">
        <v>2806</v>
      </c>
      <c r="E164" s="0" t="s">
        <v>2177</v>
      </c>
      <c r="F164" s="0" t="s">
        <v>2932</v>
      </c>
      <c r="G164" s="0" t="s">
        <v>2933</v>
      </c>
      <c r="H164" s="5" t="s">
        <v>2186</v>
      </c>
      <c r="J164" s="0" t="s">
        <v>406</v>
      </c>
      <c r="K164" s="5" t="s">
        <v>2171</v>
      </c>
      <c r="L164" s="0" t="s">
        <v>2934</v>
      </c>
    </row>
    <row r="165" customFormat="false" ht="17.15" hidden="false" customHeight="false" outlineLevel="0" collapsed="false">
      <c r="A165" s="0" t="s">
        <v>2935</v>
      </c>
      <c r="B165" s="0" t="s">
        <v>2936</v>
      </c>
      <c r="C165" s="0" t="s">
        <v>2937</v>
      </c>
      <c r="D165" s="0" t="s">
        <v>2938</v>
      </c>
      <c r="E165" s="0" t="s">
        <v>2939</v>
      </c>
      <c r="F165" s="0" t="s">
        <v>117</v>
      </c>
      <c r="G165" s="0" t="s">
        <v>2940</v>
      </c>
      <c r="H165" s="5" t="s">
        <v>2186</v>
      </c>
      <c r="J165" s="0" t="s">
        <v>2941</v>
      </c>
      <c r="K165" s="5" t="s">
        <v>2171</v>
      </c>
      <c r="L165" s="0" t="s">
        <v>2942</v>
      </c>
    </row>
    <row r="166" customFormat="false" ht="17.15" hidden="false" customHeight="false" outlineLevel="0" collapsed="false">
      <c r="A166" s="0" t="s">
        <v>2943</v>
      </c>
      <c r="B166" s="0" t="s">
        <v>2936</v>
      </c>
      <c r="C166" s="0" t="s">
        <v>2944</v>
      </c>
      <c r="D166" s="0" t="s">
        <v>2945</v>
      </c>
      <c r="E166" s="0" t="s">
        <v>109</v>
      </c>
      <c r="F166" s="0" t="s">
        <v>2946</v>
      </c>
      <c r="G166" s="0" t="s">
        <v>2751</v>
      </c>
      <c r="H166" s="5" t="s">
        <v>2247</v>
      </c>
      <c r="I166" s="0" t="s">
        <v>2947</v>
      </c>
      <c r="J166" s="0" t="s">
        <v>2948</v>
      </c>
      <c r="K166" s="5" t="s">
        <v>2171</v>
      </c>
      <c r="L166" s="0" t="s">
        <v>2949</v>
      </c>
    </row>
    <row r="167" customFormat="false" ht="17.15" hidden="false" customHeight="false" outlineLevel="0" collapsed="false">
      <c r="A167" s="0" t="s">
        <v>2950</v>
      </c>
      <c r="B167" s="0" t="s">
        <v>2936</v>
      </c>
      <c r="C167" s="0" t="s">
        <v>2951</v>
      </c>
      <c r="D167" s="0" t="s">
        <v>2583</v>
      </c>
      <c r="E167" s="0" t="s">
        <v>2177</v>
      </c>
      <c r="F167" s="0" t="s">
        <v>2320</v>
      </c>
      <c r="G167" s="0" t="s">
        <v>2952</v>
      </c>
      <c r="H167" s="5" t="s">
        <v>2186</v>
      </c>
      <c r="K167" s="0" t="s">
        <v>33</v>
      </c>
      <c r="L167" s="0" t="s">
        <v>2872</v>
      </c>
    </row>
    <row r="168" customFormat="false" ht="17.15" hidden="false" customHeight="false" outlineLevel="0" collapsed="false">
      <c r="A168" s="0" t="s">
        <v>2953</v>
      </c>
      <c r="B168" s="0" t="s">
        <v>2954</v>
      </c>
      <c r="C168" s="0" t="s">
        <v>2955</v>
      </c>
      <c r="D168" s="0" t="s">
        <v>2266</v>
      </c>
      <c r="E168" s="0" t="s">
        <v>2177</v>
      </c>
      <c r="F168" s="0" t="s">
        <v>2956</v>
      </c>
      <c r="G168" s="0" t="s">
        <v>2957</v>
      </c>
      <c r="H168" s="5" t="s">
        <v>2186</v>
      </c>
      <c r="J168" s="0" t="s">
        <v>467</v>
      </c>
      <c r="K168" s="5" t="s">
        <v>2171</v>
      </c>
      <c r="L168" s="0" t="s">
        <v>2958</v>
      </c>
    </row>
    <row r="169" customFormat="false" ht="17.15" hidden="false" customHeight="false" outlineLevel="0" collapsed="false">
      <c r="A169" s="0" t="s">
        <v>2959</v>
      </c>
      <c r="B169" s="5" t="s">
        <v>2960</v>
      </c>
      <c r="C169" s="5" t="s">
        <v>2961</v>
      </c>
      <c r="D169" s="0" t="s">
        <v>2962</v>
      </c>
      <c r="E169" s="0" t="s">
        <v>2177</v>
      </c>
      <c r="F169" s="0" t="s">
        <v>117</v>
      </c>
      <c r="G169" s="0" t="s">
        <v>2963</v>
      </c>
      <c r="H169" s="5" t="s">
        <v>2213</v>
      </c>
      <c r="K169" s="0" t="s">
        <v>33</v>
      </c>
      <c r="L169" s="0" t="s">
        <v>2964</v>
      </c>
    </row>
    <row r="170" customFormat="false" ht="17.15" hidden="false" customHeight="false" outlineLevel="0" collapsed="false">
      <c r="A170" s="0" t="s">
        <v>2965</v>
      </c>
      <c r="B170" s="5" t="s">
        <v>2960</v>
      </c>
      <c r="C170" s="5" t="s">
        <v>2966</v>
      </c>
      <c r="D170" s="0" t="s">
        <v>2967</v>
      </c>
      <c r="E170" s="0" t="s">
        <v>2177</v>
      </c>
      <c r="F170" s="0" t="s">
        <v>2289</v>
      </c>
      <c r="G170" s="0" t="s">
        <v>2968</v>
      </c>
      <c r="H170" s="5" t="s">
        <v>2186</v>
      </c>
      <c r="J170" s="0" t="s">
        <v>2969</v>
      </c>
      <c r="K170" s="5" t="s">
        <v>2171</v>
      </c>
      <c r="L170" s="0" t="s">
        <v>2970</v>
      </c>
    </row>
    <row r="171" customFormat="false" ht="17.15" hidden="false" customHeight="false" outlineLevel="0" collapsed="false">
      <c r="A171" s="0" t="s">
        <v>2971</v>
      </c>
      <c r="B171" s="5" t="s">
        <v>2972</v>
      </c>
      <c r="C171" s="5" t="s">
        <v>2973</v>
      </c>
      <c r="D171" s="0" t="s">
        <v>2974</v>
      </c>
      <c r="E171" s="0" t="s">
        <v>2177</v>
      </c>
      <c r="F171" s="0" t="s">
        <v>2975</v>
      </c>
      <c r="G171" s="0" t="s">
        <v>2976</v>
      </c>
      <c r="H171" s="5" t="s">
        <v>2213</v>
      </c>
      <c r="K171" s="0" t="s">
        <v>33</v>
      </c>
      <c r="L171" s="0" t="s">
        <v>2977</v>
      </c>
    </row>
    <row r="172" customFormat="false" ht="17.15" hidden="false" customHeight="false" outlineLevel="0" collapsed="false">
      <c r="A172" s="0" t="s">
        <v>2978</v>
      </c>
      <c r="B172" s="5" t="s">
        <v>2979</v>
      </c>
      <c r="C172" s="5" t="s">
        <v>2980</v>
      </c>
      <c r="D172" s="0" t="s">
        <v>2981</v>
      </c>
      <c r="E172" s="0" t="s">
        <v>2177</v>
      </c>
      <c r="F172" s="0" t="s">
        <v>117</v>
      </c>
      <c r="G172" s="0" t="s">
        <v>2982</v>
      </c>
      <c r="H172" s="5" t="s">
        <v>2213</v>
      </c>
      <c r="K172" s="0" t="s">
        <v>33</v>
      </c>
      <c r="L172" s="0" t="s">
        <v>2983</v>
      </c>
    </row>
    <row r="173" customFormat="false" ht="17.15" hidden="false" customHeight="false" outlineLevel="0" collapsed="false">
      <c r="A173" s="0" t="s">
        <v>2984</v>
      </c>
      <c r="B173" s="5" t="s">
        <v>2985</v>
      </c>
      <c r="C173" s="5" t="s">
        <v>2986</v>
      </c>
      <c r="D173" s="0" t="s">
        <v>2987</v>
      </c>
      <c r="E173" s="0" t="s">
        <v>2177</v>
      </c>
      <c r="F173" s="0" t="s">
        <v>117</v>
      </c>
      <c r="G173" s="0" t="s">
        <v>2988</v>
      </c>
      <c r="H173" s="5" t="s">
        <v>2213</v>
      </c>
      <c r="K173" s="0" t="s">
        <v>33</v>
      </c>
      <c r="L173" s="0" t="s">
        <v>2989</v>
      </c>
    </row>
    <row r="174" customFormat="false" ht="17.15" hidden="false" customHeight="false" outlineLevel="0" collapsed="false">
      <c r="A174" s="0" t="s">
        <v>2990</v>
      </c>
      <c r="B174" s="5" t="s">
        <v>2991</v>
      </c>
      <c r="C174" s="5" t="s">
        <v>2992</v>
      </c>
      <c r="D174" s="0" t="s">
        <v>2993</v>
      </c>
      <c r="E174" s="0" t="s">
        <v>2177</v>
      </c>
      <c r="F174" s="0" t="s">
        <v>2256</v>
      </c>
      <c r="G174" s="0" t="s">
        <v>2994</v>
      </c>
      <c r="H174" s="5" t="s">
        <v>2213</v>
      </c>
      <c r="K174" s="0" t="s">
        <v>33</v>
      </c>
      <c r="L174" s="0" t="s">
        <v>2995</v>
      </c>
    </row>
    <row r="175" customFormat="false" ht="17.15" hidden="false" customHeight="false" outlineLevel="0" collapsed="false">
      <c r="A175" s="0" t="s">
        <v>2996</v>
      </c>
      <c r="B175" s="5" t="s">
        <v>2997</v>
      </c>
      <c r="C175" s="5" t="s">
        <v>2998</v>
      </c>
      <c r="D175" s="0" t="s">
        <v>2999</v>
      </c>
      <c r="E175" s="0" t="s">
        <v>3000</v>
      </c>
      <c r="F175" s="0" t="s">
        <v>3001</v>
      </c>
      <c r="G175" s="0" t="s">
        <v>3002</v>
      </c>
      <c r="H175" s="5" t="s">
        <v>2213</v>
      </c>
      <c r="K175" s="0" t="s">
        <v>33</v>
      </c>
      <c r="L175" s="0" t="s">
        <v>3003</v>
      </c>
    </row>
    <row r="176" customFormat="false" ht="17.15" hidden="false" customHeight="false" outlineLevel="0" collapsed="false">
      <c r="A176" s="0" t="s">
        <v>3004</v>
      </c>
      <c r="B176" s="5" t="s">
        <v>3005</v>
      </c>
      <c r="C176" s="5" t="s">
        <v>3006</v>
      </c>
      <c r="D176" s="0" t="s">
        <v>3007</v>
      </c>
      <c r="E176" s="0" t="s">
        <v>3000</v>
      </c>
      <c r="F176" s="0" t="s">
        <v>3008</v>
      </c>
      <c r="G176" s="0" t="s">
        <v>2838</v>
      </c>
      <c r="H176" s="5" t="s">
        <v>2213</v>
      </c>
      <c r="J176" s="0" t="s">
        <v>177</v>
      </c>
      <c r="K176" s="5" t="s">
        <v>2233</v>
      </c>
      <c r="L176" s="0" t="s">
        <v>3009</v>
      </c>
    </row>
    <row r="177" customFormat="false" ht="17.15" hidden="false" customHeight="false" outlineLevel="0" collapsed="false">
      <c r="A177" s="0" t="s">
        <v>3010</v>
      </c>
      <c r="B177" s="0" t="s">
        <v>3011</v>
      </c>
      <c r="C177" s="0" t="s">
        <v>3012</v>
      </c>
      <c r="D177" s="0" t="s">
        <v>2691</v>
      </c>
      <c r="E177" s="0" t="s">
        <v>2177</v>
      </c>
      <c r="F177" s="0" t="s">
        <v>3013</v>
      </c>
      <c r="G177" s="0" t="s">
        <v>3014</v>
      </c>
      <c r="H177" s="5" t="s">
        <v>2186</v>
      </c>
      <c r="J177" s="0" t="s">
        <v>3015</v>
      </c>
      <c r="K177" s="5" t="s">
        <v>2171</v>
      </c>
      <c r="L177" s="0" t="s">
        <v>3016</v>
      </c>
    </row>
    <row r="178" customFormat="false" ht="17.15" hidden="false" customHeight="false" outlineLevel="0" collapsed="false">
      <c r="A178" s="0" t="s">
        <v>3017</v>
      </c>
      <c r="B178" s="0" t="s">
        <v>3018</v>
      </c>
      <c r="C178" s="0" t="s">
        <v>3019</v>
      </c>
      <c r="D178" s="0" t="s">
        <v>2806</v>
      </c>
      <c r="E178" s="0" t="s">
        <v>2177</v>
      </c>
      <c r="F178" s="0" t="s">
        <v>3020</v>
      </c>
      <c r="G178" s="0" t="s">
        <v>139</v>
      </c>
      <c r="H178" s="5" t="s">
        <v>2213</v>
      </c>
      <c r="K178" s="0" t="s">
        <v>33</v>
      </c>
      <c r="L178" s="0" t="s">
        <v>3021</v>
      </c>
    </row>
    <row r="179" customFormat="false" ht="17.15" hidden="false" customHeight="false" outlineLevel="0" collapsed="false">
      <c r="A179" s="0" t="s">
        <v>3022</v>
      </c>
      <c r="B179" s="5" t="s">
        <v>3023</v>
      </c>
      <c r="C179" s="5" t="s">
        <v>3024</v>
      </c>
      <c r="D179" s="0" t="s">
        <v>3025</v>
      </c>
      <c r="E179" s="0" t="s">
        <v>2177</v>
      </c>
      <c r="F179" s="0" t="s">
        <v>2352</v>
      </c>
      <c r="G179" s="0" t="s">
        <v>3026</v>
      </c>
      <c r="H179" s="5" t="s">
        <v>2213</v>
      </c>
      <c r="K179" s="0" t="s">
        <v>33</v>
      </c>
      <c r="L179" s="0" t="s">
        <v>3027</v>
      </c>
    </row>
    <row r="180" customFormat="false" ht="17.15" hidden="false" customHeight="false" outlineLevel="0" collapsed="false">
      <c r="A180" s="0" t="s">
        <v>3028</v>
      </c>
      <c r="B180" s="0" t="s">
        <v>3029</v>
      </c>
      <c r="C180" s="0" t="s">
        <v>3030</v>
      </c>
      <c r="D180" s="0" t="s">
        <v>2938</v>
      </c>
      <c r="E180" s="0" t="s">
        <v>2177</v>
      </c>
      <c r="F180" s="0" t="s">
        <v>2256</v>
      </c>
      <c r="G180" s="0" t="s">
        <v>139</v>
      </c>
      <c r="H180" s="5" t="s">
        <v>2213</v>
      </c>
      <c r="J180" s="0" t="s">
        <v>612</v>
      </c>
      <c r="K180" s="5" t="s">
        <v>2321</v>
      </c>
      <c r="L180" s="0" t="s">
        <v>3031</v>
      </c>
    </row>
    <row r="181" customFormat="false" ht="17.15" hidden="false" customHeight="false" outlineLevel="0" collapsed="false">
      <c r="A181" s="0" t="s">
        <v>3032</v>
      </c>
      <c r="B181" s="0" t="s">
        <v>3033</v>
      </c>
      <c r="C181" s="0" t="s">
        <v>3034</v>
      </c>
      <c r="D181" s="0" t="s">
        <v>2863</v>
      </c>
      <c r="E181" s="0" t="s">
        <v>2177</v>
      </c>
      <c r="F181" s="0" t="s">
        <v>2738</v>
      </c>
      <c r="G181" s="0" t="s">
        <v>139</v>
      </c>
      <c r="H181" s="5" t="s">
        <v>2213</v>
      </c>
      <c r="K181" s="0" t="s">
        <v>33</v>
      </c>
      <c r="L181" s="0" t="s">
        <v>3035</v>
      </c>
    </row>
    <row r="182" customFormat="false" ht="17.15" hidden="false" customHeight="false" outlineLevel="0" collapsed="false">
      <c r="A182" s="0" t="s">
        <v>3036</v>
      </c>
      <c r="B182" s="5" t="s">
        <v>3037</v>
      </c>
      <c r="C182" s="5" t="s">
        <v>3038</v>
      </c>
      <c r="D182" s="0" t="s">
        <v>3039</v>
      </c>
      <c r="E182" s="0" t="s">
        <v>3040</v>
      </c>
      <c r="F182" s="0" t="s">
        <v>2289</v>
      </c>
      <c r="G182" s="0" t="s">
        <v>3041</v>
      </c>
      <c r="H182" s="5" t="s">
        <v>2186</v>
      </c>
      <c r="J182" s="0" t="s">
        <v>410</v>
      </c>
      <c r="K182" s="5" t="s">
        <v>2171</v>
      </c>
      <c r="L182" s="0" t="s">
        <v>3042</v>
      </c>
    </row>
    <row r="183" customFormat="false" ht="17.15" hidden="false" customHeight="false" outlineLevel="0" collapsed="false">
      <c r="A183" s="0" t="s">
        <v>3043</v>
      </c>
      <c r="B183" s="5" t="s">
        <v>3037</v>
      </c>
      <c r="C183" s="5" t="s">
        <v>3044</v>
      </c>
      <c r="D183" s="0" t="s">
        <v>3045</v>
      </c>
      <c r="E183" s="0" t="s">
        <v>3000</v>
      </c>
      <c r="F183" s="0" t="s">
        <v>2289</v>
      </c>
      <c r="G183" s="0" t="s">
        <v>2751</v>
      </c>
      <c r="H183" s="5" t="s">
        <v>2186</v>
      </c>
      <c r="K183" s="0" t="s">
        <v>33</v>
      </c>
      <c r="L183" s="0" t="s">
        <v>2705</v>
      </c>
    </row>
    <row r="184" customFormat="false" ht="17.15" hidden="false" customHeight="false" outlineLevel="0" collapsed="false">
      <c r="A184" s="0" t="s">
        <v>3046</v>
      </c>
      <c r="B184" s="5" t="s">
        <v>3047</v>
      </c>
      <c r="C184" s="5" t="s">
        <v>3048</v>
      </c>
      <c r="D184" s="0" t="s">
        <v>3049</v>
      </c>
      <c r="E184" s="0" t="s">
        <v>3050</v>
      </c>
      <c r="F184" s="0" t="s">
        <v>21</v>
      </c>
      <c r="G184" s="0" t="s">
        <v>3051</v>
      </c>
      <c r="H184" s="5" t="s">
        <v>2186</v>
      </c>
      <c r="K184" s="0" t="s">
        <v>33</v>
      </c>
      <c r="L184" s="0" t="s">
        <v>3052</v>
      </c>
    </row>
    <row r="185" customFormat="false" ht="17.15" hidden="false" customHeight="false" outlineLevel="0" collapsed="false">
      <c r="A185" s="0" t="s">
        <v>3053</v>
      </c>
      <c r="B185" s="5" t="s">
        <v>3054</v>
      </c>
      <c r="C185" s="5" t="s">
        <v>3055</v>
      </c>
      <c r="D185" s="0" t="s">
        <v>3056</v>
      </c>
      <c r="E185" s="0" t="s">
        <v>3050</v>
      </c>
      <c r="F185" s="0" t="s">
        <v>19</v>
      </c>
      <c r="G185" s="0" t="s">
        <v>3057</v>
      </c>
      <c r="H185" s="5" t="s">
        <v>2213</v>
      </c>
      <c r="K185" s="0" t="s">
        <v>33</v>
      </c>
      <c r="L185" s="0" t="s">
        <v>3058</v>
      </c>
    </row>
    <row r="186" customFormat="false" ht="17.15" hidden="false" customHeight="false" outlineLevel="0" collapsed="false">
      <c r="A186" s="0" t="s">
        <v>3059</v>
      </c>
      <c r="B186" s="5" t="s">
        <v>3060</v>
      </c>
      <c r="C186" s="5" t="s">
        <v>3061</v>
      </c>
      <c r="D186" s="5" t="s">
        <v>3062</v>
      </c>
      <c r="E186" s="0" t="s">
        <v>2177</v>
      </c>
      <c r="F186" s="0" t="s">
        <v>3063</v>
      </c>
      <c r="G186" s="0" t="s">
        <v>3064</v>
      </c>
      <c r="H186" s="5" t="s">
        <v>2186</v>
      </c>
      <c r="J186" s="0" t="s">
        <v>413</v>
      </c>
      <c r="K186" s="5" t="s">
        <v>2171</v>
      </c>
      <c r="L186" s="0" t="s">
        <v>3065</v>
      </c>
    </row>
    <row r="187" customFormat="false" ht="17.15" hidden="false" customHeight="false" outlineLevel="0" collapsed="false">
      <c r="A187" s="0" t="s">
        <v>3066</v>
      </c>
      <c r="B187" s="5" t="s">
        <v>3067</v>
      </c>
      <c r="C187" s="5" t="s">
        <v>3068</v>
      </c>
      <c r="D187" s="0" t="s">
        <v>3069</v>
      </c>
      <c r="E187" s="0" t="s">
        <v>3070</v>
      </c>
      <c r="F187" s="0" t="s">
        <v>2337</v>
      </c>
      <c r="G187" s="0" t="s">
        <v>3071</v>
      </c>
      <c r="H187" s="5" t="s">
        <v>2213</v>
      </c>
      <c r="K187" s="0" t="s">
        <v>33</v>
      </c>
      <c r="L187" s="0" t="s">
        <v>3072</v>
      </c>
    </row>
    <row r="188" customFormat="false" ht="17.15" hidden="false" customHeight="false" outlineLevel="0" collapsed="false">
      <c r="A188" s="0" t="s">
        <v>3073</v>
      </c>
      <c r="B188" s="5" t="s">
        <v>3074</v>
      </c>
      <c r="C188" s="5" t="s">
        <v>3075</v>
      </c>
      <c r="D188" s="0" t="s">
        <v>3076</v>
      </c>
      <c r="E188" s="0" t="s">
        <v>3077</v>
      </c>
      <c r="F188" s="0" t="s">
        <v>3078</v>
      </c>
      <c r="G188" s="0" t="s">
        <v>3079</v>
      </c>
      <c r="H188" s="5" t="s">
        <v>2213</v>
      </c>
      <c r="K188" s="0" t="s">
        <v>33</v>
      </c>
      <c r="L188" s="0" t="s">
        <v>3080</v>
      </c>
    </row>
    <row r="189" customFormat="false" ht="17.15" hidden="false" customHeight="false" outlineLevel="0" collapsed="false">
      <c r="A189" s="0" t="s">
        <v>3081</v>
      </c>
      <c r="B189" s="5" t="s">
        <v>3082</v>
      </c>
      <c r="C189" s="5" t="s">
        <v>3083</v>
      </c>
      <c r="D189" s="0" t="s">
        <v>3084</v>
      </c>
      <c r="E189" s="0" t="s">
        <v>2177</v>
      </c>
      <c r="F189" s="0" t="s">
        <v>22</v>
      </c>
      <c r="G189" s="0" t="s">
        <v>3085</v>
      </c>
      <c r="H189" s="5" t="s">
        <v>2186</v>
      </c>
      <c r="K189" s="0" t="s">
        <v>33</v>
      </c>
      <c r="L189" s="0" t="s">
        <v>3086</v>
      </c>
    </row>
    <row r="190" customFormat="false" ht="17.15" hidden="false" customHeight="false" outlineLevel="0" collapsed="false">
      <c r="A190" s="0" t="s">
        <v>3087</v>
      </c>
      <c r="B190" s="5" t="s">
        <v>3088</v>
      </c>
      <c r="C190" s="5" t="s">
        <v>3089</v>
      </c>
      <c r="D190" s="0" t="s">
        <v>3090</v>
      </c>
      <c r="E190" s="0" t="s">
        <v>2177</v>
      </c>
      <c r="F190" s="0" t="s">
        <v>3091</v>
      </c>
      <c r="G190" s="0" t="s">
        <v>3092</v>
      </c>
      <c r="H190" s="5" t="s">
        <v>2213</v>
      </c>
      <c r="K190" s="0" t="s">
        <v>33</v>
      </c>
      <c r="L190" s="0" t="s">
        <v>3093</v>
      </c>
    </row>
    <row r="191" customFormat="false" ht="17.15" hidden="false" customHeight="false" outlineLevel="0" collapsed="false">
      <c r="A191" s="0" t="s">
        <v>3094</v>
      </c>
      <c r="B191" s="5" t="s">
        <v>3095</v>
      </c>
      <c r="C191" s="5" t="s">
        <v>3096</v>
      </c>
      <c r="D191" s="0" t="s">
        <v>3097</v>
      </c>
      <c r="E191" s="0" t="s">
        <v>2177</v>
      </c>
      <c r="F191" s="0" t="s">
        <v>3098</v>
      </c>
      <c r="G191" s="0" t="s">
        <v>3099</v>
      </c>
      <c r="H191" s="5" t="s">
        <v>2186</v>
      </c>
      <c r="K191" s="0" t="s">
        <v>33</v>
      </c>
      <c r="L191" s="0" t="s">
        <v>3100</v>
      </c>
    </row>
    <row r="192" customFormat="false" ht="17.15" hidden="false" customHeight="false" outlineLevel="0" collapsed="false">
      <c r="A192" s="0" t="s">
        <v>3101</v>
      </c>
      <c r="B192" s="5" t="s">
        <v>3102</v>
      </c>
      <c r="C192" s="5" t="s">
        <v>3103</v>
      </c>
      <c r="D192" s="0" t="s">
        <v>3104</v>
      </c>
      <c r="E192" s="0" t="s">
        <v>2177</v>
      </c>
      <c r="F192" s="0" t="s">
        <v>3105</v>
      </c>
      <c r="G192" s="0" t="s">
        <v>3106</v>
      </c>
      <c r="H192" s="5" t="s">
        <v>2213</v>
      </c>
      <c r="K192" s="0" t="s">
        <v>33</v>
      </c>
      <c r="L192" s="0" t="s">
        <v>3107</v>
      </c>
    </row>
    <row r="193" customFormat="false" ht="17.15" hidden="false" customHeight="false" outlineLevel="0" collapsed="false">
      <c r="A193" s="0" t="s">
        <v>3108</v>
      </c>
      <c r="B193" s="5" t="s">
        <v>3109</v>
      </c>
      <c r="C193" s="5" t="s">
        <v>3110</v>
      </c>
      <c r="D193" s="0" t="s">
        <v>3111</v>
      </c>
      <c r="F193" s="0" t="s">
        <v>3112</v>
      </c>
      <c r="G193" s="0" t="s">
        <v>3113</v>
      </c>
      <c r="H193" s="5" t="s">
        <v>2186</v>
      </c>
      <c r="J193" s="0" t="s">
        <v>94</v>
      </c>
      <c r="K193" s="5" t="s">
        <v>2171</v>
      </c>
      <c r="L193" s="0" t="s">
        <v>3114</v>
      </c>
    </row>
    <row r="194" customFormat="false" ht="17.15" hidden="false" customHeight="false" outlineLevel="0" collapsed="false">
      <c r="A194" s="0" t="s">
        <v>3115</v>
      </c>
      <c r="B194" s="5" t="s">
        <v>3116</v>
      </c>
      <c r="C194" s="5" t="s">
        <v>3117</v>
      </c>
      <c r="D194" s="0" t="s">
        <v>3118</v>
      </c>
      <c r="F194" s="0" t="s">
        <v>3112</v>
      </c>
      <c r="G194" s="0" t="s">
        <v>3119</v>
      </c>
      <c r="H194" s="5" t="s">
        <v>2186</v>
      </c>
      <c r="J194" s="0" t="s">
        <v>94</v>
      </c>
      <c r="K194" s="5" t="s">
        <v>2171</v>
      </c>
      <c r="L194" s="0" t="s">
        <v>3114</v>
      </c>
    </row>
    <row r="195" customFormat="false" ht="17.15" hidden="false" customHeight="false" outlineLevel="0" collapsed="false">
      <c r="A195" s="0" t="s">
        <v>3120</v>
      </c>
      <c r="B195" s="5" t="s">
        <v>3121</v>
      </c>
      <c r="C195" s="5" t="s">
        <v>3122</v>
      </c>
      <c r="D195" s="0" t="s">
        <v>3123</v>
      </c>
      <c r="F195" s="0" t="s">
        <v>3124</v>
      </c>
      <c r="G195" s="0" t="s">
        <v>3125</v>
      </c>
      <c r="H195" s="5" t="s">
        <v>2213</v>
      </c>
      <c r="K195" s="0" t="s">
        <v>33</v>
      </c>
      <c r="L195" s="0" t="s">
        <v>3126</v>
      </c>
    </row>
    <row r="196" customFormat="false" ht="17.15" hidden="false" customHeight="false" outlineLevel="0" collapsed="false">
      <c r="A196" s="0" t="s">
        <v>3127</v>
      </c>
      <c r="B196" s="5" t="s">
        <v>3128</v>
      </c>
      <c r="C196" s="5" t="s">
        <v>3129</v>
      </c>
      <c r="D196" s="0" t="s">
        <v>3130</v>
      </c>
      <c r="F196" s="0" t="s">
        <v>3131</v>
      </c>
      <c r="G196" s="0" t="s">
        <v>3132</v>
      </c>
      <c r="H196" s="5" t="s">
        <v>2186</v>
      </c>
      <c r="J196" s="0" t="s">
        <v>94</v>
      </c>
      <c r="K196" s="5" t="s">
        <v>2171</v>
      </c>
      <c r="L196" s="0" t="s">
        <v>3133</v>
      </c>
    </row>
    <row r="197" customFormat="false" ht="17.15" hidden="false" customHeight="false" outlineLevel="0" collapsed="false">
      <c r="A197" s="0" t="s">
        <v>3134</v>
      </c>
      <c r="B197" s="5" t="s">
        <v>3135</v>
      </c>
      <c r="C197" s="5" t="s">
        <v>3136</v>
      </c>
      <c r="D197" s="0" t="s">
        <v>3137</v>
      </c>
      <c r="F197" s="0" t="s">
        <v>3138</v>
      </c>
      <c r="G197" s="0" t="s">
        <v>3139</v>
      </c>
      <c r="H197" s="5" t="s">
        <v>2186</v>
      </c>
      <c r="K197" s="0" t="s">
        <v>33</v>
      </c>
      <c r="L197" s="0" t="s">
        <v>3140</v>
      </c>
    </row>
    <row r="198" customFormat="false" ht="17.15" hidden="false" customHeight="false" outlineLevel="0" collapsed="false">
      <c r="A198" s="0" t="s">
        <v>3141</v>
      </c>
      <c r="B198" s="5" t="s">
        <v>3142</v>
      </c>
      <c r="C198" s="5" t="s">
        <v>3143</v>
      </c>
      <c r="D198" s="0" t="s">
        <v>3144</v>
      </c>
      <c r="F198" s="0" t="s">
        <v>3145</v>
      </c>
      <c r="G198" s="0" t="s">
        <v>3146</v>
      </c>
      <c r="H198" s="5" t="s">
        <v>2247</v>
      </c>
      <c r="I198" s="5" t="s">
        <v>3147</v>
      </c>
      <c r="J198" s="0" t="s">
        <v>94</v>
      </c>
      <c r="K198" s="5" t="s">
        <v>2171</v>
      </c>
      <c r="L198" s="0" t="s">
        <v>3148</v>
      </c>
    </row>
    <row r="199" customFormat="false" ht="17.15" hidden="false" customHeight="false" outlineLevel="0" collapsed="false">
      <c r="A199" s="0" t="s">
        <v>3149</v>
      </c>
      <c r="B199" s="5" t="s">
        <v>3150</v>
      </c>
      <c r="C199" s="5" t="s">
        <v>3151</v>
      </c>
      <c r="D199" s="0" t="s">
        <v>3123</v>
      </c>
      <c r="F199" s="0" t="s">
        <v>3152</v>
      </c>
      <c r="G199" s="0" t="s">
        <v>3153</v>
      </c>
      <c r="H199" s="5" t="s">
        <v>2186</v>
      </c>
      <c r="J199" s="0" t="s">
        <v>94</v>
      </c>
      <c r="K199" s="5" t="s">
        <v>2171</v>
      </c>
      <c r="L199" s="0" t="s">
        <v>3154</v>
      </c>
    </row>
    <row r="200" customFormat="false" ht="17.15" hidden="false" customHeight="false" outlineLevel="0" collapsed="false">
      <c r="A200" s="0" t="s">
        <v>3155</v>
      </c>
      <c r="B200" s="5" t="s">
        <v>3156</v>
      </c>
      <c r="C200" s="5" t="s">
        <v>3157</v>
      </c>
      <c r="D200" s="0" t="s">
        <v>3158</v>
      </c>
      <c r="F200" s="0" t="s">
        <v>3159</v>
      </c>
      <c r="G200" s="0" t="s">
        <v>3160</v>
      </c>
      <c r="H200" s="5" t="s">
        <v>2213</v>
      </c>
      <c r="K200" s="0" t="s">
        <v>33</v>
      </c>
      <c r="L200" s="0" t="s">
        <v>3161</v>
      </c>
    </row>
    <row r="201" customFormat="false" ht="17.15" hidden="false" customHeight="false" outlineLevel="0" collapsed="false">
      <c r="A201" s="0" t="s">
        <v>3162</v>
      </c>
      <c r="B201" s="5" t="s">
        <v>3163</v>
      </c>
      <c r="C201" s="5" t="s">
        <v>3164</v>
      </c>
      <c r="D201" s="0" t="s">
        <v>3165</v>
      </c>
      <c r="F201" s="0" t="s">
        <v>3166</v>
      </c>
      <c r="G201" s="0" t="s">
        <v>3167</v>
      </c>
      <c r="H201" s="5" t="s">
        <v>2213</v>
      </c>
      <c r="K201" s="0" t="s">
        <v>33</v>
      </c>
      <c r="L201" s="0" t="s">
        <v>3168</v>
      </c>
    </row>
    <row r="202" customFormat="false" ht="17.15" hidden="false" customHeight="false" outlineLevel="0" collapsed="false">
      <c r="A202" s="0" t="s">
        <v>3169</v>
      </c>
      <c r="B202" s="5" t="s">
        <v>3170</v>
      </c>
      <c r="C202" s="5" t="s">
        <v>3171</v>
      </c>
      <c r="D202" s="0" t="s">
        <v>3172</v>
      </c>
      <c r="F202" s="0" t="s">
        <v>3173</v>
      </c>
      <c r="G202" s="0" t="s">
        <v>3174</v>
      </c>
      <c r="H202" s="5" t="s">
        <v>2186</v>
      </c>
      <c r="J202" s="0" t="s">
        <v>94</v>
      </c>
      <c r="K202" s="5" t="s">
        <v>2171</v>
      </c>
      <c r="L202" s="0" t="s">
        <v>3175</v>
      </c>
    </row>
    <row r="203" customFormat="false" ht="17.15" hidden="false" customHeight="false" outlineLevel="0" collapsed="false">
      <c r="A203" s="0" t="s">
        <v>3176</v>
      </c>
      <c r="B203" s="5" t="s">
        <v>3170</v>
      </c>
      <c r="C203" s="5" t="s">
        <v>3177</v>
      </c>
      <c r="D203" s="0" t="s">
        <v>3178</v>
      </c>
      <c r="F203" s="0" t="s">
        <v>3179</v>
      </c>
      <c r="G203" s="0" t="s">
        <v>3180</v>
      </c>
      <c r="H203" s="5" t="s">
        <v>2247</v>
      </c>
      <c r="I203" s="5" t="s">
        <v>3181</v>
      </c>
      <c r="K203" s="0" t="s">
        <v>33</v>
      </c>
      <c r="L203" s="0" t="s">
        <v>3182</v>
      </c>
    </row>
    <row r="204" customFormat="false" ht="17.15" hidden="false" customHeight="false" outlineLevel="0" collapsed="false">
      <c r="A204" s="0" t="s">
        <v>3183</v>
      </c>
      <c r="B204" s="5" t="s">
        <v>3170</v>
      </c>
      <c r="C204" s="5" t="s">
        <v>3184</v>
      </c>
      <c r="D204" s="0" t="s">
        <v>3185</v>
      </c>
      <c r="F204" s="0" t="s">
        <v>3173</v>
      </c>
      <c r="G204" s="0" t="s">
        <v>3174</v>
      </c>
      <c r="H204" s="5" t="s">
        <v>2186</v>
      </c>
      <c r="K204" s="0" t="s">
        <v>33</v>
      </c>
      <c r="L204" s="0" t="s">
        <v>3175</v>
      </c>
    </row>
    <row r="205" customFormat="false" ht="17.15" hidden="false" customHeight="false" outlineLevel="0" collapsed="false">
      <c r="A205" s="0" t="s">
        <v>3186</v>
      </c>
      <c r="B205" s="5" t="s">
        <v>3187</v>
      </c>
      <c r="C205" s="5" t="s">
        <v>3188</v>
      </c>
      <c r="D205" s="0" t="s">
        <v>3189</v>
      </c>
      <c r="F205" s="0" t="s">
        <v>3112</v>
      </c>
      <c r="G205" s="0" t="s">
        <v>3190</v>
      </c>
      <c r="H205" s="5" t="s">
        <v>2186</v>
      </c>
      <c r="J205" s="0" t="s">
        <v>3191</v>
      </c>
      <c r="K205" s="5" t="s">
        <v>2171</v>
      </c>
      <c r="L205" s="0" t="s">
        <v>3100</v>
      </c>
    </row>
    <row r="206" customFormat="false" ht="17.15" hidden="false" customHeight="false" outlineLevel="0" collapsed="false">
      <c r="A206" s="0" t="s">
        <v>3192</v>
      </c>
      <c r="B206" s="5" t="s">
        <v>3163</v>
      </c>
      <c r="C206" s="5" t="s">
        <v>3193</v>
      </c>
      <c r="F206" s="0" t="s">
        <v>3098</v>
      </c>
      <c r="G206" s="0" t="s">
        <v>3194</v>
      </c>
      <c r="H206" s="5" t="s">
        <v>2186</v>
      </c>
      <c r="J206" s="0" t="s">
        <v>87</v>
      </c>
      <c r="K206" s="5" t="s">
        <v>2171</v>
      </c>
      <c r="L206" s="0" t="s">
        <v>3100</v>
      </c>
    </row>
    <row r="207" customFormat="false" ht="17.15" hidden="false" customHeight="false" outlineLevel="0" collapsed="false">
      <c r="A207" s="0" t="s">
        <v>3195</v>
      </c>
      <c r="B207" s="5" t="s">
        <v>3196</v>
      </c>
      <c r="C207" s="5" t="s">
        <v>3197</v>
      </c>
      <c r="D207" s="0" t="s">
        <v>3198</v>
      </c>
      <c r="F207" s="0" t="s">
        <v>3199</v>
      </c>
      <c r="G207" s="0" t="s">
        <v>3200</v>
      </c>
      <c r="H207" s="5" t="s">
        <v>2186</v>
      </c>
      <c r="J207" s="0" t="s">
        <v>3201</v>
      </c>
      <c r="K207" s="5" t="s">
        <v>2171</v>
      </c>
      <c r="L207" s="0" t="s">
        <v>3202</v>
      </c>
    </row>
    <row r="208" customFormat="false" ht="17.15" hidden="false" customHeight="false" outlineLevel="0" collapsed="false">
      <c r="A208" s="0" t="s">
        <v>3203</v>
      </c>
      <c r="B208" s="5" t="s">
        <v>3204</v>
      </c>
      <c r="C208" s="5" t="s">
        <v>3205</v>
      </c>
      <c r="D208" s="0" t="s">
        <v>3206</v>
      </c>
      <c r="F208" s="0" t="s">
        <v>3207</v>
      </c>
      <c r="G208" s="0" t="s">
        <v>3208</v>
      </c>
      <c r="H208" s="5" t="s">
        <v>2186</v>
      </c>
      <c r="J208" s="0" t="s">
        <v>543</v>
      </c>
      <c r="K208" s="5" t="s">
        <v>2171</v>
      </c>
      <c r="L208" s="0" t="s">
        <v>3209</v>
      </c>
    </row>
    <row r="209" customFormat="false" ht="17.15" hidden="false" customHeight="false" outlineLevel="0" collapsed="false">
      <c r="A209" s="12" t="s">
        <v>3210</v>
      </c>
      <c r="B209" s="13" t="s">
        <v>3211</v>
      </c>
      <c r="C209" s="13" t="s">
        <v>3212</v>
      </c>
      <c r="D209" s="12" t="s">
        <v>3213</v>
      </c>
      <c r="E209" s="12"/>
      <c r="F209" s="12" t="s">
        <v>3214</v>
      </c>
      <c r="G209" s="12" t="s">
        <v>3215</v>
      </c>
      <c r="H209" s="13" t="s">
        <v>2180</v>
      </c>
      <c r="I209" s="12"/>
      <c r="J209" s="12" t="s">
        <v>91</v>
      </c>
      <c r="K209" s="13" t="s">
        <v>2233</v>
      </c>
      <c r="L209" s="12" t="s">
        <v>3216</v>
      </c>
    </row>
    <row r="210" customFormat="false" ht="17.15" hidden="false" customHeight="false" outlineLevel="0" collapsed="false">
      <c r="A210" s="0" t="s">
        <v>3217</v>
      </c>
      <c r="B210" s="5" t="s">
        <v>3218</v>
      </c>
      <c r="C210" s="5" t="s">
        <v>3219</v>
      </c>
      <c r="D210" s="0" t="s">
        <v>3220</v>
      </c>
      <c r="F210" s="0" t="s">
        <v>3221</v>
      </c>
      <c r="G210" s="0" t="s">
        <v>3222</v>
      </c>
      <c r="H210" s="5" t="s">
        <v>2186</v>
      </c>
      <c r="J210" s="0" t="s">
        <v>91</v>
      </c>
      <c r="K210" s="5" t="s">
        <v>2171</v>
      </c>
      <c r="L210" s="0" t="s">
        <v>3209</v>
      </c>
    </row>
    <row r="211" customFormat="false" ht="17.15" hidden="false" customHeight="false" outlineLevel="0" collapsed="false">
      <c r="A211" s="0" t="s">
        <v>3223</v>
      </c>
      <c r="B211" s="5" t="s">
        <v>3224</v>
      </c>
      <c r="C211" s="5" t="s">
        <v>3225</v>
      </c>
      <c r="F211" s="0" t="s">
        <v>3226</v>
      </c>
      <c r="G211" s="0" t="s">
        <v>3227</v>
      </c>
      <c r="H211" s="5" t="s">
        <v>2186</v>
      </c>
      <c r="K211" s="0" t="s">
        <v>33</v>
      </c>
      <c r="L211" s="0" t="s">
        <v>3228</v>
      </c>
    </row>
    <row r="212" customFormat="false" ht="17.15" hidden="false" customHeight="false" outlineLevel="0" collapsed="false">
      <c r="A212" s="0" t="s">
        <v>3229</v>
      </c>
      <c r="B212" s="0" t="s">
        <v>3230</v>
      </c>
      <c r="C212" s="5" t="s">
        <v>3231</v>
      </c>
      <c r="D212" s="0" t="s">
        <v>3232</v>
      </c>
      <c r="F212" s="0" t="s">
        <v>2832</v>
      </c>
      <c r="G212" s="0" t="s">
        <v>3233</v>
      </c>
      <c r="H212" s="5" t="s">
        <v>2186</v>
      </c>
      <c r="J212" s="0" t="s">
        <v>609</v>
      </c>
      <c r="K212" s="5" t="s">
        <v>2321</v>
      </c>
      <c r="L212" s="0" t="s">
        <v>2834</v>
      </c>
    </row>
    <row r="213" customFormat="false" ht="17.15" hidden="false" customHeight="false" outlineLevel="0" collapsed="false">
      <c r="A213" s="0" t="s">
        <v>3234</v>
      </c>
      <c r="B213" s="0" t="s">
        <v>2174</v>
      </c>
      <c r="C213" s="5" t="s">
        <v>3235</v>
      </c>
      <c r="F213" s="0" t="s">
        <v>3236</v>
      </c>
      <c r="G213" s="0" t="s">
        <v>3237</v>
      </c>
      <c r="H213" s="5" t="s">
        <v>2186</v>
      </c>
      <c r="K213" s="0" t="s">
        <v>33</v>
      </c>
      <c r="L213" s="0" t="s">
        <v>3238</v>
      </c>
    </row>
    <row r="214" customFormat="false" ht="17.15" hidden="false" customHeight="false" outlineLevel="0" collapsed="false">
      <c r="A214" s="0" t="s">
        <v>3239</v>
      </c>
      <c r="B214" s="0" t="s">
        <v>3240</v>
      </c>
      <c r="C214" s="5" t="s">
        <v>3241</v>
      </c>
      <c r="D214" s="0" t="s">
        <v>3242</v>
      </c>
      <c r="F214" s="0" t="s">
        <v>3243</v>
      </c>
      <c r="G214" s="0" t="s">
        <v>3244</v>
      </c>
      <c r="H214" s="5" t="s">
        <v>2186</v>
      </c>
      <c r="K214" s="0" t="s">
        <v>33</v>
      </c>
      <c r="L214" s="0" t="s">
        <v>3245</v>
      </c>
    </row>
    <row r="215" customFormat="false" ht="17.15" hidden="false" customHeight="false" outlineLevel="0" collapsed="false">
      <c r="A215" s="0" t="s">
        <v>3246</v>
      </c>
      <c r="B215" s="0" t="s">
        <v>3247</v>
      </c>
      <c r="C215" s="5" t="s">
        <v>3248</v>
      </c>
      <c r="D215" s="0" t="s">
        <v>3249</v>
      </c>
      <c r="F215" s="0" t="s">
        <v>2832</v>
      </c>
      <c r="G215" s="0" t="s">
        <v>3250</v>
      </c>
      <c r="H215" s="5" t="s">
        <v>2186</v>
      </c>
      <c r="J215" s="0" t="s">
        <v>3251</v>
      </c>
      <c r="K215" s="5" t="s">
        <v>2171</v>
      </c>
      <c r="L215" s="0" t="s">
        <v>3252</v>
      </c>
    </row>
    <row r="216" customFormat="false" ht="17.15" hidden="false" customHeight="false" outlineLevel="0" collapsed="false">
      <c r="A216" s="0" t="s">
        <v>3253</v>
      </c>
      <c r="B216" s="5" t="s">
        <v>3254</v>
      </c>
      <c r="C216" s="5" t="s">
        <v>3255</v>
      </c>
      <c r="F216" s="0" t="s">
        <v>2603</v>
      </c>
      <c r="G216" s="0" t="s">
        <v>3256</v>
      </c>
      <c r="H216" s="5" t="s">
        <v>2186</v>
      </c>
      <c r="J216" s="0" t="s">
        <v>94</v>
      </c>
      <c r="K216" s="5" t="s">
        <v>2171</v>
      </c>
      <c r="L216" s="0" t="s">
        <v>3257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17.15" hidden="false" customHeight="false" outlineLevel="0" collapsed="false">
      <c r="A1" s="0" t="s">
        <v>3258</v>
      </c>
    </row>
    <row r="3" customFormat="false" ht="17.15" hidden="false" customHeight="false" outlineLevel="0" collapsed="false">
      <c r="A3" s="6" t="s">
        <v>17</v>
      </c>
      <c r="B3" s="6" t="s">
        <v>3259</v>
      </c>
      <c r="C3" s="6" t="s">
        <v>18</v>
      </c>
    </row>
    <row r="4" customFormat="false" ht="17.15" hidden="false" customHeight="false" outlineLevel="0" collapsed="false">
      <c r="A4" s="0" t="s">
        <v>353</v>
      </c>
      <c r="B4" s="0" t="s">
        <v>33</v>
      </c>
      <c r="C4" s="5" t="s">
        <v>3260</v>
      </c>
    </row>
    <row r="5" customFormat="false" ht="17.15" hidden="false" customHeight="false" outlineLevel="0" collapsed="false">
      <c r="A5" s="0" t="s">
        <v>3261</v>
      </c>
      <c r="B5" s="0" t="s">
        <v>3262</v>
      </c>
      <c r="C5" s="0" t="s">
        <v>3263</v>
      </c>
    </row>
    <row r="6" customFormat="false" ht="17.15" hidden="false" customHeight="false" outlineLevel="0" collapsed="false">
      <c r="A6" s="0" t="s">
        <v>3264</v>
      </c>
      <c r="B6" s="0" t="s">
        <v>3265</v>
      </c>
      <c r="C6" s="0" t="s">
        <v>3266</v>
      </c>
    </row>
    <row r="7" customFormat="false" ht="17.15" hidden="false" customHeight="false" outlineLevel="0" collapsed="false">
      <c r="A7" s="0" t="s">
        <v>36</v>
      </c>
      <c r="B7" s="0" t="s">
        <v>3267</v>
      </c>
      <c r="C7" s="0" t="s">
        <v>3268</v>
      </c>
    </row>
    <row r="8" customFormat="false" ht="17.15" hidden="false" customHeight="false" outlineLevel="0" collapsed="false">
      <c r="A8" s="0" t="s">
        <v>46</v>
      </c>
      <c r="B8" s="0" t="s">
        <v>3269</v>
      </c>
      <c r="C8" s="0" t="s">
        <v>3270</v>
      </c>
    </row>
    <row r="9" customFormat="false" ht="17.15" hidden="false" customHeight="false" outlineLevel="0" collapsed="false">
      <c r="A9" s="0" t="s">
        <v>3271</v>
      </c>
      <c r="B9" s="5" t="s">
        <v>3272</v>
      </c>
      <c r="C9" s="0" t="s">
        <v>3273</v>
      </c>
    </row>
    <row r="10" customFormat="false" ht="17.15" hidden="false" customHeight="false" outlineLevel="0" collapsed="false">
      <c r="A10" s="0" t="s">
        <v>112</v>
      </c>
      <c r="B10" s="0" t="s">
        <v>3274</v>
      </c>
      <c r="C10" s="0" t="s">
        <v>3275</v>
      </c>
    </row>
    <row r="11" customFormat="false" ht="17.15" hidden="false" customHeight="false" outlineLevel="0" collapsed="false">
      <c r="A11" s="0" t="s">
        <v>326</v>
      </c>
      <c r="B11" s="0" t="s">
        <v>3276</v>
      </c>
      <c r="C11" s="0" t="s">
        <v>3277</v>
      </c>
    </row>
    <row r="12" customFormat="false" ht="17.15" hidden="false" customHeight="false" outlineLevel="0" collapsed="false">
      <c r="A12" s="0" t="s">
        <v>121</v>
      </c>
      <c r="B12" s="0" t="s">
        <v>3278</v>
      </c>
      <c r="C12" s="0" t="s">
        <v>3279</v>
      </c>
    </row>
    <row r="13" customFormat="false" ht="17.15" hidden="false" customHeight="false" outlineLevel="0" collapsed="false">
      <c r="A13" s="0" t="s">
        <v>330</v>
      </c>
      <c r="B13" s="0" t="s">
        <v>3280</v>
      </c>
      <c r="C13" s="0" t="s">
        <v>3281</v>
      </c>
    </row>
    <row r="14" customFormat="false" ht="17.15" hidden="false" customHeight="false" outlineLevel="0" collapsed="false">
      <c r="A14" s="0" t="s">
        <v>66</v>
      </c>
      <c r="B14" s="0" t="s">
        <v>3282</v>
      </c>
      <c r="C14" s="0" t="s">
        <v>3283</v>
      </c>
    </row>
    <row r="15" customFormat="false" ht="17.15" hidden="false" customHeight="false" outlineLevel="0" collapsed="false">
      <c r="A15" s="0" t="s">
        <v>334</v>
      </c>
      <c r="B15" s="0" t="s">
        <v>3284</v>
      </c>
      <c r="C15" s="0" t="s">
        <v>3285</v>
      </c>
    </row>
    <row r="16" customFormat="false" ht="17.15" hidden="false" customHeight="false" outlineLevel="0" collapsed="false">
      <c r="A16" s="0" t="s">
        <v>132</v>
      </c>
      <c r="B16" s="0" t="s">
        <v>3286</v>
      </c>
      <c r="C16" s="0" t="s">
        <v>3287</v>
      </c>
    </row>
    <row r="17" customFormat="false" ht="17.15" hidden="false" customHeight="false" outlineLevel="0" collapsed="false">
      <c r="A17" s="0" t="s">
        <v>341</v>
      </c>
      <c r="B17" s="0" t="s">
        <v>3288</v>
      </c>
      <c r="C17" s="0" t="s">
        <v>3289</v>
      </c>
    </row>
    <row r="18" customFormat="false" ht="17.15" hidden="false" customHeight="false" outlineLevel="0" collapsed="false">
      <c r="A18" s="0" t="s">
        <v>140</v>
      </c>
      <c r="B18" s="0" t="s">
        <v>3290</v>
      </c>
      <c r="C18" s="0" t="s">
        <v>3291</v>
      </c>
    </row>
    <row r="19" customFormat="false" ht="17.15" hidden="false" customHeight="false" outlineLevel="0" collapsed="false">
      <c r="A19" s="0" t="s">
        <v>345</v>
      </c>
      <c r="B19" s="0" t="s">
        <v>3292</v>
      </c>
      <c r="C19" s="0" t="s">
        <v>3293</v>
      </c>
    </row>
    <row r="20" customFormat="false" ht="17.15" hidden="false" customHeight="false" outlineLevel="0" collapsed="false">
      <c r="A20" s="0" t="s">
        <v>232</v>
      </c>
      <c r="B20" s="0" t="s">
        <v>3294</v>
      </c>
      <c r="C20" s="0" t="s">
        <v>3295</v>
      </c>
    </row>
    <row r="21" customFormat="false" ht="17.15" hidden="false" customHeight="false" outlineLevel="0" collapsed="false">
      <c r="A21" s="0" t="s">
        <v>190</v>
      </c>
      <c r="B21" s="0" t="s">
        <v>3296</v>
      </c>
      <c r="C21" s="0" t="s">
        <v>3297</v>
      </c>
    </row>
    <row r="22" customFormat="false" ht="17.15" hidden="false" customHeight="false" outlineLevel="0" collapsed="false">
      <c r="A22" s="0" t="s">
        <v>235</v>
      </c>
      <c r="B22" s="0" t="s">
        <v>3298</v>
      </c>
      <c r="C22" s="0" t="s">
        <v>3299</v>
      </c>
    </row>
    <row r="23" customFormat="false" ht="17.15" hidden="false" customHeight="false" outlineLevel="0" collapsed="false">
      <c r="A23" s="0" t="s">
        <v>3300</v>
      </c>
      <c r="B23" s="0" t="s">
        <v>3301</v>
      </c>
      <c r="C23" s="0" t="s">
        <v>3302</v>
      </c>
    </row>
    <row r="24" customFormat="false" ht="17.15" hidden="false" customHeight="false" outlineLevel="0" collapsed="false">
      <c r="A24" s="0" t="s">
        <v>3303</v>
      </c>
      <c r="B24" s="0" t="s">
        <v>3304</v>
      </c>
      <c r="C24" s="0" t="s">
        <v>3305</v>
      </c>
    </row>
    <row r="25" customFormat="false" ht="17.15" hidden="false" customHeight="false" outlineLevel="0" collapsed="false">
      <c r="A25" s="0" t="s">
        <v>420</v>
      </c>
      <c r="B25" s="0" t="s">
        <v>3306</v>
      </c>
      <c r="C25" s="5" t="s">
        <v>3307</v>
      </c>
    </row>
    <row r="26" customFormat="false" ht="17.15" hidden="false" customHeight="false" outlineLevel="0" collapsed="false">
      <c r="A26" s="0" t="s">
        <v>3308</v>
      </c>
      <c r="B26" s="0" t="s">
        <v>3309</v>
      </c>
      <c r="C26" s="0" t="s">
        <v>3310</v>
      </c>
    </row>
    <row r="27" customFormat="false" ht="17.15" hidden="false" customHeight="false" outlineLevel="0" collapsed="false">
      <c r="A27" s="0" t="s">
        <v>186</v>
      </c>
      <c r="B27" s="0" t="s">
        <v>3311</v>
      </c>
      <c r="C27" s="0" t="s">
        <v>3312</v>
      </c>
    </row>
    <row r="28" customFormat="false" ht="17.15" hidden="false" customHeight="false" outlineLevel="0" collapsed="false">
      <c r="A28" s="0" t="s">
        <v>76</v>
      </c>
      <c r="B28" s="0" t="s">
        <v>3313</v>
      </c>
      <c r="C28" s="0" t="s">
        <v>3314</v>
      </c>
    </row>
    <row r="29" customFormat="false" ht="17.15" hidden="false" customHeight="false" outlineLevel="0" collapsed="false">
      <c r="A29" s="0" t="s">
        <v>89</v>
      </c>
      <c r="B29" s="0" t="s">
        <v>3315</v>
      </c>
      <c r="C29" s="0" t="s">
        <v>3316</v>
      </c>
    </row>
    <row r="30" customFormat="false" ht="17.15" hidden="false" customHeight="false" outlineLevel="0" collapsed="false">
      <c r="A30" s="0" t="s">
        <v>41</v>
      </c>
      <c r="B30" s="0" t="s">
        <v>3317</v>
      </c>
      <c r="C30" s="0" t="s">
        <v>3318</v>
      </c>
    </row>
    <row r="31" customFormat="false" ht="17.15" hidden="false" customHeight="false" outlineLevel="0" collapsed="false">
      <c r="A31" s="0" t="s">
        <v>307</v>
      </c>
      <c r="B31" s="0" t="s">
        <v>3319</v>
      </c>
      <c r="C31" s="0" t="s">
        <v>3320</v>
      </c>
    </row>
    <row r="32" customFormat="false" ht="17.15" hidden="false" customHeight="false" outlineLevel="0" collapsed="false">
      <c r="A32" s="0" t="s">
        <v>161</v>
      </c>
      <c r="B32" s="0" t="s">
        <v>3321</v>
      </c>
      <c r="C32" s="0" t="s">
        <v>3322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0" t="s">
        <v>3323</v>
      </c>
    </row>
    <row r="3" customFormat="false" ht="15" hidden="false" customHeight="false" outlineLevel="0" collapsed="false">
      <c r="A3" s="7" t="s">
        <v>1799</v>
      </c>
      <c r="B3" s="6" t="s">
        <v>3324</v>
      </c>
      <c r="C3" s="6" t="s">
        <v>3325</v>
      </c>
      <c r="D3" s="6" t="s">
        <v>3326</v>
      </c>
      <c r="E3" s="6" t="s">
        <v>2064</v>
      </c>
    </row>
    <row r="4" customFormat="false" ht="48.5" hidden="false" customHeight="false" outlineLevel="0" collapsed="false">
      <c r="A4" s="3" t="s">
        <v>3327</v>
      </c>
      <c r="B4" s="3" t="s">
        <v>3328</v>
      </c>
      <c r="C4" s="2" t="s">
        <v>3329</v>
      </c>
      <c r="D4" s="2" t="s">
        <v>3330</v>
      </c>
      <c r="E4" s="2" t="s">
        <v>3331</v>
      </c>
    </row>
    <row r="5" customFormat="false" ht="17.15" hidden="false" customHeight="false" outlineLevel="0" collapsed="false">
      <c r="A5" s="3" t="s">
        <v>3332</v>
      </c>
      <c r="B5" s="3" t="s">
        <v>3333</v>
      </c>
      <c r="C5" s="3" t="s">
        <v>3334</v>
      </c>
      <c r="D5" s="2" t="s">
        <v>3335</v>
      </c>
      <c r="E5" s="2" t="s">
        <v>3336</v>
      </c>
    </row>
    <row r="6" customFormat="false" ht="17.15" hidden="false" customHeight="false" outlineLevel="0" collapsed="false">
      <c r="A6" s="3" t="s">
        <v>3337</v>
      </c>
      <c r="B6" s="3" t="s">
        <v>3328</v>
      </c>
      <c r="C6" s="3" t="s">
        <v>3338</v>
      </c>
      <c r="D6" s="2" t="s">
        <v>3339</v>
      </c>
      <c r="E6" s="3" t="s">
        <v>3340</v>
      </c>
    </row>
    <row r="7" customFormat="false" ht="48.5" hidden="false" customHeight="false" outlineLevel="0" collapsed="false">
      <c r="A7" s="3" t="s">
        <v>3341</v>
      </c>
      <c r="B7" s="3" t="s">
        <v>3342</v>
      </c>
      <c r="C7" s="2" t="s">
        <v>3343</v>
      </c>
      <c r="D7" s="3" t="s">
        <v>3344</v>
      </c>
      <c r="E7" s="3" t="s">
        <v>3340</v>
      </c>
    </row>
    <row r="8" customFormat="false" ht="17.15" hidden="false" customHeight="false" outlineLevel="0" collapsed="false">
      <c r="A8" s="3" t="s">
        <v>3345</v>
      </c>
      <c r="B8" s="3" t="s">
        <v>3328</v>
      </c>
      <c r="C8" s="2" t="s">
        <v>3346</v>
      </c>
      <c r="D8" s="3" t="s">
        <v>3347</v>
      </c>
      <c r="E8" s="2" t="s">
        <v>3348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2026-10-28T02:50:25Z</dcterms:created>
  <dc:creator>openpyxl</dc:creator>
  <dc:description/>
  <dc:language>en-US</dc:language>
  <cp:lastModifiedBy/>
  <dcterms:modified xsi:type="dcterms:W3CDTF">2026-10-28T02:50:25Z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